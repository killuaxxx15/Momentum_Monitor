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/>
  <mc:AlternateContent xmlns:mc="http://schemas.openxmlformats.org/markup-compatibility/2006">
    <mc:Choice Requires="x15">
      <x15ac:absPath xmlns:x15ac="http://schemas.microsoft.com/office/spreadsheetml/2010/11/ac" url="C:\Users\RIZAEL\Desktop\DL Files\VS Code\Cash Model\"/>
    </mc:Choice>
  </mc:AlternateContent>
  <xr:revisionPtr revIDLastSave="0" documentId="8_{87134E6E-E96F-4736-93B7-93BF9A3358C2}" xr6:coauthVersionLast="47" xr6:coauthVersionMax="47" xr10:uidLastSave="{00000000-0000-0000-0000-000000000000}"/>
  <bookViews>
    <workbookView xWindow="-108" yWindow="-108" windowWidth="23256" windowHeight="12456" firstSheet="1" activeTab="1" xr2:uid="{F90D0798-9AC8-4B8E-8F82-059A3F21F97E}"/>
  </bookViews>
  <sheets>
    <sheet name="__FDSCACHE__" sheetId="3" state="veryHidden" r:id="rId1"/>
    <sheet name="CashSignals" sheetId="12" r:id="rId2"/>
    <sheet name="WorldxUSSignals" sheetId="17" r:id="rId3"/>
    <sheet name="FactsetData" sheetId="10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6" i="12" l="1"/>
  <c r="W9" i="17"/>
  <c r="U9" i="17"/>
  <c r="V9" i="17"/>
  <c r="C8" i="17"/>
  <c r="X9" i="17" l="1"/>
  <c r="Y9" i="17"/>
  <c r="Z9" i="17"/>
  <c r="AB9" i="17" s="1"/>
  <c r="AC9" i="17" s="1"/>
  <c r="N9" i="17"/>
  <c r="M9" i="17"/>
  <c r="L9" i="17"/>
  <c r="O9" i="17" l="1"/>
  <c r="P9" i="17"/>
  <c r="Q9" i="17"/>
  <c r="S9" i="17" s="1"/>
  <c r="T9" i="17" s="1"/>
  <c r="C9" i="17"/>
  <c r="E9" i="17"/>
  <c r="D9" i="17"/>
  <c r="G9" i="17" l="1"/>
  <c r="H9" i="17"/>
  <c r="J9" i="17" s="1"/>
  <c r="F9" i="17"/>
  <c r="K9" i="17" l="1"/>
  <c r="AB26" i="17"/>
  <c r="S26" i="17"/>
  <c r="J26" i="17"/>
  <c r="V2" i="10" a="1"/>
  <c r="AG1" i="10"/>
  <c r="AG6" i="10"/>
  <c r="AF3" i="10"/>
  <c r="AK7" i="10" a="1"/>
  <c r="E14" i="17"/>
  <c r="AY2" i="10" a="1"/>
  <c r="AG7" i="10" a="1"/>
  <c r="AH3" i="10"/>
  <c r="Z7" i="10" a="1"/>
  <c r="AJ6" i="10"/>
  <c r="E8" i="17"/>
  <c r="U18" i="12"/>
  <c r="W14" i="12"/>
  <c r="C7" i="17"/>
  <c r="R25" i="12"/>
  <c r="R9" i="12"/>
  <c r="D8" i="17"/>
  <c r="U8" i="17"/>
  <c r="AI4" i="10"/>
  <c r="E14" i="12"/>
  <c r="D5" i="17"/>
  <c r="V18" i="17"/>
  <c r="E2" i="10" a="1"/>
  <c r="AI5" i="10"/>
  <c r="Z6" i="10"/>
  <c r="AF6" i="10"/>
  <c r="U2" i="10" a="1"/>
  <c r="W18" i="12"/>
  <c r="U6" i="12"/>
  <c r="W5" i="12"/>
  <c r="U14" i="12"/>
  <c r="N6" i="12"/>
  <c r="M6" i="12"/>
  <c r="V6" i="12"/>
  <c r="L18" i="17"/>
  <c r="L8" i="17"/>
  <c r="V7" i="17"/>
  <c r="D18" i="12"/>
  <c r="M7" i="17"/>
  <c r="I8" i="17"/>
  <c r="U19" i="17"/>
  <c r="L7" i="17"/>
  <c r="Z5" i="10"/>
  <c r="L8" i="12"/>
  <c r="D6" i="12"/>
  <c r="L6" i="12"/>
  <c r="V19" i="12"/>
  <c r="L18" i="12"/>
  <c r="Z3" i="10"/>
  <c r="M2" i="10" a="1"/>
  <c r="AK3" i="10"/>
  <c r="AH5" i="10"/>
  <c r="AE1" i="10"/>
  <c r="AM7" i="10" a="1"/>
  <c r="W6" i="12"/>
  <c r="L9" i="12"/>
  <c r="N8" i="12"/>
  <c r="U5" i="12"/>
  <c r="I25" i="12"/>
  <c r="I9" i="12"/>
  <c r="M19" i="12"/>
  <c r="AA8" i="12"/>
  <c r="U9" i="12"/>
  <c r="N9" i="12"/>
  <c r="L19" i="12"/>
  <c r="N18" i="12"/>
  <c r="AE5" i="10"/>
  <c r="R8" i="12"/>
  <c r="D18" i="17"/>
  <c r="I8" i="12"/>
  <c r="D2" i="10" a="1"/>
  <c r="BA2" i="10" a="1"/>
  <c r="AF1" i="10"/>
  <c r="AE3" i="10"/>
  <c r="AL7" i="10" a="1"/>
  <c r="D9" i="12"/>
  <c r="C19" i="17"/>
  <c r="M14" i="12"/>
  <c r="G2" i="10" a="1"/>
  <c r="AJ7" i="10" a="1"/>
  <c r="AE7" i="10" a="1"/>
  <c r="AA4" i="10"/>
  <c r="AK5" i="10"/>
  <c r="AH6" i="10"/>
  <c r="N19" i="12"/>
  <c r="C19" i="12"/>
  <c r="E18" i="12"/>
  <c r="AK4" i="10"/>
  <c r="M19" i="17"/>
  <c r="AH4" i="10"/>
  <c r="B2" i="10" a="1"/>
  <c r="AE6" i="10"/>
  <c r="AG5" i="10"/>
  <c r="AF5" i="10"/>
  <c r="AA3" i="10"/>
  <c r="Y7" i="10" a="1"/>
  <c r="E19" i="12"/>
  <c r="C6" i="12"/>
  <c r="E5" i="12"/>
  <c r="C18" i="12"/>
  <c r="V19" i="17"/>
  <c r="AF7" i="10" a="1"/>
  <c r="D7" i="17"/>
  <c r="I7" i="17"/>
  <c r="W18" i="17"/>
  <c r="D14" i="12"/>
  <c r="N7" i="17"/>
  <c r="U8" i="12"/>
  <c r="A2" i="10" a="1"/>
  <c r="AG4" i="10"/>
  <c r="AI3" i="10"/>
  <c r="AK1" i="10"/>
  <c r="N2" i="10" a="1"/>
  <c r="T2" i="10" a="1"/>
  <c r="E6" i="12"/>
  <c r="AA25" i="17"/>
  <c r="AA6" i="10"/>
  <c r="C5" i="12"/>
  <c r="V8" i="17"/>
  <c r="AA5" i="10"/>
  <c r="M18" i="12"/>
  <c r="L14" i="12"/>
  <c r="E18" i="17"/>
  <c r="U7" i="17"/>
  <c r="W8" i="12"/>
  <c r="M5" i="12"/>
  <c r="M8" i="17"/>
  <c r="W19" i="17"/>
  <c r="V18" i="12"/>
  <c r="D14" i="17"/>
  <c r="N5" i="12"/>
  <c r="U19" i="12"/>
  <c r="U18" i="17"/>
  <c r="W9" i="12"/>
  <c r="AA8" i="17"/>
  <c r="AZ2" i="10" a="1"/>
  <c r="AI1" i="10"/>
  <c r="AD7" i="10" a="1"/>
  <c r="AA1" i="10"/>
  <c r="AG3" i="10"/>
  <c r="AJ1" i="10"/>
  <c r="Z1" i="10"/>
  <c r="W5" i="17"/>
  <c r="AA7" i="17"/>
  <c r="W8" i="17"/>
  <c r="E8" i="12"/>
  <c r="E7" i="17"/>
  <c r="C5" i="17"/>
  <c r="M5" i="17"/>
  <c r="D5" i="12"/>
  <c r="F2" i="10" a="1"/>
  <c r="AH7" i="10" a="1"/>
  <c r="AI7" i="10" a="1"/>
  <c r="Z4" i="10"/>
  <c r="O2" i="10" a="1"/>
  <c r="W14" i="17"/>
  <c r="U14" i="17"/>
  <c r="N14" i="17"/>
  <c r="U5" i="17"/>
  <c r="N8" i="17"/>
  <c r="M18" i="17"/>
  <c r="AA25" i="12"/>
  <c r="V14" i="12"/>
  <c r="M9" i="12"/>
  <c r="W7" i="17"/>
  <c r="C14" i="12"/>
  <c r="D8" i="12"/>
  <c r="V5" i="17"/>
  <c r="R8" i="17"/>
  <c r="V8" i="12"/>
  <c r="V5" i="12"/>
  <c r="M14" i="17"/>
  <c r="W19" i="12"/>
  <c r="L5" i="12"/>
  <c r="C14" i="17"/>
  <c r="V9" i="12"/>
  <c r="C2" i="10" a="1"/>
  <c r="AJ5" i="10"/>
  <c r="AI6" i="10"/>
  <c r="AJ3" i="10"/>
  <c r="AH1" i="10"/>
  <c r="R25" i="17"/>
  <c r="R7" i="17"/>
  <c r="N19" i="17"/>
  <c r="L14" i="17"/>
  <c r="N18" i="17"/>
  <c r="D19" i="17"/>
  <c r="E9" i="12"/>
  <c r="AJ4" i="10"/>
  <c r="I25" i="17"/>
  <c r="N14" i="12"/>
  <c r="C8" i="12"/>
  <c r="L2" i="10" a="1"/>
  <c r="AE4" i="10"/>
  <c r="AF4" i="10"/>
  <c r="AK6" i="10"/>
  <c r="AA7" i="10" a="1"/>
  <c r="N5" i="17"/>
  <c r="L5" i="17"/>
  <c r="E5" i="17"/>
  <c r="L19" i="17"/>
  <c r="E19" i="17"/>
  <c r="AA9" i="12"/>
  <c r="V14" i="17"/>
  <c r="D19" i="12"/>
  <c r="M8" i="12"/>
  <c r="C9" i="12"/>
  <c r="C18" i="17"/>
  <c r="J14" i="12" l="1"/>
  <c r="J8" i="12"/>
  <c r="K8" i="12" s="1"/>
  <c r="S8" i="12"/>
  <c r="AB8" i="12"/>
  <c r="J9" i="12"/>
  <c r="K9" i="12" s="1"/>
  <c r="S9" i="12"/>
  <c r="AB9" i="12"/>
  <c r="J25" i="12"/>
  <c r="J18" i="12"/>
  <c r="J30" i="12" s="1"/>
  <c r="J19" i="12"/>
  <c r="K19" i="12" s="1"/>
  <c r="BA2" i="10"/>
  <c r="BA14" i="10"/>
  <c r="BA26" i="10"/>
  <c r="BA38" i="10"/>
  <c r="BA50" i="10"/>
  <c r="BA62" i="10"/>
  <c r="BA74" i="10"/>
  <c r="BA86" i="10"/>
  <c r="BA98" i="10"/>
  <c r="BA110" i="10"/>
  <c r="BA122" i="10"/>
  <c r="BA134" i="10"/>
  <c r="BA146" i="10"/>
  <c r="BA158" i="10"/>
  <c r="BA170" i="10"/>
  <c r="BA182" i="10"/>
  <c r="BA194" i="10"/>
  <c r="BA206" i="10"/>
  <c r="BA218" i="10"/>
  <c r="BA230" i="10"/>
  <c r="BA242" i="10"/>
  <c r="BA254" i="10"/>
  <c r="BA266" i="10"/>
  <c r="BA278" i="10"/>
  <c r="BA290" i="10"/>
  <c r="BA302" i="10"/>
  <c r="BA314" i="10"/>
  <c r="BA326" i="10"/>
  <c r="BA338" i="10"/>
  <c r="BA350" i="10"/>
  <c r="BA362" i="10"/>
  <c r="BA374" i="10"/>
  <c r="BA386" i="10"/>
  <c r="BA398" i="10"/>
  <c r="BA410" i="10"/>
  <c r="BA422" i="10"/>
  <c r="BA434" i="10"/>
  <c r="BA446" i="10"/>
  <c r="BA458" i="10"/>
  <c r="BA470" i="10"/>
  <c r="BA482" i="10"/>
  <c r="BA494" i="10"/>
  <c r="BA506" i="10"/>
  <c r="BA518" i="10"/>
  <c r="BA530" i="10"/>
  <c r="BA542" i="10"/>
  <c r="BA554" i="10"/>
  <c r="BA566" i="10"/>
  <c r="BA578" i="10"/>
  <c r="BA590" i="10"/>
  <c r="BA602" i="10"/>
  <c r="BA614" i="10"/>
  <c r="BA626" i="10"/>
  <c r="BA638" i="10"/>
  <c r="BA650" i="10"/>
  <c r="BA662" i="10"/>
  <c r="BA674" i="10"/>
  <c r="BA686" i="10"/>
  <c r="BA698" i="10"/>
  <c r="BA710" i="10"/>
  <c r="BA722" i="10"/>
  <c r="BA734" i="10"/>
  <c r="BA746" i="10"/>
  <c r="BA758" i="10"/>
  <c r="BA770" i="10"/>
  <c r="BA782" i="10"/>
  <c r="BA794" i="10"/>
  <c r="BA806" i="10"/>
  <c r="BA818" i="10"/>
  <c r="BA830" i="10"/>
  <c r="BA842" i="10"/>
  <c r="BA854" i="10"/>
  <c r="BA866" i="10"/>
  <c r="BA878" i="10"/>
  <c r="BA890" i="10"/>
  <c r="BA902" i="10"/>
  <c r="BA914" i="10"/>
  <c r="BA926" i="10"/>
  <c r="BA938" i="10"/>
  <c r="BA950" i="10"/>
  <c r="BA962" i="10"/>
  <c r="BA12" i="10"/>
  <c r="BA25" i="10"/>
  <c r="BA39" i="10"/>
  <c r="BA52" i="10"/>
  <c r="BA65" i="10"/>
  <c r="BA78" i="10"/>
  <c r="BA91" i="10"/>
  <c r="BA104" i="10"/>
  <c r="BA117" i="10"/>
  <c r="BA130" i="10"/>
  <c r="BA143" i="10"/>
  <c r="BA156" i="10"/>
  <c r="BA169" i="10"/>
  <c r="BA183" i="10"/>
  <c r="BA196" i="10"/>
  <c r="BA209" i="10"/>
  <c r="BA222" i="10"/>
  <c r="BA235" i="10"/>
  <c r="BA248" i="10"/>
  <c r="BA261" i="10"/>
  <c r="BA274" i="10"/>
  <c r="BA287" i="10"/>
  <c r="BA300" i="10"/>
  <c r="BA313" i="10"/>
  <c r="BA327" i="10"/>
  <c r="BA340" i="10"/>
  <c r="BA353" i="10"/>
  <c r="BA366" i="10"/>
  <c r="BA379" i="10"/>
  <c r="BA392" i="10"/>
  <c r="BA405" i="10"/>
  <c r="BA418" i="10"/>
  <c r="BA431" i="10"/>
  <c r="BA444" i="10"/>
  <c r="BA457" i="10"/>
  <c r="BA471" i="10"/>
  <c r="BA484" i="10"/>
  <c r="BA497" i="10"/>
  <c r="BA510" i="10"/>
  <c r="BA523" i="10"/>
  <c r="BA536" i="10"/>
  <c r="BA549" i="10"/>
  <c r="BA562" i="10"/>
  <c r="BA575" i="10"/>
  <c r="BA588" i="10"/>
  <c r="BA601" i="10"/>
  <c r="BA615" i="10"/>
  <c r="BA628" i="10"/>
  <c r="BA641" i="10"/>
  <c r="BA654" i="10"/>
  <c r="BA667" i="10"/>
  <c r="BA680" i="10"/>
  <c r="BA693" i="10"/>
  <c r="BA706" i="10"/>
  <c r="BA719" i="10"/>
  <c r="BA732" i="10"/>
  <c r="BA745" i="10"/>
  <c r="BA759" i="10"/>
  <c r="BA772" i="10"/>
  <c r="BA785" i="10"/>
  <c r="BA798" i="10"/>
  <c r="BA811" i="10"/>
  <c r="BA824" i="10"/>
  <c r="BA837" i="10"/>
  <c r="BA850" i="10"/>
  <c r="BA863" i="10"/>
  <c r="BA876" i="10"/>
  <c r="BA889" i="10"/>
  <c r="BA903" i="10"/>
  <c r="BA916" i="10"/>
  <c r="BA929" i="10"/>
  <c r="BA942" i="10"/>
  <c r="BA955" i="10"/>
  <c r="BA968" i="10"/>
  <c r="BA980" i="10"/>
  <c r="BA992" i="10"/>
  <c r="BA1004" i="10"/>
  <c r="BA1016" i="10"/>
  <c r="BA1028" i="10"/>
  <c r="BA1040" i="10"/>
  <c r="BA1052" i="10"/>
  <c r="BA1064" i="10"/>
  <c r="BA1076" i="10"/>
  <c r="BA1088" i="10"/>
  <c r="BA1100" i="10"/>
  <c r="BA1112" i="10"/>
  <c r="BA1124" i="10"/>
  <c r="BA1136" i="10"/>
  <c r="BA1148" i="10"/>
  <c r="BA1160" i="10"/>
  <c r="BA1172" i="10"/>
  <c r="BA1184" i="10"/>
  <c r="BA1196" i="10"/>
  <c r="BA1208" i="10"/>
  <c r="BA1220" i="10"/>
  <c r="BA1232" i="10"/>
  <c r="BA1244" i="10"/>
  <c r="BA1256" i="10"/>
  <c r="BA1268" i="10"/>
  <c r="BA1280" i="10"/>
  <c r="BA1292" i="10"/>
  <c r="BA1304" i="10"/>
  <c r="BA1316" i="10"/>
  <c r="BA1328" i="10"/>
  <c r="BA1340" i="10"/>
  <c r="BA1352" i="10"/>
  <c r="BA1364" i="10"/>
  <c r="BA1376" i="10"/>
  <c r="BA1388" i="10"/>
  <c r="BA1400" i="10"/>
  <c r="BA1412" i="10"/>
  <c r="BA1424" i="10"/>
  <c r="BA1436" i="10"/>
  <c r="BA1448" i="10"/>
  <c r="BA1460" i="10"/>
  <c r="BA1472" i="10"/>
  <c r="BA1484" i="10"/>
  <c r="BA1496" i="10"/>
  <c r="BA1508" i="10"/>
  <c r="BA1520" i="10"/>
  <c r="BA1532" i="10"/>
  <c r="BA1544" i="10"/>
  <c r="BA1556" i="10"/>
  <c r="BA1568" i="10"/>
  <c r="BA1580" i="10"/>
  <c r="BA1592" i="10"/>
  <c r="BA1604" i="10"/>
  <c r="BA1616" i="10"/>
  <c r="BA1628" i="10"/>
  <c r="BA1640" i="10"/>
  <c r="BA1652" i="10"/>
  <c r="BA1664" i="10"/>
  <c r="BA1676" i="10"/>
  <c r="BA1688" i="10"/>
  <c r="BA1700" i="10"/>
  <c r="BA1712" i="10"/>
  <c r="BA1724" i="10"/>
  <c r="BA1736" i="10"/>
  <c r="BA1748" i="10"/>
  <c r="BA1760" i="10"/>
  <c r="BA1772" i="10"/>
  <c r="BA1784" i="10"/>
  <c r="BA1796" i="10"/>
  <c r="BA1808" i="10"/>
  <c r="BA1820" i="10"/>
  <c r="BA1832" i="10"/>
  <c r="BA1844" i="10"/>
  <c r="BA1856" i="10"/>
  <c r="BA1868" i="10"/>
  <c r="BA1880" i="10"/>
  <c r="BA1892" i="10"/>
  <c r="BA1904" i="10"/>
  <c r="BA1916" i="10"/>
  <c r="BA1928" i="10"/>
  <c r="BA1940" i="10"/>
  <c r="BA1952" i="10"/>
  <c r="BA1964" i="10"/>
  <c r="BA1976" i="10"/>
  <c r="BA1988" i="10"/>
  <c r="BA2000" i="10"/>
  <c r="BA2012" i="10"/>
  <c r="BA2024" i="10"/>
  <c r="BA2036" i="10"/>
  <c r="BA2048" i="10"/>
  <c r="BA2060" i="10"/>
  <c r="BA2072" i="10"/>
  <c r="BA2084" i="10"/>
  <c r="BA2096" i="10"/>
  <c r="BA2108" i="10"/>
  <c r="BA2120" i="10"/>
  <c r="BA2132" i="10"/>
  <c r="BA2144" i="10"/>
  <c r="BA2156" i="10"/>
  <c r="BA2168" i="10"/>
  <c r="BA2180" i="10"/>
  <c r="BA2192" i="10"/>
  <c r="BA2204" i="10"/>
  <c r="BA2216" i="10"/>
  <c r="BA2228" i="10"/>
  <c r="BA2240" i="10"/>
  <c r="BA2252" i="10"/>
  <c r="BA2264" i="10"/>
  <c r="BA2276" i="10"/>
  <c r="BA2288" i="10"/>
  <c r="BA2300" i="10"/>
  <c r="BA2312" i="10"/>
  <c r="BA2324" i="10"/>
  <c r="BA2336" i="10"/>
  <c r="BA2348" i="10"/>
  <c r="BA2360" i="10"/>
  <c r="BA2372" i="10"/>
  <c r="BA2384" i="10"/>
  <c r="BA2396" i="10"/>
  <c r="BA2408" i="10"/>
  <c r="BA2420" i="10"/>
  <c r="BA2432" i="10"/>
  <c r="BA2444" i="10"/>
  <c r="BA2456" i="10"/>
  <c r="BA2468" i="10"/>
  <c r="BA2480" i="10"/>
  <c r="BA2492" i="10"/>
  <c r="BA2504" i="10"/>
  <c r="BA2516" i="10"/>
  <c r="BA2528" i="10"/>
  <c r="BA2540" i="10"/>
  <c r="BA2552" i="10"/>
  <c r="BA2564" i="10"/>
  <c r="BA2576" i="10"/>
  <c r="BA2588" i="10"/>
  <c r="BA2600" i="10"/>
  <c r="BA2612" i="10"/>
  <c r="BA2624" i="10"/>
  <c r="BA2636" i="10"/>
  <c r="BA2648" i="10"/>
  <c r="BA2660" i="10"/>
  <c r="BA2672" i="10"/>
  <c r="BA2684" i="10"/>
  <c r="BA2696" i="10"/>
  <c r="BA2708" i="10"/>
  <c r="BA2720" i="10"/>
  <c r="BA2732" i="10"/>
  <c r="BA2744" i="10"/>
  <c r="BA2756" i="10"/>
  <c r="BA2768" i="10"/>
  <c r="BA2780" i="10"/>
  <c r="BA2792" i="10"/>
  <c r="BA2804" i="10"/>
  <c r="BA2816" i="10"/>
  <c r="BA2828" i="10"/>
  <c r="BA2840" i="10"/>
  <c r="BA2852" i="10"/>
  <c r="BA2864" i="10"/>
  <c r="BA2876" i="10"/>
  <c r="BA2888" i="10"/>
  <c r="BA2900" i="10"/>
  <c r="BA2912" i="10"/>
  <c r="BA2924" i="10"/>
  <c r="BA2936" i="10"/>
  <c r="BA2948" i="10"/>
  <c r="BA2960" i="10"/>
  <c r="BA2972" i="10"/>
  <c r="BA2984" i="10"/>
  <c r="BA2996" i="10"/>
  <c r="BA3008" i="10"/>
  <c r="BA3020" i="10"/>
  <c r="BA3032" i="10"/>
  <c r="BA3044" i="10"/>
  <c r="BA3056" i="10"/>
  <c r="BA3068" i="10"/>
  <c r="BA3080" i="10"/>
  <c r="BA3092" i="10"/>
  <c r="BA13" i="10"/>
  <c r="BA27" i="10"/>
  <c r="BA40" i="10"/>
  <c r="BA53" i="10"/>
  <c r="BA66" i="10"/>
  <c r="BA79" i="10"/>
  <c r="BA92" i="10"/>
  <c r="BA105" i="10"/>
  <c r="BA118" i="10"/>
  <c r="BA131" i="10"/>
  <c r="BA144" i="10"/>
  <c r="BA157" i="10"/>
  <c r="BA171" i="10"/>
  <c r="BA184" i="10"/>
  <c r="BA197" i="10"/>
  <c r="BA210" i="10"/>
  <c r="BA223" i="10"/>
  <c r="BA236" i="10"/>
  <c r="BA249" i="10"/>
  <c r="BA262" i="10"/>
  <c r="BA275" i="10"/>
  <c r="BA288" i="10"/>
  <c r="BA301" i="10"/>
  <c r="BA315" i="10"/>
  <c r="BA328" i="10"/>
  <c r="BA341" i="10"/>
  <c r="BA354" i="10"/>
  <c r="BA367" i="10"/>
  <c r="BA380" i="10"/>
  <c r="BA393" i="10"/>
  <c r="BA406" i="10"/>
  <c r="BA419" i="10"/>
  <c r="BA432" i="10"/>
  <c r="BA445" i="10"/>
  <c r="BA459" i="10"/>
  <c r="BA472" i="10"/>
  <c r="BA485" i="10"/>
  <c r="BA498" i="10"/>
  <c r="BA511" i="10"/>
  <c r="BA524" i="10"/>
  <c r="BA537" i="10"/>
  <c r="BA550" i="10"/>
  <c r="BA563" i="10"/>
  <c r="BA576" i="10"/>
  <c r="BA589" i="10"/>
  <c r="BA603" i="10"/>
  <c r="BA616" i="10"/>
  <c r="BA629" i="10"/>
  <c r="BA642" i="10"/>
  <c r="BA655" i="10"/>
  <c r="BA668" i="10"/>
  <c r="BA681" i="10"/>
  <c r="BA694" i="10"/>
  <c r="BA707" i="10"/>
  <c r="BA720" i="10"/>
  <c r="BA733" i="10"/>
  <c r="BA747" i="10"/>
  <c r="BA760" i="10"/>
  <c r="BA773" i="10"/>
  <c r="BA786" i="10"/>
  <c r="BA799" i="10"/>
  <c r="BA812" i="10"/>
  <c r="BA825" i="10"/>
  <c r="BA838" i="10"/>
  <c r="BA851" i="10"/>
  <c r="BA864" i="10"/>
  <c r="BA877" i="10"/>
  <c r="BA891" i="10"/>
  <c r="BA904" i="10"/>
  <c r="BA917" i="10"/>
  <c r="BA930" i="10"/>
  <c r="BA943" i="10"/>
  <c r="BA956" i="10"/>
  <c r="BA969" i="10"/>
  <c r="BA981" i="10"/>
  <c r="BA993" i="10"/>
  <c r="BA1005" i="10"/>
  <c r="BA1017" i="10"/>
  <c r="BA1029" i="10"/>
  <c r="BA1041" i="10"/>
  <c r="BA1053" i="10"/>
  <c r="BA1065" i="10"/>
  <c r="BA1077" i="10"/>
  <c r="BA1089" i="10"/>
  <c r="BA1101" i="10"/>
  <c r="BA1113" i="10"/>
  <c r="BA1125" i="10"/>
  <c r="BA1137" i="10"/>
  <c r="BA1149" i="10"/>
  <c r="BA1161" i="10"/>
  <c r="BA1173" i="10"/>
  <c r="BA1185" i="10"/>
  <c r="BA1197" i="10"/>
  <c r="BA1209" i="10"/>
  <c r="BA1221" i="10"/>
  <c r="BA1233" i="10"/>
  <c r="BA1245" i="10"/>
  <c r="BA1257" i="10"/>
  <c r="BA1269" i="10"/>
  <c r="BA1281" i="10"/>
  <c r="BA1293" i="10"/>
  <c r="BA1305" i="10"/>
  <c r="BA1317" i="10"/>
  <c r="BA1329" i="10"/>
  <c r="BA1341" i="10"/>
  <c r="BA1353" i="10"/>
  <c r="BA1365" i="10"/>
  <c r="BA1377" i="10"/>
  <c r="BA1389" i="10"/>
  <c r="BA1401" i="10"/>
  <c r="BA1413" i="10"/>
  <c r="BA1425" i="10"/>
  <c r="BA1437" i="10"/>
  <c r="BA1449" i="10"/>
  <c r="BA1461" i="10"/>
  <c r="BA1473" i="10"/>
  <c r="BA1485" i="10"/>
  <c r="BA1497" i="10"/>
  <c r="BA1509" i="10"/>
  <c r="BA1521" i="10"/>
  <c r="BA1533" i="10"/>
  <c r="BA1545" i="10"/>
  <c r="BA1557" i="10"/>
  <c r="BA1569" i="10"/>
  <c r="BA1581" i="10"/>
  <c r="BA1593" i="10"/>
  <c r="BA1605" i="10"/>
  <c r="BA1617" i="10"/>
  <c r="BA1629" i="10"/>
  <c r="BA1641" i="10"/>
  <c r="BA1653" i="10"/>
  <c r="BA1665" i="10"/>
  <c r="BA1677" i="10"/>
  <c r="BA1689" i="10"/>
  <c r="BA1701" i="10"/>
  <c r="BA1713" i="10"/>
  <c r="BA1725" i="10"/>
  <c r="BA1737" i="10"/>
  <c r="BA1749" i="10"/>
  <c r="BA1761" i="10"/>
  <c r="BA1773" i="10"/>
  <c r="BA1785" i="10"/>
  <c r="BA1797" i="10"/>
  <c r="BA1809" i="10"/>
  <c r="BA1821" i="10"/>
  <c r="BA1833" i="10"/>
  <c r="BA1845" i="10"/>
  <c r="BA1857" i="10"/>
  <c r="BA1869" i="10"/>
  <c r="BA1881" i="10"/>
  <c r="BA1893" i="10"/>
  <c r="BA1905" i="10"/>
  <c r="BA1917" i="10"/>
  <c r="BA1929" i="10"/>
  <c r="BA1941" i="10"/>
  <c r="BA1953" i="10"/>
  <c r="BA1965" i="10"/>
  <c r="BA1977" i="10"/>
  <c r="BA1989" i="10"/>
  <c r="BA2001" i="10"/>
  <c r="BA2013" i="10"/>
  <c r="BA2025" i="10"/>
  <c r="BA2037" i="10"/>
  <c r="BA2049" i="10"/>
  <c r="BA2061" i="10"/>
  <c r="BA2073" i="10"/>
  <c r="BA2085" i="10"/>
  <c r="BA2097" i="10"/>
  <c r="BA2109" i="10"/>
  <c r="BA2121" i="10"/>
  <c r="BA2133" i="10"/>
  <c r="BA2145" i="10"/>
  <c r="BA2157" i="10"/>
  <c r="BA2169" i="10"/>
  <c r="BA2181" i="10"/>
  <c r="BA2193" i="10"/>
  <c r="BA2205" i="10"/>
  <c r="BA2217" i="10"/>
  <c r="BA2229" i="10"/>
  <c r="BA2241" i="10"/>
  <c r="BA2253" i="10"/>
  <c r="BA2265" i="10"/>
  <c r="BA2277" i="10"/>
  <c r="BA2289" i="10"/>
  <c r="BA2301" i="10"/>
  <c r="BA2313" i="10"/>
  <c r="BA2325" i="10"/>
  <c r="BA2337" i="10"/>
  <c r="BA2349" i="10"/>
  <c r="BA3" i="10"/>
  <c r="BA16" i="10"/>
  <c r="BA29" i="10"/>
  <c r="BA42" i="10"/>
  <c r="BA55" i="10"/>
  <c r="BA68" i="10"/>
  <c r="BA81" i="10"/>
  <c r="BA94" i="10"/>
  <c r="BA107" i="10"/>
  <c r="BA120" i="10"/>
  <c r="BA133" i="10"/>
  <c r="BA147" i="10"/>
  <c r="BA160" i="10"/>
  <c r="BA173" i="10"/>
  <c r="BA186" i="10"/>
  <c r="BA199" i="10"/>
  <c r="BA212" i="10"/>
  <c r="BA225" i="10"/>
  <c r="BA238" i="10"/>
  <c r="BA251" i="10"/>
  <c r="BA264" i="10"/>
  <c r="BA277" i="10"/>
  <c r="BA291" i="10"/>
  <c r="BA304" i="10"/>
  <c r="BA317" i="10"/>
  <c r="BA330" i="10"/>
  <c r="BA343" i="10"/>
  <c r="BA356" i="10"/>
  <c r="BA369" i="10"/>
  <c r="BA382" i="10"/>
  <c r="BA395" i="10"/>
  <c r="BA408" i="10"/>
  <c r="BA421" i="10"/>
  <c r="BA435" i="10"/>
  <c r="BA448" i="10"/>
  <c r="BA461" i="10"/>
  <c r="BA474" i="10"/>
  <c r="BA487" i="10"/>
  <c r="BA500" i="10"/>
  <c r="BA513" i="10"/>
  <c r="BA526" i="10"/>
  <c r="BA539" i="10"/>
  <c r="BA552" i="10"/>
  <c r="BA565" i="10"/>
  <c r="BA579" i="10"/>
  <c r="BA592" i="10"/>
  <c r="BA605" i="10"/>
  <c r="BA618" i="10"/>
  <c r="BA631" i="10"/>
  <c r="BA644" i="10"/>
  <c r="BA657" i="10"/>
  <c r="BA670" i="10"/>
  <c r="BA683" i="10"/>
  <c r="BA696" i="10"/>
  <c r="BA709" i="10"/>
  <c r="BA723" i="10"/>
  <c r="BA736" i="10"/>
  <c r="BA749" i="10"/>
  <c r="BA762" i="10"/>
  <c r="BA775" i="10"/>
  <c r="BA788" i="10"/>
  <c r="BA801" i="10"/>
  <c r="BA814" i="10"/>
  <c r="BA827" i="10"/>
  <c r="BA840" i="10"/>
  <c r="BA853" i="10"/>
  <c r="BA867" i="10"/>
  <c r="BA880" i="10"/>
  <c r="BA893" i="10"/>
  <c r="BA906" i="10"/>
  <c r="BA919" i="10"/>
  <c r="BA932" i="10"/>
  <c r="BA945" i="10"/>
  <c r="BA958" i="10"/>
  <c r="BA971" i="10"/>
  <c r="BA983" i="10"/>
  <c r="BA995" i="10"/>
  <c r="BA1007" i="10"/>
  <c r="BA1019" i="10"/>
  <c r="BA1031" i="10"/>
  <c r="BA1043" i="10"/>
  <c r="BA1055" i="10"/>
  <c r="BA1067" i="10"/>
  <c r="BA1079" i="10"/>
  <c r="BA1091" i="10"/>
  <c r="BA1103" i="10"/>
  <c r="BA1115" i="10"/>
  <c r="BA1127" i="10"/>
  <c r="BA1139" i="10"/>
  <c r="BA1151" i="10"/>
  <c r="BA1163" i="10"/>
  <c r="BA1175" i="10"/>
  <c r="BA1187" i="10"/>
  <c r="BA1199" i="10"/>
  <c r="BA1211" i="10"/>
  <c r="BA1223" i="10"/>
  <c r="BA1235" i="10"/>
  <c r="BA1247" i="10"/>
  <c r="BA1259" i="10"/>
  <c r="BA1271" i="10"/>
  <c r="BA1283" i="10"/>
  <c r="BA1295" i="10"/>
  <c r="BA1307" i="10"/>
  <c r="BA1319" i="10"/>
  <c r="BA1331" i="10"/>
  <c r="BA1343" i="10"/>
  <c r="BA1355" i="10"/>
  <c r="BA1367" i="10"/>
  <c r="BA1379" i="10"/>
  <c r="BA1391" i="10"/>
  <c r="BA1403" i="10"/>
  <c r="BA1415" i="10"/>
  <c r="BA1427" i="10"/>
  <c r="BA1439" i="10"/>
  <c r="BA1451" i="10"/>
  <c r="BA1463" i="10"/>
  <c r="BA1475" i="10"/>
  <c r="BA1487" i="10"/>
  <c r="BA1499" i="10"/>
  <c r="BA1511" i="10"/>
  <c r="BA1523" i="10"/>
  <c r="BA1535" i="10"/>
  <c r="BA1547" i="10"/>
  <c r="BA1559" i="10"/>
  <c r="BA1571" i="10"/>
  <c r="BA1583" i="10"/>
  <c r="BA1595" i="10"/>
  <c r="BA1607" i="10"/>
  <c r="BA1619" i="10"/>
  <c r="BA1631" i="10"/>
  <c r="BA1643" i="10"/>
  <c r="BA1655" i="10"/>
  <c r="BA1667" i="10"/>
  <c r="BA1679" i="10"/>
  <c r="BA1691" i="10"/>
  <c r="BA1703" i="10"/>
  <c r="BA1715" i="10"/>
  <c r="BA1727" i="10"/>
  <c r="BA1739" i="10"/>
  <c r="BA1751" i="10"/>
  <c r="BA1763" i="10"/>
  <c r="BA1775" i="10"/>
  <c r="BA1787" i="10"/>
  <c r="BA1799" i="10"/>
  <c r="BA1811" i="10"/>
  <c r="BA1823" i="10"/>
  <c r="BA1835" i="10"/>
  <c r="BA1847" i="10"/>
  <c r="BA1859" i="10"/>
  <c r="BA1871" i="10"/>
  <c r="BA1883" i="10"/>
  <c r="BA1895" i="10"/>
  <c r="BA1907" i="10"/>
  <c r="BA1919" i="10"/>
  <c r="BA1931" i="10"/>
  <c r="BA1943" i="10"/>
  <c r="BA1955" i="10"/>
  <c r="BA1967" i="10"/>
  <c r="BA1979" i="10"/>
  <c r="BA1991" i="10"/>
  <c r="BA2003" i="10"/>
  <c r="BA2015" i="10"/>
  <c r="BA2027" i="10"/>
  <c r="BA2039" i="10"/>
  <c r="BA2051" i="10"/>
  <c r="BA2063" i="10"/>
  <c r="BA2075" i="10"/>
  <c r="BA2087" i="10"/>
  <c r="BA2099" i="10"/>
  <c r="BA2111" i="10"/>
  <c r="BA2123" i="10"/>
  <c r="BA2135" i="10"/>
  <c r="BA2147" i="10"/>
  <c r="BA2159" i="10"/>
  <c r="BA2171" i="10"/>
  <c r="BA2183" i="10"/>
  <c r="BA2195" i="10"/>
  <c r="BA2207" i="10"/>
  <c r="BA2219" i="10"/>
  <c r="BA2231" i="10"/>
  <c r="BA2243" i="10"/>
  <c r="BA2255" i="10"/>
  <c r="BA2267" i="10"/>
  <c r="BA2279" i="10"/>
  <c r="BA2291" i="10"/>
  <c r="BA2303" i="10"/>
  <c r="BA2315" i="10"/>
  <c r="BA2327" i="10"/>
  <c r="BA2339" i="10"/>
  <c r="BA2351" i="10"/>
  <c r="BA2363" i="10"/>
  <c r="BA2375" i="10"/>
  <c r="BA2387" i="10"/>
  <c r="BA2399" i="10"/>
  <c r="BA2411" i="10"/>
  <c r="BA2423" i="10"/>
  <c r="BA2435" i="10"/>
  <c r="BA2447" i="10"/>
  <c r="BA2459" i="10"/>
  <c r="BA2471" i="10"/>
  <c r="BA2483" i="10"/>
  <c r="BA2495" i="10"/>
  <c r="BA2507" i="10"/>
  <c r="BA2519" i="10"/>
  <c r="BA2531" i="10"/>
  <c r="BA2543" i="10"/>
  <c r="BA2555" i="10"/>
  <c r="BA2567" i="10"/>
  <c r="BA2579" i="10"/>
  <c r="BA2591" i="10"/>
  <c r="BA2603" i="10"/>
  <c r="BA2615" i="10"/>
  <c r="BA2627" i="10"/>
  <c r="BA2639" i="10"/>
  <c r="BA2651" i="10"/>
  <c r="BA2663" i="10"/>
  <c r="BA2675" i="10"/>
  <c r="BA2687" i="10"/>
  <c r="BA2699" i="10"/>
  <c r="BA2711" i="10"/>
  <c r="BA2723" i="10"/>
  <c r="BA2735" i="10"/>
  <c r="BA2747" i="10"/>
  <c r="BA2759" i="10"/>
  <c r="BA2771" i="10"/>
  <c r="BA2783" i="10"/>
  <c r="BA2795" i="10"/>
  <c r="BA2807" i="10"/>
  <c r="BA2819" i="10"/>
  <c r="BA2831" i="10"/>
  <c r="BA2843" i="10"/>
  <c r="BA2855" i="10"/>
  <c r="BA2867" i="10"/>
  <c r="BA2879" i="10"/>
  <c r="BA2891" i="10"/>
  <c r="BA2903" i="10"/>
  <c r="BA2915" i="10"/>
  <c r="BA2927" i="10"/>
  <c r="BA2939" i="10"/>
  <c r="BA2951" i="10"/>
  <c r="BA2963" i="10"/>
  <c r="BA2975" i="10"/>
  <c r="BA2987" i="10"/>
  <c r="BA2999" i="10"/>
  <c r="BA3011" i="10"/>
  <c r="BA3023" i="10"/>
  <c r="BA3035" i="10"/>
  <c r="BA3047" i="10"/>
  <c r="BA3059" i="10"/>
  <c r="BA3071" i="10"/>
  <c r="BA3083" i="10"/>
  <c r="BA3095" i="10"/>
  <c r="BA3107" i="10"/>
  <c r="BA3119" i="10"/>
  <c r="BA3131" i="10"/>
  <c r="BA3143" i="10"/>
  <c r="BA3155" i="10"/>
  <c r="BA3167" i="10"/>
  <c r="BA3179" i="10"/>
  <c r="BA3191" i="10"/>
  <c r="BA3203" i="10"/>
  <c r="BA3215" i="10"/>
  <c r="BA3227" i="10"/>
  <c r="BA3239" i="10"/>
  <c r="BA3251" i="10"/>
  <c r="BA3263" i="10"/>
  <c r="BA3275" i="10"/>
  <c r="BA3287" i="10"/>
  <c r="BA3299" i="10"/>
  <c r="BA3311" i="10"/>
  <c r="BA3323" i="10"/>
  <c r="BA3335" i="10"/>
  <c r="BA3347" i="10"/>
  <c r="BA3359" i="10"/>
  <c r="BA3371" i="10"/>
  <c r="BA3383" i="10"/>
  <c r="BA3395" i="10"/>
  <c r="BA3407" i="10"/>
  <c r="BA3419" i="10"/>
  <c r="BA3431" i="10"/>
  <c r="BA3443" i="10"/>
  <c r="BA3455" i="10"/>
  <c r="BA3467" i="10"/>
  <c r="BA3479" i="10"/>
  <c r="BA3491" i="10"/>
  <c r="BA3503" i="10"/>
  <c r="BA3515" i="10"/>
  <c r="BA3527" i="10"/>
  <c r="BA3539" i="10"/>
  <c r="BA3551" i="10"/>
  <c r="BA3563" i="10"/>
  <c r="BA3575" i="10"/>
  <c r="BA3587" i="10"/>
  <c r="BA3599" i="10"/>
  <c r="BA3611" i="10"/>
  <c r="BA3623" i="10"/>
  <c r="BA3635" i="10"/>
  <c r="BA3647" i="10"/>
  <c r="BA3659" i="10"/>
  <c r="BA3671" i="10"/>
  <c r="BA3683" i="10"/>
  <c r="BA3695" i="10"/>
  <c r="BA3707" i="10"/>
  <c r="BA3719" i="10"/>
  <c r="BA3731" i="10"/>
  <c r="BA3743" i="10"/>
  <c r="BA3755" i="10"/>
  <c r="BA3767" i="10"/>
  <c r="BA3779" i="10"/>
  <c r="BA3791" i="10"/>
  <c r="BA3803" i="10"/>
  <c r="BA3815" i="10"/>
  <c r="BA3827" i="10"/>
  <c r="BA3839" i="10"/>
  <c r="BA3851" i="10"/>
  <c r="BA3863" i="10"/>
  <c r="BA3875" i="10"/>
  <c r="BA3887" i="10"/>
  <c r="BA3899" i="10"/>
  <c r="BA3911" i="10"/>
  <c r="BA3923" i="10"/>
  <c r="BA3935" i="10"/>
  <c r="BA3947" i="10"/>
  <c r="BA3959" i="10"/>
  <c r="BA3971" i="10"/>
  <c r="BA3983" i="10"/>
  <c r="BA3995" i="10"/>
  <c r="BA4007" i="10"/>
  <c r="BA4019" i="10"/>
  <c r="BA4031" i="10"/>
  <c r="BA4043" i="10"/>
  <c r="BA4055" i="10"/>
  <c r="BA4067" i="10"/>
  <c r="BA4079" i="10"/>
  <c r="BA4091" i="10"/>
  <c r="BA4103" i="10"/>
  <c r="BA4115" i="10"/>
  <c r="BA4127" i="10"/>
  <c r="BA4139" i="10"/>
  <c r="BA4151" i="10"/>
  <c r="BA4163" i="10"/>
  <c r="BA4175" i="10"/>
  <c r="BA4187" i="10"/>
  <c r="BA4199" i="10"/>
  <c r="BA4211" i="10"/>
  <c r="BA4223" i="10"/>
  <c r="BA4235" i="10"/>
  <c r="BA4247" i="10"/>
  <c r="BA4259" i="10"/>
  <c r="BA4271" i="10"/>
  <c r="BA4283" i="10"/>
  <c r="BA4295" i="10"/>
  <c r="BA4307" i="10"/>
  <c r="BA4319" i="10"/>
  <c r="BA4331" i="10"/>
  <c r="BA4343" i="10"/>
  <c r="BA4355" i="10"/>
  <c r="BA4367" i="10"/>
  <c r="BA4379" i="10"/>
  <c r="BA4391" i="10"/>
  <c r="BA4403" i="10"/>
  <c r="BA4415" i="10"/>
  <c r="BA4427" i="10"/>
  <c r="BA4439" i="10"/>
  <c r="BA4451" i="10"/>
  <c r="BA4463" i="10"/>
  <c r="BA4475" i="10"/>
  <c r="BA4487" i="10"/>
  <c r="BA4499" i="10"/>
  <c r="BA4511" i="10"/>
  <c r="BA4523" i="10"/>
  <c r="BA4535" i="10"/>
  <c r="BA4547" i="10"/>
  <c r="BA4559" i="10"/>
  <c r="BA4571" i="10"/>
  <c r="BA4583" i="10"/>
  <c r="BA4595" i="10"/>
  <c r="BA4607" i="10"/>
  <c r="BA4619" i="10"/>
  <c r="BA4631" i="10"/>
  <c r="BA4643" i="10"/>
  <c r="BA4655" i="10"/>
  <c r="BA4667" i="10"/>
  <c r="BA4679" i="10"/>
  <c r="BA4691" i="10"/>
  <c r="BA4703" i="10"/>
  <c r="BA4715" i="10"/>
  <c r="BA4727" i="10"/>
  <c r="BA4739" i="10"/>
  <c r="BA4751" i="10"/>
  <c r="BA4763" i="10"/>
  <c r="BA4775" i="10"/>
  <c r="BA4787" i="10"/>
  <c r="BA4799" i="10"/>
  <c r="BA4811" i="10"/>
  <c r="BA4823" i="10"/>
  <c r="BA4835" i="10"/>
  <c r="BA4847" i="10"/>
  <c r="BA4859" i="10"/>
  <c r="BA4871" i="10"/>
  <c r="BA4883" i="10"/>
  <c r="BA4895" i="10"/>
  <c r="BA4907" i="10"/>
  <c r="BA4919" i="10"/>
  <c r="BA4931" i="10"/>
  <c r="BA4943" i="10"/>
  <c r="BA4955" i="10"/>
  <c r="BA4967" i="10"/>
  <c r="BA4979" i="10"/>
  <c r="BA4991" i="10"/>
  <c r="BA5003" i="10"/>
  <c r="BA5015" i="10"/>
  <c r="BA5027" i="10"/>
  <c r="BA5039" i="10"/>
  <c r="BA5051" i="10"/>
  <c r="BA4" i="10"/>
  <c r="BA17" i="10"/>
  <c r="BA30" i="10"/>
  <c r="BA43" i="10"/>
  <c r="BA56" i="10"/>
  <c r="BA69" i="10"/>
  <c r="BA82" i="10"/>
  <c r="BA95" i="10"/>
  <c r="BA108" i="10"/>
  <c r="BA121" i="10"/>
  <c r="BA135" i="10"/>
  <c r="BA148" i="10"/>
  <c r="BA161" i="10"/>
  <c r="BA174" i="10"/>
  <c r="BA187" i="10"/>
  <c r="BA200" i="10"/>
  <c r="BA213" i="10"/>
  <c r="BA226" i="10"/>
  <c r="BA239" i="10"/>
  <c r="BA252" i="10"/>
  <c r="BA265" i="10"/>
  <c r="BA279" i="10"/>
  <c r="BA292" i="10"/>
  <c r="BA305" i="10"/>
  <c r="BA318" i="10"/>
  <c r="BA331" i="10"/>
  <c r="BA344" i="10"/>
  <c r="BA357" i="10"/>
  <c r="BA370" i="10"/>
  <c r="BA383" i="10"/>
  <c r="BA396" i="10"/>
  <c r="BA409" i="10"/>
  <c r="BA423" i="10"/>
  <c r="BA436" i="10"/>
  <c r="BA449" i="10"/>
  <c r="BA462" i="10"/>
  <c r="BA475" i="10"/>
  <c r="BA488" i="10"/>
  <c r="BA501" i="10"/>
  <c r="BA514" i="10"/>
  <c r="BA527" i="10"/>
  <c r="BA540" i="10"/>
  <c r="BA553" i="10"/>
  <c r="BA567" i="10"/>
  <c r="BA580" i="10"/>
  <c r="BA593" i="10"/>
  <c r="BA606" i="10"/>
  <c r="BA619" i="10"/>
  <c r="BA632" i="10"/>
  <c r="BA645" i="10"/>
  <c r="BA658" i="10"/>
  <c r="BA671" i="10"/>
  <c r="BA684" i="10"/>
  <c r="BA697" i="10"/>
  <c r="BA711" i="10"/>
  <c r="BA724" i="10"/>
  <c r="BA737" i="10"/>
  <c r="BA750" i="10"/>
  <c r="BA763" i="10"/>
  <c r="BA776" i="10"/>
  <c r="BA789" i="10"/>
  <c r="BA802" i="10"/>
  <c r="BA815" i="10"/>
  <c r="BA828" i="10"/>
  <c r="BA841" i="10"/>
  <c r="BA855" i="10"/>
  <c r="BA868" i="10"/>
  <c r="BA881" i="10"/>
  <c r="BA894" i="10"/>
  <c r="BA907" i="10"/>
  <c r="BA920" i="10"/>
  <c r="BA933" i="10"/>
  <c r="BA946" i="10"/>
  <c r="BA959" i="10"/>
  <c r="BA972" i="10"/>
  <c r="BA984" i="10"/>
  <c r="BA996" i="10"/>
  <c r="BA1008" i="10"/>
  <c r="BA1020" i="10"/>
  <c r="BA1032" i="10"/>
  <c r="BA1044" i="10"/>
  <c r="BA1056" i="10"/>
  <c r="BA1068" i="10"/>
  <c r="BA1080" i="10"/>
  <c r="BA1092" i="10"/>
  <c r="BA1104" i="10"/>
  <c r="BA1116" i="10"/>
  <c r="BA1128" i="10"/>
  <c r="BA1140" i="10"/>
  <c r="BA1152" i="10"/>
  <c r="BA1164" i="10"/>
  <c r="BA1176" i="10"/>
  <c r="BA1188" i="10"/>
  <c r="BA1200" i="10"/>
  <c r="BA1212" i="10"/>
  <c r="BA1224" i="10"/>
  <c r="BA1236" i="10"/>
  <c r="BA1248" i="10"/>
  <c r="BA1260" i="10"/>
  <c r="BA1272" i="10"/>
  <c r="BA1284" i="10"/>
  <c r="BA1296" i="10"/>
  <c r="BA1308" i="10"/>
  <c r="BA1320" i="10"/>
  <c r="BA1332" i="10"/>
  <c r="BA1344" i="10"/>
  <c r="BA1356" i="10"/>
  <c r="BA1368" i="10"/>
  <c r="BA1380" i="10"/>
  <c r="BA1392" i="10"/>
  <c r="BA1404" i="10"/>
  <c r="BA1416" i="10"/>
  <c r="BA1428" i="10"/>
  <c r="BA5" i="10"/>
  <c r="BA18" i="10"/>
  <c r="BA31" i="10"/>
  <c r="BA44" i="10"/>
  <c r="BA57" i="10"/>
  <c r="BA70" i="10"/>
  <c r="BA83" i="10"/>
  <c r="BA96" i="10"/>
  <c r="BA109" i="10"/>
  <c r="BA123" i="10"/>
  <c r="BA136" i="10"/>
  <c r="BA149" i="10"/>
  <c r="BA162" i="10"/>
  <c r="BA175" i="10"/>
  <c r="BA188" i="10"/>
  <c r="BA201" i="10"/>
  <c r="BA214" i="10"/>
  <c r="BA227" i="10"/>
  <c r="BA240" i="10"/>
  <c r="BA253" i="10"/>
  <c r="BA267" i="10"/>
  <c r="BA280" i="10"/>
  <c r="BA293" i="10"/>
  <c r="BA306" i="10"/>
  <c r="BA319" i="10"/>
  <c r="BA332" i="10"/>
  <c r="BA345" i="10"/>
  <c r="BA358" i="10"/>
  <c r="BA371" i="10"/>
  <c r="BA384" i="10"/>
  <c r="BA397" i="10"/>
  <c r="BA411" i="10"/>
  <c r="BA424" i="10"/>
  <c r="BA437" i="10"/>
  <c r="BA450" i="10"/>
  <c r="BA463" i="10"/>
  <c r="BA476" i="10"/>
  <c r="BA489" i="10"/>
  <c r="BA502" i="10"/>
  <c r="BA515" i="10"/>
  <c r="BA528" i="10"/>
  <c r="BA541" i="10"/>
  <c r="BA555" i="10"/>
  <c r="BA568" i="10"/>
  <c r="BA581" i="10"/>
  <c r="BA594" i="10"/>
  <c r="BA607" i="10"/>
  <c r="BA620" i="10"/>
  <c r="BA633" i="10"/>
  <c r="BA646" i="10"/>
  <c r="BA659" i="10"/>
  <c r="BA672" i="10"/>
  <c r="BA685" i="10"/>
  <c r="BA699" i="10"/>
  <c r="BA712" i="10"/>
  <c r="BA725" i="10"/>
  <c r="BA738" i="10"/>
  <c r="BA751" i="10"/>
  <c r="BA764" i="10"/>
  <c r="BA777" i="10"/>
  <c r="BA790" i="10"/>
  <c r="BA803" i="10"/>
  <c r="BA816" i="10"/>
  <c r="BA829" i="10"/>
  <c r="BA843" i="10"/>
  <c r="BA856" i="10"/>
  <c r="BA869" i="10"/>
  <c r="BA882" i="10"/>
  <c r="BA895" i="10"/>
  <c r="BA908" i="10"/>
  <c r="BA921" i="10"/>
  <c r="BA934" i="10"/>
  <c r="BA947" i="10"/>
  <c r="BA960" i="10"/>
  <c r="BA973" i="10"/>
  <c r="BA985" i="10"/>
  <c r="BA997" i="10"/>
  <c r="BA1009" i="10"/>
  <c r="BA1021" i="10"/>
  <c r="BA1033" i="10"/>
  <c r="BA1045" i="10"/>
  <c r="BA1057" i="10"/>
  <c r="BA1069" i="10"/>
  <c r="BA1081" i="10"/>
  <c r="BA1093" i="10"/>
  <c r="BA1105" i="10"/>
  <c r="BA1117" i="10"/>
  <c r="BA1129" i="10"/>
  <c r="BA1141" i="10"/>
  <c r="BA1153" i="10"/>
  <c r="BA1165" i="10"/>
  <c r="BA1177" i="10"/>
  <c r="BA1189" i="10"/>
  <c r="BA1201" i="10"/>
  <c r="BA1213" i="10"/>
  <c r="BA1225" i="10"/>
  <c r="BA1237" i="10"/>
  <c r="BA1249" i="10"/>
  <c r="BA1261" i="10"/>
  <c r="BA1273" i="10"/>
  <c r="BA1285" i="10"/>
  <c r="BA1297" i="10"/>
  <c r="BA1309" i="10"/>
  <c r="BA1321" i="10"/>
  <c r="BA1333" i="10"/>
  <c r="BA1345" i="10"/>
  <c r="BA1357" i="10"/>
  <c r="BA1369" i="10"/>
  <c r="BA1381" i="10"/>
  <c r="BA1393" i="10"/>
  <c r="BA1405" i="10"/>
  <c r="BA1417" i="10"/>
  <c r="BA1429" i="10"/>
  <c r="BA1441" i="10"/>
  <c r="BA1453" i="10"/>
  <c r="BA1465" i="10"/>
  <c r="BA1477" i="10"/>
  <c r="BA1489" i="10"/>
  <c r="BA1501" i="10"/>
  <c r="BA1513" i="10"/>
  <c r="BA1525" i="10"/>
  <c r="BA1537" i="10"/>
  <c r="BA1549" i="10"/>
  <c r="BA1561" i="10"/>
  <c r="BA1573" i="10"/>
  <c r="BA1585" i="10"/>
  <c r="BA1597" i="10"/>
  <c r="BA1609" i="10"/>
  <c r="BA1621" i="10"/>
  <c r="BA1633" i="10"/>
  <c r="BA1645" i="10"/>
  <c r="BA1657" i="10"/>
  <c r="BA1669" i="10"/>
  <c r="BA1681" i="10"/>
  <c r="BA1693" i="10"/>
  <c r="BA1705" i="10"/>
  <c r="BA1717" i="10"/>
  <c r="BA1729" i="10"/>
  <c r="BA1741" i="10"/>
  <c r="BA1753" i="10"/>
  <c r="BA1765" i="10"/>
  <c r="BA1777" i="10"/>
  <c r="BA1789" i="10"/>
  <c r="BA1801" i="10"/>
  <c r="BA1813" i="10"/>
  <c r="BA1825" i="10"/>
  <c r="BA1837" i="10"/>
  <c r="BA1849" i="10"/>
  <c r="BA1861" i="10"/>
  <c r="BA1873" i="10"/>
  <c r="BA1885" i="10"/>
  <c r="BA1897" i="10"/>
  <c r="BA1909" i="10"/>
  <c r="BA1921" i="10"/>
  <c r="BA1933" i="10"/>
  <c r="BA1945" i="10"/>
  <c r="BA1957" i="10"/>
  <c r="BA1969" i="10"/>
  <c r="BA1981" i="10"/>
  <c r="BA1993" i="10"/>
  <c r="BA2005" i="10"/>
  <c r="BA2017" i="10"/>
  <c r="BA2029" i="10"/>
  <c r="BA2041" i="10"/>
  <c r="BA2053" i="10"/>
  <c r="BA2065" i="10"/>
  <c r="BA2077" i="10"/>
  <c r="BA2089" i="10"/>
  <c r="BA2101" i="10"/>
  <c r="BA2113" i="10"/>
  <c r="BA2125" i="10"/>
  <c r="BA2137" i="10"/>
  <c r="BA2149" i="10"/>
  <c r="BA2161" i="10"/>
  <c r="BA2173" i="10"/>
  <c r="BA2185" i="10"/>
  <c r="BA2197" i="10"/>
  <c r="BA2209" i="10"/>
  <c r="BA2221" i="10"/>
  <c r="BA2233" i="10"/>
  <c r="BA2245" i="10"/>
  <c r="BA2257" i="10"/>
  <c r="BA2269" i="10"/>
  <c r="BA2281" i="10"/>
  <c r="BA2293" i="10"/>
  <c r="BA2305" i="10"/>
  <c r="BA2317" i="10"/>
  <c r="BA2329" i="10"/>
  <c r="BA2341" i="10"/>
  <c r="BA2353" i="10"/>
  <c r="BA2365" i="10"/>
  <c r="BA2377" i="10"/>
  <c r="BA2389" i="10"/>
  <c r="BA2401" i="10"/>
  <c r="BA2413" i="10"/>
  <c r="BA2425" i="10"/>
  <c r="BA2437" i="10"/>
  <c r="BA2449" i="10"/>
  <c r="BA2461" i="10"/>
  <c r="BA2473" i="10"/>
  <c r="BA2485" i="10"/>
  <c r="BA2497" i="10"/>
  <c r="BA2509" i="10"/>
  <c r="BA2521" i="10"/>
  <c r="BA2533" i="10"/>
  <c r="BA2545" i="10"/>
  <c r="BA2557" i="10"/>
  <c r="BA2569" i="10"/>
  <c r="BA2581" i="10"/>
  <c r="BA2593" i="10"/>
  <c r="BA2605" i="10"/>
  <c r="BA2617" i="10"/>
  <c r="BA2629" i="10"/>
  <c r="BA2641" i="10"/>
  <c r="BA2653" i="10"/>
  <c r="BA2665" i="10"/>
  <c r="BA2677" i="10"/>
  <c r="BA2689" i="10"/>
  <c r="BA2701" i="10"/>
  <c r="BA2713" i="10"/>
  <c r="BA2725" i="10"/>
  <c r="BA2737" i="10"/>
  <c r="BA2749" i="10"/>
  <c r="BA2761" i="10"/>
  <c r="BA2773" i="10"/>
  <c r="BA2785" i="10"/>
  <c r="BA2797" i="10"/>
  <c r="BA2809" i="10"/>
  <c r="BA2821" i="10"/>
  <c r="BA2833" i="10"/>
  <c r="BA2845" i="10"/>
  <c r="BA2857" i="10"/>
  <c r="BA2869" i="10"/>
  <c r="BA2881" i="10"/>
  <c r="BA2893" i="10"/>
  <c r="BA2905" i="10"/>
  <c r="BA2917" i="10"/>
  <c r="BA2929" i="10"/>
  <c r="BA2941" i="10"/>
  <c r="BA2953" i="10"/>
  <c r="BA2965" i="10"/>
  <c r="BA2977" i="10"/>
  <c r="BA2989" i="10"/>
  <c r="BA3001" i="10"/>
  <c r="BA3013" i="10"/>
  <c r="BA3025" i="10"/>
  <c r="BA3037" i="10"/>
  <c r="BA3049" i="10"/>
  <c r="BA3061" i="10"/>
  <c r="BA3073" i="10"/>
  <c r="BA3085" i="10"/>
  <c r="BA3097" i="10"/>
  <c r="BA3109" i="10"/>
  <c r="BA3121" i="10"/>
  <c r="BA3133" i="10"/>
  <c r="BA3145" i="10"/>
  <c r="BA3157" i="10"/>
  <c r="BA3169" i="10"/>
  <c r="BA3181" i="10"/>
  <c r="BA3193" i="10"/>
  <c r="BA3205" i="10"/>
  <c r="BA3217" i="10"/>
  <c r="BA3229" i="10"/>
  <c r="BA3241" i="10"/>
  <c r="BA3253" i="10"/>
  <c r="BA3265" i="10"/>
  <c r="BA3277" i="10"/>
  <c r="BA3289" i="10"/>
  <c r="BA3301" i="10"/>
  <c r="BA3313" i="10"/>
  <c r="BA3325" i="10"/>
  <c r="BA3337" i="10"/>
  <c r="BA3349" i="10"/>
  <c r="BA3361" i="10"/>
  <c r="BA3373" i="10"/>
  <c r="BA3385" i="10"/>
  <c r="BA3397" i="10"/>
  <c r="BA3409" i="10"/>
  <c r="BA3421" i="10"/>
  <c r="BA3433" i="10"/>
  <c r="BA3445" i="10"/>
  <c r="BA3457" i="10"/>
  <c r="BA3469" i="10"/>
  <c r="BA3481" i="10"/>
  <c r="BA3493" i="10"/>
  <c r="BA3505" i="10"/>
  <c r="BA3517" i="10"/>
  <c r="BA3529" i="10"/>
  <c r="BA3541" i="10"/>
  <c r="BA3553" i="10"/>
  <c r="BA3565" i="10"/>
  <c r="BA3577" i="10"/>
  <c r="BA3589" i="10"/>
  <c r="BA3601" i="10"/>
  <c r="BA3613" i="10"/>
  <c r="BA3625" i="10"/>
  <c r="BA3637" i="10"/>
  <c r="BA3649" i="10"/>
  <c r="BA3661" i="10"/>
  <c r="BA3673" i="10"/>
  <c r="BA3685" i="10"/>
  <c r="BA3697" i="10"/>
  <c r="BA3709" i="10"/>
  <c r="BA3721" i="10"/>
  <c r="BA3733" i="10"/>
  <c r="BA3745" i="10"/>
  <c r="BA3757" i="10"/>
  <c r="BA3769" i="10"/>
  <c r="BA3781" i="10"/>
  <c r="BA3793" i="10"/>
  <c r="BA3805" i="10"/>
  <c r="BA3817" i="10"/>
  <c r="BA3829" i="10"/>
  <c r="BA3841" i="10"/>
  <c r="BA3853" i="10"/>
  <c r="BA3865" i="10"/>
  <c r="BA3877" i="10"/>
  <c r="BA3889" i="10"/>
  <c r="BA3901" i="10"/>
  <c r="BA3913" i="10"/>
  <c r="BA3925" i="10"/>
  <c r="BA3937" i="10"/>
  <c r="BA3949" i="10"/>
  <c r="BA3961" i="10"/>
  <c r="BA3973" i="10"/>
  <c r="BA3985" i="10"/>
  <c r="BA3997" i="10"/>
  <c r="BA4009" i="10"/>
  <c r="BA4021" i="10"/>
  <c r="BA4033" i="10"/>
  <c r="BA4045" i="10"/>
  <c r="BA4057" i="10"/>
  <c r="BA4069" i="10"/>
  <c r="BA4081" i="10"/>
  <c r="BA4093" i="10"/>
  <c r="BA4105" i="10"/>
  <c r="BA4117" i="10"/>
  <c r="BA4129" i="10"/>
  <c r="BA4141" i="10"/>
  <c r="BA4153" i="10"/>
  <c r="BA4165" i="10"/>
  <c r="BA4177" i="10"/>
  <c r="BA4189" i="10"/>
  <c r="BA4201" i="10"/>
  <c r="BA4213" i="10"/>
  <c r="BA4225" i="10"/>
  <c r="BA4237" i="10"/>
  <c r="BA4249" i="10"/>
  <c r="BA4261" i="10"/>
  <c r="BA4273" i="10"/>
  <c r="BA4285" i="10"/>
  <c r="BA4297" i="10"/>
  <c r="BA4309" i="10"/>
  <c r="BA4321" i="10"/>
  <c r="BA4333" i="10"/>
  <c r="BA4345" i="10"/>
  <c r="BA4357" i="10"/>
  <c r="BA4369" i="10"/>
  <c r="BA4381" i="10"/>
  <c r="BA4393" i="10"/>
  <c r="BA4405" i="10"/>
  <c r="BA4417" i="10"/>
  <c r="BA4429" i="10"/>
  <c r="BA4441" i="10"/>
  <c r="BA4453" i="10"/>
  <c r="BA4465" i="10"/>
  <c r="BA4477" i="10"/>
  <c r="BA4489" i="10"/>
  <c r="BA4501" i="10"/>
  <c r="BA4513" i="10"/>
  <c r="BA4525" i="10"/>
  <c r="BA4537" i="10"/>
  <c r="BA4549" i="10"/>
  <c r="BA4561" i="10"/>
  <c r="BA4573" i="10"/>
  <c r="BA4585" i="10"/>
  <c r="BA4597" i="10"/>
  <c r="BA4609" i="10"/>
  <c r="BA4621" i="10"/>
  <c r="BA4633" i="10"/>
  <c r="BA4645" i="10"/>
  <c r="BA4657" i="10"/>
  <c r="BA4669" i="10"/>
  <c r="BA4681" i="10"/>
  <c r="BA4693" i="10"/>
  <c r="BA4705" i="10"/>
  <c r="BA4717" i="10"/>
  <c r="BA4729" i="10"/>
  <c r="BA4741" i="10"/>
  <c r="BA4753" i="10"/>
  <c r="BA4765" i="10"/>
  <c r="BA4777" i="10"/>
  <c r="BA4789" i="10"/>
  <c r="BA4801" i="10"/>
  <c r="BA4813" i="10"/>
  <c r="BA4825" i="10"/>
  <c r="BA4837" i="10"/>
  <c r="BA4849" i="10"/>
  <c r="BA4861" i="10"/>
  <c r="BA4873" i="10"/>
  <c r="BA4885" i="10"/>
  <c r="BA4897" i="10"/>
  <c r="BA4909" i="10"/>
  <c r="BA4921" i="10"/>
  <c r="BA4933" i="10"/>
  <c r="BA4945" i="10"/>
  <c r="BA4957" i="10"/>
  <c r="BA6" i="10"/>
  <c r="BA19" i="10"/>
  <c r="BA32" i="10"/>
  <c r="BA45" i="10"/>
  <c r="BA58" i="10"/>
  <c r="BA71" i="10"/>
  <c r="BA84" i="10"/>
  <c r="BA97" i="10"/>
  <c r="BA111" i="10"/>
  <c r="BA124" i="10"/>
  <c r="BA137" i="10"/>
  <c r="BA150" i="10"/>
  <c r="BA163" i="10"/>
  <c r="BA176" i="10"/>
  <c r="BA189" i="10"/>
  <c r="BA202" i="10"/>
  <c r="BA215" i="10"/>
  <c r="BA228" i="10"/>
  <c r="BA241" i="10"/>
  <c r="BA255" i="10"/>
  <c r="BA268" i="10"/>
  <c r="BA281" i="10"/>
  <c r="BA294" i="10"/>
  <c r="BA307" i="10"/>
  <c r="BA320" i="10"/>
  <c r="BA333" i="10"/>
  <c r="BA346" i="10"/>
  <c r="BA359" i="10"/>
  <c r="BA372" i="10"/>
  <c r="BA385" i="10"/>
  <c r="BA399" i="10"/>
  <c r="BA412" i="10"/>
  <c r="BA425" i="10"/>
  <c r="BA438" i="10"/>
  <c r="BA451" i="10"/>
  <c r="BA464" i="10"/>
  <c r="BA477" i="10"/>
  <c r="BA490" i="10"/>
  <c r="BA503" i="10"/>
  <c r="BA516" i="10"/>
  <c r="BA529" i="10"/>
  <c r="BA543" i="10"/>
  <c r="BA556" i="10"/>
  <c r="BA569" i="10"/>
  <c r="BA582" i="10"/>
  <c r="BA595" i="10"/>
  <c r="BA608" i="10"/>
  <c r="BA621" i="10"/>
  <c r="BA634" i="10"/>
  <c r="BA647" i="10"/>
  <c r="BA660" i="10"/>
  <c r="BA673" i="10"/>
  <c r="BA687" i="10"/>
  <c r="BA700" i="10"/>
  <c r="BA713" i="10"/>
  <c r="BA726" i="10"/>
  <c r="BA739" i="10"/>
  <c r="BA752" i="10"/>
  <c r="BA765" i="10"/>
  <c r="BA778" i="10"/>
  <c r="BA791" i="10"/>
  <c r="BA804" i="10"/>
  <c r="BA817" i="10"/>
  <c r="BA831" i="10"/>
  <c r="BA844" i="10"/>
  <c r="BA857" i="10"/>
  <c r="BA870" i="10"/>
  <c r="BA883" i="10"/>
  <c r="BA896" i="10"/>
  <c r="BA909" i="10"/>
  <c r="BA922" i="10"/>
  <c r="BA935" i="10"/>
  <c r="BA948" i="10"/>
  <c r="BA961" i="10"/>
  <c r="BA974" i="10"/>
  <c r="BA986" i="10"/>
  <c r="BA998" i="10"/>
  <c r="BA1010" i="10"/>
  <c r="BA1022" i="10"/>
  <c r="BA1034" i="10"/>
  <c r="BA1046" i="10"/>
  <c r="BA1058" i="10"/>
  <c r="BA1070" i="10"/>
  <c r="BA1082" i="10"/>
  <c r="BA1094" i="10"/>
  <c r="BA1106" i="10"/>
  <c r="BA1118" i="10"/>
  <c r="BA1130" i="10"/>
  <c r="BA1142" i="10"/>
  <c r="BA1154" i="10"/>
  <c r="BA1166" i="10"/>
  <c r="BA1178" i="10"/>
  <c r="BA1190" i="10"/>
  <c r="BA1202" i="10"/>
  <c r="BA1214" i="10"/>
  <c r="BA1226" i="10"/>
  <c r="BA1238" i="10"/>
  <c r="BA1250" i="10"/>
  <c r="BA1262" i="10"/>
  <c r="BA1274" i="10"/>
  <c r="BA1286" i="10"/>
  <c r="BA1298" i="10"/>
  <c r="BA1310" i="10"/>
  <c r="BA1322" i="10"/>
  <c r="BA1334" i="10"/>
  <c r="BA1346" i="10"/>
  <c r="BA1358" i="10"/>
  <c r="BA1370" i="10"/>
  <c r="BA1382" i="10"/>
  <c r="BA1394" i="10"/>
  <c r="BA1406" i="10"/>
  <c r="BA1418" i="10"/>
  <c r="BA1430" i="10"/>
  <c r="BA1442" i="10"/>
  <c r="BA1454" i="10"/>
  <c r="BA1466" i="10"/>
  <c r="BA1478" i="10"/>
  <c r="BA1490" i="10"/>
  <c r="BA1502" i="10"/>
  <c r="BA1514" i="10"/>
  <c r="BA1526" i="10"/>
  <c r="BA1538" i="10"/>
  <c r="BA1550" i="10"/>
  <c r="BA1562" i="10"/>
  <c r="BA1574" i="10"/>
  <c r="BA1586" i="10"/>
  <c r="BA1598" i="10"/>
  <c r="BA1610" i="10"/>
  <c r="BA1622" i="10"/>
  <c r="BA1634" i="10"/>
  <c r="BA1646" i="10"/>
  <c r="BA1658" i="10"/>
  <c r="BA1670" i="10"/>
  <c r="BA1682" i="10"/>
  <c r="BA1694" i="10"/>
  <c r="BA1706" i="10"/>
  <c r="BA1718" i="10"/>
  <c r="BA1730" i="10"/>
  <c r="BA1742" i="10"/>
  <c r="BA1754" i="10"/>
  <c r="BA1766" i="10"/>
  <c r="BA1778" i="10"/>
  <c r="BA1790" i="10"/>
  <c r="BA1802" i="10"/>
  <c r="BA1814" i="10"/>
  <c r="BA1826" i="10"/>
  <c r="BA1838" i="10"/>
  <c r="BA1850" i="10"/>
  <c r="BA1862" i="10"/>
  <c r="BA1874" i="10"/>
  <c r="BA1886" i="10"/>
  <c r="BA1898" i="10"/>
  <c r="BA1910" i="10"/>
  <c r="BA1922" i="10"/>
  <c r="BA1934" i="10"/>
  <c r="BA1946" i="10"/>
  <c r="BA1958" i="10"/>
  <c r="BA1970" i="10"/>
  <c r="BA1982" i="10"/>
  <c r="BA1994" i="10"/>
  <c r="BA2006" i="10"/>
  <c r="BA2018" i="10"/>
  <c r="BA2030" i="10"/>
  <c r="BA2042" i="10"/>
  <c r="BA2054" i="10"/>
  <c r="BA2066" i="10"/>
  <c r="BA2078" i="10"/>
  <c r="BA2090" i="10"/>
  <c r="BA2102" i="10"/>
  <c r="BA2114" i="10"/>
  <c r="BA2126" i="10"/>
  <c r="BA2138" i="10"/>
  <c r="BA2150" i="10"/>
  <c r="BA2162" i="10"/>
  <c r="BA2174" i="10"/>
  <c r="BA2186" i="10"/>
  <c r="BA2198" i="10"/>
  <c r="BA2210" i="10"/>
  <c r="BA2222" i="10"/>
  <c r="BA2234" i="10"/>
  <c r="BA2246" i="10"/>
  <c r="BA2258" i="10"/>
  <c r="BA2270" i="10"/>
  <c r="BA2282" i="10"/>
  <c r="BA2294" i="10"/>
  <c r="BA2306" i="10"/>
  <c r="BA2318" i="10"/>
  <c r="BA2330" i="10"/>
  <c r="BA2342" i="10"/>
  <c r="BA2354" i="10"/>
  <c r="BA2366" i="10"/>
  <c r="BA2378" i="10"/>
  <c r="BA2390" i="10"/>
  <c r="BA2402" i="10"/>
  <c r="BA2414" i="10"/>
  <c r="BA2426" i="10"/>
  <c r="BA2438" i="10"/>
  <c r="BA2450" i="10"/>
  <c r="BA2462" i="10"/>
  <c r="BA2474" i="10"/>
  <c r="BA2486" i="10"/>
  <c r="BA2498" i="10"/>
  <c r="BA2510" i="10"/>
  <c r="BA2522" i="10"/>
  <c r="BA2534" i="10"/>
  <c r="BA2546" i="10"/>
  <c r="BA2558" i="10"/>
  <c r="BA2570" i="10"/>
  <c r="BA2582" i="10"/>
  <c r="BA2594" i="10"/>
  <c r="BA2606" i="10"/>
  <c r="BA2618" i="10"/>
  <c r="BA2630" i="10"/>
  <c r="BA2642" i="10"/>
  <c r="BA2654" i="10"/>
  <c r="BA2666" i="10"/>
  <c r="BA2678" i="10"/>
  <c r="BA2690" i="10"/>
  <c r="BA2702" i="10"/>
  <c r="BA2714" i="10"/>
  <c r="BA2726" i="10"/>
  <c r="BA2738" i="10"/>
  <c r="BA2750" i="10"/>
  <c r="BA2762" i="10"/>
  <c r="BA2774" i="10"/>
  <c r="BA2786" i="10"/>
  <c r="BA2798" i="10"/>
  <c r="BA2810" i="10"/>
  <c r="BA2822" i="10"/>
  <c r="BA2834" i="10"/>
  <c r="BA2846" i="10"/>
  <c r="BA2858" i="10"/>
  <c r="BA2870" i="10"/>
  <c r="BA2882" i="10"/>
  <c r="BA2894" i="10"/>
  <c r="BA2906" i="10"/>
  <c r="BA2918" i="10"/>
  <c r="BA2930" i="10"/>
  <c r="BA2942" i="10"/>
  <c r="BA2954" i="10"/>
  <c r="BA2966" i="10"/>
  <c r="BA2978" i="10"/>
  <c r="BA2990" i="10"/>
  <c r="BA3002" i="10"/>
  <c r="BA3014" i="10"/>
  <c r="BA3026" i="10"/>
  <c r="BA15" i="10"/>
  <c r="BA41" i="10"/>
  <c r="BA67" i="10"/>
  <c r="BA93" i="10"/>
  <c r="BA119" i="10"/>
  <c r="BA145" i="10"/>
  <c r="BA172" i="10"/>
  <c r="BA198" i="10"/>
  <c r="BA224" i="10"/>
  <c r="BA250" i="10"/>
  <c r="BA276" i="10"/>
  <c r="BA303" i="10"/>
  <c r="BA329" i="10"/>
  <c r="BA355" i="10"/>
  <c r="BA381" i="10"/>
  <c r="BA407" i="10"/>
  <c r="BA433" i="10"/>
  <c r="BA460" i="10"/>
  <c r="BA486" i="10"/>
  <c r="BA512" i="10"/>
  <c r="BA538" i="10"/>
  <c r="BA564" i="10"/>
  <c r="BA591" i="10"/>
  <c r="BA617" i="10"/>
  <c r="BA643" i="10"/>
  <c r="BA669" i="10"/>
  <c r="BA695" i="10"/>
  <c r="BA721" i="10"/>
  <c r="BA748" i="10"/>
  <c r="BA774" i="10"/>
  <c r="BA800" i="10"/>
  <c r="BA826" i="10"/>
  <c r="BA852" i="10"/>
  <c r="BA879" i="10"/>
  <c r="BA905" i="10"/>
  <c r="BA931" i="10"/>
  <c r="BA957" i="10"/>
  <c r="BA982" i="10"/>
  <c r="BA1006" i="10"/>
  <c r="BA1030" i="10"/>
  <c r="BA1054" i="10"/>
  <c r="BA1078" i="10"/>
  <c r="BA1102" i="10"/>
  <c r="BA1126" i="10"/>
  <c r="BA1150" i="10"/>
  <c r="BA1174" i="10"/>
  <c r="BA1198" i="10"/>
  <c r="BA1222" i="10"/>
  <c r="BA1246" i="10"/>
  <c r="BA1270" i="10"/>
  <c r="BA1294" i="10"/>
  <c r="BA1318" i="10"/>
  <c r="BA1342" i="10"/>
  <c r="BA1366" i="10"/>
  <c r="BA1390" i="10"/>
  <c r="BA1414" i="10"/>
  <c r="BA1438" i="10"/>
  <c r="BA1458" i="10"/>
  <c r="BA1480" i="10"/>
  <c r="BA1500" i="10"/>
  <c r="BA1519" i="10"/>
  <c r="BA1541" i="10"/>
  <c r="BA1563" i="10"/>
  <c r="BA1582" i="10"/>
  <c r="BA1602" i="10"/>
  <c r="BA1624" i="10"/>
  <c r="BA1644" i="10"/>
  <c r="BA1663" i="10"/>
  <c r="BA1685" i="10"/>
  <c r="BA1707" i="10"/>
  <c r="BA1726" i="10"/>
  <c r="BA1746" i="10"/>
  <c r="BA1768" i="10"/>
  <c r="BA1788" i="10"/>
  <c r="BA1807" i="10"/>
  <c r="BA1829" i="10"/>
  <c r="BA1851" i="10"/>
  <c r="BA1870" i="10"/>
  <c r="BA1890" i="10"/>
  <c r="BA1912" i="10"/>
  <c r="BA1932" i="10"/>
  <c r="BA1951" i="10"/>
  <c r="BA1973" i="10"/>
  <c r="BA1995" i="10"/>
  <c r="BA2014" i="10"/>
  <c r="BA2034" i="10"/>
  <c r="BA2056" i="10"/>
  <c r="BA2076" i="10"/>
  <c r="BA2095" i="10"/>
  <c r="BA2117" i="10"/>
  <c r="BA2139" i="10"/>
  <c r="BA2158" i="10"/>
  <c r="BA2178" i="10"/>
  <c r="BA2200" i="10"/>
  <c r="BA2220" i="10"/>
  <c r="BA2239" i="10"/>
  <c r="BA2261" i="10"/>
  <c r="BA2283" i="10"/>
  <c r="BA2302" i="10"/>
  <c r="BA2322" i="10"/>
  <c r="BA2344" i="10"/>
  <c r="BA2362" i="10"/>
  <c r="BA2381" i="10"/>
  <c r="BA2398" i="10"/>
  <c r="BA2417" i="10"/>
  <c r="BA2434" i="10"/>
  <c r="BA2453" i="10"/>
  <c r="BA2470" i="10"/>
  <c r="BA2489" i="10"/>
  <c r="BA2506" i="10"/>
  <c r="BA2525" i="10"/>
  <c r="BA2542" i="10"/>
  <c r="BA2561" i="10"/>
  <c r="BA2578" i="10"/>
  <c r="BA2597" i="10"/>
  <c r="BA2614" i="10"/>
  <c r="BA2633" i="10"/>
  <c r="BA2650" i="10"/>
  <c r="BA2669" i="10"/>
  <c r="BA2686" i="10"/>
  <c r="BA2705" i="10"/>
  <c r="BA2722" i="10"/>
  <c r="BA2741" i="10"/>
  <c r="BA2758" i="10"/>
  <c r="BA2777" i="10"/>
  <c r="BA2794" i="10"/>
  <c r="BA2813" i="10"/>
  <c r="BA2830" i="10"/>
  <c r="BA2849" i="10"/>
  <c r="BA2866" i="10"/>
  <c r="BA2885" i="10"/>
  <c r="BA2902" i="10"/>
  <c r="BA2921" i="10"/>
  <c r="BA2938" i="10"/>
  <c r="BA2957" i="10"/>
  <c r="BA2974" i="10"/>
  <c r="BA2993" i="10"/>
  <c r="BA3010" i="10"/>
  <c r="BA3029" i="10"/>
  <c r="BA3045" i="10"/>
  <c r="BA3062" i="10"/>
  <c r="BA3077" i="10"/>
  <c r="BA3093" i="10"/>
  <c r="BA3108" i="10"/>
  <c r="BA3123" i="10"/>
  <c r="BA3137" i="10"/>
  <c r="BA3151" i="10"/>
  <c r="BA3165" i="10"/>
  <c r="BA3180" i="10"/>
  <c r="BA3195" i="10"/>
  <c r="BA3209" i="10"/>
  <c r="BA3223" i="10"/>
  <c r="BA3237" i="10"/>
  <c r="BA3252" i="10"/>
  <c r="BA3267" i="10"/>
  <c r="BA3281" i="10"/>
  <c r="BA3295" i="10"/>
  <c r="BA3309" i="10"/>
  <c r="BA3324" i="10"/>
  <c r="BA3339" i="10"/>
  <c r="BA3353" i="10"/>
  <c r="BA3367" i="10"/>
  <c r="BA3381" i="10"/>
  <c r="BA3396" i="10"/>
  <c r="BA3411" i="10"/>
  <c r="BA3425" i="10"/>
  <c r="BA3439" i="10"/>
  <c r="BA3453" i="10"/>
  <c r="BA3468" i="10"/>
  <c r="BA3483" i="10"/>
  <c r="BA3497" i="10"/>
  <c r="BA3511" i="10"/>
  <c r="BA3525" i="10"/>
  <c r="BA3540" i="10"/>
  <c r="BA3555" i="10"/>
  <c r="BA3569" i="10"/>
  <c r="BA3583" i="10"/>
  <c r="BA3597" i="10"/>
  <c r="BA3612" i="10"/>
  <c r="BA3627" i="10"/>
  <c r="BA3641" i="10"/>
  <c r="BA3655" i="10"/>
  <c r="BA3669" i="10"/>
  <c r="BA3684" i="10"/>
  <c r="BA3699" i="10"/>
  <c r="BA3713" i="10"/>
  <c r="BA3727" i="10"/>
  <c r="BA3741" i="10"/>
  <c r="BA3756" i="10"/>
  <c r="BA3771" i="10"/>
  <c r="BA3785" i="10"/>
  <c r="BA3799" i="10"/>
  <c r="BA3813" i="10"/>
  <c r="BA3828" i="10"/>
  <c r="BA3843" i="10"/>
  <c r="BA3857" i="10"/>
  <c r="BA3871" i="10"/>
  <c r="BA3885" i="10"/>
  <c r="BA3900" i="10"/>
  <c r="BA3915" i="10"/>
  <c r="BA3929" i="10"/>
  <c r="BA3943" i="10"/>
  <c r="BA3957" i="10"/>
  <c r="BA3972" i="10"/>
  <c r="BA3987" i="10"/>
  <c r="BA4001" i="10"/>
  <c r="BA4015" i="10"/>
  <c r="BA4029" i="10"/>
  <c r="BA4044" i="10"/>
  <c r="BA4059" i="10"/>
  <c r="BA4073" i="10"/>
  <c r="BA4087" i="10"/>
  <c r="BA4101" i="10"/>
  <c r="BA4116" i="10"/>
  <c r="BA4131" i="10"/>
  <c r="BA4145" i="10"/>
  <c r="BA4159" i="10"/>
  <c r="BA4173" i="10"/>
  <c r="BA4188" i="10"/>
  <c r="BA4203" i="10"/>
  <c r="BA4217" i="10"/>
  <c r="BA4231" i="10"/>
  <c r="BA4245" i="10"/>
  <c r="BA4260" i="10"/>
  <c r="BA4275" i="10"/>
  <c r="BA4289" i="10"/>
  <c r="BA4303" i="10"/>
  <c r="BA4317" i="10"/>
  <c r="BA4332" i="10"/>
  <c r="BA4347" i="10"/>
  <c r="BA4361" i="10"/>
  <c r="BA4375" i="10"/>
  <c r="BA4389" i="10"/>
  <c r="BA4404" i="10"/>
  <c r="BA4419" i="10"/>
  <c r="BA4433" i="10"/>
  <c r="BA4447" i="10"/>
  <c r="BA4461" i="10"/>
  <c r="BA4476" i="10"/>
  <c r="BA4491" i="10"/>
  <c r="BA4505" i="10"/>
  <c r="BA4519" i="10"/>
  <c r="BA4533" i="10"/>
  <c r="BA4548" i="10"/>
  <c r="BA4563" i="10"/>
  <c r="BA4577" i="10"/>
  <c r="BA4591" i="10"/>
  <c r="BA4605" i="10"/>
  <c r="BA4620" i="10"/>
  <c r="BA4635" i="10"/>
  <c r="BA4649" i="10"/>
  <c r="BA4663" i="10"/>
  <c r="BA4677" i="10"/>
  <c r="BA4692" i="10"/>
  <c r="BA4707" i="10"/>
  <c r="BA4721" i="10"/>
  <c r="BA4735" i="10"/>
  <c r="BA4749" i="10"/>
  <c r="BA4764" i="10"/>
  <c r="BA4779" i="10"/>
  <c r="BA4793" i="10"/>
  <c r="BA4807" i="10"/>
  <c r="BA4821" i="10"/>
  <c r="BA4836" i="10"/>
  <c r="BA4851" i="10"/>
  <c r="BA4865" i="10"/>
  <c r="BA4879" i="10"/>
  <c r="BA4893" i="10"/>
  <c r="BA4908" i="10"/>
  <c r="BA4923" i="10"/>
  <c r="BA4937" i="10"/>
  <c r="BA4951" i="10"/>
  <c r="BA4965" i="10"/>
  <c r="BA4978" i="10"/>
  <c r="BA4992" i="10"/>
  <c r="BA5005" i="10"/>
  <c r="BA5018" i="10"/>
  <c r="BA5031" i="10"/>
  <c r="BA5044" i="10"/>
  <c r="BA5057" i="10"/>
  <c r="BA5069" i="10"/>
  <c r="BA5081" i="10"/>
  <c r="BA5093" i="10"/>
  <c r="BA5105" i="10"/>
  <c r="BA5117" i="10"/>
  <c r="BA5129" i="10"/>
  <c r="BA5141" i="10"/>
  <c r="BA5153" i="10"/>
  <c r="BA5165" i="10"/>
  <c r="BA5177" i="10"/>
  <c r="BA5189" i="10"/>
  <c r="BA5201" i="10"/>
  <c r="BA5213" i="10"/>
  <c r="BA4808" i="10"/>
  <c r="BA4910" i="10"/>
  <c r="BA4938" i="10"/>
  <c r="BA4966" i="10"/>
  <c r="BA4993" i="10"/>
  <c r="BA5019" i="10"/>
  <c r="BA5045" i="10"/>
  <c r="BA5070" i="10"/>
  <c r="BA5094" i="10"/>
  <c r="BA5118" i="10"/>
  <c r="BA5142" i="10"/>
  <c r="BA5166" i="10"/>
  <c r="BA5190" i="10"/>
  <c r="BA5214" i="10"/>
  <c r="BA47" i="10"/>
  <c r="BA100" i="10"/>
  <c r="BA152" i="10"/>
  <c r="BA204" i="10"/>
  <c r="BA257" i="10"/>
  <c r="BA309" i="10"/>
  <c r="BA361" i="10"/>
  <c r="BA414" i="10"/>
  <c r="BA466" i="10"/>
  <c r="BA519" i="10"/>
  <c r="BA571" i="10"/>
  <c r="BA623" i="10"/>
  <c r="BA676" i="10"/>
  <c r="BA728" i="10"/>
  <c r="BA780" i="10"/>
  <c r="BA833" i="10"/>
  <c r="BA885" i="10"/>
  <c r="BA937" i="10"/>
  <c r="BA988" i="10"/>
  <c r="BA1036" i="10"/>
  <c r="BA1084" i="10"/>
  <c r="BA1132" i="10"/>
  <c r="BA1180" i="10"/>
  <c r="BA1228" i="10"/>
  <c r="BA1276" i="10"/>
  <c r="BA1324" i="10"/>
  <c r="BA1372" i="10"/>
  <c r="BA1420" i="10"/>
  <c r="BA1462" i="10"/>
  <c r="BA1504" i="10"/>
  <c r="BA1543" i="10"/>
  <c r="BA1587" i="10"/>
  <c r="BA1626" i="10"/>
  <c r="BA1668" i="10"/>
  <c r="BA1709" i="10"/>
  <c r="BA1750" i="10"/>
  <c r="BA1792" i="10"/>
  <c r="BA1831" i="10"/>
  <c r="BA1875" i="10"/>
  <c r="BA1914" i="10"/>
  <c r="BA1956" i="10"/>
  <c r="BA1997" i="10"/>
  <c r="BA2038" i="10"/>
  <c r="BA2080" i="10"/>
  <c r="BA2119" i="10"/>
  <c r="BA2163" i="10"/>
  <c r="BA2202" i="10"/>
  <c r="BA2244" i="10"/>
  <c r="BA2285" i="10"/>
  <c r="BA2326" i="10"/>
  <c r="BA2367" i="10"/>
  <c r="BA2403" i="10"/>
  <c r="BA2439" i="10"/>
  <c r="BA2475" i="10"/>
  <c r="BA2511" i="10"/>
  <c r="BA2547" i="10"/>
  <c r="BA2583" i="10"/>
  <c r="BA2619" i="10"/>
  <c r="BA2655" i="10"/>
  <c r="BA2691" i="10"/>
  <c r="BA2727" i="10"/>
  <c r="BA2763" i="10"/>
  <c r="BA2799" i="10"/>
  <c r="BA2835" i="10"/>
  <c r="BA2871" i="10"/>
  <c r="BA2907" i="10"/>
  <c r="BA2943" i="10"/>
  <c r="BA2979" i="10"/>
  <c r="BA3015" i="10"/>
  <c r="BA3048" i="10"/>
  <c r="BA3079" i="10"/>
  <c r="BA3111" i="10"/>
  <c r="BA3139" i="10"/>
  <c r="BA3168" i="10"/>
  <c r="BA3197" i="10"/>
  <c r="BA3225" i="10"/>
  <c r="BA3255" i="10"/>
  <c r="BA3283" i="10"/>
  <c r="BA3312" i="10"/>
  <c r="BA3341" i="10"/>
  <c r="BA3369" i="10"/>
  <c r="BA3399" i="10"/>
  <c r="BA3427" i="10"/>
  <c r="BA3456" i="10"/>
  <c r="BA3485" i="10"/>
  <c r="BA3513" i="10"/>
  <c r="BA3543" i="10"/>
  <c r="BA3571" i="10"/>
  <c r="BA3600" i="10"/>
  <c r="BA3629" i="10"/>
  <c r="BA3657" i="10"/>
  <c r="BA3687" i="10"/>
  <c r="BA3715" i="10"/>
  <c r="BA3744" i="10"/>
  <c r="BA3773" i="10"/>
  <c r="BA3801" i="10"/>
  <c r="BA3831" i="10"/>
  <c r="BA3859" i="10"/>
  <c r="BA3888" i="10"/>
  <c r="BA3917" i="10"/>
  <c r="BA3945" i="10"/>
  <c r="BA3975" i="10"/>
  <c r="BA4003" i="10"/>
  <c r="BA4032" i="10"/>
  <c r="BA4061" i="10"/>
  <c r="BA4089" i="10"/>
  <c r="BA4119" i="10"/>
  <c r="BA4147" i="10"/>
  <c r="BA20" i="10"/>
  <c r="BA46" i="10"/>
  <c r="BA72" i="10"/>
  <c r="BA99" i="10"/>
  <c r="BA125" i="10"/>
  <c r="BA151" i="10"/>
  <c r="BA177" i="10"/>
  <c r="BA203" i="10"/>
  <c r="BA229" i="10"/>
  <c r="BA256" i="10"/>
  <c r="BA282" i="10"/>
  <c r="BA308" i="10"/>
  <c r="BA334" i="10"/>
  <c r="BA360" i="10"/>
  <c r="BA387" i="10"/>
  <c r="BA413" i="10"/>
  <c r="BA439" i="10"/>
  <c r="BA465" i="10"/>
  <c r="BA491" i="10"/>
  <c r="BA517" i="10"/>
  <c r="BA544" i="10"/>
  <c r="BA570" i="10"/>
  <c r="BA596" i="10"/>
  <c r="BA622" i="10"/>
  <c r="BA648" i="10"/>
  <c r="BA675" i="10"/>
  <c r="BA701" i="10"/>
  <c r="BA727" i="10"/>
  <c r="BA753" i="10"/>
  <c r="BA779" i="10"/>
  <c r="BA805" i="10"/>
  <c r="BA832" i="10"/>
  <c r="BA858" i="10"/>
  <c r="BA884" i="10"/>
  <c r="BA910" i="10"/>
  <c r="BA936" i="10"/>
  <c r="BA963" i="10"/>
  <c r="BA987" i="10"/>
  <c r="BA1011" i="10"/>
  <c r="BA1035" i="10"/>
  <c r="BA1059" i="10"/>
  <c r="BA1083" i="10"/>
  <c r="BA1107" i="10"/>
  <c r="BA1131" i="10"/>
  <c r="BA1155" i="10"/>
  <c r="BA1179" i="10"/>
  <c r="BA1203" i="10"/>
  <c r="BA1227" i="10"/>
  <c r="BA1251" i="10"/>
  <c r="BA1275" i="10"/>
  <c r="BA1299" i="10"/>
  <c r="BA1323" i="10"/>
  <c r="BA1347" i="10"/>
  <c r="BA1371" i="10"/>
  <c r="BA1395" i="10"/>
  <c r="BA1419" i="10"/>
  <c r="BA1440" i="10"/>
  <c r="BA1459" i="10"/>
  <c r="BA1481" i="10"/>
  <c r="BA1503" i="10"/>
  <c r="BA1522" i="10"/>
  <c r="BA1542" i="10"/>
  <c r="BA1564" i="10"/>
  <c r="BA1584" i="10"/>
  <c r="BA1603" i="10"/>
  <c r="BA1625" i="10"/>
  <c r="BA1647" i="10"/>
  <c r="BA1666" i="10"/>
  <c r="BA1686" i="10"/>
  <c r="BA1708" i="10"/>
  <c r="BA1728" i="10"/>
  <c r="BA1747" i="10"/>
  <c r="BA1769" i="10"/>
  <c r="BA1791" i="10"/>
  <c r="BA1810" i="10"/>
  <c r="BA1830" i="10"/>
  <c r="BA1852" i="10"/>
  <c r="BA1872" i="10"/>
  <c r="BA1891" i="10"/>
  <c r="BA1913" i="10"/>
  <c r="BA1935" i="10"/>
  <c r="BA1954" i="10"/>
  <c r="BA1974" i="10"/>
  <c r="BA1996" i="10"/>
  <c r="BA2016" i="10"/>
  <c r="BA2035" i="10"/>
  <c r="BA2057" i="10"/>
  <c r="BA2079" i="10"/>
  <c r="BA2098" i="10"/>
  <c r="BA2118" i="10"/>
  <c r="BA2140" i="10"/>
  <c r="BA2160" i="10"/>
  <c r="BA2179" i="10"/>
  <c r="BA2201" i="10"/>
  <c r="BA2223" i="10"/>
  <c r="BA2242" i="10"/>
  <c r="BA2262" i="10"/>
  <c r="BA2284" i="10"/>
  <c r="BA2304" i="10"/>
  <c r="BA2323" i="10"/>
  <c r="BA2345" i="10"/>
  <c r="BA2364" i="10"/>
  <c r="BA2382" i="10"/>
  <c r="BA2400" i="10"/>
  <c r="BA2418" i="10"/>
  <c r="BA2436" i="10"/>
  <c r="BA2454" i="10"/>
  <c r="BA2472" i="10"/>
  <c r="BA2490" i="10"/>
  <c r="BA2508" i="10"/>
  <c r="BA2526" i="10"/>
  <c r="BA2544" i="10"/>
  <c r="BA2562" i="10"/>
  <c r="BA2580" i="10"/>
  <c r="BA2598" i="10"/>
  <c r="BA2616" i="10"/>
  <c r="BA2634" i="10"/>
  <c r="BA2652" i="10"/>
  <c r="BA2670" i="10"/>
  <c r="BA2688" i="10"/>
  <c r="BA2706" i="10"/>
  <c r="BA2724" i="10"/>
  <c r="BA2742" i="10"/>
  <c r="BA2760" i="10"/>
  <c r="BA2778" i="10"/>
  <c r="BA2796" i="10"/>
  <c r="BA2814" i="10"/>
  <c r="BA2832" i="10"/>
  <c r="BA2850" i="10"/>
  <c r="BA2868" i="10"/>
  <c r="BA2886" i="10"/>
  <c r="BA2904" i="10"/>
  <c r="BA2922" i="10"/>
  <c r="BA2940" i="10"/>
  <c r="BA2958" i="10"/>
  <c r="BA2976" i="10"/>
  <c r="BA2994" i="10"/>
  <c r="BA3012" i="10"/>
  <c r="BA3030" i="10"/>
  <c r="BA3046" i="10"/>
  <c r="BA3063" i="10"/>
  <c r="BA3078" i="10"/>
  <c r="BA3094" i="10"/>
  <c r="BA3110" i="10"/>
  <c r="BA3124" i="10"/>
  <c r="BA3138" i="10"/>
  <c r="BA3152" i="10"/>
  <c r="BA3166" i="10"/>
  <c r="BA3182" i="10"/>
  <c r="BA3196" i="10"/>
  <c r="BA3210" i="10"/>
  <c r="BA3224" i="10"/>
  <c r="BA3238" i="10"/>
  <c r="BA3254" i="10"/>
  <c r="BA3268" i="10"/>
  <c r="BA3282" i="10"/>
  <c r="BA3296" i="10"/>
  <c r="BA3310" i="10"/>
  <c r="BA3326" i="10"/>
  <c r="BA3340" i="10"/>
  <c r="BA3354" i="10"/>
  <c r="BA3368" i="10"/>
  <c r="BA3382" i="10"/>
  <c r="BA3398" i="10"/>
  <c r="BA3412" i="10"/>
  <c r="BA3426" i="10"/>
  <c r="BA3440" i="10"/>
  <c r="BA3454" i="10"/>
  <c r="BA3470" i="10"/>
  <c r="BA3484" i="10"/>
  <c r="BA3498" i="10"/>
  <c r="BA3512" i="10"/>
  <c r="BA3526" i="10"/>
  <c r="BA3542" i="10"/>
  <c r="BA3556" i="10"/>
  <c r="BA3570" i="10"/>
  <c r="BA3584" i="10"/>
  <c r="BA3598" i="10"/>
  <c r="BA3614" i="10"/>
  <c r="BA3628" i="10"/>
  <c r="BA3642" i="10"/>
  <c r="BA3656" i="10"/>
  <c r="BA3670" i="10"/>
  <c r="BA3686" i="10"/>
  <c r="BA3700" i="10"/>
  <c r="BA3714" i="10"/>
  <c r="BA3728" i="10"/>
  <c r="BA3742" i="10"/>
  <c r="BA3758" i="10"/>
  <c r="BA3772" i="10"/>
  <c r="BA3786" i="10"/>
  <c r="BA3800" i="10"/>
  <c r="BA3814" i="10"/>
  <c r="BA3830" i="10"/>
  <c r="BA3844" i="10"/>
  <c r="BA3858" i="10"/>
  <c r="BA3872" i="10"/>
  <c r="BA3886" i="10"/>
  <c r="BA3902" i="10"/>
  <c r="BA3916" i="10"/>
  <c r="BA3930" i="10"/>
  <c r="BA3944" i="10"/>
  <c r="BA3958" i="10"/>
  <c r="BA3974" i="10"/>
  <c r="BA3988" i="10"/>
  <c r="BA4002" i="10"/>
  <c r="BA4016" i="10"/>
  <c r="BA4030" i="10"/>
  <c r="BA4046" i="10"/>
  <c r="BA4060" i="10"/>
  <c r="BA4074" i="10"/>
  <c r="BA4088" i="10"/>
  <c r="BA4102" i="10"/>
  <c r="BA4118" i="10"/>
  <c r="BA4132" i="10"/>
  <c r="BA4146" i="10"/>
  <c r="BA4160" i="10"/>
  <c r="BA4174" i="10"/>
  <c r="BA4190" i="10"/>
  <c r="BA4204" i="10"/>
  <c r="BA4218" i="10"/>
  <c r="BA4232" i="10"/>
  <c r="BA4246" i="10"/>
  <c r="BA4262" i="10"/>
  <c r="BA4276" i="10"/>
  <c r="BA4290" i="10"/>
  <c r="BA4304" i="10"/>
  <c r="BA4318" i="10"/>
  <c r="BA4334" i="10"/>
  <c r="BA4348" i="10"/>
  <c r="BA4362" i="10"/>
  <c r="BA4376" i="10"/>
  <c r="BA4390" i="10"/>
  <c r="BA4406" i="10"/>
  <c r="BA4420" i="10"/>
  <c r="BA4434" i="10"/>
  <c r="BA4448" i="10"/>
  <c r="BA4462" i="10"/>
  <c r="BA4478" i="10"/>
  <c r="BA4492" i="10"/>
  <c r="BA4506" i="10"/>
  <c r="BA4520" i="10"/>
  <c r="BA4534" i="10"/>
  <c r="BA4550" i="10"/>
  <c r="BA4564" i="10"/>
  <c r="BA4578" i="10"/>
  <c r="BA4592" i="10"/>
  <c r="BA4606" i="10"/>
  <c r="BA4622" i="10"/>
  <c r="BA4636" i="10"/>
  <c r="BA4650" i="10"/>
  <c r="BA4664" i="10"/>
  <c r="BA4678" i="10"/>
  <c r="BA4694" i="10"/>
  <c r="BA4708" i="10"/>
  <c r="BA4722" i="10"/>
  <c r="BA4736" i="10"/>
  <c r="BA4750" i="10"/>
  <c r="BA4766" i="10"/>
  <c r="BA4780" i="10"/>
  <c r="BA4794" i="10"/>
  <c r="BA4822" i="10"/>
  <c r="BA4838" i="10"/>
  <c r="BA4852" i="10"/>
  <c r="BA4866" i="10"/>
  <c r="BA4880" i="10"/>
  <c r="BA4894" i="10"/>
  <c r="BA4924" i="10"/>
  <c r="BA4952" i="10"/>
  <c r="BA4980" i="10"/>
  <c r="BA5006" i="10"/>
  <c r="BA5032" i="10"/>
  <c r="BA5058" i="10"/>
  <c r="BA5082" i="10"/>
  <c r="BA5106" i="10"/>
  <c r="BA5130" i="10"/>
  <c r="BA5154" i="10"/>
  <c r="BA5178" i="10"/>
  <c r="BA5202" i="10"/>
  <c r="BA21" i="10"/>
  <c r="BA73" i="10"/>
  <c r="BA126" i="10"/>
  <c r="BA178" i="10"/>
  <c r="BA231" i="10"/>
  <c r="BA283" i="10"/>
  <c r="BA335" i="10"/>
  <c r="BA388" i="10"/>
  <c r="BA440" i="10"/>
  <c r="BA492" i="10"/>
  <c r="BA545" i="10"/>
  <c r="BA597" i="10"/>
  <c r="BA649" i="10"/>
  <c r="BA702" i="10"/>
  <c r="BA754" i="10"/>
  <c r="BA807" i="10"/>
  <c r="BA859" i="10"/>
  <c r="BA911" i="10"/>
  <c r="BA964" i="10"/>
  <c r="BA1012" i="10"/>
  <c r="BA1060" i="10"/>
  <c r="BA1108" i="10"/>
  <c r="BA1156" i="10"/>
  <c r="BA1204" i="10"/>
  <c r="BA1252" i="10"/>
  <c r="BA1300" i="10"/>
  <c r="BA1348" i="10"/>
  <c r="BA1396" i="10"/>
  <c r="BA1443" i="10"/>
  <c r="BA1482" i="10"/>
  <c r="BA1524" i="10"/>
  <c r="BA1565" i="10"/>
  <c r="BA1606" i="10"/>
  <c r="BA1648" i="10"/>
  <c r="BA1687" i="10"/>
  <c r="BA1731" i="10"/>
  <c r="BA1770" i="10"/>
  <c r="BA1812" i="10"/>
  <c r="BA1853" i="10"/>
  <c r="BA1894" i="10"/>
  <c r="BA1936" i="10"/>
  <c r="BA1975" i="10"/>
  <c r="BA2019" i="10"/>
  <c r="BA2058" i="10"/>
  <c r="BA2100" i="10"/>
  <c r="BA2141" i="10"/>
  <c r="BA2182" i="10"/>
  <c r="BA2224" i="10"/>
  <c r="BA2263" i="10"/>
  <c r="BA2307" i="10"/>
  <c r="BA2346" i="10"/>
  <c r="BA2383" i="10"/>
  <c r="BA2419" i="10"/>
  <c r="BA2455" i="10"/>
  <c r="BA2491" i="10"/>
  <c r="BA2527" i="10"/>
  <c r="BA2563" i="10"/>
  <c r="BA2599" i="10"/>
  <c r="BA2635" i="10"/>
  <c r="BA2671" i="10"/>
  <c r="BA2707" i="10"/>
  <c r="BA2743" i="10"/>
  <c r="BA2779" i="10"/>
  <c r="BA2815" i="10"/>
  <c r="BA2851" i="10"/>
  <c r="BA2887" i="10"/>
  <c r="BA2923" i="10"/>
  <c r="BA2959" i="10"/>
  <c r="BA2995" i="10"/>
  <c r="BA3031" i="10"/>
  <c r="BA3064" i="10"/>
  <c r="BA3096" i="10"/>
  <c r="BA3125" i="10"/>
  <c r="BA3153" i="10"/>
  <c r="BA3183" i="10"/>
  <c r="BA3211" i="10"/>
  <c r="BA3240" i="10"/>
  <c r="BA3269" i="10"/>
  <c r="BA3297" i="10"/>
  <c r="BA3327" i="10"/>
  <c r="BA3355" i="10"/>
  <c r="BA3384" i="10"/>
  <c r="BA3413" i="10"/>
  <c r="BA3441" i="10"/>
  <c r="BA3471" i="10"/>
  <c r="BA3499" i="10"/>
  <c r="BA3528" i="10"/>
  <c r="BA3557" i="10"/>
  <c r="BA3585" i="10"/>
  <c r="BA3615" i="10"/>
  <c r="BA3643" i="10"/>
  <c r="BA3672" i="10"/>
  <c r="BA3701" i="10"/>
  <c r="BA3729" i="10"/>
  <c r="BA3759" i="10"/>
  <c r="BA3787" i="10"/>
  <c r="BA3816" i="10"/>
  <c r="BA3845" i="10"/>
  <c r="BA3873" i="10"/>
  <c r="BA3903" i="10"/>
  <c r="BA3931" i="10"/>
  <c r="BA3960" i="10"/>
  <c r="BA3989" i="10"/>
  <c r="BA4017" i="10"/>
  <c r="BA4047" i="10"/>
  <c r="BA4075" i="10"/>
  <c r="BA4104" i="10"/>
  <c r="BA4133" i="10"/>
  <c r="BA4161" i="10"/>
  <c r="BA4176" i="10"/>
  <c r="BA4191" i="10"/>
  <c r="BA4205" i="10"/>
  <c r="BA4219" i="10"/>
  <c r="BA4233" i="10"/>
  <c r="BA4248" i="10"/>
  <c r="BA4263" i="10"/>
  <c r="BA4277" i="10"/>
  <c r="BA4291" i="10"/>
  <c r="BA4305" i="10"/>
  <c r="BA4320" i="10"/>
  <c r="BA4335" i="10"/>
  <c r="BA4349" i="10"/>
  <c r="BA4363" i="10"/>
  <c r="BA4377" i="10"/>
  <c r="BA4392" i="10"/>
  <c r="BA4407" i="10"/>
  <c r="BA4421" i="10"/>
  <c r="BA4435" i="10"/>
  <c r="BA4449" i="10"/>
  <c r="BA4464" i="10"/>
  <c r="BA4479" i="10"/>
  <c r="BA4493" i="10"/>
  <c r="BA4507" i="10"/>
  <c r="BA4521" i="10"/>
  <c r="BA4536" i="10"/>
  <c r="BA4551" i="10"/>
  <c r="BA4565" i="10"/>
  <c r="BA4579" i="10"/>
  <c r="BA4593" i="10"/>
  <c r="BA4608" i="10"/>
  <c r="BA4623" i="10"/>
  <c r="BA4637" i="10"/>
  <c r="BA4651" i="10"/>
  <c r="BA4665" i="10"/>
  <c r="BA4680" i="10"/>
  <c r="BA4695" i="10"/>
  <c r="BA4709" i="10"/>
  <c r="BA4723" i="10"/>
  <c r="BA4737" i="10"/>
  <c r="BA4752" i="10"/>
  <c r="BA4767" i="10"/>
  <c r="BA4781" i="10"/>
  <c r="BA4795" i="10"/>
  <c r="BA4809" i="10"/>
  <c r="BA4824" i="10"/>
  <c r="BA4839" i="10"/>
  <c r="BA4853" i="10"/>
  <c r="BA4867" i="10"/>
  <c r="BA4881" i="10"/>
  <c r="BA4896" i="10"/>
  <c r="BA4911" i="10"/>
  <c r="BA4925" i="10"/>
  <c r="BA4939" i="10"/>
  <c r="BA4953" i="10"/>
  <c r="BA4968" i="10"/>
  <c r="BA4981" i="10"/>
  <c r="BA4994" i="10"/>
  <c r="BA5007" i="10"/>
  <c r="BA5020" i="10"/>
  <c r="BA5033" i="10"/>
  <c r="BA5046" i="10"/>
  <c r="BA5059" i="10"/>
  <c r="BA5071" i="10"/>
  <c r="BA5083" i="10"/>
  <c r="BA5095" i="10"/>
  <c r="BA5107" i="10"/>
  <c r="BA5119" i="10"/>
  <c r="BA5131" i="10"/>
  <c r="BA5143" i="10"/>
  <c r="BA5155" i="10"/>
  <c r="BA5167" i="10"/>
  <c r="BA5179" i="10"/>
  <c r="BA5203" i="10"/>
  <c r="BA5215" i="10"/>
  <c r="BA22" i="10"/>
  <c r="BA48" i="10"/>
  <c r="BA75" i="10"/>
  <c r="BA101" i="10"/>
  <c r="BA127" i="10"/>
  <c r="BA153" i="10"/>
  <c r="BA179" i="10"/>
  <c r="BA205" i="10"/>
  <c r="BA232" i="10"/>
  <c r="BA258" i="10"/>
  <c r="BA284" i="10"/>
  <c r="BA310" i="10"/>
  <c r="BA336" i="10"/>
  <c r="BA363" i="10"/>
  <c r="BA389" i="10"/>
  <c r="BA415" i="10"/>
  <c r="BA441" i="10"/>
  <c r="BA467" i="10"/>
  <c r="BA493" i="10"/>
  <c r="BA520" i="10"/>
  <c r="BA546" i="10"/>
  <c r="BA572" i="10"/>
  <c r="BA598" i="10"/>
  <c r="BA624" i="10"/>
  <c r="BA651" i="10"/>
  <c r="BA677" i="10"/>
  <c r="BA703" i="10"/>
  <c r="BA729" i="10"/>
  <c r="BA755" i="10"/>
  <c r="BA781" i="10"/>
  <c r="BA808" i="10"/>
  <c r="BA834" i="10"/>
  <c r="BA860" i="10"/>
  <c r="BA886" i="10"/>
  <c r="BA912" i="10"/>
  <c r="BA939" i="10"/>
  <c r="BA965" i="10"/>
  <c r="BA989" i="10"/>
  <c r="BA1013" i="10"/>
  <c r="BA1037" i="10"/>
  <c r="BA1061" i="10"/>
  <c r="BA1085" i="10"/>
  <c r="BA1109" i="10"/>
  <c r="BA1133" i="10"/>
  <c r="BA1157" i="10"/>
  <c r="BA1181" i="10"/>
  <c r="BA1205" i="10"/>
  <c r="BA1229" i="10"/>
  <c r="BA1253" i="10"/>
  <c r="BA1277" i="10"/>
  <c r="BA1301" i="10"/>
  <c r="BA1325" i="10"/>
  <c r="BA1349" i="10"/>
  <c r="BA1373" i="10"/>
  <c r="BA1397" i="10"/>
  <c r="BA1421" i="10"/>
  <c r="BA1444" i="10"/>
  <c r="BA1464" i="10"/>
  <c r="BA1483" i="10"/>
  <c r="BA1505" i="10"/>
  <c r="BA1527" i="10"/>
  <c r="BA1546" i="10"/>
  <c r="BA1566" i="10"/>
  <c r="BA1588" i="10"/>
  <c r="BA1608" i="10"/>
  <c r="BA1627" i="10"/>
  <c r="BA1649" i="10"/>
  <c r="BA1671" i="10"/>
  <c r="BA1690" i="10"/>
  <c r="BA1710" i="10"/>
  <c r="BA1732" i="10"/>
  <c r="BA1752" i="10"/>
  <c r="BA1771" i="10"/>
  <c r="BA1793" i="10"/>
  <c r="BA1815" i="10"/>
  <c r="BA1834" i="10"/>
  <c r="BA1854" i="10"/>
  <c r="BA1876" i="10"/>
  <c r="BA1896" i="10"/>
  <c r="BA1915" i="10"/>
  <c r="BA1937" i="10"/>
  <c r="BA1959" i="10"/>
  <c r="BA1978" i="10"/>
  <c r="BA1998" i="10"/>
  <c r="BA2020" i="10"/>
  <c r="BA2040" i="10"/>
  <c r="BA2059" i="10"/>
  <c r="BA2081" i="10"/>
  <c r="BA2103" i="10"/>
  <c r="BA2122" i="10"/>
  <c r="BA2142" i="10"/>
  <c r="BA2164" i="10"/>
  <c r="BA2184" i="10"/>
  <c r="BA2203" i="10"/>
  <c r="BA2225" i="10"/>
  <c r="BA2247" i="10"/>
  <c r="BA2266" i="10"/>
  <c r="BA2286" i="10"/>
  <c r="BA2308" i="10"/>
  <c r="BA2328" i="10"/>
  <c r="BA2347" i="10"/>
  <c r="BA2368" i="10"/>
  <c r="BA2385" i="10"/>
  <c r="BA2404" i="10"/>
  <c r="BA2421" i="10"/>
  <c r="BA2440" i="10"/>
  <c r="BA2457" i="10"/>
  <c r="BA2476" i="10"/>
  <c r="BA2493" i="10"/>
  <c r="BA2512" i="10"/>
  <c r="BA2529" i="10"/>
  <c r="BA2548" i="10"/>
  <c r="BA2565" i="10"/>
  <c r="BA2584" i="10"/>
  <c r="BA2601" i="10"/>
  <c r="BA2620" i="10"/>
  <c r="BA2637" i="10"/>
  <c r="BA2656" i="10"/>
  <c r="BA2673" i="10"/>
  <c r="BA2692" i="10"/>
  <c r="BA2709" i="10"/>
  <c r="BA2728" i="10"/>
  <c r="BA2745" i="10"/>
  <c r="BA2764" i="10"/>
  <c r="BA2781" i="10"/>
  <c r="BA2800" i="10"/>
  <c r="BA2817" i="10"/>
  <c r="BA2836" i="10"/>
  <c r="BA2853" i="10"/>
  <c r="BA2872" i="10"/>
  <c r="BA2889" i="10"/>
  <c r="BA2908" i="10"/>
  <c r="BA2925" i="10"/>
  <c r="BA2944" i="10"/>
  <c r="BA2961" i="10"/>
  <c r="BA2980" i="10"/>
  <c r="BA2997" i="10"/>
  <c r="BA3016" i="10"/>
  <c r="BA3033" i="10"/>
  <c r="BA3050" i="10"/>
  <c r="BA3065" i="10"/>
  <c r="BA3081" i="10"/>
  <c r="BA3098" i="10"/>
  <c r="BA3112" i="10"/>
  <c r="BA3126" i="10"/>
  <c r="BA3140" i="10"/>
  <c r="BA3154" i="10"/>
  <c r="BA3170" i="10"/>
  <c r="BA3184" i="10"/>
  <c r="BA3198" i="10"/>
  <c r="BA3212" i="10"/>
  <c r="BA3226" i="10"/>
  <c r="BA3242" i="10"/>
  <c r="BA3256" i="10"/>
  <c r="BA3270" i="10"/>
  <c r="BA3284" i="10"/>
  <c r="BA3298" i="10"/>
  <c r="BA3314" i="10"/>
  <c r="BA3328" i="10"/>
  <c r="BA3342" i="10"/>
  <c r="BA3356" i="10"/>
  <c r="BA3370" i="10"/>
  <c r="BA3386" i="10"/>
  <c r="BA3400" i="10"/>
  <c r="BA3414" i="10"/>
  <c r="BA3428" i="10"/>
  <c r="BA3442" i="10"/>
  <c r="BA3458" i="10"/>
  <c r="BA3472" i="10"/>
  <c r="BA3486" i="10"/>
  <c r="BA3500" i="10"/>
  <c r="BA3514" i="10"/>
  <c r="BA3530" i="10"/>
  <c r="BA3544" i="10"/>
  <c r="BA3558" i="10"/>
  <c r="BA3572" i="10"/>
  <c r="BA3586" i="10"/>
  <c r="BA3602" i="10"/>
  <c r="BA3616" i="10"/>
  <c r="BA3630" i="10"/>
  <c r="BA3644" i="10"/>
  <c r="BA3658" i="10"/>
  <c r="BA3674" i="10"/>
  <c r="BA3688" i="10"/>
  <c r="BA3702" i="10"/>
  <c r="BA3716" i="10"/>
  <c r="BA3730" i="10"/>
  <c r="BA3746" i="10"/>
  <c r="BA3760" i="10"/>
  <c r="BA3774" i="10"/>
  <c r="BA3788" i="10"/>
  <c r="BA3802" i="10"/>
  <c r="BA3818" i="10"/>
  <c r="BA3832" i="10"/>
  <c r="BA3846" i="10"/>
  <c r="BA3860" i="10"/>
  <c r="BA3874" i="10"/>
  <c r="BA3890" i="10"/>
  <c r="BA3904" i="10"/>
  <c r="BA3918" i="10"/>
  <c r="BA3932" i="10"/>
  <c r="BA3946" i="10"/>
  <c r="BA3962" i="10"/>
  <c r="BA3976" i="10"/>
  <c r="BA3990" i="10"/>
  <c r="BA4004" i="10"/>
  <c r="BA4018" i="10"/>
  <c r="BA4034" i="10"/>
  <c r="BA4048" i="10"/>
  <c r="BA4062" i="10"/>
  <c r="BA4076" i="10"/>
  <c r="BA4090" i="10"/>
  <c r="BA4106" i="10"/>
  <c r="BA4120" i="10"/>
  <c r="BA4134" i="10"/>
  <c r="BA4148" i="10"/>
  <c r="BA4162" i="10"/>
  <c r="BA4178" i="10"/>
  <c r="BA4192" i="10"/>
  <c r="BA4206" i="10"/>
  <c r="BA4220" i="10"/>
  <c r="BA4234" i="10"/>
  <c r="BA4250" i="10"/>
  <c r="BA4264" i="10"/>
  <c r="BA4278" i="10"/>
  <c r="BA4292" i="10"/>
  <c r="BA4306" i="10"/>
  <c r="BA4322" i="10"/>
  <c r="BA4336" i="10"/>
  <c r="BA4350" i="10"/>
  <c r="BA4364" i="10"/>
  <c r="BA4378" i="10"/>
  <c r="BA4394" i="10"/>
  <c r="BA4408" i="10"/>
  <c r="BA4422" i="10"/>
  <c r="BA4436" i="10"/>
  <c r="BA4450" i="10"/>
  <c r="BA4466" i="10"/>
  <c r="BA4480" i="10"/>
  <c r="BA4494" i="10"/>
  <c r="BA4508" i="10"/>
  <c r="BA4522" i="10"/>
  <c r="BA4538" i="10"/>
  <c r="BA4552" i="10"/>
  <c r="BA4566" i="10"/>
  <c r="BA4580" i="10"/>
  <c r="BA4594" i="10"/>
  <c r="BA4610" i="10"/>
  <c r="BA4624" i="10"/>
  <c r="BA4638" i="10"/>
  <c r="BA4652" i="10"/>
  <c r="BA4666" i="10"/>
  <c r="BA4682" i="10"/>
  <c r="BA4696" i="10"/>
  <c r="BA4710" i="10"/>
  <c r="BA4724" i="10"/>
  <c r="BA4738" i="10"/>
  <c r="BA4754" i="10"/>
  <c r="BA4768" i="10"/>
  <c r="BA4782" i="10"/>
  <c r="BA4796" i="10"/>
  <c r="BA4810" i="10"/>
  <c r="BA4826" i="10"/>
  <c r="BA4840" i="10"/>
  <c r="BA4854" i="10"/>
  <c r="BA4868" i="10"/>
  <c r="BA4882" i="10"/>
  <c r="BA4898" i="10"/>
  <c r="BA4912" i="10"/>
  <c r="BA4926" i="10"/>
  <c r="BA4940" i="10"/>
  <c r="BA4954" i="10"/>
  <c r="BA4969" i="10"/>
  <c r="BA4982" i="10"/>
  <c r="BA4995" i="10"/>
  <c r="BA5008" i="10"/>
  <c r="BA5021" i="10"/>
  <c r="BA5034" i="10"/>
  <c r="BA5047" i="10"/>
  <c r="BA5060" i="10"/>
  <c r="BA5072" i="10"/>
  <c r="BA5084" i="10"/>
  <c r="BA5096" i="10"/>
  <c r="BA5108" i="10"/>
  <c r="BA5120" i="10"/>
  <c r="BA5132" i="10"/>
  <c r="BA5144" i="10"/>
  <c r="BA5156" i="10"/>
  <c r="BA5168" i="10"/>
  <c r="BA5180" i="10"/>
  <c r="BA5192" i="10"/>
  <c r="BA5204" i="10"/>
  <c r="BA5216" i="10"/>
  <c r="BA3532" i="10"/>
  <c r="BA3950" i="10"/>
  <c r="BA3992" i="10"/>
  <c r="BA4022" i="10"/>
  <c r="BA4036" i="10"/>
  <c r="BA4064" i="10"/>
  <c r="BA4078" i="10"/>
  <c r="BA4108" i="10"/>
  <c r="BA4122" i="10"/>
  <c r="BA4136" i="10"/>
  <c r="BA4166" i="10"/>
  <c r="BA4180" i="10"/>
  <c r="BA4194" i="10"/>
  <c r="BA4222" i="10"/>
  <c r="BA4238" i="10"/>
  <c r="BA4252" i="10"/>
  <c r="BA4280" i="10"/>
  <c r="BA4294" i="10"/>
  <c r="BA4324" i="10"/>
  <c r="BA4338" i="10"/>
  <c r="BA4366" i="10"/>
  <c r="BA4396" i="10"/>
  <c r="BA4410" i="10"/>
  <c r="BA4438" i="10"/>
  <c r="BA4454" i="10"/>
  <c r="BA4468" i="10"/>
  <c r="BA4496" i="10"/>
  <c r="BA4510" i="10"/>
  <c r="BA4526" i="10"/>
  <c r="BA4554" i="10"/>
  <c r="BA4568" i="10"/>
  <c r="BA4582" i="10"/>
  <c r="BA4612" i="10"/>
  <c r="BA4626" i="10"/>
  <c r="BA4640" i="10"/>
  <c r="BA4670" i="10"/>
  <c r="BA4684" i="10"/>
  <c r="BA4712" i="10"/>
  <c r="BA4742" i="10"/>
  <c r="BA4756" i="10"/>
  <c r="BA4784" i="10"/>
  <c r="BA4798" i="10"/>
  <c r="BA4814" i="10"/>
  <c r="BA4842" i="10"/>
  <c r="BA4870" i="10"/>
  <c r="BA4900" i="10"/>
  <c r="BA4914" i="10"/>
  <c r="BA4958" i="10"/>
  <c r="BA4984" i="10"/>
  <c r="BA4997" i="10"/>
  <c r="BA5036" i="10"/>
  <c r="BA5049" i="10"/>
  <c r="BA5086" i="10"/>
  <c r="BA5110" i="10"/>
  <c r="BA5146" i="10"/>
  <c r="BA5182" i="10"/>
  <c r="BA5206" i="10"/>
  <c r="BA4497" i="10"/>
  <c r="BA4656" i="10"/>
  <c r="BA4713" i="10"/>
  <c r="BA4757" i="10"/>
  <c r="BA4785" i="10"/>
  <c r="BA4815" i="10"/>
  <c r="BA4857" i="10"/>
  <c r="BA4887" i="10"/>
  <c r="BA4929" i="10"/>
  <c r="BA4972" i="10"/>
  <c r="BA4998" i="10"/>
  <c r="BA5037" i="10"/>
  <c r="BA5087" i="10"/>
  <c r="BA5111" i="10"/>
  <c r="BA5147" i="10"/>
  <c r="BA5183" i="10"/>
  <c r="BA5219" i="10"/>
  <c r="BA7" i="10"/>
  <c r="BA33" i="10"/>
  <c r="BA59" i="10"/>
  <c r="BA112" i="10"/>
  <c r="BA138" i="10"/>
  <c r="BA164" i="10"/>
  <c r="BA190" i="10"/>
  <c r="BA216" i="10"/>
  <c r="BA243" i="10"/>
  <c r="BA269" i="10"/>
  <c r="BA295" i="10"/>
  <c r="BA321" i="10"/>
  <c r="BA347" i="10"/>
  <c r="BA373" i="10"/>
  <c r="BA400" i="10"/>
  <c r="BA426" i="10"/>
  <c r="BA452" i="10"/>
  <c r="BA478" i="10"/>
  <c r="BA504" i="10"/>
  <c r="BA531" i="10"/>
  <c r="BA557" i="10"/>
  <c r="BA609" i="10"/>
  <c r="BA635" i="10"/>
  <c r="BA661" i="10"/>
  <c r="BA688" i="10"/>
  <c r="BA740" i="10"/>
  <c r="BA766" i="10"/>
  <c r="BA792" i="10"/>
  <c r="BA819" i="10"/>
  <c r="BA871" i="10"/>
  <c r="BA897" i="10"/>
  <c r="BA923" i="10"/>
  <c r="BA949" i="10"/>
  <c r="BA975" i="10"/>
  <c r="BA999" i="10"/>
  <c r="BA1023" i="10"/>
  <c r="BA1047" i="10"/>
  <c r="BA1071" i="10"/>
  <c r="BA1095" i="10"/>
  <c r="BA1119" i="10"/>
  <c r="BA1143" i="10"/>
  <c r="BA1167" i="10"/>
  <c r="BA1191" i="10"/>
  <c r="BA1215" i="10"/>
  <c r="BA1239" i="10"/>
  <c r="BA1263" i="10"/>
  <c r="BA1287" i="10"/>
  <c r="BA1335" i="10"/>
  <c r="BA1359" i="10"/>
  <c r="BA1383" i="10"/>
  <c r="BA1407" i="10"/>
  <c r="BA1431" i="10"/>
  <c r="BA1450" i="10"/>
  <c r="BA1470" i="10"/>
  <c r="BA1492" i="10"/>
  <c r="BA1512" i="10"/>
  <c r="BA1531" i="10"/>
  <c r="BA1553" i="10"/>
  <c r="BA1594" i="10"/>
  <c r="BA1614" i="10"/>
  <c r="BA1636" i="10"/>
  <c r="BA1656" i="10"/>
  <c r="BA1675" i="10"/>
  <c r="BA1697" i="10"/>
  <c r="BA1738" i="10"/>
  <c r="BA1758" i="10"/>
  <c r="BA1780" i="10"/>
  <c r="BA1819" i="10"/>
  <c r="BA1863" i="10"/>
  <c r="BA1902" i="10"/>
  <c r="BA1944" i="10"/>
  <c r="BA1985" i="10"/>
  <c r="BA2026" i="10"/>
  <c r="BA2068" i="10"/>
  <c r="BA2107" i="10"/>
  <c r="BA2151" i="10"/>
  <c r="BA2190" i="10"/>
  <c r="BA2232" i="10"/>
  <c r="BA2273" i="10"/>
  <c r="BA2314" i="10"/>
  <c r="BA2356" i="10"/>
  <c r="BA2392" i="10"/>
  <c r="BA2428" i="10"/>
  <c r="BA2464" i="10"/>
  <c r="BA2500" i="10"/>
  <c r="BA2536" i="10"/>
  <c r="BA2572" i="10"/>
  <c r="BA2608" i="10"/>
  <c r="BA2644" i="10"/>
  <c r="BA2680" i="10"/>
  <c r="BA2716" i="10"/>
  <c r="BA2752" i="10"/>
  <c r="BA2788" i="10"/>
  <c r="BA2824" i="10"/>
  <c r="BA2860" i="10"/>
  <c r="BA2896" i="10"/>
  <c r="BA2932" i="10"/>
  <c r="BA2968" i="10"/>
  <c r="BA3004" i="10"/>
  <c r="BA3039" i="10"/>
  <c r="BA3070" i="10"/>
  <c r="BA3102" i="10"/>
  <c r="BA3130" i="10"/>
  <c r="BA3160" i="10"/>
  <c r="BA3188" i="10"/>
  <c r="BA3218" i="10"/>
  <c r="BA3246" i="10"/>
  <c r="BA3274" i="10"/>
  <c r="BA3304" i="10"/>
  <c r="BA3332" i="10"/>
  <c r="BA3362" i="10"/>
  <c r="BA3390" i="10"/>
  <c r="BA3418" i="10"/>
  <c r="BA3448" i="10"/>
  <c r="BA3476" i="10"/>
  <c r="BA3506" i="10"/>
  <c r="BA3534" i="10"/>
  <c r="BA3562" i="10"/>
  <c r="BA3592" i="10"/>
  <c r="BA3620" i="10"/>
  <c r="BA3650" i="10"/>
  <c r="BA3678" i="10"/>
  <c r="BA3706" i="10"/>
  <c r="BA3736" i="10"/>
  <c r="BA3778" i="10"/>
  <c r="BA3808" i="10"/>
  <c r="BA3836" i="10"/>
  <c r="BA3866" i="10"/>
  <c r="BA3894" i="10"/>
  <c r="BA3922" i="10"/>
  <c r="BA3952" i="10"/>
  <c r="BA3980" i="10"/>
  <c r="BA4010" i="10"/>
  <c r="BA4038" i="10"/>
  <c r="BA4066" i="10"/>
  <c r="BA4096" i="10"/>
  <c r="BA4124" i="10"/>
  <c r="BA4154" i="10"/>
  <c r="BA4182" i="10"/>
  <c r="BA4210" i="10"/>
  <c r="BA4240" i="10"/>
  <c r="BA4268" i="10"/>
  <c r="BA4298" i="10"/>
  <c r="BA4326" i="10"/>
  <c r="BA4354" i="10"/>
  <c r="BA4384" i="10"/>
  <c r="BA4412" i="10"/>
  <c r="BA4442" i="10"/>
  <c r="BA4470" i="10"/>
  <c r="BA4498" i="10"/>
  <c r="BA4528" i="10"/>
  <c r="BA4556" i="10"/>
  <c r="BA4586" i="10"/>
  <c r="BA4614" i="10"/>
  <c r="BA4642" i="10"/>
  <c r="BA4672" i="10"/>
  <c r="BA4700" i="10"/>
  <c r="BA4730" i="10"/>
  <c r="BA4758" i="10"/>
  <c r="BA4786" i="10"/>
  <c r="BA4816" i="10"/>
  <c r="BA4844" i="10"/>
  <c r="BA4874" i="10"/>
  <c r="BA4902" i="10"/>
  <c r="BA4930" i="10"/>
  <c r="BA4960" i="10"/>
  <c r="BA4986" i="10"/>
  <c r="BA5012" i="10"/>
  <c r="BA5038" i="10"/>
  <c r="BA5064" i="10"/>
  <c r="BA5088" i="10"/>
  <c r="BA5112" i="10"/>
  <c r="BA5136" i="10"/>
  <c r="BA5160" i="10"/>
  <c r="BA5184" i="10"/>
  <c r="BA5208" i="10"/>
  <c r="BA8" i="10"/>
  <c r="BA60" i="10"/>
  <c r="BA113" i="10"/>
  <c r="BA165" i="10"/>
  <c r="BA217" i="10"/>
  <c r="BA270" i="10"/>
  <c r="BA322" i="10"/>
  <c r="BA375" i="10"/>
  <c r="BA427" i="10"/>
  <c r="BA479" i="10"/>
  <c r="BA532" i="10"/>
  <c r="BA584" i="10"/>
  <c r="BA636" i="10"/>
  <c r="BA689" i="10"/>
  <c r="BA741" i="10"/>
  <c r="BA793" i="10"/>
  <c r="BA846" i="10"/>
  <c r="BA898" i="10"/>
  <c r="BA951" i="10"/>
  <c r="BA1000" i="10"/>
  <c r="BA1048" i="10"/>
  <c r="BA1096" i="10"/>
  <c r="BA1144" i="10"/>
  <c r="BA1192" i="10"/>
  <c r="BA1240" i="10"/>
  <c r="BA1288" i="10"/>
  <c r="BA1336" i="10"/>
  <c r="BA1384" i="10"/>
  <c r="BA1432" i="10"/>
  <c r="BA1471" i="10"/>
  <c r="BA1515" i="10"/>
  <c r="BA1554" i="10"/>
  <c r="BA1596" i="10"/>
  <c r="BA1637" i="10"/>
  <c r="BA1678" i="10"/>
  <c r="BA1720" i="10"/>
  <c r="BA1759" i="10"/>
  <c r="BA1803" i="10"/>
  <c r="BA1842" i="10"/>
  <c r="BA1884" i="10"/>
  <c r="BA1925" i="10"/>
  <c r="BA1986" i="10"/>
  <c r="BA2028" i="10"/>
  <c r="BA2069" i="10"/>
  <c r="BA2110" i="10"/>
  <c r="BA2152" i="10"/>
  <c r="BA23" i="10"/>
  <c r="BA49" i="10"/>
  <c r="BA76" i="10"/>
  <c r="BA102" i="10"/>
  <c r="BA128" i="10"/>
  <c r="BA154" i="10"/>
  <c r="BA180" i="10"/>
  <c r="BA207" i="10"/>
  <c r="BA233" i="10"/>
  <c r="BA259" i="10"/>
  <c r="BA285" i="10"/>
  <c r="BA311" i="10"/>
  <c r="BA337" i="10"/>
  <c r="BA364" i="10"/>
  <c r="BA390" i="10"/>
  <c r="BA416" i="10"/>
  <c r="BA442" i="10"/>
  <c r="BA468" i="10"/>
  <c r="BA495" i="10"/>
  <c r="BA521" i="10"/>
  <c r="BA547" i="10"/>
  <c r="BA573" i="10"/>
  <c r="BA599" i="10"/>
  <c r="BA625" i="10"/>
  <c r="BA652" i="10"/>
  <c r="BA678" i="10"/>
  <c r="BA704" i="10"/>
  <c r="BA730" i="10"/>
  <c r="BA756" i="10"/>
  <c r="BA783" i="10"/>
  <c r="BA809" i="10"/>
  <c r="BA835" i="10"/>
  <c r="BA861" i="10"/>
  <c r="BA887" i="10"/>
  <c r="BA913" i="10"/>
  <c r="BA940" i="10"/>
  <c r="BA966" i="10"/>
  <c r="BA990" i="10"/>
  <c r="BA1014" i="10"/>
  <c r="BA1038" i="10"/>
  <c r="BA1062" i="10"/>
  <c r="BA1086" i="10"/>
  <c r="BA1110" i="10"/>
  <c r="BA1134" i="10"/>
  <c r="BA1158" i="10"/>
  <c r="BA1182" i="10"/>
  <c r="BA1206" i="10"/>
  <c r="BA1230" i="10"/>
  <c r="BA1254" i="10"/>
  <c r="BA1278" i="10"/>
  <c r="BA1302" i="10"/>
  <c r="BA1326" i="10"/>
  <c r="BA1350" i="10"/>
  <c r="BA1374" i="10"/>
  <c r="BA1398" i="10"/>
  <c r="BA1422" i="10"/>
  <c r="BA1445" i="10"/>
  <c r="BA1467" i="10"/>
  <c r="BA1486" i="10"/>
  <c r="BA1506" i="10"/>
  <c r="BA1528" i="10"/>
  <c r="BA1548" i="10"/>
  <c r="BA1567" i="10"/>
  <c r="BA1589" i="10"/>
  <c r="BA1611" i="10"/>
  <c r="BA1630" i="10"/>
  <c r="BA1650" i="10"/>
  <c r="BA1672" i="10"/>
  <c r="BA1692" i="10"/>
  <c r="BA1711" i="10"/>
  <c r="BA1733" i="10"/>
  <c r="BA1755" i="10"/>
  <c r="BA1774" i="10"/>
  <c r="BA1794" i="10"/>
  <c r="BA1816" i="10"/>
  <c r="BA1836" i="10"/>
  <c r="BA1855" i="10"/>
  <c r="BA1877" i="10"/>
  <c r="BA1899" i="10"/>
  <c r="BA1918" i="10"/>
  <c r="BA1938" i="10"/>
  <c r="BA1960" i="10"/>
  <c r="BA1980" i="10"/>
  <c r="BA1999" i="10"/>
  <c r="BA2021" i="10"/>
  <c r="BA2043" i="10"/>
  <c r="BA2062" i="10"/>
  <c r="BA2082" i="10"/>
  <c r="BA2104" i="10"/>
  <c r="BA2124" i="10"/>
  <c r="BA2143" i="10"/>
  <c r="BA2165" i="10"/>
  <c r="BA2187" i="10"/>
  <c r="BA2206" i="10"/>
  <c r="BA2226" i="10"/>
  <c r="BA2248" i="10"/>
  <c r="BA2268" i="10"/>
  <c r="BA2287" i="10"/>
  <c r="BA2309" i="10"/>
  <c r="BA2331" i="10"/>
  <c r="BA2350" i="10"/>
  <c r="BA2369" i="10"/>
  <c r="BA2386" i="10"/>
  <c r="BA2405" i="10"/>
  <c r="BA2422" i="10"/>
  <c r="BA2441" i="10"/>
  <c r="BA2458" i="10"/>
  <c r="BA2477" i="10"/>
  <c r="BA2494" i="10"/>
  <c r="BA2513" i="10"/>
  <c r="BA2530" i="10"/>
  <c r="BA2549" i="10"/>
  <c r="BA2566" i="10"/>
  <c r="BA2585" i="10"/>
  <c r="BA2602" i="10"/>
  <c r="BA2621" i="10"/>
  <c r="BA2638" i="10"/>
  <c r="BA2657" i="10"/>
  <c r="BA2674" i="10"/>
  <c r="BA2693" i="10"/>
  <c r="BA2710" i="10"/>
  <c r="BA2729" i="10"/>
  <c r="BA2746" i="10"/>
  <c r="BA2765" i="10"/>
  <c r="BA2782" i="10"/>
  <c r="BA2801" i="10"/>
  <c r="BA2818" i="10"/>
  <c r="BA2837" i="10"/>
  <c r="BA2854" i="10"/>
  <c r="BA2873" i="10"/>
  <c r="BA2890" i="10"/>
  <c r="BA2909" i="10"/>
  <c r="BA2926" i="10"/>
  <c r="BA2945" i="10"/>
  <c r="BA2962" i="10"/>
  <c r="BA2981" i="10"/>
  <c r="BA2998" i="10"/>
  <c r="BA3017" i="10"/>
  <c r="BA3034" i="10"/>
  <c r="BA3051" i="10"/>
  <c r="BA3066" i="10"/>
  <c r="BA3082" i="10"/>
  <c r="BA3099" i="10"/>
  <c r="BA3113" i="10"/>
  <c r="BA3127" i="10"/>
  <c r="BA3141" i="10"/>
  <c r="BA3156" i="10"/>
  <c r="BA3171" i="10"/>
  <c r="BA3185" i="10"/>
  <c r="BA3199" i="10"/>
  <c r="BA3213" i="10"/>
  <c r="BA3228" i="10"/>
  <c r="BA3243" i="10"/>
  <c r="BA3257" i="10"/>
  <c r="BA3271" i="10"/>
  <c r="BA3285" i="10"/>
  <c r="BA3300" i="10"/>
  <c r="BA3315" i="10"/>
  <c r="BA3329" i="10"/>
  <c r="BA3343" i="10"/>
  <c r="BA3357" i="10"/>
  <c r="BA3372" i="10"/>
  <c r="BA3387" i="10"/>
  <c r="BA3401" i="10"/>
  <c r="BA3415" i="10"/>
  <c r="BA3429" i="10"/>
  <c r="BA3444" i="10"/>
  <c r="BA3459" i="10"/>
  <c r="BA3473" i="10"/>
  <c r="BA3487" i="10"/>
  <c r="BA3501" i="10"/>
  <c r="BA3516" i="10"/>
  <c r="BA3531" i="10"/>
  <c r="BA3545" i="10"/>
  <c r="BA3559" i="10"/>
  <c r="BA3573" i="10"/>
  <c r="BA3588" i="10"/>
  <c r="BA3603" i="10"/>
  <c r="BA3617" i="10"/>
  <c r="BA3631" i="10"/>
  <c r="BA3645" i="10"/>
  <c r="BA3660" i="10"/>
  <c r="BA3675" i="10"/>
  <c r="BA3689" i="10"/>
  <c r="BA3703" i="10"/>
  <c r="BA3717" i="10"/>
  <c r="BA3732" i="10"/>
  <c r="BA3747" i="10"/>
  <c r="BA3761" i="10"/>
  <c r="BA3775" i="10"/>
  <c r="BA3789" i="10"/>
  <c r="BA3804" i="10"/>
  <c r="BA3819" i="10"/>
  <c r="BA3833" i="10"/>
  <c r="BA3847" i="10"/>
  <c r="BA3861" i="10"/>
  <c r="BA3876" i="10"/>
  <c r="BA3891" i="10"/>
  <c r="BA3905" i="10"/>
  <c r="BA3919" i="10"/>
  <c r="BA3933" i="10"/>
  <c r="BA3948" i="10"/>
  <c r="BA3963" i="10"/>
  <c r="BA3977" i="10"/>
  <c r="BA3991" i="10"/>
  <c r="BA4005" i="10"/>
  <c r="BA4020" i="10"/>
  <c r="BA4035" i="10"/>
  <c r="BA4049" i="10"/>
  <c r="BA4063" i="10"/>
  <c r="BA4077" i="10"/>
  <c r="BA4092" i="10"/>
  <c r="BA4107" i="10"/>
  <c r="BA4121" i="10"/>
  <c r="BA4135" i="10"/>
  <c r="BA4149" i="10"/>
  <c r="BA4164" i="10"/>
  <c r="BA4179" i="10"/>
  <c r="BA4193" i="10"/>
  <c r="BA4207" i="10"/>
  <c r="BA4221" i="10"/>
  <c r="BA4236" i="10"/>
  <c r="BA4251" i="10"/>
  <c r="BA4265" i="10"/>
  <c r="BA4279" i="10"/>
  <c r="BA4293" i="10"/>
  <c r="BA4308" i="10"/>
  <c r="BA4323" i="10"/>
  <c r="BA4337" i="10"/>
  <c r="BA4351" i="10"/>
  <c r="BA4365" i="10"/>
  <c r="BA4380" i="10"/>
  <c r="BA4395" i="10"/>
  <c r="BA4409" i="10"/>
  <c r="BA4423" i="10"/>
  <c r="BA4437" i="10"/>
  <c r="BA4452" i="10"/>
  <c r="BA4467" i="10"/>
  <c r="BA4481" i="10"/>
  <c r="BA4495" i="10"/>
  <c r="BA4509" i="10"/>
  <c r="BA4524" i="10"/>
  <c r="BA4539" i="10"/>
  <c r="BA4553" i="10"/>
  <c r="BA4567" i="10"/>
  <c r="BA4581" i="10"/>
  <c r="BA4596" i="10"/>
  <c r="BA4611" i="10"/>
  <c r="BA4625" i="10"/>
  <c r="BA4639" i="10"/>
  <c r="BA4653" i="10"/>
  <c r="BA4668" i="10"/>
  <c r="BA4683" i="10"/>
  <c r="BA4697" i="10"/>
  <c r="BA4711" i="10"/>
  <c r="BA4725" i="10"/>
  <c r="BA4740" i="10"/>
  <c r="BA4755" i="10"/>
  <c r="BA4769" i="10"/>
  <c r="BA4783" i="10"/>
  <c r="BA4797" i="10"/>
  <c r="BA4812" i="10"/>
  <c r="BA4827" i="10"/>
  <c r="BA4841" i="10"/>
  <c r="BA4855" i="10"/>
  <c r="BA4869" i="10"/>
  <c r="BA4884" i="10"/>
  <c r="BA4899" i="10"/>
  <c r="BA4913" i="10"/>
  <c r="BA4927" i="10"/>
  <c r="BA4941" i="10"/>
  <c r="BA4956" i="10"/>
  <c r="BA4970" i="10"/>
  <c r="BA4983" i="10"/>
  <c r="BA4996" i="10"/>
  <c r="BA5009" i="10"/>
  <c r="BA5022" i="10"/>
  <c r="BA5035" i="10"/>
  <c r="BA5048" i="10"/>
  <c r="BA5061" i="10"/>
  <c r="BA5073" i="10"/>
  <c r="BA5085" i="10"/>
  <c r="BA5097" i="10"/>
  <c r="BA5109" i="10"/>
  <c r="BA5121" i="10"/>
  <c r="BA5133" i="10"/>
  <c r="BA5145" i="10"/>
  <c r="BA5157" i="10"/>
  <c r="BA5169" i="10"/>
  <c r="BA5181" i="10"/>
  <c r="BA5193" i="10"/>
  <c r="BA5205" i="10"/>
  <c r="BA5217" i="10"/>
  <c r="BA3158" i="10"/>
  <c r="BA4352" i="10"/>
  <c r="BA4698" i="10"/>
  <c r="BA4856" i="10"/>
  <c r="BA4942" i="10"/>
  <c r="BA5010" i="10"/>
  <c r="BA5062" i="10"/>
  <c r="BA5098" i="10"/>
  <c r="BA5122" i="10"/>
  <c r="BA5158" i="10"/>
  <c r="BA5170" i="10"/>
  <c r="BA5218" i="10"/>
  <c r="BA4527" i="10"/>
  <c r="BA4627" i="10"/>
  <c r="BA4671" i="10"/>
  <c r="BA4699" i="10"/>
  <c r="BA4728" i="10"/>
  <c r="BA4743" i="10"/>
  <c r="BA4800" i="10"/>
  <c r="BA4829" i="10"/>
  <c r="BA4872" i="10"/>
  <c r="BA4915" i="10"/>
  <c r="BA4944" i="10"/>
  <c r="BA4985" i="10"/>
  <c r="BA5011" i="10"/>
  <c r="BA5050" i="10"/>
  <c r="BA5099" i="10"/>
  <c r="BA5135" i="10"/>
  <c r="BA5159" i="10"/>
  <c r="BA5195" i="10"/>
  <c r="BA85" i="10"/>
  <c r="BA845" i="10"/>
  <c r="BA1311" i="10"/>
  <c r="BA1575" i="10"/>
  <c r="BA1719" i="10"/>
  <c r="BA1800" i="10"/>
  <c r="BA1841" i="10"/>
  <c r="BA1882" i="10"/>
  <c r="BA1924" i="10"/>
  <c r="BA1963" i="10"/>
  <c r="BA2007" i="10"/>
  <c r="BA2046" i="10"/>
  <c r="BA2088" i="10"/>
  <c r="BA2129" i="10"/>
  <c r="BA2170" i="10"/>
  <c r="BA2212" i="10"/>
  <c r="BA2251" i="10"/>
  <c r="BA2295" i="10"/>
  <c r="BA2334" i="10"/>
  <c r="BA2373" i="10"/>
  <c r="BA2409" i="10"/>
  <c r="BA2445" i="10"/>
  <c r="BA2481" i="10"/>
  <c r="BA2517" i="10"/>
  <c r="BA2553" i="10"/>
  <c r="BA2589" i="10"/>
  <c r="BA2625" i="10"/>
  <c r="BA2661" i="10"/>
  <c r="BA2697" i="10"/>
  <c r="BA2733" i="10"/>
  <c r="BA2769" i="10"/>
  <c r="BA2805" i="10"/>
  <c r="BA2841" i="10"/>
  <c r="BA2877" i="10"/>
  <c r="BA2913" i="10"/>
  <c r="BA2949" i="10"/>
  <c r="BA2985" i="10"/>
  <c r="BA3021" i="10"/>
  <c r="BA3054" i="10"/>
  <c r="BA3087" i="10"/>
  <c r="BA3116" i="10"/>
  <c r="BA3146" i="10"/>
  <c r="BA3174" i="10"/>
  <c r="BA3202" i="10"/>
  <c r="BA3232" i="10"/>
  <c r="BA3260" i="10"/>
  <c r="BA3290" i="10"/>
  <c r="BA3318" i="10"/>
  <c r="BA3346" i="10"/>
  <c r="BA3376" i="10"/>
  <c r="BA3404" i="10"/>
  <c r="BA3434" i="10"/>
  <c r="BA3462" i="10"/>
  <c r="BA3490" i="10"/>
  <c r="BA3520" i="10"/>
  <c r="BA3548" i="10"/>
  <c r="BA3578" i="10"/>
  <c r="BA3634" i="10"/>
  <c r="BA3664" i="10"/>
  <c r="BA3692" i="10"/>
  <c r="BA3722" i="10"/>
  <c r="BA3764" i="10"/>
  <c r="BA3794" i="10"/>
  <c r="BA3822" i="10"/>
  <c r="BA3850" i="10"/>
  <c r="BA3880" i="10"/>
  <c r="BA3908" i="10"/>
  <c r="BA3938" i="10"/>
  <c r="BA3966" i="10"/>
  <c r="BA3994" i="10"/>
  <c r="BA4024" i="10"/>
  <c r="BA4052" i="10"/>
  <c r="BA4082" i="10"/>
  <c r="BA4110" i="10"/>
  <c r="BA4138" i="10"/>
  <c r="BA4168" i="10"/>
  <c r="BA4196" i="10"/>
  <c r="BA4226" i="10"/>
  <c r="BA4254" i="10"/>
  <c r="BA4282" i="10"/>
  <c r="BA4312" i="10"/>
  <c r="BA4340" i="10"/>
  <c r="BA4370" i="10"/>
  <c r="BA4398" i="10"/>
  <c r="BA4426" i="10"/>
  <c r="BA4456" i="10"/>
  <c r="BA4484" i="10"/>
  <c r="BA4514" i="10"/>
  <c r="BA4542" i="10"/>
  <c r="BA4570" i="10"/>
  <c r="BA4600" i="10"/>
  <c r="BA4628" i="10"/>
  <c r="BA4658" i="10"/>
  <c r="BA4686" i="10"/>
  <c r="BA4714" i="10"/>
  <c r="BA4744" i="10"/>
  <c r="BA4772" i="10"/>
  <c r="BA4802" i="10"/>
  <c r="BA4830" i="10"/>
  <c r="BA4858" i="10"/>
  <c r="BA4888" i="10"/>
  <c r="BA4916" i="10"/>
  <c r="BA4946" i="10"/>
  <c r="BA4973" i="10"/>
  <c r="BA4999" i="10"/>
  <c r="BA5025" i="10"/>
  <c r="BA5052" i="10"/>
  <c r="BA5076" i="10"/>
  <c r="BA5100" i="10"/>
  <c r="BA5124" i="10"/>
  <c r="BA5148" i="10"/>
  <c r="BA5172" i="10"/>
  <c r="BA5196" i="10"/>
  <c r="BA34" i="10"/>
  <c r="BA87" i="10"/>
  <c r="BA139" i="10"/>
  <c r="BA191" i="10"/>
  <c r="BA244" i="10"/>
  <c r="BA296" i="10"/>
  <c r="BA348" i="10"/>
  <c r="BA401" i="10"/>
  <c r="BA453" i="10"/>
  <c r="BA505" i="10"/>
  <c r="BA558" i="10"/>
  <c r="BA610" i="10"/>
  <c r="BA663" i="10"/>
  <c r="BA715" i="10"/>
  <c r="BA767" i="10"/>
  <c r="BA820" i="10"/>
  <c r="BA872" i="10"/>
  <c r="BA924" i="10"/>
  <c r="BA976" i="10"/>
  <c r="BA1024" i="10"/>
  <c r="BA1072" i="10"/>
  <c r="BA1120" i="10"/>
  <c r="BA1168" i="10"/>
  <c r="BA1216" i="10"/>
  <c r="BA1264" i="10"/>
  <c r="BA1312" i="10"/>
  <c r="BA1360" i="10"/>
  <c r="BA1408" i="10"/>
  <c r="BA1452" i="10"/>
  <c r="BA1493" i="10"/>
  <c r="BA1534" i="10"/>
  <c r="BA1576" i="10"/>
  <c r="BA1615" i="10"/>
  <c r="BA1659" i="10"/>
  <c r="BA1698" i="10"/>
  <c r="BA1740" i="10"/>
  <c r="BA1781" i="10"/>
  <c r="BA1822" i="10"/>
  <c r="BA1864" i="10"/>
  <c r="BA1903" i="10"/>
  <c r="BA1947" i="10"/>
  <c r="BA2008" i="10"/>
  <c r="BA2047" i="10"/>
  <c r="BA2091" i="10"/>
  <c r="BA2130" i="10"/>
  <c r="BA24" i="10"/>
  <c r="BA51" i="10"/>
  <c r="BA77" i="10"/>
  <c r="BA103" i="10"/>
  <c r="BA129" i="10"/>
  <c r="BA155" i="10"/>
  <c r="BA181" i="10"/>
  <c r="BA208" i="10"/>
  <c r="BA234" i="10"/>
  <c r="BA260" i="10"/>
  <c r="BA286" i="10"/>
  <c r="BA312" i="10"/>
  <c r="BA339" i="10"/>
  <c r="BA365" i="10"/>
  <c r="BA391" i="10"/>
  <c r="BA417" i="10"/>
  <c r="BA443" i="10"/>
  <c r="BA469" i="10"/>
  <c r="BA496" i="10"/>
  <c r="BA522" i="10"/>
  <c r="BA548" i="10"/>
  <c r="BA574" i="10"/>
  <c r="BA600" i="10"/>
  <c r="BA627" i="10"/>
  <c r="BA653" i="10"/>
  <c r="BA679" i="10"/>
  <c r="BA705" i="10"/>
  <c r="BA731" i="10"/>
  <c r="BA757" i="10"/>
  <c r="BA784" i="10"/>
  <c r="BA810" i="10"/>
  <c r="BA836" i="10"/>
  <c r="BA862" i="10"/>
  <c r="BA888" i="10"/>
  <c r="BA915" i="10"/>
  <c r="BA941" i="10"/>
  <c r="BA967" i="10"/>
  <c r="BA991" i="10"/>
  <c r="BA1015" i="10"/>
  <c r="BA1039" i="10"/>
  <c r="BA1063" i="10"/>
  <c r="BA1087" i="10"/>
  <c r="BA1111" i="10"/>
  <c r="BA1135" i="10"/>
  <c r="BA1159" i="10"/>
  <c r="BA1183" i="10"/>
  <c r="BA1207" i="10"/>
  <c r="BA1231" i="10"/>
  <c r="BA1255" i="10"/>
  <c r="BA1279" i="10"/>
  <c r="BA1303" i="10"/>
  <c r="BA1327" i="10"/>
  <c r="BA1351" i="10"/>
  <c r="BA1375" i="10"/>
  <c r="BA1399" i="10"/>
  <c r="BA1423" i="10"/>
  <c r="BA1446" i="10"/>
  <c r="BA1468" i="10"/>
  <c r="BA1488" i="10"/>
  <c r="BA1507" i="10"/>
  <c r="BA1529" i="10"/>
  <c r="BA1551" i="10"/>
  <c r="BA1570" i="10"/>
  <c r="BA1590" i="10"/>
  <c r="BA1612" i="10"/>
  <c r="BA1632" i="10"/>
  <c r="BA1651" i="10"/>
  <c r="BA1673" i="10"/>
  <c r="BA1695" i="10"/>
  <c r="BA1714" i="10"/>
  <c r="BA1734" i="10"/>
  <c r="BA1756" i="10"/>
  <c r="BA1776" i="10"/>
  <c r="BA1795" i="10"/>
  <c r="BA1817" i="10"/>
  <c r="BA1839" i="10"/>
  <c r="BA1858" i="10"/>
  <c r="BA1878" i="10"/>
  <c r="BA1900" i="10"/>
  <c r="BA1920" i="10"/>
  <c r="BA1939" i="10"/>
  <c r="BA1961" i="10"/>
  <c r="BA1983" i="10"/>
  <c r="BA2002" i="10"/>
  <c r="BA2022" i="10"/>
  <c r="BA2044" i="10"/>
  <c r="BA2064" i="10"/>
  <c r="BA2083" i="10"/>
  <c r="BA2105" i="10"/>
  <c r="BA2127" i="10"/>
  <c r="BA2146" i="10"/>
  <c r="BA2166" i="10"/>
  <c r="BA2188" i="10"/>
  <c r="BA2208" i="10"/>
  <c r="BA2227" i="10"/>
  <c r="BA2249" i="10"/>
  <c r="BA2271" i="10"/>
  <c r="BA2290" i="10"/>
  <c r="BA2310" i="10"/>
  <c r="BA2332" i="10"/>
  <c r="BA2352" i="10"/>
  <c r="BA2370" i="10"/>
  <c r="BA2388" i="10"/>
  <c r="BA2406" i="10"/>
  <c r="BA2424" i="10"/>
  <c r="BA2442" i="10"/>
  <c r="BA2460" i="10"/>
  <c r="BA2478" i="10"/>
  <c r="BA2496" i="10"/>
  <c r="BA2514" i="10"/>
  <c r="BA2532" i="10"/>
  <c r="BA2550" i="10"/>
  <c r="BA2568" i="10"/>
  <c r="BA2586" i="10"/>
  <c r="BA2604" i="10"/>
  <c r="BA2622" i="10"/>
  <c r="BA2640" i="10"/>
  <c r="BA2658" i="10"/>
  <c r="BA2676" i="10"/>
  <c r="BA2694" i="10"/>
  <c r="BA2712" i="10"/>
  <c r="BA2730" i="10"/>
  <c r="BA2748" i="10"/>
  <c r="BA2766" i="10"/>
  <c r="BA2784" i="10"/>
  <c r="BA2802" i="10"/>
  <c r="BA2820" i="10"/>
  <c r="BA2838" i="10"/>
  <c r="BA2856" i="10"/>
  <c r="BA2874" i="10"/>
  <c r="BA2892" i="10"/>
  <c r="BA2910" i="10"/>
  <c r="BA2928" i="10"/>
  <c r="BA2946" i="10"/>
  <c r="BA2964" i="10"/>
  <c r="BA2982" i="10"/>
  <c r="BA3000" i="10"/>
  <c r="BA3018" i="10"/>
  <c r="BA3036" i="10"/>
  <c r="BA3052" i="10"/>
  <c r="BA3067" i="10"/>
  <c r="BA3084" i="10"/>
  <c r="BA3100" i="10"/>
  <c r="BA3114" i="10"/>
  <c r="BA3128" i="10"/>
  <c r="BA3142" i="10"/>
  <c r="BA3172" i="10"/>
  <c r="BA3186" i="10"/>
  <c r="BA3200" i="10"/>
  <c r="BA3214" i="10"/>
  <c r="BA3230" i="10"/>
  <c r="BA3244" i="10"/>
  <c r="BA3258" i="10"/>
  <c r="BA3272" i="10"/>
  <c r="BA3286" i="10"/>
  <c r="BA3302" i="10"/>
  <c r="BA3316" i="10"/>
  <c r="BA3330" i="10"/>
  <c r="BA3344" i="10"/>
  <c r="BA3358" i="10"/>
  <c r="BA3374" i="10"/>
  <c r="BA3388" i="10"/>
  <c r="BA3402" i="10"/>
  <c r="BA3416" i="10"/>
  <c r="BA3430" i="10"/>
  <c r="BA3446" i="10"/>
  <c r="BA3460" i="10"/>
  <c r="BA3474" i="10"/>
  <c r="BA3488" i="10"/>
  <c r="BA3502" i="10"/>
  <c r="BA3518" i="10"/>
  <c r="BA3546" i="10"/>
  <c r="BA3560" i="10"/>
  <c r="BA3574" i="10"/>
  <c r="BA3590" i="10"/>
  <c r="BA3604" i="10"/>
  <c r="BA3618" i="10"/>
  <c r="BA3632" i="10"/>
  <c r="BA3646" i="10"/>
  <c r="BA3662" i="10"/>
  <c r="BA3676" i="10"/>
  <c r="BA3690" i="10"/>
  <c r="BA3704" i="10"/>
  <c r="BA3718" i="10"/>
  <c r="BA3734" i="10"/>
  <c r="BA3748" i="10"/>
  <c r="BA3762" i="10"/>
  <c r="BA3776" i="10"/>
  <c r="BA3790" i="10"/>
  <c r="BA3806" i="10"/>
  <c r="BA3820" i="10"/>
  <c r="BA3834" i="10"/>
  <c r="BA3848" i="10"/>
  <c r="BA3862" i="10"/>
  <c r="BA3878" i="10"/>
  <c r="BA3892" i="10"/>
  <c r="BA3906" i="10"/>
  <c r="BA3920" i="10"/>
  <c r="BA3934" i="10"/>
  <c r="BA3964" i="10"/>
  <c r="BA3978" i="10"/>
  <c r="BA4006" i="10"/>
  <c r="BA4050" i="10"/>
  <c r="BA4094" i="10"/>
  <c r="BA4150" i="10"/>
  <c r="BA4208" i="10"/>
  <c r="BA4266" i="10"/>
  <c r="BA4310" i="10"/>
  <c r="BA4382" i="10"/>
  <c r="BA4424" i="10"/>
  <c r="BA4482" i="10"/>
  <c r="BA4540" i="10"/>
  <c r="BA4598" i="10"/>
  <c r="BA4654" i="10"/>
  <c r="BA4726" i="10"/>
  <c r="BA4770" i="10"/>
  <c r="BA4828" i="10"/>
  <c r="BA4886" i="10"/>
  <c r="BA4928" i="10"/>
  <c r="BA4971" i="10"/>
  <c r="BA5023" i="10"/>
  <c r="BA5074" i="10"/>
  <c r="BA5134" i="10"/>
  <c r="BA5194" i="10"/>
  <c r="BA4541" i="10"/>
  <c r="BA4843" i="10"/>
  <c r="BA4959" i="10"/>
  <c r="BA5024" i="10"/>
  <c r="BA5075" i="10"/>
  <c r="BA5123" i="10"/>
  <c r="BA5171" i="10"/>
  <c r="BA583" i="10"/>
  <c r="BA3606" i="10"/>
  <c r="BA28" i="10"/>
  <c r="BA54" i="10"/>
  <c r="BA80" i="10"/>
  <c r="BA106" i="10"/>
  <c r="BA132" i="10"/>
  <c r="BA159" i="10"/>
  <c r="BA185" i="10"/>
  <c r="BA211" i="10"/>
  <c r="BA237" i="10"/>
  <c r="BA263" i="10"/>
  <c r="BA289" i="10"/>
  <c r="BA316" i="10"/>
  <c r="BA342" i="10"/>
  <c r="BA368" i="10"/>
  <c r="BA394" i="10"/>
  <c r="BA420" i="10"/>
  <c r="BA447" i="10"/>
  <c r="BA473" i="10"/>
  <c r="BA499" i="10"/>
  <c r="BA525" i="10"/>
  <c r="BA551" i="10"/>
  <c r="BA577" i="10"/>
  <c r="BA604" i="10"/>
  <c r="BA630" i="10"/>
  <c r="BA656" i="10"/>
  <c r="BA682" i="10"/>
  <c r="BA708" i="10"/>
  <c r="BA735" i="10"/>
  <c r="BA761" i="10"/>
  <c r="BA787" i="10"/>
  <c r="BA813" i="10"/>
  <c r="BA839" i="10"/>
  <c r="BA865" i="10"/>
  <c r="BA892" i="10"/>
  <c r="BA918" i="10"/>
  <c r="BA944" i="10"/>
  <c r="BA970" i="10"/>
  <c r="BA994" i="10"/>
  <c r="BA1018" i="10"/>
  <c r="BA1042" i="10"/>
  <c r="BA1066" i="10"/>
  <c r="BA1090" i="10"/>
  <c r="BA1114" i="10"/>
  <c r="BA1138" i="10"/>
  <c r="BA1162" i="10"/>
  <c r="BA1186" i="10"/>
  <c r="BA1210" i="10"/>
  <c r="BA1234" i="10"/>
  <c r="BA1258" i="10"/>
  <c r="BA1282" i="10"/>
  <c r="BA1306" i="10"/>
  <c r="BA1330" i="10"/>
  <c r="BA1354" i="10"/>
  <c r="BA1378" i="10"/>
  <c r="BA1402" i="10"/>
  <c r="BA1426" i="10"/>
  <c r="BA1447" i="10"/>
  <c r="BA1469" i="10"/>
  <c r="BA1491" i="10"/>
  <c r="BA1510" i="10"/>
  <c r="BA1530" i="10"/>
  <c r="BA1552" i="10"/>
  <c r="BA1572" i="10"/>
  <c r="BA1591" i="10"/>
  <c r="BA1613" i="10"/>
  <c r="BA1635" i="10"/>
  <c r="BA1654" i="10"/>
  <c r="BA1674" i="10"/>
  <c r="BA1696" i="10"/>
  <c r="BA1716" i="10"/>
  <c r="BA1735" i="10"/>
  <c r="BA1757" i="10"/>
  <c r="BA1779" i="10"/>
  <c r="BA1798" i="10"/>
  <c r="BA1818" i="10"/>
  <c r="BA1840" i="10"/>
  <c r="BA1860" i="10"/>
  <c r="BA1879" i="10"/>
  <c r="BA1901" i="10"/>
  <c r="BA1923" i="10"/>
  <c r="BA1942" i="10"/>
  <c r="BA1962" i="10"/>
  <c r="BA1984" i="10"/>
  <c r="BA2004" i="10"/>
  <c r="BA2023" i="10"/>
  <c r="BA2045" i="10"/>
  <c r="BA2067" i="10"/>
  <c r="BA2086" i="10"/>
  <c r="BA2106" i="10"/>
  <c r="BA2128" i="10"/>
  <c r="BA2148" i="10"/>
  <c r="BA2167" i="10"/>
  <c r="BA2189" i="10"/>
  <c r="BA2211" i="10"/>
  <c r="BA2230" i="10"/>
  <c r="BA2250" i="10"/>
  <c r="BA2272" i="10"/>
  <c r="BA2292" i="10"/>
  <c r="BA2311" i="10"/>
  <c r="BA2333" i="10"/>
  <c r="BA2355" i="10"/>
  <c r="BA2371" i="10"/>
  <c r="BA2391" i="10"/>
  <c r="BA2407" i="10"/>
  <c r="BA2427" i="10"/>
  <c r="BA2443" i="10"/>
  <c r="BA2463" i="10"/>
  <c r="BA2479" i="10"/>
  <c r="BA2499" i="10"/>
  <c r="BA2515" i="10"/>
  <c r="BA2535" i="10"/>
  <c r="BA2551" i="10"/>
  <c r="BA2571" i="10"/>
  <c r="BA2587" i="10"/>
  <c r="BA2607" i="10"/>
  <c r="BA2623" i="10"/>
  <c r="BA2643" i="10"/>
  <c r="BA2659" i="10"/>
  <c r="BA2679" i="10"/>
  <c r="BA2695" i="10"/>
  <c r="BA2715" i="10"/>
  <c r="BA2731" i="10"/>
  <c r="BA2751" i="10"/>
  <c r="BA2767" i="10"/>
  <c r="BA2787" i="10"/>
  <c r="BA2803" i="10"/>
  <c r="BA2823" i="10"/>
  <c r="BA2839" i="10"/>
  <c r="BA2859" i="10"/>
  <c r="BA2875" i="10"/>
  <c r="BA2895" i="10"/>
  <c r="BA2911" i="10"/>
  <c r="BA2931" i="10"/>
  <c r="BA2947" i="10"/>
  <c r="BA2967" i="10"/>
  <c r="BA2983" i="10"/>
  <c r="BA3003" i="10"/>
  <c r="BA3019" i="10"/>
  <c r="BA3038" i="10"/>
  <c r="BA3053" i="10"/>
  <c r="BA3069" i="10"/>
  <c r="BA3086" i="10"/>
  <c r="BA3101" i="10"/>
  <c r="BA3115" i="10"/>
  <c r="BA3129" i="10"/>
  <c r="BA3144" i="10"/>
  <c r="BA3159" i="10"/>
  <c r="BA3173" i="10"/>
  <c r="BA3187" i="10"/>
  <c r="BA3201" i="10"/>
  <c r="BA3216" i="10"/>
  <c r="BA3231" i="10"/>
  <c r="BA3245" i="10"/>
  <c r="BA3259" i="10"/>
  <c r="BA3273" i="10"/>
  <c r="BA3288" i="10"/>
  <c r="BA3303" i="10"/>
  <c r="BA3317" i="10"/>
  <c r="BA3331" i="10"/>
  <c r="BA3345" i="10"/>
  <c r="BA3360" i="10"/>
  <c r="BA3375" i="10"/>
  <c r="BA3389" i="10"/>
  <c r="BA3403" i="10"/>
  <c r="BA3417" i="10"/>
  <c r="BA3432" i="10"/>
  <c r="BA3447" i="10"/>
  <c r="BA3461" i="10"/>
  <c r="BA3475" i="10"/>
  <c r="BA3489" i="10"/>
  <c r="BA3504" i="10"/>
  <c r="BA3519" i="10"/>
  <c r="BA3533" i="10"/>
  <c r="BA3547" i="10"/>
  <c r="BA3561" i="10"/>
  <c r="BA3576" i="10"/>
  <c r="BA3591" i="10"/>
  <c r="BA3605" i="10"/>
  <c r="BA3619" i="10"/>
  <c r="BA3633" i="10"/>
  <c r="BA3648" i="10"/>
  <c r="BA3663" i="10"/>
  <c r="BA3677" i="10"/>
  <c r="BA3691" i="10"/>
  <c r="BA3705" i="10"/>
  <c r="BA3720" i="10"/>
  <c r="BA3735" i="10"/>
  <c r="BA3749" i="10"/>
  <c r="BA3763" i="10"/>
  <c r="BA3777" i="10"/>
  <c r="BA3792" i="10"/>
  <c r="BA3807" i="10"/>
  <c r="BA3821" i="10"/>
  <c r="BA3835" i="10"/>
  <c r="BA3849" i="10"/>
  <c r="BA3864" i="10"/>
  <c r="BA3879" i="10"/>
  <c r="BA3893" i="10"/>
  <c r="BA3907" i="10"/>
  <c r="BA3921" i="10"/>
  <c r="BA3936" i="10"/>
  <c r="BA3951" i="10"/>
  <c r="BA3965" i="10"/>
  <c r="BA3979" i="10"/>
  <c r="BA3993" i="10"/>
  <c r="BA4008" i="10"/>
  <c r="BA4023" i="10"/>
  <c r="BA4037" i="10"/>
  <c r="BA4051" i="10"/>
  <c r="BA4065" i="10"/>
  <c r="BA4080" i="10"/>
  <c r="BA4095" i="10"/>
  <c r="BA4109" i="10"/>
  <c r="BA4123" i="10"/>
  <c r="BA4137" i="10"/>
  <c r="BA4152" i="10"/>
  <c r="BA4167" i="10"/>
  <c r="BA4181" i="10"/>
  <c r="BA4195" i="10"/>
  <c r="BA4209" i="10"/>
  <c r="BA4224" i="10"/>
  <c r="BA4239" i="10"/>
  <c r="BA4253" i="10"/>
  <c r="BA4267" i="10"/>
  <c r="BA4281" i="10"/>
  <c r="BA4296" i="10"/>
  <c r="BA4311" i="10"/>
  <c r="BA4325" i="10"/>
  <c r="BA4339" i="10"/>
  <c r="BA4353" i="10"/>
  <c r="BA4368" i="10"/>
  <c r="BA4383" i="10"/>
  <c r="BA4397" i="10"/>
  <c r="BA4411" i="10"/>
  <c r="BA4425" i="10"/>
  <c r="BA4440" i="10"/>
  <c r="BA4455" i="10"/>
  <c r="BA4469" i="10"/>
  <c r="BA4483" i="10"/>
  <c r="BA4512" i="10"/>
  <c r="BA4555" i="10"/>
  <c r="BA4569" i="10"/>
  <c r="BA4584" i="10"/>
  <c r="BA4599" i="10"/>
  <c r="BA4613" i="10"/>
  <c r="BA4641" i="10"/>
  <c r="BA4685" i="10"/>
  <c r="BA4771" i="10"/>
  <c r="BA4901" i="10"/>
  <c r="BA5063" i="10"/>
  <c r="BA5207" i="10"/>
  <c r="BA714" i="10"/>
  <c r="BA3750" i="10"/>
  <c r="BA63" i="10"/>
  <c r="BA167" i="10"/>
  <c r="BA272" i="10"/>
  <c r="BA377" i="10"/>
  <c r="BA481" i="10"/>
  <c r="BA586" i="10"/>
  <c r="BA691" i="10"/>
  <c r="BA796" i="10"/>
  <c r="BA900" i="10"/>
  <c r="BA1002" i="10"/>
  <c r="BA1098" i="10"/>
  <c r="BA1194" i="10"/>
  <c r="BA1290" i="10"/>
  <c r="BA1386" i="10"/>
  <c r="BA1476" i="10"/>
  <c r="BA1558" i="10"/>
  <c r="BA1639" i="10"/>
  <c r="BA1722" i="10"/>
  <c r="BA1805" i="10"/>
  <c r="BA1888" i="10"/>
  <c r="BA1968" i="10"/>
  <c r="BA2050" i="10"/>
  <c r="BA2131" i="10"/>
  <c r="BA2196" i="10"/>
  <c r="BA2259" i="10"/>
  <c r="BA2320" i="10"/>
  <c r="BA2379" i="10"/>
  <c r="BA2431" i="10"/>
  <c r="BA2487" i="10"/>
  <c r="BA2539" i="10"/>
  <c r="BA2595" i="10"/>
  <c r="BA2647" i="10"/>
  <c r="BA2703" i="10"/>
  <c r="BA2755" i="10"/>
  <c r="BA2811" i="10"/>
  <c r="BA2863" i="10"/>
  <c r="BA2919" i="10"/>
  <c r="BA2971" i="10"/>
  <c r="BA3027" i="10"/>
  <c r="BA3075" i="10"/>
  <c r="BA3120" i="10"/>
  <c r="BA3163" i="10"/>
  <c r="BA3207" i="10"/>
  <c r="BA3249" i="10"/>
  <c r="BA3293" i="10"/>
  <c r="BA3336" i="10"/>
  <c r="BA3379" i="10"/>
  <c r="BA3423" i="10"/>
  <c r="BA3465" i="10"/>
  <c r="BA3509" i="10"/>
  <c r="BA3552" i="10"/>
  <c r="BA3595" i="10"/>
  <c r="BA3639" i="10"/>
  <c r="BA3681" i="10"/>
  <c r="BA3725" i="10"/>
  <c r="BA3768" i="10"/>
  <c r="BA3811" i="10"/>
  <c r="BA3855" i="10"/>
  <c r="BA3897" i="10"/>
  <c r="BA3941" i="10"/>
  <c r="BA3984" i="10"/>
  <c r="BA4027" i="10"/>
  <c r="BA4071" i="10"/>
  <c r="BA4113" i="10"/>
  <c r="BA4157" i="10"/>
  <c r="BA4200" i="10"/>
  <c r="BA4243" i="10"/>
  <c r="BA4287" i="10"/>
  <c r="BA4329" i="10"/>
  <c r="BA4373" i="10"/>
  <c r="BA4416" i="10"/>
  <c r="BA4459" i="10"/>
  <c r="BA4503" i="10"/>
  <c r="BA4545" i="10"/>
  <c r="BA4589" i="10"/>
  <c r="BA4632" i="10"/>
  <c r="BA4675" i="10"/>
  <c r="BA4719" i="10"/>
  <c r="BA4761" i="10"/>
  <c r="BA4805" i="10"/>
  <c r="BA4848" i="10"/>
  <c r="BA4891" i="10"/>
  <c r="BA4935" i="10"/>
  <c r="BA4976" i="10"/>
  <c r="BA5016" i="10"/>
  <c r="BA5055" i="10"/>
  <c r="BA5091" i="10"/>
  <c r="BA5127" i="10"/>
  <c r="BA5163" i="10"/>
  <c r="BA5198" i="10"/>
  <c r="BA88" i="10"/>
  <c r="BA297" i="10"/>
  <c r="BA507" i="10"/>
  <c r="BA716" i="10"/>
  <c r="BA925" i="10"/>
  <c r="BA1121" i="10"/>
  <c r="BA1313" i="10"/>
  <c r="BA1494" i="10"/>
  <c r="BA1660" i="10"/>
  <c r="BA1824" i="10"/>
  <c r="BA1972" i="10"/>
  <c r="BA2136" i="10"/>
  <c r="BA2274" i="10"/>
  <c r="BA2393" i="10"/>
  <c r="BA2501" i="10"/>
  <c r="BA2609" i="10"/>
  <c r="BA2717" i="10"/>
  <c r="BA2825" i="10"/>
  <c r="BA2933" i="10"/>
  <c r="BA3040" i="10"/>
  <c r="BA3132" i="10"/>
  <c r="BA3219" i="10"/>
  <c r="BA3305" i="10"/>
  <c r="BA3391" i="10"/>
  <c r="BA3477" i="10"/>
  <c r="BA3564" i="10"/>
  <c r="BA3651" i="10"/>
  <c r="BA3737" i="10"/>
  <c r="BA3823" i="10"/>
  <c r="BA3909" i="10"/>
  <c r="BA3996" i="10"/>
  <c r="BA4083" i="10"/>
  <c r="BA4169" i="10"/>
  <c r="BA4255" i="10"/>
  <c r="BA4341" i="10"/>
  <c r="BA4428" i="10"/>
  <c r="BA4515" i="10"/>
  <c r="BA4601" i="10"/>
  <c r="BA4687" i="10"/>
  <c r="BA4773" i="10"/>
  <c r="BA4860" i="10"/>
  <c r="BA4947" i="10"/>
  <c r="BA5026" i="10"/>
  <c r="BA5101" i="10"/>
  <c r="BA5173" i="10"/>
  <c r="BA1265" i="10"/>
  <c r="BA4964" i="10"/>
  <c r="BA2032" i="10"/>
  <c r="BA4673" i="10"/>
  <c r="BA3854" i="10"/>
  <c r="BA64" i="10"/>
  <c r="BA168" i="10"/>
  <c r="BA273" i="10"/>
  <c r="BA378" i="10"/>
  <c r="BA483" i="10"/>
  <c r="BA587" i="10"/>
  <c r="BA692" i="10"/>
  <c r="BA797" i="10"/>
  <c r="BA901" i="10"/>
  <c r="BA1003" i="10"/>
  <c r="BA1099" i="10"/>
  <c r="BA1195" i="10"/>
  <c r="BA1291" i="10"/>
  <c r="BA1387" i="10"/>
  <c r="BA1479" i="10"/>
  <c r="BA1560" i="10"/>
  <c r="BA1642" i="10"/>
  <c r="BA1723" i="10"/>
  <c r="BA1806" i="10"/>
  <c r="BA1889" i="10"/>
  <c r="BA1971" i="10"/>
  <c r="BA2052" i="10"/>
  <c r="BA2134" i="10"/>
  <c r="BA2199" i="10"/>
  <c r="BA2260" i="10"/>
  <c r="BA2321" i="10"/>
  <c r="BA2380" i="10"/>
  <c r="BA2433" i="10"/>
  <c r="BA2488" i="10"/>
  <c r="BA2541" i="10"/>
  <c r="BA2596" i="10"/>
  <c r="BA2649" i="10"/>
  <c r="BA2704" i="10"/>
  <c r="BA2757" i="10"/>
  <c r="BA2812" i="10"/>
  <c r="BA2865" i="10"/>
  <c r="BA2920" i="10"/>
  <c r="BA2973" i="10"/>
  <c r="BA3028" i="10"/>
  <c r="BA3076" i="10"/>
  <c r="BA3122" i="10"/>
  <c r="BA3164" i="10"/>
  <c r="BA3208" i="10"/>
  <c r="BA3250" i="10"/>
  <c r="BA3294" i="10"/>
  <c r="BA3338" i="10"/>
  <c r="BA3380" i="10"/>
  <c r="BA3424" i="10"/>
  <c r="BA3466" i="10"/>
  <c r="BA3510" i="10"/>
  <c r="BA3554" i="10"/>
  <c r="BA3596" i="10"/>
  <c r="BA3640" i="10"/>
  <c r="BA3682" i="10"/>
  <c r="BA3726" i="10"/>
  <c r="BA3770" i="10"/>
  <c r="BA3812" i="10"/>
  <c r="BA3856" i="10"/>
  <c r="BA3898" i="10"/>
  <c r="BA3942" i="10"/>
  <c r="BA3986" i="10"/>
  <c r="BA4028" i="10"/>
  <c r="BA4072" i="10"/>
  <c r="BA4114" i="10"/>
  <c r="BA4158" i="10"/>
  <c r="BA4202" i="10"/>
  <c r="BA4244" i="10"/>
  <c r="BA4288" i="10"/>
  <c r="BA4330" i="10"/>
  <c r="BA4374" i="10"/>
  <c r="BA4418" i="10"/>
  <c r="BA4460" i="10"/>
  <c r="BA4504" i="10"/>
  <c r="BA4546" i="10"/>
  <c r="BA4590" i="10"/>
  <c r="BA4634" i="10"/>
  <c r="BA4676" i="10"/>
  <c r="BA4720" i="10"/>
  <c r="BA4762" i="10"/>
  <c r="BA4806" i="10"/>
  <c r="BA4850" i="10"/>
  <c r="BA4892" i="10"/>
  <c r="BA4936" i="10"/>
  <c r="BA4977" i="10"/>
  <c r="BA5017" i="10"/>
  <c r="BA5056" i="10"/>
  <c r="BA5092" i="10"/>
  <c r="BA5128" i="10"/>
  <c r="BA5164" i="10"/>
  <c r="BA5199" i="10"/>
  <c r="BA192" i="10"/>
  <c r="BA402" i="10"/>
  <c r="BA611" i="10"/>
  <c r="BA821" i="10"/>
  <c r="BA1025" i="10"/>
  <c r="BA1217" i="10"/>
  <c r="BA1409" i="10"/>
  <c r="BA1577" i="10"/>
  <c r="BA1743" i="10"/>
  <c r="BA1906" i="10"/>
  <c r="BA2055" i="10"/>
  <c r="BA2213" i="10"/>
  <c r="BA2335" i="10"/>
  <c r="BA2446" i="10"/>
  <c r="BA2554" i="10"/>
  <c r="BA2662" i="10"/>
  <c r="BA2770" i="10"/>
  <c r="BA2878" i="10"/>
  <c r="BA2986" i="10"/>
  <c r="BA3088" i="10"/>
  <c r="BA3175" i="10"/>
  <c r="BA3261" i="10"/>
  <c r="BA3348" i="10"/>
  <c r="BA3435" i="10"/>
  <c r="BA3521" i="10"/>
  <c r="BA3607" i="10"/>
  <c r="BA3693" i="10"/>
  <c r="BA3780" i="10"/>
  <c r="BA3867" i="10"/>
  <c r="BA3953" i="10"/>
  <c r="BA4039" i="10"/>
  <c r="BA4125" i="10"/>
  <c r="BA4212" i="10"/>
  <c r="BA4299" i="10"/>
  <c r="BA4385" i="10"/>
  <c r="BA4471" i="10"/>
  <c r="BA4557" i="10"/>
  <c r="BA4644" i="10"/>
  <c r="BA4731" i="10"/>
  <c r="BA4817" i="10"/>
  <c r="BA4903" i="10"/>
  <c r="BA4987" i="10"/>
  <c r="BA5065" i="10"/>
  <c r="BA5137" i="10"/>
  <c r="BA5200" i="10"/>
  <c r="BA1536" i="10"/>
  <c r="BA5151" i="10"/>
  <c r="BA5080" i="10"/>
  <c r="BA2254" i="10"/>
  <c r="BA4457" i="10"/>
  <c r="BA3464" i="10"/>
  <c r="BA89" i="10"/>
  <c r="BA193" i="10"/>
  <c r="BA298" i="10"/>
  <c r="BA403" i="10"/>
  <c r="BA508" i="10"/>
  <c r="BA612" i="10"/>
  <c r="BA717" i="10"/>
  <c r="BA822" i="10"/>
  <c r="BA927" i="10"/>
  <c r="BA1026" i="10"/>
  <c r="BA1122" i="10"/>
  <c r="BA1218" i="10"/>
  <c r="BA1314" i="10"/>
  <c r="BA1410" i="10"/>
  <c r="BA1495" i="10"/>
  <c r="BA1578" i="10"/>
  <c r="BA1661" i="10"/>
  <c r="BA1744" i="10"/>
  <c r="BA1827" i="10"/>
  <c r="BA1908" i="10"/>
  <c r="BA1987" i="10"/>
  <c r="BA2070" i="10"/>
  <c r="BA2153" i="10"/>
  <c r="BA2214" i="10"/>
  <c r="BA2275" i="10"/>
  <c r="BA2338" i="10"/>
  <c r="BA2394" i="10"/>
  <c r="BA2448" i="10"/>
  <c r="BA2502" i="10"/>
  <c r="BA2556" i="10"/>
  <c r="BA2610" i="10"/>
  <c r="BA2664" i="10"/>
  <c r="BA2718" i="10"/>
  <c r="BA2772" i="10"/>
  <c r="BA2826" i="10"/>
  <c r="BA2880" i="10"/>
  <c r="BA2934" i="10"/>
  <c r="BA2988" i="10"/>
  <c r="BA3041" i="10"/>
  <c r="BA3089" i="10"/>
  <c r="BA3134" i="10"/>
  <c r="BA3176" i="10"/>
  <c r="BA3220" i="10"/>
  <c r="BA3262" i="10"/>
  <c r="BA3306" i="10"/>
  <c r="BA3350" i="10"/>
  <c r="BA3392" i="10"/>
  <c r="BA3436" i="10"/>
  <c r="BA3478" i="10"/>
  <c r="BA3522" i="10"/>
  <c r="BA3566" i="10"/>
  <c r="BA3608" i="10"/>
  <c r="BA3652" i="10"/>
  <c r="BA3694" i="10"/>
  <c r="BA3738" i="10"/>
  <c r="BA3782" i="10"/>
  <c r="BA3824" i="10"/>
  <c r="BA3868" i="10"/>
  <c r="BA3910" i="10"/>
  <c r="BA3954" i="10"/>
  <c r="BA3998" i="10"/>
  <c r="BA4040" i="10"/>
  <c r="BA4084" i="10"/>
  <c r="BA4126" i="10"/>
  <c r="BA4170" i="10"/>
  <c r="BA4214" i="10"/>
  <c r="BA4256" i="10"/>
  <c r="BA4300" i="10"/>
  <c r="BA4342" i="10"/>
  <c r="BA4386" i="10"/>
  <c r="BA4430" i="10"/>
  <c r="BA4472" i="10"/>
  <c r="BA4516" i="10"/>
  <c r="BA4558" i="10"/>
  <c r="BA4602" i="10"/>
  <c r="BA4646" i="10"/>
  <c r="BA4688" i="10"/>
  <c r="BA4732" i="10"/>
  <c r="BA4774" i="10"/>
  <c r="BA4818" i="10"/>
  <c r="BA4862" i="10"/>
  <c r="BA4904" i="10"/>
  <c r="BA4948" i="10"/>
  <c r="BA4988" i="10"/>
  <c r="BA5028" i="10"/>
  <c r="BA5066" i="10"/>
  <c r="BA5102" i="10"/>
  <c r="BA5138" i="10"/>
  <c r="BA5174" i="10"/>
  <c r="BA5209" i="10"/>
  <c r="BA90" i="10"/>
  <c r="BA195" i="10"/>
  <c r="BA299" i="10"/>
  <c r="BA404" i="10"/>
  <c r="BA509" i="10"/>
  <c r="BA613" i="10"/>
  <c r="BA718" i="10"/>
  <c r="BA823" i="10"/>
  <c r="BA928" i="10"/>
  <c r="BA1027" i="10"/>
  <c r="BA1123" i="10"/>
  <c r="BA1219" i="10"/>
  <c r="BA1315" i="10"/>
  <c r="BA1411" i="10"/>
  <c r="BA1498" i="10"/>
  <c r="BA1579" i="10"/>
  <c r="BA1662" i="10"/>
  <c r="BA1745" i="10"/>
  <c r="BA1828" i="10"/>
  <c r="BA1911" i="10"/>
  <c r="BA1990" i="10"/>
  <c r="BA2071" i="10"/>
  <c r="BA2154" i="10"/>
  <c r="BA2215" i="10"/>
  <c r="BA2278" i="10"/>
  <c r="BA2340" i="10"/>
  <c r="BA2395" i="10"/>
  <c r="BA2451" i="10"/>
  <c r="BA2503" i="10"/>
  <c r="BA2559" i="10"/>
  <c r="BA2611" i="10"/>
  <c r="BA2667" i="10"/>
  <c r="BA2719" i="10"/>
  <c r="BA2775" i="10"/>
  <c r="BA2827" i="10"/>
  <c r="BA2883" i="10"/>
  <c r="BA2935" i="10"/>
  <c r="BA2991" i="10"/>
  <c r="BA3042" i="10"/>
  <c r="BA3090" i="10"/>
  <c r="BA3135" i="10"/>
  <c r="BA3177" i="10"/>
  <c r="BA3221" i="10"/>
  <c r="BA3264" i="10"/>
  <c r="BA3307" i="10"/>
  <c r="BA3351" i="10"/>
  <c r="BA3393" i="10"/>
  <c r="BA3437" i="10"/>
  <c r="BA3480" i="10"/>
  <c r="BA3523" i="10"/>
  <c r="BA3567" i="10"/>
  <c r="BA3609" i="10"/>
  <c r="BA3653" i="10"/>
  <c r="BA3696" i="10"/>
  <c r="BA3739" i="10"/>
  <c r="BA3783" i="10"/>
  <c r="BA3825" i="10"/>
  <c r="BA3869" i="10"/>
  <c r="BA3912" i="10"/>
  <c r="BA3955" i="10"/>
  <c r="BA3999" i="10"/>
  <c r="BA4041" i="10"/>
  <c r="BA4085" i="10"/>
  <c r="BA4128" i="10"/>
  <c r="BA4171" i="10"/>
  <c r="BA4215" i="10"/>
  <c r="BA4257" i="10"/>
  <c r="BA4301" i="10"/>
  <c r="BA4344" i="10"/>
  <c r="BA4387" i="10"/>
  <c r="BA4431" i="10"/>
  <c r="BA4473" i="10"/>
  <c r="BA4517" i="10"/>
  <c r="BA4560" i="10"/>
  <c r="BA4603" i="10"/>
  <c r="BA4647" i="10"/>
  <c r="BA4689" i="10"/>
  <c r="BA4733" i="10"/>
  <c r="BA4776" i="10"/>
  <c r="BA4819" i="10"/>
  <c r="BA4863" i="10"/>
  <c r="BA4905" i="10"/>
  <c r="BA4949" i="10"/>
  <c r="BA4989" i="10"/>
  <c r="BA5029" i="10"/>
  <c r="BA5067" i="10"/>
  <c r="BA5103" i="10"/>
  <c r="BA5139" i="10"/>
  <c r="BA5175" i="10"/>
  <c r="BA5210" i="10"/>
  <c r="BA1339" i="10"/>
  <c r="BA3278" i="10"/>
  <c r="BA3580" i="10"/>
  <c r="BA3710" i="10"/>
  <c r="BA3796" i="10"/>
  <c r="BA3882" i="10"/>
  <c r="BA3968" i="10"/>
  <c r="BA4054" i="10"/>
  <c r="BA4098" i="10"/>
  <c r="BA4228" i="10"/>
  <c r="BA4314" i="10"/>
  <c r="BA4400" i="10"/>
  <c r="BA4486" i="10"/>
  <c r="BA4574" i="10"/>
  <c r="BA4660" i="10"/>
  <c r="BA4746" i="10"/>
  <c r="BA4832" i="10"/>
  <c r="BA4918" i="10"/>
  <c r="BA5001" i="10"/>
  <c r="BA5078" i="10"/>
  <c r="BA5150" i="10"/>
  <c r="BA35" i="10"/>
  <c r="BA245" i="10"/>
  <c r="BA454" i="10"/>
  <c r="BA664" i="10"/>
  <c r="BA977" i="10"/>
  <c r="BA1169" i="10"/>
  <c r="BA1455" i="10"/>
  <c r="BA1618" i="10"/>
  <c r="BA1782" i="10"/>
  <c r="BA1948" i="10"/>
  <c r="BA2094" i="10"/>
  <c r="BA2237" i="10"/>
  <c r="BA2359" i="10"/>
  <c r="BA2467" i="10"/>
  <c r="BA2575" i="10"/>
  <c r="BA2683" i="10"/>
  <c r="BA2791" i="10"/>
  <c r="BA2899" i="10"/>
  <c r="BA3007" i="10"/>
  <c r="BA3105" i="10"/>
  <c r="BA3192" i="10"/>
  <c r="BA3279" i="10"/>
  <c r="BA3365" i="10"/>
  <c r="BA3451" i="10"/>
  <c r="BA3537" i="10"/>
  <c r="BA3624" i="10"/>
  <c r="BA3711" i="10"/>
  <c r="BA3797" i="10"/>
  <c r="BA3883" i="10"/>
  <c r="BA3969" i="10"/>
  <c r="BA4013" i="10"/>
  <c r="BA4099" i="10"/>
  <c r="BA4185" i="10"/>
  <c r="BA4272" i="10"/>
  <c r="BA4359" i="10"/>
  <c r="BA4445" i="10"/>
  <c r="BA4531" i="10"/>
  <c r="BA4617" i="10"/>
  <c r="BA4704" i="10"/>
  <c r="BA4791" i="10"/>
  <c r="BA4877" i="10"/>
  <c r="BA4963" i="10"/>
  <c r="BA5042" i="10"/>
  <c r="BA5115" i="10"/>
  <c r="BA141" i="10"/>
  <c r="BA351" i="10"/>
  <c r="BA560" i="10"/>
  <c r="BA769" i="10"/>
  <c r="BA978" i="10"/>
  <c r="BA1170" i="10"/>
  <c r="BA1362" i="10"/>
  <c r="BA1539" i="10"/>
  <c r="BA1702" i="10"/>
  <c r="BA1866" i="10"/>
  <c r="BA2031" i="10"/>
  <c r="BA2177" i="10"/>
  <c r="BA2299" i="10"/>
  <c r="BA2416" i="10"/>
  <c r="BA2524" i="10"/>
  <c r="BA2632" i="10"/>
  <c r="BA2740" i="10"/>
  <c r="BA2848" i="10"/>
  <c r="BA2956" i="10"/>
  <c r="BA3060" i="10"/>
  <c r="BA3150" i="10"/>
  <c r="BA3236" i="10"/>
  <c r="BA3322" i="10"/>
  <c r="BA3410" i="10"/>
  <c r="BA3496" i="10"/>
  <c r="BA3582" i="10"/>
  <c r="BA3668" i="10"/>
  <c r="BA3754" i="10"/>
  <c r="BA3842" i="10"/>
  <c r="BA3928" i="10"/>
  <c r="BA4014" i="10"/>
  <c r="BA4144" i="10"/>
  <c r="BA4230" i="10"/>
  <c r="BA4316" i="10"/>
  <c r="BA4402" i="10"/>
  <c r="BA4490" i="10"/>
  <c r="BA4576" i="10"/>
  <c r="BA4662" i="10"/>
  <c r="BA4748" i="10"/>
  <c r="BA4834" i="10"/>
  <c r="BA4922" i="10"/>
  <c r="BA5043" i="10"/>
  <c r="BA5152" i="10"/>
  <c r="BA142" i="10"/>
  <c r="BA352" i="10"/>
  <c r="BA561" i="10"/>
  <c r="BA771" i="10"/>
  <c r="BA979" i="10"/>
  <c r="BA1171" i="10"/>
  <c r="BA1363" i="10"/>
  <c r="BA1540" i="10"/>
  <c r="BA1704" i="10"/>
  <c r="BA1867" i="10"/>
  <c r="BA2115" i="10"/>
  <c r="BA2316" i="10"/>
  <c r="BA2429" i="10"/>
  <c r="BA2537" i="10"/>
  <c r="BA2645" i="10"/>
  <c r="BA2753" i="10"/>
  <c r="BA2861" i="10"/>
  <c r="BA2969" i="10"/>
  <c r="BA3072" i="10"/>
  <c r="BA3161" i="10"/>
  <c r="BA3247" i="10"/>
  <c r="BA3333" i="10"/>
  <c r="BA3420" i="10"/>
  <c r="BA3507" i="10"/>
  <c r="BA3593" i="10"/>
  <c r="BA3679" i="10"/>
  <c r="BA3765" i="10"/>
  <c r="BA3852" i="10"/>
  <c r="BA3939" i="10"/>
  <c r="BA4025" i="10"/>
  <c r="BA4111" i="10"/>
  <c r="BA4197" i="10"/>
  <c r="BA4284" i="10"/>
  <c r="BA4371" i="10"/>
  <c r="BA4500" i="10"/>
  <c r="BA4587" i="10"/>
  <c r="BA4759" i="10"/>
  <c r="BA4845" i="10"/>
  <c r="BA4932" i="10"/>
  <c r="BA5013" i="10"/>
  <c r="BA5089" i="10"/>
  <c r="BA5161" i="10"/>
  <c r="BA166" i="10"/>
  <c r="BA376" i="10"/>
  <c r="BA585" i="10"/>
  <c r="BA795" i="10"/>
  <c r="BA1001" i="10"/>
  <c r="BA1097" i="10"/>
  <c r="BA1289" i="10"/>
  <c r="BA1474" i="10"/>
  <c r="BA1638" i="10"/>
  <c r="BA1804" i="10"/>
  <c r="BA1966" i="10"/>
  <c r="BA2116" i="10"/>
  <c r="BA2319" i="10"/>
  <c r="BA2430" i="10"/>
  <c r="BA2538" i="10"/>
  <c r="BA2646" i="10"/>
  <c r="BA2754" i="10"/>
  <c r="BA2862" i="10"/>
  <c r="BA3024" i="10"/>
  <c r="BA3118" i="10"/>
  <c r="BA3206" i="10"/>
  <c r="BA3292" i="10"/>
  <c r="BA3378" i="10"/>
  <c r="BA3508" i="10"/>
  <c r="BA3594" i="10"/>
  <c r="BA3680" i="10"/>
  <c r="BA3766" i="10"/>
  <c r="BA3896" i="10"/>
  <c r="BA3982" i="10"/>
  <c r="BA4070" i="10"/>
  <c r="BA4156" i="10"/>
  <c r="BA4286" i="10"/>
  <c r="BA4372" i="10"/>
  <c r="BA4458" i="10"/>
  <c r="BA4544" i="10"/>
  <c r="BA4630" i="10"/>
  <c r="BA4718" i="10"/>
  <c r="BA4804" i="10"/>
  <c r="BA4890" i="10"/>
  <c r="BA4975" i="10"/>
  <c r="BA5126" i="10"/>
  <c r="BA5197" i="10"/>
  <c r="BA4100" i="10"/>
  <c r="BA5116" i="10"/>
  <c r="BA3204" i="10"/>
  <c r="BA5054" i="10"/>
  <c r="BA9" i="10"/>
  <c r="BA114" i="10"/>
  <c r="BA219" i="10"/>
  <c r="BA323" i="10"/>
  <c r="BA428" i="10"/>
  <c r="BA533" i="10"/>
  <c r="BA637" i="10"/>
  <c r="BA742" i="10"/>
  <c r="BA847" i="10"/>
  <c r="BA952" i="10"/>
  <c r="BA1049" i="10"/>
  <c r="BA1145" i="10"/>
  <c r="BA1241" i="10"/>
  <c r="BA1337" i="10"/>
  <c r="BA1433" i="10"/>
  <c r="BA1516" i="10"/>
  <c r="BA1599" i="10"/>
  <c r="BA1680" i="10"/>
  <c r="BA1762" i="10"/>
  <c r="BA1843" i="10"/>
  <c r="BA1926" i="10"/>
  <c r="BA1992" i="10"/>
  <c r="BA2074" i="10"/>
  <c r="BA2155" i="10"/>
  <c r="BA2218" i="10"/>
  <c r="BA2280" i="10"/>
  <c r="BA2343" i="10"/>
  <c r="BA2397" i="10"/>
  <c r="BA2452" i="10"/>
  <c r="BA2505" i="10"/>
  <c r="BA2560" i="10"/>
  <c r="BA2613" i="10"/>
  <c r="BA2668" i="10"/>
  <c r="BA2721" i="10"/>
  <c r="BA2776" i="10"/>
  <c r="BA2829" i="10"/>
  <c r="BA2884" i="10"/>
  <c r="BA2937" i="10"/>
  <c r="BA2992" i="10"/>
  <c r="BA3043" i="10"/>
  <c r="BA3091" i="10"/>
  <c r="BA3136" i="10"/>
  <c r="BA3178" i="10"/>
  <c r="BA3222" i="10"/>
  <c r="BA3266" i="10"/>
  <c r="BA3308" i="10"/>
  <c r="BA3352" i="10"/>
  <c r="BA3394" i="10"/>
  <c r="BA3438" i="10"/>
  <c r="BA3482" i="10"/>
  <c r="BA3524" i="10"/>
  <c r="BA3568" i="10"/>
  <c r="BA3610" i="10"/>
  <c r="BA3654" i="10"/>
  <c r="BA3698" i="10"/>
  <c r="BA3740" i="10"/>
  <c r="BA3784" i="10"/>
  <c r="BA3826" i="10"/>
  <c r="BA3870" i="10"/>
  <c r="BA3914" i="10"/>
  <c r="BA3956" i="10"/>
  <c r="BA4000" i="10"/>
  <c r="BA4042" i="10"/>
  <c r="BA4086" i="10"/>
  <c r="BA4130" i="10"/>
  <c r="BA4172" i="10"/>
  <c r="BA4216" i="10"/>
  <c r="BA4258" i="10"/>
  <c r="BA4302" i="10"/>
  <c r="BA4346" i="10"/>
  <c r="BA4388" i="10"/>
  <c r="BA4432" i="10"/>
  <c r="BA4474" i="10"/>
  <c r="BA4518" i="10"/>
  <c r="BA4562" i="10"/>
  <c r="BA4604" i="10"/>
  <c r="BA4648" i="10"/>
  <c r="BA4690" i="10"/>
  <c r="BA4734" i="10"/>
  <c r="BA4778" i="10"/>
  <c r="BA4820" i="10"/>
  <c r="BA4864" i="10"/>
  <c r="BA4906" i="10"/>
  <c r="BA4950" i="10"/>
  <c r="BA4990" i="10"/>
  <c r="BA5030" i="10"/>
  <c r="BA5068" i="10"/>
  <c r="BA5104" i="10"/>
  <c r="BA5140" i="10"/>
  <c r="BA5176" i="10"/>
  <c r="BA5211" i="10"/>
  <c r="BA4443" i="10"/>
  <c r="BA4529" i="10"/>
  <c r="BA4615" i="10"/>
  <c r="BA4659" i="10"/>
  <c r="BA4701" i="10"/>
  <c r="BA4788" i="10"/>
  <c r="BA4831" i="10"/>
  <c r="BA4875" i="10"/>
  <c r="BA4917" i="10"/>
  <c r="BA4961" i="10"/>
  <c r="BA5000" i="10"/>
  <c r="BA5040" i="10"/>
  <c r="BA5113" i="10"/>
  <c r="BA5149" i="10"/>
  <c r="BA5185" i="10"/>
  <c r="BA5212" i="10"/>
  <c r="BA11" i="10"/>
  <c r="BA116" i="10"/>
  <c r="BA221" i="10"/>
  <c r="BA325" i="10"/>
  <c r="BA430" i="10"/>
  <c r="BA535" i="10"/>
  <c r="BA640" i="10"/>
  <c r="BA744" i="10"/>
  <c r="BA849" i="10"/>
  <c r="BA954" i="10"/>
  <c r="BA1051" i="10"/>
  <c r="BA1147" i="10"/>
  <c r="BA1243" i="10"/>
  <c r="BA1435" i="10"/>
  <c r="BA1518" i="10"/>
  <c r="BA1601" i="10"/>
  <c r="BA1684" i="10"/>
  <c r="BA1767" i="10"/>
  <c r="BA1848" i="10"/>
  <c r="BA1930" i="10"/>
  <c r="BA2010" i="10"/>
  <c r="BA2093" i="10"/>
  <c r="BA2175" i="10"/>
  <c r="BA2236" i="10"/>
  <c r="BA2297" i="10"/>
  <c r="BA2412" i="10"/>
  <c r="BA2466" i="10"/>
  <c r="BA2520" i="10"/>
  <c r="BA2574" i="10"/>
  <c r="BA2628" i="10"/>
  <c r="BA2682" i="10"/>
  <c r="BA2736" i="10"/>
  <c r="BA2790" i="10"/>
  <c r="BA2844" i="10"/>
  <c r="BA2898" i="10"/>
  <c r="BA2952" i="10"/>
  <c r="BA3006" i="10"/>
  <c r="BA3057" i="10"/>
  <c r="BA3104" i="10"/>
  <c r="BA3148" i="10"/>
  <c r="BA3190" i="10"/>
  <c r="BA3234" i="10"/>
  <c r="BA3320" i="10"/>
  <c r="BA3364" i="10"/>
  <c r="BA3406" i="10"/>
  <c r="BA3450" i="10"/>
  <c r="BA3494" i="10"/>
  <c r="BA3536" i="10"/>
  <c r="BA3622" i="10"/>
  <c r="BA3666" i="10"/>
  <c r="BA3752" i="10"/>
  <c r="BA3838" i="10"/>
  <c r="BA3926" i="10"/>
  <c r="BA4012" i="10"/>
  <c r="BA4142" i="10"/>
  <c r="BA4270" i="10"/>
  <c r="BA4358" i="10"/>
  <c r="BA4444" i="10"/>
  <c r="BA4530" i="10"/>
  <c r="BA4616" i="10"/>
  <c r="BA4702" i="10"/>
  <c r="BA4790" i="10"/>
  <c r="BA4876" i="10"/>
  <c r="BA4962" i="10"/>
  <c r="BA5041" i="10"/>
  <c r="BA5114" i="10"/>
  <c r="BA5186" i="10"/>
  <c r="BA140" i="10"/>
  <c r="BA349" i="10"/>
  <c r="BA559" i="10"/>
  <c r="BA768" i="10"/>
  <c r="BA873" i="10"/>
  <c r="BA1073" i="10"/>
  <c r="BA1361" i="10"/>
  <c r="BA1699" i="10"/>
  <c r="BA1865" i="10"/>
  <c r="BA2011" i="10"/>
  <c r="BA2176" i="10"/>
  <c r="BA2298" i="10"/>
  <c r="BA2415" i="10"/>
  <c r="BA2523" i="10"/>
  <c r="BA2631" i="10"/>
  <c r="BA2739" i="10"/>
  <c r="BA2847" i="10"/>
  <c r="BA2955" i="10"/>
  <c r="BA3058" i="10"/>
  <c r="BA3149" i="10"/>
  <c r="BA3235" i="10"/>
  <c r="BA3321" i="10"/>
  <c r="BA3408" i="10"/>
  <c r="BA3495" i="10"/>
  <c r="BA3581" i="10"/>
  <c r="BA3667" i="10"/>
  <c r="BA3753" i="10"/>
  <c r="BA3840" i="10"/>
  <c r="BA3927" i="10"/>
  <c r="BA4056" i="10"/>
  <c r="BA4143" i="10"/>
  <c r="BA4315" i="10"/>
  <c r="BA4401" i="10"/>
  <c r="BA4488" i="10"/>
  <c r="BA4575" i="10"/>
  <c r="BA4661" i="10"/>
  <c r="BA4747" i="10"/>
  <c r="BA4833" i="10"/>
  <c r="BA4920" i="10"/>
  <c r="BA5002" i="10"/>
  <c r="BA5079" i="10"/>
  <c r="BA5187" i="10"/>
  <c r="BA36" i="10"/>
  <c r="BA246" i="10"/>
  <c r="BA455" i="10"/>
  <c r="BA665" i="10"/>
  <c r="BA874" i="10"/>
  <c r="BA1074" i="10"/>
  <c r="BA1266" i="10"/>
  <c r="BA1456" i="10"/>
  <c r="BA1620" i="10"/>
  <c r="BA1783" i="10"/>
  <c r="BA1949" i="10"/>
  <c r="BA2112" i="10"/>
  <c r="BA2238" i="10"/>
  <c r="BA2361" i="10"/>
  <c r="BA2469" i="10"/>
  <c r="BA2577" i="10"/>
  <c r="BA2685" i="10"/>
  <c r="BA2793" i="10"/>
  <c r="BA2901" i="10"/>
  <c r="BA3009" i="10"/>
  <c r="BA3106" i="10"/>
  <c r="BA3194" i="10"/>
  <c r="BA3280" i="10"/>
  <c r="BA3366" i="10"/>
  <c r="BA3452" i="10"/>
  <c r="BA3538" i="10"/>
  <c r="BA3626" i="10"/>
  <c r="BA3712" i="10"/>
  <c r="BA3798" i="10"/>
  <c r="BA3884" i="10"/>
  <c r="BA3970" i="10"/>
  <c r="BA4058" i="10"/>
  <c r="BA4186" i="10"/>
  <c r="BA4274" i="10"/>
  <c r="BA4360" i="10"/>
  <c r="BA4446" i="10"/>
  <c r="BA4532" i="10"/>
  <c r="BA4618" i="10"/>
  <c r="BA4706" i="10"/>
  <c r="BA4792" i="10"/>
  <c r="BA5004" i="10"/>
  <c r="BA5188" i="10"/>
  <c r="BA37" i="10"/>
  <c r="BA247" i="10"/>
  <c r="BA456" i="10"/>
  <c r="BA666" i="10"/>
  <c r="BA875" i="10"/>
  <c r="BA1075" i="10"/>
  <c r="BA1267" i="10"/>
  <c r="BA1457" i="10"/>
  <c r="BA1623" i="10"/>
  <c r="BA1786" i="10"/>
  <c r="BA1950" i="10"/>
  <c r="BA2191" i="10"/>
  <c r="BA2374" i="10"/>
  <c r="BA2482" i="10"/>
  <c r="BA2590" i="10"/>
  <c r="BA2698" i="10"/>
  <c r="BA2806" i="10"/>
  <c r="BA2914" i="10"/>
  <c r="BA3022" i="10"/>
  <c r="BA3117" i="10"/>
  <c r="BA3291" i="10"/>
  <c r="BA3377" i="10"/>
  <c r="BA3463" i="10"/>
  <c r="BA3549" i="10"/>
  <c r="BA3636" i="10"/>
  <c r="BA3723" i="10"/>
  <c r="BA3809" i="10"/>
  <c r="BA3895" i="10"/>
  <c r="BA3981" i="10"/>
  <c r="BA4068" i="10"/>
  <c r="BA4155" i="10"/>
  <c r="BA4241" i="10"/>
  <c r="BA4327" i="10"/>
  <c r="BA4413" i="10"/>
  <c r="BA4543" i="10"/>
  <c r="BA4629" i="10"/>
  <c r="BA4716" i="10"/>
  <c r="BA4803" i="10"/>
  <c r="BA4889" i="10"/>
  <c r="BA4974" i="10"/>
  <c r="BA5053" i="10"/>
  <c r="BA5125" i="10"/>
  <c r="BA5191" i="10"/>
  <c r="BA61" i="10"/>
  <c r="BA271" i="10"/>
  <c r="BA480" i="10"/>
  <c r="BA690" i="10"/>
  <c r="BA899" i="10"/>
  <c r="BA1193" i="10"/>
  <c r="BA1385" i="10"/>
  <c r="BA1555" i="10"/>
  <c r="BA1721" i="10"/>
  <c r="BA1887" i="10"/>
  <c r="BA2033" i="10"/>
  <c r="BA2194" i="10"/>
  <c r="BA2376" i="10"/>
  <c r="BA2484" i="10"/>
  <c r="BA2592" i="10"/>
  <c r="BA2700" i="10"/>
  <c r="BA2808" i="10"/>
  <c r="BA2916" i="10"/>
  <c r="BA2970" i="10"/>
  <c r="BA3074" i="10"/>
  <c r="BA3162" i="10"/>
  <c r="BA3248" i="10"/>
  <c r="BA3334" i="10"/>
  <c r="BA3422" i="10"/>
  <c r="BA3550" i="10"/>
  <c r="BA3638" i="10"/>
  <c r="BA3724" i="10"/>
  <c r="BA3810" i="10"/>
  <c r="BA3940" i="10"/>
  <c r="BA4026" i="10"/>
  <c r="BA4112" i="10"/>
  <c r="BA4198" i="10"/>
  <c r="BA4328" i="10"/>
  <c r="BA4414" i="10"/>
  <c r="BA4502" i="10"/>
  <c r="BA4588" i="10"/>
  <c r="BA4674" i="10"/>
  <c r="BA4760" i="10"/>
  <c r="BA4846" i="10"/>
  <c r="BA4934" i="10"/>
  <c r="BA5014" i="10"/>
  <c r="BA5090" i="10"/>
  <c r="BA5162" i="10"/>
  <c r="BA10" i="10"/>
  <c r="BA115" i="10"/>
  <c r="BA220" i="10"/>
  <c r="BA324" i="10"/>
  <c r="BA429" i="10"/>
  <c r="BA534" i="10"/>
  <c r="BA639" i="10"/>
  <c r="BA743" i="10"/>
  <c r="BA848" i="10"/>
  <c r="BA953" i="10"/>
  <c r="BA1050" i="10"/>
  <c r="BA1146" i="10"/>
  <c r="BA1242" i="10"/>
  <c r="BA1338" i="10"/>
  <c r="BA1434" i="10"/>
  <c r="BA1517" i="10"/>
  <c r="BA1600" i="10"/>
  <c r="BA1683" i="10"/>
  <c r="BA1764" i="10"/>
  <c r="BA1846" i="10"/>
  <c r="BA1927" i="10"/>
  <c r="BA2009" i="10"/>
  <c r="BA2092" i="10"/>
  <c r="BA2172" i="10"/>
  <c r="BA2235" i="10"/>
  <c r="BA2296" i="10"/>
  <c r="BA2357" i="10"/>
  <c r="BA2410" i="10"/>
  <c r="BA2465" i="10"/>
  <c r="BA2518" i="10"/>
  <c r="BA2573" i="10"/>
  <c r="BA2626" i="10"/>
  <c r="BA2681" i="10"/>
  <c r="BA2734" i="10"/>
  <c r="BA2789" i="10"/>
  <c r="BA2842" i="10"/>
  <c r="BA2897" i="10"/>
  <c r="BA2950" i="10"/>
  <c r="BA3005" i="10"/>
  <c r="BA3055" i="10"/>
  <c r="BA3103" i="10"/>
  <c r="BA3147" i="10"/>
  <c r="BA3189" i="10"/>
  <c r="BA3233" i="10"/>
  <c r="BA3276" i="10"/>
  <c r="BA3319" i="10"/>
  <c r="BA3363" i="10"/>
  <c r="BA3405" i="10"/>
  <c r="BA3449" i="10"/>
  <c r="BA3492" i="10"/>
  <c r="BA3535" i="10"/>
  <c r="BA3579" i="10"/>
  <c r="BA3621" i="10"/>
  <c r="BA3665" i="10"/>
  <c r="BA3708" i="10"/>
  <c r="BA3751" i="10"/>
  <c r="BA3795" i="10"/>
  <c r="BA3837" i="10"/>
  <c r="BA3881" i="10"/>
  <c r="BA3924" i="10"/>
  <c r="BA3967" i="10"/>
  <c r="BA4011" i="10"/>
  <c r="BA4053" i="10"/>
  <c r="BA4097" i="10"/>
  <c r="BA4140" i="10"/>
  <c r="BA4183" i="10"/>
  <c r="BA4227" i="10"/>
  <c r="BA4269" i="10"/>
  <c r="BA4313" i="10"/>
  <c r="BA4356" i="10"/>
  <c r="BA4399" i="10"/>
  <c r="BA4485" i="10"/>
  <c r="BA4572" i="10"/>
  <c r="BA4745" i="10"/>
  <c r="BA5077" i="10"/>
  <c r="BA2358" i="10"/>
  <c r="BA4184" i="10"/>
  <c r="BA4229" i="10"/>
  <c r="BA4878" i="10"/>
  <c r="BA2256" i="10"/>
  <c r="BA4242" i="10"/>
  <c r="M4" i="10"/>
  <c r="M16" i="10"/>
  <c r="M28" i="10"/>
  <c r="M40" i="10"/>
  <c r="M52" i="10"/>
  <c r="M64" i="10"/>
  <c r="M76" i="10"/>
  <c r="M88" i="10"/>
  <c r="M100" i="10"/>
  <c r="M112" i="10"/>
  <c r="M124" i="10"/>
  <c r="M136" i="10"/>
  <c r="M148" i="10"/>
  <c r="M160" i="10"/>
  <c r="M172" i="10"/>
  <c r="M184" i="10"/>
  <c r="M196" i="10"/>
  <c r="M208" i="10"/>
  <c r="M220" i="10"/>
  <c r="M232" i="10"/>
  <c r="M244" i="10"/>
  <c r="M256" i="10"/>
  <c r="M268" i="10"/>
  <c r="M280" i="10"/>
  <c r="M292" i="10"/>
  <c r="M304" i="10"/>
  <c r="M316" i="10"/>
  <c r="M9" i="10"/>
  <c r="M21" i="10"/>
  <c r="M33" i="10"/>
  <c r="M45" i="10"/>
  <c r="M57" i="10"/>
  <c r="M69" i="10"/>
  <c r="M81" i="10"/>
  <c r="M93" i="10"/>
  <c r="M105" i="10"/>
  <c r="M117" i="10"/>
  <c r="M129" i="10"/>
  <c r="M141" i="10"/>
  <c r="M153" i="10"/>
  <c r="M165" i="10"/>
  <c r="M177" i="10"/>
  <c r="M189" i="10"/>
  <c r="M201" i="10"/>
  <c r="M213" i="10"/>
  <c r="M225" i="10"/>
  <c r="M237" i="10"/>
  <c r="M249" i="10"/>
  <c r="M261" i="10"/>
  <c r="M273" i="10"/>
  <c r="M285" i="10"/>
  <c r="M297" i="10"/>
  <c r="M309" i="10"/>
  <c r="M321" i="10"/>
  <c r="M333" i="10"/>
  <c r="M345" i="10"/>
  <c r="M357" i="10"/>
  <c r="M369" i="10"/>
  <c r="M381" i="10"/>
  <c r="M393" i="10"/>
  <c r="M405" i="10"/>
  <c r="M417" i="10"/>
  <c r="M429" i="10"/>
  <c r="M441" i="10"/>
  <c r="M453" i="10"/>
  <c r="M465" i="10"/>
  <c r="M477" i="10"/>
  <c r="M489" i="10"/>
  <c r="M501" i="10"/>
  <c r="M513" i="10"/>
  <c r="M10" i="10"/>
  <c r="M24" i="10"/>
  <c r="M38" i="10"/>
  <c r="M53" i="10"/>
  <c r="M67" i="10"/>
  <c r="M82" i="10"/>
  <c r="M96" i="10"/>
  <c r="M110" i="10"/>
  <c r="M125" i="10"/>
  <c r="M139" i="10"/>
  <c r="M154" i="10"/>
  <c r="M168" i="10"/>
  <c r="M182" i="10"/>
  <c r="M197" i="10"/>
  <c r="M211" i="10"/>
  <c r="M226" i="10"/>
  <c r="M240" i="10"/>
  <c r="M254" i="10"/>
  <c r="M269" i="10"/>
  <c r="M283" i="10"/>
  <c r="M298" i="10"/>
  <c r="M312" i="10"/>
  <c r="M326" i="10"/>
  <c r="M339" i="10"/>
  <c r="M352" i="10"/>
  <c r="M365" i="10"/>
  <c r="M378" i="10"/>
  <c r="M391" i="10"/>
  <c r="M404" i="10"/>
  <c r="M418" i="10"/>
  <c r="M431" i="10"/>
  <c r="M444" i="10"/>
  <c r="M457" i="10"/>
  <c r="M470" i="10"/>
  <c r="M483" i="10"/>
  <c r="M496" i="10"/>
  <c r="M509" i="10"/>
  <c r="M522" i="10"/>
  <c r="M11" i="10"/>
  <c r="M25" i="10"/>
  <c r="M39" i="10"/>
  <c r="M54" i="10"/>
  <c r="M68" i="10"/>
  <c r="M83" i="10"/>
  <c r="M97" i="10"/>
  <c r="M111" i="10"/>
  <c r="M126" i="10"/>
  <c r="M140" i="10"/>
  <c r="M155" i="10"/>
  <c r="M169" i="10"/>
  <c r="M183" i="10"/>
  <c r="M198" i="10"/>
  <c r="M212" i="10"/>
  <c r="M227" i="10"/>
  <c r="M241" i="10"/>
  <c r="M255" i="10"/>
  <c r="M270" i="10"/>
  <c r="M284" i="10"/>
  <c r="M299" i="10"/>
  <c r="M313" i="10"/>
  <c r="M327" i="10"/>
  <c r="M340" i="10"/>
  <c r="M353" i="10"/>
  <c r="M366" i="10"/>
  <c r="M379" i="10"/>
  <c r="M392" i="10"/>
  <c r="M406" i="10"/>
  <c r="M419" i="10"/>
  <c r="M432" i="10"/>
  <c r="M445" i="10"/>
  <c r="M458" i="10"/>
  <c r="M471" i="10"/>
  <c r="M484" i="10"/>
  <c r="M497" i="10"/>
  <c r="M510" i="10"/>
  <c r="M523" i="10"/>
  <c r="M13" i="10"/>
  <c r="M27" i="10"/>
  <c r="M42" i="10"/>
  <c r="M56" i="10"/>
  <c r="M71" i="10"/>
  <c r="M85" i="10"/>
  <c r="M99" i="10"/>
  <c r="M114" i="10"/>
  <c r="M128" i="10"/>
  <c r="M143" i="10"/>
  <c r="M157" i="10"/>
  <c r="M171" i="10"/>
  <c r="M186" i="10"/>
  <c r="M200" i="10"/>
  <c r="M215" i="10"/>
  <c r="M229" i="10"/>
  <c r="M243" i="10"/>
  <c r="M258" i="10"/>
  <c r="M272" i="10"/>
  <c r="M287" i="10"/>
  <c r="M301" i="10"/>
  <c r="M315" i="10"/>
  <c r="M329" i="10"/>
  <c r="M342" i="10"/>
  <c r="M355" i="10"/>
  <c r="M368" i="10"/>
  <c r="M382" i="10"/>
  <c r="M395" i="10"/>
  <c r="M408" i="10"/>
  <c r="M421" i="10"/>
  <c r="M434" i="10"/>
  <c r="M447" i="10"/>
  <c r="M460" i="10"/>
  <c r="M473" i="10"/>
  <c r="M486" i="10"/>
  <c r="M499" i="10"/>
  <c r="M512" i="10"/>
  <c r="M14" i="10"/>
  <c r="M29" i="10"/>
  <c r="M43" i="10"/>
  <c r="M58" i="10"/>
  <c r="M72" i="10"/>
  <c r="M86" i="10"/>
  <c r="M101" i="10"/>
  <c r="M115" i="10"/>
  <c r="M130" i="10"/>
  <c r="M144" i="10"/>
  <c r="M158" i="10"/>
  <c r="M173" i="10"/>
  <c r="M187" i="10"/>
  <c r="M202" i="10"/>
  <c r="M216" i="10"/>
  <c r="M230" i="10"/>
  <c r="M245" i="10"/>
  <c r="M259" i="10"/>
  <c r="M274" i="10"/>
  <c r="M288" i="10"/>
  <c r="M302" i="10"/>
  <c r="M317" i="10"/>
  <c r="M330" i="10"/>
  <c r="M343" i="10"/>
  <c r="M356" i="10"/>
  <c r="M370" i="10"/>
  <c r="M383" i="10"/>
  <c r="M396" i="10"/>
  <c r="M409" i="10"/>
  <c r="M422" i="10"/>
  <c r="M435" i="10"/>
  <c r="M448" i="10"/>
  <c r="M461" i="10"/>
  <c r="M474" i="10"/>
  <c r="M487" i="10"/>
  <c r="M500" i="10"/>
  <c r="M514" i="10"/>
  <c r="M15" i="10"/>
  <c r="M30" i="10"/>
  <c r="M44" i="10"/>
  <c r="M59" i="10"/>
  <c r="M73" i="10"/>
  <c r="M87" i="10"/>
  <c r="M102" i="10"/>
  <c r="M116" i="10"/>
  <c r="M131" i="10"/>
  <c r="M145" i="10"/>
  <c r="M159" i="10"/>
  <c r="M174" i="10"/>
  <c r="M188" i="10"/>
  <c r="M203" i="10"/>
  <c r="M217" i="10"/>
  <c r="M231" i="10"/>
  <c r="M246" i="10"/>
  <c r="M260" i="10"/>
  <c r="M275" i="10"/>
  <c r="M289" i="10"/>
  <c r="M303" i="10"/>
  <c r="M318" i="10"/>
  <c r="M331" i="10"/>
  <c r="M344" i="10"/>
  <c r="M358" i="10"/>
  <c r="M371" i="10"/>
  <c r="M384" i="10"/>
  <c r="M397" i="10"/>
  <c r="M410" i="10"/>
  <c r="M423" i="10"/>
  <c r="M436" i="10"/>
  <c r="M449" i="10"/>
  <c r="M462" i="10"/>
  <c r="M475" i="10"/>
  <c r="M488" i="10"/>
  <c r="M502" i="10"/>
  <c r="M515" i="10"/>
  <c r="M2" i="10"/>
  <c r="M17" i="10"/>
  <c r="M31" i="10"/>
  <c r="M46" i="10"/>
  <c r="M60" i="10"/>
  <c r="M74" i="10"/>
  <c r="M89" i="10"/>
  <c r="M103" i="10"/>
  <c r="M118" i="10"/>
  <c r="M132" i="10"/>
  <c r="M146" i="10"/>
  <c r="M161" i="10"/>
  <c r="M175" i="10"/>
  <c r="M190" i="10"/>
  <c r="M204" i="10"/>
  <c r="M218" i="10"/>
  <c r="M233" i="10"/>
  <c r="M247" i="10"/>
  <c r="M262" i="10"/>
  <c r="M276" i="10"/>
  <c r="M290" i="10"/>
  <c r="M305" i="10"/>
  <c r="M319" i="10"/>
  <c r="M332" i="10"/>
  <c r="M346" i="10"/>
  <c r="M359" i="10"/>
  <c r="M372" i="10"/>
  <c r="M385" i="10"/>
  <c r="M398" i="10"/>
  <c r="M411" i="10"/>
  <c r="M424" i="10"/>
  <c r="M437" i="10"/>
  <c r="M450" i="10"/>
  <c r="M463" i="10"/>
  <c r="M476" i="10"/>
  <c r="M490" i="10"/>
  <c r="M503" i="10"/>
  <c r="M516" i="10"/>
  <c r="M12" i="10"/>
  <c r="M41" i="10"/>
  <c r="M70" i="10"/>
  <c r="M98" i="10"/>
  <c r="M127" i="10"/>
  <c r="M156" i="10"/>
  <c r="M185" i="10"/>
  <c r="M214" i="10"/>
  <c r="M242" i="10"/>
  <c r="M271" i="10"/>
  <c r="M300" i="10"/>
  <c r="M328" i="10"/>
  <c r="M354" i="10"/>
  <c r="M380" i="10"/>
  <c r="M407" i="10"/>
  <c r="M433" i="10"/>
  <c r="M459" i="10"/>
  <c r="M485" i="10"/>
  <c r="M511" i="10"/>
  <c r="M19" i="10"/>
  <c r="M77" i="10"/>
  <c r="M134" i="10"/>
  <c r="M192" i="10"/>
  <c r="M250" i="10"/>
  <c r="M307" i="10"/>
  <c r="M361" i="10"/>
  <c r="M413" i="10"/>
  <c r="M466" i="10"/>
  <c r="M518" i="10"/>
  <c r="M18" i="10"/>
  <c r="M47" i="10"/>
  <c r="M75" i="10"/>
  <c r="M104" i="10"/>
  <c r="M133" i="10"/>
  <c r="M162" i="10"/>
  <c r="M191" i="10"/>
  <c r="M219" i="10"/>
  <c r="M248" i="10"/>
  <c r="M277" i="10"/>
  <c r="M306" i="10"/>
  <c r="M334" i="10"/>
  <c r="M360" i="10"/>
  <c r="M386" i="10"/>
  <c r="M412" i="10"/>
  <c r="M438" i="10"/>
  <c r="M464" i="10"/>
  <c r="M491" i="10"/>
  <c r="M517" i="10"/>
  <c r="M48" i="10"/>
  <c r="M106" i="10"/>
  <c r="M163" i="10"/>
  <c r="M221" i="10"/>
  <c r="M278" i="10"/>
  <c r="M335" i="10"/>
  <c r="M387" i="10"/>
  <c r="M439" i="10"/>
  <c r="M492" i="10"/>
  <c r="M20" i="10"/>
  <c r="M49" i="10"/>
  <c r="M78" i="10"/>
  <c r="M107" i="10"/>
  <c r="M135" i="10"/>
  <c r="M164" i="10"/>
  <c r="M193" i="10"/>
  <c r="M222" i="10"/>
  <c r="M251" i="10"/>
  <c r="M279" i="10"/>
  <c r="M308" i="10"/>
  <c r="M336" i="10"/>
  <c r="M362" i="10"/>
  <c r="M388" i="10"/>
  <c r="M414" i="10"/>
  <c r="M440" i="10"/>
  <c r="M467" i="10"/>
  <c r="M493" i="10"/>
  <c r="M519" i="10"/>
  <c r="M3" i="10"/>
  <c r="M32" i="10"/>
  <c r="M61" i="10"/>
  <c r="M90" i="10"/>
  <c r="M119" i="10"/>
  <c r="M147" i="10"/>
  <c r="M176" i="10"/>
  <c r="M205" i="10"/>
  <c r="M234" i="10"/>
  <c r="M263" i="10"/>
  <c r="M291" i="10"/>
  <c r="M320" i="10"/>
  <c r="M347" i="10"/>
  <c r="M373" i="10"/>
  <c r="M399" i="10"/>
  <c r="M425" i="10"/>
  <c r="M451" i="10"/>
  <c r="M478" i="10"/>
  <c r="M504" i="10"/>
  <c r="M34" i="10"/>
  <c r="M91" i="10"/>
  <c r="M149" i="10"/>
  <c r="M206" i="10"/>
  <c r="M264" i="10"/>
  <c r="M322" i="10"/>
  <c r="M374" i="10"/>
  <c r="M426" i="10"/>
  <c r="M479" i="10"/>
  <c r="M22" i="10"/>
  <c r="M50" i="10"/>
  <c r="M79" i="10"/>
  <c r="M108" i="10"/>
  <c r="M137" i="10"/>
  <c r="M166" i="10"/>
  <c r="M194" i="10"/>
  <c r="M223" i="10"/>
  <c r="M252" i="10"/>
  <c r="M281" i="10"/>
  <c r="M310" i="10"/>
  <c r="M337" i="10"/>
  <c r="M363" i="10"/>
  <c r="M389" i="10"/>
  <c r="M415" i="10"/>
  <c r="M442" i="10"/>
  <c r="M468" i="10"/>
  <c r="M494" i="10"/>
  <c r="M520" i="10"/>
  <c r="M5" i="10"/>
  <c r="M62" i="10"/>
  <c r="M120" i="10"/>
  <c r="M178" i="10"/>
  <c r="M235" i="10"/>
  <c r="M293" i="10"/>
  <c r="M348" i="10"/>
  <c r="M400" i="10"/>
  <c r="M452" i="10"/>
  <c r="M505" i="10"/>
  <c r="M23" i="10"/>
  <c r="M51" i="10"/>
  <c r="M80" i="10"/>
  <c r="M109" i="10"/>
  <c r="M138" i="10"/>
  <c r="M167" i="10"/>
  <c r="M195" i="10"/>
  <c r="M224" i="10"/>
  <c r="M253" i="10"/>
  <c r="M282" i="10"/>
  <c r="M311" i="10"/>
  <c r="M338" i="10"/>
  <c r="M364" i="10"/>
  <c r="M390" i="10"/>
  <c r="M416" i="10"/>
  <c r="M443" i="10"/>
  <c r="M469" i="10"/>
  <c r="M495" i="10"/>
  <c r="M521" i="10"/>
  <c r="M26" i="10"/>
  <c r="M55" i="10"/>
  <c r="M84" i="10"/>
  <c r="M113" i="10"/>
  <c r="M142" i="10"/>
  <c r="M170" i="10"/>
  <c r="M199" i="10"/>
  <c r="M228" i="10"/>
  <c r="M257" i="10"/>
  <c r="M286" i="10"/>
  <c r="M314" i="10"/>
  <c r="M341" i="10"/>
  <c r="M367" i="10"/>
  <c r="M394" i="10"/>
  <c r="M420" i="10"/>
  <c r="M446" i="10"/>
  <c r="M472" i="10"/>
  <c r="M498" i="10"/>
  <c r="M36" i="10"/>
  <c r="M151" i="10"/>
  <c r="M266" i="10"/>
  <c r="M376" i="10"/>
  <c r="M481" i="10"/>
  <c r="M179" i="10"/>
  <c r="M401" i="10"/>
  <c r="M37" i="10"/>
  <c r="M152" i="10"/>
  <c r="M267" i="10"/>
  <c r="M377" i="10"/>
  <c r="M482" i="10"/>
  <c r="M63" i="10"/>
  <c r="M294" i="10"/>
  <c r="M506" i="10"/>
  <c r="M65" i="10"/>
  <c r="M180" i="10"/>
  <c r="M295" i="10"/>
  <c r="M402" i="10"/>
  <c r="M507" i="10"/>
  <c r="M66" i="10"/>
  <c r="M181" i="10"/>
  <c r="M296" i="10"/>
  <c r="M403" i="10"/>
  <c r="M508" i="10"/>
  <c r="M121" i="10"/>
  <c r="M349" i="10"/>
  <c r="M122" i="10"/>
  <c r="M455" i="10"/>
  <c r="M8" i="10"/>
  <c r="M239" i="10"/>
  <c r="M456" i="10"/>
  <c r="M35" i="10"/>
  <c r="M265" i="10"/>
  <c r="M480" i="10"/>
  <c r="M92" i="10"/>
  <c r="M207" i="10"/>
  <c r="M323" i="10"/>
  <c r="M427" i="10"/>
  <c r="M95" i="10"/>
  <c r="M210" i="10"/>
  <c r="M325" i="10"/>
  <c r="M430" i="10"/>
  <c r="M6" i="10"/>
  <c r="M236" i="10"/>
  <c r="M454" i="10"/>
  <c r="M7" i="10"/>
  <c r="M238" i="10"/>
  <c r="M123" i="10"/>
  <c r="M351" i="10"/>
  <c r="M150" i="10"/>
  <c r="M375" i="10"/>
  <c r="M94" i="10"/>
  <c r="M209" i="10"/>
  <c r="M324" i="10"/>
  <c r="M428" i="10"/>
  <c r="M350" i="10"/>
  <c r="E11" i="10"/>
  <c r="E23" i="10"/>
  <c r="E35" i="10"/>
  <c r="E47" i="10"/>
  <c r="E59" i="10"/>
  <c r="E71" i="10"/>
  <c r="E83" i="10"/>
  <c r="E95" i="10"/>
  <c r="E107" i="10"/>
  <c r="E119" i="10"/>
  <c r="E131" i="10"/>
  <c r="E143" i="10"/>
  <c r="E155" i="10"/>
  <c r="E167" i="10"/>
  <c r="E179" i="10"/>
  <c r="E191" i="10"/>
  <c r="E203" i="10"/>
  <c r="E215" i="10"/>
  <c r="E227" i="10"/>
  <c r="E239" i="10"/>
  <c r="E251" i="10"/>
  <c r="E263" i="10"/>
  <c r="E275" i="10"/>
  <c r="E287" i="10"/>
  <c r="E299" i="10"/>
  <c r="E311" i="10"/>
  <c r="E323" i="10"/>
  <c r="E335" i="10"/>
  <c r="E347" i="10"/>
  <c r="E359" i="10"/>
  <c r="E371" i="10"/>
  <c r="E383" i="10"/>
  <c r="E395" i="10"/>
  <c r="E407" i="10"/>
  <c r="E419" i="10"/>
  <c r="E431" i="10"/>
  <c r="E443" i="10"/>
  <c r="E455" i="10"/>
  <c r="E467" i="10"/>
  <c r="E479" i="10"/>
  <c r="E491" i="10"/>
  <c r="E503" i="10"/>
  <c r="E515" i="10"/>
  <c r="E527" i="10"/>
  <c r="E539" i="10"/>
  <c r="E551" i="10"/>
  <c r="E563" i="10"/>
  <c r="E575" i="10"/>
  <c r="E587" i="10"/>
  <c r="E599" i="10"/>
  <c r="E611" i="10"/>
  <c r="E12" i="10"/>
  <c r="E24" i="10"/>
  <c r="E36" i="10"/>
  <c r="E48" i="10"/>
  <c r="E60" i="10"/>
  <c r="E72" i="10"/>
  <c r="E84" i="10"/>
  <c r="E96" i="10"/>
  <c r="E108" i="10"/>
  <c r="E120" i="10"/>
  <c r="E132" i="10"/>
  <c r="E144" i="10"/>
  <c r="E156" i="10"/>
  <c r="E168" i="10"/>
  <c r="E180" i="10"/>
  <c r="E192" i="10"/>
  <c r="E204" i="10"/>
  <c r="E216" i="10"/>
  <c r="E228" i="10"/>
  <c r="E240" i="10"/>
  <c r="E252" i="10"/>
  <c r="E264" i="10"/>
  <c r="E276" i="10"/>
  <c r="E288" i="10"/>
  <c r="E300" i="10"/>
  <c r="E312" i="10"/>
  <c r="E324" i="10"/>
  <c r="E336" i="10"/>
  <c r="E348" i="10"/>
  <c r="E360" i="10"/>
  <c r="E372" i="10"/>
  <c r="E384" i="10"/>
  <c r="E396" i="10"/>
  <c r="E408" i="10"/>
  <c r="E420" i="10"/>
  <c r="E432" i="10"/>
  <c r="E444" i="10"/>
  <c r="E456" i="10"/>
  <c r="E468" i="10"/>
  <c r="E480" i="10"/>
  <c r="E492" i="10"/>
  <c r="E504" i="10"/>
  <c r="E516" i="10"/>
  <c r="E528" i="10"/>
  <c r="E540" i="10"/>
  <c r="E552" i="10"/>
  <c r="E564" i="10"/>
  <c r="E576" i="10"/>
  <c r="E588" i="10"/>
  <c r="E600" i="10"/>
  <c r="E612" i="10"/>
  <c r="E624" i="10"/>
  <c r="E636" i="10"/>
  <c r="E648" i="10"/>
  <c r="E660" i="10"/>
  <c r="E672" i="10"/>
  <c r="E684" i="10"/>
  <c r="E696" i="10"/>
  <c r="E708" i="10"/>
  <c r="E720" i="10"/>
  <c r="E732" i="10"/>
  <c r="E744" i="10"/>
  <c r="E756" i="10"/>
  <c r="E768" i="10"/>
  <c r="E780" i="10"/>
  <c r="E792" i="10"/>
  <c r="E804" i="10"/>
  <c r="E816" i="10"/>
  <c r="E828" i="10"/>
  <c r="E840" i="10"/>
  <c r="E852" i="10"/>
  <c r="E864" i="10"/>
  <c r="E876" i="10"/>
  <c r="E888" i="10"/>
  <c r="E900" i="10"/>
  <c r="E912" i="10"/>
  <c r="E924" i="10"/>
  <c r="E936" i="10"/>
  <c r="E948" i="10"/>
  <c r="E960" i="10"/>
  <c r="E972" i="10"/>
  <c r="E984" i="10"/>
  <c r="E996" i="10"/>
  <c r="E1008" i="10"/>
  <c r="E1020" i="10"/>
  <c r="E1032" i="10"/>
  <c r="E1044" i="10"/>
  <c r="E1056" i="10"/>
  <c r="E1068" i="10"/>
  <c r="E1080" i="10"/>
  <c r="E1092" i="10"/>
  <c r="E5" i="10"/>
  <c r="E19" i="10"/>
  <c r="E33" i="10"/>
  <c r="E49" i="10"/>
  <c r="E63" i="10"/>
  <c r="E77" i="10"/>
  <c r="E91" i="10"/>
  <c r="E105" i="10"/>
  <c r="E121" i="10"/>
  <c r="E135" i="10"/>
  <c r="E149" i="10"/>
  <c r="E163" i="10"/>
  <c r="E177" i="10"/>
  <c r="E193" i="10"/>
  <c r="E207" i="10"/>
  <c r="E221" i="10"/>
  <c r="E235" i="10"/>
  <c r="E249" i="10"/>
  <c r="E265" i="10"/>
  <c r="E279" i="10"/>
  <c r="E293" i="10"/>
  <c r="E307" i="10"/>
  <c r="E321" i="10"/>
  <c r="E337" i="10"/>
  <c r="E351" i="10"/>
  <c r="E365" i="10"/>
  <c r="E379" i="10"/>
  <c r="E393" i="10"/>
  <c r="E409" i="10"/>
  <c r="E423" i="10"/>
  <c r="E437" i="10"/>
  <c r="E451" i="10"/>
  <c r="E465" i="10"/>
  <c r="E481" i="10"/>
  <c r="E495" i="10"/>
  <c r="E509" i="10"/>
  <c r="E523" i="10"/>
  <c r="E537" i="10"/>
  <c r="E553" i="10"/>
  <c r="E567" i="10"/>
  <c r="E581" i="10"/>
  <c r="E595" i="10"/>
  <c r="E609" i="10"/>
  <c r="E623" i="10"/>
  <c r="E637" i="10"/>
  <c r="E650" i="10"/>
  <c r="E663" i="10"/>
  <c r="E676" i="10"/>
  <c r="E689" i="10"/>
  <c r="E702" i="10"/>
  <c r="E715" i="10"/>
  <c r="E728" i="10"/>
  <c r="E741" i="10"/>
  <c r="E754" i="10"/>
  <c r="E767" i="10"/>
  <c r="E781" i="10"/>
  <c r="E794" i="10"/>
  <c r="E807" i="10"/>
  <c r="E820" i="10"/>
  <c r="E833" i="10"/>
  <c r="E846" i="10"/>
  <c r="E859" i="10"/>
  <c r="E872" i="10"/>
  <c r="E885" i="10"/>
  <c r="E898" i="10"/>
  <c r="E911" i="10"/>
  <c r="E925" i="10"/>
  <c r="E938" i="10"/>
  <c r="E951" i="10"/>
  <c r="E964" i="10"/>
  <c r="E977" i="10"/>
  <c r="E990" i="10"/>
  <c r="E1003" i="10"/>
  <c r="E1016" i="10"/>
  <c r="E1029" i="10"/>
  <c r="E1042" i="10"/>
  <c r="E1055" i="10"/>
  <c r="E1069" i="10"/>
  <c r="E1082" i="10"/>
  <c r="E1095" i="10"/>
  <c r="E1107" i="10"/>
  <c r="E1119" i="10"/>
  <c r="E1131" i="10"/>
  <c r="E1143" i="10"/>
  <c r="E1155" i="10"/>
  <c r="E1167" i="10"/>
  <c r="E1179" i="10"/>
  <c r="E1191" i="10"/>
  <c r="E1203" i="10"/>
  <c r="E1215" i="10"/>
  <c r="E1227" i="10"/>
  <c r="E1239" i="10"/>
  <c r="E1251" i="10"/>
  <c r="E1263" i="10"/>
  <c r="E1275" i="10"/>
  <c r="E1287" i="10"/>
  <c r="E1299" i="10"/>
  <c r="E1311" i="10"/>
  <c r="E1323" i="10"/>
  <c r="E1335" i="10"/>
  <c r="E1347" i="10"/>
  <c r="E1359" i="10"/>
  <c r="E1371" i="10"/>
  <c r="E1383" i="10"/>
  <c r="E1395" i="10"/>
  <c r="E1407" i="10"/>
  <c r="E1419" i="10"/>
  <c r="E1431" i="10"/>
  <c r="E1443" i="10"/>
  <c r="E1455" i="10"/>
  <c r="E1467" i="10"/>
  <c r="E1479" i="10"/>
  <c r="E1491" i="10"/>
  <c r="E1503" i="10"/>
  <c r="E1515" i="10"/>
  <c r="E1527" i="10"/>
  <c r="E1539" i="10"/>
  <c r="E1551" i="10"/>
  <c r="E1563" i="10"/>
  <c r="E1575" i="10"/>
  <c r="E1587" i="10"/>
  <c r="E1599" i="10"/>
  <c r="E1611" i="10"/>
  <c r="E1623" i="10"/>
  <c r="E1635" i="10"/>
  <c r="E1647" i="10"/>
  <c r="E1659" i="10"/>
  <c r="E1671" i="10"/>
  <c r="E1683" i="10"/>
  <c r="E1695" i="10"/>
  <c r="E1707" i="10"/>
  <c r="E1719" i="10"/>
  <c r="E1731" i="10"/>
  <c r="E1743" i="10"/>
  <c r="E1755" i="10"/>
  <c r="E7" i="10"/>
  <c r="E21" i="10"/>
  <c r="E37" i="10"/>
  <c r="E51" i="10"/>
  <c r="E65" i="10"/>
  <c r="E79" i="10"/>
  <c r="E93" i="10"/>
  <c r="E109" i="10"/>
  <c r="E123" i="10"/>
  <c r="E137" i="10"/>
  <c r="E151" i="10"/>
  <c r="E165" i="10"/>
  <c r="E181" i="10"/>
  <c r="E195" i="10"/>
  <c r="E209" i="10"/>
  <c r="E223" i="10"/>
  <c r="E237" i="10"/>
  <c r="E253" i="10"/>
  <c r="E267" i="10"/>
  <c r="E281" i="10"/>
  <c r="E295" i="10"/>
  <c r="E309" i="10"/>
  <c r="E325" i="10"/>
  <c r="E339" i="10"/>
  <c r="E353" i="10"/>
  <c r="E367" i="10"/>
  <c r="E381" i="10"/>
  <c r="E397" i="10"/>
  <c r="E411" i="10"/>
  <c r="E425" i="10"/>
  <c r="E439" i="10"/>
  <c r="E453" i="10"/>
  <c r="E469" i="10"/>
  <c r="E483" i="10"/>
  <c r="E497" i="10"/>
  <c r="E511" i="10"/>
  <c r="E525" i="10"/>
  <c r="E541" i="10"/>
  <c r="E555" i="10"/>
  <c r="E569" i="10"/>
  <c r="E583" i="10"/>
  <c r="E597" i="10"/>
  <c r="E613" i="10"/>
  <c r="E626" i="10"/>
  <c r="E639" i="10"/>
  <c r="E652" i="10"/>
  <c r="E665" i="10"/>
  <c r="E678" i="10"/>
  <c r="E691" i="10"/>
  <c r="E704" i="10"/>
  <c r="E717" i="10"/>
  <c r="E730" i="10"/>
  <c r="E743" i="10"/>
  <c r="E757" i="10"/>
  <c r="E770" i="10"/>
  <c r="E783" i="10"/>
  <c r="E796" i="10"/>
  <c r="E809" i="10"/>
  <c r="E822" i="10"/>
  <c r="E835" i="10"/>
  <c r="E848" i="10"/>
  <c r="E861" i="10"/>
  <c r="E874" i="10"/>
  <c r="E887" i="10"/>
  <c r="E901" i="10"/>
  <c r="E914" i="10"/>
  <c r="E927" i="10"/>
  <c r="E940" i="10"/>
  <c r="E953" i="10"/>
  <c r="E966" i="10"/>
  <c r="E979" i="10"/>
  <c r="E992" i="10"/>
  <c r="E1005" i="10"/>
  <c r="E1018" i="10"/>
  <c r="E1031" i="10"/>
  <c r="E1045" i="10"/>
  <c r="E1058" i="10"/>
  <c r="E1071" i="10"/>
  <c r="E1084" i="10"/>
  <c r="E1097" i="10"/>
  <c r="E8" i="10"/>
  <c r="E22" i="10"/>
  <c r="E38" i="10"/>
  <c r="E52" i="10"/>
  <c r="E66" i="10"/>
  <c r="E80" i="10"/>
  <c r="E94" i="10"/>
  <c r="E110" i="10"/>
  <c r="E124" i="10"/>
  <c r="E138" i="10"/>
  <c r="E152" i="10"/>
  <c r="E166" i="10"/>
  <c r="E182" i="10"/>
  <c r="E196" i="10"/>
  <c r="E210" i="10"/>
  <c r="E224" i="10"/>
  <c r="E238" i="10"/>
  <c r="E254" i="10"/>
  <c r="E268" i="10"/>
  <c r="E282" i="10"/>
  <c r="E296" i="10"/>
  <c r="E310" i="10"/>
  <c r="E326" i="10"/>
  <c r="E340" i="10"/>
  <c r="E354" i="10"/>
  <c r="E368" i="10"/>
  <c r="E382" i="10"/>
  <c r="E398" i="10"/>
  <c r="E412" i="10"/>
  <c r="E426" i="10"/>
  <c r="E440" i="10"/>
  <c r="E454" i="10"/>
  <c r="E470" i="10"/>
  <c r="E484" i="10"/>
  <c r="E498" i="10"/>
  <c r="E512" i="10"/>
  <c r="E526" i="10"/>
  <c r="E542" i="10"/>
  <c r="E556" i="10"/>
  <c r="E570" i="10"/>
  <c r="E584" i="10"/>
  <c r="E598" i="10"/>
  <c r="E614" i="10"/>
  <c r="E627" i="10"/>
  <c r="E640" i="10"/>
  <c r="E653" i="10"/>
  <c r="E666" i="10"/>
  <c r="E679" i="10"/>
  <c r="E692" i="10"/>
  <c r="E705" i="10"/>
  <c r="E718" i="10"/>
  <c r="E731" i="10"/>
  <c r="E745" i="10"/>
  <c r="E758" i="10"/>
  <c r="E771" i="10"/>
  <c r="E784" i="10"/>
  <c r="E797" i="10"/>
  <c r="E810" i="10"/>
  <c r="E823" i="10"/>
  <c r="E836" i="10"/>
  <c r="E849" i="10"/>
  <c r="E862" i="10"/>
  <c r="E875" i="10"/>
  <c r="E889" i="10"/>
  <c r="E902" i="10"/>
  <c r="E915" i="10"/>
  <c r="E928" i="10"/>
  <c r="E941" i="10"/>
  <c r="E954" i="10"/>
  <c r="E967" i="10"/>
  <c r="E980" i="10"/>
  <c r="E993" i="10"/>
  <c r="E1006" i="10"/>
  <c r="E1019" i="10"/>
  <c r="E1033" i="10"/>
  <c r="E1046" i="10"/>
  <c r="E1059" i="10"/>
  <c r="E1072" i="10"/>
  <c r="E1085" i="10"/>
  <c r="E1098" i="10"/>
  <c r="E1110" i="10"/>
  <c r="E1122" i="10"/>
  <c r="E1134" i="10"/>
  <c r="E1146" i="10"/>
  <c r="E1158" i="10"/>
  <c r="E1170" i="10"/>
  <c r="E1182" i="10"/>
  <c r="E1194" i="10"/>
  <c r="E1206" i="10"/>
  <c r="E1218" i="10"/>
  <c r="E1230" i="10"/>
  <c r="E1242" i="10"/>
  <c r="E1254" i="10"/>
  <c r="E1266" i="10"/>
  <c r="E1278" i="10"/>
  <c r="E1290" i="10"/>
  <c r="E1302" i="10"/>
  <c r="E1314" i="10"/>
  <c r="E1326" i="10"/>
  <c r="E9" i="10"/>
  <c r="E25" i="10"/>
  <c r="E39" i="10"/>
  <c r="E53" i="10"/>
  <c r="E67" i="10"/>
  <c r="E81" i="10"/>
  <c r="E97" i="10"/>
  <c r="E111" i="10"/>
  <c r="E125" i="10"/>
  <c r="E139" i="10"/>
  <c r="E153" i="10"/>
  <c r="E169" i="10"/>
  <c r="E183" i="10"/>
  <c r="E197" i="10"/>
  <c r="E211" i="10"/>
  <c r="E225" i="10"/>
  <c r="E241" i="10"/>
  <c r="E255" i="10"/>
  <c r="E269" i="10"/>
  <c r="E283" i="10"/>
  <c r="E297" i="10"/>
  <c r="E313" i="10"/>
  <c r="E327" i="10"/>
  <c r="E341" i="10"/>
  <c r="E355" i="10"/>
  <c r="E369" i="10"/>
  <c r="E385" i="10"/>
  <c r="E399" i="10"/>
  <c r="E413" i="10"/>
  <c r="E427" i="10"/>
  <c r="E441" i="10"/>
  <c r="E457" i="10"/>
  <c r="E471" i="10"/>
  <c r="E485" i="10"/>
  <c r="E499" i="10"/>
  <c r="E513" i="10"/>
  <c r="E529" i="10"/>
  <c r="E543" i="10"/>
  <c r="E557" i="10"/>
  <c r="E571" i="10"/>
  <c r="E585" i="10"/>
  <c r="E601" i="10"/>
  <c r="E615" i="10"/>
  <c r="E628" i="10"/>
  <c r="E641" i="10"/>
  <c r="E654" i="10"/>
  <c r="E667" i="10"/>
  <c r="E680" i="10"/>
  <c r="E693" i="10"/>
  <c r="E706" i="10"/>
  <c r="E719" i="10"/>
  <c r="E733" i="10"/>
  <c r="E746" i="10"/>
  <c r="E759" i="10"/>
  <c r="E772" i="10"/>
  <c r="E10" i="10"/>
  <c r="E26" i="10"/>
  <c r="E40" i="10"/>
  <c r="E54" i="10"/>
  <c r="E68" i="10"/>
  <c r="E82" i="10"/>
  <c r="E98" i="10"/>
  <c r="E112" i="10"/>
  <c r="E126" i="10"/>
  <c r="E140" i="10"/>
  <c r="E154" i="10"/>
  <c r="E170" i="10"/>
  <c r="E184" i="10"/>
  <c r="E198" i="10"/>
  <c r="E212" i="10"/>
  <c r="E226" i="10"/>
  <c r="E242" i="10"/>
  <c r="E256" i="10"/>
  <c r="E270" i="10"/>
  <c r="E284" i="10"/>
  <c r="E298" i="10"/>
  <c r="E314" i="10"/>
  <c r="E328" i="10"/>
  <c r="E342" i="10"/>
  <c r="E356" i="10"/>
  <c r="E370" i="10"/>
  <c r="E386" i="10"/>
  <c r="E400" i="10"/>
  <c r="E414" i="10"/>
  <c r="E428" i="10"/>
  <c r="E442" i="10"/>
  <c r="E458" i="10"/>
  <c r="E472" i="10"/>
  <c r="E486" i="10"/>
  <c r="E500" i="10"/>
  <c r="E514" i="10"/>
  <c r="E530" i="10"/>
  <c r="E544" i="10"/>
  <c r="E558" i="10"/>
  <c r="E572" i="10"/>
  <c r="E586" i="10"/>
  <c r="E602" i="10"/>
  <c r="E616" i="10"/>
  <c r="E629" i="10"/>
  <c r="E642" i="10"/>
  <c r="E655" i="10"/>
  <c r="E668" i="10"/>
  <c r="E681" i="10"/>
  <c r="E694" i="10"/>
  <c r="E707" i="10"/>
  <c r="E721" i="10"/>
  <c r="E734" i="10"/>
  <c r="E747" i="10"/>
  <c r="E760" i="10"/>
  <c r="E773" i="10"/>
  <c r="E786" i="10"/>
  <c r="E799" i="10"/>
  <c r="E812" i="10"/>
  <c r="E825" i="10"/>
  <c r="E838" i="10"/>
  <c r="E851" i="10"/>
  <c r="E865" i="10"/>
  <c r="E878" i="10"/>
  <c r="E891" i="10"/>
  <c r="E904" i="10"/>
  <c r="E917" i="10"/>
  <c r="E930" i="10"/>
  <c r="E943" i="10"/>
  <c r="E956" i="10"/>
  <c r="E969" i="10"/>
  <c r="E982" i="10"/>
  <c r="E995" i="10"/>
  <c r="E1009" i="10"/>
  <c r="E1022" i="10"/>
  <c r="E1035" i="10"/>
  <c r="E1048" i="10"/>
  <c r="E1061" i="10"/>
  <c r="E1074" i="10"/>
  <c r="E1087" i="10"/>
  <c r="E1100" i="10"/>
  <c r="E1112" i="10"/>
  <c r="E1124" i="10"/>
  <c r="E1136" i="10"/>
  <c r="E1148" i="10"/>
  <c r="E1160" i="10"/>
  <c r="E1172" i="10"/>
  <c r="E1184" i="10"/>
  <c r="E1196" i="10"/>
  <c r="E1208" i="10"/>
  <c r="E1220" i="10"/>
  <c r="E1232" i="10"/>
  <c r="E1244" i="10"/>
  <c r="E1256" i="10"/>
  <c r="E1268" i="10"/>
  <c r="E1280" i="10"/>
  <c r="E1292" i="10"/>
  <c r="E1304" i="10"/>
  <c r="E1316" i="10"/>
  <c r="E1328" i="10"/>
  <c r="E1340" i="10"/>
  <c r="E1352" i="10"/>
  <c r="E1364" i="10"/>
  <c r="E1376" i="10"/>
  <c r="E1388" i="10"/>
  <c r="E1400" i="10"/>
  <c r="E1412" i="10"/>
  <c r="E1424" i="10"/>
  <c r="E1436" i="10"/>
  <c r="E1448" i="10"/>
  <c r="E1460" i="10"/>
  <c r="E1472" i="10"/>
  <c r="E1484" i="10"/>
  <c r="E1496" i="10"/>
  <c r="E1508" i="10"/>
  <c r="E1520" i="10"/>
  <c r="E1532" i="10"/>
  <c r="E1544" i="10"/>
  <c r="E1556" i="10"/>
  <c r="E1568" i="10"/>
  <c r="E1580" i="10"/>
  <c r="E1592" i="10"/>
  <c r="E1604" i="10"/>
  <c r="E1616" i="10"/>
  <c r="E1628" i="10"/>
  <c r="E1640" i="10"/>
  <c r="E1652" i="10"/>
  <c r="E1664" i="10"/>
  <c r="E1676" i="10"/>
  <c r="E1688" i="10"/>
  <c r="E1700" i="10"/>
  <c r="E1712" i="10"/>
  <c r="E1724" i="10"/>
  <c r="E1736" i="10"/>
  <c r="E1748" i="10"/>
  <c r="E1760" i="10"/>
  <c r="E16" i="10"/>
  <c r="E42" i="10"/>
  <c r="E64" i="10"/>
  <c r="E89" i="10"/>
  <c r="E115" i="10"/>
  <c r="E141" i="10"/>
  <c r="E162" i="10"/>
  <c r="E188" i="10"/>
  <c r="E214" i="10"/>
  <c r="E236" i="10"/>
  <c r="E261" i="10"/>
  <c r="E289" i="10"/>
  <c r="E315" i="10"/>
  <c r="E334" i="10"/>
  <c r="E362" i="10"/>
  <c r="E388" i="10"/>
  <c r="E410" i="10"/>
  <c r="E435" i="10"/>
  <c r="E461" i="10"/>
  <c r="E487" i="10"/>
  <c r="E508" i="10"/>
  <c r="E534" i="10"/>
  <c r="E560" i="10"/>
  <c r="E582" i="10"/>
  <c r="E607" i="10"/>
  <c r="E632" i="10"/>
  <c r="E656" i="10"/>
  <c r="E675" i="10"/>
  <c r="E699" i="10"/>
  <c r="E723" i="10"/>
  <c r="E742" i="10"/>
  <c r="E765" i="10"/>
  <c r="E788" i="10"/>
  <c r="E806" i="10"/>
  <c r="E827" i="10"/>
  <c r="E845" i="10"/>
  <c r="E867" i="10"/>
  <c r="E884" i="10"/>
  <c r="E906" i="10"/>
  <c r="E923" i="10"/>
  <c r="E945" i="10"/>
  <c r="E963" i="10"/>
  <c r="E985" i="10"/>
  <c r="E1002" i="10"/>
  <c r="E1024" i="10"/>
  <c r="E1041" i="10"/>
  <c r="E1063" i="10"/>
  <c r="E1081" i="10"/>
  <c r="E1102" i="10"/>
  <c r="E1117" i="10"/>
  <c r="E1133" i="10"/>
  <c r="E1150" i="10"/>
  <c r="E1165" i="10"/>
  <c r="E1181" i="10"/>
  <c r="E1198" i="10"/>
  <c r="E1213" i="10"/>
  <c r="E1229" i="10"/>
  <c r="E1246" i="10"/>
  <c r="E1261" i="10"/>
  <c r="E1277" i="10"/>
  <c r="E1294" i="10"/>
  <c r="E1309" i="10"/>
  <c r="E1325" i="10"/>
  <c r="E1341" i="10"/>
  <c r="E1355" i="10"/>
  <c r="E1369" i="10"/>
  <c r="E1384" i="10"/>
  <c r="E1398" i="10"/>
  <c r="E1413" i="10"/>
  <c r="E1427" i="10"/>
  <c r="E1441" i="10"/>
  <c r="E1456" i="10"/>
  <c r="E1470" i="10"/>
  <c r="E1485" i="10"/>
  <c r="E1499" i="10"/>
  <c r="E1513" i="10"/>
  <c r="E1528" i="10"/>
  <c r="E1542" i="10"/>
  <c r="E1557" i="10"/>
  <c r="E1571" i="10"/>
  <c r="E1585" i="10"/>
  <c r="E1600" i="10"/>
  <c r="E1614" i="10"/>
  <c r="E1629" i="10"/>
  <c r="E1643" i="10"/>
  <c r="E1657" i="10"/>
  <c r="E1672" i="10"/>
  <c r="E1686" i="10"/>
  <c r="E1701" i="10"/>
  <c r="E1715" i="10"/>
  <c r="E1729" i="10"/>
  <c r="E1744" i="10"/>
  <c r="E1758" i="10"/>
  <c r="E17" i="10"/>
  <c r="E43" i="10"/>
  <c r="E69" i="10"/>
  <c r="E90" i="10"/>
  <c r="E116" i="10"/>
  <c r="E142" i="10"/>
  <c r="E164" i="10"/>
  <c r="E189" i="10"/>
  <c r="E217" i="10"/>
  <c r="E243" i="10"/>
  <c r="E262" i="10"/>
  <c r="E290" i="10"/>
  <c r="E316" i="10"/>
  <c r="E338" i="10"/>
  <c r="E363" i="10"/>
  <c r="E389" i="10"/>
  <c r="E415" i="10"/>
  <c r="E436" i="10"/>
  <c r="E462" i="10"/>
  <c r="E488" i="10"/>
  <c r="E510" i="10"/>
  <c r="E535" i="10"/>
  <c r="E561" i="10"/>
  <c r="E589" i="10"/>
  <c r="E608" i="10"/>
  <c r="E633" i="10"/>
  <c r="E657" i="10"/>
  <c r="E677" i="10"/>
  <c r="E700" i="10"/>
  <c r="E724" i="10"/>
  <c r="E748" i="10"/>
  <c r="E766" i="10"/>
  <c r="E789" i="10"/>
  <c r="E808" i="10"/>
  <c r="E829" i="10"/>
  <c r="E847" i="10"/>
  <c r="E868" i="10"/>
  <c r="E886" i="10"/>
  <c r="E907" i="10"/>
  <c r="E926" i="10"/>
  <c r="E946" i="10"/>
  <c r="E965" i="10"/>
  <c r="E986" i="10"/>
  <c r="E1004" i="10"/>
  <c r="E1025" i="10"/>
  <c r="E1043" i="10"/>
  <c r="E1064" i="10"/>
  <c r="E1083" i="10"/>
  <c r="E1103" i="10"/>
  <c r="E1118" i="10"/>
  <c r="E1135" i="10"/>
  <c r="E1151" i="10"/>
  <c r="E1166" i="10"/>
  <c r="E1183" i="10"/>
  <c r="E1199" i="10"/>
  <c r="E1214" i="10"/>
  <c r="E1231" i="10"/>
  <c r="E1247" i="10"/>
  <c r="E1262" i="10"/>
  <c r="E1279" i="10"/>
  <c r="E1295" i="10"/>
  <c r="E1310" i="10"/>
  <c r="E1327" i="10"/>
  <c r="E1342" i="10"/>
  <c r="E1356" i="10"/>
  <c r="E1370" i="10"/>
  <c r="E1385" i="10"/>
  <c r="E1399" i="10"/>
  <c r="E1414" i="10"/>
  <c r="E1428" i="10"/>
  <c r="E1442" i="10"/>
  <c r="E1457" i="10"/>
  <c r="E1471" i="10"/>
  <c r="E1486" i="10"/>
  <c r="E1500" i="10"/>
  <c r="E1514" i="10"/>
  <c r="E1529" i="10"/>
  <c r="E1543" i="10"/>
  <c r="E1558" i="10"/>
  <c r="E1572" i="10"/>
  <c r="E1586" i="10"/>
  <c r="E1601" i="10"/>
  <c r="E1615" i="10"/>
  <c r="E1630" i="10"/>
  <c r="E1644" i="10"/>
  <c r="E1658" i="10"/>
  <c r="E1673" i="10"/>
  <c r="E1687" i="10"/>
  <c r="E1702" i="10"/>
  <c r="E1716" i="10"/>
  <c r="E1730" i="10"/>
  <c r="E1745" i="10"/>
  <c r="E1759" i="10"/>
  <c r="E20" i="10"/>
  <c r="E45" i="10"/>
  <c r="E73" i="10"/>
  <c r="E99" i="10"/>
  <c r="E118" i="10"/>
  <c r="E146" i="10"/>
  <c r="E172" i="10"/>
  <c r="E194" i="10"/>
  <c r="E219" i="10"/>
  <c r="E245" i="10"/>
  <c r="E271" i="10"/>
  <c r="E292" i="10"/>
  <c r="E318" i="10"/>
  <c r="E344" i="10"/>
  <c r="E366" i="10"/>
  <c r="E391" i="10"/>
  <c r="E417" i="10"/>
  <c r="E445" i="10"/>
  <c r="E464" i="10"/>
  <c r="E490" i="10"/>
  <c r="E518" i="10"/>
  <c r="E538" i="10"/>
  <c r="E565" i="10"/>
  <c r="E591" i="10"/>
  <c r="E617" i="10"/>
  <c r="E635" i="10"/>
  <c r="E659" i="10"/>
  <c r="E683" i="10"/>
  <c r="E703" i="10"/>
  <c r="E726" i="10"/>
  <c r="E750" i="10"/>
  <c r="E774" i="10"/>
  <c r="E791" i="10"/>
  <c r="E813" i="10"/>
  <c r="E831" i="10"/>
  <c r="E853" i="10"/>
  <c r="E870" i="10"/>
  <c r="E892" i="10"/>
  <c r="E909" i="10"/>
  <c r="E931" i="10"/>
  <c r="E949" i="10"/>
  <c r="E970" i="10"/>
  <c r="E988" i="10"/>
  <c r="E1010" i="10"/>
  <c r="E1027" i="10"/>
  <c r="E1049" i="10"/>
  <c r="E1066" i="10"/>
  <c r="E1088" i="10"/>
  <c r="E1105" i="10"/>
  <c r="E1121" i="10"/>
  <c r="E1138" i="10"/>
  <c r="E1153" i="10"/>
  <c r="E1169" i="10"/>
  <c r="E1186" i="10"/>
  <c r="E1201" i="10"/>
  <c r="E1217" i="10"/>
  <c r="E1234" i="10"/>
  <c r="E1249" i="10"/>
  <c r="E1265" i="10"/>
  <c r="E1282" i="10"/>
  <c r="E1297" i="10"/>
  <c r="E1313" i="10"/>
  <c r="E1330" i="10"/>
  <c r="E1344" i="10"/>
  <c r="E1358" i="10"/>
  <c r="E1373" i="10"/>
  <c r="E1387" i="10"/>
  <c r="E1402" i="10"/>
  <c r="E1416" i="10"/>
  <c r="E1430" i="10"/>
  <c r="E1445" i="10"/>
  <c r="E1459" i="10"/>
  <c r="E1474" i="10"/>
  <c r="E1488" i="10"/>
  <c r="E1502" i="10"/>
  <c r="E1517" i="10"/>
  <c r="E1531" i="10"/>
  <c r="E1546" i="10"/>
  <c r="E1560" i="10"/>
  <c r="E1574" i="10"/>
  <c r="E1589" i="10"/>
  <c r="E1603" i="10"/>
  <c r="E1618" i="10"/>
  <c r="E1632" i="10"/>
  <c r="E1646" i="10"/>
  <c r="E1661" i="10"/>
  <c r="E1675" i="10"/>
  <c r="E1690" i="10"/>
  <c r="E1704" i="10"/>
  <c r="E1718" i="10"/>
  <c r="E1733" i="10"/>
  <c r="E1747" i="10"/>
  <c r="E1762" i="10"/>
  <c r="E27" i="10"/>
  <c r="E46" i="10"/>
  <c r="E74" i="10"/>
  <c r="E100" i="10"/>
  <c r="E122" i="10"/>
  <c r="E147" i="10"/>
  <c r="E173" i="10"/>
  <c r="E199" i="10"/>
  <c r="E220" i="10"/>
  <c r="E246" i="10"/>
  <c r="E272" i="10"/>
  <c r="E294" i="10"/>
  <c r="E319" i="10"/>
  <c r="E345" i="10"/>
  <c r="E373" i="10"/>
  <c r="E392" i="10"/>
  <c r="E418" i="10"/>
  <c r="E446" i="10"/>
  <c r="E466" i="10"/>
  <c r="E493" i="10"/>
  <c r="E519" i="10"/>
  <c r="E545" i="10"/>
  <c r="E566" i="10"/>
  <c r="E592" i="10"/>
  <c r="E618" i="10"/>
  <c r="E638" i="10"/>
  <c r="E661" i="10"/>
  <c r="E685" i="10"/>
  <c r="E709" i="10"/>
  <c r="E727" i="10"/>
  <c r="E751" i="10"/>
  <c r="E775" i="10"/>
  <c r="E793" i="10"/>
  <c r="E814" i="10"/>
  <c r="E832" i="10"/>
  <c r="E854" i="10"/>
  <c r="E871" i="10"/>
  <c r="E893" i="10"/>
  <c r="E910" i="10"/>
  <c r="E932" i="10"/>
  <c r="E950" i="10"/>
  <c r="E971" i="10"/>
  <c r="E989" i="10"/>
  <c r="E1011" i="10"/>
  <c r="E1028" i="10"/>
  <c r="E1050" i="10"/>
  <c r="E1067" i="10"/>
  <c r="E1089" i="10"/>
  <c r="E1106" i="10"/>
  <c r="E1123" i="10"/>
  <c r="E1139" i="10"/>
  <c r="E1154" i="10"/>
  <c r="E1171" i="10"/>
  <c r="E1187" i="10"/>
  <c r="E1202" i="10"/>
  <c r="E1219" i="10"/>
  <c r="E1235" i="10"/>
  <c r="E1250" i="10"/>
  <c r="E1267" i="10"/>
  <c r="E1283" i="10"/>
  <c r="E1298" i="10"/>
  <c r="E1315" i="10"/>
  <c r="E1331" i="10"/>
  <c r="E1345" i="10"/>
  <c r="E1360" i="10"/>
  <c r="E1374" i="10"/>
  <c r="E1389" i="10"/>
  <c r="E1403" i="10"/>
  <c r="E1417" i="10"/>
  <c r="E1432" i="10"/>
  <c r="E1446" i="10"/>
  <c r="E1461" i="10"/>
  <c r="E1475" i="10"/>
  <c r="E1489" i="10"/>
  <c r="E1504" i="10"/>
  <c r="E1518" i="10"/>
  <c r="E1533" i="10"/>
  <c r="E1547" i="10"/>
  <c r="E1561" i="10"/>
  <c r="E1576" i="10"/>
  <c r="E1590" i="10"/>
  <c r="E1605" i="10"/>
  <c r="E1619" i="10"/>
  <c r="E1633" i="10"/>
  <c r="E1648" i="10"/>
  <c r="E1662" i="10"/>
  <c r="E1677" i="10"/>
  <c r="E1691" i="10"/>
  <c r="E1705" i="10"/>
  <c r="E1720" i="10"/>
  <c r="E1734" i="10"/>
  <c r="E1749" i="10"/>
  <c r="E1763" i="10"/>
  <c r="E2" i="10"/>
  <c r="E28" i="10"/>
  <c r="E50" i="10"/>
  <c r="E75" i="10"/>
  <c r="E101" i="10"/>
  <c r="E127" i="10"/>
  <c r="E148" i="10"/>
  <c r="E174" i="10"/>
  <c r="E200" i="10"/>
  <c r="E222" i="10"/>
  <c r="E247" i="10"/>
  <c r="E273" i="10"/>
  <c r="E301" i="10"/>
  <c r="E320" i="10"/>
  <c r="E346" i="10"/>
  <c r="E374" i="10"/>
  <c r="E394" i="10"/>
  <c r="E421" i="10"/>
  <c r="E447" i="10"/>
  <c r="E473" i="10"/>
  <c r="E494" i="10"/>
  <c r="E520" i="10"/>
  <c r="E546" i="10"/>
  <c r="E568" i="10"/>
  <c r="E593" i="10"/>
  <c r="E619" i="10"/>
  <c r="E643" i="10"/>
  <c r="E662" i="10"/>
  <c r="E686" i="10"/>
  <c r="E710" i="10"/>
  <c r="E729" i="10"/>
  <c r="E752" i="10"/>
  <c r="E776" i="10"/>
  <c r="E795" i="10"/>
  <c r="E815" i="10"/>
  <c r="E834" i="10"/>
  <c r="E855" i="10"/>
  <c r="E873" i="10"/>
  <c r="E894" i="10"/>
  <c r="E913" i="10"/>
  <c r="E933" i="10"/>
  <c r="E952" i="10"/>
  <c r="E973" i="10"/>
  <c r="E991" i="10"/>
  <c r="E1012" i="10"/>
  <c r="E1030" i="10"/>
  <c r="E1051" i="10"/>
  <c r="E1070" i="10"/>
  <c r="E1090" i="10"/>
  <c r="E1108" i="10"/>
  <c r="E1125" i="10"/>
  <c r="E1140" i="10"/>
  <c r="E1156" i="10"/>
  <c r="E1173" i="10"/>
  <c r="E1188" i="10"/>
  <c r="E1204" i="10"/>
  <c r="E1221" i="10"/>
  <c r="E1236" i="10"/>
  <c r="E1252" i="10"/>
  <c r="E1269" i="10"/>
  <c r="E1284" i="10"/>
  <c r="E1300" i="10"/>
  <c r="E1317" i="10"/>
  <c r="E1332" i="10"/>
  <c r="E1346" i="10"/>
  <c r="E1361" i="10"/>
  <c r="E1375" i="10"/>
  <c r="E1390" i="10"/>
  <c r="E1404" i="10"/>
  <c r="E1418" i="10"/>
  <c r="E1433" i="10"/>
  <c r="E1447" i="10"/>
  <c r="E1462" i="10"/>
  <c r="E1476" i="10"/>
  <c r="E1490" i="10"/>
  <c r="E1505" i="10"/>
  <c r="E1519" i="10"/>
  <c r="E1534" i="10"/>
  <c r="E1548" i="10"/>
  <c r="E1562" i="10"/>
  <c r="E1577" i="10"/>
  <c r="E1591" i="10"/>
  <c r="E1606" i="10"/>
  <c r="E1620" i="10"/>
  <c r="E1634" i="10"/>
  <c r="E1649" i="10"/>
  <c r="E1663" i="10"/>
  <c r="E1678" i="10"/>
  <c r="E1692" i="10"/>
  <c r="E1706" i="10"/>
  <c r="E1721" i="10"/>
  <c r="E1735" i="10"/>
  <c r="E1750" i="10"/>
  <c r="E3" i="10"/>
  <c r="E29" i="10"/>
  <c r="E55" i="10"/>
  <c r="E76" i="10"/>
  <c r="E102" i="10"/>
  <c r="E128" i="10"/>
  <c r="E150" i="10"/>
  <c r="E175" i="10"/>
  <c r="E201" i="10"/>
  <c r="E229" i="10"/>
  <c r="E248" i="10"/>
  <c r="E274" i="10"/>
  <c r="E302" i="10"/>
  <c r="E322" i="10"/>
  <c r="E349" i="10"/>
  <c r="E375" i="10"/>
  <c r="E401" i="10"/>
  <c r="E422" i="10"/>
  <c r="E448" i="10"/>
  <c r="E474" i="10"/>
  <c r="E496" i="10"/>
  <c r="E521" i="10"/>
  <c r="E547" i="10"/>
  <c r="E573" i="10"/>
  <c r="E594" i="10"/>
  <c r="E620" i="10"/>
  <c r="E644" i="10"/>
  <c r="E664" i="10"/>
  <c r="E687" i="10"/>
  <c r="E711" i="10"/>
  <c r="E735" i="10"/>
  <c r="E753" i="10"/>
  <c r="E777" i="10"/>
  <c r="E798" i="10"/>
  <c r="E817" i="10"/>
  <c r="E837" i="10"/>
  <c r="E856" i="10"/>
  <c r="E877" i="10"/>
  <c r="E895" i="10"/>
  <c r="E916" i="10"/>
  <c r="E934" i="10"/>
  <c r="E955" i="10"/>
  <c r="E974" i="10"/>
  <c r="E994" i="10"/>
  <c r="E1013" i="10"/>
  <c r="E1034" i="10"/>
  <c r="E1052" i="10"/>
  <c r="E1073" i="10"/>
  <c r="E1091" i="10"/>
  <c r="E1109" i="10"/>
  <c r="E1126" i="10"/>
  <c r="E1141" i="10"/>
  <c r="E1157" i="10"/>
  <c r="E1174" i="10"/>
  <c r="E1189" i="10"/>
  <c r="E1205" i="10"/>
  <c r="E1222" i="10"/>
  <c r="E1237" i="10"/>
  <c r="E1253" i="10"/>
  <c r="E1270" i="10"/>
  <c r="E1285" i="10"/>
  <c r="E1301" i="10"/>
  <c r="E1318" i="10"/>
  <c r="E1333" i="10"/>
  <c r="E1348" i="10"/>
  <c r="E1362" i="10"/>
  <c r="E1377" i="10"/>
  <c r="E1391" i="10"/>
  <c r="E1405" i="10"/>
  <c r="E1420" i="10"/>
  <c r="E1434" i="10"/>
  <c r="E1449" i="10"/>
  <c r="E1463" i="10"/>
  <c r="E1477" i="10"/>
  <c r="E1492" i="10"/>
  <c r="E1506" i="10"/>
  <c r="E1521" i="10"/>
  <c r="E1535" i="10"/>
  <c r="E1549" i="10"/>
  <c r="E1564" i="10"/>
  <c r="E1578" i="10"/>
  <c r="E1593" i="10"/>
  <c r="E1607" i="10"/>
  <c r="E1621" i="10"/>
  <c r="E1636" i="10"/>
  <c r="E1650" i="10"/>
  <c r="E1665" i="10"/>
  <c r="E1679" i="10"/>
  <c r="E1693" i="10"/>
  <c r="E1708" i="10"/>
  <c r="E1722" i="10"/>
  <c r="E1737" i="10"/>
  <c r="E1751" i="10"/>
  <c r="E44" i="10"/>
  <c r="E92" i="10"/>
  <c r="E145" i="10"/>
  <c r="E190" i="10"/>
  <c r="E244" i="10"/>
  <c r="E291" i="10"/>
  <c r="E343" i="10"/>
  <c r="E390" i="10"/>
  <c r="E438" i="10"/>
  <c r="E489" i="10"/>
  <c r="E536" i="10"/>
  <c r="E590" i="10"/>
  <c r="E634" i="10"/>
  <c r="E682" i="10"/>
  <c r="E725" i="10"/>
  <c r="E769" i="10"/>
  <c r="E811" i="10"/>
  <c r="E850" i="10"/>
  <c r="E890" i="10"/>
  <c r="E929" i="10"/>
  <c r="E968" i="10"/>
  <c r="E1007" i="10"/>
  <c r="E1047" i="10"/>
  <c r="E1086" i="10"/>
  <c r="E1120" i="10"/>
  <c r="E1152" i="10"/>
  <c r="E1185" i="10"/>
  <c r="E1216" i="10"/>
  <c r="E1248" i="10"/>
  <c r="E1281" i="10"/>
  <c r="E1312" i="10"/>
  <c r="E1343" i="10"/>
  <c r="E1372" i="10"/>
  <c r="E1401" i="10"/>
  <c r="E1429" i="10"/>
  <c r="E1458" i="10"/>
  <c r="E1487" i="10"/>
  <c r="E1516" i="10"/>
  <c r="E1545" i="10"/>
  <c r="E1573" i="10"/>
  <c r="E1602" i="10"/>
  <c r="E1631" i="10"/>
  <c r="E1660" i="10"/>
  <c r="E1689" i="10"/>
  <c r="E1717" i="10"/>
  <c r="E1746" i="10"/>
  <c r="E57" i="10"/>
  <c r="E158" i="10"/>
  <c r="E257" i="10"/>
  <c r="E352" i="10"/>
  <c r="E450" i="10"/>
  <c r="E549" i="10"/>
  <c r="E646" i="10"/>
  <c r="E737" i="10"/>
  <c r="E819" i="10"/>
  <c r="E897" i="10"/>
  <c r="E976" i="10"/>
  <c r="E1054" i="10"/>
  <c r="E1128" i="10"/>
  <c r="E1192" i="10"/>
  <c r="E1257" i="10"/>
  <c r="E1320" i="10"/>
  <c r="E1379" i="10"/>
  <c r="E1437" i="10"/>
  <c r="E1494" i="10"/>
  <c r="E1552" i="10"/>
  <c r="E1609" i="10"/>
  <c r="E1667" i="10"/>
  <c r="E1725" i="10"/>
  <c r="E4" i="10"/>
  <c r="E56" i="10"/>
  <c r="E103" i="10"/>
  <c r="E157" i="10"/>
  <c r="E202" i="10"/>
  <c r="E250" i="10"/>
  <c r="E303" i="10"/>
  <c r="E350" i="10"/>
  <c r="E402" i="10"/>
  <c r="E449" i="10"/>
  <c r="E501" i="10"/>
  <c r="E548" i="10"/>
  <c r="E596" i="10"/>
  <c r="E645" i="10"/>
  <c r="E688" i="10"/>
  <c r="E736" i="10"/>
  <c r="E778" i="10"/>
  <c r="E818" i="10"/>
  <c r="E857" i="10"/>
  <c r="E896" i="10"/>
  <c r="E935" i="10"/>
  <c r="E975" i="10"/>
  <c r="E1014" i="10"/>
  <c r="E1053" i="10"/>
  <c r="E1093" i="10"/>
  <c r="E1127" i="10"/>
  <c r="E1159" i="10"/>
  <c r="E1190" i="10"/>
  <c r="E1223" i="10"/>
  <c r="E1255" i="10"/>
  <c r="E1286" i="10"/>
  <c r="E1319" i="10"/>
  <c r="E1349" i="10"/>
  <c r="E1378" i="10"/>
  <c r="E1406" i="10"/>
  <c r="E1435" i="10"/>
  <c r="E1464" i="10"/>
  <c r="E1493" i="10"/>
  <c r="E1522" i="10"/>
  <c r="E1550" i="10"/>
  <c r="E1579" i="10"/>
  <c r="E1608" i="10"/>
  <c r="E1637" i="10"/>
  <c r="E1666" i="10"/>
  <c r="E1694" i="10"/>
  <c r="E1723" i="10"/>
  <c r="E1752" i="10"/>
  <c r="E6" i="10"/>
  <c r="E104" i="10"/>
  <c r="E205" i="10"/>
  <c r="E304" i="10"/>
  <c r="E403" i="10"/>
  <c r="E502" i="10"/>
  <c r="E603" i="10"/>
  <c r="E690" i="10"/>
  <c r="E779" i="10"/>
  <c r="E858" i="10"/>
  <c r="E937" i="10"/>
  <c r="E1015" i="10"/>
  <c r="E1094" i="10"/>
  <c r="E1161" i="10"/>
  <c r="E1224" i="10"/>
  <c r="E1288" i="10"/>
  <c r="E1350" i="10"/>
  <c r="E1408" i="10"/>
  <c r="E1465" i="10"/>
  <c r="E1523" i="10"/>
  <c r="E1581" i="10"/>
  <c r="E1638" i="10"/>
  <c r="E1696" i="10"/>
  <c r="E1753" i="10"/>
  <c r="E13" i="10"/>
  <c r="E58" i="10"/>
  <c r="E106" i="10"/>
  <c r="E159" i="10"/>
  <c r="E206" i="10"/>
  <c r="E258" i="10"/>
  <c r="E305" i="10"/>
  <c r="E357" i="10"/>
  <c r="E404" i="10"/>
  <c r="E452" i="10"/>
  <c r="E505" i="10"/>
  <c r="E550" i="10"/>
  <c r="E604" i="10"/>
  <c r="E647" i="10"/>
  <c r="E695" i="10"/>
  <c r="E738" i="10"/>
  <c r="E782" i="10"/>
  <c r="E821" i="10"/>
  <c r="E860" i="10"/>
  <c r="E899" i="10"/>
  <c r="E939" i="10"/>
  <c r="E978" i="10"/>
  <c r="E1017" i="10"/>
  <c r="E1057" i="10"/>
  <c r="E1096" i="10"/>
  <c r="E1129" i="10"/>
  <c r="E1162" i="10"/>
  <c r="E1193" i="10"/>
  <c r="E1225" i="10"/>
  <c r="E1258" i="10"/>
  <c r="E1289" i="10"/>
  <c r="E1321" i="10"/>
  <c r="E1351" i="10"/>
  <c r="E1380" i="10"/>
  <c r="E1409" i="10"/>
  <c r="E1438" i="10"/>
  <c r="E1466" i="10"/>
  <c r="E1495" i="10"/>
  <c r="E1524" i="10"/>
  <c r="E1553" i="10"/>
  <c r="E1582" i="10"/>
  <c r="E1610" i="10"/>
  <c r="E1639" i="10"/>
  <c r="E1668" i="10"/>
  <c r="E1697" i="10"/>
  <c r="E1726" i="10"/>
  <c r="E1754" i="10"/>
  <c r="E30" i="10"/>
  <c r="E78" i="10"/>
  <c r="E129" i="10"/>
  <c r="E176" i="10"/>
  <c r="E230" i="10"/>
  <c r="E277" i="10"/>
  <c r="E329" i="10"/>
  <c r="E376" i="10"/>
  <c r="E424" i="10"/>
  <c r="E475" i="10"/>
  <c r="E522" i="10"/>
  <c r="E574" i="10"/>
  <c r="E621" i="10"/>
  <c r="E669" i="10"/>
  <c r="E712" i="10"/>
  <c r="E755" i="10"/>
  <c r="E800" i="10"/>
  <c r="E839" i="10"/>
  <c r="E879" i="10"/>
  <c r="E918" i="10"/>
  <c r="E957" i="10"/>
  <c r="E997" i="10"/>
  <c r="E1036" i="10"/>
  <c r="E1111" i="10"/>
  <c r="E1142" i="10"/>
  <c r="E1175" i="10"/>
  <c r="E1207" i="10"/>
  <c r="E1238" i="10"/>
  <c r="E1271" i="10"/>
  <c r="E1303" i="10"/>
  <c r="E1334" i="10"/>
  <c r="E1363" i="10"/>
  <c r="E1392" i="10"/>
  <c r="E1421" i="10"/>
  <c r="E1450" i="10"/>
  <c r="E1478" i="10"/>
  <c r="E1507" i="10"/>
  <c r="E1536" i="10"/>
  <c r="E1565" i="10"/>
  <c r="E1594" i="10"/>
  <c r="E1622" i="10"/>
  <c r="E1651" i="10"/>
  <c r="E1680" i="10"/>
  <c r="E1709" i="10"/>
  <c r="E1738" i="10"/>
  <c r="E85" i="10"/>
  <c r="E178" i="10"/>
  <c r="E278" i="10"/>
  <c r="E377" i="10"/>
  <c r="E476" i="10"/>
  <c r="E577" i="10"/>
  <c r="E670" i="10"/>
  <c r="E761" i="10"/>
  <c r="E841" i="10"/>
  <c r="E919" i="10"/>
  <c r="E998" i="10"/>
  <c r="E1076" i="10"/>
  <c r="E1144" i="10"/>
  <c r="E1209" i="10"/>
  <c r="E1272" i="10"/>
  <c r="E1336" i="10"/>
  <c r="E1393" i="10"/>
  <c r="E1451" i="10"/>
  <c r="E1509" i="10"/>
  <c r="E1566" i="10"/>
  <c r="E1624" i="10"/>
  <c r="E1681" i="10"/>
  <c r="E1739" i="10"/>
  <c r="E14" i="10"/>
  <c r="E61" i="10"/>
  <c r="E113" i="10"/>
  <c r="E160" i="10"/>
  <c r="E208" i="10"/>
  <c r="E259" i="10"/>
  <c r="E306" i="10"/>
  <c r="E358" i="10"/>
  <c r="E405" i="10"/>
  <c r="E459" i="10"/>
  <c r="E506" i="10"/>
  <c r="E554" i="10"/>
  <c r="E605" i="10"/>
  <c r="E649" i="10"/>
  <c r="E697" i="10"/>
  <c r="E739" i="10"/>
  <c r="E785" i="10"/>
  <c r="E824" i="10"/>
  <c r="E863" i="10"/>
  <c r="E903" i="10"/>
  <c r="E942" i="10"/>
  <c r="E981" i="10"/>
  <c r="E1021" i="10"/>
  <c r="E1060" i="10"/>
  <c r="E1099" i="10"/>
  <c r="E1130" i="10"/>
  <c r="E1163" i="10"/>
  <c r="E1195" i="10"/>
  <c r="E1226" i="10"/>
  <c r="E1259" i="10"/>
  <c r="E1291" i="10"/>
  <c r="E1322" i="10"/>
  <c r="E1353" i="10"/>
  <c r="E1381" i="10"/>
  <c r="E1410" i="10"/>
  <c r="E1439" i="10"/>
  <c r="E1468" i="10"/>
  <c r="E1497" i="10"/>
  <c r="E1525" i="10"/>
  <c r="E1554" i="10"/>
  <c r="E1583" i="10"/>
  <c r="E1612" i="10"/>
  <c r="E1641" i="10"/>
  <c r="E1669" i="10"/>
  <c r="E1698" i="10"/>
  <c r="E1727" i="10"/>
  <c r="E1756" i="10"/>
  <c r="E1075" i="10"/>
  <c r="E31" i="10"/>
  <c r="E130" i="10"/>
  <c r="E231" i="10"/>
  <c r="E330" i="10"/>
  <c r="E429" i="10"/>
  <c r="E524" i="10"/>
  <c r="E622" i="10"/>
  <c r="E713" i="10"/>
  <c r="E801" i="10"/>
  <c r="E880" i="10"/>
  <c r="E958" i="10"/>
  <c r="E1037" i="10"/>
  <c r="E1113" i="10"/>
  <c r="E1176" i="10"/>
  <c r="E1240" i="10"/>
  <c r="E1305" i="10"/>
  <c r="E1365" i="10"/>
  <c r="E1422" i="10"/>
  <c r="E1480" i="10"/>
  <c r="E1537" i="10"/>
  <c r="E1595" i="10"/>
  <c r="E1653" i="10"/>
  <c r="E1710" i="10"/>
  <c r="E15" i="10"/>
  <c r="E62" i="10"/>
  <c r="E114" i="10"/>
  <c r="E161" i="10"/>
  <c r="E213" i="10"/>
  <c r="E260" i="10"/>
  <c r="E308" i="10"/>
  <c r="E361" i="10"/>
  <c r="E406" i="10"/>
  <c r="E460" i="10"/>
  <c r="E507" i="10"/>
  <c r="E559" i="10"/>
  <c r="E606" i="10"/>
  <c r="E651" i="10"/>
  <c r="E698" i="10"/>
  <c r="E740" i="10"/>
  <c r="E787" i="10"/>
  <c r="E826" i="10"/>
  <c r="E866" i="10"/>
  <c r="E905" i="10"/>
  <c r="E944" i="10"/>
  <c r="E983" i="10"/>
  <c r="E1023" i="10"/>
  <c r="E1062" i="10"/>
  <c r="E1101" i="10"/>
  <c r="E1132" i="10"/>
  <c r="E1164" i="10"/>
  <c r="E1197" i="10"/>
  <c r="E1228" i="10"/>
  <c r="E1260" i="10"/>
  <c r="E1293" i="10"/>
  <c r="E1324" i="10"/>
  <c r="E1354" i="10"/>
  <c r="E1382" i="10"/>
  <c r="E1411" i="10"/>
  <c r="E1440" i="10"/>
  <c r="E1469" i="10"/>
  <c r="E1498" i="10"/>
  <c r="E1526" i="10"/>
  <c r="E1555" i="10"/>
  <c r="E1584" i="10"/>
  <c r="E1613" i="10"/>
  <c r="E1642" i="10"/>
  <c r="E1670" i="10"/>
  <c r="E1699" i="10"/>
  <c r="E1728" i="10"/>
  <c r="E1757" i="10"/>
  <c r="E18" i="10"/>
  <c r="E70" i="10"/>
  <c r="E117" i="10"/>
  <c r="E171" i="10"/>
  <c r="E218" i="10"/>
  <c r="E266" i="10"/>
  <c r="E317" i="10"/>
  <c r="E364" i="10"/>
  <c r="E416" i="10"/>
  <c r="E463" i="10"/>
  <c r="E517" i="10"/>
  <c r="E562" i="10"/>
  <c r="E610" i="10"/>
  <c r="E658" i="10"/>
  <c r="E701" i="10"/>
  <c r="E749" i="10"/>
  <c r="E790" i="10"/>
  <c r="E830" i="10"/>
  <c r="E869" i="10"/>
  <c r="E908" i="10"/>
  <c r="E947" i="10"/>
  <c r="E987" i="10"/>
  <c r="E1026" i="10"/>
  <c r="E1065" i="10"/>
  <c r="E1104" i="10"/>
  <c r="E1137" i="10"/>
  <c r="E1168" i="10"/>
  <c r="E1200" i="10"/>
  <c r="E1233" i="10"/>
  <c r="E1264" i="10"/>
  <c r="E1296" i="10"/>
  <c r="E1329" i="10"/>
  <c r="E1357" i="10"/>
  <c r="E1386" i="10"/>
  <c r="E1415" i="10"/>
  <c r="E1444" i="10"/>
  <c r="E1473" i="10"/>
  <c r="E1501" i="10"/>
  <c r="E1530" i="10"/>
  <c r="E1559" i="10"/>
  <c r="E1588" i="10"/>
  <c r="E1617" i="10"/>
  <c r="E1645" i="10"/>
  <c r="E1674" i="10"/>
  <c r="E1703" i="10"/>
  <c r="E1732" i="10"/>
  <c r="E1761" i="10"/>
  <c r="E186" i="10"/>
  <c r="E380" i="10"/>
  <c r="E579" i="10"/>
  <c r="E763" i="10"/>
  <c r="E921" i="10"/>
  <c r="E1078" i="10"/>
  <c r="E1211" i="10"/>
  <c r="E1338" i="10"/>
  <c r="E1453" i="10"/>
  <c r="E1569" i="10"/>
  <c r="E1684" i="10"/>
  <c r="E232" i="10"/>
  <c r="E625" i="10"/>
  <c r="E959" i="10"/>
  <c r="E1241" i="10"/>
  <c r="E1481" i="10"/>
  <c r="E1711" i="10"/>
  <c r="E187" i="10"/>
  <c r="E387" i="10"/>
  <c r="E580" i="10"/>
  <c r="E764" i="10"/>
  <c r="E922" i="10"/>
  <c r="E1079" i="10"/>
  <c r="E1212" i="10"/>
  <c r="E1339" i="10"/>
  <c r="E1454" i="10"/>
  <c r="E1570" i="10"/>
  <c r="E1685" i="10"/>
  <c r="E32" i="10"/>
  <c r="E430" i="10"/>
  <c r="E802" i="10"/>
  <c r="E1114" i="10"/>
  <c r="E1366" i="10"/>
  <c r="E1596" i="10"/>
  <c r="E34" i="10"/>
  <c r="E233" i="10"/>
  <c r="E433" i="10"/>
  <c r="E630" i="10"/>
  <c r="E803" i="10"/>
  <c r="E961" i="10"/>
  <c r="E1115" i="10"/>
  <c r="E1243" i="10"/>
  <c r="E1367" i="10"/>
  <c r="E1482" i="10"/>
  <c r="E1597" i="10"/>
  <c r="E1713" i="10"/>
  <c r="E41" i="10"/>
  <c r="E234" i="10"/>
  <c r="E434" i="10"/>
  <c r="E631" i="10"/>
  <c r="E805" i="10"/>
  <c r="E962" i="10"/>
  <c r="E1116" i="10"/>
  <c r="E1245" i="10"/>
  <c r="E1368" i="10"/>
  <c r="E1483" i="10"/>
  <c r="E1598" i="10"/>
  <c r="E1714" i="10"/>
  <c r="E133" i="10"/>
  <c r="E531" i="10"/>
  <c r="E881" i="10"/>
  <c r="E1177" i="10"/>
  <c r="E1423" i="10"/>
  <c r="E1654" i="10"/>
  <c r="E134" i="10"/>
  <c r="E532" i="10"/>
  <c r="E882" i="10"/>
  <c r="E1178" i="10"/>
  <c r="E1425" i="10"/>
  <c r="E1655" i="10"/>
  <c r="E333" i="10"/>
  <c r="E722" i="10"/>
  <c r="E1040" i="10"/>
  <c r="E1308" i="10"/>
  <c r="E1541" i="10"/>
  <c r="E378" i="10"/>
  <c r="E762" i="10"/>
  <c r="E1077" i="10"/>
  <c r="E1337" i="10"/>
  <c r="E1567" i="10"/>
  <c r="E86" i="10"/>
  <c r="E280" i="10"/>
  <c r="E477" i="10"/>
  <c r="E671" i="10"/>
  <c r="E842" i="10"/>
  <c r="E999" i="10"/>
  <c r="E1145" i="10"/>
  <c r="E1273" i="10"/>
  <c r="E1394" i="10"/>
  <c r="E1510" i="10"/>
  <c r="E1625" i="10"/>
  <c r="E1740" i="10"/>
  <c r="E88" i="10"/>
  <c r="E286" i="10"/>
  <c r="E482" i="10"/>
  <c r="E674" i="10"/>
  <c r="E844" i="10"/>
  <c r="E1001" i="10"/>
  <c r="E1149" i="10"/>
  <c r="E1276" i="10"/>
  <c r="E1397" i="10"/>
  <c r="E1512" i="10"/>
  <c r="E1627" i="10"/>
  <c r="E1742" i="10"/>
  <c r="E331" i="10"/>
  <c r="E714" i="10"/>
  <c r="E1038" i="10"/>
  <c r="E1306" i="10"/>
  <c r="E1538" i="10"/>
  <c r="E332" i="10"/>
  <c r="E716" i="10"/>
  <c r="E1039" i="10"/>
  <c r="E1307" i="10"/>
  <c r="E1540" i="10"/>
  <c r="E136" i="10"/>
  <c r="E533" i="10"/>
  <c r="E883" i="10"/>
  <c r="E1180" i="10"/>
  <c r="E1426" i="10"/>
  <c r="E1656" i="10"/>
  <c r="E185" i="10"/>
  <c r="E578" i="10"/>
  <c r="E920" i="10"/>
  <c r="E1210" i="10"/>
  <c r="E1452" i="10"/>
  <c r="E1682" i="10"/>
  <c r="E87" i="10"/>
  <c r="E285" i="10"/>
  <c r="E478" i="10"/>
  <c r="E673" i="10"/>
  <c r="E843" i="10"/>
  <c r="E1000" i="10"/>
  <c r="E1147" i="10"/>
  <c r="E1274" i="10"/>
  <c r="E1396" i="10"/>
  <c r="E1511" i="10"/>
  <c r="E1626" i="10"/>
  <c r="E1741" i="10"/>
  <c r="AY12" i="10"/>
  <c r="AY24" i="10"/>
  <c r="AY36" i="10"/>
  <c r="AY48" i="10"/>
  <c r="AY60" i="10"/>
  <c r="AY72" i="10"/>
  <c r="AY84" i="10"/>
  <c r="AY96" i="10"/>
  <c r="AY108" i="10"/>
  <c r="AY120" i="10"/>
  <c r="AY132" i="10"/>
  <c r="AY144" i="10"/>
  <c r="AY3" i="10"/>
  <c r="AY15" i="10"/>
  <c r="AY27" i="10"/>
  <c r="AY39" i="10"/>
  <c r="AY51" i="10"/>
  <c r="AY63" i="10"/>
  <c r="AY75" i="10"/>
  <c r="AY87" i="10"/>
  <c r="AY99" i="10"/>
  <c r="AY111" i="10"/>
  <c r="AY123" i="10"/>
  <c r="AY135" i="10"/>
  <c r="AY147" i="10"/>
  <c r="AY159" i="10"/>
  <c r="AY171" i="10"/>
  <c r="AY183" i="10"/>
  <c r="AY6" i="10"/>
  <c r="AY20" i="10"/>
  <c r="AY34" i="10"/>
  <c r="AY49" i="10"/>
  <c r="AY64" i="10"/>
  <c r="AY78" i="10"/>
  <c r="AY92" i="10"/>
  <c r="AY106" i="10"/>
  <c r="AY121" i="10"/>
  <c r="AY136" i="10"/>
  <c r="AY150" i="10"/>
  <c r="AY163" i="10"/>
  <c r="AY176" i="10"/>
  <c r="AY189" i="10"/>
  <c r="AY201" i="10"/>
  <c r="AY213" i="10"/>
  <c r="AY225" i="10"/>
  <c r="AY237" i="10"/>
  <c r="AY249" i="10"/>
  <c r="AY261" i="10"/>
  <c r="AY273" i="10"/>
  <c r="AY285" i="10"/>
  <c r="AY297" i="10"/>
  <c r="AY309" i="10"/>
  <c r="AY321" i="10"/>
  <c r="AY333" i="10"/>
  <c r="AY345" i="10"/>
  <c r="AY357" i="10"/>
  <c r="AY369" i="10"/>
  <c r="AY381" i="10"/>
  <c r="AY393" i="10"/>
  <c r="AY405" i="10"/>
  <c r="AY417" i="10"/>
  <c r="AY429" i="10"/>
  <c r="AY441" i="10"/>
  <c r="AY453" i="10"/>
  <c r="AY465" i="10"/>
  <c r="AY477" i="10"/>
  <c r="AY489" i="10"/>
  <c r="AY501" i="10"/>
  <c r="AY513" i="10"/>
  <c r="AY525" i="10"/>
  <c r="AY537" i="10"/>
  <c r="AY549" i="10"/>
  <c r="AY561" i="10"/>
  <c r="AY573" i="10"/>
  <c r="AY585" i="10"/>
  <c r="AY597" i="10"/>
  <c r="AY609" i="10"/>
  <c r="AY621" i="10"/>
  <c r="AY633" i="10"/>
  <c r="AY645" i="10"/>
  <c r="AY657" i="10"/>
  <c r="AY669" i="10"/>
  <c r="AY681" i="10"/>
  <c r="AY693" i="10"/>
  <c r="AY705" i="10"/>
  <c r="AY717" i="10"/>
  <c r="AY729" i="10"/>
  <c r="AY741" i="10"/>
  <c r="AY753" i="10"/>
  <c r="AY765" i="10"/>
  <c r="AY777" i="10"/>
  <c r="AY789" i="10"/>
  <c r="AY801" i="10"/>
  <c r="AY813" i="10"/>
  <c r="AY825" i="10"/>
  <c r="AY837" i="10"/>
  <c r="AY849" i="10"/>
  <c r="AY861" i="10"/>
  <c r="AY873" i="10"/>
  <c r="AY885" i="10"/>
  <c r="AY897" i="10"/>
  <c r="AY909" i="10"/>
  <c r="AY921" i="10"/>
  <c r="AY933" i="10"/>
  <c r="AY945" i="10"/>
  <c r="AY957" i="10"/>
  <c r="AY969" i="10"/>
  <c r="AY981" i="10"/>
  <c r="AY993" i="10"/>
  <c r="AY1005" i="10"/>
  <c r="AY1017" i="10"/>
  <c r="AY1029" i="10"/>
  <c r="AY1041" i="10"/>
  <c r="AY1053" i="10"/>
  <c r="AY1065" i="10"/>
  <c r="AY1077" i="10"/>
  <c r="AY1089" i="10"/>
  <c r="AY1101" i="10"/>
  <c r="AY1113" i="10"/>
  <c r="AY1125" i="10"/>
  <c r="AY1137" i="10"/>
  <c r="AY1149" i="10"/>
  <c r="AY1161" i="10"/>
  <c r="AY1173" i="10"/>
  <c r="AY1185" i="10"/>
  <c r="AY1197" i="10"/>
  <c r="AY1209" i="10"/>
  <c r="AY1221" i="10"/>
  <c r="AY1233" i="10"/>
  <c r="AY1245" i="10"/>
  <c r="AY1257" i="10"/>
  <c r="AY1269" i="10"/>
  <c r="AY1281" i="10"/>
  <c r="AY1293" i="10"/>
  <c r="AY1305" i="10"/>
  <c r="AY1317" i="10"/>
  <c r="AY1329" i="10"/>
  <c r="AY1341" i="10"/>
  <c r="AY1353" i="10"/>
  <c r="AY1365" i="10"/>
  <c r="AY1377" i="10"/>
  <c r="AY1389" i="10"/>
  <c r="AY1401" i="10"/>
  <c r="AY1413" i="10"/>
  <c r="AY1425" i="10"/>
  <c r="AY1437" i="10"/>
  <c r="AY1449" i="10"/>
  <c r="AY1461" i="10"/>
  <c r="AY1473" i="10"/>
  <c r="AY1485" i="10"/>
  <c r="AY1497" i="10"/>
  <c r="AY1509" i="10"/>
  <c r="AY1521" i="10"/>
  <c r="AY1533" i="10"/>
  <c r="AY1545" i="10"/>
  <c r="AY1557" i="10"/>
  <c r="AY1569" i="10"/>
  <c r="AY1581" i="10"/>
  <c r="AY1593" i="10"/>
  <c r="AY1605" i="10"/>
  <c r="AY1617" i="10"/>
  <c r="AY1629" i="10"/>
  <c r="AY1641" i="10"/>
  <c r="AY1653" i="10"/>
  <c r="AY1665" i="10"/>
  <c r="AY1677" i="10"/>
  <c r="AY1689" i="10"/>
  <c r="AY1701" i="10"/>
  <c r="AY1713" i="10"/>
  <c r="AY1725" i="10"/>
  <c r="AY7" i="10"/>
  <c r="AY21" i="10"/>
  <c r="AY35" i="10"/>
  <c r="AY50" i="10"/>
  <c r="AY65" i="10"/>
  <c r="AY79" i="10"/>
  <c r="AY93" i="10"/>
  <c r="AY107" i="10"/>
  <c r="AY122" i="10"/>
  <c r="AY137" i="10"/>
  <c r="AY151" i="10"/>
  <c r="AY164" i="10"/>
  <c r="AY177" i="10"/>
  <c r="AY190" i="10"/>
  <c r="AY202" i="10"/>
  <c r="AY214" i="10"/>
  <c r="AY226" i="10"/>
  <c r="AY238" i="10"/>
  <c r="AY250" i="10"/>
  <c r="AY262" i="10"/>
  <c r="AY274" i="10"/>
  <c r="AY286" i="10"/>
  <c r="AY298" i="10"/>
  <c r="AY310" i="10"/>
  <c r="AY322" i="10"/>
  <c r="AY334" i="10"/>
  <c r="AY346" i="10"/>
  <c r="AY358" i="10"/>
  <c r="AY370" i="10"/>
  <c r="AY382" i="10"/>
  <c r="AY394" i="10"/>
  <c r="AY406" i="10"/>
  <c r="AY418" i="10"/>
  <c r="AY430" i="10"/>
  <c r="AY442" i="10"/>
  <c r="AY454" i="10"/>
  <c r="AY466" i="10"/>
  <c r="AY478" i="10"/>
  <c r="AY490" i="10"/>
  <c r="AY502" i="10"/>
  <c r="AY514" i="10"/>
  <c r="AY526" i="10"/>
  <c r="AY538" i="10"/>
  <c r="AY550" i="10"/>
  <c r="AY562" i="10"/>
  <c r="AY574" i="10"/>
  <c r="AY586" i="10"/>
  <c r="AY598" i="10"/>
  <c r="AY610" i="10"/>
  <c r="AY622" i="10"/>
  <c r="AY634" i="10"/>
  <c r="AY646" i="10"/>
  <c r="AY658" i="10"/>
  <c r="AY670" i="10"/>
  <c r="AY682" i="10"/>
  <c r="AY694" i="10"/>
  <c r="AY706" i="10"/>
  <c r="AY8" i="10"/>
  <c r="AY22" i="10"/>
  <c r="AY37" i="10"/>
  <c r="AY52" i="10"/>
  <c r="AY66" i="10"/>
  <c r="AY80" i="10"/>
  <c r="AY94" i="10"/>
  <c r="AY109" i="10"/>
  <c r="AY124" i="10"/>
  <c r="AY138" i="10"/>
  <c r="AY152" i="10"/>
  <c r="AY165" i="10"/>
  <c r="AY178" i="10"/>
  <c r="AY191" i="10"/>
  <c r="AY203" i="10"/>
  <c r="AY215" i="10"/>
  <c r="AY227" i="10"/>
  <c r="AY239" i="10"/>
  <c r="AY251" i="10"/>
  <c r="AY263" i="10"/>
  <c r="AY275" i="10"/>
  <c r="AY287" i="10"/>
  <c r="AY299" i="10"/>
  <c r="AY311" i="10"/>
  <c r="AY323" i="10"/>
  <c r="AY335" i="10"/>
  <c r="AY347" i="10"/>
  <c r="AY359" i="10"/>
  <c r="AY371" i="10"/>
  <c r="AY383" i="10"/>
  <c r="AY395" i="10"/>
  <c r="AY407" i="10"/>
  <c r="AY419" i="10"/>
  <c r="AY431" i="10"/>
  <c r="AY443" i="10"/>
  <c r="AY455" i="10"/>
  <c r="AY467" i="10"/>
  <c r="AY479" i="10"/>
  <c r="AY491" i="10"/>
  <c r="AY503" i="10"/>
  <c r="AY515" i="10"/>
  <c r="AY527" i="10"/>
  <c r="AY539" i="10"/>
  <c r="AY551" i="10"/>
  <c r="AY563" i="10"/>
  <c r="AY575" i="10"/>
  <c r="AY587" i="10"/>
  <c r="AY599" i="10"/>
  <c r="AY611" i="10"/>
  <c r="AY623" i="10"/>
  <c r="AY635" i="10"/>
  <c r="AY647" i="10"/>
  <c r="AY659" i="10"/>
  <c r="AY671" i="10"/>
  <c r="AY683" i="10"/>
  <c r="AY695" i="10"/>
  <c r="AY707" i="10"/>
  <c r="AY719" i="10"/>
  <c r="AY731" i="10"/>
  <c r="AY743" i="10"/>
  <c r="AY755" i="10"/>
  <c r="AY767" i="10"/>
  <c r="AY779" i="10"/>
  <c r="AY791" i="10"/>
  <c r="AY803" i="10"/>
  <c r="AY815" i="10"/>
  <c r="AY9" i="10"/>
  <c r="AY23" i="10"/>
  <c r="AY38" i="10"/>
  <c r="AY53" i="10"/>
  <c r="AY67" i="10"/>
  <c r="AY81" i="10"/>
  <c r="AY95" i="10"/>
  <c r="AY110" i="10"/>
  <c r="AY125" i="10"/>
  <c r="AY139" i="10"/>
  <c r="AY153" i="10"/>
  <c r="AY166" i="10"/>
  <c r="AY179" i="10"/>
  <c r="AY192" i="10"/>
  <c r="AY204" i="10"/>
  <c r="AY216" i="10"/>
  <c r="AY228" i="10"/>
  <c r="AY240" i="10"/>
  <c r="AY252" i="10"/>
  <c r="AY264" i="10"/>
  <c r="AY276" i="10"/>
  <c r="AY288" i="10"/>
  <c r="AY300" i="10"/>
  <c r="AY312" i="10"/>
  <c r="AY324" i="10"/>
  <c r="AY336" i="10"/>
  <c r="AY348" i="10"/>
  <c r="AY360" i="10"/>
  <c r="AY372" i="10"/>
  <c r="AY384" i="10"/>
  <c r="AY396" i="10"/>
  <c r="AY408" i="10"/>
  <c r="AY420" i="10"/>
  <c r="AY432" i="10"/>
  <c r="AY444" i="10"/>
  <c r="AY456" i="10"/>
  <c r="AY468" i="10"/>
  <c r="AY480" i="10"/>
  <c r="AY492" i="10"/>
  <c r="AY504" i="10"/>
  <c r="AY516" i="10"/>
  <c r="AY528" i="10"/>
  <c r="AY540" i="10"/>
  <c r="AY552" i="10"/>
  <c r="AY564" i="10"/>
  <c r="AY576" i="10"/>
  <c r="AY588" i="10"/>
  <c r="AY600" i="10"/>
  <c r="AY612" i="10"/>
  <c r="AY624" i="10"/>
  <c r="AY636" i="10"/>
  <c r="AY648" i="10"/>
  <c r="AY660" i="10"/>
  <c r="AY672" i="10"/>
  <c r="AY684" i="10"/>
  <c r="AY696" i="10"/>
  <c r="AY708" i="10"/>
  <c r="AY720" i="10"/>
  <c r="AY732" i="10"/>
  <c r="AY744" i="10"/>
  <c r="AY756" i="10"/>
  <c r="AY768" i="10"/>
  <c r="AY780" i="10"/>
  <c r="AY792" i="10"/>
  <c r="AY804" i="10"/>
  <c r="AY816" i="10"/>
  <c r="AY828" i="10"/>
  <c r="AY840" i="10"/>
  <c r="AY852" i="10"/>
  <c r="AY864" i="10"/>
  <c r="AY876" i="10"/>
  <c r="AY888" i="10"/>
  <c r="AY900" i="10"/>
  <c r="AY912" i="10"/>
  <c r="AY924" i="10"/>
  <c r="AY936" i="10"/>
  <c r="AY948" i="10"/>
  <c r="AY960" i="10"/>
  <c r="AY972" i="10"/>
  <c r="AY984" i="10"/>
  <c r="AY996" i="10"/>
  <c r="AY1008" i="10"/>
  <c r="AY1020" i="10"/>
  <c r="AY1032" i="10"/>
  <c r="AY1044" i="10"/>
  <c r="AY1056" i="10"/>
  <c r="AY1068" i="10"/>
  <c r="AY1080" i="10"/>
  <c r="AY1092" i="10"/>
  <c r="AY1104" i="10"/>
  <c r="AY1116" i="10"/>
  <c r="AY1128" i="10"/>
  <c r="AY1140" i="10"/>
  <c r="AY1152" i="10"/>
  <c r="AY1164" i="10"/>
  <c r="AY1176" i="10"/>
  <c r="AY1188" i="10"/>
  <c r="AY1200" i="10"/>
  <c r="AY1212" i="10"/>
  <c r="AY1224" i="10"/>
  <c r="AY1236" i="10"/>
  <c r="AY1248" i="10"/>
  <c r="AY1260" i="10"/>
  <c r="AY1272" i="10"/>
  <c r="AY1284" i="10"/>
  <c r="AY1296" i="10"/>
  <c r="AY1308" i="10"/>
  <c r="AY1320" i="10"/>
  <c r="AY1332" i="10"/>
  <c r="AY1344" i="10"/>
  <c r="AY1356" i="10"/>
  <c r="AY1368" i="10"/>
  <c r="AY1380" i="10"/>
  <c r="AY1392" i="10"/>
  <c r="AY1404" i="10"/>
  <c r="AY1416" i="10"/>
  <c r="AY1428" i="10"/>
  <c r="AY1440" i="10"/>
  <c r="AY1452" i="10"/>
  <c r="AY1464" i="10"/>
  <c r="AY1476" i="10"/>
  <c r="AY1488" i="10"/>
  <c r="AY1500" i="10"/>
  <c r="AY1512" i="10"/>
  <c r="AY1524" i="10"/>
  <c r="AY1536" i="10"/>
  <c r="AY1548" i="10"/>
  <c r="AY1560" i="10"/>
  <c r="AY1572" i="10"/>
  <c r="AY1584" i="10"/>
  <c r="AY1596" i="10"/>
  <c r="AY1608" i="10"/>
  <c r="AY1620" i="10"/>
  <c r="AY1632" i="10"/>
  <c r="AY1644" i="10"/>
  <c r="AY1656" i="10"/>
  <c r="AY1668" i="10"/>
  <c r="AY1680" i="10"/>
  <c r="AY1692" i="10"/>
  <c r="AY1704" i="10"/>
  <c r="AY1716" i="10"/>
  <c r="AY1728" i="10"/>
  <c r="AY1740" i="10"/>
  <c r="AY1752" i="10"/>
  <c r="AY1764" i="10"/>
  <c r="AY1776" i="10"/>
  <c r="AY1788" i="10"/>
  <c r="AY1800" i="10"/>
  <c r="AY1812" i="10"/>
  <c r="AY1824" i="10"/>
  <c r="AY1836" i="10"/>
  <c r="AY1848" i="10"/>
  <c r="AY1860" i="10"/>
  <c r="AY1872" i="10"/>
  <c r="AY1884" i="10"/>
  <c r="AY1896" i="10"/>
  <c r="AY1908" i="10"/>
  <c r="AY1920" i="10"/>
  <c r="AY1932" i="10"/>
  <c r="AY1944" i="10"/>
  <c r="AY1956" i="10"/>
  <c r="AY1968" i="10"/>
  <c r="AY1980" i="10"/>
  <c r="AY1992" i="10"/>
  <c r="AY2004" i="10"/>
  <c r="AY2016" i="10"/>
  <c r="AY2028" i="10"/>
  <c r="AY2040" i="10"/>
  <c r="AY2052" i="10"/>
  <c r="AY2064" i="10"/>
  <c r="AY2076" i="10"/>
  <c r="AY2088" i="10"/>
  <c r="AY2100" i="10"/>
  <c r="AY2112" i="10"/>
  <c r="AY2124" i="10"/>
  <c r="AY2136" i="10"/>
  <c r="AY2148" i="10"/>
  <c r="AY2160" i="10"/>
  <c r="AY2172" i="10"/>
  <c r="AY2184" i="10"/>
  <c r="AY2196" i="10"/>
  <c r="AY2208" i="10"/>
  <c r="AY2220" i="10"/>
  <c r="AY2232" i="10"/>
  <c r="AY2244" i="10"/>
  <c r="AY2256" i="10"/>
  <c r="AY2268" i="10"/>
  <c r="AY2280" i="10"/>
  <c r="AY2292" i="10"/>
  <c r="AY2304" i="10"/>
  <c r="AY2316" i="10"/>
  <c r="AY2328" i="10"/>
  <c r="AY2340" i="10"/>
  <c r="AY2352" i="10"/>
  <c r="AY2364" i="10"/>
  <c r="AY2376" i="10"/>
  <c r="AY2388" i="10"/>
  <c r="AY2400" i="10"/>
  <c r="AY2412" i="10"/>
  <c r="AY2424" i="10"/>
  <c r="AY2436" i="10"/>
  <c r="AY2448" i="10"/>
  <c r="AY2460" i="10"/>
  <c r="AY2472" i="10"/>
  <c r="AY2484" i="10"/>
  <c r="AY2496" i="10"/>
  <c r="AY2508" i="10"/>
  <c r="AY2520" i="10"/>
  <c r="AY2532" i="10"/>
  <c r="AY2544" i="10"/>
  <c r="AY2556" i="10"/>
  <c r="AY2568" i="10"/>
  <c r="AY2580" i="10"/>
  <c r="AY2592" i="10"/>
  <c r="AY2604" i="10"/>
  <c r="AY2616" i="10"/>
  <c r="AY2628" i="10"/>
  <c r="AY2640" i="10"/>
  <c r="AY2652" i="10"/>
  <c r="AY2664" i="10"/>
  <c r="AY2676" i="10"/>
  <c r="AY2688" i="10"/>
  <c r="AY2700" i="10"/>
  <c r="AY2712" i="10"/>
  <c r="AY2724" i="10"/>
  <c r="AY2736" i="10"/>
  <c r="AY2748" i="10"/>
  <c r="AY2760" i="10"/>
  <c r="AY2772" i="10"/>
  <c r="AY2784" i="10"/>
  <c r="AY2796" i="10"/>
  <c r="AY2808" i="10"/>
  <c r="AY2820" i="10"/>
  <c r="AY2832" i="10"/>
  <c r="AY2844" i="10"/>
  <c r="AY2856" i="10"/>
  <c r="AY2868" i="10"/>
  <c r="AY2880" i="10"/>
  <c r="AY2892" i="10"/>
  <c r="AY2904" i="10"/>
  <c r="AY2916" i="10"/>
  <c r="AY2928" i="10"/>
  <c r="AY2940" i="10"/>
  <c r="AY2952" i="10"/>
  <c r="AY2964" i="10"/>
  <c r="AY2976" i="10"/>
  <c r="AY2988" i="10"/>
  <c r="AY3000" i="10"/>
  <c r="AY3012" i="10"/>
  <c r="AY3024" i="10"/>
  <c r="AY3036" i="10"/>
  <c r="AY3048" i="10"/>
  <c r="AY3060" i="10"/>
  <c r="AY3072" i="10"/>
  <c r="AY3084" i="10"/>
  <c r="AY3096" i="10"/>
  <c r="AY3108" i="10"/>
  <c r="AY3120" i="10"/>
  <c r="AY3132" i="10"/>
  <c r="AY3144" i="10"/>
  <c r="AY3156" i="10"/>
  <c r="AY3168" i="10"/>
  <c r="AY3180" i="10"/>
  <c r="AY3192" i="10"/>
  <c r="AY3204" i="10"/>
  <c r="AY3216" i="10"/>
  <c r="AY3228" i="10"/>
  <c r="AY3240" i="10"/>
  <c r="AY3252" i="10"/>
  <c r="AY3264" i="10"/>
  <c r="AY3276" i="10"/>
  <c r="AY3288" i="10"/>
  <c r="AY3300" i="10"/>
  <c r="AY3312" i="10"/>
  <c r="AY3324" i="10"/>
  <c r="AY3336" i="10"/>
  <c r="AY3348" i="10"/>
  <c r="AY3360" i="10"/>
  <c r="AY10" i="10"/>
  <c r="AY25" i="10"/>
  <c r="AY40" i="10"/>
  <c r="AY54" i="10"/>
  <c r="AY68" i="10"/>
  <c r="AY82" i="10"/>
  <c r="AY97" i="10"/>
  <c r="AY112" i="10"/>
  <c r="AY126" i="10"/>
  <c r="AY140" i="10"/>
  <c r="AY154" i="10"/>
  <c r="AY167" i="10"/>
  <c r="AY180" i="10"/>
  <c r="AY193" i="10"/>
  <c r="AY205" i="10"/>
  <c r="AY217" i="10"/>
  <c r="AY229" i="10"/>
  <c r="AY241" i="10"/>
  <c r="AY253" i="10"/>
  <c r="AY265" i="10"/>
  <c r="AY277" i="10"/>
  <c r="AY289" i="10"/>
  <c r="AY301" i="10"/>
  <c r="AY313" i="10"/>
  <c r="AY325" i="10"/>
  <c r="AY337" i="10"/>
  <c r="AY349" i="10"/>
  <c r="AY361" i="10"/>
  <c r="AY373" i="10"/>
  <c r="AY385" i="10"/>
  <c r="AY397" i="10"/>
  <c r="AY409" i="10"/>
  <c r="AY421" i="10"/>
  <c r="AY433" i="10"/>
  <c r="AY445" i="10"/>
  <c r="AY457" i="10"/>
  <c r="AY469" i="10"/>
  <c r="AY481" i="10"/>
  <c r="AY493" i="10"/>
  <c r="AY505" i="10"/>
  <c r="AY517" i="10"/>
  <c r="AY529" i="10"/>
  <c r="AY541" i="10"/>
  <c r="AY553" i="10"/>
  <c r="AY565" i="10"/>
  <c r="AY577" i="10"/>
  <c r="AY589" i="10"/>
  <c r="AY601" i="10"/>
  <c r="AY613" i="10"/>
  <c r="AY625" i="10"/>
  <c r="AY637" i="10"/>
  <c r="AY649" i="10"/>
  <c r="AY661" i="10"/>
  <c r="AY673" i="10"/>
  <c r="AY685" i="10"/>
  <c r="AY697" i="10"/>
  <c r="AY709" i="10"/>
  <c r="AY721" i="10"/>
  <c r="AY733" i="10"/>
  <c r="AY745" i="10"/>
  <c r="AY757" i="10"/>
  <c r="AY769" i="10"/>
  <c r="AY781" i="10"/>
  <c r="AY793" i="10"/>
  <c r="AY805" i="10"/>
  <c r="AY817" i="10"/>
  <c r="AY829" i="10"/>
  <c r="AY841" i="10"/>
  <c r="AY853" i="10"/>
  <c r="AY865" i="10"/>
  <c r="AY877" i="10"/>
  <c r="AY889" i="10"/>
  <c r="AY901" i="10"/>
  <c r="AY913" i="10"/>
  <c r="AY925" i="10"/>
  <c r="AY937" i="10"/>
  <c r="AY949" i="10"/>
  <c r="AY961" i="10"/>
  <c r="AY973" i="10"/>
  <c r="AY985" i="10"/>
  <c r="AY997" i="10"/>
  <c r="AY1009" i="10"/>
  <c r="AY1021" i="10"/>
  <c r="AY1033" i="10"/>
  <c r="AY1045" i="10"/>
  <c r="AY1057" i="10"/>
  <c r="AY1069" i="10"/>
  <c r="AY1081" i="10"/>
  <c r="AY1093" i="10"/>
  <c r="AY1105" i="10"/>
  <c r="AY1117" i="10"/>
  <c r="AY1129" i="10"/>
  <c r="AY1141" i="10"/>
  <c r="AY1153" i="10"/>
  <c r="AY1165" i="10"/>
  <c r="AY1177" i="10"/>
  <c r="AY1189" i="10"/>
  <c r="AY1201" i="10"/>
  <c r="AY1213" i="10"/>
  <c r="AY1225" i="10"/>
  <c r="AY1237" i="10"/>
  <c r="AY1249" i="10"/>
  <c r="AY1261" i="10"/>
  <c r="AY1273" i="10"/>
  <c r="AY1285" i="10"/>
  <c r="AY1297" i="10"/>
  <c r="AY1309" i="10"/>
  <c r="AY1321" i="10"/>
  <c r="AY1333" i="10"/>
  <c r="AY1345" i="10"/>
  <c r="AY1357" i="10"/>
  <c r="AY1369" i="10"/>
  <c r="AY1381" i="10"/>
  <c r="AY1393" i="10"/>
  <c r="AY1405" i="10"/>
  <c r="AY1417" i="10"/>
  <c r="AY1429" i="10"/>
  <c r="AY1441" i="10"/>
  <c r="AY1453" i="10"/>
  <c r="AY1465" i="10"/>
  <c r="AY1477" i="10"/>
  <c r="AY1489" i="10"/>
  <c r="AY1501" i="10"/>
  <c r="AY1513" i="10"/>
  <c r="AY1525" i="10"/>
  <c r="AY1537" i="10"/>
  <c r="AY1549" i="10"/>
  <c r="AY1561" i="10"/>
  <c r="AY1573" i="10"/>
  <c r="AY1585" i="10"/>
  <c r="AY1597" i="10"/>
  <c r="AY1609" i="10"/>
  <c r="AY1621" i="10"/>
  <c r="AY1633" i="10"/>
  <c r="AY1645" i="10"/>
  <c r="AY1657" i="10"/>
  <c r="AY1669" i="10"/>
  <c r="AY1681" i="10"/>
  <c r="AY1693" i="10"/>
  <c r="AY1705" i="10"/>
  <c r="AY1717" i="10"/>
  <c r="AY1729" i="10"/>
  <c r="AY1741" i="10"/>
  <c r="AY1753" i="10"/>
  <c r="AY1765" i="10"/>
  <c r="AY1777" i="10"/>
  <c r="AY1789" i="10"/>
  <c r="AY1801" i="10"/>
  <c r="AY1813" i="10"/>
  <c r="AY1825" i="10"/>
  <c r="AY1837" i="10"/>
  <c r="AY1849" i="10"/>
  <c r="AY1861" i="10"/>
  <c r="AY1873" i="10"/>
  <c r="AY1885" i="10"/>
  <c r="AY1897" i="10"/>
  <c r="AY1909" i="10"/>
  <c r="AY1921" i="10"/>
  <c r="AY1933" i="10"/>
  <c r="AY1945" i="10"/>
  <c r="AY1957" i="10"/>
  <c r="AY1969" i="10"/>
  <c r="AY1981" i="10"/>
  <c r="AY1993" i="10"/>
  <c r="AY2005" i="10"/>
  <c r="AY2017" i="10"/>
  <c r="AY2029" i="10"/>
  <c r="AY2041" i="10"/>
  <c r="AY2053" i="10"/>
  <c r="AY2065" i="10"/>
  <c r="AY2077" i="10"/>
  <c r="AY2089" i="10"/>
  <c r="AY2101" i="10"/>
  <c r="AY2113" i="10"/>
  <c r="AY2125" i="10"/>
  <c r="AY2137" i="10"/>
  <c r="AY2149" i="10"/>
  <c r="AY2161" i="10"/>
  <c r="AY2173" i="10"/>
  <c r="AY2185" i="10"/>
  <c r="AY2197" i="10"/>
  <c r="AY2209" i="10"/>
  <c r="AY2221" i="10"/>
  <c r="AY2233" i="10"/>
  <c r="AY2245" i="10"/>
  <c r="AY2257" i="10"/>
  <c r="AY2269" i="10"/>
  <c r="AY2281" i="10"/>
  <c r="AY2293" i="10"/>
  <c r="AY2305" i="10"/>
  <c r="AY2317" i="10"/>
  <c r="AY2329" i="10"/>
  <c r="AY2341" i="10"/>
  <c r="AY2353" i="10"/>
  <c r="AY2365" i="10"/>
  <c r="AY2377" i="10"/>
  <c r="AY2389" i="10"/>
  <c r="AY2401" i="10"/>
  <c r="AY2413" i="10"/>
  <c r="AY2425" i="10"/>
  <c r="AY2437" i="10"/>
  <c r="AY2449" i="10"/>
  <c r="AY2461" i="10"/>
  <c r="AY2473" i="10"/>
  <c r="AY2485" i="10"/>
  <c r="AY2497" i="10"/>
  <c r="AY2509" i="10"/>
  <c r="AY2521" i="10"/>
  <c r="AY2533" i="10"/>
  <c r="AY2545" i="10"/>
  <c r="AY2557" i="10"/>
  <c r="AY2569" i="10"/>
  <c r="AY2581" i="10"/>
  <c r="AY2593" i="10"/>
  <c r="AY2605" i="10"/>
  <c r="AY2617" i="10"/>
  <c r="AY2629" i="10"/>
  <c r="AY2641" i="10"/>
  <c r="AY2653" i="10"/>
  <c r="AY2665" i="10"/>
  <c r="AY2677" i="10"/>
  <c r="AY2689" i="10"/>
  <c r="AY2701" i="10"/>
  <c r="AY2713" i="10"/>
  <c r="AY2725" i="10"/>
  <c r="AY2737" i="10"/>
  <c r="AY2749" i="10"/>
  <c r="AY2761" i="10"/>
  <c r="AY2773" i="10"/>
  <c r="AY2785" i="10"/>
  <c r="AY2797" i="10"/>
  <c r="AY2809" i="10"/>
  <c r="AY2821" i="10"/>
  <c r="AY2833" i="10"/>
  <c r="AY2845" i="10"/>
  <c r="AY2857" i="10"/>
  <c r="AY2869" i="10"/>
  <c r="AY2881" i="10"/>
  <c r="AY2893" i="10"/>
  <c r="AY2905" i="10"/>
  <c r="AY2917" i="10"/>
  <c r="AY2929" i="10"/>
  <c r="AY2941" i="10"/>
  <c r="AY2953" i="10"/>
  <c r="AY2965" i="10"/>
  <c r="AY2977" i="10"/>
  <c r="AY2989" i="10"/>
  <c r="AY3001" i="10"/>
  <c r="AY3013" i="10"/>
  <c r="AY3025" i="10"/>
  <c r="AY3037" i="10"/>
  <c r="AY3049" i="10"/>
  <c r="AY3061" i="10"/>
  <c r="AY3073" i="10"/>
  <c r="AY3085" i="10"/>
  <c r="AY3097" i="10"/>
  <c r="AY3109" i="10"/>
  <c r="AY3121" i="10"/>
  <c r="AY3133" i="10"/>
  <c r="AY3145" i="10"/>
  <c r="AY3157" i="10"/>
  <c r="AY3169" i="10"/>
  <c r="AY3181" i="10"/>
  <c r="AY3193" i="10"/>
  <c r="AY3205" i="10"/>
  <c r="AY3217" i="10"/>
  <c r="AY3229" i="10"/>
  <c r="AY3241" i="10"/>
  <c r="AY3253" i="10"/>
  <c r="AY3265" i="10"/>
  <c r="AY3277" i="10"/>
  <c r="AY3289" i="10"/>
  <c r="AY3301" i="10"/>
  <c r="AY3313" i="10"/>
  <c r="AY3325" i="10"/>
  <c r="AY3337" i="10"/>
  <c r="AY3349" i="10"/>
  <c r="AY3361" i="10"/>
  <c r="AY3373" i="10"/>
  <c r="AY3385" i="10"/>
  <c r="AY3397" i="10"/>
  <c r="AY3409" i="10"/>
  <c r="AY3421" i="10"/>
  <c r="AY3433" i="10"/>
  <c r="AY3445" i="10"/>
  <c r="AY3457" i="10"/>
  <c r="AY3469" i="10"/>
  <c r="AY3481" i="10"/>
  <c r="AY3493" i="10"/>
  <c r="AY3505" i="10"/>
  <c r="AY3517" i="10"/>
  <c r="AY3529" i="10"/>
  <c r="AY3541" i="10"/>
  <c r="AY3553" i="10"/>
  <c r="AY3565" i="10"/>
  <c r="AY3577" i="10"/>
  <c r="AY3589" i="10"/>
  <c r="AY3601" i="10"/>
  <c r="AY3613" i="10"/>
  <c r="AY3625" i="10"/>
  <c r="AY3637" i="10"/>
  <c r="AY3649" i="10"/>
  <c r="AY11" i="10"/>
  <c r="AY26" i="10"/>
  <c r="AY41" i="10"/>
  <c r="AY55" i="10"/>
  <c r="AY69" i="10"/>
  <c r="AY83" i="10"/>
  <c r="AY98" i="10"/>
  <c r="AY113" i="10"/>
  <c r="AY127" i="10"/>
  <c r="AY141" i="10"/>
  <c r="AY155" i="10"/>
  <c r="AY168" i="10"/>
  <c r="AY181" i="10"/>
  <c r="AY194" i="10"/>
  <c r="AY206" i="10"/>
  <c r="AY218" i="10"/>
  <c r="AY230" i="10"/>
  <c r="AY242" i="10"/>
  <c r="AY254" i="10"/>
  <c r="AY266" i="10"/>
  <c r="AY278" i="10"/>
  <c r="AY290" i="10"/>
  <c r="AY302" i="10"/>
  <c r="AY314" i="10"/>
  <c r="AY326" i="10"/>
  <c r="AY338" i="10"/>
  <c r="AY350" i="10"/>
  <c r="AY362" i="10"/>
  <c r="AY374" i="10"/>
  <c r="AY386" i="10"/>
  <c r="AY398" i="10"/>
  <c r="AY410" i="10"/>
  <c r="AY422" i="10"/>
  <c r="AY434" i="10"/>
  <c r="AY446" i="10"/>
  <c r="AY458" i="10"/>
  <c r="AY470" i="10"/>
  <c r="AY482" i="10"/>
  <c r="AY494" i="10"/>
  <c r="AY506" i="10"/>
  <c r="AY518" i="10"/>
  <c r="AY530" i="10"/>
  <c r="AY542" i="10"/>
  <c r="AY554" i="10"/>
  <c r="AY566" i="10"/>
  <c r="AY578" i="10"/>
  <c r="AY590" i="10"/>
  <c r="AY602" i="10"/>
  <c r="AY614" i="10"/>
  <c r="AY626" i="10"/>
  <c r="AY638" i="10"/>
  <c r="AY650" i="10"/>
  <c r="AY662" i="10"/>
  <c r="AY674" i="10"/>
  <c r="AY686" i="10"/>
  <c r="AY698" i="10"/>
  <c r="AY710" i="10"/>
  <c r="AY722" i="10"/>
  <c r="AY734" i="10"/>
  <c r="AY746" i="10"/>
  <c r="AY758" i="10"/>
  <c r="AY770" i="10"/>
  <c r="AY782" i="10"/>
  <c r="AY794" i="10"/>
  <c r="AY806" i="10"/>
  <c r="AY818" i="10"/>
  <c r="AY830" i="10"/>
  <c r="AY842" i="10"/>
  <c r="AY854" i="10"/>
  <c r="AY866" i="10"/>
  <c r="AY878" i="10"/>
  <c r="AY890" i="10"/>
  <c r="AY902" i="10"/>
  <c r="AY914" i="10"/>
  <c r="AY926" i="10"/>
  <c r="AY938" i="10"/>
  <c r="AY950" i="10"/>
  <c r="AY962" i="10"/>
  <c r="AY974" i="10"/>
  <c r="AY986" i="10"/>
  <c r="AY998" i="10"/>
  <c r="AY1010" i="10"/>
  <c r="AY1022" i="10"/>
  <c r="AY1034" i="10"/>
  <c r="AY1046" i="10"/>
  <c r="AY1058" i="10"/>
  <c r="AY1070" i="10"/>
  <c r="AY1082" i="10"/>
  <c r="AY1094" i="10"/>
  <c r="AY1106" i="10"/>
  <c r="AY1118" i="10"/>
  <c r="AY1130" i="10"/>
  <c r="AY1142" i="10"/>
  <c r="AY1154" i="10"/>
  <c r="AY1166" i="10"/>
  <c r="AY1178" i="10"/>
  <c r="AY1190" i="10"/>
  <c r="AY1202" i="10"/>
  <c r="AY1214" i="10"/>
  <c r="AY1226" i="10"/>
  <c r="AY1238" i="10"/>
  <c r="AY1250" i="10"/>
  <c r="AY1262" i="10"/>
  <c r="AY1274" i="10"/>
  <c r="AY1286" i="10"/>
  <c r="AY1298" i="10"/>
  <c r="AY1310" i="10"/>
  <c r="AY1322" i="10"/>
  <c r="AY1334" i="10"/>
  <c r="AY1346" i="10"/>
  <c r="AY1358" i="10"/>
  <c r="AY1370" i="10"/>
  <c r="AY1382" i="10"/>
  <c r="AY1394" i="10"/>
  <c r="AY1406" i="10"/>
  <c r="AY1418" i="10"/>
  <c r="AY1430" i="10"/>
  <c r="AY1442" i="10"/>
  <c r="AY1454" i="10"/>
  <c r="AY1466" i="10"/>
  <c r="AY1478" i="10"/>
  <c r="AY1490" i="10"/>
  <c r="AY1502" i="10"/>
  <c r="AY1514" i="10"/>
  <c r="AY1526" i="10"/>
  <c r="AY1538" i="10"/>
  <c r="AY1550" i="10"/>
  <c r="AY1562" i="10"/>
  <c r="AY1574" i="10"/>
  <c r="AY1586" i="10"/>
  <c r="AY1598" i="10"/>
  <c r="AY1610" i="10"/>
  <c r="AY1622" i="10"/>
  <c r="AY1634" i="10"/>
  <c r="AY1646" i="10"/>
  <c r="AY1658" i="10"/>
  <c r="AY1670" i="10"/>
  <c r="AY1682" i="10"/>
  <c r="AY1694" i="10"/>
  <c r="AY1706" i="10"/>
  <c r="AY1718" i="10"/>
  <c r="AY1730" i="10"/>
  <c r="AY28" i="10"/>
  <c r="AY56" i="10"/>
  <c r="AY85" i="10"/>
  <c r="AY114" i="10"/>
  <c r="AY142" i="10"/>
  <c r="AY169" i="10"/>
  <c r="AY195" i="10"/>
  <c r="AY219" i="10"/>
  <c r="AY243" i="10"/>
  <c r="AY267" i="10"/>
  <c r="AY291" i="10"/>
  <c r="AY315" i="10"/>
  <c r="AY339" i="10"/>
  <c r="AY363" i="10"/>
  <c r="AY387" i="10"/>
  <c r="AY411" i="10"/>
  <c r="AY435" i="10"/>
  <c r="AY459" i="10"/>
  <c r="AY483" i="10"/>
  <c r="AY507" i="10"/>
  <c r="AY531" i="10"/>
  <c r="AY555" i="10"/>
  <c r="AY579" i="10"/>
  <c r="AY603" i="10"/>
  <c r="AY627" i="10"/>
  <c r="AY651" i="10"/>
  <c r="AY675" i="10"/>
  <c r="AY699" i="10"/>
  <c r="AY718" i="10"/>
  <c r="AY739" i="10"/>
  <c r="AY761" i="10"/>
  <c r="AY783" i="10"/>
  <c r="AY800" i="10"/>
  <c r="AY822" i="10"/>
  <c r="AY839" i="10"/>
  <c r="AY858" i="10"/>
  <c r="AY875" i="10"/>
  <c r="AY894" i="10"/>
  <c r="AY911" i="10"/>
  <c r="AY930" i="10"/>
  <c r="AY947" i="10"/>
  <c r="AY966" i="10"/>
  <c r="AY983" i="10"/>
  <c r="AY1002" i="10"/>
  <c r="AY1019" i="10"/>
  <c r="AY1038" i="10"/>
  <c r="AY1055" i="10"/>
  <c r="AY1074" i="10"/>
  <c r="AY1091" i="10"/>
  <c r="AY1110" i="10"/>
  <c r="AY1127" i="10"/>
  <c r="AY1146" i="10"/>
  <c r="AY1163" i="10"/>
  <c r="AY1182" i="10"/>
  <c r="AY1199" i="10"/>
  <c r="AY1218" i="10"/>
  <c r="AY1235" i="10"/>
  <c r="AY1254" i="10"/>
  <c r="AY1271" i="10"/>
  <c r="AY1290" i="10"/>
  <c r="AY1307" i="10"/>
  <c r="AY1326" i="10"/>
  <c r="AY1343" i="10"/>
  <c r="AY1362" i="10"/>
  <c r="AY1379" i="10"/>
  <c r="AY1398" i="10"/>
  <c r="AY1415" i="10"/>
  <c r="AY1434" i="10"/>
  <c r="AY1451" i="10"/>
  <c r="AY1470" i="10"/>
  <c r="AY1487" i="10"/>
  <c r="AY1506" i="10"/>
  <c r="AY1523" i="10"/>
  <c r="AY1542" i="10"/>
  <c r="AY1559" i="10"/>
  <c r="AY1578" i="10"/>
  <c r="AY1595" i="10"/>
  <c r="AY1614" i="10"/>
  <c r="AY1631" i="10"/>
  <c r="AY1650" i="10"/>
  <c r="AY1667" i="10"/>
  <c r="AY1686" i="10"/>
  <c r="AY1703" i="10"/>
  <c r="AY1722" i="10"/>
  <c r="AY1738" i="10"/>
  <c r="AY1754" i="10"/>
  <c r="AY1768" i="10"/>
  <c r="AY1782" i="10"/>
  <c r="AY1796" i="10"/>
  <c r="AY1810" i="10"/>
  <c r="AY1826" i="10"/>
  <c r="AY1840" i="10"/>
  <c r="AY1854" i="10"/>
  <c r="AY1868" i="10"/>
  <c r="AY1882" i="10"/>
  <c r="AY1898" i="10"/>
  <c r="AY1912" i="10"/>
  <c r="AY1926" i="10"/>
  <c r="AY1940" i="10"/>
  <c r="AY1954" i="10"/>
  <c r="AY1970" i="10"/>
  <c r="AY1984" i="10"/>
  <c r="AY1998" i="10"/>
  <c r="AY2012" i="10"/>
  <c r="AY2026" i="10"/>
  <c r="AY2042" i="10"/>
  <c r="AY2056" i="10"/>
  <c r="AY2070" i="10"/>
  <c r="AY2084" i="10"/>
  <c r="AY2098" i="10"/>
  <c r="AY2114" i="10"/>
  <c r="AY2128" i="10"/>
  <c r="AY2142" i="10"/>
  <c r="AY2156" i="10"/>
  <c r="AY2170" i="10"/>
  <c r="AY2186" i="10"/>
  <c r="AY2200" i="10"/>
  <c r="AY2214" i="10"/>
  <c r="AY2228" i="10"/>
  <c r="AY2242" i="10"/>
  <c r="AY2258" i="10"/>
  <c r="AY2272" i="10"/>
  <c r="AY2286" i="10"/>
  <c r="AY2300" i="10"/>
  <c r="AY2314" i="10"/>
  <c r="AY2330" i="10"/>
  <c r="AY2344" i="10"/>
  <c r="AY2358" i="10"/>
  <c r="AY2372" i="10"/>
  <c r="AY2386" i="10"/>
  <c r="AY2402" i="10"/>
  <c r="AY2416" i="10"/>
  <c r="AY2430" i="10"/>
  <c r="AY2444" i="10"/>
  <c r="AY2458" i="10"/>
  <c r="AY2474" i="10"/>
  <c r="AY2488" i="10"/>
  <c r="AY2502" i="10"/>
  <c r="AY2516" i="10"/>
  <c r="AY2530" i="10"/>
  <c r="AY2546" i="10"/>
  <c r="AY2560" i="10"/>
  <c r="AY2574" i="10"/>
  <c r="AY2588" i="10"/>
  <c r="AY2602" i="10"/>
  <c r="AY2618" i="10"/>
  <c r="AY2632" i="10"/>
  <c r="AY2646" i="10"/>
  <c r="AY2660" i="10"/>
  <c r="AY2674" i="10"/>
  <c r="AY2690" i="10"/>
  <c r="AY2704" i="10"/>
  <c r="AY2718" i="10"/>
  <c r="AY2732" i="10"/>
  <c r="AY2746" i="10"/>
  <c r="AY2762" i="10"/>
  <c r="AY2776" i="10"/>
  <c r="AY2790" i="10"/>
  <c r="AY2804" i="10"/>
  <c r="AY2818" i="10"/>
  <c r="AY2834" i="10"/>
  <c r="AY2848" i="10"/>
  <c r="AY2862" i="10"/>
  <c r="AY2876" i="10"/>
  <c r="AY2890" i="10"/>
  <c r="AY2906" i="10"/>
  <c r="AY2920" i="10"/>
  <c r="AY2934" i="10"/>
  <c r="AY2948" i="10"/>
  <c r="AY2962" i="10"/>
  <c r="AY2978" i="10"/>
  <c r="AY2992" i="10"/>
  <c r="AY3006" i="10"/>
  <c r="AY3020" i="10"/>
  <c r="AY3034" i="10"/>
  <c r="AY3050" i="10"/>
  <c r="AY3064" i="10"/>
  <c r="AY3078" i="10"/>
  <c r="AY3092" i="10"/>
  <c r="AY3106" i="10"/>
  <c r="AY3122" i="10"/>
  <c r="AY3136" i="10"/>
  <c r="AY3150" i="10"/>
  <c r="AY3164" i="10"/>
  <c r="AY3178" i="10"/>
  <c r="AY3194" i="10"/>
  <c r="AY3208" i="10"/>
  <c r="AY3222" i="10"/>
  <c r="AY3236" i="10"/>
  <c r="AY3250" i="10"/>
  <c r="AY3266" i="10"/>
  <c r="AY3280" i="10"/>
  <c r="AY3294" i="10"/>
  <c r="AY3308" i="10"/>
  <c r="AY3322" i="10"/>
  <c r="AY3338" i="10"/>
  <c r="AY3352" i="10"/>
  <c r="AY3366" i="10"/>
  <c r="AY3379" i="10"/>
  <c r="AY3392" i="10"/>
  <c r="AY3405" i="10"/>
  <c r="AY3418" i="10"/>
  <c r="AY3431" i="10"/>
  <c r="AY3444" i="10"/>
  <c r="AY3458" i="10"/>
  <c r="AY3471" i="10"/>
  <c r="AY3484" i="10"/>
  <c r="AY3497" i="10"/>
  <c r="AY3510" i="10"/>
  <c r="AY3523" i="10"/>
  <c r="AY3536" i="10"/>
  <c r="AY3549" i="10"/>
  <c r="AY3562" i="10"/>
  <c r="AY3575" i="10"/>
  <c r="AY3588" i="10"/>
  <c r="AY3602" i="10"/>
  <c r="AY3615" i="10"/>
  <c r="AY3628" i="10"/>
  <c r="AY3641" i="10"/>
  <c r="AY3654" i="10"/>
  <c r="AY3666" i="10"/>
  <c r="AY3678" i="10"/>
  <c r="AY3690" i="10"/>
  <c r="AY3702" i="10"/>
  <c r="AY3714" i="10"/>
  <c r="AY3726" i="10"/>
  <c r="AY3738" i="10"/>
  <c r="AY3750" i="10"/>
  <c r="AY3762" i="10"/>
  <c r="AY3774" i="10"/>
  <c r="AY3786" i="10"/>
  <c r="AY3798" i="10"/>
  <c r="AY3810" i="10"/>
  <c r="AY3822" i="10"/>
  <c r="AY3834" i="10"/>
  <c r="AY3846" i="10"/>
  <c r="AY3858" i="10"/>
  <c r="AY3870" i="10"/>
  <c r="AY3882" i="10"/>
  <c r="AY3894" i="10"/>
  <c r="AY3906" i="10"/>
  <c r="AY3918" i="10"/>
  <c r="AY29" i="10"/>
  <c r="AY57" i="10"/>
  <c r="AY86" i="10"/>
  <c r="AY115" i="10"/>
  <c r="AY143" i="10"/>
  <c r="AY170" i="10"/>
  <c r="AY196" i="10"/>
  <c r="AY220" i="10"/>
  <c r="AY244" i="10"/>
  <c r="AY268" i="10"/>
  <c r="AY292" i="10"/>
  <c r="AY316" i="10"/>
  <c r="AY340" i="10"/>
  <c r="AY364" i="10"/>
  <c r="AY388" i="10"/>
  <c r="AY412" i="10"/>
  <c r="AY436" i="10"/>
  <c r="AY460" i="10"/>
  <c r="AY484" i="10"/>
  <c r="AY508" i="10"/>
  <c r="AY532" i="10"/>
  <c r="AY556" i="10"/>
  <c r="AY580" i="10"/>
  <c r="AY604" i="10"/>
  <c r="AY628" i="10"/>
  <c r="AY652" i="10"/>
  <c r="AY676" i="10"/>
  <c r="AY700" i="10"/>
  <c r="AY723" i="10"/>
  <c r="AY740" i="10"/>
  <c r="AY762" i="10"/>
  <c r="AY784" i="10"/>
  <c r="AY802" i="10"/>
  <c r="AY823" i="10"/>
  <c r="AY843" i="10"/>
  <c r="AY859" i="10"/>
  <c r="AY879" i="10"/>
  <c r="AY895" i="10"/>
  <c r="AY915" i="10"/>
  <c r="AY931" i="10"/>
  <c r="AY951" i="10"/>
  <c r="AY967" i="10"/>
  <c r="AY987" i="10"/>
  <c r="AY1003" i="10"/>
  <c r="AY1023" i="10"/>
  <c r="AY1039" i="10"/>
  <c r="AY1059" i="10"/>
  <c r="AY1075" i="10"/>
  <c r="AY1095" i="10"/>
  <c r="AY1111" i="10"/>
  <c r="AY1131" i="10"/>
  <c r="AY1147" i="10"/>
  <c r="AY1167" i="10"/>
  <c r="AY1183" i="10"/>
  <c r="AY1203" i="10"/>
  <c r="AY1219" i="10"/>
  <c r="AY1239" i="10"/>
  <c r="AY1255" i="10"/>
  <c r="AY1275" i="10"/>
  <c r="AY1291" i="10"/>
  <c r="AY1311" i="10"/>
  <c r="AY1327" i="10"/>
  <c r="AY1347" i="10"/>
  <c r="AY1363" i="10"/>
  <c r="AY1383" i="10"/>
  <c r="AY1399" i="10"/>
  <c r="AY1419" i="10"/>
  <c r="AY1435" i="10"/>
  <c r="AY1455" i="10"/>
  <c r="AY1471" i="10"/>
  <c r="AY1491" i="10"/>
  <c r="AY1507" i="10"/>
  <c r="AY1527" i="10"/>
  <c r="AY1543" i="10"/>
  <c r="AY1563" i="10"/>
  <c r="AY1579" i="10"/>
  <c r="AY1599" i="10"/>
  <c r="AY1615" i="10"/>
  <c r="AY1635" i="10"/>
  <c r="AY1651" i="10"/>
  <c r="AY1671" i="10"/>
  <c r="AY1687" i="10"/>
  <c r="AY1707" i="10"/>
  <c r="AY1723" i="10"/>
  <c r="AY1739" i="10"/>
  <c r="AY1755" i="10"/>
  <c r="AY1769" i="10"/>
  <c r="AY1783" i="10"/>
  <c r="AY1797" i="10"/>
  <c r="AY1811" i="10"/>
  <c r="AY1827" i="10"/>
  <c r="AY1841" i="10"/>
  <c r="AY1855" i="10"/>
  <c r="AY1869" i="10"/>
  <c r="AY1883" i="10"/>
  <c r="AY1899" i="10"/>
  <c r="AY1913" i="10"/>
  <c r="AY1927" i="10"/>
  <c r="AY1941" i="10"/>
  <c r="AY1955" i="10"/>
  <c r="AY1971" i="10"/>
  <c r="AY1985" i="10"/>
  <c r="AY1999" i="10"/>
  <c r="AY2013" i="10"/>
  <c r="AY2027" i="10"/>
  <c r="AY2043" i="10"/>
  <c r="AY2057" i="10"/>
  <c r="AY2071" i="10"/>
  <c r="AY2085" i="10"/>
  <c r="AY2099" i="10"/>
  <c r="AY2115" i="10"/>
  <c r="AY2129" i="10"/>
  <c r="AY2143" i="10"/>
  <c r="AY2157" i="10"/>
  <c r="AY2171" i="10"/>
  <c r="AY2187" i="10"/>
  <c r="AY2201" i="10"/>
  <c r="AY2215" i="10"/>
  <c r="AY2229" i="10"/>
  <c r="AY2243" i="10"/>
  <c r="AY2259" i="10"/>
  <c r="AY2273" i="10"/>
  <c r="AY2287" i="10"/>
  <c r="AY2301" i="10"/>
  <c r="AY2315" i="10"/>
  <c r="AY2331" i="10"/>
  <c r="AY2345" i="10"/>
  <c r="AY2359" i="10"/>
  <c r="AY2373" i="10"/>
  <c r="AY2387" i="10"/>
  <c r="AY2403" i="10"/>
  <c r="AY2417" i="10"/>
  <c r="AY2431" i="10"/>
  <c r="AY2445" i="10"/>
  <c r="AY2459" i="10"/>
  <c r="AY2475" i="10"/>
  <c r="AY2489" i="10"/>
  <c r="AY2503" i="10"/>
  <c r="AY2517" i="10"/>
  <c r="AY2531" i="10"/>
  <c r="AY2547" i="10"/>
  <c r="AY2561" i="10"/>
  <c r="AY2575" i="10"/>
  <c r="AY2589" i="10"/>
  <c r="AY2603" i="10"/>
  <c r="AY2619" i="10"/>
  <c r="AY2633" i="10"/>
  <c r="AY2647" i="10"/>
  <c r="AY2661" i="10"/>
  <c r="AY2675" i="10"/>
  <c r="AY2691" i="10"/>
  <c r="AY2705" i="10"/>
  <c r="AY2719" i="10"/>
  <c r="AY2733" i="10"/>
  <c r="AY2747" i="10"/>
  <c r="AY2763" i="10"/>
  <c r="AY2777" i="10"/>
  <c r="AY2791" i="10"/>
  <c r="AY2805" i="10"/>
  <c r="AY2819" i="10"/>
  <c r="AY2835" i="10"/>
  <c r="AY2849" i="10"/>
  <c r="AY2863" i="10"/>
  <c r="AY2877" i="10"/>
  <c r="AY2891" i="10"/>
  <c r="AY2907" i="10"/>
  <c r="AY2921" i="10"/>
  <c r="AY2935" i="10"/>
  <c r="AY2949" i="10"/>
  <c r="AY2963" i="10"/>
  <c r="AY2979" i="10"/>
  <c r="AY2993" i="10"/>
  <c r="AY3007" i="10"/>
  <c r="AY3021" i="10"/>
  <c r="AY3035" i="10"/>
  <c r="AY3051" i="10"/>
  <c r="AY3065" i="10"/>
  <c r="AY3079" i="10"/>
  <c r="AY3093" i="10"/>
  <c r="AY3107" i="10"/>
  <c r="AY3123" i="10"/>
  <c r="AY3137" i="10"/>
  <c r="AY3151" i="10"/>
  <c r="AY3165" i="10"/>
  <c r="AY3179" i="10"/>
  <c r="AY3195" i="10"/>
  <c r="AY3209" i="10"/>
  <c r="AY3223" i="10"/>
  <c r="AY3237" i="10"/>
  <c r="AY3251" i="10"/>
  <c r="AY3267" i="10"/>
  <c r="AY3281" i="10"/>
  <c r="AY3295" i="10"/>
  <c r="AY3309" i="10"/>
  <c r="AY3323" i="10"/>
  <c r="AY3339" i="10"/>
  <c r="AY3353" i="10"/>
  <c r="AY3367" i="10"/>
  <c r="AY3380" i="10"/>
  <c r="AY3393" i="10"/>
  <c r="AY3406" i="10"/>
  <c r="AY3419" i="10"/>
  <c r="AY3432" i="10"/>
  <c r="AY3446" i="10"/>
  <c r="AY3459" i="10"/>
  <c r="AY3472" i="10"/>
  <c r="AY3485" i="10"/>
  <c r="AY3498" i="10"/>
  <c r="AY3511" i="10"/>
  <c r="AY3524" i="10"/>
  <c r="AY3537" i="10"/>
  <c r="AY3550" i="10"/>
  <c r="AY3563" i="10"/>
  <c r="AY3576" i="10"/>
  <c r="AY3590" i="10"/>
  <c r="AY3603" i="10"/>
  <c r="AY3616" i="10"/>
  <c r="AY3629" i="10"/>
  <c r="AY3642" i="10"/>
  <c r="AY3655" i="10"/>
  <c r="AY3667" i="10"/>
  <c r="AY3679" i="10"/>
  <c r="AY3691" i="10"/>
  <c r="AY3703" i="10"/>
  <c r="AY3715" i="10"/>
  <c r="AY3727" i="10"/>
  <c r="AY3739" i="10"/>
  <c r="AY3751" i="10"/>
  <c r="AY3763" i="10"/>
  <c r="AY3775" i="10"/>
  <c r="AY3787" i="10"/>
  <c r="AY3799" i="10"/>
  <c r="AY3811" i="10"/>
  <c r="AY3823" i="10"/>
  <c r="AY3835" i="10"/>
  <c r="AY3847" i="10"/>
  <c r="AY3859" i="10"/>
  <c r="AY3871" i="10"/>
  <c r="AY3883" i="10"/>
  <c r="AY3895" i="10"/>
  <c r="AY3907" i="10"/>
  <c r="AY30" i="10"/>
  <c r="AY58" i="10"/>
  <c r="AY88" i="10"/>
  <c r="AY116" i="10"/>
  <c r="AY145" i="10"/>
  <c r="AY172" i="10"/>
  <c r="AY197" i="10"/>
  <c r="AY221" i="10"/>
  <c r="AY245" i="10"/>
  <c r="AY269" i="10"/>
  <c r="AY293" i="10"/>
  <c r="AY317" i="10"/>
  <c r="AY341" i="10"/>
  <c r="AY365" i="10"/>
  <c r="AY389" i="10"/>
  <c r="AY413" i="10"/>
  <c r="AY437" i="10"/>
  <c r="AY461" i="10"/>
  <c r="AY485" i="10"/>
  <c r="AY509" i="10"/>
  <c r="AY533" i="10"/>
  <c r="AY557" i="10"/>
  <c r="AY581" i="10"/>
  <c r="AY605" i="10"/>
  <c r="AY629" i="10"/>
  <c r="AY653" i="10"/>
  <c r="AY677" i="10"/>
  <c r="AY701" i="10"/>
  <c r="AY724" i="10"/>
  <c r="AY742" i="10"/>
  <c r="AY763" i="10"/>
  <c r="AY785" i="10"/>
  <c r="AY807" i="10"/>
  <c r="AY824" i="10"/>
  <c r="AY844" i="10"/>
  <c r="AY860" i="10"/>
  <c r="AY880" i="10"/>
  <c r="AY896" i="10"/>
  <c r="AY916" i="10"/>
  <c r="AY932" i="10"/>
  <c r="AY952" i="10"/>
  <c r="AY968" i="10"/>
  <c r="AY988" i="10"/>
  <c r="AY1004" i="10"/>
  <c r="AY1024" i="10"/>
  <c r="AY1040" i="10"/>
  <c r="AY1060" i="10"/>
  <c r="AY1076" i="10"/>
  <c r="AY1096" i="10"/>
  <c r="AY1112" i="10"/>
  <c r="AY1132" i="10"/>
  <c r="AY1148" i="10"/>
  <c r="AY1168" i="10"/>
  <c r="AY1184" i="10"/>
  <c r="AY1204" i="10"/>
  <c r="AY1220" i="10"/>
  <c r="AY1240" i="10"/>
  <c r="AY1256" i="10"/>
  <c r="AY1276" i="10"/>
  <c r="AY1292" i="10"/>
  <c r="AY1312" i="10"/>
  <c r="AY1328" i="10"/>
  <c r="AY1348" i="10"/>
  <c r="AY1364" i="10"/>
  <c r="AY1384" i="10"/>
  <c r="AY1400" i="10"/>
  <c r="AY1420" i="10"/>
  <c r="AY1436" i="10"/>
  <c r="AY1456" i="10"/>
  <c r="AY1472" i="10"/>
  <c r="AY1492" i="10"/>
  <c r="AY1508" i="10"/>
  <c r="AY1528" i="10"/>
  <c r="AY1544" i="10"/>
  <c r="AY1564" i="10"/>
  <c r="AY1580" i="10"/>
  <c r="AY1600" i="10"/>
  <c r="AY1616" i="10"/>
  <c r="AY1636" i="10"/>
  <c r="AY1652" i="10"/>
  <c r="AY1672" i="10"/>
  <c r="AY1688" i="10"/>
  <c r="AY1708" i="10"/>
  <c r="AY1724" i="10"/>
  <c r="AY1742" i="10"/>
  <c r="AY1756" i="10"/>
  <c r="AY1770" i="10"/>
  <c r="AY1784" i="10"/>
  <c r="AY1798" i="10"/>
  <c r="AY1814" i="10"/>
  <c r="AY1828" i="10"/>
  <c r="AY1842" i="10"/>
  <c r="AY1856" i="10"/>
  <c r="AY1870" i="10"/>
  <c r="AY1886" i="10"/>
  <c r="AY1900" i="10"/>
  <c r="AY1914" i="10"/>
  <c r="AY1928" i="10"/>
  <c r="AY1942" i="10"/>
  <c r="AY1958" i="10"/>
  <c r="AY1972" i="10"/>
  <c r="AY1986" i="10"/>
  <c r="AY2000" i="10"/>
  <c r="AY2014" i="10"/>
  <c r="AY2030" i="10"/>
  <c r="AY2044" i="10"/>
  <c r="AY2058" i="10"/>
  <c r="AY2072" i="10"/>
  <c r="AY2086" i="10"/>
  <c r="AY2102" i="10"/>
  <c r="AY2116" i="10"/>
  <c r="AY2130" i="10"/>
  <c r="AY2144" i="10"/>
  <c r="AY2158" i="10"/>
  <c r="AY2174" i="10"/>
  <c r="AY2188" i="10"/>
  <c r="AY2202" i="10"/>
  <c r="AY2216" i="10"/>
  <c r="AY2230" i="10"/>
  <c r="AY2246" i="10"/>
  <c r="AY2260" i="10"/>
  <c r="AY2274" i="10"/>
  <c r="AY2288" i="10"/>
  <c r="AY2302" i="10"/>
  <c r="AY2318" i="10"/>
  <c r="AY2332" i="10"/>
  <c r="AY2346" i="10"/>
  <c r="AY2360" i="10"/>
  <c r="AY2374" i="10"/>
  <c r="AY2390" i="10"/>
  <c r="AY2404" i="10"/>
  <c r="AY2418" i="10"/>
  <c r="AY2432" i="10"/>
  <c r="AY2446" i="10"/>
  <c r="AY2462" i="10"/>
  <c r="AY2476" i="10"/>
  <c r="AY2490" i="10"/>
  <c r="AY2504" i="10"/>
  <c r="AY2518" i="10"/>
  <c r="AY2534" i="10"/>
  <c r="AY2548" i="10"/>
  <c r="AY2562" i="10"/>
  <c r="AY2576" i="10"/>
  <c r="AY2590" i="10"/>
  <c r="AY2606" i="10"/>
  <c r="AY2620" i="10"/>
  <c r="AY2634" i="10"/>
  <c r="AY2648" i="10"/>
  <c r="AY2662" i="10"/>
  <c r="AY2678" i="10"/>
  <c r="AY2692" i="10"/>
  <c r="AY2706" i="10"/>
  <c r="AY2720" i="10"/>
  <c r="AY2734" i="10"/>
  <c r="AY2750" i="10"/>
  <c r="AY2764" i="10"/>
  <c r="AY2778" i="10"/>
  <c r="AY2792" i="10"/>
  <c r="AY2806" i="10"/>
  <c r="AY2822" i="10"/>
  <c r="AY2836" i="10"/>
  <c r="AY2850" i="10"/>
  <c r="AY2864" i="10"/>
  <c r="AY2878" i="10"/>
  <c r="AY2894" i="10"/>
  <c r="AY2908" i="10"/>
  <c r="AY2922" i="10"/>
  <c r="AY2936" i="10"/>
  <c r="AY2950" i="10"/>
  <c r="AY2966" i="10"/>
  <c r="AY2980" i="10"/>
  <c r="AY2994" i="10"/>
  <c r="AY3008" i="10"/>
  <c r="AY3022" i="10"/>
  <c r="AY3038" i="10"/>
  <c r="AY3052" i="10"/>
  <c r="AY3066" i="10"/>
  <c r="AY3080" i="10"/>
  <c r="AY3094" i="10"/>
  <c r="AY3110" i="10"/>
  <c r="AY3124" i="10"/>
  <c r="AY3138" i="10"/>
  <c r="AY3152" i="10"/>
  <c r="AY3166" i="10"/>
  <c r="AY3182" i="10"/>
  <c r="AY3196" i="10"/>
  <c r="AY3210" i="10"/>
  <c r="AY3224" i="10"/>
  <c r="AY3238" i="10"/>
  <c r="AY3254" i="10"/>
  <c r="AY3268" i="10"/>
  <c r="AY3282" i="10"/>
  <c r="AY3296" i="10"/>
  <c r="AY3310" i="10"/>
  <c r="AY3326" i="10"/>
  <c r="AY3340" i="10"/>
  <c r="AY3354" i="10"/>
  <c r="AY3368" i="10"/>
  <c r="AY3381" i="10"/>
  <c r="AY3394" i="10"/>
  <c r="AY3407" i="10"/>
  <c r="AY3420" i="10"/>
  <c r="AY3434" i="10"/>
  <c r="AY3447" i="10"/>
  <c r="AY3460" i="10"/>
  <c r="AY3473" i="10"/>
  <c r="AY3486" i="10"/>
  <c r="AY3499" i="10"/>
  <c r="AY3512" i="10"/>
  <c r="AY3525" i="10"/>
  <c r="AY3538" i="10"/>
  <c r="AY3551" i="10"/>
  <c r="AY3564" i="10"/>
  <c r="AY3578" i="10"/>
  <c r="AY3591" i="10"/>
  <c r="AY3604" i="10"/>
  <c r="AY3617" i="10"/>
  <c r="AY3630" i="10"/>
  <c r="AY3643" i="10"/>
  <c r="AY3656" i="10"/>
  <c r="AY3668" i="10"/>
  <c r="AY3680" i="10"/>
  <c r="AY3692" i="10"/>
  <c r="AY3704" i="10"/>
  <c r="AY3716" i="10"/>
  <c r="AY3728" i="10"/>
  <c r="AY3740" i="10"/>
  <c r="AY3752" i="10"/>
  <c r="AY3764" i="10"/>
  <c r="AY3776" i="10"/>
  <c r="AY3788" i="10"/>
  <c r="AY3800" i="10"/>
  <c r="AY3812" i="10"/>
  <c r="AY3824" i="10"/>
  <c r="AY3836" i="10"/>
  <c r="AY3848" i="10"/>
  <c r="AY2" i="10"/>
  <c r="AY31" i="10"/>
  <c r="AY59" i="10"/>
  <c r="AY89" i="10"/>
  <c r="AY117" i="10"/>
  <c r="AY146" i="10"/>
  <c r="AY173" i="10"/>
  <c r="AY198" i="10"/>
  <c r="AY222" i="10"/>
  <c r="AY246" i="10"/>
  <c r="AY270" i="10"/>
  <c r="AY294" i="10"/>
  <c r="AY318" i="10"/>
  <c r="AY342" i="10"/>
  <c r="AY366" i="10"/>
  <c r="AY390" i="10"/>
  <c r="AY414" i="10"/>
  <c r="AY438" i="10"/>
  <c r="AY462" i="10"/>
  <c r="AY486" i="10"/>
  <c r="AY510" i="10"/>
  <c r="AY534" i="10"/>
  <c r="AY558" i="10"/>
  <c r="AY582" i="10"/>
  <c r="AY606" i="10"/>
  <c r="AY630" i="10"/>
  <c r="AY654" i="10"/>
  <c r="AY678" i="10"/>
  <c r="AY702" i="10"/>
  <c r="AY725" i="10"/>
  <c r="AY747" i="10"/>
  <c r="AY764" i="10"/>
  <c r="AY786" i="10"/>
  <c r="AY808" i="10"/>
  <c r="AY826" i="10"/>
  <c r="AY845" i="10"/>
  <c r="AY862" i="10"/>
  <c r="AY881" i="10"/>
  <c r="AY898" i="10"/>
  <c r="AY917" i="10"/>
  <c r="AY934" i="10"/>
  <c r="AY953" i="10"/>
  <c r="AY970" i="10"/>
  <c r="AY989" i="10"/>
  <c r="AY1006" i="10"/>
  <c r="AY1025" i="10"/>
  <c r="AY1042" i="10"/>
  <c r="AY1061" i="10"/>
  <c r="AY1078" i="10"/>
  <c r="AY1097" i="10"/>
  <c r="AY1114" i="10"/>
  <c r="AY1133" i="10"/>
  <c r="AY1150" i="10"/>
  <c r="AY1169" i="10"/>
  <c r="AY1186" i="10"/>
  <c r="AY1205" i="10"/>
  <c r="AY1222" i="10"/>
  <c r="AY1241" i="10"/>
  <c r="AY1258" i="10"/>
  <c r="AY1277" i="10"/>
  <c r="AY1294" i="10"/>
  <c r="AY1313" i="10"/>
  <c r="AY1330" i="10"/>
  <c r="AY1349" i="10"/>
  <c r="AY1366" i="10"/>
  <c r="AY1385" i="10"/>
  <c r="AY1402" i="10"/>
  <c r="AY1421" i="10"/>
  <c r="AY1438" i="10"/>
  <c r="AY1457" i="10"/>
  <c r="AY1474" i="10"/>
  <c r="AY1493" i="10"/>
  <c r="AY1510" i="10"/>
  <c r="AY1529" i="10"/>
  <c r="AY1546" i="10"/>
  <c r="AY1565" i="10"/>
  <c r="AY1582" i="10"/>
  <c r="AY1601" i="10"/>
  <c r="AY1618" i="10"/>
  <c r="AY1637" i="10"/>
  <c r="AY1654" i="10"/>
  <c r="AY1673" i="10"/>
  <c r="AY1690" i="10"/>
  <c r="AY1709" i="10"/>
  <c r="AY1726" i="10"/>
  <c r="AY1743" i="10"/>
  <c r="AY1757" i="10"/>
  <c r="AY1771" i="10"/>
  <c r="AY1785" i="10"/>
  <c r="AY1799" i="10"/>
  <c r="AY1815" i="10"/>
  <c r="AY1829" i="10"/>
  <c r="AY1843" i="10"/>
  <c r="AY1857" i="10"/>
  <c r="AY1871" i="10"/>
  <c r="AY1887" i="10"/>
  <c r="AY1901" i="10"/>
  <c r="AY1915" i="10"/>
  <c r="AY1929" i="10"/>
  <c r="AY1943" i="10"/>
  <c r="AY1959" i="10"/>
  <c r="AY1973" i="10"/>
  <c r="AY1987" i="10"/>
  <c r="AY2001" i="10"/>
  <c r="AY2015" i="10"/>
  <c r="AY2031" i="10"/>
  <c r="AY2045" i="10"/>
  <c r="AY2059" i="10"/>
  <c r="AY2073" i="10"/>
  <c r="AY2087" i="10"/>
  <c r="AY2103" i="10"/>
  <c r="AY2117" i="10"/>
  <c r="AY2131" i="10"/>
  <c r="AY2145" i="10"/>
  <c r="AY2159" i="10"/>
  <c r="AY2175" i="10"/>
  <c r="AY2189" i="10"/>
  <c r="AY2203" i="10"/>
  <c r="AY2217" i="10"/>
  <c r="AY2231" i="10"/>
  <c r="AY2247" i="10"/>
  <c r="AY2261" i="10"/>
  <c r="AY2275" i="10"/>
  <c r="AY2289" i="10"/>
  <c r="AY2303" i="10"/>
  <c r="AY2319" i="10"/>
  <c r="AY2333" i="10"/>
  <c r="AY2347" i="10"/>
  <c r="AY2361" i="10"/>
  <c r="AY2375" i="10"/>
  <c r="AY2391" i="10"/>
  <c r="AY2405" i="10"/>
  <c r="AY2419" i="10"/>
  <c r="AY2433" i="10"/>
  <c r="AY2447" i="10"/>
  <c r="AY2463" i="10"/>
  <c r="AY2477" i="10"/>
  <c r="AY2491" i="10"/>
  <c r="AY2505" i="10"/>
  <c r="AY2519" i="10"/>
  <c r="AY2535" i="10"/>
  <c r="AY2549" i="10"/>
  <c r="AY2563" i="10"/>
  <c r="AY2577" i="10"/>
  <c r="AY2591" i="10"/>
  <c r="AY2607" i="10"/>
  <c r="AY2621" i="10"/>
  <c r="AY2635" i="10"/>
  <c r="AY2649" i="10"/>
  <c r="AY2663" i="10"/>
  <c r="AY2679" i="10"/>
  <c r="AY2693" i="10"/>
  <c r="AY2707" i="10"/>
  <c r="AY2721" i="10"/>
  <c r="AY2735" i="10"/>
  <c r="AY2751" i="10"/>
  <c r="AY2765" i="10"/>
  <c r="AY2779" i="10"/>
  <c r="AY2793" i="10"/>
  <c r="AY2807" i="10"/>
  <c r="AY2823" i="10"/>
  <c r="AY2837" i="10"/>
  <c r="AY2851" i="10"/>
  <c r="AY2865" i="10"/>
  <c r="AY2879" i="10"/>
  <c r="AY2895" i="10"/>
  <c r="AY2909" i="10"/>
  <c r="AY2923" i="10"/>
  <c r="AY2937" i="10"/>
  <c r="AY2951" i="10"/>
  <c r="AY2967" i="10"/>
  <c r="AY2981" i="10"/>
  <c r="AY2995" i="10"/>
  <c r="AY3009" i="10"/>
  <c r="AY3023" i="10"/>
  <c r="AY3039" i="10"/>
  <c r="AY3053" i="10"/>
  <c r="AY3067" i="10"/>
  <c r="AY3081" i="10"/>
  <c r="AY3095" i="10"/>
  <c r="AY3111" i="10"/>
  <c r="AY3125" i="10"/>
  <c r="AY3139" i="10"/>
  <c r="AY3153" i="10"/>
  <c r="AY3167" i="10"/>
  <c r="AY3183" i="10"/>
  <c r="AY3197" i="10"/>
  <c r="AY3211" i="10"/>
  <c r="AY3225" i="10"/>
  <c r="AY3239" i="10"/>
  <c r="AY3255" i="10"/>
  <c r="AY3269" i="10"/>
  <c r="AY3283" i="10"/>
  <c r="AY3297" i="10"/>
  <c r="AY3311" i="10"/>
  <c r="AY3327" i="10"/>
  <c r="AY3341" i="10"/>
  <c r="AY3355" i="10"/>
  <c r="AY3369" i="10"/>
  <c r="AY3382" i="10"/>
  <c r="AY3395" i="10"/>
  <c r="AY3408" i="10"/>
  <c r="AY3422" i="10"/>
  <c r="AY3435" i="10"/>
  <c r="AY3448" i="10"/>
  <c r="AY3461" i="10"/>
  <c r="AY3474" i="10"/>
  <c r="AY3487" i="10"/>
  <c r="AY3500" i="10"/>
  <c r="AY3513" i="10"/>
  <c r="AY3526" i="10"/>
  <c r="AY3539" i="10"/>
  <c r="AY3552" i="10"/>
  <c r="AY3566" i="10"/>
  <c r="AY3579" i="10"/>
  <c r="AY3592" i="10"/>
  <c r="AY3605" i="10"/>
  <c r="AY3618" i="10"/>
  <c r="AY3631" i="10"/>
  <c r="AY3644" i="10"/>
  <c r="AY3657" i="10"/>
  <c r="AY3669" i="10"/>
  <c r="AY3681" i="10"/>
  <c r="AY3693" i="10"/>
  <c r="AY3705" i="10"/>
  <c r="AY3717" i="10"/>
  <c r="AY3729" i="10"/>
  <c r="AY3741" i="10"/>
  <c r="AY3753" i="10"/>
  <c r="AY3765" i="10"/>
  <c r="AY3777" i="10"/>
  <c r="AY3789" i="10"/>
  <c r="AY3801" i="10"/>
  <c r="AY3813" i="10"/>
  <c r="AY3825" i="10"/>
  <c r="AY3837" i="10"/>
  <c r="AY3849" i="10"/>
  <c r="AY3861" i="10"/>
  <c r="AY3873" i="10"/>
  <c r="AY3885" i="10"/>
  <c r="AY3897" i="10"/>
  <c r="AY3909" i="10"/>
  <c r="AY3921" i="10"/>
  <c r="AY3933" i="10"/>
  <c r="AY3945" i="10"/>
  <c r="AY3957" i="10"/>
  <c r="AY3969" i="10"/>
  <c r="AY3981" i="10"/>
  <c r="AY4" i="10"/>
  <c r="AY32" i="10"/>
  <c r="AY61" i="10"/>
  <c r="AY90" i="10"/>
  <c r="AY118" i="10"/>
  <c r="AY148" i="10"/>
  <c r="AY174" i="10"/>
  <c r="AY199" i="10"/>
  <c r="AY223" i="10"/>
  <c r="AY247" i="10"/>
  <c r="AY271" i="10"/>
  <c r="AY295" i="10"/>
  <c r="AY319" i="10"/>
  <c r="AY343" i="10"/>
  <c r="AY367" i="10"/>
  <c r="AY391" i="10"/>
  <c r="AY415" i="10"/>
  <c r="AY439" i="10"/>
  <c r="AY463" i="10"/>
  <c r="AY487" i="10"/>
  <c r="AY511" i="10"/>
  <c r="AY535" i="10"/>
  <c r="AY559" i="10"/>
  <c r="AY583" i="10"/>
  <c r="AY607" i="10"/>
  <c r="AY631" i="10"/>
  <c r="AY655" i="10"/>
  <c r="AY679" i="10"/>
  <c r="AY703" i="10"/>
  <c r="AY726" i="10"/>
  <c r="AY748" i="10"/>
  <c r="AY766" i="10"/>
  <c r="AY787" i="10"/>
  <c r="AY809" i="10"/>
  <c r="AY827" i="10"/>
  <c r="AY846" i="10"/>
  <c r="AY863" i="10"/>
  <c r="AY882" i="10"/>
  <c r="AY899" i="10"/>
  <c r="AY918" i="10"/>
  <c r="AY935" i="10"/>
  <c r="AY954" i="10"/>
  <c r="AY971" i="10"/>
  <c r="AY990" i="10"/>
  <c r="AY1007" i="10"/>
  <c r="AY1026" i="10"/>
  <c r="AY1043" i="10"/>
  <c r="AY1062" i="10"/>
  <c r="AY1079" i="10"/>
  <c r="AY1098" i="10"/>
  <c r="AY1115" i="10"/>
  <c r="AY1134" i="10"/>
  <c r="AY1151" i="10"/>
  <c r="AY1170" i="10"/>
  <c r="AY1187" i="10"/>
  <c r="AY1206" i="10"/>
  <c r="AY1223" i="10"/>
  <c r="AY1242" i="10"/>
  <c r="AY1259" i="10"/>
  <c r="AY1278" i="10"/>
  <c r="AY1295" i="10"/>
  <c r="AY1314" i="10"/>
  <c r="AY1331" i="10"/>
  <c r="AY1350" i="10"/>
  <c r="AY1367" i="10"/>
  <c r="AY1386" i="10"/>
  <c r="AY1403" i="10"/>
  <c r="AY1422" i="10"/>
  <c r="AY1439" i="10"/>
  <c r="AY1458" i="10"/>
  <c r="AY1475" i="10"/>
  <c r="AY1494" i="10"/>
  <c r="AY1511" i="10"/>
  <c r="AY1530" i="10"/>
  <c r="AY1547" i="10"/>
  <c r="AY1566" i="10"/>
  <c r="AY1583" i="10"/>
  <c r="AY1602" i="10"/>
  <c r="AY1619" i="10"/>
  <c r="AY1638" i="10"/>
  <c r="AY1655" i="10"/>
  <c r="AY1674" i="10"/>
  <c r="AY1691" i="10"/>
  <c r="AY1710" i="10"/>
  <c r="AY1727" i="10"/>
  <c r="AY1744" i="10"/>
  <c r="AY1758" i="10"/>
  <c r="AY1772" i="10"/>
  <c r="AY1786" i="10"/>
  <c r="AY1802" i="10"/>
  <c r="AY1816" i="10"/>
  <c r="AY1830" i="10"/>
  <c r="AY1844" i="10"/>
  <c r="AY1858" i="10"/>
  <c r="AY1874" i="10"/>
  <c r="AY1888" i="10"/>
  <c r="AY1902" i="10"/>
  <c r="AY1916" i="10"/>
  <c r="AY1930" i="10"/>
  <c r="AY1946" i="10"/>
  <c r="AY1960" i="10"/>
  <c r="AY1974" i="10"/>
  <c r="AY1988" i="10"/>
  <c r="AY2002" i="10"/>
  <c r="AY2018" i="10"/>
  <c r="AY2032" i="10"/>
  <c r="AY2046" i="10"/>
  <c r="AY2060" i="10"/>
  <c r="AY2074" i="10"/>
  <c r="AY2090" i="10"/>
  <c r="AY2104" i="10"/>
  <c r="AY2118" i="10"/>
  <c r="AY2132" i="10"/>
  <c r="AY2146" i="10"/>
  <c r="AY2162" i="10"/>
  <c r="AY2176" i="10"/>
  <c r="AY2190" i="10"/>
  <c r="AY2204" i="10"/>
  <c r="AY2218" i="10"/>
  <c r="AY2234" i="10"/>
  <c r="AY2248" i="10"/>
  <c r="AY2262" i="10"/>
  <c r="AY2276" i="10"/>
  <c r="AY2290" i="10"/>
  <c r="AY2306" i="10"/>
  <c r="AY2320" i="10"/>
  <c r="AY2334" i="10"/>
  <c r="AY2348" i="10"/>
  <c r="AY2362" i="10"/>
  <c r="AY2378" i="10"/>
  <c r="AY2392" i="10"/>
  <c r="AY2406" i="10"/>
  <c r="AY2420" i="10"/>
  <c r="AY2434" i="10"/>
  <c r="AY2450" i="10"/>
  <c r="AY2464" i="10"/>
  <c r="AY2478" i="10"/>
  <c r="AY2492" i="10"/>
  <c r="AY2506" i="10"/>
  <c r="AY2522" i="10"/>
  <c r="AY2536" i="10"/>
  <c r="AY2550" i="10"/>
  <c r="AY2564" i="10"/>
  <c r="AY2578" i="10"/>
  <c r="AY2594" i="10"/>
  <c r="AY2608" i="10"/>
  <c r="AY2622" i="10"/>
  <c r="AY2636" i="10"/>
  <c r="AY2650" i="10"/>
  <c r="AY2666" i="10"/>
  <c r="AY2680" i="10"/>
  <c r="AY2694" i="10"/>
  <c r="AY2708" i="10"/>
  <c r="AY2722" i="10"/>
  <c r="AY2738" i="10"/>
  <c r="AY2752" i="10"/>
  <c r="AY2766" i="10"/>
  <c r="AY2780" i="10"/>
  <c r="AY2794" i="10"/>
  <c r="AY2810" i="10"/>
  <c r="AY2824" i="10"/>
  <c r="AY2838" i="10"/>
  <c r="AY2852" i="10"/>
  <c r="AY2866" i="10"/>
  <c r="AY2882" i="10"/>
  <c r="AY2896" i="10"/>
  <c r="AY2910" i="10"/>
  <c r="AY2924" i="10"/>
  <c r="AY2938" i="10"/>
  <c r="AY2954" i="10"/>
  <c r="AY2968" i="10"/>
  <c r="AY2982" i="10"/>
  <c r="AY2996" i="10"/>
  <c r="AY3010" i="10"/>
  <c r="AY3026" i="10"/>
  <c r="AY3040" i="10"/>
  <c r="AY3054" i="10"/>
  <c r="AY3068" i="10"/>
  <c r="AY3082" i="10"/>
  <c r="AY3098" i="10"/>
  <c r="AY3112" i="10"/>
  <c r="AY3126" i="10"/>
  <c r="AY3140" i="10"/>
  <c r="AY3154" i="10"/>
  <c r="AY3170" i="10"/>
  <c r="AY3184" i="10"/>
  <c r="AY3198" i="10"/>
  <c r="AY3212" i="10"/>
  <c r="AY3226" i="10"/>
  <c r="AY3242" i="10"/>
  <c r="AY3256" i="10"/>
  <c r="AY3270" i="10"/>
  <c r="AY3284" i="10"/>
  <c r="AY3298" i="10"/>
  <c r="AY3314" i="10"/>
  <c r="AY3328" i="10"/>
  <c r="AY3342" i="10"/>
  <c r="AY3356" i="10"/>
  <c r="AY3370" i="10"/>
  <c r="AY3383" i="10"/>
  <c r="AY3396" i="10"/>
  <c r="AY3410" i="10"/>
  <c r="AY3423" i="10"/>
  <c r="AY3436" i="10"/>
  <c r="AY3449" i="10"/>
  <c r="AY3462" i="10"/>
  <c r="AY3475" i="10"/>
  <c r="AY3488" i="10"/>
  <c r="AY3501" i="10"/>
  <c r="AY3514" i="10"/>
  <c r="AY3527" i="10"/>
  <c r="AY3540" i="10"/>
  <c r="AY3554" i="10"/>
  <c r="AY3567" i="10"/>
  <c r="AY3580" i="10"/>
  <c r="AY3593" i="10"/>
  <c r="AY3606" i="10"/>
  <c r="AY3619" i="10"/>
  <c r="AY3632" i="10"/>
  <c r="AY3645" i="10"/>
  <c r="AY3658" i="10"/>
  <c r="AY3670" i="10"/>
  <c r="AY3682" i="10"/>
  <c r="AY3694" i="10"/>
  <c r="AY3706" i="10"/>
  <c r="AY3718" i="10"/>
  <c r="AY3730" i="10"/>
  <c r="AY3742" i="10"/>
  <c r="AY3754" i="10"/>
  <c r="AY3766" i="10"/>
  <c r="AY3778" i="10"/>
  <c r="AY3790" i="10"/>
  <c r="AY3802" i="10"/>
  <c r="AY3814" i="10"/>
  <c r="AY3826" i="10"/>
  <c r="AY3838" i="10"/>
  <c r="AY3850" i="10"/>
  <c r="AY3862" i="10"/>
  <c r="AY3874" i="10"/>
  <c r="AY3886" i="10"/>
  <c r="AY3898" i="10"/>
  <c r="AY3910" i="10"/>
  <c r="AY3922" i="10"/>
  <c r="AY3934" i="10"/>
  <c r="AY3946" i="10"/>
  <c r="AY3958" i="10"/>
  <c r="AY3970" i="10"/>
  <c r="AY3982" i="10"/>
  <c r="AY3994" i="10"/>
  <c r="AY4006" i="10"/>
  <c r="AY4018" i="10"/>
  <c r="AY4030" i="10"/>
  <c r="AY4042" i="10"/>
  <c r="AY4054" i="10"/>
  <c r="AY4066" i="10"/>
  <c r="AY4078" i="10"/>
  <c r="AY4090" i="10"/>
  <c r="AY4102" i="10"/>
  <c r="AY4114" i="10"/>
  <c r="AY4126" i="10"/>
  <c r="AY4138" i="10"/>
  <c r="AY4150" i="10"/>
  <c r="AY4162" i="10"/>
  <c r="AY4174" i="10"/>
  <c r="AY4186" i="10"/>
  <c r="AY4198" i="10"/>
  <c r="AY4210" i="10"/>
  <c r="AY4222" i="10"/>
  <c r="AY4234" i="10"/>
  <c r="AY4246" i="10"/>
  <c r="AY4258" i="10"/>
  <c r="AY4270" i="10"/>
  <c r="AY4282" i="10"/>
  <c r="AY4294" i="10"/>
  <c r="AY4306" i="10"/>
  <c r="AY4318" i="10"/>
  <c r="AY4330" i="10"/>
  <c r="AY4342" i="10"/>
  <c r="AY4354" i="10"/>
  <c r="AY4366" i="10"/>
  <c r="AY4378" i="10"/>
  <c r="AY4390" i="10"/>
  <c r="AY4402" i="10"/>
  <c r="AY4414" i="10"/>
  <c r="AY4426" i="10"/>
  <c r="AY4438" i="10"/>
  <c r="AY4450" i="10"/>
  <c r="AY4462" i="10"/>
  <c r="AY4474" i="10"/>
  <c r="AY4486" i="10"/>
  <c r="AY4498" i="10"/>
  <c r="AY4510" i="10"/>
  <c r="AY4522" i="10"/>
  <c r="AY4534" i="10"/>
  <c r="AY4546" i="10"/>
  <c r="AY4558" i="10"/>
  <c r="AY4570" i="10"/>
  <c r="AY4582" i="10"/>
  <c r="AY4594" i="10"/>
  <c r="AY4606" i="10"/>
  <c r="AY4618" i="10"/>
  <c r="AY4630" i="10"/>
  <c r="AY4642" i="10"/>
  <c r="AY4654" i="10"/>
  <c r="AY4666" i="10"/>
  <c r="AY4678" i="10"/>
  <c r="AY4690" i="10"/>
  <c r="AY4702" i="10"/>
  <c r="AY4714" i="10"/>
  <c r="AY4726" i="10"/>
  <c r="AY4738" i="10"/>
  <c r="AY4750" i="10"/>
  <c r="AY4762" i="10"/>
  <c r="AY4774" i="10"/>
  <c r="AY4786" i="10"/>
  <c r="AY4798" i="10"/>
  <c r="AY4810" i="10"/>
  <c r="AY4822" i="10"/>
  <c r="AY4834" i="10"/>
  <c r="AY4846" i="10"/>
  <c r="AY4858" i="10"/>
  <c r="AY4870" i="10"/>
  <c r="AY4882" i="10"/>
  <c r="AY4894" i="10"/>
  <c r="AY4906" i="10"/>
  <c r="AY4918" i="10"/>
  <c r="AY4930" i="10"/>
  <c r="AY4942" i="10"/>
  <c r="AY4954" i="10"/>
  <c r="AY4966" i="10"/>
  <c r="AY4978" i="10"/>
  <c r="AY4990" i="10"/>
  <c r="AY5002" i="10"/>
  <c r="AY5014" i="10"/>
  <c r="AY5026" i="10"/>
  <c r="AY5038" i="10"/>
  <c r="AY5050" i="10"/>
  <c r="AY5062" i="10"/>
  <c r="AY5074" i="10"/>
  <c r="AY5086" i="10"/>
  <c r="AY5098" i="10"/>
  <c r="AY5110" i="10"/>
  <c r="AY5122" i="10"/>
  <c r="AY5134" i="10"/>
  <c r="AY5146" i="10"/>
  <c r="AY5158" i="10"/>
  <c r="AY5170" i="10"/>
  <c r="AY5182" i="10"/>
  <c r="AY5194" i="10"/>
  <c r="AY5206" i="10"/>
  <c r="AY5218" i="10"/>
  <c r="AY5" i="10"/>
  <c r="AY33" i="10"/>
  <c r="AY62" i="10"/>
  <c r="AY91" i="10"/>
  <c r="AY119" i="10"/>
  <c r="AY149" i="10"/>
  <c r="AY175" i="10"/>
  <c r="AY200" i="10"/>
  <c r="AY224" i="10"/>
  <c r="AY248" i="10"/>
  <c r="AY272" i="10"/>
  <c r="AY296" i="10"/>
  <c r="AY320" i="10"/>
  <c r="AY344" i="10"/>
  <c r="AY368" i="10"/>
  <c r="AY392" i="10"/>
  <c r="AY416" i="10"/>
  <c r="AY440" i="10"/>
  <c r="AY464" i="10"/>
  <c r="AY488" i="10"/>
  <c r="AY512" i="10"/>
  <c r="AY536" i="10"/>
  <c r="AY560" i="10"/>
  <c r="AY584" i="10"/>
  <c r="AY608" i="10"/>
  <c r="AY632" i="10"/>
  <c r="AY656" i="10"/>
  <c r="AY680" i="10"/>
  <c r="AY704" i="10"/>
  <c r="AY727" i="10"/>
  <c r="AY749" i="10"/>
  <c r="AY771" i="10"/>
  <c r="AY788" i="10"/>
  <c r="AY810" i="10"/>
  <c r="AY831" i="10"/>
  <c r="AY847" i="10"/>
  <c r="AY867" i="10"/>
  <c r="AY883" i="10"/>
  <c r="AY903" i="10"/>
  <c r="AY919" i="10"/>
  <c r="AY939" i="10"/>
  <c r="AY955" i="10"/>
  <c r="AY975" i="10"/>
  <c r="AY991" i="10"/>
  <c r="AY1011" i="10"/>
  <c r="AY1027" i="10"/>
  <c r="AY1047" i="10"/>
  <c r="AY1063" i="10"/>
  <c r="AY1083" i="10"/>
  <c r="AY1099" i="10"/>
  <c r="AY1119" i="10"/>
  <c r="AY1135" i="10"/>
  <c r="AY1155" i="10"/>
  <c r="AY1171" i="10"/>
  <c r="AY1191" i="10"/>
  <c r="AY1207" i="10"/>
  <c r="AY1227" i="10"/>
  <c r="AY1243" i="10"/>
  <c r="AY1263" i="10"/>
  <c r="AY1279" i="10"/>
  <c r="AY1299" i="10"/>
  <c r="AY1315" i="10"/>
  <c r="AY1335" i="10"/>
  <c r="AY1351" i="10"/>
  <c r="AY1371" i="10"/>
  <c r="AY1387" i="10"/>
  <c r="AY1407" i="10"/>
  <c r="AY1423" i="10"/>
  <c r="AY1443" i="10"/>
  <c r="AY1459" i="10"/>
  <c r="AY1479" i="10"/>
  <c r="AY1495" i="10"/>
  <c r="AY1515" i="10"/>
  <c r="AY1531" i="10"/>
  <c r="AY1551" i="10"/>
  <c r="AY1567" i="10"/>
  <c r="AY1587" i="10"/>
  <c r="AY1603" i="10"/>
  <c r="AY1623" i="10"/>
  <c r="AY1639" i="10"/>
  <c r="AY1659" i="10"/>
  <c r="AY1675" i="10"/>
  <c r="AY1695" i="10"/>
  <c r="AY1711" i="10"/>
  <c r="AY1731" i="10"/>
  <c r="AY1745" i="10"/>
  <c r="AY1759" i="10"/>
  <c r="AY1773" i="10"/>
  <c r="AY1787" i="10"/>
  <c r="AY1803" i="10"/>
  <c r="AY1817" i="10"/>
  <c r="AY1831" i="10"/>
  <c r="AY1845" i="10"/>
  <c r="AY1859" i="10"/>
  <c r="AY1875" i="10"/>
  <c r="AY1889" i="10"/>
  <c r="AY1903" i="10"/>
  <c r="AY1917" i="10"/>
  <c r="AY1931" i="10"/>
  <c r="AY1947" i="10"/>
  <c r="AY1961" i="10"/>
  <c r="AY1975" i="10"/>
  <c r="AY1989" i="10"/>
  <c r="AY2003" i="10"/>
  <c r="AY2019" i="10"/>
  <c r="AY2033" i="10"/>
  <c r="AY2047" i="10"/>
  <c r="AY2061" i="10"/>
  <c r="AY2075" i="10"/>
  <c r="AY2091" i="10"/>
  <c r="AY2105" i="10"/>
  <c r="AY2119" i="10"/>
  <c r="AY2133" i="10"/>
  <c r="AY2147" i="10"/>
  <c r="AY2163" i="10"/>
  <c r="AY2177" i="10"/>
  <c r="AY2191" i="10"/>
  <c r="AY2205" i="10"/>
  <c r="AY2219" i="10"/>
  <c r="AY2235" i="10"/>
  <c r="AY2249" i="10"/>
  <c r="AY2263" i="10"/>
  <c r="AY2277" i="10"/>
  <c r="AY2291" i="10"/>
  <c r="AY2307" i="10"/>
  <c r="AY2321" i="10"/>
  <c r="AY2335" i="10"/>
  <c r="AY2349" i="10"/>
  <c r="AY2363" i="10"/>
  <c r="AY2379" i="10"/>
  <c r="AY2393" i="10"/>
  <c r="AY2407" i="10"/>
  <c r="AY2421" i="10"/>
  <c r="AY2435" i="10"/>
  <c r="AY2451" i="10"/>
  <c r="AY2465" i="10"/>
  <c r="AY2479" i="10"/>
  <c r="AY2493" i="10"/>
  <c r="AY2507" i="10"/>
  <c r="AY2523" i="10"/>
  <c r="AY2537" i="10"/>
  <c r="AY2551" i="10"/>
  <c r="AY2565" i="10"/>
  <c r="AY2579" i="10"/>
  <c r="AY2595" i="10"/>
  <c r="AY2609" i="10"/>
  <c r="AY2623" i="10"/>
  <c r="AY2637" i="10"/>
  <c r="AY2651" i="10"/>
  <c r="AY2667" i="10"/>
  <c r="AY2681" i="10"/>
  <c r="AY2695" i="10"/>
  <c r="AY2709" i="10"/>
  <c r="AY2723" i="10"/>
  <c r="AY2739" i="10"/>
  <c r="AY2753" i="10"/>
  <c r="AY2767" i="10"/>
  <c r="AY2781" i="10"/>
  <c r="AY2795" i="10"/>
  <c r="AY2811" i="10"/>
  <c r="AY2825" i="10"/>
  <c r="AY2839" i="10"/>
  <c r="AY2853" i="10"/>
  <c r="AY2867" i="10"/>
  <c r="AY2883" i="10"/>
  <c r="AY2897" i="10"/>
  <c r="AY2911" i="10"/>
  <c r="AY2925" i="10"/>
  <c r="AY2939" i="10"/>
  <c r="AY2955" i="10"/>
  <c r="AY2969" i="10"/>
  <c r="AY2983" i="10"/>
  <c r="AY2997" i="10"/>
  <c r="AY3011" i="10"/>
  <c r="AY3027" i="10"/>
  <c r="AY3041" i="10"/>
  <c r="AY3055" i="10"/>
  <c r="AY3069" i="10"/>
  <c r="AY3083" i="10"/>
  <c r="AY3099" i="10"/>
  <c r="AY3113" i="10"/>
  <c r="AY3127" i="10"/>
  <c r="AY3141" i="10"/>
  <c r="AY3155" i="10"/>
  <c r="AY3171" i="10"/>
  <c r="AY3185" i="10"/>
  <c r="AY3199" i="10"/>
  <c r="AY3213" i="10"/>
  <c r="AY3227" i="10"/>
  <c r="AY3243" i="10"/>
  <c r="AY3257" i="10"/>
  <c r="AY3271" i="10"/>
  <c r="AY3285" i="10"/>
  <c r="AY3299" i="10"/>
  <c r="AY3315" i="10"/>
  <c r="AY3329" i="10"/>
  <c r="AY3343" i="10"/>
  <c r="AY3357" i="10"/>
  <c r="AY3371" i="10"/>
  <c r="AY3384" i="10"/>
  <c r="AY3398" i="10"/>
  <c r="AY3411" i="10"/>
  <c r="AY3424" i="10"/>
  <c r="AY3437" i="10"/>
  <c r="AY3450" i="10"/>
  <c r="AY3463" i="10"/>
  <c r="AY3476" i="10"/>
  <c r="AY3489" i="10"/>
  <c r="AY3502" i="10"/>
  <c r="AY3515" i="10"/>
  <c r="AY3528" i="10"/>
  <c r="AY3542" i="10"/>
  <c r="AY3555" i="10"/>
  <c r="AY3568" i="10"/>
  <c r="AY3581" i="10"/>
  <c r="AY3594" i="10"/>
  <c r="AY3607" i="10"/>
  <c r="AY3620" i="10"/>
  <c r="AY3633" i="10"/>
  <c r="AY3646" i="10"/>
  <c r="AY3659" i="10"/>
  <c r="AY3671" i="10"/>
  <c r="AY3683" i="10"/>
  <c r="AY3695" i="10"/>
  <c r="AY3707" i="10"/>
  <c r="AY3719" i="10"/>
  <c r="AY3731" i="10"/>
  <c r="AY3743" i="10"/>
  <c r="AY3755" i="10"/>
  <c r="AY3767" i="10"/>
  <c r="AY3779" i="10"/>
  <c r="AY3791" i="10"/>
  <c r="AY3803" i="10"/>
  <c r="AY3815" i="10"/>
  <c r="AY3827" i="10"/>
  <c r="AY3839" i="10"/>
  <c r="AY3851" i="10"/>
  <c r="AY3863" i="10"/>
  <c r="AY3875" i="10"/>
  <c r="AY3887" i="10"/>
  <c r="AY3899" i="10"/>
  <c r="AY3911" i="10"/>
  <c r="AY3923" i="10"/>
  <c r="AY3935" i="10"/>
  <c r="AY3947" i="10"/>
  <c r="AY3959" i="10"/>
  <c r="AY3971" i="10"/>
  <c r="AY3983" i="10"/>
  <c r="AY3995" i="10"/>
  <c r="AY4007" i="10"/>
  <c r="AY4019" i="10"/>
  <c r="AY4031" i="10"/>
  <c r="AY4043" i="10"/>
  <c r="AY4055" i="10"/>
  <c r="AY4067" i="10"/>
  <c r="AY4079" i="10"/>
  <c r="AY4091" i="10"/>
  <c r="AY4103" i="10"/>
  <c r="AY4115" i="10"/>
  <c r="AY4127" i="10"/>
  <c r="AY4139" i="10"/>
  <c r="AY4151" i="10"/>
  <c r="AY4163" i="10"/>
  <c r="AY4175" i="10"/>
  <c r="AY4187" i="10"/>
  <c r="AY4199" i="10"/>
  <c r="AY4211" i="10"/>
  <c r="AY4223" i="10"/>
  <c r="AY4235" i="10"/>
  <c r="AY4247" i="10"/>
  <c r="AY4259" i="10"/>
  <c r="AY4271" i="10"/>
  <c r="AY4283" i="10"/>
  <c r="AY4295" i="10"/>
  <c r="AY4307" i="10"/>
  <c r="AY4319" i="10"/>
  <c r="AY4331" i="10"/>
  <c r="AY4343" i="10"/>
  <c r="AY4355" i="10"/>
  <c r="AY4367" i="10"/>
  <c r="AY4379" i="10"/>
  <c r="AY4391" i="10"/>
  <c r="AY4403" i="10"/>
  <c r="AY4415" i="10"/>
  <c r="AY4427" i="10"/>
  <c r="AY4439" i="10"/>
  <c r="AY4451" i="10"/>
  <c r="AY4463" i="10"/>
  <c r="AY4475" i="10"/>
  <c r="AY4487" i="10"/>
  <c r="AY4499" i="10"/>
  <c r="AY4511" i="10"/>
  <c r="AY4523" i="10"/>
  <c r="AY4535" i="10"/>
  <c r="AY4547" i="10"/>
  <c r="AY4559" i="10"/>
  <c r="AY4571" i="10"/>
  <c r="AY4583" i="10"/>
  <c r="AY4595" i="10"/>
  <c r="AY4607" i="10"/>
  <c r="AY4619" i="10"/>
  <c r="AY4631" i="10"/>
  <c r="AY4643" i="10"/>
  <c r="AY4655" i="10"/>
  <c r="AY4667" i="10"/>
  <c r="AY4679" i="10"/>
  <c r="AY4691" i="10"/>
  <c r="AY4703" i="10"/>
  <c r="AY4715" i="10"/>
  <c r="AY4727" i="10"/>
  <c r="AY4739" i="10"/>
  <c r="AY4751" i="10"/>
  <c r="AY4763" i="10"/>
  <c r="AY4775" i="10"/>
  <c r="AY4787" i="10"/>
  <c r="AY4799" i="10"/>
  <c r="AY4811" i="10"/>
  <c r="AY4823" i="10"/>
  <c r="AY4835" i="10"/>
  <c r="AY4847" i="10"/>
  <c r="AY4859" i="10"/>
  <c r="AY4871" i="10"/>
  <c r="AY4883" i="10"/>
  <c r="AY4895" i="10"/>
  <c r="AY4907" i="10"/>
  <c r="AY4919" i="10"/>
  <c r="AY4931" i="10"/>
  <c r="AY4943" i="10"/>
  <c r="AY4955" i="10"/>
  <c r="AY4967" i="10"/>
  <c r="AY4979" i="10"/>
  <c r="AY4991" i="10"/>
  <c r="AY5003" i="10"/>
  <c r="AY5015" i="10"/>
  <c r="AY5027" i="10"/>
  <c r="AY5039" i="10"/>
  <c r="AY5051" i="10"/>
  <c r="AY5063" i="10"/>
  <c r="AY5075" i="10"/>
  <c r="AY5087" i="10"/>
  <c r="AY5099" i="10"/>
  <c r="AY5111" i="10"/>
  <c r="AY5123" i="10"/>
  <c r="AY5135" i="10"/>
  <c r="AY5147" i="10"/>
  <c r="AY5159" i="10"/>
  <c r="AY5171" i="10"/>
  <c r="AY5183" i="10"/>
  <c r="AY5195" i="10"/>
  <c r="AY5207" i="10"/>
  <c r="AY5219" i="10"/>
  <c r="AY42" i="10"/>
  <c r="AY100" i="10"/>
  <c r="AY156" i="10"/>
  <c r="AY207" i="10"/>
  <c r="AY255" i="10"/>
  <c r="AY303" i="10"/>
  <c r="AY351" i="10"/>
  <c r="AY399" i="10"/>
  <c r="AY447" i="10"/>
  <c r="AY495" i="10"/>
  <c r="AY543" i="10"/>
  <c r="AY591" i="10"/>
  <c r="AY639" i="10"/>
  <c r="AY687" i="10"/>
  <c r="AY728" i="10"/>
  <c r="AY772" i="10"/>
  <c r="AY811" i="10"/>
  <c r="AY848" i="10"/>
  <c r="AY884" i="10"/>
  <c r="AY920" i="10"/>
  <c r="AY956" i="10"/>
  <c r="AY992" i="10"/>
  <c r="AY1028" i="10"/>
  <c r="AY1064" i="10"/>
  <c r="AY1100" i="10"/>
  <c r="AY1136" i="10"/>
  <c r="AY1172" i="10"/>
  <c r="AY1208" i="10"/>
  <c r="AY1244" i="10"/>
  <c r="AY1280" i="10"/>
  <c r="AY1316" i="10"/>
  <c r="AY1352" i="10"/>
  <c r="AY1388" i="10"/>
  <c r="AY1424" i="10"/>
  <c r="AY1460" i="10"/>
  <c r="AY1496" i="10"/>
  <c r="AY1532" i="10"/>
  <c r="AY1568" i="10"/>
  <c r="AY1604" i="10"/>
  <c r="AY1640" i="10"/>
  <c r="AY1676" i="10"/>
  <c r="AY1712" i="10"/>
  <c r="AY1746" i="10"/>
  <c r="AY1774" i="10"/>
  <c r="AY1804" i="10"/>
  <c r="AY1832" i="10"/>
  <c r="AY1862" i="10"/>
  <c r="AY1890" i="10"/>
  <c r="AY1918" i="10"/>
  <c r="AY1948" i="10"/>
  <c r="AY1976" i="10"/>
  <c r="AY2006" i="10"/>
  <c r="AY2034" i="10"/>
  <c r="AY2062" i="10"/>
  <c r="AY2092" i="10"/>
  <c r="AY2120" i="10"/>
  <c r="AY2150" i="10"/>
  <c r="AY2178" i="10"/>
  <c r="AY2206" i="10"/>
  <c r="AY2236" i="10"/>
  <c r="AY2264" i="10"/>
  <c r="AY2294" i="10"/>
  <c r="AY2322" i="10"/>
  <c r="AY2350" i="10"/>
  <c r="AY2380" i="10"/>
  <c r="AY2408" i="10"/>
  <c r="AY2438" i="10"/>
  <c r="AY2466" i="10"/>
  <c r="AY2494" i="10"/>
  <c r="AY2524" i="10"/>
  <c r="AY2552" i="10"/>
  <c r="AY2582" i="10"/>
  <c r="AY2610" i="10"/>
  <c r="AY2638" i="10"/>
  <c r="AY2668" i="10"/>
  <c r="AY2696" i="10"/>
  <c r="AY2726" i="10"/>
  <c r="AY2754" i="10"/>
  <c r="AY2782" i="10"/>
  <c r="AY2812" i="10"/>
  <c r="AY2840" i="10"/>
  <c r="AY2870" i="10"/>
  <c r="AY2898" i="10"/>
  <c r="AY2926" i="10"/>
  <c r="AY2956" i="10"/>
  <c r="AY2984" i="10"/>
  <c r="AY3014" i="10"/>
  <c r="AY3042" i="10"/>
  <c r="AY3070" i="10"/>
  <c r="AY3100" i="10"/>
  <c r="AY3128" i="10"/>
  <c r="AY3158" i="10"/>
  <c r="AY3186" i="10"/>
  <c r="AY3214" i="10"/>
  <c r="AY3244" i="10"/>
  <c r="AY3272" i="10"/>
  <c r="AY3302" i="10"/>
  <c r="AY3330" i="10"/>
  <c r="AY3358" i="10"/>
  <c r="AY3386" i="10"/>
  <c r="AY3412" i="10"/>
  <c r="AY3438" i="10"/>
  <c r="AY3464" i="10"/>
  <c r="AY3490" i="10"/>
  <c r="AY3516" i="10"/>
  <c r="AY3543" i="10"/>
  <c r="AY3569" i="10"/>
  <c r="AY3595" i="10"/>
  <c r="AY3621" i="10"/>
  <c r="AY3647" i="10"/>
  <c r="AY3672" i="10"/>
  <c r="AY3696" i="10"/>
  <c r="AY3720" i="10"/>
  <c r="AY3744" i="10"/>
  <c r="AY3768" i="10"/>
  <c r="AY3792" i="10"/>
  <c r="AY3816" i="10"/>
  <c r="AY3840" i="10"/>
  <c r="AY3860" i="10"/>
  <c r="AY3880" i="10"/>
  <c r="AY3902" i="10"/>
  <c r="AY3920" i="10"/>
  <c r="AY3938" i="10"/>
  <c r="AY3953" i="10"/>
  <c r="AY3968" i="10"/>
  <c r="AY3986" i="10"/>
  <c r="AY4000" i="10"/>
  <c r="AY4014" i="10"/>
  <c r="AY4028" i="10"/>
  <c r="AY4044" i="10"/>
  <c r="AY4058" i="10"/>
  <c r="AY4072" i="10"/>
  <c r="AY4086" i="10"/>
  <c r="AY4100" i="10"/>
  <c r="AY4116" i="10"/>
  <c r="AY4130" i="10"/>
  <c r="AY4144" i="10"/>
  <c r="AY4158" i="10"/>
  <c r="AY4172" i="10"/>
  <c r="AY4188" i="10"/>
  <c r="AY4202" i="10"/>
  <c r="AY4216" i="10"/>
  <c r="AY4230" i="10"/>
  <c r="AY4244" i="10"/>
  <c r="AY4260" i="10"/>
  <c r="AY4274" i="10"/>
  <c r="AY4288" i="10"/>
  <c r="AY4302" i="10"/>
  <c r="AY4316" i="10"/>
  <c r="AY4332" i="10"/>
  <c r="AY4346" i="10"/>
  <c r="AY4360" i="10"/>
  <c r="AY4374" i="10"/>
  <c r="AY4388" i="10"/>
  <c r="AY4404" i="10"/>
  <c r="AY4418" i="10"/>
  <c r="AY4432" i="10"/>
  <c r="AY4446" i="10"/>
  <c r="AY4460" i="10"/>
  <c r="AY4476" i="10"/>
  <c r="AY4490" i="10"/>
  <c r="AY4504" i="10"/>
  <c r="AY4518" i="10"/>
  <c r="AY4532" i="10"/>
  <c r="AY4548" i="10"/>
  <c r="AY4562" i="10"/>
  <c r="AY4576" i="10"/>
  <c r="AY4590" i="10"/>
  <c r="AY4604" i="10"/>
  <c r="AY4620" i="10"/>
  <c r="AY4634" i="10"/>
  <c r="AY4648" i="10"/>
  <c r="AY4662" i="10"/>
  <c r="AY4676" i="10"/>
  <c r="AY4692" i="10"/>
  <c r="AY4706" i="10"/>
  <c r="AY4720" i="10"/>
  <c r="AY4734" i="10"/>
  <c r="AY4748" i="10"/>
  <c r="AY4764" i="10"/>
  <c r="AY4778" i="10"/>
  <c r="AY4792" i="10"/>
  <c r="AY4806" i="10"/>
  <c r="AY4820" i="10"/>
  <c r="AY4836" i="10"/>
  <c r="AY4850" i="10"/>
  <c r="AY4864" i="10"/>
  <c r="AY4878" i="10"/>
  <c r="AY4892" i="10"/>
  <c r="AY4908" i="10"/>
  <c r="AY4922" i="10"/>
  <c r="AY4936" i="10"/>
  <c r="AY4950" i="10"/>
  <c r="AY4964" i="10"/>
  <c r="AY4980" i="10"/>
  <c r="AY4994" i="10"/>
  <c r="AY5008" i="10"/>
  <c r="AY5022" i="10"/>
  <c r="AY5036" i="10"/>
  <c r="AY5052" i="10"/>
  <c r="AY5066" i="10"/>
  <c r="AY5080" i="10"/>
  <c r="AY5094" i="10"/>
  <c r="AY5108" i="10"/>
  <c r="AY5124" i="10"/>
  <c r="AY5138" i="10"/>
  <c r="AY5152" i="10"/>
  <c r="AY5166" i="10"/>
  <c r="AY5180" i="10"/>
  <c r="AY5196" i="10"/>
  <c r="AY5210" i="10"/>
  <c r="AY43" i="10"/>
  <c r="AY101" i="10"/>
  <c r="AY157" i="10"/>
  <c r="AY208" i="10"/>
  <c r="AY256" i="10"/>
  <c r="AY304" i="10"/>
  <c r="AY352" i="10"/>
  <c r="AY400" i="10"/>
  <c r="AY448" i="10"/>
  <c r="AY496" i="10"/>
  <c r="AY544" i="10"/>
  <c r="AY592" i="10"/>
  <c r="AY640" i="10"/>
  <c r="AY688" i="10"/>
  <c r="AY730" i="10"/>
  <c r="AY773" i="10"/>
  <c r="AY812" i="10"/>
  <c r="AY850" i="10"/>
  <c r="AY886" i="10"/>
  <c r="AY922" i="10"/>
  <c r="AY958" i="10"/>
  <c r="AY994" i="10"/>
  <c r="AY1030" i="10"/>
  <c r="AY1066" i="10"/>
  <c r="AY1102" i="10"/>
  <c r="AY1138" i="10"/>
  <c r="AY1174" i="10"/>
  <c r="AY1210" i="10"/>
  <c r="AY1246" i="10"/>
  <c r="AY1282" i="10"/>
  <c r="AY1318" i="10"/>
  <c r="AY1354" i="10"/>
  <c r="AY1390" i="10"/>
  <c r="AY1426" i="10"/>
  <c r="AY1462" i="10"/>
  <c r="AY1498" i="10"/>
  <c r="AY1534" i="10"/>
  <c r="AY1570" i="10"/>
  <c r="AY1606" i="10"/>
  <c r="AY1642" i="10"/>
  <c r="AY1678" i="10"/>
  <c r="AY1714" i="10"/>
  <c r="AY1747" i="10"/>
  <c r="AY1775" i="10"/>
  <c r="AY1805" i="10"/>
  <c r="AY1833" i="10"/>
  <c r="AY1863" i="10"/>
  <c r="AY1891" i="10"/>
  <c r="AY1919" i="10"/>
  <c r="AY1949" i="10"/>
  <c r="AY1977" i="10"/>
  <c r="AY2007" i="10"/>
  <c r="AY2035" i="10"/>
  <c r="AY2063" i="10"/>
  <c r="AY2093" i="10"/>
  <c r="AY2121" i="10"/>
  <c r="AY2151" i="10"/>
  <c r="AY2179" i="10"/>
  <c r="AY2207" i="10"/>
  <c r="AY2237" i="10"/>
  <c r="AY2265" i="10"/>
  <c r="AY2295" i="10"/>
  <c r="AY2323" i="10"/>
  <c r="AY2351" i="10"/>
  <c r="AY2381" i="10"/>
  <c r="AY2409" i="10"/>
  <c r="AY2439" i="10"/>
  <c r="AY2467" i="10"/>
  <c r="AY2495" i="10"/>
  <c r="AY2525" i="10"/>
  <c r="AY2553" i="10"/>
  <c r="AY2583" i="10"/>
  <c r="AY2611" i="10"/>
  <c r="AY2639" i="10"/>
  <c r="AY2669" i="10"/>
  <c r="AY2697" i="10"/>
  <c r="AY2727" i="10"/>
  <c r="AY2755" i="10"/>
  <c r="AY2783" i="10"/>
  <c r="AY2813" i="10"/>
  <c r="AY2841" i="10"/>
  <c r="AY2871" i="10"/>
  <c r="AY2899" i="10"/>
  <c r="AY2927" i="10"/>
  <c r="AY2957" i="10"/>
  <c r="AY2985" i="10"/>
  <c r="AY3015" i="10"/>
  <c r="AY3043" i="10"/>
  <c r="AY3071" i="10"/>
  <c r="AY3101" i="10"/>
  <c r="AY3129" i="10"/>
  <c r="AY3159" i="10"/>
  <c r="AY3187" i="10"/>
  <c r="AY3215" i="10"/>
  <c r="AY3245" i="10"/>
  <c r="AY3273" i="10"/>
  <c r="AY3303" i="10"/>
  <c r="AY3331" i="10"/>
  <c r="AY3359" i="10"/>
  <c r="AY3387" i="10"/>
  <c r="AY3413" i="10"/>
  <c r="AY3439" i="10"/>
  <c r="AY3465" i="10"/>
  <c r="AY3491" i="10"/>
  <c r="AY3518" i="10"/>
  <c r="AY3544" i="10"/>
  <c r="AY3570" i="10"/>
  <c r="AY3596" i="10"/>
  <c r="AY3622" i="10"/>
  <c r="AY3648" i="10"/>
  <c r="AY3673" i="10"/>
  <c r="AY3697" i="10"/>
  <c r="AY3721" i="10"/>
  <c r="AY3745" i="10"/>
  <c r="AY3769" i="10"/>
  <c r="AY3793" i="10"/>
  <c r="AY3817" i="10"/>
  <c r="AY3841" i="10"/>
  <c r="AY3864" i="10"/>
  <c r="AY3881" i="10"/>
  <c r="AY3903" i="10"/>
  <c r="AY3924" i="10"/>
  <c r="AY3939" i="10"/>
  <c r="AY3954" i="10"/>
  <c r="AY3972" i="10"/>
  <c r="AY3987" i="10"/>
  <c r="AY4001" i="10"/>
  <c r="AY4015" i="10"/>
  <c r="AY4029" i="10"/>
  <c r="AY4045" i="10"/>
  <c r="AY4059" i="10"/>
  <c r="AY4073" i="10"/>
  <c r="AY4087" i="10"/>
  <c r="AY4101" i="10"/>
  <c r="AY4117" i="10"/>
  <c r="AY4131" i="10"/>
  <c r="AY4145" i="10"/>
  <c r="AY44" i="10"/>
  <c r="AY102" i="10"/>
  <c r="AY158" i="10"/>
  <c r="AY209" i="10"/>
  <c r="AY257" i="10"/>
  <c r="AY305" i="10"/>
  <c r="AY353" i="10"/>
  <c r="AY401" i="10"/>
  <c r="AY449" i="10"/>
  <c r="AY497" i="10"/>
  <c r="AY545" i="10"/>
  <c r="AY593" i="10"/>
  <c r="AY641" i="10"/>
  <c r="AY689" i="10"/>
  <c r="AY735" i="10"/>
  <c r="AY774" i="10"/>
  <c r="AY814" i="10"/>
  <c r="AY851" i="10"/>
  <c r="AY887" i="10"/>
  <c r="AY923" i="10"/>
  <c r="AY959" i="10"/>
  <c r="AY995" i="10"/>
  <c r="AY1031" i="10"/>
  <c r="AY1067" i="10"/>
  <c r="AY1103" i="10"/>
  <c r="AY1139" i="10"/>
  <c r="AY1175" i="10"/>
  <c r="AY1211" i="10"/>
  <c r="AY1247" i="10"/>
  <c r="AY1283" i="10"/>
  <c r="AY1319" i="10"/>
  <c r="AY1355" i="10"/>
  <c r="AY1391" i="10"/>
  <c r="AY1427" i="10"/>
  <c r="AY1463" i="10"/>
  <c r="AY1499" i="10"/>
  <c r="AY1535" i="10"/>
  <c r="AY1571" i="10"/>
  <c r="AY1607" i="10"/>
  <c r="AY1643" i="10"/>
  <c r="AY1679" i="10"/>
  <c r="AY1715" i="10"/>
  <c r="AY1748" i="10"/>
  <c r="AY1778" i="10"/>
  <c r="AY1806" i="10"/>
  <c r="AY1834" i="10"/>
  <c r="AY1864" i="10"/>
  <c r="AY1892" i="10"/>
  <c r="AY1922" i="10"/>
  <c r="AY1950" i="10"/>
  <c r="AY1978" i="10"/>
  <c r="AY2008" i="10"/>
  <c r="AY2036" i="10"/>
  <c r="AY2066" i="10"/>
  <c r="AY2094" i="10"/>
  <c r="AY2122" i="10"/>
  <c r="AY2152" i="10"/>
  <c r="AY2180" i="10"/>
  <c r="AY2210" i="10"/>
  <c r="AY2238" i="10"/>
  <c r="AY2266" i="10"/>
  <c r="AY2296" i="10"/>
  <c r="AY2324" i="10"/>
  <c r="AY2354" i="10"/>
  <c r="AY2382" i="10"/>
  <c r="AY2410" i="10"/>
  <c r="AY2440" i="10"/>
  <c r="AY2468" i="10"/>
  <c r="AY2498" i="10"/>
  <c r="AY2526" i="10"/>
  <c r="AY2554" i="10"/>
  <c r="AY2584" i="10"/>
  <c r="AY2612" i="10"/>
  <c r="AY2642" i="10"/>
  <c r="AY2670" i="10"/>
  <c r="AY2698" i="10"/>
  <c r="AY2728" i="10"/>
  <c r="AY2756" i="10"/>
  <c r="AY2786" i="10"/>
  <c r="AY2814" i="10"/>
  <c r="AY2842" i="10"/>
  <c r="AY2872" i="10"/>
  <c r="AY2900" i="10"/>
  <c r="AY2930" i="10"/>
  <c r="AY2958" i="10"/>
  <c r="AY2986" i="10"/>
  <c r="AY3016" i="10"/>
  <c r="AY3044" i="10"/>
  <c r="AY3074" i="10"/>
  <c r="AY3102" i="10"/>
  <c r="AY3130" i="10"/>
  <c r="AY3160" i="10"/>
  <c r="AY3188" i="10"/>
  <c r="AY3218" i="10"/>
  <c r="AY3246" i="10"/>
  <c r="AY3274" i="10"/>
  <c r="AY3304" i="10"/>
  <c r="AY3332" i="10"/>
  <c r="AY3362" i="10"/>
  <c r="AY3388" i="10"/>
  <c r="AY3414" i="10"/>
  <c r="AY3440" i="10"/>
  <c r="AY3466" i="10"/>
  <c r="AY3492" i="10"/>
  <c r="AY3519" i="10"/>
  <c r="AY3545" i="10"/>
  <c r="AY3571" i="10"/>
  <c r="AY3597" i="10"/>
  <c r="AY3623" i="10"/>
  <c r="AY3650" i="10"/>
  <c r="AY3674" i="10"/>
  <c r="AY3698" i="10"/>
  <c r="AY3722" i="10"/>
  <c r="AY3746" i="10"/>
  <c r="AY3770" i="10"/>
  <c r="AY3794" i="10"/>
  <c r="AY3818" i="10"/>
  <c r="AY3842" i="10"/>
  <c r="AY3865" i="10"/>
  <c r="AY3884" i="10"/>
  <c r="AY3904" i="10"/>
  <c r="AY3925" i="10"/>
  <c r="AY3940" i="10"/>
  <c r="AY3955" i="10"/>
  <c r="AY3973" i="10"/>
  <c r="AY3988" i="10"/>
  <c r="AY4002" i="10"/>
  <c r="AY4016" i="10"/>
  <c r="AY4032" i="10"/>
  <c r="AY4046" i="10"/>
  <c r="AY4060" i="10"/>
  <c r="AY4074" i="10"/>
  <c r="AY4088" i="10"/>
  <c r="AY4104" i="10"/>
  <c r="AY4118" i="10"/>
  <c r="AY4132" i="10"/>
  <c r="AY4146" i="10"/>
  <c r="AY4160" i="10"/>
  <c r="AY4176" i="10"/>
  <c r="AY4190" i="10"/>
  <c r="AY4204" i="10"/>
  <c r="AY4218" i="10"/>
  <c r="AY4232" i="10"/>
  <c r="AY4248" i="10"/>
  <c r="AY4262" i="10"/>
  <c r="AY4276" i="10"/>
  <c r="AY4290" i="10"/>
  <c r="AY4304" i="10"/>
  <c r="AY4320" i="10"/>
  <c r="AY4334" i="10"/>
  <c r="AY4348" i="10"/>
  <c r="AY4362" i="10"/>
  <c r="AY4376" i="10"/>
  <c r="AY4392" i="10"/>
  <c r="AY4406" i="10"/>
  <c r="AY4420" i="10"/>
  <c r="AY4434" i="10"/>
  <c r="AY4448" i="10"/>
  <c r="AY4464" i="10"/>
  <c r="AY4478" i="10"/>
  <c r="AY4492" i="10"/>
  <c r="AY4506" i="10"/>
  <c r="AY4520" i="10"/>
  <c r="AY4536" i="10"/>
  <c r="AY4550" i="10"/>
  <c r="AY4564" i="10"/>
  <c r="AY4578" i="10"/>
  <c r="AY4592" i="10"/>
  <c r="AY4608" i="10"/>
  <c r="AY4622" i="10"/>
  <c r="AY4636" i="10"/>
  <c r="AY4650" i="10"/>
  <c r="AY4664" i="10"/>
  <c r="AY4680" i="10"/>
  <c r="AY4694" i="10"/>
  <c r="AY4708" i="10"/>
  <c r="AY4722" i="10"/>
  <c r="AY4736" i="10"/>
  <c r="AY4752" i="10"/>
  <c r="AY4766" i="10"/>
  <c r="AY4780" i="10"/>
  <c r="AY4794" i="10"/>
  <c r="AY4808" i="10"/>
  <c r="AY4824" i="10"/>
  <c r="AY4838" i="10"/>
  <c r="AY4852" i="10"/>
  <c r="AY4866" i="10"/>
  <c r="AY4880" i="10"/>
  <c r="AY4896" i="10"/>
  <c r="AY4910" i="10"/>
  <c r="AY4924" i="10"/>
  <c r="AY4938" i="10"/>
  <c r="AY4952" i="10"/>
  <c r="AY4968" i="10"/>
  <c r="AY4982" i="10"/>
  <c r="AY4996" i="10"/>
  <c r="AY5010" i="10"/>
  <c r="AY5024" i="10"/>
  <c r="AY5040" i="10"/>
  <c r="AY5054" i="10"/>
  <c r="AY5068" i="10"/>
  <c r="AY5082" i="10"/>
  <c r="AY5096" i="10"/>
  <c r="AY5112" i="10"/>
  <c r="AY5126" i="10"/>
  <c r="AY5140" i="10"/>
  <c r="AY5154" i="10"/>
  <c r="AY5168" i="10"/>
  <c r="AY5184" i="10"/>
  <c r="AY5198" i="10"/>
  <c r="AY5212" i="10"/>
  <c r="AY45" i="10"/>
  <c r="AY103" i="10"/>
  <c r="AY160" i="10"/>
  <c r="AY210" i="10"/>
  <c r="AY258" i="10"/>
  <c r="AY306" i="10"/>
  <c r="AY354" i="10"/>
  <c r="AY402" i="10"/>
  <c r="AY450" i="10"/>
  <c r="AY498" i="10"/>
  <c r="AY546" i="10"/>
  <c r="AY594" i="10"/>
  <c r="AY642" i="10"/>
  <c r="AY690" i="10"/>
  <c r="AY736" i="10"/>
  <c r="AY775" i="10"/>
  <c r="AY819" i="10"/>
  <c r="AY855" i="10"/>
  <c r="AY891" i="10"/>
  <c r="AY927" i="10"/>
  <c r="AY963" i="10"/>
  <c r="AY999" i="10"/>
  <c r="AY1035" i="10"/>
  <c r="AY1071" i="10"/>
  <c r="AY1107" i="10"/>
  <c r="AY1143" i="10"/>
  <c r="AY1179" i="10"/>
  <c r="AY1215" i="10"/>
  <c r="AY1251" i="10"/>
  <c r="AY1287" i="10"/>
  <c r="AY1323" i="10"/>
  <c r="AY1359" i="10"/>
  <c r="AY1395" i="10"/>
  <c r="AY1431" i="10"/>
  <c r="AY1467" i="10"/>
  <c r="AY1503" i="10"/>
  <c r="AY1539" i="10"/>
  <c r="AY1575" i="10"/>
  <c r="AY1611" i="10"/>
  <c r="AY1647" i="10"/>
  <c r="AY1683" i="10"/>
  <c r="AY1719" i="10"/>
  <c r="AY1749" i="10"/>
  <c r="AY1779" i="10"/>
  <c r="AY1807" i="10"/>
  <c r="AY1835" i="10"/>
  <c r="AY1865" i="10"/>
  <c r="AY1893" i="10"/>
  <c r="AY1923" i="10"/>
  <c r="AY1951" i="10"/>
  <c r="AY1979" i="10"/>
  <c r="AY2009" i="10"/>
  <c r="AY2037" i="10"/>
  <c r="AY2067" i="10"/>
  <c r="AY2095" i="10"/>
  <c r="AY2123" i="10"/>
  <c r="AY2153" i="10"/>
  <c r="AY2181" i="10"/>
  <c r="AY2211" i="10"/>
  <c r="AY2239" i="10"/>
  <c r="AY2267" i="10"/>
  <c r="AY2297" i="10"/>
  <c r="AY2325" i="10"/>
  <c r="AY2355" i="10"/>
  <c r="AY2383" i="10"/>
  <c r="AY2411" i="10"/>
  <c r="AY2441" i="10"/>
  <c r="AY2469" i="10"/>
  <c r="AY2499" i="10"/>
  <c r="AY2527" i="10"/>
  <c r="AY2555" i="10"/>
  <c r="AY2585" i="10"/>
  <c r="AY2613" i="10"/>
  <c r="AY2643" i="10"/>
  <c r="AY2671" i="10"/>
  <c r="AY2699" i="10"/>
  <c r="AY2729" i="10"/>
  <c r="AY2757" i="10"/>
  <c r="AY2787" i="10"/>
  <c r="AY2815" i="10"/>
  <c r="AY2843" i="10"/>
  <c r="AY2873" i="10"/>
  <c r="AY2901" i="10"/>
  <c r="AY2931" i="10"/>
  <c r="AY2959" i="10"/>
  <c r="AY2987" i="10"/>
  <c r="AY3017" i="10"/>
  <c r="AY3045" i="10"/>
  <c r="AY3075" i="10"/>
  <c r="AY3103" i="10"/>
  <c r="AY3131" i="10"/>
  <c r="AY3161" i="10"/>
  <c r="AY3189" i="10"/>
  <c r="AY3219" i="10"/>
  <c r="AY3247" i="10"/>
  <c r="AY3275" i="10"/>
  <c r="AY3305" i="10"/>
  <c r="AY3333" i="10"/>
  <c r="AY3363" i="10"/>
  <c r="AY3389" i="10"/>
  <c r="AY3415" i="10"/>
  <c r="AY3441" i="10"/>
  <c r="AY3467" i="10"/>
  <c r="AY3494" i="10"/>
  <c r="AY3520" i="10"/>
  <c r="AY3546" i="10"/>
  <c r="AY3572" i="10"/>
  <c r="AY3598" i="10"/>
  <c r="AY3624" i="10"/>
  <c r="AY3651" i="10"/>
  <c r="AY3675" i="10"/>
  <c r="AY3699" i="10"/>
  <c r="AY3723" i="10"/>
  <c r="AY3747" i="10"/>
  <c r="AY3771" i="10"/>
  <c r="AY3795" i="10"/>
  <c r="AY3819" i="10"/>
  <c r="AY3843" i="10"/>
  <c r="AY3866" i="10"/>
  <c r="AY3888" i="10"/>
  <c r="AY3905" i="10"/>
  <c r="AY3926" i="10"/>
  <c r="AY3941" i="10"/>
  <c r="AY3956" i="10"/>
  <c r="AY3974" i="10"/>
  <c r="AY3989" i="10"/>
  <c r="AY4003" i="10"/>
  <c r="AY4017" i="10"/>
  <c r="AY4033" i="10"/>
  <c r="AY4047" i="10"/>
  <c r="AY4061" i="10"/>
  <c r="AY4075" i="10"/>
  <c r="AY4089" i="10"/>
  <c r="AY4105" i="10"/>
  <c r="AY4119" i="10"/>
  <c r="AY4133" i="10"/>
  <c r="AY4147" i="10"/>
  <c r="AY4161" i="10"/>
  <c r="AY4177" i="10"/>
  <c r="AY4191" i="10"/>
  <c r="AY4205" i="10"/>
  <c r="AY4219" i="10"/>
  <c r="AY4233" i="10"/>
  <c r="AY4249" i="10"/>
  <c r="AY4263" i="10"/>
  <c r="AY4277" i="10"/>
  <c r="AY4291" i="10"/>
  <c r="AY4305" i="10"/>
  <c r="AY4321" i="10"/>
  <c r="AY4335" i="10"/>
  <c r="AY4349" i="10"/>
  <c r="AY4363" i="10"/>
  <c r="AY4377" i="10"/>
  <c r="AY4393" i="10"/>
  <c r="AY4407" i="10"/>
  <c r="AY4421" i="10"/>
  <c r="AY4435" i="10"/>
  <c r="AY4449" i="10"/>
  <c r="AY4465" i="10"/>
  <c r="AY4479" i="10"/>
  <c r="AY4493" i="10"/>
  <c r="AY4507" i="10"/>
  <c r="AY4521" i="10"/>
  <c r="AY4537" i="10"/>
  <c r="AY4551" i="10"/>
  <c r="AY4565" i="10"/>
  <c r="AY4579" i="10"/>
  <c r="AY4593" i="10"/>
  <c r="AY4609" i="10"/>
  <c r="AY4623" i="10"/>
  <c r="AY4637" i="10"/>
  <c r="AY4651" i="10"/>
  <c r="AY4665" i="10"/>
  <c r="AY4681" i="10"/>
  <c r="AY4695" i="10"/>
  <c r="AY4709" i="10"/>
  <c r="AY4723" i="10"/>
  <c r="AY4737" i="10"/>
  <c r="AY4753" i="10"/>
  <c r="AY4767" i="10"/>
  <c r="AY4781" i="10"/>
  <c r="AY4795" i="10"/>
  <c r="AY4809" i="10"/>
  <c r="AY4825" i="10"/>
  <c r="AY4839" i="10"/>
  <c r="AY4853" i="10"/>
  <c r="AY4867" i="10"/>
  <c r="AY4881" i="10"/>
  <c r="AY4897" i="10"/>
  <c r="AY4911" i="10"/>
  <c r="AY4925" i="10"/>
  <c r="AY4939" i="10"/>
  <c r="AY4953" i="10"/>
  <c r="AY4969" i="10"/>
  <c r="AY4983" i="10"/>
  <c r="AY4997" i="10"/>
  <c r="AY5011" i="10"/>
  <c r="AY5025" i="10"/>
  <c r="AY5041" i="10"/>
  <c r="AY5055" i="10"/>
  <c r="AY5069" i="10"/>
  <c r="AY5083" i="10"/>
  <c r="AY5097" i="10"/>
  <c r="AY5113" i="10"/>
  <c r="AY5127" i="10"/>
  <c r="AY5141" i="10"/>
  <c r="AY5155" i="10"/>
  <c r="AY5169" i="10"/>
  <c r="AY5185" i="10"/>
  <c r="AY5199" i="10"/>
  <c r="AY5213" i="10"/>
  <c r="AY46" i="10"/>
  <c r="AY104" i="10"/>
  <c r="AY161" i="10"/>
  <c r="AY211" i="10"/>
  <c r="AY259" i="10"/>
  <c r="AY307" i="10"/>
  <c r="AY355" i="10"/>
  <c r="AY403" i="10"/>
  <c r="AY451" i="10"/>
  <c r="AY499" i="10"/>
  <c r="AY547" i="10"/>
  <c r="AY595" i="10"/>
  <c r="AY643" i="10"/>
  <c r="AY691" i="10"/>
  <c r="AY737" i="10"/>
  <c r="AY776" i="10"/>
  <c r="AY820" i="10"/>
  <c r="AY856" i="10"/>
  <c r="AY892" i="10"/>
  <c r="AY928" i="10"/>
  <c r="AY964" i="10"/>
  <c r="AY1000" i="10"/>
  <c r="AY1036" i="10"/>
  <c r="AY1072" i="10"/>
  <c r="AY1108" i="10"/>
  <c r="AY1144" i="10"/>
  <c r="AY1180" i="10"/>
  <c r="AY1216" i="10"/>
  <c r="AY1252" i="10"/>
  <c r="AY1288" i="10"/>
  <c r="AY1324" i="10"/>
  <c r="AY1360" i="10"/>
  <c r="AY1396" i="10"/>
  <c r="AY1432" i="10"/>
  <c r="AY1468" i="10"/>
  <c r="AY1504" i="10"/>
  <c r="AY1540" i="10"/>
  <c r="AY1576" i="10"/>
  <c r="AY1612" i="10"/>
  <c r="AY1648" i="10"/>
  <c r="AY1684" i="10"/>
  <c r="AY1720" i="10"/>
  <c r="AY1750" i="10"/>
  <c r="AY1780" i="10"/>
  <c r="AY1808" i="10"/>
  <c r="AY1838" i="10"/>
  <c r="AY1866" i="10"/>
  <c r="AY1894" i="10"/>
  <c r="AY1924" i="10"/>
  <c r="AY1952" i="10"/>
  <c r="AY1982" i="10"/>
  <c r="AY2010" i="10"/>
  <c r="AY2038" i="10"/>
  <c r="AY2068" i="10"/>
  <c r="AY2096" i="10"/>
  <c r="AY2126" i="10"/>
  <c r="AY2154" i="10"/>
  <c r="AY2182" i="10"/>
  <c r="AY2212" i="10"/>
  <c r="AY2240" i="10"/>
  <c r="AY2270" i="10"/>
  <c r="AY2298" i="10"/>
  <c r="AY2326" i="10"/>
  <c r="AY2356" i="10"/>
  <c r="AY2384" i="10"/>
  <c r="AY2414" i="10"/>
  <c r="AY2442" i="10"/>
  <c r="AY2470" i="10"/>
  <c r="AY2500" i="10"/>
  <c r="AY2528" i="10"/>
  <c r="AY2558" i="10"/>
  <c r="AY2586" i="10"/>
  <c r="AY2614" i="10"/>
  <c r="AY2644" i="10"/>
  <c r="AY2672" i="10"/>
  <c r="AY2702" i="10"/>
  <c r="AY2730" i="10"/>
  <c r="AY2758" i="10"/>
  <c r="AY2788" i="10"/>
  <c r="AY2816" i="10"/>
  <c r="AY2846" i="10"/>
  <c r="AY2874" i="10"/>
  <c r="AY2902" i="10"/>
  <c r="AY2932" i="10"/>
  <c r="AY2960" i="10"/>
  <c r="AY2990" i="10"/>
  <c r="AY3018" i="10"/>
  <c r="AY3046" i="10"/>
  <c r="AY3076" i="10"/>
  <c r="AY3104" i="10"/>
  <c r="AY3134" i="10"/>
  <c r="AY3162" i="10"/>
  <c r="AY3190" i="10"/>
  <c r="AY3220" i="10"/>
  <c r="AY3248" i="10"/>
  <c r="AY3278" i="10"/>
  <c r="AY3306" i="10"/>
  <c r="AY3334" i="10"/>
  <c r="AY3364" i="10"/>
  <c r="AY3390" i="10"/>
  <c r="AY3416" i="10"/>
  <c r="AY3442" i="10"/>
  <c r="AY3468" i="10"/>
  <c r="AY3495" i="10"/>
  <c r="AY3521" i="10"/>
  <c r="AY3547" i="10"/>
  <c r="AY3573" i="10"/>
  <c r="AY3599" i="10"/>
  <c r="AY3626" i="10"/>
  <c r="AY3652" i="10"/>
  <c r="AY3676" i="10"/>
  <c r="AY3700" i="10"/>
  <c r="AY3724" i="10"/>
  <c r="AY3748" i="10"/>
  <c r="AY3772" i="10"/>
  <c r="AY3796" i="10"/>
  <c r="AY3820" i="10"/>
  <c r="AY3844" i="10"/>
  <c r="AY3867" i="10"/>
  <c r="AY3889" i="10"/>
  <c r="AY3908" i="10"/>
  <c r="AY3927" i="10"/>
  <c r="AY3942" i="10"/>
  <c r="AY3960" i="10"/>
  <c r="AY3975" i="10"/>
  <c r="AY3990" i="10"/>
  <c r="AY4004" i="10"/>
  <c r="AY4020" i="10"/>
  <c r="AY4034" i="10"/>
  <c r="AY4048" i="10"/>
  <c r="AY4062" i="10"/>
  <c r="AY4076" i="10"/>
  <c r="AY4092" i="10"/>
  <c r="AY4106" i="10"/>
  <c r="AY4120" i="10"/>
  <c r="AY4134" i="10"/>
  <c r="AY4148" i="10"/>
  <c r="AY4164" i="10"/>
  <c r="AY4178" i="10"/>
  <c r="AY4192" i="10"/>
  <c r="AY4206" i="10"/>
  <c r="AY4220" i="10"/>
  <c r="AY4236" i="10"/>
  <c r="AY4250" i="10"/>
  <c r="AY4264" i="10"/>
  <c r="AY4278" i="10"/>
  <c r="AY4292" i="10"/>
  <c r="AY4308" i="10"/>
  <c r="AY4322" i="10"/>
  <c r="AY4336" i="10"/>
  <c r="AY4350" i="10"/>
  <c r="AY4364" i="10"/>
  <c r="AY4380" i="10"/>
  <c r="AY4394" i="10"/>
  <c r="AY4408" i="10"/>
  <c r="AY4422" i="10"/>
  <c r="AY4436" i="10"/>
  <c r="AY4452" i="10"/>
  <c r="AY4466" i="10"/>
  <c r="AY4480" i="10"/>
  <c r="AY4494" i="10"/>
  <c r="AY4508" i="10"/>
  <c r="AY4524" i="10"/>
  <c r="AY4538" i="10"/>
  <c r="AY4552" i="10"/>
  <c r="AY4566" i="10"/>
  <c r="AY4580" i="10"/>
  <c r="AY4596" i="10"/>
  <c r="AY4610" i="10"/>
  <c r="AY4624" i="10"/>
  <c r="AY4638" i="10"/>
  <c r="AY4652" i="10"/>
  <c r="AY4668" i="10"/>
  <c r="AY4682" i="10"/>
  <c r="AY4696" i="10"/>
  <c r="AY4710" i="10"/>
  <c r="AY4724" i="10"/>
  <c r="AY4740" i="10"/>
  <c r="AY4754" i="10"/>
  <c r="AY4768" i="10"/>
  <c r="AY4782" i="10"/>
  <c r="AY4796" i="10"/>
  <c r="AY4812" i="10"/>
  <c r="AY4826" i="10"/>
  <c r="AY4840" i="10"/>
  <c r="AY4854" i="10"/>
  <c r="AY4868" i="10"/>
  <c r="AY4884" i="10"/>
  <c r="AY4898" i="10"/>
  <c r="AY4912" i="10"/>
  <c r="AY4926" i="10"/>
  <c r="AY4940" i="10"/>
  <c r="AY4956" i="10"/>
  <c r="AY4970" i="10"/>
  <c r="AY4984" i="10"/>
  <c r="AY4998" i="10"/>
  <c r="AY5012" i="10"/>
  <c r="AY5028" i="10"/>
  <c r="AY5042" i="10"/>
  <c r="AY5056" i="10"/>
  <c r="AY5070" i="10"/>
  <c r="AY5084" i="10"/>
  <c r="AY5100" i="10"/>
  <c r="AY5114" i="10"/>
  <c r="AY5128" i="10"/>
  <c r="AY5142" i="10"/>
  <c r="AY5156" i="10"/>
  <c r="AY5172" i="10"/>
  <c r="AY5186" i="10"/>
  <c r="AY5200" i="10"/>
  <c r="AY5214" i="10"/>
  <c r="AY47" i="10"/>
  <c r="AY105" i="10"/>
  <c r="AY162" i="10"/>
  <c r="AY212" i="10"/>
  <c r="AY260" i="10"/>
  <c r="AY308" i="10"/>
  <c r="AY356" i="10"/>
  <c r="AY404" i="10"/>
  <c r="AY452" i="10"/>
  <c r="AY500" i="10"/>
  <c r="AY548" i="10"/>
  <c r="AY596" i="10"/>
  <c r="AY644" i="10"/>
  <c r="AY692" i="10"/>
  <c r="AY738" i="10"/>
  <c r="AY778" i="10"/>
  <c r="AY821" i="10"/>
  <c r="AY857" i="10"/>
  <c r="AY893" i="10"/>
  <c r="AY929" i="10"/>
  <c r="AY965" i="10"/>
  <c r="AY1001" i="10"/>
  <c r="AY1037" i="10"/>
  <c r="AY1073" i="10"/>
  <c r="AY1109" i="10"/>
  <c r="AY1145" i="10"/>
  <c r="AY1181" i="10"/>
  <c r="AY1217" i="10"/>
  <c r="AY1253" i="10"/>
  <c r="AY1289" i="10"/>
  <c r="AY1325" i="10"/>
  <c r="AY1361" i="10"/>
  <c r="AY1397" i="10"/>
  <c r="AY1433" i="10"/>
  <c r="AY1469" i="10"/>
  <c r="AY1505" i="10"/>
  <c r="AY1541" i="10"/>
  <c r="AY1577" i="10"/>
  <c r="AY1613" i="10"/>
  <c r="AY1649" i="10"/>
  <c r="AY1685" i="10"/>
  <c r="AY1721" i="10"/>
  <c r="AY1751" i="10"/>
  <c r="AY1781" i="10"/>
  <c r="AY1809" i="10"/>
  <c r="AY1839" i="10"/>
  <c r="AY1867" i="10"/>
  <c r="AY1895" i="10"/>
  <c r="AY1925" i="10"/>
  <c r="AY1953" i="10"/>
  <c r="AY1983" i="10"/>
  <c r="AY2011" i="10"/>
  <c r="AY2039" i="10"/>
  <c r="AY2069" i="10"/>
  <c r="AY2097" i="10"/>
  <c r="AY2127" i="10"/>
  <c r="AY2155" i="10"/>
  <c r="AY2183" i="10"/>
  <c r="AY2213" i="10"/>
  <c r="AY2241" i="10"/>
  <c r="AY2271" i="10"/>
  <c r="AY2299" i="10"/>
  <c r="AY2327" i="10"/>
  <c r="AY2357" i="10"/>
  <c r="AY2385" i="10"/>
  <c r="AY2415" i="10"/>
  <c r="AY2443" i="10"/>
  <c r="AY2471" i="10"/>
  <c r="AY2501" i="10"/>
  <c r="AY2529" i="10"/>
  <c r="AY2559" i="10"/>
  <c r="AY2587" i="10"/>
  <c r="AY2615" i="10"/>
  <c r="AY2645" i="10"/>
  <c r="AY2673" i="10"/>
  <c r="AY2703" i="10"/>
  <c r="AY2731" i="10"/>
  <c r="AY2759" i="10"/>
  <c r="AY2789" i="10"/>
  <c r="AY2817" i="10"/>
  <c r="AY2847" i="10"/>
  <c r="AY2875" i="10"/>
  <c r="AY2903" i="10"/>
  <c r="AY2933" i="10"/>
  <c r="AY2961" i="10"/>
  <c r="AY2991" i="10"/>
  <c r="AY3019" i="10"/>
  <c r="AY3047" i="10"/>
  <c r="AY3077" i="10"/>
  <c r="AY3105" i="10"/>
  <c r="AY3135" i="10"/>
  <c r="AY3163" i="10"/>
  <c r="AY3191" i="10"/>
  <c r="AY3221" i="10"/>
  <c r="AY3249" i="10"/>
  <c r="AY3279" i="10"/>
  <c r="AY3307" i="10"/>
  <c r="AY3335" i="10"/>
  <c r="AY3365" i="10"/>
  <c r="AY3391" i="10"/>
  <c r="AY3417" i="10"/>
  <c r="AY3443" i="10"/>
  <c r="AY3470" i="10"/>
  <c r="AY3496" i="10"/>
  <c r="AY3522" i="10"/>
  <c r="AY3548" i="10"/>
  <c r="AY3574" i="10"/>
  <c r="AY3600" i="10"/>
  <c r="AY3627" i="10"/>
  <c r="AY3653" i="10"/>
  <c r="AY3677" i="10"/>
  <c r="AY3701" i="10"/>
  <c r="AY3725" i="10"/>
  <c r="AY3749" i="10"/>
  <c r="AY3773" i="10"/>
  <c r="AY3797" i="10"/>
  <c r="AY3821" i="10"/>
  <c r="AY3845" i="10"/>
  <c r="AY3868" i="10"/>
  <c r="AY3890" i="10"/>
  <c r="AY3912" i="10"/>
  <c r="AY3928" i="10"/>
  <c r="AY3943" i="10"/>
  <c r="AY3961" i="10"/>
  <c r="AY3976" i="10"/>
  <c r="AY3991" i="10"/>
  <c r="AY4005" i="10"/>
  <c r="AY4021" i="10"/>
  <c r="AY4035" i="10"/>
  <c r="AY4049" i="10"/>
  <c r="AY4063" i="10"/>
  <c r="AY4077" i="10"/>
  <c r="AY4093" i="10"/>
  <c r="AY4107" i="10"/>
  <c r="AY4121" i="10"/>
  <c r="AY4135" i="10"/>
  <c r="AY4149" i="10"/>
  <c r="AY4165" i="10"/>
  <c r="AY4179" i="10"/>
  <c r="AY4193" i="10"/>
  <c r="AY4207" i="10"/>
  <c r="AY4221" i="10"/>
  <c r="AY4237" i="10"/>
  <c r="AY4251" i="10"/>
  <c r="AY4265" i="10"/>
  <c r="AY4279" i="10"/>
  <c r="AY4293" i="10"/>
  <c r="AY4309" i="10"/>
  <c r="AY4323" i="10"/>
  <c r="AY4337" i="10"/>
  <c r="AY4351" i="10"/>
  <c r="AY4365" i="10"/>
  <c r="AY4381" i="10"/>
  <c r="AY4395" i="10"/>
  <c r="AY4409" i="10"/>
  <c r="AY4423" i="10"/>
  <c r="AY4437" i="10"/>
  <c r="AY4453" i="10"/>
  <c r="AY4467" i="10"/>
  <c r="AY4481" i="10"/>
  <c r="AY4495" i="10"/>
  <c r="AY4509" i="10"/>
  <c r="AY4525" i="10"/>
  <c r="AY4539" i="10"/>
  <c r="AY4553" i="10"/>
  <c r="AY4567" i="10"/>
  <c r="AY4581" i="10"/>
  <c r="AY4597" i="10"/>
  <c r="AY4611" i="10"/>
  <c r="AY4625" i="10"/>
  <c r="AY4639" i="10"/>
  <c r="AY4653" i="10"/>
  <c r="AY4669" i="10"/>
  <c r="AY4683" i="10"/>
  <c r="AY4697" i="10"/>
  <c r="AY4711" i="10"/>
  <c r="AY4725" i="10"/>
  <c r="AY4741" i="10"/>
  <c r="AY4755" i="10"/>
  <c r="AY4769" i="10"/>
  <c r="AY4783" i="10"/>
  <c r="AY4797" i="10"/>
  <c r="AY4813" i="10"/>
  <c r="AY4827" i="10"/>
  <c r="AY4841" i="10"/>
  <c r="AY4855" i="10"/>
  <c r="AY4869" i="10"/>
  <c r="AY4885" i="10"/>
  <c r="AY4899" i="10"/>
  <c r="AY4913" i="10"/>
  <c r="AY4927" i="10"/>
  <c r="AY4941" i="10"/>
  <c r="AY4957" i="10"/>
  <c r="AY4971" i="10"/>
  <c r="AY4985" i="10"/>
  <c r="AY4999" i="10"/>
  <c r="AY5013" i="10"/>
  <c r="AY5029" i="10"/>
  <c r="AY5043" i="10"/>
  <c r="AY5057" i="10"/>
  <c r="AY5071" i="10"/>
  <c r="AY5085" i="10"/>
  <c r="AY5101" i="10"/>
  <c r="AY5115" i="10"/>
  <c r="AY5129" i="10"/>
  <c r="AY5143" i="10"/>
  <c r="AY5157" i="10"/>
  <c r="AY5173" i="10"/>
  <c r="AY5187" i="10"/>
  <c r="AY5201" i="10"/>
  <c r="AY5215" i="10"/>
  <c r="AY70" i="10"/>
  <c r="AY182" i="10"/>
  <c r="AY279" i="10"/>
  <c r="AY375" i="10"/>
  <c r="AY471" i="10"/>
  <c r="AY567" i="10"/>
  <c r="AY663" i="10"/>
  <c r="AY750" i="10"/>
  <c r="AY832" i="10"/>
  <c r="AY904" i="10"/>
  <c r="AY976" i="10"/>
  <c r="AY1048" i="10"/>
  <c r="AY1120" i="10"/>
  <c r="AY1192" i="10"/>
  <c r="AY1264" i="10"/>
  <c r="AY1336" i="10"/>
  <c r="AY1408" i="10"/>
  <c r="AY1480" i="10"/>
  <c r="AY1552" i="10"/>
  <c r="AY1624" i="10"/>
  <c r="AY1696" i="10"/>
  <c r="AY1760" i="10"/>
  <c r="AY1818" i="10"/>
  <c r="AY1876" i="10"/>
  <c r="AY1934" i="10"/>
  <c r="AY1990" i="10"/>
  <c r="AY2048" i="10"/>
  <c r="AY2106" i="10"/>
  <c r="AY2164" i="10"/>
  <c r="AY2222" i="10"/>
  <c r="AY2278" i="10"/>
  <c r="AY2336" i="10"/>
  <c r="AY2394" i="10"/>
  <c r="AY2452" i="10"/>
  <c r="AY2510" i="10"/>
  <c r="AY2566" i="10"/>
  <c r="AY2624" i="10"/>
  <c r="AY2682" i="10"/>
  <c r="AY2740" i="10"/>
  <c r="AY2798" i="10"/>
  <c r="AY2854" i="10"/>
  <c r="AY2912" i="10"/>
  <c r="AY2970" i="10"/>
  <c r="AY3028" i="10"/>
  <c r="AY3086" i="10"/>
  <c r="AY3142" i="10"/>
  <c r="AY3200" i="10"/>
  <c r="AY3258" i="10"/>
  <c r="AY3316" i="10"/>
  <c r="AY3372" i="10"/>
  <c r="AY3425" i="10"/>
  <c r="AY3477" i="10"/>
  <c r="AY3530" i="10"/>
  <c r="AY3582" i="10"/>
  <c r="AY3634" i="10"/>
  <c r="AY3684" i="10"/>
  <c r="AY3732" i="10"/>
  <c r="AY3780" i="10"/>
  <c r="AY3828" i="10"/>
  <c r="AY3869" i="10"/>
  <c r="AY3913" i="10"/>
  <c r="AY3944" i="10"/>
  <c r="AY3977" i="10"/>
  <c r="AY4008" i="10"/>
  <c r="AY4036" i="10"/>
  <c r="AY4064" i="10"/>
  <c r="AY4094" i="10"/>
  <c r="AY4122" i="10"/>
  <c r="AY4152" i="10"/>
  <c r="AY4171" i="10"/>
  <c r="AY4197" i="10"/>
  <c r="AY4225" i="10"/>
  <c r="AY4245" i="10"/>
  <c r="AY4272" i="10"/>
  <c r="AY4298" i="10"/>
  <c r="AY4324" i="10"/>
  <c r="AY4345" i="10"/>
  <c r="AY4371" i="10"/>
  <c r="AY4397" i="10"/>
  <c r="AY4419" i="10"/>
  <c r="AY4444" i="10"/>
  <c r="AY4470" i="10"/>
  <c r="AY4496" i="10"/>
  <c r="AY4517" i="10"/>
  <c r="AY4543" i="10"/>
  <c r="AY4569" i="10"/>
  <c r="AY4591" i="10"/>
  <c r="AY4616" i="10"/>
  <c r="AY4644" i="10"/>
  <c r="AY4670" i="10"/>
  <c r="AY4689" i="10"/>
  <c r="AY4717" i="10"/>
  <c r="AY4743" i="10"/>
  <c r="AY4765" i="10"/>
  <c r="AY4790" i="10"/>
  <c r="AY4816" i="10"/>
  <c r="AY4842" i="10"/>
  <c r="AY4863" i="10"/>
  <c r="AY4889" i="10"/>
  <c r="AY4915" i="10"/>
  <c r="AY4937" i="10"/>
  <c r="AY4962" i="10"/>
  <c r="AY4988" i="10"/>
  <c r="AY5016" i="10"/>
  <c r="AY5035" i="10"/>
  <c r="AY5061" i="10"/>
  <c r="AY5089" i="10"/>
  <c r="AY5109" i="10"/>
  <c r="AY5136" i="10"/>
  <c r="AY5162" i="10"/>
  <c r="AY5188" i="10"/>
  <c r="AY5209" i="10"/>
  <c r="AY71" i="10"/>
  <c r="AY184" i="10"/>
  <c r="AY280" i="10"/>
  <c r="AY376" i="10"/>
  <c r="AY472" i="10"/>
  <c r="AY568" i="10"/>
  <c r="AY664" i="10"/>
  <c r="AY751" i="10"/>
  <c r="AY833" i="10"/>
  <c r="AY905" i="10"/>
  <c r="AY977" i="10"/>
  <c r="AY1049" i="10"/>
  <c r="AY1121" i="10"/>
  <c r="AY1193" i="10"/>
  <c r="AY1265" i="10"/>
  <c r="AY1337" i="10"/>
  <c r="AY1409" i="10"/>
  <c r="AY1481" i="10"/>
  <c r="AY1553" i="10"/>
  <c r="AY1625" i="10"/>
  <c r="AY1697" i="10"/>
  <c r="AY1761" i="10"/>
  <c r="AY1819" i="10"/>
  <c r="AY1877" i="10"/>
  <c r="AY1935" i="10"/>
  <c r="AY1991" i="10"/>
  <c r="AY2049" i="10"/>
  <c r="AY2107" i="10"/>
  <c r="AY2165" i="10"/>
  <c r="AY2223" i="10"/>
  <c r="AY2279" i="10"/>
  <c r="AY2337" i="10"/>
  <c r="AY2395" i="10"/>
  <c r="AY2453" i="10"/>
  <c r="AY2511" i="10"/>
  <c r="AY2567" i="10"/>
  <c r="AY2625" i="10"/>
  <c r="AY2683" i="10"/>
  <c r="AY2741" i="10"/>
  <c r="AY2799" i="10"/>
  <c r="AY2855" i="10"/>
  <c r="AY2913" i="10"/>
  <c r="AY2971" i="10"/>
  <c r="AY3029" i="10"/>
  <c r="AY3087" i="10"/>
  <c r="AY3143" i="10"/>
  <c r="AY3201" i="10"/>
  <c r="AY3259" i="10"/>
  <c r="AY3317" i="10"/>
  <c r="AY3374" i="10"/>
  <c r="AY3426" i="10"/>
  <c r="AY3478" i="10"/>
  <c r="AY3531" i="10"/>
  <c r="AY3583" i="10"/>
  <c r="AY3635" i="10"/>
  <c r="AY3685" i="10"/>
  <c r="AY3733" i="10"/>
  <c r="AY3781" i="10"/>
  <c r="AY3829" i="10"/>
  <c r="AY3872" i="10"/>
  <c r="AY3914" i="10"/>
  <c r="AY3948" i="10"/>
  <c r="AY3978" i="10"/>
  <c r="AY4009" i="10"/>
  <c r="AY4037" i="10"/>
  <c r="AY4065" i="10"/>
  <c r="AY4095" i="10"/>
  <c r="AY4123" i="10"/>
  <c r="AY4153" i="10"/>
  <c r="AY4173" i="10"/>
  <c r="AY4200" i="10"/>
  <c r="AY4226" i="10"/>
  <c r="AY4252" i="10"/>
  <c r="AY4273" i="10"/>
  <c r="AY4299" i="10"/>
  <c r="AY4325" i="10"/>
  <c r="AY4347" i="10"/>
  <c r="AY4372" i="10"/>
  <c r="AY4398" i="10"/>
  <c r="AY4424" i="10"/>
  <c r="AY4445" i="10"/>
  <c r="AY4471" i="10"/>
  <c r="AY4497" i="10"/>
  <c r="AY4519" i="10"/>
  <c r="AY4544" i="10"/>
  <c r="AY4572" i="10"/>
  <c r="AY4598" i="10"/>
  <c r="AY4617" i="10"/>
  <c r="AY4645" i="10"/>
  <c r="AY4671" i="10"/>
  <c r="AY4693" i="10"/>
  <c r="AY4718" i="10"/>
  <c r="AY4744" i="10"/>
  <c r="AY4770" i="10"/>
  <c r="AY4791" i="10"/>
  <c r="AY4817" i="10"/>
  <c r="AY4843" i="10"/>
  <c r="AY4865" i="10"/>
  <c r="AY4890" i="10"/>
  <c r="AY4916" i="10"/>
  <c r="AY4944" i="10"/>
  <c r="AY4963" i="10"/>
  <c r="AY4989" i="10"/>
  <c r="AY5017" i="10"/>
  <c r="AY5037" i="10"/>
  <c r="AY5064" i="10"/>
  <c r="AY5090" i="10"/>
  <c r="AY5116" i="10"/>
  <c r="AY5137" i="10"/>
  <c r="AY5163" i="10"/>
  <c r="AY5189" i="10"/>
  <c r="AY5211" i="10"/>
  <c r="AY74" i="10"/>
  <c r="AY186" i="10"/>
  <c r="AY282" i="10"/>
  <c r="AY378" i="10"/>
  <c r="AY474" i="10"/>
  <c r="AY570" i="10"/>
  <c r="AY666" i="10"/>
  <c r="AY754" i="10"/>
  <c r="AY835" i="10"/>
  <c r="AY907" i="10"/>
  <c r="AY979" i="10"/>
  <c r="AY1051" i="10"/>
  <c r="AY1123" i="10"/>
  <c r="AY1195" i="10"/>
  <c r="AY1267" i="10"/>
  <c r="AY1339" i="10"/>
  <c r="AY1411" i="10"/>
  <c r="AY1483" i="10"/>
  <c r="AY1555" i="10"/>
  <c r="AY1627" i="10"/>
  <c r="AY1699" i="10"/>
  <c r="AY1763" i="10"/>
  <c r="AY1821" i="10"/>
  <c r="AY1879" i="10"/>
  <c r="AY1937" i="10"/>
  <c r="AY1995" i="10"/>
  <c r="AY2051" i="10"/>
  <c r="AY2109" i="10"/>
  <c r="AY2167" i="10"/>
  <c r="AY2225" i="10"/>
  <c r="AY2283" i="10"/>
  <c r="AY2339" i="10"/>
  <c r="AY2397" i="10"/>
  <c r="AY2455" i="10"/>
  <c r="AY2513" i="10"/>
  <c r="AY2571" i="10"/>
  <c r="AY2627" i="10"/>
  <c r="AY2685" i="10"/>
  <c r="AY2743" i="10"/>
  <c r="AY2801" i="10"/>
  <c r="AY2859" i="10"/>
  <c r="AY2915" i="10"/>
  <c r="AY2973" i="10"/>
  <c r="AY3031" i="10"/>
  <c r="AY3089" i="10"/>
  <c r="AY3147" i="10"/>
  <c r="AY3203" i="10"/>
  <c r="AY3261" i="10"/>
  <c r="AY3319" i="10"/>
  <c r="AY3376" i="10"/>
  <c r="AY3428" i="10"/>
  <c r="AY3480" i="10"/>
  <c r="AY3533" i="10"/>
  <c r="AY3585" i="10"/>
  <c r="AY3638" i="10"/>
  <c r="AY3687" i="10"/>
  <c r="AY3735" i="10"/>
  <c r="AY3783" i="10"/>
  <c r="AY3831" i="10"/>
  <c r="AY3877" i="10"/>
  <c r="AY3916" i="10"/>
  <c r="AY3950" i="10"/>
  <c r="AY3980" i="10"/>
  <c r="AY4011" i="10"/>
  <c r="AY4039" i="10"/>
  <c r="AY4069" i="10"/>
  <c r="AY4097" i="10"/>
  <c r="AY4125" i="10"/>
  <c r="AY4155" i="10"/>
  <c r="AY4181" i="10"/>
  <c r="AY4203" i="10"/>
  <c r="AY4228" i="10"/>
  <c r="AY4254" i="10"/>
  <c r="AY4280" i="10"/>
  <c r="AY4301" i="10"/>
  <c r="AY4327" i="10"/>
  <c r="AY4353" i="10"/>
  <c r="AY4375" i="10"/>
  <c r="AY4400" i="10"/>
  <c r="AY4428" i="10"/>
  <c r="AY4454" i="10"/>
  <c r="AY4473" i="10"/>
  <c r="AY4501" i="10"/>
  <c r="AY4527" i="10"/>
  <c r="AY4549" i="10"/>
  <c r="AY4574" i="10"/>
  <c r="AY4600" i="10"/>
  <c r="AY4626" i="10"/>
  <c r="AY4647" i="10"/>
  <c r="AY4673" i="10"/>
  <c r="AY4699" i="10"/>
  <c r="AY4721" i="10"/>
  <c r="AY4746" i="10"/>
  <c r="AY4772" i="10"/>
  <c r="AY4800" i="10"/>
  <c r="AY4819" i="10"/>
  <c r="AY4845" i="10"/>
  <c r="AY4873" i="10"/>
  <c r="AY4893" i="10"/>
  <c r="AY4920" i="10"/>
  <c r="AY4946" i="10"/>
  <c r="AY4972" i="10"/>
  <c r="AY4993" i="10"/>
  <c r="AY5019" i="10"/>
  <c r="AY5045" i="10"/>
  <c r="AY5067" i="10"/>
  <c r="AY5092" i="10"/>
  <c r="AY5118" i="10"/>
  <c r="AY5144" i="10"/>
  <c r="AY5165" i="10"/>
  <c r="AY5191" i="10"/>
  <c r="AY5217" i="10"/>
  <c r="AY76" i="10"/>
  <c r="AY187" i="10"/>
  <c r="AY283" i="10"/>
  <c r="AY379" i="10"/>
  <c r="AY475" i="10"/>
  <c r="AY571" i="10"/>
  <c r="AY667" i="10"/>
  <c r="AY759" i="10"/>
  <c r="AY836" i="10"/>
  <c r="AY908" i="10"/>
  <c r="AY980" i="10"/>
  <c r="AY1052" i="10"/>
  <c r="AY1124" i="10"/>
  <c r="AY1196" i="10"/>
  <c r="AY1268" i="10"/>
  <c r="AY1340" i="10"/>
  <c r="AY1412" i="10"/>
  <c r="AY1484" i="10"/>
  <c r="AY1556" i="10"/>
  <c r="AY1628" i="10"/>
  <c r="AY1700" i="10"/>
  <c r="AY1766" i="10"/>
  <c r="AY1822" i="10"/>
  <c r="AY1880" i="10"/>
  <c r="AY1938" i="10"/>
  <c r="AY1996" i="10"/>
  <c r="AY2054" i="10"/>
  <c r="AY2110" i="10"/>
  <c r="AY2168" i="10"/>
  <c r="AY2226" i="10"/>
  <c r="AY2284" i="10"/>
  <c r="AY2342" i="10"/>
  <c r="AY2398" i="10"/>
  <c r="AY2456" i="10"/>
  <c r="AY2514" i="10"/>
  <c r="AY2572" i="10"/>
  <c r="AY2630" i="10"/>
  <c r="AY2686" i="10"/>
  <c r="AY2744" i="10"/>
  <c r="AY2802" i="10"/>
  <c r="AY2860" i="10"/>
  <c r="AY2918" i="10"/>
  <c r="AY2974" i="10"/>
  <c r="AY3032" i="10"/>
  <c r="AY3090" i="10"/>
  <c r="AY3148" i="10"/>
  <c r="AY3206" i="10"/>
  <c r="AY3262" i="10"/>
  <c r="AY3320" i="10"/>
  <c r="AY3377" i="10"/>
  <c r="AY3429" i="10"/>
  <c r="AY3482" i="10"/>
  <c r="AY3534" i="10"/>
  <c r="AY3586" i="10"/>
  <c r="AY3639" i="10"/>
  <c r="AY3688" i="10"/>
  <c r="AY3736" i="10"/>
  <c r="AY3784" i="10"/>
  <c r="AY3832" i="10"/>
  <c r="AY3878" i="10"/>
  <c r="AY3917" i="10"/>
  <c r="AY3951" i="10"/>
  <c r="AY3984" i="10"/>
  <c r="AY4012" i="10"/>
  <c r="AY4040" i="10"/>
  <c r="AY4070" i="10"/>
  <c r="AY4098" i="10"/>
  <c r="AY4128" i="10"/>
  <c r="AY4156" i="10"/>
  <c r="AY4182" i="10"/>
  <c r="AY4208" i="10"/>
  <c r="AY4229" i="10"/>
  <c r="AY4255" i="10"/>
  <c r="AY4281" i="10"/>
  <c r="AY4303" i="10"/>
  <c r="AY4328" i="10"/>
  <c r="AY4356" i="10"/>
  <c r="AY4382" i="10"/>
  <c r="AY4401" i="10"/>
  <c r="AY4429" i="10"/>
  <c r="AY4455" i="10"/>
  <c r="AY4477" i="10"/>
  <c r="AY4502" i="10"/>
  <c r="AY4528" i="10"/>
  <c r="AY4554" i="10"/>
  <c r="AY4575" i="10"/>
  <c r="AY4601" i="10"/>
  <c r="AY4627" i="10"/>
  <c r="AY4649" i="10"/>
  <c r="AY4674" i="10"/>
  <c r="AY4700" i="10"/>
  <c r="AY4728" i="10"/>
  <c r="AY4747" i="10"/>
  <c r="AY4773" i="10"/>
  <c r="AY4801" i="10"/>
  <c r="AY4821" i="10"/>
  <c r="AY4848" i="10"/>
  <c r="AY4874" i="10"/>
  <c r="AY4900" i="10"/>
  <c r="AY4921" i="10"/>
  <c r="AY4947" i="10"/>
  <c r="AY4973" i="10"/>
  <c r="AY4995" i="10"/>
  <c r="AY5020" i="10"/>
  <c r="AY5046" i="10"/>
  <c r="AY5072" i="10"/>
  <c r="AY5093" i="10"/>
  <c r="AY5119" i="10"/>
  <c r="AY5145" i="10"/>
  <c r="AY5167" i="10"/>
  <c r="AY5192" i="10"/>
  <c r="AY77" i="10"/>
  <c r="AY188" i="10"/>
  <c r="AY284" i="10"/>
  <c r="AY380" i="10"/>
  <c r="AY476" i="10"/>
  <c r="AY572" i="10"/>
  <c r="AY668" i="10"/>
  <c r="AY760" i="10"/>
  <c r="AY838" i="10"/>
  <c r="AY910" i="10"/>
  <c r="AY982" i="10"/>
  <c r="AY1054" i="10"/>
  <c r="AY1126" i="10"/>
  <c r="AY1198" i="10"/>
  <c r="AY1270" i="10"/>
  <c r="AY1342" i="10"/>
  <c r="AY1414" i="10"/>
  <c r="AY1486" i="10"/>
  <c r="AY1558" i="10"/>
  <c r="AY1630" i="10"/>
  <c r="AY1702" i="10"/>
  <c r="AY1767" i="10"/>
  <c r="AY1823" i="10"/>
  <c r="AY1881" i="10"/>
  <c r="AY1939" i="10"/>
  <c r="AY1997" i="10"/>
  <c r="AY2055" i="10"/>
  <c r="AY2111" i="10"/>
  <c r="AY2169" i="10"/>
  <c r="AY2227" i="10"/>
  <c r="AY2285" i="10"/>
  <c r="AY2343" i="10"/>
  <c r="AY2399" i="10"/>
  <c r="AY2457" i="10"/>
  <c r="AY2515" i="10"/>
  <c r="AY2573" i="10"/>
  <c r="AY2631" i="10"/>
  <c r="AY2687" i="10"/>
  <c r="AY2745" i="10"/>
  <c r="AY2803" i="10"/>
  <c r="AY2861" i="10"/>
  <c r="AY2919" i="10"/>
  <c r="AY2975" i="10"/>
  <c r="AY3033" i="10"/>
  <c r="AY3091" i="10"/>
  <c r="AY3149" i="10"/>
  <c r="AY3207" i="10"/>
  <c r="AY3263" i="10"/>
  <c r="AY3321" i="10"/>
  <c r="AY3378" i="10"/>
  <c r="AY3430" i="10"/>
  <c r="AY3483" i="10"/>
  <c r="AY3535" i="10"/>
  <c r="AY3587" i="10"/>
  <c r="AY3640" i="10"/>
  <c r="AY3689" i="10"/>
  <c r="AY3737" i="10"/>
  <c r="AY3785" i="10"/>
  <c r="AY3833" i="10"/>
  <c r="AY3879" i="10"/>
  <c r="AY3919" i="10"/>
  <c r="AY3952" i="10"/>
  <c r="AY3985" i="10"/>
  <c r="AY4013" i="10"/>
  <c r="AY4041" i="10"/>
  <c r="AY4071" i="10"/>
  <c r="AY4099" i="10"/>
  <c r="AY4129" i="10"/>
  <c r="AY4157" i="10"/>
  <c r="AY4183" i="10"/>
  <c r="AY4209" i="10"/>
  <c r="AY4231" i="10"/>
  <c r="AY4256" i="10"/>
  <c r="AY4284" i="10"/>
  <c r="AY4310" i="10"/>
  <c r="AY4329" i="10"/>
  <c r="AY4357" i="10"/>
  <c r="AY4383" i="10"/>
  <c r="AY4405" i="10"/>
  <c r="AY4430" i="10"/>
  <c r="AY4456" i="10"/>
  <c r="AY4482" i="10"/>
  <c r="AY4503" i="10"/>
  <c r="AY4529" i="10"/>
  <c r="AY4555" i="10"/>
  <c r="AY4577" i="10"/>
  <c r="AY4602" i="10"/>
  <c r="AY4628" i="10"/>
  <c r="AY4656" i="10"/>
  <c r="AY4675" i="10"/>
  <c r="AY4701" i="10"/>
  <c r="AY4729" i="10"/>
  <c r="AY4749" i="10"/>
  <c r="AY4776" i="10"/>
  <c r="AY4802" i="10"/>
  <c r="AY4828" i="10"/>
  <c r="AY4849" i="10"/>
  <c r="AY4875" i="10"/>
  <c r="AY4901" i="10"/>
  <c r="AY4923" i="10"/>
  <c r="AY4948" i="10"/>
  <c r="AY4974" i="10"/>
  <c r="AY5000" i="10"/>
  <c r="AY5021" i="10"/>
  <c r="AY5047" i="10"/>
  <c r="AY5073" i="10"/>
  <c r="AY5095" i="10"/>
  <c r="AY5120" i="10"/>
  <c r="AY5148" i="10"/>
  <c r="AY5174" i="10"/>
  <c r="AY5193" i="10"/>
  <c r="AY13" i="10"/>
  <c r="AY128" i="10"/>
  <c r="AY231" i="10"/>
  <c r="AY327" i="10"/>
  <c r="AY423" i="10"/>
  <c r="AY519" i="10"/>
  <c r="AY615" i="10"/>
  <c r="AY711" i="10"/>
  <c r="AY790" i="10"/>
  <c r="AY868" i="10"/>
  <c r="AY940" i="10"/>
  <c r="AY1012" i="10"/>
  <c r="AY1084" i="10"/>
  <c r="AY1156" i="10"/>
  <c r="AY1228" i="10"/>
  <c r="AY1300" i="10"/>
  <c r="AY1372" i="10"/>
  <c r="AY1444" i="10"/>
  <c r="AY1516" i="10"/>
  <c r="AY1588" i="10"/>
  <c r="AY1660" i="10"/>
  <c r="AY1732" i="10"/>
  <c r="AY1790" i="10"/>
  <c r="AY1846" i="10"/>
  <c r="AY1904" i="10"/>
  <c r="AY1962" i="10"/>
  <c r="AY2020" i="10"/>
  <c r="AY2078" i="10"/>
  <c r="AY2134" i="10"/>
  <c r="AY2192" i="10"/>
  <c r="AY2250" i="10"/>
  <c r="AY2308" i="10"/>
  <c r="AY2366" i="10"/>
  <c r="AY2422" i="10"/>
  <c r="AY2480" i="10"/>
  <c r="AY2538" i="10"/>
  <c r="AY2596" i="10"/>
  <c r="AY2654" i="10"/>
  <c r="AY2710" i="10"/>
  <c r="AY2768" i="10"/>
  <c r="AY2826" i="10"/>
  <c r="AY2884" i="10"/>
  <c r="AY2942" i="10"/>
  <c r="AY2998" i="10"/>
  <c r="AY3056" i="10"/>
  <c r="AY3114" i="10"/>
  <c r="AY3172" i="10"/>
  <c r="AY3230" i="10"/>
  <c r="AY3286" i="10"/>
  <c r="AY3344" i="10"/>
  <c r="AY3399" i="10"/>
  <c r="AY3451" i="10"/>
  <c r="AY3503" i="10"/>
  <c r="AY3556" i="10"/>
  <c r="AY3608" i="10"/>
  <c r="AY3660" i="10"/>
  <c r="AY3708" i="10"/>
  <c r="AY3756" i="10"/>
  <c r="AY3804" i="10"/>
  <c r="AY3852" i="10"/>
  <c r="AY3891" i="10"/>
  <c r="AY3929" i="10"/>
  <c r="AY3962" i="10"/>
  <c r="AY3992" i="10"/>
  <c r="AY4022" i="10"/>
  <c r="AY4050" i="10"/>
  <c r="AY4080" i="10"/>
  <c r="AY4108" i="10"/>
  <c r="AY4136" i="10"/>
  <c r="AY4159" i="10"/>
  <c r="AY4184" i="10"/>
  <c r="AY4212" i="10"/>
  <c r="AY4238" i="10"/>
  <c r="AY4257" i="10"/>
  <c r="AY4285" i="10"/>
  <c r="AY4311" i="10"/>
  <c r="AY4333" i="10"/>
  <c r="AY4358" i="10"/>
  <c r="AY4384" i="10"/>
  <c r="AY4410" i="10"/>
  <c r="AY4431" i="10"/>
  <c r="AY4457" i="10"/>
  <c r="AY4483" i="10"/>
  <c r="AY4505" i="10"/>
  <c r="AY4530" i="10"/>
  <c r="AY4556" i="10"/>
  <c r="AY4584" i="10"/>
  <c r="AY4603" i="10"/>
  <c r="AY4629" i="10"/>
  <c r="AY4657" i="10"/>
  <c r="AY4677" i="10"/>
  <c r="AY4704" i="10"/>
  <c r="AY4730" i="10"/>
  <c r="AY4756" i="10"/>
  <c r="AY4777" i="10"/>
  <c r="AY4803" i="10"/>
  <c r="AY4829" i="10"/>
  <c r="AY4851" i="10"/>
  <c r="AY4876" i="10"/>
  <c r="AY4902" i="10"/>
  <c r="AY4928" i="10"/>
  <c r="AY4949" i="10"/>
  <c r="AY4975" i="10"/>
  <c r="AY5001" i="10"/>
  <c r="AY5023" i="10"/>
  <c r="AY5048" i="10"/>
  <c r="AY5076" i="10"/>
  <c r="AY5102" i="10"/>
  <c r="AY5121" i="10"/>
  <c r="AY5149" i="10"/>
  <c r="AY5175" i="10"/>
  <c r="AY5197" i="10"/>
  <c r="AY185" i="10"/>
  <c r="AY377" i="10"/>
  <c r="AY569" i="10"/>
  <c r="AY752" i="10"/>
  <c r="AY906" i="10"/>
  <c r="AY1050" i="10"/>
  <c r="AY1194" i="10"/>
  <c r="AY1338" i="10"/>
  <c r="AY1482" i="10"/>
  <c r="AY1626" i="10"/>
  <c r="AY1762" i="10"/>
  <c r="AY1878" i="10"/>
  <c r="AY1994" i="10"/>
  <c r="AY2108" i="10"/>
  <c r="AY2224" i="10"/>
  <c r="AY2338" i="10"/>
  <c r="AY2454" i="10"/>
  <c r="AY2570" i="10"/>
  <c r="AY2684" i="10"/>
  <c r="AY2800" i="10"/>
  <c r="AY2914" i="10"/>
  <c r="AY3030" i="10"/>
  <c r="AY3146" i="10"/>
  <c r="AY3260" i="10"/>
  <c r="AY3375" i="10"/>
  <c r="AY3479" i="10"/>
  <c r="AY3584" i="10"/>
  <c r="AY3686" i="10"/>
  <c r="AY3782" i="10"/>
  <c r="AY3876" i="10"/>
  <c r="AY3949" i="10"/>
  <c r="AY4010" i="10"/>
  <c r="AY4068" i="10"/>
  <c r="AY4124" i="10"/>
  <c r="AY4180" i="10"/>
  <c r="AY4227" i="10"/>
  <c r="AY4275" i="10"/>
  <c r="AY4326" i="10"/>
  <c r="AY4373" i="10"/>
  <c r="AY4425" i="10"/>
  <c r="AY4472" i="10"/>
  <c r="AY4526" i="10"/>
  <c r="AY4573" i="10"/>
  <c r="AY4621" i="10"/>
  <c r="AY4672" i="10"/>
  <c r="AY4719" i="10"/>
  <c r="AY4771" i="10"/>
  <c r="AY4818" i="10"/>
  <c r="AY4872" i="10"/>
  <c r="AY4917" i="10"/>
  <c r="AY4965" i="10"/>
  <c r="AY5018" i="10"/>
  <c r="AY5065" i="10"/>
  <c r="AY5117" i="10"/>
  <c r="AY5164" i="10"/>
  <c r="AY5216" i="10"/>
  <c r="AY233" i="10"/>
  <c r="AY617" i="10"/>
  <c r="AY942" i="10"/>
  <c r="AY1230" i="10"/>
  <c r="AY1518" i="10"/>
  <c r="AY1792" i="10"/>
  <c r="AY2022" i="10"/>
  <c r="AY2252" i="10"/>
  <c r="AY2482" i="10"/>
  <c r="AY2714" i="10"/>
  <c r="AY2944" i="10"/>
  <c r="AY3174" i="10"/>
  <c r="AY3401" i="10"/>
  <c r="AY3610" i="10"/>
  <c r="AY3806" i="10"/>
  <c r="AY3964" i="10"/>
  <c r="AY4082" i="10"/>
  <c r="AY4189" i="10"/>
  <c r="AY4287" i="10"/>
  <c r="AY4386" i="10"/>
  <c r="AY4485" i="10"/>
  <c r="AY4586" i="10"/>
  <c r="AY4685" i="10"/>
  <c r="AY4784" i="10"/>
  <c r="AY4879" i="10"/>
  <c r="AY4977" i="10"/>
  <c r="AY5078" i="10"/>
  <c r="AY5177" i="10"/>
  <c r="AY14" i="10"/>
  <c r="AY232" i="10"/>
  <c r="AY424" i="10"/>
  <c r="AY616" i="10"/>
  <c r="AY795" i="10"/>
  <c r="AY941" i="10"/>
  <c r="AY1085" i="10"/>
  <c r="AY1229" i="10"/>
  <c r="AY1373" i="10"/>
  <c r="AY1517" i="10"/>
  <c r="AY1661" i="10"/>
  <c r="AY1791" i="10"/>
  <c r="AY1905" i="10"/>
  <c r="AY2021" i="10"/>
  <c r="AY2135" i="10"/>
  <c r="AY2251" i="10"/>
  <c r="AY2367" i="10"/>
  <c r="AY2481" i="10"/>
  <c r="AY2597" i="10"/>
  <c r="AY2711" i="10"/>
  <c r="AY2827" i="10"/>
  <c r="AY2943" i="10"/>
  <c r="AY3057" i="10"/>
  <c r="AY3173" i="10"/>
  <c r="AY3287" i="10"/>
  <c r="AY3400" i="10"/>
  <c r="AY3504" i="10"/>
  <c r="AY3609" i="10"/>
  <c r="AY3709" i="10"/>
  <c r="AY3805" i="10"/>
  <c r="AY3892" i="10"/>
  <c r="AY3963" i="10"/>
  <c r="AY4023" i="10"/>
  <c r="AY4081" i="10"/>
  <c r="AY4137" i="10"/>
  <c r="AY4185" i="10"/>
  <c r="AY4239" i="10"/>
  <c r="AY4286" i="10"/>
  <c r="AY4338" i="10"/>
  <c r="AY4385" i="10"/>
  <c r="AY4433" i="10"/>
  <c r="AY4484" i="10"/>
  <c r="AY4531" i="10"/>
  <c r="AY4585" i="10"/>
  <c r="AY4632" i="10"/>
  <c r="AY4684" i="10"/>
  <c r="AY4731" i="10"/>
  <c r="AY4779" i="10"/>
  <c r="AY4830" i="10"/>
  <c r="AY4877" i="10"/>
  <c r="AY4929" i="10"/>
  <c r="AY4976" i="10"/>
  <c r="AY5030" i="10"/>
  <c r="AY5077" i="10"/>
  <c r="AY5125" i="10"/>
  <c r="AY5176" i="10"/>
  <c r="AY16" i="10"/>
  <c r="AY425" i="10"/>
  <c r="AY796" i="10"/>
  <c r="AY1086" i="10"/>
  <c r="AY1374" i="10"/>
  <c r="AY1662" i="10"/>
  <c r="AY1906" i="10"/>
  <c r="AY2138" i="10"/>
  <c r="AY2368" i="10"/>
  <c r="AY2598" i="10"/>
  <c r="AY2828" i="10"/>
  <c r="AY3058" i="10"/>
  <c r="AY3290" i="10"/>
  <c r="AY3506" i="10"/>
  <c r="AY3710" i="10"/>
  <c r="AY3893" i="10"/>
  <c r="AY4024" i="10"/>
  <c r="AY4140" i="10"/>
  <c r="AY4240" i="10"/>
  <c r="AY4339" i="10"/>
  <c r="AY4440" i="10"/>
  <c r="AY4533" i="10"/>
  <c r="AY4633" i="10"/>
  <c r="AY4732" i="10"/>
  <c r="AY4831" i="10"/>
  <c r="AY4932" i="10"/>
  <c r="AY5031" i="10"/>
  <c r="AY5130" i="10"/>
  <c r="AY17" i="10"/>
  <c r="AY234" i="10"/>
  <c r="AY426" i="10"/>
  <c r="AY618" i="10"/>
  <c r="AY797" i="10"/>
  <c r="AY943" i="10"/>
  <c r="AY1087" i="10"/>
  <c r="AY1231" i="10"/>
  <c r="AY1375" i="10"/>
  <c r="AY1519" i="10"/>
  <c r="AY1663" i="10"/>
  <c r="AY1793" i="10"/>
  <c r="AY1907" i="10"/>
  <c r="AY2023" i="10"/>
  <c r="AY2139" i="10"/>
  <c r="AY2253" i="10"/>
  <c r="AY2369" i="10"/>
  <c r="AY2483" i="10"/>
  <c r="AY2599" i="10"/>
  <c r="AY2715" i="10"/>
  <c r="AY2829" i="10"/>
  <c r="AY2945" i="10"/>
  <c r="AY3059" i="10"/>
  <c r="AY3175" i="10"/>
  <c r="AY3291" i="10"/>
  <c r="AY3402" i="10"/>
  <c r="AY3507" i="10"/>
  <c r="AY3611" i="10"/>
  <c r="AY3711" i="10"/>
  <c r="AY3807" i="10"/>
  <c r="AY3896" i="10"/>
  <c r="AY3965" i="10"/>
  <c r="AY4025" i="10"/>
  <c r="AY4083" i="10"/>
  <c r="AY4141" i="10"/>
  <c r="AY4194" i="10"/>
  <c r="AY4241" i="10"/>
  <c r="AY4289" i="10"/>
  <c r="AY4340" i="10"/>
  <c r="AY4387" i="10"/>
  <c r="AY4441" i="10"/>
  <c r="AY4488" i="10"/>
  <c r="AY4540" i="10"/>
  <c r="AY4587" i="10"/>
  <c r="AY4635" i="10"/>
  <c r="AY4686" i="10"/>
  <c r="AY4733" i="10"/>
  <c r="AY4785" i="10"/>
  <c r="AY4832" i="10"/>
  <c r="AY4886" i="10"/>
  <c r="AY4933" i="10"/>
  <c r="AY4981" i="10"/>
  <c r="AY5032" i="10"/>
  <c r="AY5079" i="10"/>
  <c r="AY5131" i="10"/>
  <c r="AY5178" i="10"/>
  <c r="AY129" i="10"/>
  <c r="AY328" i="10"/>
  <c r="AY520" i="10"/>
  <c r="AY712" i="10"/>
  <c r="AY869" i="10"/>
  <c r="AY1013" i="10"/>
  <c r="AY1157" i="10"/>
  <c r="AY1301" i="10"/>
  <c r="AY1445" i="10"/>
  <c r="AY1589" i="10"/>
  <c r="AY1733" i="10"/>
  <c r="AY1847" i="10"/>
  <c r="AY1963" i="10"/>
  <c r="AY2079" i="10"/>
  <c r="AY2193" i="10"/>
  <c r="AY2309" i="10"/>
  <c r="AY2423" i="10"/>
  <c r="AY2539" i="10"/>
  <c r="AY2655" i="10"/>
  <c r="AY2769" i="10"/>
  <c r="AY2885" i="10"/>
  <c r="AY2999" i="10"/>
  <c r="AY3115" i="10"/>
  <c r="AY3231" i="10"/>
  <c r="AY3345" i="10"/>
  <c r="AY3452" i="10"/>
  <c r="AY3557" i="10"/>
  <c r="AY3661" i="10"/>
  <c r="AY3757" i="10"/>
  <c r="AY3853" i="10"/>
  <c r="AY3930" i="10"/>
  <c r="AY3993" i="10"/>
  <c r="AY4051" i="10"/>
  <c r="AY4109" i="10"/>
  <c r="AY4166" i="10"/>
  <c r="AY4213" i="10"/>
  <c r="AY4261" i="10"/>
  <c r="AY4312" i="10"/>
  <c r="AY4359" i="10"/>
  <c r="AY4411" i="10"/>
  <c r="AY4458" i="10"/>
  <c r="AY4512" i="10"/>
  <c r="AY4557" i="10"/>
  <c r="AY4605" i="10"/>
  <c r="AY4658" i="10"/>
  <c r="AY4705" i="10"/>
  <c r="AY4757" i="10"/>
  <c r="AY4804" i="10"/>
  <c r="AY4856" i="10"/>
  <c r="AY4903" i="10"/>
  <c r="AY4951" i="10"/>
  <c r="AY5004" i="10"/>
  <c r="AY5049" i="10"/>
  <c r="AY5103" i="10"/>
  <c r="AY5150" i="10"/>
  <c r="AY5202" i="10"/>
  <c r="AY130" i="10"/>
  <c r="AY521" i="10"/>
  <c r="AY870" i="10"/>
  <c r="AY1158" i="10"/>
  <c r="AY1446" i="10"/>
  <c r="AY1734" i="10"/>
  <c r="AY1964" i="10"/>
  <c r="AY2194" i="10"/>
  <c r="AY2426" i="10"/>
  <c r="AY2656" i="10"/>
  <c r="AY2886" i="10"/>
  <c r="AY3002" i="10"/>
  <c r="AY3232" i="10"/>
  <c r="AY3453" i="10"/>
  <c r="AY3662" i="10"/>
  <c r="AY3854" i="10"/>
  <c r="AY3996" i="10"/>
  <c r="AY4110" i="10"/>
  <c r="AY4214" i="10"/>
  <c r="AY4313" i="10"/>
  <c r="AY4412" i="10"/>
  <c r="AY4513" i="10"/>
  <c r="AY4612" i="10"/>
  <c r="AY4707" i="10"/>
  <c r="AY4805" i="10"/>
  <c r="AY4904" i="10"/>
  <c r="AY5005" i="10"/>
  <c r="AY5104" i="10"/>
  <c r="AY5203" i="10"/>
  <c r="AY18" i="10"/>
  <c r="AY235" i="10"/>
  <c r="AY427" i="10"/>
  <c r="AY619" i="10"/>
  <c r="AY798" i="10"/>
  <c r="AY944" i="10"/>
  <c r="AY1088" i="10"/>
  <c r="AY1232" i="10"/>
  <c r="AY1376" i="10"/>
  <c r="AY1520" i="10"/>
  <c r="AY1664" i="10"/>
  <c r="AY1794" i="10"/>
  <c r="AY1910" i="10"/>
  <c r="AY2024" i="10"/>
  <c r="AY2140" i="10"/>
  <c r="AY2254" i="10"/>
  <c r="AY2370" i="10"/>
  <c r="AY2486" i="10"/>
  <c r="AY2600" i="10"/>
  <c r="AY2716" i="10"/>
  <c r="AY2830" i="10"/>
  <c r="AY2946" i="10"/>
  <c r="AY3062" i="10"/>
  <c r="AY3176" i="10"/>
  <c r="AY3292" i="10"/>
  <c r="AY3403" i="10"/>
  <c r="AY3508" i="10"/>
  <c r="AY3612" i="10"/>
  <c r="AY3712" i="10"/>
  <c r="AY3808" i="10"/>
  <c r="AY3900" i="10"/>
  <c r="AY3966" i="10"/>
  <c r="AY4026" i="10"/>
  <c r="AY4084" i="10"/>
  <c r="AY4142" i="10"/>
  <c r="AY4195" i="10"/>
  <c r="AY4242" i="10"/>
  <c r="AY4296" i="10"/>
  <c r="AY4341" i="10"/>
  <c r="AY4389" i="10"/>
  <c r="AY4442" i="10"/>
  <c r="AY4489" i="10"/>
  <c r="AY4541" i="10"/>
  <c r="AY4588" i="10"/>
  <c r="AY4640" i="10"/>
  <c r="AY4687" i="10"/>
  <c r="AY4735" i="10"/>
  <c r="AY4788" i="10"/>
  <c r="AY4833" i="10"/>
  <c r="AY4887" i="10"/>
  <c r="AY4934" i="10"/>
  <c r="AY4986" i="10"/>
  <c r="AY5033" i="10"/>
  <c r="AY5081" i="10"/>
  <c r="AY5132" i="10"/>
  <c r="AY5179" i="10"/>
  <c r="AY329" i="10"/>
  <c r="AY713" i="10"/>
  <c r="AY1014" i="10"/>
  <c r="AY1302" i="10"/>
  <c r="AY1590" i="10"/>
  <c r="AY1850" i="10"/>
  <c r="AY2080" i="10"/>
  <c r="AY2310" i="10"/>
  <c r="AY2540" i="10"/>
  <c r="AY2770" i="10"/>
  <c r="AY3116" i="10"/>
  <c r="AY3346" i="10"/>
  <c r="AY3558" i="10"/>
  <c r="AY3758" i="10"/>
  <c r="AY3931" i="10"/>
  <c r="AY4052" i="10"/>
  <c r="AY4167" i="10"/>
  <c r="AY4266" i="10"/>
  <c r="AY4361" i="10"/>
  <c r="AY4459" i="10"/>
  <c r="AY4560" i="10"/>
  <c r="AY4659" i="10"/>
  <c r="AY4758" i="10"/>
  <c r="AY4857" i="10"/>
  <c r="AY4958" i="10"/>
  <c r="AY5053" i="10"/>
  <c r="AY5151" i="10"/>
  <c r="AY19" i="10"/>
  <c r="AY236" i="10"/>
  <c r="AY428" i="10"/>
  <c r="AY620" i="10"/>
  <c r="AY799" i="10"/>
  <c r="AY946" i="10"/>
  <c r="AY1090" i="10"/>
  <c r="AY1234" i="10"/>
  <c r="AY1378" i="10"/>
  <c r="AY1522" i="10"/>
  <c r="AY1666" i="10"/>
  <c r="AY1795" i="10"/>
  <c r="AY1911" i="10"/>
  <c r="AY2025" i="10"/>
  <c r="AY2141" i="10"/>
  <c r="AY2255" i="10"/>
  <c r="AY2371" i="10"/>
  <c r="AY2487" i="10"/>
  <c r="AY2601" i="10"/>
  <c r="AY2717" i="10"/>
  <c r="AY2831" i="10"/>
  <c r="AY2947" i="10"/>
  <c r="AY3063" i="10"/>
  <c r="AY3177" i="10"/>
  <c r="AY3293" i="10"/>
  <c r="AY3404" i="10"/>
  <c r="AY3509" i="10"/>
  <c r="AY3614" i="10"/>
  <c r="AY3713" i="10"/>
  <c r="AY3809" i="10"/>
  <c r="AY3901" i="10"/>
  <c r="AY3967" i="10"/>
  <c r="AY4027" i="10"/>
  <c r="AY4085" i="10"/>
  <c r="AY4143" i="10"/>
  <c r="AY4196" i="10"/>
  <c r="AY4243" i="10"/>
  <c r="AY4297" i="10"/>
  <c r="AY4344" i="10"/>
  <c r="AY4396" i="10"/>
  <c r="AY4443" i="10"/>
  <c r="AY4491" i="10"/>
  <c r="AY4542" i="10"/>
  <c r="AY4589" i="10"/>
  <c r="AY4641" i="10"/>
  <c r="AY4688" i="10"/>
  <c r="AY4742" i="10"/>
  <c r="AY4789" i="10"/>
  <c r="AY4837" i="10"/>
  <c r="AY4888" i="10"/>
  <c r="AY4935" i="10"/>
  <c r="AY4987" i="10"/>
  <c r="AY5034" i="10"/>
  <c r="AY5088" i="10"/>
  <c r="AY5133" i="10"/>
  <c r="AY5181" i="10"/>
  <c r="AY73" i="10"/>
  <c r="AY281" i="10"/>
  <c r="AY473" i="10"/>
  <c r="AY665" i="10"/>
  <c r="AY834" i="10"/>
  <c r="AY978" i="10"/>
  <c r="AY1122" i="10"/>
  <c r="AY1266" i="10"/>
  <c r="AY1410" i="10"/>
  <c r="AY1554" i="10"/>
  <c r="AY1698" i="10"/>
  <c r="AY1820" i="10"/>
  <c r="AY1936" i="10"/>
  <c r="AY2050" i="10"/>
  <c r="AY2166" i="10"/>
  <c r="AY2282" i="10"/>
  <c r="AY2396" i="10"/>
  <c r="AY2512" i="10"/>
  <c r="AY2626" i="10"/>
  <c r="AY2742" i="10"/>
  <c r="AY2858" i="10"/>
  <c r="AY2972" i="10"/>
  <c r="AY3088" i="10"/>
  <c r="AY3202" i="10"/>
  <c r="AY3318" i="10"/>
  <c r="AY3427" i="10"/>
  <c r="AY3532" i="10"/>
  <c r="AY3636" i="10"/>
  <c r="AY3734" i="10"/>
  <c r="AY3830" i="10"/>
  <c r="AY3915" i="10"/>
  <c r="AY3979" i="10"/>
  <c r="AY4038" i="10"/>
  <c r="AY4096" i="10"/>
  <c r="AY4154" i="10"/>
  <c r="AY4201" i="10"/>
  <c r="AY4253" i="10"/>
  <c r="AY4300" i="10"/>
  <c r="AY4352" i="10"/>
  <c r="AY4399" i="10"/>
  <c r="AY4447" i="10"/>
  <c r="AY4500" i="10"/>
  <c r="AY4545" i="10"/>
  <c r="AY4599" i="10"/>
  <c r="AY4646" i="10"/>
  <c r="AY4698" i="10"/>
  <c r="AY4745" i="10"/>
  <c r="AY4793" i="10"/>
  <c r="AY4844" i="10"/>
  <c r="AY4891" i="10"/>
  <c r="AY4945" i="10"/>
  <c r="AY4992" i="10"/>
  <c r="AY5044" i="10"/>
  <c r="AY5091" i="10"/>
  <c r="AY5139" i="10"/>
  <c r="AY5190" i="10"/>
  <c r="AY715" i="10"/>
  <c r="AY1304" i="10"/>
  <c r="AY1852" i="10"/>
  <c r="AY2312" i="10"/>
  <c r="AY2774" i="10"/>
  <c r="AY3234" i="10"/>
  <c r="AY3664" i="10"/>
  <c r="AY3998" i="10"/>
  <c r="AY4217" i="10"/>
  <c r="AY4416" i="10"/>
  <c r="AY4614" i="10"/>
  <c r="AY4814" i="10"/>
  <c r="AY5007" i="10"/>
  <c r="AY5205" i="10"/>
  <c r="AY871" i="10"/>
  <c r="AY1965" i="10"/>
  <c r="AY2887" i="10"/>
  <c r="AY3759" i="10"/>
  <c r="AY4267" i="10"/>
  <c r="AY4660" i="10"/>
  <c r="AY5058" i="10"/>
  <c r="AY523" i="10"/>
  <c r="AY714" i="10"/>
  <c r="AY716" i="10"/>
  <c r="AY1306" i="10"/>
  <c r="AY1853" i="10"/>
  <c r="AY2313" i="10"/>
  <c r="AY2775" i="10"/>
  <c r="AY3235" i="10"/>
  <c r="AY3665" i="10"/>
  <c r="AY3999" i="10"/>
  <c r="AY4224" i="10"/>
  <c r="AY4417" i="10"/>
  <c r="AY4615" i="10"/>
  <c r="AY4815" i="10"/>
  <c r="AY5009" i="10"/>
  <c r="AY5208" i="10"/>
  <c r="AY131" i="10"/>
  <c r="AY1447" i="10"/>
  <c r="AY2427" i="10"/>
  <c r="AY3347" i="10"/>
  <c r="AY4053" i="10"/>
  <c r="AY4461" i="10"/>
  <c r="AY4860" i="10"/>
  <c r="AY133" i="10"/>
  <c r="AY872" i="10"/>
  <c r="AY1448" i="10"/>
  <c r="AY1966" i="10"/>
  <c r="AY2428" i="10"/>
  <c r="AY2888" i="10"/>
  <c r="AY3350" i="10"/>
  <c r="AY3760" i="10"/>
  <c r="AY4056" i="10"/>
  <c r="AY4268" i="10"/>
  <c r="AY4468" i="10"/>
  <c r="AY4661" i="10"/>
  <c r="AY4861" i="10"/>
  <c r="AY5059" i="10"/>
  <c r="AY134" i="10"/>
  <c r="AY874" i="10"/>
  <c r="AY1450" i="10"/>
  <c r="AY1967" i="10"/>
  <c r="AY2429" i="10"/>
  <c r="AY2889" i="10"/>
  <c r="AY3351" i="10"/>
  <c r="AY3761" i="10"/>
  <c r="AY4057" i="10"/>
  <c r="AY4269" i="10"/>
  <c r="AY4469" i="10"/>
  <c r="AY4663" i="10"/>
  <c r="AY4862" i="10"/>
  <c r="AY5060" i="10"/>
  <c r="AY522" i="10"/>
  <c r="AY1735" i="10"/>
  <c r="AY2657" i="10"/>
  <c r="AY3559" i="10"/>
  <c r="AY4168" i="10"/>
  <c r="AY4561" i="10"/>
  <c r="AY4959" i="10"/>
  <c r="AY1736" i="10"/>
  <c r="AY2658" i="10"/>
  <c r="AY3560" i="10"/>
  <c r="AY4169" i="10"/>
  <c r="AY4563" i="10"/>
  <c r="AY4960" i="10"/>
  <c r="AY1162" i="10"/>
  <c r="AY2199" i="10"/>
  <c r="AY3119" i="10"/>
  <c r="AY3937" i="10"/>
  <c r="AY4370" i="10"/>
  <c r="AY4761" i="10"/>
  <c r="AY5161" i="10"/>
  <c r="AY2311" i="10"/>
  <c r="AY3663" i="10"/>
  <c r="AY4413" i="10"/>
  <c r="AY4807" i="10"/>
  <c r="AY5204" i="10"/>
  <c r="AY1851" i="10"/>
  <c r="AY330" i="10"/>
  <c r="AY1015" i="10"/>
  <c r="AY1591" i="10"/>
  <c r="AY2081" i="10"/>
  <c r="AY2541" i="10"/>
  <c r="AY3003" i="10"/>
  <c r="AY3454" i="10"/>
  <c r="AY3855" i="10"/>
  <c r="AY4111" i="10"/>
  <c r="AY4314" i="10"/>
  <c r="AY4514" i="10"/>
  <c r="AY4712" i="10"/>
  <c r="AY4905" i="10"/>
  <c r="AY5105" i="10"/>
  <c r="AY332" i="10"/>
  <c r="AY1018" i="10"/>
  <c r="AY1594" i="10"/>
  <c r="AY2083" i="10"/>
  <c r="AY2543" i="10"/>
  <c r="AY3005" i="10"/>
  <c r="AY3456" i="10"/>
  <c r="AY3857" i="10"/>
  <c r="AY4113" i="10"/>
  <c r="AY4317" i="10"/>
  <c r="AY4516" i="10"/>
  <c r="AY4716" i="10"/>
  <c r="AY4914" i="10"/>
  <c r="AY5107" i="10"/>
  <c r="AY1159" i="10"/>
  <c r="AY2195" i="10"/>
  <c r="AY3117" i="10"/>
  <c r="AY3932" i="10"/>
  <c r="AY4368" i="10"/>
  <c r="AY4759" i="10"/>
  <c r="AY5153" i="10"/>
  <c r="AY1160" i="10"/>
  <c r="AY2198" i="10"/>
  <c r="AY3118" i="10"/>
  <c r="AY3936" i="10"/>
  <c r="AY4369" i="10"/>
  <c r="AY4760" i="10"/>
  <c r="AY5160" i="10"/>
  <c r="AY1737" i="10"/>
  <c r="AY2659" i="10"/>
  <c r="AY3561" i="10"/>
  <c r="AY4170" i="10"/>
  <c r="AY4568" i="10"/>
  <c r="AY4961" i="10"/>
  <c r="AY1303" i="10"/>
  <c r="AY2771" i="10"/>
  <c r="AY3233" i="10"/>
  <c r="AY3997" i="10"/>
  <c r="AY4215" i="10"/>
  <c r="AY4613" i="10"/>
  <c r="AY5006" i="10"/>
  <c r="AY331" i="10"/>
  <c r="AY1016" i="10"/>
  <c r="AY1592" i="10"/>
  <c r="AY2082" i="10"/>
  <c r="AY2542" i="10"/>
  <c r="AY3004" i="10"/>
  <c r="AY3455" i="10"/>
  <c r="AY3856" i="10"/>
  <c r="AY4112" i="10"/>
  <c r="AY4315" i="10"/>
  <c r="AY4515" i="10"/>
  <c r="AY4713" i="10"/>
  <c r="AY4909" i="10"/>
  <c r="AY5106" i="10"/>
  <c r="AY524" i="10"/>
  <c r="V2" i="10"/>
  <c r="V14" i="10"/>
  <c r="V26" i="10"/>
  <c r="V38" i="10"/>
  <c r="V50" i="10"/>
  <c r="V62" i="10"/>
  <c r="V74" i="10"/>
  <c r="V86" i="10"/>
  <c r="V98" i="10"/>
  <c r="V110" i="10"/>
  <c r="V122" i="10"/>
  <c r="V134" i="10"/>
  <c r="V146" i="10"/>
  <c r="V158" i="10"/>
  <c r="V170" i="10"/>
  <c r="V182" i="10"/>
  <c r="V194" i="10"/>
  <c r="V206" i="10"/>
  <c r="V218" i="10"/>
  <c r="V230" i="10"/>
  <c r="V242" i="10"/>
  <c r="V254" i="10"/>
  <c r="V266" i="10"/>
  <c r="V278" i="10"/>
  <c r="V290" i="10"/>
  <c r="V302" i="10"/>
  <c r="V314" i="10"/>
  <c r="V326" i="10"/>
  <c r="V338" i="10"/>
  <c r="V350" i="10"/>
  <c r="V362" i="10"/>
  <c r="V374" i="10"/>
  <c r="V386" i="10"/>
  <c r="V398" i="10"/>
  <c r="V410" i="10"/>
  <c r="V422" i="10"/>
  <c r="V434" i="10"/>
  <c r="V446" i="10"/>
  <c r="V458" i="10"/>
  <c r="V470" i="10"/>
  <c r="V482" i="10"/>
  <c r="V494" i="10"/>
  <c r="V506" i="10"/>
  <c r="V518" i="10"/>
  <c r="V530" i="10"/>
  <c r="V542" i="10"/>
  <c r="V554" i="10"/>
  <c r="V566" i="10"/>
  <c r="V578" i="10"/>
  <c r="V590" i="10"/>
  <c r="V602" i="10"/>
  <c r="V614" i="10"/>
  <c r="V626" i="10"/>
  <c r="V638" i="10"/>
  <c r="V650" i="10"/>
  <c r="V662" i="10"/>
  <c r="V674" i="10"/>
  <c r="V686" i="10"/>
  <c r="V698" i="10"/>
  <c r="V710" i="10"/>
  <c r="V722" i="10"/>
  <c r="V734" i="10"/>
  <c r="V746" i="10"/>
  <c r="V758" i="10"/>
  <c r="V770" i="10"/>
  <c r="V782" i="10"/>
  <c r="V794" i="10"/>
  <c r="V806" i="10"/>
  <c r="V818" i="10"/>
  <c r="V830" i="10"/>
  <c r="V842" i="10"/>
  <c r="V854" i="10"/>
  <c r="V866" i="10"/>
  <c r="V878" i="10"/>
  <c r="V890" i="10"/>
  <c r="V902" i="10"/>
  <c r="V914" i="10"/>
  <c r="V926" i="10"/>
  <c r="V938" i="10"/>
  <c r="V950" i="10"/>
  <c r="V962" i="10"/>
  <c r="V974" i="10"/>
  <c r="V986" i="10"/>
  <c r="V998" i="10"/>
  <c r="V1010" i="10"/>
  <c r="V1022" i="10"/>
  <c r="V1034" i="10"/>
  <c r="V1046" i="10"/>
  <c r="V1058" i="10"/>
  <c r="V1070" i="10"/>
  <c r="V1082" i="10"/>
  <c r="V1094" i="10"/>
  <c r="V1106" i="10"/>
  <c r="V1118" i="10"/>
  <c r="V1130" i="10"/>
  <c r="V1142" i="10"/>
  <c r="V1154" i="10"/>
  <c r="V1166" i="10"/>
  <c r="V1178" i="10"/>
  <c r="V1190" i="10"/>
  <c r="V1202" i="10"/>
  <c r="V1214" i="10"/>
  <c r="V1226" i="10"/>
  <c r="V1238" i="10"/>
  <c r="V1250" i="10"/>
  <c r="V1262" i="10"/>
  <c r="V1274" i="10"/>
  <c r="V1286" i="10"/>
  <c r="V1298" i="10"/>
  <c r="V1310" i="10"/>
  <c r="V1322" i="10"/>
  <c r="V1334" i="10"/>
  <c r="V1346" i="10"/>
  <c r="V1358" i="10"/>
  <c r="V1370" i="10"/>
  <c r="V1382" i="10"/>
  <c r="V1394" i="10"/>
  <c r="V1406" i="10"/>
  <c r="V1418" i="10"/>
  <c r="V1430" i="10"/>
  <c r="V1442" i="10"/>
  <c r="V1454" i="10"/>
  <c r="V1466" i="10"/>
  <c r="V1478" i="10"/>
  <c r="V1490" i="10"/>
  <c r="V1502" i="10"/>
  <c r="V1514" i="10"/>
  <c r="V1526" i="10"/>
  <c r="V1538" i="10"/>
  <c r="V1550" i="10"/>
  <c r="V1562" i="10"/>
  <c r="V1574" i="10"/>
  <c r="V1586" i="10"/>
  <c r="V3" i="10"/>
  <c r="V15" i="10"/>
  <c r="V27" i="10"/>
  <c r="V39" i="10"/>
  <c r="V51" i="10"/>
  <c r="V63" i="10"/>
  <c r="V75" i="10"/>
  <c r="V87" i="10"/>
  <c r="V99" i="10"/>
  <c r="V111" i="10"/>
  <c r="V123" i="10"/>
  <c r="V135" i="10"/>
  <c r="V147" i="10"/>
  <c r="V159" i="10"/>
  <c r="V171" i="10"/>
  <c r="V183" i="10"/>
  <c r="V195" i="10"/>
  <c r="V207" i="10"/>
  <c r="V219" i="10"/>
  <c r="V231" i="10"/>
  <c r="V243" i="10"/>
  <c r="V255" i="10"/>
  <c r="V267" i="10"/>
  <c r="V279" i="10"/>
  <c r="V291" i="10"/>
  <c r="V303" i="10"/>
  <c r="V315" i="10"/>
  <c r="V327" i="10"/>
  <c r="V339" i="10"/>
  <c r="V351" i="10"/>
  <c r="V363" i="10"/>
  <c r="V375" i="10"/>
  <c r="V387" i="10"/>
  <c r="V399" i="10"/>
  <c r="V411" i="10"/>
  <c r="V423" i="10"/>
  <c r="V435" i="10"/>
  <c r="V447" i="10"/>
  <c r="V459" i="10"/>
  <c r="V471" i="10"/>
  <c r="V483" i="10"/>
  <c r="V495" i="10"/>
  <c r="V507" i="10"/>
  <c r="V519" i="10"/>
  <c r="V531" i="10"/>
  <c r="V543" i="10"/>
  <c r="V555" i="10"/>
  <c r="V567" i="10"/>
  <c r="V579" i="10"/>
  <c r="V591" i="10"/>
  <c r="V603" i="10"/>
  <c r="V615" i="10"/>
  <c r="V627" i="10"/>
  <c r="V639" i="10"/>
  <c r="V651" i="10"/>
  <c r="V663" i="10"/>
  <c r="V675" i="10"/>
  <c r="V687" i="10"/>
  <c r="V699" i="10"/>
  <c r="V711" i="10"/>
  <c r="V723" i="10"/>
  <c r="V735" i="10"/>
  <c r="V747" i="10"/>
  <c r="V759" i="10"/>
  <c r="V771" i="10"/>
  <c r="V783" i="10"/>
  <c r="V795" i="10"/>
  <c r="V807" i="10"/>
  <c r="V819" i="10"/>
  <c r="V831" i="10"/>
  <c r="V843" i="10"/>
  <c r="V855" i="10"/>
  <c r="V867" i="10"/>
  <c r="V879" i="10"/>
  <c r="V891" i="10"/>
  <c r="V903" i="10"/>
  <c r="V915" i="10"/>
  <c r="V927" i="10"/>
  <c r="V939" i="10"/>
  <c r="V951" i="10"/>
  <c r="V963" i="10"/>
  <c r="V975" i="10"/>
  <c r="V987" i="10"/>
  <c r="V999" i="10"/>
  <c r="V1011" i="10"/>
  <c r="V1023" i="10"/>
  <c r="V1035" i="10"/>
  <c r="V1047" i="10"/>
  <c r="V1059" i="10"/>
  <c r="V1071" i="10"/>
  <c r="V1083" i="10"/>
  <c r="V1095" i="10"/>
  <c r="V1107" i="10"/>
  <c r="V1119" i="10"/>
  <c r="V1131" i="10"/>
  <c r="V1143" i="10"/>
  <c r="V1155" i="10"/>
  <c r="V1167" i="10"/>
  <c r="V1179" i="10"/>
  <c r="V1191" i="10"/>
  <c r="V1203" i="10"/>
  <c r="V1215" i="10"/>
  <c r="V1227" i="10"/>
  <c r="V1239" i="10"/>
  <c r="V1251" i="10"/>
  <c r="V1263" i="10"/>
  <c r="V1275" i="10"/>
  <c r="V1287" i="10"/>
  <c r="V1299" i="10"/>
  <c r="V1311" i="10"/>
  <c r="V1323" i="10"/>
  <c r="V1335" i="10"/>
  <c r="V1347" i="10"/>
  <c r="V1359" i="10"/>
  <c r="V1371" i="10"/>
  <c r="V1383" i="10"/>
  <c r="V13" i="10"/>
  <c r="V29" i="10"/>
  <c r="V43" i="10"/>
  <c r="V57" i="10"/>
  <c r="V71" i="10"/>
  <c r="V85" i="10"/>
  <c r="V101" i="10"/>
  <c r="V115" i="10"/>
  <c r="V129" i="10"/>
  <c r="V143" i="10"/>
  <c r="V157" i="10"/>
  <c r="V173" i="10"/>
  <c r="V187" i="10"/>
  <c r="V201" i="10"/>
  <c r="V215" i="10"/>
  <c r="V229" i="10"/>
  <c r="V245" i="10"/>
  <c r="V259" i="10"/>
  <c r="V273" i="10"/>
  <c r="V287" i="10"/>
  <c r="V301" i="10"/>
  <c r="V317" i="10"/>
  <c r="V331" i="10"/>
  <c r="V345" i="10"/>
  <c r="V359" i="10"/>
  <c r="V373" i="10"/>
  <c r="V389" i="10"/>
  <c r="V403" i="10"/>
  <c r="V417" i="10"/>
  <c r="V431" i="10"/>
  <c r="V445" i="10"/>
  <c r="V461" i="10"/>
  <c r="V475" i="10"/>
  <c r="V489" i="10"/>
  <c r="V503" i="10"/>
  <c r="V517" i="10"/>
  <c r="V533" i="10"/>
  <c r="V547" i="10"/>
  <c r="V561" i="10"/>
  <c r="V575" i="10"/>
  <c r="V589" i="10"/>
  <c r="V605" i="10"/>
  <c r="V619" i="10"/>
  <c r="V633" i="10"/>
  <c r="V647" i="10"/>
  <c r="V17" i="10"/>
  <c r="V31" i="10"/>
  <c r="V45" i="10"/>
  <c r="V59" i="10"/>
  <c r="V73" i="10"/>
  <c r="V89" i="10"/>
  <c r="V103" i="10"/>
  <c r="V117" i="10"/>
  <c r="V131" i="10"/>
  <c r="V145" i="10"/>
  <c r="V161" i="10"/>
  <c r="V175" i="10"/>
  <c r="V189" i="10"/>
  <c r="V203" i="10"/>
  <c r="V217" i="10"/>
  <c r="V233" i="10"/>
  <c r="V247" i="10"/>
  <c r="V261" i="10"/>
  <c r="V275" i="10"/>
  <c r="V289" i="10"/>
  <c r="V305" i="10"/>
  <c r="V319" i="10"/>
  <c r="V333" i="10"/>
  <c r="V347" i="10"/>
  <c r="V361" i="10"/>
  <c r="V377" i="10"/>
  <c r="V391" i="10"/>
  <c r="V405" i="10"/>
  <c r="V419" i="10"/>
  <c r="V433" i="10"/>
  <c r="V449" i="10"/>
  <c r="V463" i="10"/>
  <c r="V477" i="10"/>
  <c r="V491" i="10"/>
  <c r="V505" i="10"/>
  <c r="V521" i="10"/>
  <c r="V535" i="10"/>
  <c r="V549" i="10"/>
  <c r="V563" i="10"/>
  <c r="V577" i="10"/>
  <c r="V593" i="10"/>
  <c r="V607" i="10"/>
  <c r="V621" i="10"/>
  <c r="V635" i="10"/>
  <c r="V649" i="10"/>
  <c r="V665" i="10"/>
  <c r="V679" i="10"/>
  <c r="V693" i="10"/>
  <c r="V707" i="10"/>
  <c r="V721" i="10"/>
  <c r="V737" i="10"/>
  <c r="V751" i="10"/>
  <c r="V765" i="10"/>
  <c r="V779" i="10"/>
  <c r="V793" i="10"/>
  <c r="V809" i="10"/>
  <c r="V823" i="10"/>
  <c r="V837" i="10"/>
  <c r="V851" i="10"/>
  <c r="V865" i="10"/>
  <c r="V881" i="10"/>
  <c r="V895" i="10"/>
  <c r="V909" i="10"/>
  <c r="V923" i="10"/>
  <c r="V937" i="10"/>
  <c r="V953" i="10"/>
  <c r="V967" i="10"/>
  <c r="V981" i="10"/>
  <c r="V995" i="10"/>
  <c r="V1009" i="10"/>
  <c r="V1025" i="10"/>
  <c r="V4" i="10"/>
  <c r="V18" i="10"/>
  <c r="V32" i="10"/>
  <c r="V46" i="10"/>
  <c r="V60" i="10"/>
  <c r="V76" i="10"/>
  <c r="V90" i="10"/>
  <c r="V104" i="10"/>
  <c r="V118" i="10"/>
  <c r="V132" i="10"/>
  <c r="V148" i="10"/>
  <c r="V162" i="10"/>
  <c r="V176" i="10"/>
  <c r="V190" i="10"/>
  <c r="V204" i="10"/>
  <c r="V220" i="10"/>
  <c r="V234" i="10"/>
  <c r="V248" i="10"/>
  <c r="V262" i="10"/>
  <c r="V276" i="10"/>
  <c r="V292" i="10"/>
  <c r="V306" i="10"/>
  <c r="V320" i="10"/>
  <c r="V334" i="10"/>
  <c r="V348" i="10"/>
  <c r="V364" i="10"/>
  <c r="V378" i="10"/>
  <c r="V392" i="10"/>
  <c r="V406" i="10"/>
  <c r="V420" i="10"/>
  <c r="V436" i="10"/>
  <c r="V450" i="10"/>
  <c r="V464" i="10"/>
  <c r="V478" i="10"/>
  <c r="V492" i="10"/>
  <c r="V508" i="10"/>
  <c r="V522" i="10"/>
  <c r="V536" i="10"/>
  <c r="V550" i="10"/>
  <c r="V564" i="10"/>
  <c r="V580" i="10"/>
  <c r="V594" i="10"/>
  <c r="V608" i="10"/>
  <c r="V622" i="10"/>
  <c r="V636" i="10"/>
  <c r="V652" i="10"/>
  <c r="V666" i="10"/>
  <c r="V680" i="10"/>
  <c r="V694" i="10"/>
  <c r="V708" i="10"/>
  <c r="V724" i="10"/>
  <c r="V738" i="10"/>
  <c r="V752" i="10"/>
  <c r="V766" i="10"/>
  <c r="V780" i="10"/>
  <c r="V796" i="10"/>
  <c r="V810" i="10"/>
  <c r="V824" i="10"/>
  <c r="V838" i="10"/>
  <c r="V852" i="10"/>
  <c r="V868" i="10"/>
  <c r="V882" i="10"/>
  <c r="V896" i="10"/>
  <c r="V910" i="10"/>
  <c r="V924" i="10"/>
  <c r="V940" i="10"/>
  <c r="V954" i="10"/>
  <c r="V968" i="10"/>
  <c r="V982" i="10"/>
  <c r="V996" i="10"/>
  <c r="V1012" i="10"/>
  <c r="V1026" i="10"/>
  <c r="V1040" i="10"/>
  <c r="V1054" i="10"/>
  <c r="V1068" i="10"/>
  <c r="V1084" i="10"/>
  <c r="V1098" i="10"/>
  <c r="V1112" i="10"/>
  <c r="V1126" i="10"/>
  <c r="V1140" i="10"/>
  <c r="V1156" i="10"/>
  <c r="V1170" i="10"/>
  <c r="V1184" i="10"/>
  <c r="V1198" i="10"/>
  <c r="V1212" i="10"/>
  <c r="V1228" i="10"/>
  <c r="V1242" i="10"/>
  <c r="V1256" i="10"/>
  <c r="V1270" i="10"/>
  <c r="V1284" i="10"/>
  <c r="V1300" i="10"/>
  <c r="V1314" i="10"/>
  <c r="V1328" i="10"/>
  <c r="V1342" i="10"/>
  <c r="V1356" i="10"/>
  <c r="V1372" i="10"/>
  <c r="V1386" i="10"/>
  <c r="V1399" i="10"/>
  <c r="V1412" i="10"/>
  <c r="V1425" i="10"/>
  <c r="V1438" i="10"/>
  <c r="V1451" i="10"/>
  <c r="V1464" i="10"/>
  <c r="V1477" i="10"/>
  <c r="V1491" i="10"/>
  <c r="V1504" i="10"/>
  <c r="V1517" i="10"/>
  <c r="V1530" i="10"/>
  <c r="V1543" i="10"/>
  <c r="V1556" i="10"/>
  <c r="V1569" i="10"/>
  <c r="V1582" i="10"/>
  <c r="V1595" i="10"/>
  <c r="V1607" i="10"/>
  <c r="V1619" i="10"/>
  <c r="V1631" i="10"/>
  <c r="V1643" i="10"/>
  <c r="V1655" i="10"/>
  <c r="V1667" i="10"/>
  <c r="V1679" i="10"/>
  <c r="V1691" i="10"/>
  <c r="V1703" i="10"/>
  <c r="V1715" i="10"/>
  <c r="V1727" i="10"/>
  <c r="V1739" i="10"/>
  <c r="V1751" i="10"/>
  <c r="V1763" i="10"/>
  <c r="V6" i="10"/>
  <c r="V20" i="10"/>
  <c r="V34" i="10"/>
  <c r="V48" i="10"/>
  <c r="V64" i="10"/>
  <c r="V78" i="10"/>
  <c r="V92" i="10"/>
  <c r="V106" i="10"/>
  <c r="V120" i="10"/>
  <c r="V136" i="10"/>
  <c r="V150" i="10"/>
  <c r="V164" i="10"/>
  <c r="V178" i="10"/>
  <c r="V192" i="10"/>
  <c r="V208" i="10"/>
  <c r="V222" i="10"/>
  <c r="V236" i="10"/>
  <c r="V250" i="10"/>
  <c r="V264" i="10"/>
  <c r="V280" i="10"/>
  <c r="V294" i="10"/>
  <c r="V308" i="10"/>
  <c r="V322" i="10"/>
  <c r="V336" i="10"/>
  <c r="V352" i="10"/>
  <c r="V366" i="10"/>
  <c r="V380" i="10"/>
  <c r="V394" i="10"/>
  <c r="V408" i="10"/>
  <c r="V424" i="10"/>
  <c r="V438" i="10"/>
  <c r="V452" i="10"/>
  <c r="V466" i="10"/>
  <c r="V480" i="10"/>
  <c r="V496" i="10"/>
  <c r="V510" i="10"/>
  <c r="V524" i="10"/>
  <c r="V538" i="10"/>
  <c r="V552" i="10"/>
  <c r="V568" i="10"/>
  <c r="V582" i="10"/>
  <c r="V596" i="10"/>
  <c r="V610" i="10"/>
  <c r="V624" i="10"/>
  <c r="V640" i="10"/>
  <c r="V654" i="10"/>
  <c r="V668" i="10"/>
  <c r="V682" i="10"/>
  <c r="V696" i="10"/>
  <c r="V712" i="10"/>
  <c r="V7" i="10"/>
  <c r="V21" i="10"/>
  <c r="V35" i="10"/>
  <c r="V49" i="10"/>
  <c r="V65" i="10"/>
  <c r="V79" i="10"/>
  <c r="V93" i="10"/>
  <c r="V107" i="10"/>
  <c r="V121" i="10"/>
  <c r="V137" i="10"/>
  <c r="V151" i="10"/>
  <c r="V165" i="10"/>
  <c r="V179" i="10"/>
  <c r="V193" i="10"/>
  <c r="V209" i="10"/>
  <c r="V223" i="10"/>
  <c r="V237" i="10"/>
  <c r="V251" i="10"/>
  <c r="V265" i="10"/>
  <c r="V281" i="10"/>
  <c r="V295" i="10"/>
  <c r="V309" i="10"/>
  <c r="V323" i="10"/>
  <c r="V337" i="10"/>
  <c r="V353" i="10"/>
  <c r="V367" i="10"/>
  <c r="V381" i="10"/>
  <c r="V395" i="10"/>
  <c r="V409" i="10"/>
  <c r="V425" i="10"/>
  <c r="V439" i="10"/>
  <c r="V453" i="10"/>
  <c r="V467" i="10"/>
  <c r="V481" i="10"/>
  <c r="V497" i="10"/>
  <c r="V511" i="10"/>
  <c r="V525" i="10"/>
  <c r="V539" i="10"/>
  <c r="V553" i="10"/>
  <c r="V569" i="10"/>
  <c r="V583" i="10"/>
  <c r="V597" i="10"/>
  <c r="V611" i="10"/>
  <c r="V625" i="10"/>
  <c r="V641" i="10"/>
  <c r="V655" i="10"/>
  <c r="V669" i="10"/>
  <c r="V683" i="10"/>
  <c r="V697" i="10"/>
  <c r="V713" i="10"/>
  <c r="V727" i="10"/>
  <c r="V741" i="10"/>
  <c r="V755" i="10"/>
  <c r="V769" i="10"/>
  <c r="V785" i="10"/>
  <c r="V799" i="10"/>
  <c r="V813" i="10"/>
  <c r="V827" i="10"/>
  <c r="V841" i="10"/>
  <c r="V857" i="10"/>
  <c r="V871" i="10"/>
  <c r="V885" i="10"/>
  <c r="V899" i="10"/>
  <c r="V913" i="10"/>
  <c r="V929" i="10"/>
  <c r="V943" i="10"/>
  <c r="V957" i="10"/>
  <c r="V971" i="10"/>
  <c r="V985" i="10"/>
  <c r="V1001" i="10"/>
  <c r="V1015" i="10"/>
  <c r="V1029" i="10"/>
  <c r="V1043" i="10"/>
  <c r="V1057" i="10"/>
  <c r="V1073" i="10"/>
  <c r="V1087" i="10"/>
  <c r="V1101" i="10"/>
  <c r="V1115" i="10"/>
  <c r="V1129" i="10"/>
  <c r="V1145" i="10"/>
  <c r="V1159" i="10"/>
  <c r="V1173" i="10"/>
  <c r="V1187" i="10"/>
  <c r="V1201" i="10"/>
  <c r="V1217" i="10"/>
  <c r="V1231" i="10"/>
  <c r="V1245" i="10"/>
  <c r="V1259" i="10"/>
  <c r="V1273" i="10"/>
  <c r="V1289" i="10"/>
  <c r="V1303" i="10"/>
  <c r="V1317" i="10"/>
  <c r="V1331" i="10"/>
  <c r="V1345" i="10"/>
  <c r="V1361" i="10"/>
  <c r="V1375" i="10"/>
  <c r="V1389" i="10"/>
  <c r="V1402" i="10"/>
  <c r="V1415" i="10"/>
  <c r="V1428" i="10"/>
  <c r="V1441" i="10"/>
  <c r="V1455" i="10"/>
  <c r="V1468" i="10"/>
  <c r="V1481" i="10"/>
  <c r="V1494" i="10"/>
  <c r="V1507" i="10"/>
  <c r="V1520" i="10"/>
  <c r="V1533" i="10"/>
  <c r="V1546" i="10"/>
  <c r="V1559" i="10"/>
  <c r="V1572" i="10"/>
  <c r="V1585" i="10"/>
  <c r="V1598" i="10"/>
  <c r="V1610" i="10"/>
  <c r="V1622" i="10"/>
  <c r="V1634" i="10"/>
  <c r="V1646" i="10"/>
  <c r="V1658" i="10"/>
  <c r="V1670" i="10"/>
  <c r="V1682" i="10"/>
  <c r="V1694" i="10"/>
  <c r="V1706" i="10"/>
  <c r="V1718" i="10"/>
  <c r="V1730" i="10"/>
  <c r="V1742" i="10"/>
  <c r="V1754" i="10"/>
  <c r="V16" i="10"/>
  <c r="V41" i="10"/>
  <c r="V67" i="10"/>
  <c r="V91" i="10"/>
  <c r="V114" i="10"/>
  <c r="V140" i="10"/>
  <c r="V166" i="10"/>
  <c r="V188" i="10"/>
  <c r="V213" i="10"/>
  <c r="V239" i="10"/>
  <c r="V263" i="10"/>
  <c r="V286" i="10"/>
  <c r="V312" i="10"/>
  <c r="V340" i="10"/>
  <c r="V360" i="10"/>
  <c r="V385" i="10"/>
  <c r="V413" i="10"/>
  <c r="V437" i="10"/>
  <c r="V460" i="10"/>
  <c r="V486" i="10"/>
  <c r="V512" i="10"/>
  <c r="V534" i="10"/>
  <c r="V559" i="10"/>
  <c r="V585" i="10"/>
  <c r="V609" i="10"/>
  <c r="V632" i="10"/>
  <c r="V658" i="10"/>
  <c r="V678" i="10"/>
  <c r="V702" i="10"/>
  <c r="V720" i="10"/>
  <c r="V742" i="10"/>
  <c r="V761" i="10"/>
  <c r="V778" i="10"/>
  <c r="V800" i="10"/>
  <c r="V817" i="10"/>
  <c r="V836" i="10"/>
  <c r="V858" i="10"/>
  <c r="V875" i="10"/>
  <c r="V894" i="10"/>
  <c r="V916" i="10"/>
  <c r="V933" i="10"/>
  <c r="V952" i="10"/>
  <c r="V972" i="10"/>
  <c r="V991" i="10"/>
  <c r="V1008" i="10"/>
  <c r="V1030" i="10"/>
  <c r="V1048" i="10"/>
  <c r="V1064" i="10"/>
  <c r="V1080" i="10"/>
  <c r="V1099" i="10"/>
  <c r="V1116" i="10"/>
  <c r="V1134" i="10"/>
  <c r="V1150" i="10"/>
  <c r="V1168" i="10"/>
  <c r="V1185" i="10"/>
  <c r="V1204" i="10"/>
  <c r="V1220" i="10"/>
  <c r="V1236" i="10"/>
  <c r="V1254" i="10"/>
  <c r="V1271" i="10"/>
  <c r="V1290" i="10"/>
  <c r="V1306" i="10"/>
  <c r="V1324" i="10"/>
  <c r="V1340" i="10"/>
  <c r="V1357" i="10"/>
  <c r="V1376" i="10"/>
  <c r="V1392" i="10"/>
  <c r="V1408" i="10"/>
  <c r="V1423" i="10"/>
  <c r="V1439" i="10"/>
  <c r="V1456" i="10"/>
  <c r="V1471" i="10"/>
  <c r="V1486" i="10"/>
  <c r="V1501" i="10"/>
  <c r="V1518" i="10"/>
  <c r="V1534" i="10"/>
  <c r="V1549" i="10"/>
  <c r="V1565" i="10"/>
  <c r="V1580" i="10"/>
  <c r="V1596" i="10"/>
  <c r="V1611" i="10"/>
  <c r="V1625" i="10"/>
  <c r="V1639" i="10"/>
  <c r="V1653" i="10"/>
  <c r="V1668" i="10"/>
  <c r="V1683" i="10"/>
  <c r="V1697" i="10"/>
  <c r="V1711" i="10"/>
  <c r="V1725" i="10"/>
  <c r="V1740" i="10"/>
  <c r="V1755" i="10"/>
  <c r="V19" i="10"/>
  <c r="V42" i="10"/>
  <c r="V68" i="10"/>
  <c r="V94" i="10"/>
  <c r="V116" i="10"/>
  <c r="V141" i="10"/>
  <c r="V167" i="10"/>
  <c r="V191" i="10"/>
  <c r="V214" i="10"/>
  <c r="V240" i="10"/>
  <c r="V268" i="10"/>
  <c r="V288" i="10"/>
  <c r="V313" i="10"/>
  <c r="V341" i="10"/>
  <c r="V365" i="10"/>
  <c r="V388" i="10"/>
  <c r="V414" i="10"/>
  <c r="V440" i="10"/>
  <c r="V462" i="10"/>
  <c r="V487" i="10"/>
  <c r="V513" i="10"/>
  <c r="V537" i="10"/>
  <c r="V560" i="10"/>
  <c r="V586" i="10"/>
  <c r="V612" i="10"/>
  <c r="V634" i="10"/>
  <c r="V659" i="10"/>
  <c r="V681" i="10"/>
  <c r="V703" i="10"/>
  <c r="V725" i="10"/>
  <c r="V743" i="10"/>
  <c r="V762" i="10"/>
  <c r="V781" i="10"/>
  <c r="V801" i="10"/>
  <c r="V820" i="10"/>
  <c r="V839" i="10"/>
  <c r="V859" i="10"/>
  <c r="V876" i="10"/>
  <c r="V897" i="10"/>
  <c r="V917" i="10"/>
  <c r="V934" i="10"/>
  <c r="V955" i="10"/>
  <c r="V973" i="10"/>
  <c r="V992" i="10"/>
  <c r="V1013" i="10"/>
  <c r="V1031" i="10"/>
  <c r="V1049" i="10"/>
  <c r="V1065" i="10"/>
  <c r="V1081" i="10"/>
  <c r="V1100" i="10"/>
  <c r="V1117" i="10"/>
  <c r="V1135" i="10"/>
  <c r="V1151" i="10"/>
  <c r="V1169" i="10"/>
  <c r="V1186" i="10"/>
  <c r="V1205" i="10"/>
  <c r="V1221" i="10"/>
  <c r="V1237" i="10"/>
  <c r="V1255" i="10"/>
  <c r="V1272" i="10"/>
  <c r="V1291" i="10"/>
  <c r="V1307" i="10"/>
  <c r="V1325" i="10"/>
  <c r="V1341" i="10"/>
  <c r="V1360" i="10"/>
  <c r="V1377" i="10"/>
  <c r="V1393" i="10"/>
  <c r="V1409" i="10"/>
  <c r="V1424" i="10"/>
  <c r="V1440" i="10"/>
  <c r="V1457" i="10"/>
  <c r="V1472" i="10"/>
  <c r="V1487" i="10"/>
  <c r="V1503" i="10"/>
  <c r="V1519" i="10"/>
  <c r="V1535" i="10"/>
  <c r="V1551" i="10"/>
  <c r="V1566" i="10"/>
  <c r="V1581" i="10"/>
  <c r="V1597" i="10"/>
  <c r="V1612" i="10"/>
  <c r="V1626" i="10"/>
  <c r="V1640" i="10"/>
  <c r="V1654" i="10"/>
  <c r="V1669" i="10"/>
  <c r="V1684" i="10"/>
  <c r="V1698" i="10"/>
  <c r="V1712" i="10"/>
  <c r="V1726" i="10"/>
  <c r="V1741" i="10"/>
  <c r="V1756" i="10"/>
  <c r="V22" i="10"/>
  <c r="V44" i="10"/>
  <c r="V69" i="10"/>
  <c r="V95" i="10"/>
  <c r="V119" i="10"/>
  <c r="V142" i="10"/>
  <c r="V168" i="10"/>
  <c r="V196" i="10"/>
  <c r="V216" i="10"/>
  <c r="V241" i="10"/>
  <c r="V269" i="10"/>
  <c r="V293" i="10"/>
  <c r="V316" i="10"/>
  <c r="V342" i="10"/>
  <c r="V368" i="10"/>
  <c r="V390" i="10"/>
  <c r="V415" i="10"/>
  <c r="V441" i="10"/>
  <c r="V465" i="10"/>
  <c r="V488" i="10"/>
  <c r="V514" i="10"/>
  <c r="V540" i="10"/>
  <c r="V562" i="10"/>
  <c r="V587" i="10"/>
  <c r="V613" i="10"/>
  <c r="V637" i="10"/>
  <c r="V660" i="10"/>
  <c r="V684" i="10"/>
  <c r="V704" i="10"/>
  <c r="V726" i="10"/>
  <c r="V744" i="10"/>
  <c r="V763" i="10"/>
  <c r="V784" i="10"/>
  <c r="V802" i="10"/>
  <c r="V821" i="10"/>
  <c r="V840" i="10"/>
  <c r="V860" i="10"/>
  <c r="V877" i="10"/>
  <c r="V898" i="10"/>
  <c r="V918" i="10"/>
  <c r="V935" i="10"/>
  <c r="V956" i="10"/>
  <c r="V976" i="10"/>
  <c r="V993" i="10"/>
  <c r="V1014" i="10"/>
  <c r="V1032" i="10"/>
  <c r="V1050" i="10"/>
  <c r="V1066" i="10"/>
  <c r="V1085" i="10"/>
  <c r="V1102" i="10"/>
  <c r="V1120" i="10"/>
  <c r="V1136" i="10"/>
  <c r="V1152" i="10"/>
  <c r="V1171" i="10"/>
  <c r="V1188" i="10"/>
  <c r="V1206" i="10"/>
  <c r="V1222" i="10"/>
  <c r="V1240" i="10"/>
  <c r="V1257" i="10"/>
  <c r="V1276" i="10"/>
  <c r="V1292" i="10"/>
  <c r="V1308" i="10"/>
  <c r="V1326" i="10"/>
  <c r="V1343" i="10"/>
  <c r="V1362" i="10"/>
  <c r="V1378" i="10"/>
  <c r="V1395" i="10"/>
  <c r="V1410" i="10"/>
  <c r="V1426" i="10"/>
  <c r="V1443" i="10"/>
  <c r="V1458" i="10"/>
  <c r="V1473" i="10"/>
  <c r="V1488" i="10"/>
  <c r="V1505" i="10"/>
  <c r="V1521" i="10"/>
  <c r="V1536" i="10"/>
  <c r="V1552" i="10"/>
  <c r="V1567" i="10"/>
  <c r="V1583" i="10"/>
  <c r="V1599" i="10"/>
  <c r="V1613" i="10"/>
  <c r="V1627" i="10"/>
  <c r="V1641" i="10"/>
  <c r="V1656" i="10"/>
  <c r="V1671" i="10"/>
  <c r="V1685" i="10"/>
  <c r="V1699" i="10"/>
  <c r="V1713" i="10"/>
  <c r="V1728" i="10"/>
  <c r="V1743" i="10"/>
  <c r="V1757" i="10"/>
  <c r="V23" i="10"/>
  <c r="V47" i="10"/>
  <c r="V70" i="10"/>
  <c r="V96" i="10"/>
  <c r="V124" i="10"/>
  <c r="V144" i="10"/>
  <c r="V169" i="10"/>
  <c r="V197" i="10"/>
  <c r="V221" i="10"/>
  <c r="V244" i="10"/>
  <c r="V270" i="10"/>
  <c r="V296" i="10"/>
  <c r="V318" i="10"/>
  <c r="V343" i="10"/>
  <c r="V369" i="10"/>
  <c r="V393" i="10"/>
  <c r="V416" i="10"/>
  <c r="V442" i="10"/>
  <c r="V468" i="10"/>
  <c r="V490" i="10"/>
  <c r="V515" i="10"/>
  <c r="V541" i="10"/>
  <c r="V565" i="10"/>
  <c r="V588" i="10"/>
  <c r="V616" i="10"/>
  <c r="V642" i="10"/>
  <c r="V661" i="10"/>
  <c r="V685" i="10"/>
  <c r="V705" i="10"/>
  <c r="V728" i="10"/>
  <c r="V745" i="10"/>
  <c r="V764" i="10"/>
  <c r="V786" i="10"/>
  <c r="V803" i="10"/>
  <c r="V822" i="10"/>
  <c r="V844" i="10"/>
  <c r="V861" i="10"/>
  <c r="V880" i="10"/>
  <c r="V900" i="10"/>
  <c r="V919" i="10"/>
  <c r="V936" i="10"/>
  <c r="V958" i="10"/>
  <c r="V977" i="10"/>
  <c r="V994" i="10"/>
  <c r="V1016" i="10"/>
  <c r="V1033" i="10"/>
  <c r="V1051" i="10"/>
  <c r="V1067" i="10"/>
  <c r="V1086" i="10"/>
  <c r="V1103" i="10"/>
  <c r="V1121" i="10"/>
  <c r="V1137" i="10"/>
  <c r="V1153" i="10"/>
  <c r="V1172" i="10"/>
  <c r="V1189" i="10"/>
  <c r="V1207" i="10"/>
  <c r="V1223" i="10"/>
  <c r="V1241" i="10"/>
  <c r="V1258" i="10"/>
  <c r="V1277" i="10"/>
  <c r="V1293" i="10"/>
  <c r="V1309" i="10"/>
  <c r="V1327" i="10"/>
  <c r="V1344" i="10"/>
  <c r="V1363" i="10"/>
  <c r="V1379" i="10"/>
  <c r="V1396" i="10"/>
  <c r="V1411" i="10"/>
  <c r="V1427" i="10"/>
  <c r="V1444" i="10"/>
  <c r="V1459" i="10"/>
  <c r="V1474" i="10"/>
  <c r="V1489" i="10"/>
  <c r="V1506" i="10"/>
  <c r="V1522" i="10"/>
  <c r="V1537" i="10"/>
  <c r="V1553" i="10"/>
  <c r="V1568" i="10"/>
  <c r="V1584" i="10"/>
  <c r="V1600" i="10"/>
  <c r="V1614" i="10"/>
  <c r="V1628" i="10"/>
  <c r="V1642" i="10"/>
  <c r="V1657" i="10"/>
  <c r="V1672" i="10"/>
  <c r="V1686" i="10"/>
  <c r="V1700" i="10"/>
  <c r="V1714" i="10"/>
  <c r="V1729" i="10"/>
  <c r="V1744" i="10"/>
  <c r="V1758" i="10"/>
  <c r="V24" i="10"/>
  <c r="V52" i="10"/>
  <c r="V72" i="10"/>
  <c r="V97" i="10"/>
  <c r="V125" i="10"/>
  <c r="V149" i="10"/>
  <c r="V172" i="10"/>
  <c r="V198" i="10"/>
  <c r="V224" i="10"/>
  <c r="V246" i="10"/>
  <c r="V271" i="10"/>
  <c r="V297" i="10"/>
  <c r="V321" i="10"/>
  <c r="V344" i="10"/>
  <c r="V370" i="10"/>
  <c r="V396" i="10"/>
  <c r="V418" i="10"/>
  <c r="V443" i="10"/>
  <c r="V469" i="10"/>
  <c r="V493" i="10"/>
  <c r="V516" i="10"/>
  <c r="V544" i="10"/>
  <c r="V570" i="10"/>
  <c r="V592" i="10"/>
  <c r="V617" i="10"/>
  <c r="V643" i="10"/>
  <c r="V664" i="10"/>
  <c r="V688" i="10"/>
  <c r="V706" i="10"/>
  <c r="V729" i="10"/>
  <c r="V748" i="10"/>
  <c r="V767" i="10"/>
  <c r="V787" i="10"/>
  <c r="V804" i="10"/>
  <c r="V825" i="10"/>
  <c r="V845" i="10"/>
  <c r="V862" i="10"/>
  <c r="V883" i="10"/>
  <c r="V901" i="10"/>
  <c r="V920" i="10"/>
  <c r="V941" i="10"/>
  <c r="V959" i="10"/>
  <c r="V978" i="10"/>
  <c r="V997" i="10"/>
  <c r="V1017" i="10"/>
  <c r="V1036" i="10"/>
  <c r="V1052" i="10"/>
  <c r="V1069" i="10"/>
  <c r="V1088" i="10"/>
  <c r="V1104" i="10"/>
  <c r="V1122" i="10"/>
  <c r="V1138" i="10"/>
  <c r="V1157" i="10"/>
  <c r="V1174" i="10"/>
  <c r="V1192" i="10"/>
  <c r="V1208" i="10"/>
  <c r="V1224" i="10"/>
  <c r="V1243" i="10"/>
  <c r="V1260" i="10"/>
  <c r="V1278" i="10"/>
  <c r="V1294" i="10"/>
  <c r="V1312" i="10"/>
  <c r="V1329" i="10"/>
  <c r="V1348" i="10"/>
  <c r="V1364" i="10"/>
  <c r="V1380" i="10"/>
  <c r="V1397" i="10"/>
  <c r="V1413" i="10"/>
  <c r="V1429" i="10"/>
  <c r="V1445" i="10"/>
  <c r="V1460" i="10"/>
  <c r="V1475" i="10"/>
  <c r="V1492" i="10"/>
  <c r="V1508" i="10"/>
  <c r="V1523" i="10"/>
  <c r="V1539" i="10"/>
  <c r="V1554" i="10"/>
  <c r="V1570" i="10"/>
  <c r="V1587" i="10"/>
  <c r="V1601" i="10"/>
  <c r="V1615" i="10"/>
  <c r="V1629" i="10"/>
  <c r="V1644" i="10"/>
  <c r="V1659" i="10"/>
  <c r="V1673" i="10"/>
  <c r="V1687" i="10"/>
  <c r="V1701" i="10"/>
  <c r="V1716" i="10"/>
  <c r="V1731" i="10"/>
  <c r="V1745" i="10"/>
  <c r="V1759" i="10"/>
  <c r="V25" i="10"/>
  <c r="V53" i="10"/>
  <c r="V77" i="10"/>
  <c r="V100" i="10"/>
  <c r="V126" i="10"/>
  <c r="V152" i="10"/>
  <c r="V174" i="10"/>
  <c r="V199" i="10"/>
  <c r="V225" i="10"/>
  <c r="V249" i="10"/>
  <c r="V272" i="10"/>
  <c r="V298" i="10"/>
  <c r="V324" i="10"/>
  <c r="V346" i="10"/>
  <c r="V371" i="10"/>
  <c r="V397" i="10"/>
  <c r="V421" i="10"/>
  <c r="V444" i="10"/>
  <c r="V472" i="10"/>
  <c r="V498" i="10"/>
  <c r="V520" i="10"/>
  <c r="V545" i="10"/>
  <c r="V571" i="10"/>
  <c r="V595" i="10"/>
  <c r="V618" i="10"/>
  <c r="V644" i="10"/>
  <c r="V667" i="10"/>
  <c r="V689" i="10"/>
  <c r="V709" i="10"/>
  <c r="V730" i="10"/>
  <c r="V749" i="10"/>
  <c r="V768" i="10"/>
  <c r="V788" i="10"/>
  <c r="V805" i="10"/>
  <c r="V826" i="10"/>
  <c r="V846" i="10"/>
  <c r="V863" i="10"/>
  <c r="V884" i="10"/>
  <c r="V904" i="10"/>
  <c r="V921" i="10"/>
  <c r="V942" i="10"/>
  <c r="V960" i="10"/>
  <c r="V979" i="10"/>
  <c r="V1000" i="10"/>
  <c r="V1018" i="10"/>
  <c r="V1037" i="10"/>
  <c r="V1053" i="10"/>
  <c r="V1072" i="10"/>
  <c r="V1089" i="10"/>
  <c r="V1105" i="10"/>
  <c r="V1123" i="10"/>
  <c r="V1139" i="10"/>
  <c r="V1158" i="10"/>
  <c r="V1175" i="10"/>
  <c r="V1193" i="10"/>
  <c r="V1209" i="10"/>
  <c r="V1225" i="10"/>
  <c r="V1244" i="10"/>
  <c r="V1261" i="10"/>
  <c r="V1279" i="10"/>
  <c r="V1295" i="10"/>
  <c r="V1313" i="10"/>
  <c r="V1330" i="10"/>
  <c r="V1349" i="10"/>
  <c r="V1365" i="10"/>
  <c r="V1381" i="10"/>
  <c r="V1398" i="10"/>
  <c r="V1414" i="10"/>
  <c r="V1431" i="10"/>
  <c r="V1446" i="10"/>
  <c r="V1461" i="10"/>
  <c r="V1476" i="10"/>
  <c r="V1493" i="10"/>
  <c r="V1509" i="10"/>
  <c r="V1524" i="10"/>
  <c r="V1540" i="10"/>
  <c r="V1555" i="10"/>
  <c r="V1571" i="10"/>
  <c r="V1588" i="10"/>
  <c r="V1602" i="10"/>
  <c r="V1616" i="10"/>
  <c r="V1630" i="10"/>
  <c r="V1645" i="10"/>
  <c r="V1660" i="10"/>
  <c r="V1674" i="10"/>
  <c r="V1688" i="10"/>
  <c r="V1702" i="10"/>
  <c r="V1717" i="10"/>
  <c r="V1732" i="10"/>
  <c r="V1746" i="10"/>
  <c r="V1760" i="10"/>
  <c r="V28" i="10"/>
  <c r="V80" i="10"/>
  <c r="V127" i="10"/>
  <c r="V177" i="10"/>
  <c r="V226" i="10"/>
  <c r="V274" i="10"/>
  <c r="V325" i="10"/>
  <c r="V372" i="10"/>
  <c r="V426" i="10"/>
  <c r="V473" i="10"/>
  <c r="V523" i="10"/>
  <c r="V572" i="10"/>
  <c r="V620" i="10"/>
  <c r="V670" i="10"/>
  <c r="V714" i="10"/>
  <c r="V750" i="10"/>
  <c r="V789" i="10"/>
  <c r="V828" i="10"/>
  <c r="V864" i="10"/>
  <c r="V905" i="10"/>
  <c r="V944" i="10"/>
  <c r="V980" i="10"/>
  <c r="V1019" i="10"/>
  <c r="V1055" i="10"/>
  <c r="V1090" i="10"/>
  <c r="V1124" i="10"/>
  <c r="V1160" i="10"/>
  <c r="V1194" i="10"/>
  <c r="V1229" i="10"/>
  <c r="V1264" i="10"/>
  <c r="V1296" i="10"/>
  <c r="V1332" i="10"/>
  <c r="V1366" i="10"/>
  <c r="V1400" i="10"/>
  <c r="V1432" i="10"/>
  <c r="V1462" i="10"/>
  <c r="V1495" i="10"/>
  <c r="V1525" i="10"/>
  <c r="V1557" i="10"/>
  <c r="V1589" i="10"/>
  <c r="V1617" i="10"/>
  <c r="V1647" i="10"/>
  <c r="V1675" i="10"/>
  <c r="V1704" i="10"/>
  <c r="V1733" i="10"/>
  <c r="V1761" i="10"/>
  <c r="V30" i="10"/>
  <c r="V81" i="10"/>
  <c r="V128" i="10"/>
  <c r="V180" i="10"/>
  <c r="V227" i="10"/>
  <c r="V277" i="10"/>
  <c r="V328" i="10"/>
  <c r="V376" i="10"/>
  <c r="V427" i="10"/>
  <c r="V474" i="10"/>
  <c r="V526" i="10"/>
  <c r="V573" i="10"/>
  <c r="V623" i="10"/>
  <c r="V671" i="10"/>
  <c r="V715" i="10"/>
  <c r="V753" i="10"/>
  <c r="V790" i="10"/>
  <c r="V829" i="10"/>
  <c r="V869" i="10"/>
  <c r="V906" i="10"/>
  <c r="V945" i="10"/>
  <c r="V983" i="10"/>
  <c r="V1020" i="10"/>
  <c r="V1056" i="10"/>
  <c r="V1091" i="10"/>
  <c r="V1125" i="10"/>
  <c r="V1161" i="10"/>
  <c r="V1195" i="10"/>
  <c r="V1230" i="10"/>
  <c r="V1265" i="10"/>
  <c r="V1297" i="10"/>
  <c r="V1333" i="10"/>
  <c r="V1367" i="10"/>
  <c r="V1401" i="10"/>
  <c r="V1433" i="10"/>
  <c r="V1463" i="10"/>
  <c r="V1496" i="10"/>
  <c r="V1527" i="10"/>
  <c r="V1558" i="10"/>
  <c r="V1590" i="10"/>
  <c r="V1618" i="10"/>
  <c r="V1648" i="10"/>
  <c r="V1676" i="10"/>
  <c r="V1705" i="10"/>
  <c r="V1734" i="10"/>
  <c r="V1762" i="10"/>
  <c r="V33" i="10"/>
  <c r="V82" i="10"/>
  <c r="V130" i="10"/>
  <c r="V181" i="10"/>
  <c r="V228" i="10"/>
  <c r="V282" i="10"/>
  <c r="V329" i="10"/>
  <c r="V379" i="10"/>
  <c r="V428" i="10"/>
  <c r="V476" i="10"/>
  <c r="V527" i="10"/>
  <c r="V574" i="10"/>
  <c r="V628" i="10"/>
  <c r="V672" i="10"/>
  <c r="V716" i="10"/>
  <c r="V754" i="10"/>
  <c r="V791" i="10"/>
  <c r="V832" i="10"/>
  <c r="V870" i="10"/>
  <c r="V907" i="10"/>
  <c r="V946" i="10"/>
  <c r="V984" i="10"/>
  <c r="V1021" i="10"/>
  <c r="V1060" i="10"/>
  <c r="V1092" i="10"/>
  <c r="V1127" i="10"/>
  <c r="V1162" i="10"/>
  <c r="V1196" i="10"/>
  <c r="V1232" i="10"/>
  <c r="V1266" i="10"/>
  <c r="V1301" i="10"/>
  <c r="V1336" i="10"/>
  <c r="V1368" i="10"/>
  <c r="V1403" i="10"/>
  <c r="V1434" i="10"/>
  <c r="V1465" i="10"/>
  <c r="V1497" i="10"/>
  <c r="V1528" i="10"/>
  <c r="V1560" i="10"/>
  <c r="V1591" i="10"/>
  <c r="V1620" i="10"/>
  <c r="V1649" i="10"/>
  <c r="V1677" i="10"/>
  <c r="V1707" i="10"/>
  <c r="V1735" i="10"/>
  <c r="V36" i="10"/>
  <c r="V83" i="10"/>
  <c r="V133" i="10"/>
  <c r="V184" i="10"/>
  <c r="V232" i="10"/>
  <c r="V283" i="10"/>
  <c r="V330" i="10"/>
  <c r="V382" i="10"/>
  <c r="V429" i="10"/>
  <c r="V479" i="10"/>
  <c r="V528" i="10"/>
  <c r="V576" i="10"/>
  <c r="V629" i="10"/>
  <c r="V673" i="10"/>
  <c r="V717" i="10"/>
  <c r="V756" i="10"/>
  <c r="V792" i="10"/>
  <c r="V833" i="10"/>
  <c r="V872" i="10"/>
  <c r="V908" i="10"/>
  <c r="V947" i="10"/>
  <c r="V988" i="10"/>
  <c r="V1024" i="10"/>
  <c r="V1061" i="10"/>
  <c r="V1093" i="10"/>
  <c r="V1128" i="10"/>
  <c r="V1163" i="10"/>
  <c r="V1197" i="10"/>
  <c r="V1233" i="10"/>
  <c r="V1267" i="10"/>
  <c r="V1302" i="10"/>
  <c r="V1337" i="10"/>
  <c r="V1369" i="10"/>
  <c r="V1404" i="10"/>
  <c r="V1435" i="10"/>
  <c r="V1467" i="10"/>
  <c r="V1498" i="10"/>
  <c r="V1529" i="10"/>
  <c r="V1561" i="10"/>
  <c r="V1592" i="10"/>
  <c r="V1621" i="10"/>
  <c r="V1650" i="10"/>
  <c r="V1678" i="10"/>
  <c r="V1708" i="10"/>
  <c r="V1736" i="10"/>
  <c r="V37" i="10"/>
  <c r="V84" i="10"/>
  <c r="V138" i="10"/>
  <c r="V185" i="10"/>
  <c r="V235" i="10"/>
  <c r="V284" i="10"/>
  <c r="V332" i="10"/>
  <c r="V383" i="10"/>
  <c r="V430" i="10"/>
  <c r="V484" i="10"/>
  <c r="V529" i="10"/>
  <c r="V581" i="10"/>
  <c r="V630" i="10"/>
  <c r="V676" i="10"/>
  <c r="V718" i="10"/>
  <c r="V757" i="10"/>
  <c r="V797" i="10"/>
  <c r="V834" i="10"/>
  <c r="V873" i="10"/>
  <c r="V911" i="10"/>
  <c r="V948" i="10"/>
  <c r="V989" i="10"/>
  <c r="V1027" i="10"/>
  <c r="V1062" i="10"/>
  <c r="V1096" i="10"/>
  <c r="V1132" i="10"/>
  <c r="V1164" i="10"/>
  <c r="V1199" i="10"/>
  <c r="V1234" i="10"/>
  <c r="V1268" i="10"/>
  <c r="V1304" i="10"/>
  <c r="V1338" i="10"/>
  <c r="V1373" i="10"/>
  <c r="V1405" i="10"/>
  <c r="V1436" i="10"/>
  <c r="V1469" i="10"/>
  <c r="V1499" i="10"/>
  <c r="V1531" i="10"/>
  <c r="V1563" i="10"/>
  <c r="V1593" i="10"/>
  <c r="V1623" i="10"/>
  <c r="V1651" i="10"/>
  <c r="V1680" i="10"/>
  <c r="V1709" i="10"/>
  <c r="V1737" i="10"/>
  <c r="V40" i="10"/>
  <c r="V88" i="10"/>
  <c r="V139" i="10"/>
  <c r="V186" i="10"/>
  <c r="V238" i="10"/>
  <c r="V285" i="10"/>
  <c r="V335" i="10"/>
  <c r="V384" i="10"/>
  <c r="V432" i="10"/>
  <c r="V485" i="10"/>
  <c r="V532" i="10"/>
  <c r="V584" i="10"/>
  <c r="V631" i="10"/>
  <c r="V677" i="10"/>
  <c r="V719" i="10"/>
  <c r="V760" i="10"/>
  <c r="V798" i="10"/>
  <c r="V835" i="10"/>
  <c r="V874" i="10"/>
  <c r="V912" i="10"/>
  <c r="V949" i="10"/>
  <c r="V990" i="10"/>
  <c r="V1028" i="10"/>
  <c r="V1063" i="10"/>
  <c r="V1097" i="10"/>
  <c r="V1133" i="10"/>
  <c r="V1165" i="10"/>
  <c r="V1200" i="10"/>
  <c r="V1235" i="10"/>
  <c r="V1269" i="10"/>
  <c r="V1305" i="10"/>
  <c r="V1339" i="10"/>
  <c r="V1374" i="10"/>
  <c r="V1407" i="10"/>
  <c r="V1437" i="10"/>
  <c r="V1470" i="10"/>
  <c r="V1500" i="10"/>
  <c r="V1532" i="10"/>
  <c r="V1564" i="10"/>
  <c r="V1594" i="10"/>
  <c r="V1624" i="10"/>
  <c r="V1652" i="10"/>
  <c r="V1681" i="10"/>
  <c r="V1710" i="10"/>
  <c r="V1738" i="10"/>
  <c r="V54" i="10"/>
  <c r="V153" i="10"/>
  <c r="V252" i="10"/>
  <c r="V349" i="10"/>
  <c r="V448" i="10"/>
  <c r="V546" i="10"/>
  <c r="V645" i="10"/>
  <c r="V731" i="10"/>
  <c r="V808" i="10"/>
  <c r="V886" i="10"/>
  <c r="V961" i="10"/>
  <c r="V1038" i="10"/>
  <c r="V1108" i="10"/>
  <c r="V1176" i="10"/>
  <c r="V1246" i="10"/>
  <c r="V1315" i="10"/>
  <c r="V1384" i="10"/>
  <c r="V1447" i="10"/>
  <c r="V1510" i="10"/>
  <c r="V1573" i="10"/>
  <c r="V1632" i="10"/>
  <c r="V1689" i="10"/>
  <c r="V1747" i="10"/>
  <c r="V55" i="10"/>
  <c r="V154" i="10"/>
  <c r="V253" i="10"/>
  <c r="V354" i="10"/>
  <c r="V451" i="10"/>
  <c r="V548" i="10"/>
  <c r="V646" i="10"/>
  <c r="V732" i="10"/>
  <c r="V811" i="10"/>
  <c r="V887" i="10"/>
  <c r="V964" i="10"/>
  <c r="V1039" i="10"/>
  <c r="V1109" i="10"/>
  <c r="V1177" i="10"/>
  <c r="V1247" i="10"/>
  <c r="V1316" i="10"/>
  <c r="V1385" i="10"/>
  <c r="V1448" i="10"/>
  <c r="V1511" i="10"/>
  <c r="V1575" i="10"/>
  <c r="V1633" i="10"/>
  <c r="V1690" i="10"/>
  <c r="V1748" i="10"/>
  <c r="V56" i="10"/>
  <c r="V155" i="10"/>
  <c r="V256" i="10"/>
  <c r="V355" i="10"/>
  <c r="V454" i="10"/>
  <c r="V551" i="10"/>
  <c r="V648" i="10"/>
  <c r="V733" i="10"/>
  <c r="V812" i="10"/>
  <c r="V888" i="10"/>
  <c r="V965" i="10"/>
  <c r="V1041" i="10"/>
  <c r="V1110" i="10"/>
  <c r="V1180" i="10"/>
  <c r="V1248" i="10"/>
  <c r="V1318" i="10"/>
  <c r="V1387" i="10"/>
  <c r="V1449" i="10"/>
  <c r="V1512" i="10"/>
  <c r="V1576" i="10"/>
  <c r="V1635" i="10"/>
  <c r="V1692" i="10"/>
  <c r="V1749" i="10"/>
  <c r="V58" i="10"/>
  <c r="V156" i="10"/>
  <c r="V257" i="10"/>
  <c r="V356" i="10"/>
  <c r="V455" i="10"/>
  <c r="V556" i="10"/>
  <c r="V653" i="10"/>
  <c r="V736" i="10"/>
  <c r="V814" i="10"/>
  <c r="V889" i="10"/>
  <c r="V966" i="10"/>
  <c r="V1042" i="10"/>
  <c r="V1111" i="10"/>
  <c r="V1181" i="10"/>
  <c r="V1249" i="10"/>
  <c r="V1319" i="10"/>
  <c r="V1388" i="10"/>
  <c r="V1450" i="10"/>
  <c r="V1513" i="10"/>
  <c r="V1577" i="10"/>
  <c r="V1636" i="10"/>
  <c r="V1693" i="10"/>
  <c r="V1750" i="10"/>
  <c r="V61" i="10"/>
  <c r="V160" i="10"/>
  <c r="V258" i="10"/>
  <c r="V357" i="10"/>
  <c r="V456" i="10"/>
  <c r="V557" i="10"/>
  <c r="V656" i="10"/>
  <c r="V739" i="10"/>
  <c r="V815" i="10"/>
  <c r="V892" i="10"/>
  <c r="V969" i="10"/>
  <c r="V1044" i="10"/>
  <c r="V1113" i="10"/>
  <c r="V1182" i="10"/>
  <c r="V1252" i="10"/>
  <c r="V1320" i="10"/>
  <c r="V1390" i="10"/>
  <c r="V1452" i="10"/>
  <c r="V1515" i="10"/>
  <c r="V1578" i="10"/>
  <c r="V1637" i="10"/>
  <c r="V1695" i="10"/>
  <c r="V1752" i="10"/>
  <c r="V66" i="10"/>
  <c r="V163" i="10"/>
  <c r="V260" i="10"/>
  <c r="V358" i="10"/>
  <c r="V457" i="10"/>
  <c r="V558" i="10"/>
  <c r="V657" i="10"/>
  <c r="V740" i="10"/>
  <c r="V816" i="10"/>
  <c r="V893" i="10"/>
  <c r="V970" i="10"/>
  <c r="V1045" i="10"/>
  <c r="V1114" i="10"/>
  <c r="V1183" i="10"/>
  <c r="V1253" i="10"/>
  <c r="V1321" i="10"/>
  <c r="V1391" i="10"/>
  <c r="V1453" i="10"/>
  <c r="V1516" i="10"/>
  <c r="V1579" i="10"/>
  <c r="V1638" i="10"/>
  <c r="V1696" i="10"/>
  <c r="V1753" i="10"/>
  <c r="V5" i="10"/>
  <c r="V200" i="10"/>
  <c r="V400" i="10"/>
  <c r="V598" i="10"/>
  <c r="V772" i="10"/>
  <c r="V922" i="10"/>
  <c r="V1074" i="10"/>
  <c r="V1210" i="10"/>
  <c r="V1350" i="10"/>
  <c r="V1479" i="10"/>
  <c r="V1603" i="10"/>
  <c r="V1719" i="10"/>
  <c r="V8" i="10"/>
  <c r="V202" i="10"/>
  <c r="V401" i="10"/>
  <c r="V599" i="10"/>
  <c r="V773" i="10"/>
  <c r="V925" i="10"/>
  <c r="V1075" i="10"/>
  <c r="V1211" i="10"/>
  <c r="V1351" i="10"/>
  <c r="V1480" i="10"/>
  <c r="V1604" i="10"/>
  <c r="V1720" i="10"/>
  <c r="V10" i="10"/>
  <c r="V210" i="10"/>
  <c r="V404" i="10"/>
  <c r="V601" i="10"/>
  <c r="V775" i="10"/>
  <c r="V930" i="10"/>
  <c r="V1077" i="10"/>
  <c r="V1216" i="10"/>
  <c r="V1353" i="10"/>
  <c r="V1483" i="10"/>
  <c r="V1606" i="10"/>
  <c r="V1722" i="10"/>
  <c r="V11" i="10"/>
  <c r="V211" i="10"/>
  <c r="V407" i="10"/>
  <c r="V604" i="10"/>
  <c r="V776" i="10"/>
  <c r="V931" i="10"/>
  <c r="V1078" i="10"/>
  <c r="V1218" i="10"/>
  <c r="V1354" i="10"/>
  <c r="V1484" i="10"/>
  <c r="V1608" i="10"/>
  <c r="V1723" i="10"/>
  <c r="V12" i="10"/>
  <c r="V212" i="10"/>
  <c r="V412" i="10"/>
  <c r="V606" i="10"/>
  <c r="V777" i="10"/>
  <c r="V932" i="10"/>
  <c r="V1079" i="10"/>
  <c r="V1219" i="10"/>
  <c r="V1355" i="10"/>
  <c r="V1485" i="10"/>
  <c r="V1609" i="10"/>
  <c r="V1724" i="10"/>
  <c r="V102" i="10"/>
  <c r="V299" i="10"/>
  <c r="V499" i="10"/>
  <c r="V690" i="10"/>
  <c r="V847" i="10"/>
  <c r="V1002" i="10"/>
  <c r="V1141" i="10"/>
  <c r="V1280" i="10"/>
  <c r="V1416" i="10"/>
  <c r="V1541" i="10"/>
  <c r="V1661" i="10"/>
  <c r="V205" i="10"/>
  <c r="V600" i="10"/>
  <c r="V928" i="10"/>
  <c r="V1213" i="10"/>
  <c r="V1482" i="10"/>
  <c r="V1721" i="10"/>
  <c r="V304" i="10"/>
  <c r="V1004" i="10"/>
  <c r="V1544" i="10"/>
  <c r="V300" i="10"/>
  <c r="V691" i="10"/>
  <c r="V1003" i="10"/>
  <c r="V1281" i="10"/>
  <c r="V1542" i="10"/>
  <c r="V692" i="10"/>
  <c r="V1282" i="10"/>
  <c r="V307" i="10"/>
  <c r="V695" i="10"/>
  <c r="V1005" i="10"/>
  <c r="V1283" i="10"/>
  <c r="V1545" i="10"/>
  <c r="V105" i="10"/>
  <c r="V500" i="10"/>
  <c r="V848" i="10"/>
  <c r="V1144" i="10"/>
  <c r="V1417" i="10"/>
  <c r="V1662" i="10"/>
  <c r="V108" i="10"/>
  <c r="V849" i="10"/>
  <c r="V1419" i="10"/>
  <c r="V310" i="10"/>
  <c r="V700" i="10"/>
  <c r="V1006" i="10"/>
  <c r="V1285" i="10"/>
  <c r="V1547" i="10"/>
  <c r="V501" i="10"/>
  <c r="V1146" i="10"/>
  <c r="V1663" i="10"/>
  <c r="V311" i="10"/>
  <c r="V701" i="10"/>
  <c r="V1007" i="10"/>
  <c r="V1288" i="10"/>
  <c r="V1548" i="10"/>
  <c r="V9" i="10"/>
  <c r="V402" i="10"/>
  <c r="V774" i="10"/>
  <c r="V1076" i="10"/>
  <c r="V1352" i="10"/>
  <c r="V1605" i="10"/>
  <c r="V504" i="10"/>
  <c r="V1665" i="10"/>
  <c r="V850" i="10"/>
  <c r="V509" i="10"/>
  <c r="V1666" i="10"/>
  <c r="V1421" i="10"/>
  <c r="V1664" i="10"/>
  <c r="V853" i="10"/>
  <c r="V856" i="10"/>
  <c r="V1422" i="10"/>
  <c r="V1147" i="10"/>
  <c r="V1149" i="10"/>
  <c r="V109" i="10"/>
  <c r="V112" i="10"/>
  <c r="V113" i="10"/>
  <c r="V502" i="10"/>
  <c r="V1148" i="10"/>
  <c r="V1420" i="10"/>
  <c r="L6" i="10"/>
  <c r="L18" i="10"/>
  <c r="L30" i="10"/>
  <c r="L42" i="10"/>
  <c r="L54" i="10"/>
  <c r="L66" i="10"/>
  <c r="L78" i="10"/>
  <c r="L90" i="10"/>
  <c r="L102" i="10"/>
  <c r="L114" i="10"/>
  <c r="L126" i="10"/>
  <c r="L138" i="10"/>
  <c r="L150" i="10"/>
  <c r="L162" i="10"/>
  <c r="L9" i="10"/>
  <c r="L21" i="10"/>
  <c r="L33" i="10"/>
  <c r="L45" i="10"/>
  <c r="L57" i="10"/>
  <c r="L69" i="10"/>
  <c r="L81" i="10"/>
  <c r="L93" i="10"/>
  <c r="L105" i="10"/>
  <c r="L117" i="10"/>
  <c r="L129" i="10"/>
  <c r="L141" i="10"/>
  <c r="L153" i="10"/>
  <c r="L165" i="10"/>
  <c r="L177" i="10"/>
  <c r="L189" i="10"/>
  <c r="L201" i="10"/>
  <c r="L213" i="10"/>
  <c r="L225" i="10"/>
  <c r="L237" i="10"/>
  <c r="L249" i="10"/>
  <c r="L261" i="10"/>
  <c r="L273" i="10"/>
  <c r="L285" i="10"/>
  <c r="L297" i="10"/>
  <c r="L309" i="10"/>
  <c r="L321" i="10"/>
  <c r="L333" i="10"/>
  <c r="L345" i="10"/>
  <c r="L357" i="10"/>
  <c r="L369" i="10"/>
  <c r="L381" i="10"/>
  <c r="L393" i="10"/>
  <c r="L405" i="10"/>
  <c r="L417" i="10"/>
  <c r="L429" i="10"/>
  <c r="L441" i="10"/>
  <c r="L453" i="10"/>
  <c r="L465" i="10"/>
  <c r="L477" i="10"/>
  <c r="L489" i="10"/>
  <c r="L501" i="10"/>
  <c r="L513" i="10"/>
  <c r="L10" i="10"/>
  <c r="L22" i="10"/>
  <c r="L34" i="10"/>
  <c r="L46" i="10"/>
  <c r="L58" i="10"/>
  <c r="L70" i="10"/>
  <c r="L82" i="10"/>
  <c r="L94" i="10"/>
  <c r="L106" i="10"/>
  <c r="L118" i="10"/>
  <c r="L130" i="10"/>
  <c r="L142" i="10"/>
  <c r="L154" i="10"/>
  <c r="L166" i="10"/>
  <c r="L178" i="10"/>
  <c r="L190" i="10"/>
  <c r="L202" i="10"/>
  <c r="L214" i="10"/>
  <c r="L226" i="10"/>
  <c r="L238" i="10"/>
  <c r="L250" i="10"/>
  <c r="L262" i="10"/>
  <c r="L274" i="10"/>
  <c r="L286" i="10"/>
  <c r="L298" i="10"/>
  <c r="L310" i="10"/>
  <c r="L322" i="10"/>
  <c r="L334" i="10"/>
  <c r="L346" i="10"/>
  <c r="L358" i="10"/>
  <c r="L370" i="10"/>
  <c r="L382" i="10"/>
  <c r="L394" i="10"/>
  <c r="L406" i="10"/>
  <c r="L418" i="10"/>
  <c r="L430" i="10"/>
  <c r="L442" i="10"/>
  <c r="L454" i="10"/>
  <c r="L466" i="10"/>
  <c r="L478" i="10"/>
  <c r="L490" i="10"/>
  <c r="L502" i="10"/>
  <c r="L514" i="10"/>
  <c r="L11" i="10"/>
  <c r="L23" i="10"/>
  <c r="L35" i="10"/>
  <c r="L47" i="10"/>
  <c r="L59" i="10"/>
  <c r="L71" i="10"/>
  <c r="L83" i="10"/>
  <c r="L95" i="10"/>
  <c r="L107" i="10"/>
  <c r="L119" i="10"/>
  <c r="L131" i="10"/>
  <c r="L143" i="10"/>
  <c r="L155" i="10"/>
  <c r="L167" i="10"/>
  <c r="L179" i="10"/>
  <c r="L191" i="10"/>
  <c r="L203" i="10"/>
  <c r="L215" i="10"/>
  <c r="L227" i="10"/>
  <c r="L239" i="10"/>
  <c r="L251" i="10"/>
  <c r="L263" i="10"/>
  <c r="L275" i="10"/>
  <c r="L287" i="10"/>
  <c r="L299" i="10"/>
  <c r="L311" i="10"/>
  <c r="L323" i="10"/>
  <c r="L335" i="10"/>
  <c r="L347" i="10"/>
  <c r="L359" i="10"/>
  <c r="L371" i="10"/>
  <c r="L12" i="10"/>
  <c r="L24" i="10"/>
  <c r="L36" i="10"/>
  <c r="L48" i="10"/>
  <c r="L60" i="10"/>
  <c r="L72" i="10"/>
  <c r="L19" i="10"/>
  <c r="L40" i="10"/>
  <c r="L62" i="10"/>
  <c r="L80" i="10"/>
  <c r="L99" i="10"/>
  <c r="L116" i="10"/>
  <c r="L135" i="10"/>
  <c r="L152" i="10"/>
  <c r="L171" i="10"/>
  <c r="L186" i="10"/>
  <c r="L204" i="10"/>
  <c r="L219" i="10"/>
  <c r="L234" i="10"/>
  <c r="L252" i="10"/>
  <c r="L267" i="10"/>
  <c r="L282" i="10"/>
  <c r="L300" i="10"/>
  <c r="L315" i="10"/>
  <c r="L330" i="10"/>
  <c r="L348" i="10"/>
  <c r="L363" i="10"/>
  <c r="L378" i="10"/>
  <c r="L392" i="10"/>
  <c r="L408" i="10"/>
  <c r="L422" i="10"/>
  <c r="L436" i="10"/>
  <c r="L450" i="10"/>
  <c r="L464" i="10"/>
  <c r="L480" i="10"/>
  <c r="L494" i="10"/>
  <c r="L508" i="10"/>
  <c r="L522" i="10"/>
  <c r="L3" i="10"/>
  <c r="L25" i="10"/>
  <c r="L43" i="10"/>
  <c r="L64" i="10"/>
  <c r="L85" i="10"/>
  <c r="L101" i="10"/>
  <c r="L121" i="10"/>
  <c r="L137" i="10"/>
  <c r="L157" i="10"/>
  <c r="L173" i="10"/>
  <c r="L188" i="10"/>
  <c r="L206" i="10"/>
  <c r="L221" i="10"/>
  <c r="L236" i="10"/>
  <c r="L254" i="10"/>
  <c r="L269" i="10"/>
  <c r="L284" i="10"/>
  <c r="L302" i="10"/>
  <c r="L317" i="10"/>
  <c r="L332" i="10"/>
  <c r="L350" i="10"/>
  <c r="L365" i="10"/>
  <c r="L380" i="10"/>
  <c r="L396" i="10"/>
  <c r="L410" i="10"/>
  <c r="L424" i="10"/>
  <c r="L438" i="10"/>
  <c r="L452" i="10"/>
  <c r="L468" i="10"/>
  <c r="L482" i="10"/>
  <c r="L496" i="10"/>
  <c r="L510" i="10"/>
  <c r="L4" i="10"/>
  <c r="L26" i="10"/>
  <c r="L44" i="10"/>
  <c r="L65" i="10"/>
  <c r="L86" i="10"/>
  <c r="L103" i="10"/>
  <c r="L122" i="10"/>
  <c r="L139" i="10"/>
  <c r="L158" i="10"/>
  <c r="L174" i="10"/>
  <c r="L192" i="10"/>
  <c r="L207" i="10"/>
  <c r="L222" i="10"/>
  <c r="L240" i="10"/>
  <c r="L255" i="10"/>
  <c r="L270" i="10"/>
  <c r="L288" i="10"/>
  <c r="L303" i="10"/>
  <c r="L318" i="10"/>
  <c r="L336" i="10"/>
  <c r="L351" i="10"/>
  <c r="L366" i="10"/>
  <c r="L383" i="10"/>
  <c r="L397" i="10"/>
  <c r="L411" i="10"/>
  <c r="L425" i="10"/>
  <c r="L439" i="10"/>
  <c r="L455" i="10"/>
  <c r="L469" i="10"/>
  <c r="L483" i="10"/>
  <c r="L497" i="10"/>
  <c r="L511" i="10"/>
  <c r="L7" i="10"/>
  <c r="L28" i="10"/>
  <c r="L50" i="10"/>
  <c r="L68" i="10"/>
  <c r="L88" i="10"/>
  <c r="L108" i="10"/>
  <c r="L124" i="10"/>
  <c r="L144" i="10"/>
  <c r="L160" i="10"/>
  <c r="L176" i="10"/>
  <c r="L194" i="10"/>
  <c r="L209" i="10"/>
  <c r="L224" i="10"/>
  <c r="L242" i="10"/>
  <c r="L257" i="10"/>
  <c r="L272" i="10"/>
  <c r="L290" i="10"/>
  <c r="L305" i="10"/>
  <c r="L320" i="10"/>
  <c r="L338" i="10"/>
  <c r="L353" i="10"/>
  <c r="L368" i="10"/>
  <c r="L385" i="10"/>
  <c r="L399" i="10"/>
  <c r="L413" i="10"/>
  <c r="L427" i="10"/>
  <c r="L443" i="10"/>
  <c r="L457" i="10"/>
  <c r="L471" i="10"/>
  <c r="L485" i="10"/>
  <c r="L499" i="10"/>
  <c r="L515" i="10"/>
  <c r="L8" i="10"/>
  <c r="L29" i="10"/>
  <c r="L51" i="10"/>
  <c r="L73" i="10"/>
  <c r="L89" i="10"/>
  <c r="L109" i="10"/>
  <c r="L125" i="10"/>
  <c r="L145" i="10"/>
  <c r="L161" i="10"/>
  <c r="L180" i="10"/>
  <c r="L195" i="10"/>
  <c r="L210" i="10"/>
  <c r="L228" i="10"/>
  <c r="L243" i="10"/>
  <c r="L258" i="10"/>
  <c r="L276" i="10"/>
  <c r="L291" i="10"/>
  <c r="L306" i="10"/>
  <c r="L324" i="10"/>
  <c r="L339" i="10"/>
  <c r="L354" i="10"/>
  <c r="L372" i="10"/>
  <c r="L386" i="10"/>
  <c r="L400" i="10"/>
  <c r="L414" i="10"/>
  <c r="L428" i="10"/>
  <c r="L444" i="10"/>
  <c r="L458" i="10"/>
  <c r="L472" i="10"/>
  <c r="L486" i="10"/>
  <c r="L500" i="10"/>
  <c r="L516" i="10"/>
  <c r="L14" i="10"/>
  <c r="L49" i="10"/>
  <c r="L79" i="10"/>
  <c r="L112" i="10"/>
  <c r="L146" i="10"/>
  <c r="L172" i="10"/>
  <c r="L199" i="10"/>
  <c r="L230" i="10"/>
  <c r="L256" i="10"/>
  <c r="L281" i="10"/>
  <c r="L312" i="10"/>
  <c r="L340" i="10"/>
  <c r="L364" i="10"/>
  <c r="L390" i="10"/>
  <c r="L416" i="10"/>
  <c r="L440" i="10"/>
  <c r="L463" i="10"/>
  <c r="L491" i="10"/>
  <c r="L517" i="10"/>
  <c r="L15" i="10"/>
  <c r="L52" i="10"/>
  <c r="L84" i="10"/>
  <c r="L113" i="10"/>
  <c r="L147" i="10"/>
  <c r="L175" i="10"/>
  <c r="L200" i="10"/>
  <c r="L231" i="10"/>
  <c r="L259" i="10"/>
  <c r="L283" i="10"/>
  <c r="L313" i="10"/>
  <c r="L341" i="10"/>
  <c r="L367" i="10"/>
  <c r="L391" i="10"/>
  <c r="L419" i="10"/>
  <c r="L445" i="10"/>
  <c r="L467" i="10"/>
  <c r="L492" i="10"/>
  <c r="L518" i="10"/>
  <c r="L16" i="10"/>
  <c r="L53" i="10"/>
  <c r="L87" i="10"/>
  <c r="L115" i="10"/>
  <c r="L148" i="10"/>
  <c r="L181" i="10"/>
  <c r="L205" i="10"/>
  <c r="L232" i="10"/>
  <c r="L260" i="10"/>
  <c r="L289" i="10"/>
  <c r="L314" i="10"/>
  <c r="L342" i="10"/>
  <c r="L373" i="10"/>
  <c r="L395" i="10"/>
  <c r="L420" i="10"/>
  <c r="L446" i="10"/>
  <c r="L470" i="10"/>
  <c r="L493" i="10"/>
  <c r="L519" i="10"/>
  <c r="L17" i="10"/>
  <c r="L55" i="10"/>
  <c r="L91" i="10"/>
  <c r="L120" i="10"/>
  <c r="L149" i="10"/>
  <c r="L182" i="10"/>
  <c r="L208" i="10"/>
  <c r="L233" i="10"/>
  <c r="L264" i="10"/>
  <c r="L292" i="10"/>
  <c r="L316" i="10"/>
  <c r="L343" i="10"/>
  <c r="L374" i="10"/>
  <c r="L398" i="10"/>
  <c r="L421" i="10"/>
  <c r="L447" i="10"/>
  <c r="L473" i="10"/>
  <c r="L495" i="10"/>
  <c r="L520" i="10"/>
  <c r="L20" i="10"/>
  <c r="L56" i="10"/>
  <c r="L92" i="10"/>
  <c r="L123" i="10"/>
  <c r="L151" i="10"/>
  <c r="L183" i="10"/>
  <c r="L211" i="10"/>
  <c r="L235" i="10"/>
  <c r="L265" i="10"/>
  <c r="L293" i="10"/>
  <c r="L319" i="10"/>
  <c r="L344" i="10"/>
  <c r="L375" i="10"/>
  <c r="L401" i="10"/>
  <c r="L423" i="10"/>
  <c r="L448" i="10"/>
  <c r="L474" i="10"/>
  <c r="L498" i="10"/>
  <c r="L521" i="10"/>
  <c r="L27" i="10"/>
  <c r="L61" i="10"/>
  <c r="L96" i="10"/>
  <c r="L127" i="10"/>
  <c r="L156" i="10"/>
  <c r="L184" i="10"/>
  <c r="L212" i="10"/>
  <c r="L241" i="10"/>
  <c r="L266" i="10"/>
  <c r="L294" i="10"/>
  <c r="L325" i="10"/>
  <c r="L349" i="10"/>
  <c r="L376" i="10"/>
  <c r="L402" i="10"/>
  <c r="L426" i="10"/>
  <c r="L449" i="10"/>
  <c r="L475" i="10"/>
  <c r="L503" i="10"/>
  <c r="L523" i="10"/>
  <c r="L63" i="10"/>
  <c r="L128" i="10"/>
  <c r="L185" i="10"/>
  <c r="L244" i="10"/>
  <c r="L295" i="10"/>
  <c r="L352" i="10"/>
  <c r="L403" i="10"/>
  <c r="L451" i="10"/>
  <c r="L504" i="10"/>
  <c r="L67" i="10"/>
  <c r="L132" i="10"/>
  <c r="L187" i="10"/>
  <c r="L245" i="10"/>
  <c r="L296" i="10"/>
  <c r="L355" i="10"/>
  <c r="L404" i="10"/>
  <c r="L456" i="10"/>
  <c r="L505" i="10"/>
  <c r="L74" i="10"/>
  <c r="L133" i="10"/>
  <c r="L193" i="10"/>
  <c r="L246" i="10"/>
  <c r="L301" i="10"/>
  <c r="L356" i="10"/>
  <c r="L407" i="10"/>
  <c r="L459" i="10"/>
  <c r="L506" i="10"/>
  <c r="L2" i="10"/>
  <c r="L75" i="10"/>
  <c r="L134" i="10"/>
  <c r="L196" i="10"/>
  <c r="L247" i="10"/>
  <c r="L304" i="10"/>
  <c r="L360" i="10"/>
  <c r="L409" i="10"/>
  <c r="L460" i="10"/>
  <c r="L507" i="10"/>
  <c r="L5" i="10"/>
  <c r="L76" i="10"/>
  <c r="L136" i="10"/>
  <c r="L197" i="10"/>
  <c r="L248" i="10"/>
  <c r="L307" i="10"/>
  <c r="L361" i="10"/>
  <c r="L412" i="10"/>
  <c r="L461" i="10"/>
  <c r="L509" i="10"/>
  <c r="L13" i="10"/>
  <c r="L77" i="10"/>
  <c r="L140" i="10"/>
  <c r="L198" i="10"/>
  <c r="L253" i="10"/>
  <c r="L308" i="10"/>
  <c r="L362" i="10"/>
  <c r="L415" i="10"/>
  <c r="L462" i="10"/>
  <c r="L512" i="10"/>
  <c r="L31" i="10"/>
  <c r="L159" i="10"/>
  <c r="L268" i="10"/>
  <c r="L377" i="10"/>
  <c r="L476" i="10"/>
  <c r="L32" i="10"/>
  <c r="L163" i="10"/>
  <c r="L271" i="10"/>
  <c r="L379" i="10"/>
  <c r="L479" i="10"/>
  <c r="L37" i="10"/>
  <c r="L164" i="10"/>
  <c r="L277" i="10"/>
  <c r="L384" i="10"/>
  <c r="L481" i="10"/>
  <c r="L38" i="10"/>
  <c r="L168" i="10"/>
  <c r="L278" i="10"/>
  <c r="L387" i="10"/>
  <c r="L484" i="10"/>
  <c r="L39" i="10"/>
  <c r="L169" i="10"/>
  <c r="L279" i="10"/>
  <c r="L388" i="10"/>
  <c r="L487" i="10"/>
  <c r="L41" i="10"/>
  <c r="L170" i="10"/>
  <c r="L280" i="10"/>
  <c r="L389" i="10"/>
  <c r="L488" i="10"/>
  <c r="L97" i="10"/>
  <c r="L326" i="10"/>
  <c r="L98" i="10"/>
  <c r="L327" i="10"/>
  <c r="L104" i="10"/>
  <c r="L329" i="10"/>
  <c r="L110" i="10"/>
  <c r="L331" i="10"/>
  <c r="L111" i="10"/>
  <c r="L337" i="10"/>
  <c r="L216" i="10"/>
  <c r="L431" i="10"/>
  <c r="L328" i="10"/>
  <c r="L432" i="10"/>
  <c r="L433" i="10"/>
  <c r="L434" i="10"/>
  <c r="L217" i="10"/>
  <c r="L218" i="10"/>
  <c r="L435" i="10"/>
  <c r="L437" i="10"/>
  <c r="L100" i="10"/>
  <c r="L220" i="10"/>
  <c r="L223" i="10"/>
  <c r="L229" i="10"/>
  <c r="C11" i="10"/>
  <c r="C23" i="10"/>
  <c r="C35" i="10"/>
  <c r="C47" i="10"/>
  <c r="C59" i="10"/>
  <c r="C71" i="10"/>
  <c r="C83" i="10"/>
  <c r="C95" i="10"/>
  <c r="C107" i="10"/>
  <c r="C119" i="10"/>
  <c r="C131" i="10"/>
  <c r="C143" i="10"/>
  <c r="C155" i="10"/>
  <c r="C167" i="10"/>
  <c r="C179" i="10"/>
  <c r="C191" i="10"/>
  <c r="C203" i="10"/>
  <c r="C215" i="10"/>
  <c r="C227" i="10"/>
  <c r="C239" i="10"/>
  <c r="C251" i="10"/>
  <c r="C263" i="10"/>
  <c r="C275" i="10"/>
  <c r="C287" i="10"/>
  <c r="C299" i="10"/>
  <c r="C311" i="10"/>
  <c r="C323" i="10"/>
  <c r="C335" i="10"/>
  <c r="C347" i="10"/>
  <c r="C359" i="10"/>
  <c r="C371" i="10"/>
  <c r="C383" i="10"/>
  <c r="C395" i="10"/>
  <c r="C407" i="10"/>
  <c r="C419" i="10"/>
  <c r="C431" i="10"/>
  <c r="C443" i="10"/>
  <c r="C455" i="10"/>
  <c r="C467" i="10"/>
  <c r="C479" i="10"/>
  <c r="C491" i="10"/>
  <c r="C503" i="10"/>
  <c r="C515" i="10"/>
  <c r="C12" i="10"/>
  <c r="C24" i="10"/>
  <c r="C36" i="10"/>
  <c r="C48" i="10"/>
  <c r="C60" i="10"/>
  <c r="C72" i="10"/>
  <c r="C84" i="10"/>
  <c r="C96" i="10"/>
  <c r="C108" i="10"/>
  <c r="C120" i="10"/>
  <c r="C132" i="10"/>
  <c r="C144" i="10"/>
  <c r="C156" i="10"/>
  <c r="C168" i="10"/>
  <c r="C180" i="10"/>
  <c r="C192" i="10"/>
  <c r="C204" i="10"/>
  <c r="C216" i="10"/>
  <c r="C228" i="10"/>
  <c r="C240" i="10"/>
  <c r="C252" i="10"/>
  <c r="C264" i="10"/>
  <c r="C276" i="10"/>
  <c r="C288" i="10"/>
  <c r="C300" i="10"/>
  <c r="C312" i="10"/>
  <c r="C324" i="10"/>
  <c r="C336" i="10"/>
  <c r="C348" i="10"/>
  <c r="C360" i="10"/>
  <c r="C372" i="10"/>
  <c r="C384" i="10"/>
  <c r="C396" i="10"/>
  <c r="C408" i="10"/>
  <c r="C420" i="10"/>
  <c r="C432" i="10"/>
  <c r="C444" i="10"/>
  <c r="C456" i="10"/>
  <c r="C468" i="10"/>
  <c r="C480" i="10"/>
  <c r="C492" i="10"/>
  <c r="C504" i="10"/>
  <c r="C516" i="10"/>
  <c r="C528" i="10"/>
  <c r="C540" i="10"/>
  <c r="C552" i="10"/>
  <c r="C564" i="10"/>
  <c r="C576" i="10"/>
  <c r="C588" i="10"/>
  <c r="C600" i="10"/>
  <c r="C612" i="10"/>
  <c r="C624" i="10"/>
  <c r="C636" i="10"/>
  <c r="C648" i="10"/>
  <c r="C660" i="10"/>
  <c r="C672" i="10"/>
  <c r="C684" i="10"/>
  <c r="C696" i="10"/>
  <c r="C708" i="10"/>
  <c r="C2" i="10"/>
  <c r="C16" i="10"/>
  <c r="C30" i="10"/>
  <c r="C44" i="10"/>
  <c r="C58" i="10"/>
  <c r="C74" i="10"/>
  <c r="C88" i="10"/>
  <c r="C102" i="10"/>
  <c r="C116" i="10"/>
  <c r="C10" i="10"/>
  <c r="C27" i="10"/>
  <c r="C42" i="10"/>
  <c r="C57" i="10"/>
  <c r="C75" i="10"/>
  <c r="C90" i="10"/>
  <c r="C105" i="10"/>
  <c r="C122" i="10"/>
  <c r="C136" i="10"/>
  <c r="C150" i="10"/>
  <c r="C164" i="10"/>
  <c r="C178" i="10"/>
  <c r="C194" i="10"/>
  <c r="C208" i="10"/>
  <c r="C222" i="10"/>
  <c r="C236" i="10"/>
  <c r="C250" i="10"/>
  <c r="C266" i="10"/>
  <c r="C280" i="10"/>
  <c r="C294" i="10"/>
  <c r="C308" i="10"/>
  <c r="C322" i="10"/>
  <c r="C338" i="10"/>
  <c r="C352" i="10"/>
  <c r="C366" i="10"/>
  <c r="C380" i="10"/>
  <c r="C394" i="10"/>
  <c r="C410" i="10"/>
  <c r="C424" i="10"/>
  <c r="C438" i="10"/>
  <c r="C452" i="10"/>
  <c r="C466" i="10"/>
  <c r="C482" i="10"/>
  <c r="C496" i="10"/>
  <c r="C510" i="10"/>
  <c r="C524" i="10"/>
  <c r="C537" i="10"/>
  <c r="C550" i="10"/>
  <c r="C563" i="10"/>
  <c r="C577" i="10"/>
  <c r="C590" i="10"/>
  <c r="C603" i="10"/>
  <c r="C616" i="10"/>
  <c r="C629" i="10"/>
  <c r="C642" i="10"/>
  <c r="C655" i="10"/>
  <c r="C668" i="10"/>
  <c r="C681" i="10"/>
  <c r="C694" i="10"/>
  <c r="C707" i="10"/>
  <c r="C720" i="10"/>
  <c r="C732" i="10"/>
  <c r="C744" i="10"/>
  <c r="C756" i="10"/>
  <c r="C768" i="10"/>
  <c r="C780" i="10"/>
  <c r="C792" i="10"/>
  <c r="C804" i="10"/>
  <c r="C816" i="10"/>
  <c r="C828" i="10"/>
  <c r="C840" i="10"/>
  <c r="C852" i="10"/>
  <c r="C864" i="10"/>
  <c r="C876" i="10"/>
  <c r="C888" i="10"/>
  <c r="C900" i="10"/>
  <c r="C912" i="10"/>
  <c r="C924" i="10"/>
  <c r="C936" i="10"/>
  <c r="C948" i="10"/>
  <c r="C960" i="10"/>
  <c r="C972" i="10"/>
  <c r="C984" i="10"/>
  <c r="C996" i="10"/>
  <c r="C1008" i="10"/>
  <c r="C1020" i="10"/>
  <c r="C1032" i="10"/>
  <c r="C1044" i="10"/>
  <c r="C1056" i="10"/>
  <c r="C1068" i="10"/>
  <c r="C1080" i="10"/>
  <c r="C1092" i="10"/>
  <c r="C1104" i="10"/>
  <c r="C1116" i="10"/>
  <c r="C1128" i="10"/>
  <c r="C1140" i="10"/>
  <c r="C1152" i="10"/>
  <c r="C1164" i="10"/>
  <c r="C1176" i="10"/>
  <c r="C1188" i="10"/>
  <c r="C1200" i="10"/>
  <c r="C1212" i="10"/>
  <c r="C1224" i="10"/>
  <c r="C1236" i="10"/>
  <c r="C1248" i="10"/>
  <c r="C1260" i="10"/>
  <c r="C1272" i="10"/>
  <c r="C1284" i="10"/>
  <c r="C1296" i="10"/>
  <c r="C1308" i="10"/>
  <c r="C1320" i="10"/>
  <c r="C1332" i="10"/>
  <c r="C1344" i="10"/>
  <c r="C1356" i="10"/>
  <c r="C1368" i="10"/>
  <c r="C1380" i="10"/>
  <c r="C1392" i="10"/>
  <c r="C1404" i="10"/>
  <c r="C1416" i="10"/>
  <c r="C1428" i="10"/>
  <c r="C1440" i="10"/>
  <c r="C1452" i="10"/>
  <c r="C1464" i="10"/>
  <c r="C1476" i="10"/>
  <c r="C1488" i="10"/>
  <c r="C1500" i="10"/>
  <c r="C1512" i="10"/>
  <c r="C1524" i="10"/>
  <c r="C1536" i="10"/>
  <c r="C1548" i="10"/>
  <c r="C1560" i="10"/>
  <c r="C1572" i="10"/>
  <c r="C1584" i="10"/>
  <c r="C1596" i="10"/>
  <c r="C1608" i="10"/>
  <c r="C1620" i="10"/>
  <c r="C1632" i="10"/>
  <c r="C1644" i="10"/>
  <c r="C1656" i="10"/>
  <c r="C1668" i="10"/>
  <c r="C1680" i="10"/>
  <c r="C1692" i="10"/>
  <c r="C1704" i="10"/>
  <c r="C1716" i="10"/>
  <c r="C1728" i="10"/>
  <c r="C1740" i="10"/>
  <c r="C1752" i="10"/>
  <c r="C13" i="10"/>
  <c r="C28" i="10"/>
  <c r="C43" i="10"/>
  <c r="C61" i="10"/>
  <c r="C76" i="10"/>
  <c r="C91" i="10"/>
  <c r="C106" i="10"/>
  <c r="C123" i="10"/>
  <c r="C137" i="10"/>
  <c r="C151" i="10"/>
  <c r="C165" i="10"/>
  <c r="C181" i="10"/>
  <c r="C195" i="10"/>
  <c r="C209" i="10"/>
  <c r="C223" i="10"/>
  <c r="C237" i="10"/>
  <c r="C253" i="10"/>
  <c r="C267" i="10"/>
  <c r="C281" i="10"/>
  <c r="C295" i="10"/>
  <c r="C309" i="10"/>
  <c r="C325" i="10"/>
  <c r="C339" i="10"/>
  <c r="C353" i="10"/>
  <c r="C367" i="10"/>
  <c r="C381" i="10"/>
  <c r="C397" i="10"/>
  <c r="C411" i="10"/>
  <c r="C425" i="10"/>
  <c r="C439" i="10"/>
  <c r="C453" i="10"/>
  <c r="C469" i="10"/>
  <c r="C483" i="10"/>
  <c r="C497" i="10"/>
  <c r="C511" i="10"/>
  <c r="C525" i="10"/>
  <c r="C538" i="10"/>
  <c r="C551" i="10"/>
  <c r="C565" i="10"/>
  <c r="C578" i="10"/>
  <c r="C591" i="10"/>
  <c r="C604" i="10"/>
  <c r="C617" i="10"/>
  <c r="C630" i="10"/>
  <c r="C643" i="10"/>
  <c r="C656" i="10"/>
  <c r="C669" i="10"/>
  <c r="C682" i="10"/>
  <c r="C695" i="10"/>
  <c r="C709" i="10"/>
  <c r="C721" i="10"/>
  <c r="C733" i="10"/>
  <c r="C745" i="10"/>
  <c r="C757" i="10"/>
  <c r="C769" i="10"/>
  <c r="C14" i="10"/>
  <c r="C29" i="10"/>
  <c r="C45" i="10"/>
  <c r="C62" i="10"/>
  <c r="C77" i="10"/>
  <c r="C92" i="10"/>
  <c r="C109" i="10"/>
  <c r="C124" i="10"/>
  <c r="C138" i="10"/>
  <c r="C152" i="10"/>
  <c r="C166" i="10"/>
  <c r="C182" i="10"/>
  <c r="C196" i="10"/>
  <c r="C210" i="10"/>
  <c r="C224" i="10"/>
  <c r="C238" i="10"/>
  <c r="C254" i="10"/>
  <c r="C268" i="10"/>
  <c r="C282" i="10"/>
  <c r="C296" i="10"/>
  <c r="C310" i="10"/>
  <c r="C326" i="10"/>
  <c r="C340" i="10"/>
  <c r="C354" i="10"/>
  <c r="C368" i="10"/>
  <c r="C382" i="10"/>
  <c r="C398" i="10"/>
  <c r="C412" i="10"/>
  <c r="C426" i="10"/>
  <c r="C440" i="10"/>
  <c r="C454" i="10"/>
  <c r="C470" i="10"/>
  <c r="C484" i="10"/>
  <c r="C498" i="10"/>
  <c r="C512" i="10"/>
  <c r="C526" i="10"/>
  <c r="C539" i="10"/>
  <c r="C553" i="10"/>
  <c r="C566" i="10"/>
  <c r="C579" i="10"/>
  <c r="C592" i="10"/>
  <c r="C605" i="10"/>
  <c r="C618" i="10"/>
  <c r="C631" i="10"/>
  <c r="C644" i="10"/>
  <c r="C657" i="10"/>
  <c r="C670" i="10"/>
  <c r="C683" i="10"/>
  <c r="C697" i="10"/>
  <c r="C710" i="10"/>
  <c r="C722" i="10"/>
  <c r="C734" i="10"/>
  <c r="C746" i="10"/>
  <c r="C758" i="10"/>
  <c r="C770" i="10"/>
  <c r="C782" i="10"/>
  <c r="C794" i="10"/>
  <c r="C806" i="10"/>
  <c r="C818" i="10"/>
  <c r="C830" i="10"/>
  <c r="C842" i="10"/>
  <c r="C854" i="10"/>
  <c r="C866" i="10"/>
  <c r="C878" i="10"/>
  <c r="C890" i="10"/>
  <c r="C902" i="10"/>
  <c r="C914" i="10"/>
  <c r="C926" i="10"/>
  <c r="C938" i="10"/>
  <c r="C950" i="10"/>
  <c r="C962" i="10"/>
  <c r="C974" i="10"/>
  <c r="C986" i="10"/>
  <c r="C998" i="10"/>
  <c r="C1010" i="10"/>
  <c r="C1022" i="10"/>
  <c r="C1034" i="10"/>
  <c r="C1046" i="10"/>
  <c r="C1058" i="10"/>
  <c r="C1070" i="10"/>
  <c r="C1082" i="10"/>
  <c r="C1094" i="10"/>
  <c r="C1106" i="10"/>
  <c r="C1118" i="10"/>
  <c r="C1130" i="10"/>
  <c r="C1142" i="10"/>
  <c r="C1154" i="10"/>
  <c r="C1166" i="10"/>
  <c r="C1178" i="10"/>
  <c r="C1190" i="10"/>
  <c r="C1202" i="10"/>
  <c r="C1214" i="10"/>
  <c r="C1226" i="10"/>
  <c r="C1238" i="10"/>
  <c r="C1250" i="10"/>
  <c r="C1262" i="10"/>
  <c r="C1274" i="10"/>
  <c r="C1286" i="10"/>
  <c r="C1298" i="10"/>
  <c r="C1310" i="10"/>
  <c r="C1322" i="10"/>
  <c r="C1334" i="10"/>
  <c r="C1346" i="10"/>
  <c r="C1358" i="10"/>
  <c r="C1370" i="10"/>
  <c r="C1382" i="10"/>
  <c r="C1394" i="10"/>
  <c r="C1406" i="10"/>
  <c r="C1418" i="10"/>
  <c r="C1430" i="10"/>
  <c r="C1442" i="10"/>
  <c r="C1454" i="10"/>
  <c r="C1466" i="10"/>
  <c r="C1478" i="10"/>
  <c r="C1490" i="10"/>
  <c r="C1502" i="10"/>
  <c r="C1514" i="10"/>
  <c r="C1526" i="10"/>
  <c r="C1538" i="10"/>
  <c r="C1550" i="10"/>
  <c r="C1562" i="10"/>
  <c r="C1574" i="10"/>
  <c r="C1586" i="10"/>
  <c r="C1598" i="10"/>
  <c r="C1610" i="10"/>
  <c r="C1622" i="10"/>
  <c r="C1634" i="10"/>
  <c r="C1646" i="10"/>
  <c r="C1658" i="10"/>
  <c r="C1670" i="10"/>
  <c r="C1682" i="10"/>
  <c r="C1694" i="10"/>
  <c r="C1706" i="10"/>
  <c r="C1718" i="10"/>
  <c r="C1730" i="10"/>
  <c r="C1742" i="10"/>
  <c r="C1754" i="10"/>
  <c r="C15" i="10"/>
  <c r="C31" i="10"/>
  <c r="C46" i="10"/>
  <c r="C63" i="10"/>
  <c r="C78" i="10"/>
  <c r="C93" i="10"/>
  <c r="C110" i="10"/>
  <c r="C125" i="10"/>
  <c r="C139" i="10"/>
  <c r="C153" i="10"/>
  <c r="C169" i="10"/>
  <c r="C183" i="10"/>
  <c r="C197" i="10"/>
  <c r="C211" i="10"/>
  <c r="C225" i="10"/>
  <c r="C241" i="10"/>
  <c r="C255" i="10"/>
  <c r="C269" i="10"/>
  <c r="C283" i="10"/>
  <c r="C297" i="10"/>
  <c r="C313" i="10"/>
  <c r="C327" i="10"/>
  <c r="C341" i="10"/>
  <c r="C355" i="10"/>
  <c r="C369" i="10"/>
  <c r="C385" i="10"/>
  <c r="C399" i="10"/>
  <c r="C413" i="10"/>
  <c r="C427" i="10"/>
  <c r="C441" i="10"/>
  <c r="C457" i="10"/>
  <c r="C471" i="10"/>
  <c r="C485" i="10"/>
  <c r="C499" i="10"/>
  <c r="C513" i="10"/>
  <c r="C527" i="10"/>
  <c r="C541" i="10"/>
  <c r="C554" i="10"/>
  <c r="C567" i="10"/>
  <c r="C580" i="10"/>
  <c r="C593" i="10"/>
  <c r="C606" i="10"/>
  <c r="C619" i="10"/>
  <c r="C632" i="10"/>
  <c r="C645" i="10"/>
  <c r="C658" i="10"/>
  <c r="C671" i="10"/>
  <c r="C685" i="10"/>
  <c r="C698" i="10"/>
  <c r="C711" i="10"/>
  <c r="C723" i="10"/>
  <c r="C735" i="10"/>
  <c r="C747" i="10"/>
  <c r="C759" i="10"/>
  <c r="C771" i="10"/>
  <c r="C783" i="10"/>
  <c r="C795" i="10"/>
  <c r="C807" i="10"/>
  <c r="C819" i="10"/>
  <c r="C831" i="10"/>
  <c r="C843" i="10"/>
  <c r="C855" i="10"/>
  <c r="C867" i="10"/>
  <c r="C879" i="10"/>
  <c r="C21" i="10"/>
  <c r="C49" i="10"/>
  <c r="C68" i="10"/>
  <c r="C94" i="10"/>
  <c r="C115" i="10"/>
  <c r="C140" i="10"/>
  <c r="C160" i="10"/>
  <c r="C184" i="10"/>
  <c r="C202" i="10"/>
  <c r="C226" i="10"/>
  <c r="C246" i="10"/>
  <c r="C270" i="10"/>
  <c r="C290" i="10"/>
  <c r="C314" i="10"/>
  <c r="C332" i="10"/>
  <c r="C356" i="10"/>
  <c r="C376" i="10"/>
  <c r="C400" i="10"/>
  <c r="C418" i="10"/>
  <c r="C442" i="10"/>
  <c r="C462" i="10"/>
  <c r="C486" i="10"/>
  <c r="C506" i="10"/>
  <c r="C529" i="10"/>
  <c r="C546" i="10"/>
  <c r="C568" i="10"/>
  <c r="C585" i="10"/>
  <c r="C607" i="10"/>
  <c r="C625" i="10"/>
  <c r="C646" i="10"/>
  <c r="C664" i="10"/>
  <c r="C686" i="10"/>
  <c r="C703" i="10"/>
  <c r="C724" i="10"/>
  <c r="C740" i="10"/>
  <c r="C760" i="10"/>
  <c r="C776" i="10"/>
  <c r="C791" i="10"/>
  <c r="C809" i="10"/>
  <c r="C824" i="10"/>
  <c r="C839" i="10"/>
  <c r="C857" i="10"/>
  <c r="C872" i="10"/>
  <c r="C887" i="10"/>
  <c r="C903" i="10"/>
  <c r="C917" i="10"/>
  <c r="C931" i="10"/>
  <c r="C945" i="10"/>
  <c r="C959" i="10"/>
  <c r="C975" i="10"/>
  <c r="C989" i="10"/>
  <c r="C1003" i="10"/>
  <c r="C1017" i="10"/>
  <c r="C1031" i="10"/>
  <c r="C1047" i="10"/>
  <c r="C1061" i="10"/>
  <c r="C1075" i="10"/>
  <c r="C1089" i="10"/>
  <c r="C1103" i="10"/>
  <c r="C1119" i="10"/>
  <c r="C1133" i="10"/>
  <c r="C1147" i="10"/>
  <c r="C1161" i="10"/>
  <c r="C1175" i="10"/>
  <c r="C1191" i="10"/>
  <c r="C1205" i="10"/>
  <c r="C1219" i="10"/>
  <c r="C1233" i="10"/>
  <c r="C1247" i="10"/>
  <c r="C1263" i="10"/>
  <c r="C1277" i="10"/>
  <c r="C1291" i="10"/>
  <c r="C1305" i="10"/>
  <c r="C1319" i="10"/>
  <c r="C1335" i="10"/>
  <c r="C1349" i="10"/>
  <c r="C1363" i="10"/>
  <c r="C1377" i="10"/>
  <c r="C1391" i="10"/>
  <c r="C1407" i="10"/>
  <c r="C1421" i="10"/>
  <c r="C1435" i="10"/>
  <c r="C1449" i="10"/>
  <c r="C1463" i="10"/>
  <c r="C1479" i="10"/>
  <c r="C1493" i="10"/>
  <c r="C1507" i="10"/>
  <c r="C1521" i="10"/>
  <c r="C1535" i="10"/>
  <c r="C1551" i="10"/>
  <c r="C1565" i="10"/>
  <c r="C1579" i="10"/>
  <c r="C1593" i="10"/>
  <c r="C1607" i="10"/>
  <c r="C1623" i="10"/>
  <c r="C1637" i="10"/>
  <c r="C1651" i="10"/>
  <c r="C1665" i="10"/>
  <c r="C1679" i="10"/>
  <c r="C1695" i="10"/>
  <c r="C1709" i="10"/>
  <c r="C1723" i="10"/>
  <c r="C1737" i="10"/>
  <c r="C1751" i="10"/>
  <c r="C3" i="10"/>
  <c r="C22" i="10"/>
  <c r="C50" i="10"/>
  <c r="C69" i="10"/>
  <c r="C97" i="10"/>
  <c r="C117" i="10"/>
  <c r="C141" i="10"/>
  <c r="C161" i="10"/>
  <c r="C185" i="10"/>
  <c r="C205" i="10"/>
  <c r="C229" i="10"/>
  <c r="C247" i="10"/>
  <c r="C271" i="10"/>
  <c r="C291" i="10"/>
  <c r="C315" i="10"/>
  <c r="C333" i="10"/>
  <c r="C357" i="10"/>
  <c r="C377" i="10"/>
  <c r="C401" i="10"/>
  <c r="C421" i="10"/>
  <c r="C445" i="10"/>
  <c r="C463" i="10"/>
  <c r="C487" i="10"/>
  <c r="C507" i="10"/>
  <c r="C530" i="10"/>
  <c r="C547" i="10"/>
  <c r="C569" i="10"/>
  <c r="C586" i="10"/>
  <c r="C608" i="10"/>
  <c r="C626" i="10"/>
  <c r="C647" i="10"/>
  <c r="C665" i="10"/>
  <c r="C687" i="10"/>
  <c r="C704" i="10"/>
  <c r="C725" i="10"/>
  <c r="C741" i="10"/>
  <c r="C761" i="10"/>
  <c r="C777" i="10"/>
  <c r="C793" i="10"/>
  <c r="C810" i="10"/>
  <c r="C825" i="10"/>
  <c r="C841" i="10"/>
  <c r="C858" i="10"/>
  <c r="C873" i="10"/>
  <c r="C889" i="10"/>
  <c r="C904" i="10"/>
  <c r="C918" i="10"/>
  <c r="C932" i="10"/>
  <c r="C946" i="10"/>
  <c r="C961" i="10"/>
  <c r="C976" i="10"/>
  <c r="C990" i="10"/>
  <c r="C1004" i="10"/>
  <c r="C1018" i="10"/>
  <c r="C1033" i="10"/>
  <c r="C1048" i="10"/>
  <c r="C1062" i="10"/>
  <c r="C1076" i="10"/>
  <c r="C1090" i="10"/>
  <c r="C1105" i="10"/>
  <c r="C1120" i="10"/>
  <c r="C1134" i="10"/>
  <c r="C1148" i="10"/>
  <c r="C1162" i="10"/>
  <c r="C1177" i="10"/>
  <c r="C1192" i="10"/>
  <c r="C1206" i="10"/>
  <c r="C1220" i="10"/>
  <c r="C1234" i="10"/>
  <c r="C1249" i="10"/>
  <c r="C1264" i="10"/>
  <c r="C1278" i="10"/>
  <c r="C1292" i="10"/>
  <c r="C1306" i="10"/>
  <c r="C1321" i="10"/>
  <c r="C1336" i="10"/>
  <c r="C1350" i="10"/>
  <c r="C1364" i="10"/>
  <c r="C1378" i="10"/>
  <c r="C1393" i="10"/>
  <c r="C1408" i="10"/>
  <c r="C1422" i="10"/>
  <c r="C1436" i="10"/>
  <c r="C1450" i="10"/>
  <c r="C1465" i="10"/>
  <c r="C1480" i="10"/>
  <c r="C1494" i="10"/>
  <c r="C1508" i="10"/>
  <c r="C1522" i="10"/>
  <c r="C1537" i="10"/>
  <c r="C1552" i="10"/>
  <c r="C1566" i="10"/>
  <c r="C1580" i="10"/>
  <c r="C1594" i="10"/>
  <c r="C1609" i="10"/>
  <c r="C1624" i="10"/>
  <c r="C1638" i="10"/>
  <c r="C1652" i="10"/>
  <c r="C1666" i="10"/>
  <c r="C1681" i="10"/>
  <c r="C5" i="10"/>
  <c r="C26" i="10"/>
  <c r="C52" i="10"/>
  <c r="C73" i="10"/>
  <c r="C99" i="10"/>
  <c r="C121" i="10"/>
  <c r="C145" i="10"/>
  <c r="C163" i="10"/>
  <c r="C187" i="10"/>
  <c r="C207" i="10"/>
  <c r="C231" i="10"/>
  <c r="C249" i="10"/>
  <c r="C273" i="10"/>
  <c r="C293" i="10"/>
  <c r="C317" i="10"/>
  <c r="C337" i="10"/>
  <c r="C361" i="10"/>
  <c r="C379" i="10"/>
  <c r="C403" i="10"/>
  <c r="C423" i="10"/>
  <c r="C447" i="10"/>
  <c r="C465" i="10"/>
  <c r="C489" i="10"/>
  <c r="C509" i="10"/>
  <c r="C532" i="10"/>
  <c r="C549" i="10"/>
  <c r="C571" i="10"/>
  <c r="C589" i="10"/>
  <c r="C610" i="10"/>
  <c r="C628" i="10"/>
  <c r="C650" i="10"/>
  <c r="C667" i="10"/>
  <c r="C689" i="10"/>
  <c r="C706" i="10"/>
  <c r="C727" i="10"/>
  <c r="C743" i="10"/>
  <c r="C763" i="10"/>
  <c r="C779" i="10"/>
  <c r="C797" i="10"/>
  <c r="C812" i="10"/>
  <c r="C827" i="10"/>
  <c r="C845" i="10"/>
  <c r="C860" i="10"/>
  <c r="C875" i="10"/>
  <c r="C892" i="10"/>
  <c r="C906" i="10"/>
  <c r="C920" i="10"/>
  <c r="C934" i="10"/>
  <c r="C949" i="10"/>
  <c r="C964" i="10"/>
  <c r="C978" i="10"/>
  <c r="C992" i="10"/>
  <c r="C1006" i="10"/>
  <c r="C1021" i="10"/>
  <c r="C1036" i="10"/>
  <c r="C1050" i="10"/>
  <c r="C1064" i="10"/>
  <c r="C1078" i="10"/>
  <c r="C1093" i="10"/>
  <c r="C1108" i="10"/>
  <c r="C1122" i="10"/>
  <c r="C1136" i="10"/>
  <c r="C1150" i="10"/>
  <c r="C1165" i="10"/>
  <c r="C1180" i="10"/>
  <c r="C1194" i="10"/>
  <c r="C1208" i="10"/>
  <c r="C1222" i="10"/>
  <c r="C1237" i="10"/>
  <c r="C1252" i="10"/>
  <c r="C1266" i="10"/>
  <c r="C1280" i="10"/>
  <c r="C1294" i="10"/>
  <c r="C1309" i="10"/>
  <c r="C1324" i="10"/>
  <c r="C1338" i="10"/>
  <c r="C1352" i="10"/>
  <c r="C1366" i="10"/>
  <c r="C1381" i="10"/>
  <c r="C1396" i="10"/>
  <c r="C1410" i="10"/>
  <c r="C1424" i="10"/>
  <c r="C1438" i="10"/>
  <c r="C1453" i="10"/>
  <c r="C1468" i="10"/>
  <c r="C1482" i="10"/>
  <c r="C1496" i="10"/>
  <c r="C1510" i="10"/>
  <c r="C1525" i="10"/>
  <c r="C1540" i="10"/>
  <c r="C1554" i="10"/>
  <c r="C1568" i="10"/>
  <c r="C1582" i="10"/>
  <c r="C1597" i="10"/>
  <c r="C1612" i="10"/>
  <c r="C1626" i="10"/>
  <c r="C1640" i="10"/>
  <c r="C1654" i="10"/>
  <c r="C1669" i="10"/>
  <c r="C1684" i="10"/>
  <c r="C1698" i="10"/>
  <c r="C1712" i="10"/>
  <c r="C1726" i="10"/>
  <c r="C1741" i="10"/>
  <c r="C1756" i="10"/>
  <c r="C6" i="10"/>
  <c r="C32" i="10"/>
  <c r="C53" i="10"/>
  <c r="C79" i="10"/>
  <c r="C100" i="10"/>
  <c r="C126" i="10"/>
  <c r="C146" i="10"/>
  <c r="C170" i="10"/>
  <c r="C188" i="10"/>
  <c r="C212" i="10"/>
  <c r="C232" i="10"/>
  <c r="C256" i="10"/>
  <c r="C274" i="10"/>
  <c r="C298" i="10"/>
  <c r="C318" i="10"/>
  <c r="C342" i="10"/>
  <c r="C362" i="10"/>
  <c r="C386" i="10"/>
  <c r="C404" i="10"/>
  <c r="C428" i="10"/>
  <c r="C448" i="10"/>
  <c r="C472" i="10"/>
  <c r="C490" i="10"/>
  <c r="C514" i="10"/>
  <c r="C533" i="10"/>
  <c r="C555" i="10"/>
  <c r="C572" i="10"/>
  <c r="C594" i="10"/>
  <c r="C611" i="10"/>
  <c r="C633" i="10"/>
  <c r="C651" i="10"/>
  <c r="C673" i="10"/>
  <c r="C690" i="10"/>
  <c r="C712" i="10"/>
  <c r="C728" i="10"/>
  <c r="C748" i="10"/>
  <c r="C764" i="10"/>
  <c r="C781" i="10"/>
  <c r="C798" i="10"/>
  <c r="C813" i="10"/>
  <c r="C829" i="10"/>
  <c r="C846" i="10"/>
  <c r="C861" i="10"/>
  <c r="C877" i="10"/>
  <c r="C893" i="10"/>
  <c r="C907" i="10"/>
  <c r="C921" i="10"/>
  <c r="C935" i="10"/>
  <c r="C951" i="10"/>
  <c r="C965" i="10"/>
  <c r="C979" i="10"/>
  <c r="C993" i="10"/>
  <c r="C1007" i="10"/>
  <c r="C1023" i="10"/>
  <c r="C1037" i="10"/>
  <c r="C1051" i="10"/>
  <c r="C1065" i="10"/>
  <c r="C1079" i="10"/>
  <c r="C1095" i="10"/>
  <c r="C1109" i="10"/>
  <c r="C1123" i="10"/>
  <c r="C1137" i="10"/>
  <c r="C1151" i="10"/>
  <c r="C1167" i="10"/>
  <c r="C1181" i="10"/>
  <c r="C1195" i="10"/>
  <c r="C1209" i="10"/>
  <c r="C1223" i="10"/>
  <c r="C1239" i="10"/>
  <c r="C1253" i="10"/>
  <c r="C1267" i="10"/>
  <c r="C1281" i="10"/>
  <c r="C1295" i="10"/>
  <c r="C1311" i="10"/>
  <c r="C1325" i="10"/>
  <c r="C1339" i="10"/>
  <c r="C1353" i="10"/>
  <c r="C1367" i="10"/>
  <c r="C1383" i="10"/>
  <c r="C1397" i="10"/>
  <c r="C1411" i="10"/>
  <c r="C1425" i="10"/>
  <c r="C1439" i="10"/>
  <c r="C1455" i="10"/>
  <c r="C1469" i="10"/>
  <c r="C1483" i="10"/>
  <c r="C1497" i="10"/>
  <c r="C1511" i="10"/>
  <c r="C1527" i="10"/>
  <c r="C1541" i="10"/>
  <c r="C1555" i="10"/>
  <c r="C1569" i="10"/>
  <c r="C1583" i="10"/>
  <c r="C1599" i="10"/>
  <c r="C1613" i="10"/>
  <c r="C1627" i="10"/>
  <c r="C1641" i="10"/>
  <c r="C1655" i="10"/>
  <c r="C1671" i="10"/>
  <c r="C1685" i="10"/>
  <c r="C1699" i="10"/>
  <c r="C1713" i="10"/>
  <c r="C1727" i="10"/>
  <c r="C1743" i="10"/>
  <c r="C1757" i="10"/>
  <c r="C7" i="10"/>
  <c r="C33" i="10"/>
  <c r="C54" i="10"/>
  <c r="C80" i="10"/>
  <c r="C101" i="10"/>
  <c r="C127" i="10"/>
  <c r="C147" i="10"/>
  <c r="C171" i="10"/>
  <c r="C189" i="10"/>
  <c r="C213" i="10"/>
  <c r="C233" i="10"/>
  <c r="C257" i="10"/>
  <c r="C277" i="10"/>
  <c r="C301" i="10"/>
  <c r="C319" i="10"/>
  <c r="C343" i="10"/>
  <c r="C363" i="10"/>
  <c r="C387" i="10"/>
  <c r="C405" i="10"/>
  <c r="C429" i="10"/>
  <c r="C449" i="10"/>
  <c r="C473" i="10"/>
  <c r="C493" i="10"/>
  <c r="C517" i="10"/>
  <c r="C534" i="10"/>
  <c r="C556" i="10"/>
  <c r="C573" i="10"/>
  <c r="C595" i="10"/>
  <c r="C613" i="10"/>
  <c r="C634" i="10"/>
  <c r="C652" i="10"/>
  <c r="C674" i="10"/>
  <c r="C691" i="10"/>
  <c r="C713" i="10"/>
  <c r="C729" i="10"/>
  <c r="C749" i="10"/>
  <c r="C765" i="10"/>
  <c r="C784" i="10"/>
  <c r="C799" i="10"/>
  <c r="C814" i="10"/>
  <c r="C832" i="10"/>
  <c r="C847" i="10"/>
  <c r="C862" i="10"/>
  <c r="C880" i="10"/>
  <c r="C894" i="10"/>
  <c r="C908" i="10"/>
  <c r="C922" i="10"/>
  <c r="C937" i="10"/>
  <c r="C952" i="10"/>
  <c r="C966" i="10"/>
  <c r="C980" i="10"/>
  <c r="C994" i="10"/>
  <c r="C1009" i="10"/>
  <c r="C1024" i="10"/>
  <c r="C1038" i="10"/>
  <c r="C1052" i="10"/>
  <c r="C1066" i="10"/>
  <c r="C1081" i="10"/>
  <c r="C1096" i="10"/>
  <c r="C1110" i="10"/>
  <c r="C1124" i="10"/>
  <c r="C1138" i="10"/>
  <c r="C1153" i="10"/>
  <c r="C1168" i="10"/>
  <c r="C1182" i="10"/>
  <c r="C1196" i="10"/>
  <c r="C1210" i="10"/>
  <c r="C1225" i="10"/>
  <c r="C1240" i="10"/>
  <c r="C1254" i="10"/>
  <c r="C1268" i="10"/>
  <c r="C1282" i="10"/>
  <c r="C1297" i="10"/>
  <c r="C1312" i="10"/>
  <c r="C1326" i="10"/>
  <c r="C1340" i="10"/>
  <c r="C1354" i="10"/>
  <c r="C1369" i="10"/>
  <c r="C1384" i="10"/>
  <c r="C1398" i="10"/>
  <c r="C1412" i="10"/>
  <c r="C1426" i="10"/>
  <c r="C1441" i="10"/>
  <c r="C1456" i="10"/>
  <c r="C1470" i="10"/>
  <c r="C1484" i="10"/>
  <c r="C1498" i="10"/>
  <c r="C1513" i="10"/>
  <c r="C1528" i="10"/>
  <c r="C1542" i="10"/>
  <c r="C1556" i="10"/>
  <c r="C1570" i="10"/>
  <c r="C1585" i="10"/>
  <c r="C1600" i="10"/>
  <c r="C1614" i="10"/>
  <c r="C1628" i="10"/>
  <c r="C1642" i="10"/>
  <c r="C1657" i="10"/>
  <c r="C1672" i="10"/>
  <c r="C1686" i="10"/>
  <c r="C1700" i="10"/>
  <c r="C1714" i="10"/>
  <c r="C1729" i="10"/>
  <c r="C1744" i="10"/>
  <c r="C1758" i="10"/>
  <c r="C8" i="10"/>
  <c r="C34" i="10"/>
  <c r="C55" i="10"/>
  <c r="C81" i="10"/>
  <c r="C103" i="10"/>
  <c r="C128" i="10"/>
  <c r="C148" i="10"/>
  <c r="C172" i="10"/>
  <c r="C190" i="10"/>
  <c r="C214" i="10"/>
  <c r="C234" i="10"/>
  <c r="C258" i="10"/>
  <c r="C278" i="10"/>
  <c r="C302" i="10"/>
  <c r="C320" i="10"/>
  <c r="C344" i="10"/>
  <c r="C364" i="10"/>
  <c r="C388" i="10"/>
  <c r="C406" i="10"/>
  <c r="C430" i="10"/>
  <c r="C450" i="10"/>
  <c r="C474" i="10"/>
  <c r="C494" i="10"/>
  <c r="C518" i="10"/>
  <c r="C535" i="10"/>
  <c r="C557" i="10"/>
  <c r="C574" i="10"/>
  <c r="C596" i="10"/>
  <c r="C614" i="10"/>
  <c r="C635" i="10"/>
  <c r="C653" i="10"/>
  <c r="C675" i="10"/>
  <c r="C692" i="10"/>
  <c r="C714" i="10"/>
  <c r="C730" i="10"/>
  <c r="C750" i="10"/>
  <c r="C766" i="10"/>
  <c r="C785" i="10"/>
  <c r="C800" i="10"/>
  <c r="C815" i="10"/>
  <c r="C833" i="10"/>
  <c r="C848" i="10"/>
  <c r="C863" i="10"/>
  <c r="C881" i="10"/>
  <c r="C895" i="10"/>
  <c r="C909" i="10"/>
  <c r="C923" i="10"/>
  <c r="C939" i="10"/>
  <c r="C953" i="10"/>
  <c r="C967" i="10"/>
  <c r="C981" i="10"/>
  <c r="C995" i="10"/>
  <c r="C1011" i="10"/>
  <c r="C1025" i="10"/>
  <c r="C1039" i="10"/>
  <c r="C1053" i="10"/>
  <c r="C1067" i="10"/>
  <c r="C1083" i="10"/>
  <c r="C1097" i="10"/>
  <c r="C1111" i="10"/>
  <c r="C1125" i="10"/>
  <c r="C1139" i="10"/>
  <c r="C1155" i="10"/>
  <c r="C1169" i="10"/>
  <c r="C1183" i="10"/>
  <c r="C1197" i="10"/>
  <c r="C1211" i="10"/>
  <c r="C1227" i="10"/>
  <c r="C1241" i="10"/>
  <c r="C1255" i="10"/>
  <c r="C1269" i="10"/>
  <c r="C1283" i="10"/>
  <c r="C1299" i="10"/>
  <c r="C1313" i="10"/>
  <c r="C1327" i="10"/>
  <c r="C1341" i="10"/>
  <c r="C1355" i="10"/>
  <c r="C1371" i="10"/>
  <c r="C1385" i="10"/>
  <c r="C1399" i="10"/>
  <c r="C1413" i="10"/>
  <c r="C1427" i="10"/>
  <c r="C1443" i="10"/>
  <c r="C1457" i="10"/>
  <c r="C1471" i="10"/>
  <c r="C1485" i="10"/>
  <c r="C1499" i="10"/>
  <c r="C1515" i="10"/>
  <c r="C1529" i="10"/>
  <c r="C1543" i="10"/>
  <c r="C1557" i="10"/>
  <c r="C1571" i="10"/>
  <c r="C1587" i="10"/>
  <c r="C1601" i="10"/>
  <c r="C1615" i="10"/>
  <c r="C1629" i="10"/>
  <c r="C1643" i="10"/>
  <c r="C1659" i="10"/>
  <c r="C1673" i="10"/>
  <c r="C1687" i="10"/>
  <c r="C1701" i="10"/>
  <c r="C1715" i="10"/>
  <c r="C1731" i="10"/>
  <c r="C1745" i="10"/>
  <c r="C1759" i="10"/>
  <c r="C25" i="10"/>
  <c r="C70" i="10"/>
  <c r="C118" i="10"/>
  <c r="C162" i="10"/>
  <c r="C206" i="10"/>
  <c r="C248" i="10"/>
  <c r="C292" i="10"/>
  <c r="C334" i="10"/>
  <c r="C378" i="10"/>
  <c r="C422" i="10"/>
  <c r="C464" i="10"/>
  <c r="C508" i="10"/>
  <c r="C548" i="10"/>
  <c r="C587" i="10"/>
  <c r="C627" i="10"/>
  <c r="C666" i="10"/>
  <c r="C705" i="10"/>
  <c r="C742" i="10"/>
  <c r="C778" i="10"/>
  <c r="C811" i="10"/>
  <c r="C844" i="10"/>
  <c r="C874" i="10"/>
  <c r="C905" i="10"/>
  <c r="C933" i="10"/>
  <c r="C963" i="10"/>
  <c r="C991" i="10"/>
  <c r="C1019" i="10"/>
  <c r="C1049" i="10"/>
  <c r="C1077" i="10"/>
  <c r="C1107" i="10"/>
  <c r="C1135" i="10"/>
  <c r="C1163" i="10"/>
  <c r="C1193" i="10"/>
  <c r="C1221" i="10"/>
  <c r="C1251" i="10"/>
  <c r="C1279" i="10"/>
  <c r="C1307" i="10"/>
  <c r="C1337" i="10"/>
  <c r="C1365" i="10"/>
  <c r="C1395" i="10"/>
  <c r="C1423" i="10"/>
  <c r="C1451" i="10"/>
  <c r="C1481" i="10"/>
  <c r="C1509" i="10"/>
  <c r="C1539" i="10"/>
  <c r="C1567" i="10"/>
  <c r="C1595" i="10"/>
  <c r="C1625" i="10"/>
  <c r="C1653" i="10"/>
  <c r="C1683" i="10"/>
  <c r="C1708" i="10"/>
  <c r="C1734" i="10"/>
  <c r="C1760" i="10"/>
  <c r="C37" i="10"/>
  <c r="C82" i="10"/>
  <c r="C129" i="10"/>
  <c r="C173" i="10"/>
  <c r="C217" i="10"/>
  <c r="C259" i="10"/>
  <c r="C303" i="10"/>
  <c r="C345" i="10"/>
  <c r="C389" i="10"/>
  <c r="C433" i="10"/>
  <c r="C475" i="10"/>
  <c r="C519" i="10"/>
  <c r="C558" i="10"/>
  <c r="C597" i="10"/>
  <c r="C637" i="10"/>
  <c r="C676" i="10"/>
  <c r="C715" i="10"/>
  <c r="C751" i="10"/>
  <c r="C786" i="10"/>
  <c r="C817" i="10"/>
  <c r="C849" i="10"/>
  <c r="C882" i="10"/>
  <c r="C910" i="10"/>
  <c r="C940" i="10"/>
  <c r="C968" i="10"/>
  <c r="C997" i="10"/>
  <c r="C1026" i="10"/>
  <c r="C1054" i="10"/>
  <c r="C1084" i="10"/>
  <c r="C1112" i="10"/>
  <c r="C1141" i="10"/>
  <c r="C1170" i="10"/>
  <c r="C1198" i="10"/>
  <c r="C1228" i="10"/>
  <c r="C1256" i="10"/>
  <c r="C1285" i="10"/>
  <c r="C1314" i="10"/>
  <c r="C1342" i="10"/>
  <c r="C1372" i="10"/>
  <c r="C1400" i="10"/>
  <c r="C1429" i="10"/>
  <c r="C1458" i="10"/>
  <c r="C1486" i="10"/>
  <c r="C1516" i="10"/>
  <c r="C1544" i="10"/>
  <c r="C1573" i="10"/>
  <c r="C1602" i="10"/>
  <c r="C1630" i="10"/>
  <c r="C1660" i="10"/>
  <c r="C1688" i="10"/>
  <c r="C1710" i="10"/>
  <c r="C1735" i="10"/>
  <c r="C1761" i="10"/>
  <c r="C38" i="10"/>
  <c r="C85" i="10"/>
  <c r="C130" i="10"/>
  <c r="C174" i="10"/>
  <c r="C218" i="10"/>
  <c r="C260" i="10"/>
  <c r="C304" i="10"/>
  <c r="C346" i="10"/>
  <c r="C390" i="10"/>
  <c r="C434" i="10"/>
  <c r="C476" i="10"/>
  <c r="C520" i="10"/>
  <c r="C559" i="10"/>
  <c r="C598" i="10"/>
  <c r="C638" i="10"/>
  <c r="C677" i="10"/>
  <c r="C716" i="10"/>
  <c r="C752" i="10"/>
  <c r="C787" i="10"/>
  <c r="C820" i="10"/>
  <c r="C850" i="10"/>
  <c r="C883" i="10"/>
  <c r="C911" i="10"/>
  <c r="C941" i="10"/>
  <c r="C969" i="10"/>
  <c r="C999" i="10"/>
  <c r="C1027" i="10"/>
  <c r="C1055" i="10"/>
  <c r="C1085" i="10"/>
  <c r="C1113" i="10"/>
  <c r="C1143" i="10"/>
  <c r="C1171" i="10"/>
  <c r="C1199" i="10"/>
  <c r="C1229" i="10"/>
  <c r="C1257" i="10"/>
  <c r="C1287" i="10"/>
  <c r="C1315" i="10"/>
  <c r="C1343" i="10"/>
  <c r="C1373" i="10"/>
  <c r="C1401" i="10"/>
  <c r="C1431" i="10"/>
  <c r="C1459" i="10"/>
  <c r="C1487" i="10"/>
  <c r="C1517" i="10"/>
  <c r="C1545" i="10"/>
  <c r="C1575" i="10"/>
  <c r="C1603" i="10"/>
  <c r="C1631" i="10"/>
  <c r="C1661" i="10"/>
  <c r="C1689" i="10"/>
  <c r="C1711" i="10"/>
  <c r="C1736" i="10"/>
  <c r="C1762" i="10"/>
  <c r="C39" i="10"/>
  <c r="C86" i="10"/>
  <c r="C133" i="10"/>
  <c r="C175" i="10"/>
  <c r="C219" i="10"/>
  <c r="C261" i="10"/>
  <c r="C305" i="10"/>
  <c r="C349" i="10"/>
  <c r="C391" i="10"/>
  <c r="C435" i="10"/>
  <c r="C477" i="10"/>
  <c r="C521" i="10"/>
  <c r="C560" i="10"/>
  <c r="C599" i="10"/>
  <c r="C639" i="10"/>
  <c r="C678" i="10"/>
  <c r="C717" i="10"/>
  <c r="C753" i="10"/>
  <c r="C788" i="10"/>
  <c r="C821" i="10"/>
  <c r="C851" i="10"/>
  <c r="C884" i="10"/>
  <c r="C913" i="10"/>
  <c r="C942" i="10"/>
  <c r="C970" i="10"/>
  <c r="C1000" i="10"/>
  <c r="C1028" i="10"/>
  <c r="C1057" i="10"/>
  <c r="C1086" i="10"/>
  <c r="C1114" i="10"/>
  <c r="C1144" i="10"/>
  <c r="C1172" i="10"/>
  <c r="C1201" i="10"/>
  <c r="C1230" i="10"/>
  <c r="C1258" i="10"/>
  <c r="C1288" i="10"/>
  <c r="C1316" i="10"/>
  <c r="C1345" i="10"/>
  <c r="C1374" i="10"/>
  <c r="C1402" i="10"/>
  <c r="C1432" i="10"/>
  <c r="C1460" i="10"/>
  <c r="C1489" i="10"/>
  <c r="C1518" i="10"/>
  <c r="C1546" i="10"/>
  <c r="C1576" i="10"/>
  <c r="C1604" i="10"/>
  <c r="C1633" i="10"/>
  <c r="C1662" i="10"/>
  <c r="C1690" i="10"/>
  <c r="C1717" i="10"/>
  <c r="C1738" i="10"/>
  <c r="C1763" i="10"/>
  <c r="C41" i="10"/>
  <c r="C89" i="10"/>
  <c r="C135" i="10"/>
  <c r="C177" i="10"/>
  <c r="C221" i="10"/>
  <c r="C265" i="10"/>
  <c r="C307" i="10"/>
  <c r="C351" i="10"/>
  <c r="C393" i="10"/>
  <c r="C437" i="10"/>
  <c r="C481" i="10"/>
  <c r="C523" i="10"/>
  <c r="C562" i="10"/>
  <c r="C602" i="10"/>
  <c r="C641" i="10"/>
  <c r="C680" i="10"/>
  <c r="C719" i="10"/>
  <c r="C755" i="10"/>
  <c r="C790" i="10"/>
  <c r="C823" i="10"/>
  <c r="C856" i="10"/>
  <c r="C886" i="10"/>
  <c r="C916" i="10"/>
  <c r="C944" i="10"/>
  <c r="C973" i="10"/>
  <c r="C1002" i="10"/>
  <c r="C1030" i="10"/>
  <c r="C1060" i="10"/>
  <c r="C1088" i="10"/>
  <c r="C1117" i="10"/>
  <c r="C1146" i="10"/>
  <c r="C1174" i="10"/>
  <c r="C1204" i="10"/>
  <c r="C1232" i="10"/>
  <c r="C1261" i="10"/>
  <c r="C1290" i="10"/>
  <c r="C1318" i="10"/>
  <c r="C1348" i="10"/>
  <c r="C1376" i="10"/>
  <c r="C1405" i="10"/>
  <c r="C1434" i="10"/>
  <c r="C1462" i="10"/>
  <c r="C1492" i="10"/>
  <c r="C1520" i="10"/>
  <c r="C1549" i="10"/>
  <c r="C1578" i="10"/>
  <c r="C1606" i="10"/>
  <c r="C1636" i="10"/>
  <c r="C1664" i="10"/>
  <c r="C1693" i="10"/>
  <c r="C1720" i="10"/>
  <c r="C1746" i="10"/>
  <c r="C4" i="10"/>
  <c r="C51" i="10"/>
  <c r="C98" i="10"/>
  <c r="C142" i="10"/>
  <c r="C186" i="10"/>
  <c r="C230" i="10"/>
  <c r="C272" i="10"/>
  <c r="C316" i="10"/>
  <c r="C358" i="10"/>
  <c r="C402" i="10"/>
  <c r="C446" i="10"/>
  <c r="C488" i="10"/>
  <c r="C531" i="10"/>
  <c r="C570" i="10"/>
  <c r="C609" i="10"/>
  <c r="C649" i="10"/>
  <c r="C688" i="10"/>
  <c r="C726" i="10"/>
  <c r="C762" i="10"/>
  <c r="C796" i="10"/>
  <c r="C826" i="10"/>
  <c r="C859" i="10"/>
  <c r="C891" i="10"/>
  <c r="C919" i="10"/>
  <c r="C947" i="10"/>
  <c r="C977" i="10"/>
  <c r="C1005" i="10"/>
  <c r="C1035" i="10"/>
  <c r="C1063" i="10"/>
  <c r="C1091" i="10"/>
  <c r="C1121" i="10"/>
  <c r="C1149" i="10"/>
  <c r="C1179" i="10"/>
  <c r="C1207" i="10"/>
  <c r="C1235" i="10"/>
  <c r="C1265" i="10"/>
  <c r="C1293" i="10"/>
  <c r="C1323" i="10"/>
  <c r="C1351" i="10"/>
  <c r="C1379" i="10"/>
  <c r="C1409" i="10"/>
  <c r="C1437" i="10"/>
  <c r="C1467" i="10"/>
  <c r="C1495" i="10"/>
  <c r="C1523" i="10"/>
  <c r="C1553" i="10"/>
  <c r="C1581" i="10"/>
  <c r="C1611" i="10"/>
  <c r="C1639" i="10"/>
  <c r="C1667" i="10"/>
  <c r="C1696" i="10"/>
  <c r="C1721" i="10"/>
  <c r="C1747" i="10"/>
  <c r="C87" i="10"/>
  <c r="C176" i="10"/>
  <c r="C262" i="10"/>
  <c r="C350" i="10"/>
  <c r="C436" i="10"/>
  <c r="C522" i="10"/>
  <c r="C601" i="10"/>
  <c r="C679" i="10"/>
  <c r="C754" i="10"/>
  <c r="C822" i="10"/>
  <c r="C885" i="10"/>
  <c r="C943" i="10"/>
  <c r="C1001" i="10"/>
  <c r="C1059" i="10"/>
  <c r="C1115" i="10"/>
  <c r="C1173" i="10"/>
  <c r="C1231" i="10"/>
  <c r="C1289" i="10"/>
  <c r="C1347" i="10"/>
  <c r="C1403" i="10"/>
  <c r="C1461" i="10"/>
  <c r="C1519" i="10"/>
  <c r="C1577" i="10"/>
  <c r="C1635" i="10"/>
  <c r="C1691" i="10"/>
  <c r="C1739" i="10"/>
  <c r="C9" i="10"/>
  <c r="C104" i="10"/>
  <c r="C193" i="10"/>
  <c r="C279" i="10"/>
  <c r="C365" i="10"/>
  <c r="C451" i="10"/>
  <c r="C536" i="10"/>
  <c r="C615" i="10"/>
  <c r="C693" i="10"/>
  <c r="C767" i="10"/>
  <c r="C834" i="10"/>
  <c r="C896" i="10"/>
  <c r="C954" i="10"/>
  <c r="C1012" i="10"/>
  <c r="C1069" i="10"/>
  <c r="C1126" i="10"/>
  <c r="C1184" i="10"/>
  <c r="C1242" i="10"/>
  <c r="C1300" i="10"/>
  <c r="C1357" i="10"/>
  <c r="C1414" i="10"/>
  <c r="C1472" i="10"/>
  <c r="C1530" i="10"/>
  <c r="C1588" i="10"/>
  <c r="C1645" i="10"/>
  <c r="C1697" i="10"/>
  <c r="C1748" i="10"/>
  <c r="C17" i="10"/>
  <c r="C111" i="10"/>
  <c r="C198" i="10"/>
  <c r="C284" i="10"/>
  <c r="C370" i="10"/>
  <c r="C458" i="10"/>
  <c r="C542" i="10"/>
  <c r="C620" i="10"/>
  <c r="C699" i="10"/>
  <c r="C772" i="10"/>
  <c r="C835" i="10"/>
  <c r="C897" i="10"/>
  <c r="C955" i="10"/>
  <c r="C1013" i="10"/>
  <c r="C1071" i="10"/>
  <c r="C1127" i="10"/>
  <c r="C1185" i="10"/>
  <c r="C1243" i="10"/>
  <c r="C1301" i="10"/>
  <c r="C1359" i="10"/>
  <c r="C1415" i="10"/>
  <c r="C1473" i="10"/>
  <c r="C1531" i="10"/>
  <c r="C1589" i="10"/>
  <c r="C1647" i="10"/>
  <c r="C1702" i="10"/>
  <c r="C1749" i="10"/>
  <c r="C18" i="10"/>
  <c r="C112" i="10"/>
  <c r="C199" i="10"/>
  <c r="C285" i="10"/>
  <c r="C373" i="10"/>
  <c r="C459" i="10"/>
  <c r="C543" i="10"/>
  <c r="C621" i="10"/>
  <c r="C700" i="10"/>
  <c r="C773" i="10"/>
  <c r="C836" i="10"/>
  <c r="C898" i="10"/>
  <c r="C956" i="10"/>
  <c r="C1014" i="10"/>
  <c r="C1072" i="10"/>
  <c r="C1129" i="10"/>
  <c r="C1186" i="10"/>
  <c r="C1244" i="10"/>
  <c r="C1302" i="10"/>
  <c r="C1360" i="10"/>
  <c r="C1417" i="10"/>
  <c r="C1474" i="10"/>
  <c r="C1532" i="10"/>
  <c r="C1590" i="10"/>
  <c r="C1648" i="10"/>
  <c r="C1703" i="10"/>
  <c r="C1750" i="10"/>
  <c r="C19" i="10"/>
  <c r="C113" i="10"/>
  <c r="C200" i="10"/>
  <c r="C286" i="10"/>
  <c r="C374" i="10"/>
  <c r="C460" i="10"/>
  <c r="C544" i="10"/>
  <c r="C622" i="10"/>
  <c r="C701" i="10"/>
  <c r="C774" i="10"/>
  <c r="C837" i="10"/>
  <c r="C899" i="10"/>
  <c r="C957" i="10"/>
  <c r="C1015" i="10"/>
  <c r="C1073" i="10"/>
  <c r="C1131" i="10"/>
  <c r="C1187" i="10"/>
  <c r="C1245" i="10"/>
  <c r="C1303" i="10"/>
  <c r="C1361" i="10"/>
  <c r="C1419" i="10"/>
  <c r="C1475" i="10"/>
  <c r="C1533" i="10"/>
  <c r="C1591" i="10"/>
  <c r="C1649" i="10"/>
  <c r="C1705" i="10"/>
  <c r="C1753" i="10"/>
  <c r="C20" i="10"/>
  <c r="C114" i="10"/>
  <c r="C201" i="10"/>
  <c r="C289" i="10"/>
  <c r="C375" i="10"/>
  <c r="C461" i="10"/>
  <c r="C545" i="10"/>
  <c r="C623" i="10"/>
  <c r="C702" i="10"/>
  <c r="C775" i="10"/>
  <c r="C838" i="10"/>
  <c r="C901" i="10"/>
  <c r="C958" i="10"/>
  <c r="C1016" i="10"/>
  <c r="C1074" i="10"/>
  <c r="C1132" i="10"/>
  <c r="C1189" i="10"/>
  <c r="C1246" i="10"/>
  <c r="C1304" i="10"/>
  <c r="C1362" i="10"/>
  <c r="C1420" i="10"/>
  <c r="C1477" i="10"/>
  <c r="C1534" i="10"/>
  <c r="C1592" i="10"/>
  <c r="C1650" i="10"/>
  <c r="C1707" i="10"/>
  <c r="C1755" i="10"/>
  <c r="C134" i="10"/>
  <c r="C306" i="10"/>
  <c r="C478" i="10"/>
  <c r="C640" i="10"/>
  <c r="C789" i="10"/>
  <c r="C915" i="10"/>
  <c r="C1029" i="10"/>
  <c r="C1145" i="10"/>
  <c r="C1259" i="10"/>
  <c r="C1375" i="10"/>
  <c r="C1491" i="10"/>
  <c r="C1605" i="10"/>
  <c r="C1719" i="10"/>
  <c r="C149" i="10"/>
  <c r="C321" i="10"/>
  <c r="C495" i="10"/>
  <c r="C654" i="10"/>
  <c r="C801" i="10"/>
  <c r="C925" i="10"/>
  <c r="C1040" i="10"/>
  <c r="C1156" i="10"/>
  <c r="C1270" i="10"/>
  <c r="C1386" i="10"/>
  <c r="C1501" i="10"/>
  <c r="C1616" i="10"/>
  <c r="C1722" i="10"/>
  <c r="C154" i="10"/>
  <c r="C328" i="10"/>
  <c r="C500" i="10"/>
  <c r="C659" i="10"/>
  <c r="C802" i="10"/>
  <c r="C927" i="10"/>
  <c r="C1041" i="10"/>
  <c r="C1157" i="10"/>
  <c r="C1271" i="10"/>
  <c r="C1387" i="10"/>
  <c r="C1503" i="10"/>
  <c r="C1617" i="10"/>
  <c r="C1724" i="10"/>
  <c r="C157" i="10"/>
  <c r="C329" i="10"/>
  <c r="C501" i="10"/>
  <c r="C661" i="10"/>
  <c r="C803" i="10"/>
  <c r="C928" i="10"/>
  <c r="C1042" i="10"/>
  <c r="C1158" i="10"/>
  <c r="C1273" i="10"/>
  <c r="C1388" i="10"/>
  <c r="C1504" i="10"/>
  <c r="C1618" i="10"/>
  <c r="C1725" i="10"/>
  <c r="C158" i="10"/>
  <c r="C330" i="10"/>
  <c r="C502" i="10"/>
  <c r="C662" i="10"/>
  <c r="C805" i="10"/>
  <c r="C929" i="10"/>
  <c r="C1043" i="10"/>
  <c r="C1159" i="10"/>
  <c r="C1275" i="10"/>
  <c r="C1389" i="10"/>
  <c r="C1505" i="10"/>
  <c r="C1619" i="10"/>
  <c r="C1732" i="10"/>
  <c r="C159" i="10"/>
  <c r="C331" i="10"/>
  <c r="C505" i="10"/>
  <c r="C663" i="10"/>
  <c r="C808" i="10"/>
  <c r="C930" i="10"/>
  <c r="C1045" i="10"/>
  <c r="C1160" i="10"/>
  <c r="C1276" i="10"/>
  <c r="C1390" i="10"/>
  <c r="C1506" i="10"/>
  <c r="C1621" i="10"/>
  <c r="C1733" i="10"/>
  <c r="C220" i="10"/>
  <c r="C561" i="10"/>
  <c r="C853" i="10"/>
  <c r="C1087" i="10"/>
  <c r="C1317" i="10"/>
  <c r="C1547" i="10"/>
  <c r="C235" i="10"/>
  <c r="C575" i="10"/>
  <c r="C865" i="10"/>
  <c r="C1098" i="10"/>
  <c r="C1328" i="10"/>
  <c r="C1558" i="10"/>
  <c r="C242" i="10"/>
  <c r="C581" i="10"/>
  <c r="C868" i="10"/>
  <c r="C1099" i="10"/>
  <c r="C1329" i="10"/>
  <c r="C1559" i="10"/>
  <c r="C243" i="10"/>
  <c r="C582" i="10"/>
  <c r="C869" i="10"/>
  <c r="C1100" i="10"/>
  <c r="C1330" i="10"/>
  <c r="C1561" i="10"/>
  <c r="C244" i="10"/>
  <c r="C583" i="10"/>
  <c r="C870" i="10"/>
  <c r="C1101" i="10"/>
  <c r="C1331" i="10"/>
  <c r="C1563" i="10"/>
  <c r="C245" i="10"/>
  <c r="C584" i="10"/>
  <c r="C871" i="10"/>
  <c r="C1102" i="10"/>
  <c r="C1333" i="10"/>
  <c r="C1564" i="10"/>
  <c r="C392" i="10"/>
  <c r="C971" i="10"/>
  <c r="C1433" i="10"/>
  <c r="C409" i="10"/>
  <c r="C982" i="10"/>
  <c r="C1444" i="10"/>
  <c r="C415" i="10"/>
  <c r="C985" i="10"/>
  <c r="C1446" i="10"/>
  <c r="C416" i="10"/>
  <c r="C987" i="10"/>
  <c r="C1447" i="10"/>
  <c r="C417" i="10"/>
  <c r="C988" i="10"/>
  <c r="C1448" i="10"/>
  <c r="C40" i="10"/>
  <c r="C718" i="10"/>
  <c r="C1203" i="10"/>
  <c r="C1663" i="10"/>
  <c r="C414" i="10"/>
  <c r="C1445" i="10"/>
  <c r="C736" i="10"/>
  <c r="C1675" i="10"/>
  <c r="C731" i="10"/>
  <c r="C1674" i="10"/>
  <c r="C737" i="10"/>
  <c r="C1676" i="10"/>
  <c r="C1213" i="10"/>
  <c r="C1215" i="10"/>
  <c r="C738" i="10"/>
  <c r="C1677" i="10"/>
  <c r="C56" i="10"/>
  <c r="C64" i="10"/>
  <c r="C739" i="10"/>
  <c r="C1678" i="10"/>
  <c r="C983" i="10"/>
  <c r="C65" i="10"/>
  <c r="C66" i="10"/>
  <c r="C67" i="10"/>
  <c r="C1216" i="10"/>
  <c r="C1217" i="10"/>
  <c r="C1218" i="10"/>
  <c r="F13" i="10"/>
  <c r="F25" i="10"/>
  <c r="F37" i="10"/>
  <c r="F49" i="10"/>
  <c r="F61" i="10"/>
  <c r="F73" i="10"/>
  <c r="F85" i="10"/>
  <c r="F97" i="10"/>
  <c r="F109" i="10"/>
  <c r="F121" i="10"/>
  <c r="F133" i="10"/>
  <c r="F145" i="10"/>
  <c r="F157" i="10"/>
  <c r="F169" i="10"/>
  <c r="F181" i="10"/>
  <c r="F3" i="10"/>
  <c r="F15" i="10"/>
  <c r="F27" i="10"/>
  <c r="F39" i="10"/>
  <c r="F51" i="10"/>
  <c r="F63" i="10"/>
  <c r="F75" i="10"/>
  <c r="F87" i="10"/>
  <c r="F99" i="10"/>
  <c r="F111" i="10"/>
  <c r="F123" i="10"/>
  <c r="F135" i="10"/>
  <c r="F147" i="10"/>
  <c r="F159" i="10"/>
  <c r="F171" i="10"/>
  <c r="F183" i="10"/>
  <c r="F195" i="10"/>
  <c r="F207" i="10"/>
  <c r="F219" i="10"/>
  <c r="F231" i="10"/>
  <c r="F243" i="10"/>
  <c r="F255" i="10"/>
  <c r="F267" i="10"/>
  <c r="F4" i="10"/>
  <c r="F18" i="10"/>
  <c r="F32" i="10"/>
  <c r="F46" i="10"/>
  <c r="F60" i="10"/>
  <c r="F76" i="10"/>
  <c r="F90" i="10"/>
  <c r="F104" i="10"/>
  <c r="F118" i="10"/>
  <c r="F132" i="10"/>
  <c r="F148" i="10"/>
  <c r="F162" i="10"/>
  <c r="F176" i="10"/>
  <c r="F190" i="10"/>
  <c r="F203" i="10"/>
  <c r="F216" i="10"/>
  <c r="F229" i="10"/>
  <c r="F242" i="10"/>
  <c r="F256" i="10"/>
  <c r="F269" i="10"/>
  <c r="F281" i="10"/>
  <c r="F293" i="10"/>
  <c r="F305" i="10"/>
  <c r="F317" i="10"/>
  <c r="F329" i="10"/>
  <c r="F341" i="10"/>
  <c r="F353" i="10"/>
  <c r="F365" i="10"/>
  <c r="F377" i="10"/>
  <c r="F389" i="10"/>
  <c r="F401" i="10"/>
  <c r="F413" i="10"/>
  <c r="F425" i="10"/>
  <c r="F437" i="10"/>
  <c r="F449" i="10"/>
  <c r="F461" i="10"/>
  <c r="F473" i="10"/>
  <c r="F485" i="10"/>
  <c r="F497" i="10"/>
  <c r="F509" i="10"/>
  <c r="F521" i="10"/>
  <c r="F533" i="10"/>
  <c r="F545" i="10"/>
  <c r="F557" i="10"/>
  <c r="F569" i="10"/>
  <c r="F581" i="10"/>
  <c r="F593" i="10"/>
  <c r="F605" i="10"/>
  <c r="F617" i="10"/>
  <c r="F629" i="10"/>
  <c r="F641" i="10"/>
  <c r="F653" i="10"/>
  <c r="F665" i="10"/>
  <c r="F677" i="10"/>
  <c r="F689" i="10"/>
  <c r="F701" i="10"/>
  <c r="F713" i="10"/>
  <c r="F725" i="10"/>
  <c r="F737" i="10"/>
  <c r="F749" i="10"/>
  <c r="F761" i="10"/>
  <c r="F773" i="10"/>
  <c r="F785" i="10"/>
  <c r="F797" i="10"/>
  <c r="F809" i="10"/>
  <c r="F821" i="10"/>
  <c r="F833" i="10"/>
  <c r="F845" i="10"/>
  <c r="F857" i="10"/>
  <c r="F869" i="10"/>
  <c r="F881" i="10"/>
  <c r="F893" i="10"/>
  <c r="F905" i="10"/>
  <c r="F917" i="10"/>
  <c r="F929" i="10"/>
  <c r="F941" i="10"/>
  <c r="F953" i="10"/>
  <c r="F965" i="10"/>
  <c r="F977" i="10"/>
  <c r="F989" i="10"/>
  <c r="F1001" i="10"/>
  <c r="F1013" i="10"/>
  <c r="F1025" i="10"/>
  <c r="F1037" i="10"/>
  <c r="F1049" i="10"/>
  <c r="F1061" i="10"/>
  <c r="F1073" i="10"/>
  <c r="F1085" i="10"/>
  <c r="F1097" i="10"/>
  <c r="F1109" i="10"/>
  <c r="F1121" i="10"/>
  <c r="F1133" i="10"/>
  <c r="F1145" i="10"/>
  <c r="F1157" i="10"/>
  <c r="F1169" i="10"/>
  <c r="F1181" i="10"/>
  <c r="F1193" i="10"/>
  <c r="F1205" i="10"/>
  <c r="F1217" i="10"/>
  <c r="F1229" i="10"/>
  <c r="F1241" i="10"/>
  <c r="F1253" i="10"/>
  <c r="F1265" i="10"/>
  <c r="F1277" i="10"/>
  <c r="F1289" i="10"/>
  <c r="F1301" i="10"/>
  <c r="F1313" i="10"/>
  <c r="F1325" i="10"/>
  <c r="F1337" i="10"/>
  <c r="F1349" i="10"/>
  <c r="F1361" i="10"/>
  <c r="F1373" i="10"/>
  <c r="F1385" i="10"/>
  <c r="F1397" i="10"/>
  <c r="F1409" i="10"/>
  <c r="F1421" i="10"/>
  <c r="F1433" i="10"/>
  <c r="F1445" i="10"/>
  <c r="F1457" i="10"/>
  <c r="F1469" i="10"/>
  <c r="F1481" i="10"/>
  <c r="F1493" i="10"/>
  <c r="F1505" i="10"/>
  <c r="F1517" i="10"/>
  <c r="F1529" i="10"/>
  <c r="F1541" i="10"/>
  <c r="F1553" i="10"/>
  <c r="F1565" i="10"/>
  <c r="F1577" i="10"/>
  <c r="F1589" i="10"/>
  <c r="F1601" i="10"/>
  <c r="F1613" i="10"/>
  <c r="F1625" i="10"/>
  <c r="F1637" i="10"/>
  <c r="F1649" i="10"/>
  <c r="F1661" i="10"/>
  <c r="F1673" i="10"/>
  <c r="F1685" i="10"/>
  <c r="F1697" i="10"/>
  <c r="F1709" i="10"/>
  <c r="F1721" i="10"/>
  <c r="F1733" i="10"/>
  <c r="F1745" i="10"/>
  <c r="F1757" i="10"/>
  <c r="F7" i="10"/>
  <c r="F21" i="10"/>
  <c r="F35" i="10"/>
  <c r="F50" i="10"/>
  <c r="F65" i="10"/>
  <c r="F79" i="10"/>
  <c r="F93" i="10"/>
  <c r="F107" i="10"/>
  <c r="F122" i="10"/>
  <c r="F137" i="10"/>
  <c r="F151" i="10"/>
  <c r="F165" i="10"/>
  <c r="F179" i="10"/>
  <c r="F193" i="10"/>
  <c r="F206" i="10"/>
  <c r="F220" i="10"/>
  <c r="F233" i="10"/>
  <c r="F246" i="10"/>
  <c r="F259" i="10"/>
  <c r="F272" i="10"/>
  <c r="F284" i="10"/>
  <c r="F296" i="10"/>
  <c r="F308" i="10"/>
  <c r="F320" i="10"/>
  <c r="F332" i="10"/>
  <c r="F344" i="10"/>
  <c r="F356" i="10"/>
  <c r="F368" i="10"/>
  <c r="F380" i="10"/>
  <c r="F392" i="10"/>
  <c r="F404" i="10"/>
  <c r="F416" i="10"/>
  <c r="F428" i="10"/>
  <c r="F440" i="10"/>
  <c r="F452" i="10"/>
  <c r="F464" i="10"/>
  <c r="F476" i="10"/>
  <c r="F488" i="10"/>
  <c r="F500" i="10"/>
  <c r="F512" i="10"/>
  <c r="F524" i="10"/>
  <c r="F536" i="10"/>
  <c r="F548" i="10"/>
  <c r="F560" i="10"/>
  <c r="F572" i="10"/>
  <c r="F584" i="10"/>
  <c r="F596" i="10"/>
  <c r="F608" i="10"/>
  <c r="F620" i="10"/>
  <c r="F632" i="10"/>
  <c r="F644" i="10"/>
  <c r="F656" i="10"/>
  <c r="F668" i="10"/>
  <c r="F680" i="10"/>
  <c r="F692" i="10"/>
  <c r="F704" i="10"/>
  <c r="F716" i="10"/>
  <c r="F728" i="10"/>
  <c r="F740" i="10"/>
  <c r="F752" i="10"/>
  <c r="F764" i="10"/>
  <c r="F776" i="10"/>
  <c r="F788" i="10"/>
  <c r="F800" i="10"/>
  <c r="F812" i="10"/>
  <c r="F824" i="10"/>
  <c r="F836" i="10"/>
  <c r="F848" i="10"/>
  <c r="F860" i="10"/>
  <c r="F872" i="10"/>
  <c r="F884" i="10"/>
  <c r="F896" i="10"/>
  <c r="F908" i="10"/>
  <c r="F920" i="10"/>
  <c r="F932" i="10"/>
  <c r="F944" i="10"/>
  <c r="F956" i="10"/>
  <c r="F968" i="10"/>
  <c r="F980" i="10"/>
  <c r="F992" i="10"/>
  <c r="F1004" i="10"/>
  <c r="F1016" i="10"/>
  <c r="F1028" i="10"/>
  <c r="F1040" i="10"/>
  <c r="F1052" i="10"/>
  <c r="F1064" i="10"/>
  <c r="F1076" i="10"/>
  <c r="F1088" i="10"/>
  <c r="F1100" i="10"/>
  <c r="F1112" i="10"/>
  <c r="F1124" i="10"/>
  <c r="F1136" i="10"/>
  <c r="F1148" i="10"/>
  <c r="F1160" i="10"/>
  <c r="F1172" i="10"/>
  <c r="F1184" i="10"/>
  <c r="F1196" i="10"/>
  <c r="F1208" i="10"/>
  <c r="F1220" i="10"/>
  <c r="F1232" i="10"/>
  <c r="F1244" i="10"/>
  <c r="F1256" i="10"/>
  <c r="F1268" i="10"/>
  <c r="F1280" i="10"/>
  <c r="F1292" i="10"/>
  <c r="F1304" i="10"/>
  <c r="F1316" i="10"/>
  <c r="F1328" i="10"/>
  <c r="F1340" i="10"/>
  <c r="F1352" i="10"/>
  <c r="F1364" i="10"/>
  <c r="F1376" i="10"/>
  <c r="F1388" i="10"/>
  <c r="F1400" i="10"/>
  <c r="F1412" i="10"/>
  <c r="F1424" i="10"/>
  <c r="F1436" i="10"/>
  <c r="F1448" i="10"/>
  <c r="F1460" i="10"/>
  <c r="F1472" i="10"/>
  <c r="F1484" i="10"/>
  <c r="F1496" i="10"/>
  <c r="F1508" i="10"/>
  <c r="F1520" i="10"/>
  <c r="F1532" i="10"/>
  <c r="F1544" i="10"/>
  <c r="F1556" i="10"/>
  <c r="F1568" i="10"/>
  <c r="F1580" i="10"/>
  <c r="F1592" i="10"/>
  <c r="F1604" i="10"/>
  <c r="F1616" i="10"/>
  <c r="F1628" i="10"/>
  <c r="F1640" i="10"/>
  <c r="F1652" i="10"/>
  <c r="F1664" i="10"/>
  <c r="F1676" i="10"/>
  <c r="F1688" i="10"/>
  <c r="F1700" i="10"/>
  <c r="F1712" i="10"/>
  <c r="F1724" i="10"/>
  <c r="F1736" i="10"/>
  <c r="F1748" i="10"/>
  <c r="F1760" i="10"/>
  <c r="F8" i="10"/>
  <c r="F22" i="10"/>
  <c r="F36" i="10"/>
  <c r="F52" i="10"/>
  <c r="F66" i="10"/>
  <c r="F80" i="10"/>
  <c r="F94" i="10"/>
  <c r="F108" i="10"/>
  <c r="F124" i="10"/>
  <c r="F138" i="10"/>
  <c r="F152" i="10"/>
  <c r="F166" i="10"/>
  <c r="F180" i="10"/>
  <c r="F194" i="10"/>
  <c r="F208" i="10"/>
  <c r="F221" i="10"/>
  <c r="F234" i="10"/>
  <c r="F247" i="10"/>
  <c r="F260" i="10"/>
  <c r="F273" i="10"/>
  <c r="F285" i="10"/>
  <c r="F297" i="10"/>
  <c r="F309" i="10"/>
  <c r="F321" i="10"/>
  <c r="F333" i="10"/>
  <c r="F345" i="10"/>
  <c r="F357" i="10"/>
  <c r="F369" i="10"/>
  <c r="F381" i="10"/>
  <c r="F393" i="10"/>
  <c r="F405" i="10"/>
  <c r="F417" i="10"/>
  <c r="F429" i="10"/>
  <c r="F441" i="10"/>
  <c r="F453" i="10"/>
  <c r="F465" i="10"/>
  <c r="F477" i="10"/>
  <c r="F489" i="10"/>
  <c r="F501" i="10"/>
  <c r="F513" i="10"/>
  <c r="F525" i="10"/>
  <c r="F537" i="10"/>
  <c r="F549" i="10"/>
  <c r="F561" i="10"/>
  <c r="F573" i="10"/>
  <c r="F585" i="10"/>
  <c r="F597" i="10"/>
  <c r="F609" i="10"/>
  <c r="F621" i="10"/>
  <c r="F633" i="10"/>
  <c r="F645" i="10"/>
  <c r="F657" i="10"/>
  <c r="F669" i="10"/>
  <c r="F681" i="10"/>
  <c r="F693" i="10"/>
  <c r="F705" i="10"/>
  <c r="F717" i="10"/>
  <c r="F729" i="10"/>
  <c r="F741" i="10"/>
  <c r="F753" i="10"/>
  <c r="F765" i="10"/>
  <c r="F777" i="10"/>
  <c r="F789" i="10"/>
  <c r="F801" i="10"/>
  <c r="F813" i="10"/>
  <c r="F825" i="10"/>
  <c r="F837" i="10"/>
  <c r="F849" i="10"/>
  <c r="F861" i="10"/>
  <c r="F873" i="10"/>
  <c r="F885" i="10"/>
  <c r="F897" i="10"/>
  <c r="F909" i="10"/>
  <c r="F921" i="10"/>
  <c r="F933" i="10"/>
  <c r="F945" i="10"/>
  <c r="F957" i="10"/>
  <c r="F969" i="10"/>
  <c r="F981" i="10"/>
  <c r="F993" i="10"/>
  <c r="F1005" i="10"/>
  <c r="F1017" i="10"/>
  <c r="F1029" i="10"/>
  <c r="F1041" i="10"/>
  <c r="F1053" i="10"/>
  <c r="F1065" i="10"/>
  <c r="F1077" i="10"/>
  <c r="F1089" i="10"/>
  <c r="F1101" i="10"/>
  <c r="F1113" i="10"/>
  <c r="F1125" i="10"/>
  <c r="F1137" i="10"/>
  <c r="F1149" i="10"/>
  <c r="F1161" i="10"/>
  <c r="F1173" i="10"/>
  <c r="F1185" i="10"/>
  <c r="F1197" i="10"/>
  <c r="F1209" i="10"/>
  <c r="F1221" i="10"/>
  <c r="F1233" i="10"/>
  <c r="F1245" i="10"/>
  <c r="F1257" i="10"/>
  <c r="F1269" i="10"/>
  <c r="F1281" i="10"/>
  <c r="F1293" i="10"/>
  <c r="F1305" i="10"/>
  <c r="F1317" i="10"/>
  <c r="F1329" i="10"/>
  <c r="F1341" i="10"/>
  <c r="F1353" i="10"/>
  <c r="F1365" i="10"/>
  <c r="F1377" i="10"/>
  <c r="F1389" i="10"/>
  <c r="F1401" i="10"/>
  <c r="F1413" i="10"/>
  <c r="F1425" i="10"/>
  <c r="F1437" i="10"/>
  <c r="F1449" i="10"/>
  <c r="F1461" i="10"/>
  <c r="F1473" i="10"/>
  <c r="F1485" i="10"/>
  <c r="F1497" i="10"/>
  <c r="F1509" i="10"/>
  <c r="F1521" i="10"/>
  <c r="F1533" i="10"/>
  <c r="F1545" i="10"/>
  <c r="F1557" i="10"/>
  <c r="F1569" i="10"/>
  <c r="F1581" i="10"/>
  <c r="F1593" i="10"/>
  <c r="F1605" i="10"/>
  <c r="F1617" i="10"/>
  <c r="F1629" i="10"/>
  <c r="F1641" i="10"/>
  <c r="F1653" i="10"/>
  <c r="F1665" i="10"/>
  <c r="F1677" i="10"/>
  <c r="F1689" i="10"/>
  <c r="F1701" i="10"/>
  <c r="F1713" i="10"/>
  <c r="F1725" i="10"/>
  <c r="F1737" i="10"/>
  <c r="F1749" i="10"/>
  <c r="F1761" i="10"/>
  <c r="F9" i="10"/>
  <c r="F23" i="10"/>
  <c r="F38" i="10"/>
  <c r="F53" i="10"/>
  <c r="F67" i="10"/>
  <c r="F81" i="10"/>
  <c r="F95" i="10"/>
  <c r="F110" i="10"/>
  <c r="F125" i="10"/>
  <c r="F139" i="10"/>
  <c r="F153" i="10"/>
  <c r="F167" i="10"/>
  <c r="F182" i="10"/>
  <c r="F196" i="10"/>
  <c r="F209" i="10"/>
  <c r="F222" i="10"/>
  <c r="F235" i="10"/>
  <c r="F248" i="10"/>
  <c r="F261" i="10"/>
  <c r="F274" i="10"/>
  <c r="F286" i="10"/>
  <c r="F298" i="10"/>
  <c r="F310" i="10"/>
  <c r="F322" i="10"/>
  <c r="F334" i="10"/>
  <c r="F346" i="10"/>
  <c r="F358" i="10"/>
  <c r="F370" i="10"/>
  <c r="F382" i="10"/>
  <c r="F394" i="10"/>
  <c r="F406" i="10"/>
  <c r="F418" i="10"/>
  <c r="F430" i="10"/>
  <c r="F442" i="10"/>
  <c r="F454" i="10"/>
  <c r="F466" i="10"/>
  <c r="F478" i="10"/>
  <c r="F490" i="10"/>
  <c r="F502" i="10"/>
  <c r="F514" i="10"/>
  <c r="F526" i="10"/>
  <c r="F538" i="10"/>
  <c r="F550" i="10"/>
  <c r="F562" i="10"/>
  <c r="F574" i="10"/>
  <c r="F586" i="10"/>
  <c r="F598" i="10"/>
  <c r="F610" i="10"/>
  <c r="F622" i="10"/>
  <c r="F634" i="10"/>
  <c r="F646" i="10"/>
  <c r="F658" i="10"/>
  <c r="F670" i="10"/>
  <c r="F682" i="10"/>
  <c r="F694" i="10"/>
  <c r="F706" i="10"/>
  <c r="F718" i="10"/>
  <c r="F730" i="10"/>
  <c r="F742" i="10"/>
  <c r="F754" i="10"/>
  <c r="F766" i="10"/>
  <c r="F778" i="10"/>
  <c r="F790" i="10"/>
  <c r="F802" i="10"/>
  <c r="F814" i="10"/>
  <c r="F826" i="10"/>
  <c r="F838" i="10"/>
  <c r="F850" i="10"/>
  <c r="F862" i="10"/>
  <c r="F874" i="10"/>
  <c r="F886" i="10"/>
  <c r="F898" i="10"/>
  <c r="F910" i="10"/>
  <c r="F922" i="10"/>
  <c r="F934" i="10"/>
  <c r="F946" i="10"/>
  <c r="F958" i="10"/>
  <c r="F970" i="10"/>
  <c r="F982" i="10"/>
  <c r="F994" i="10"/>
  <c r="F1006" i="10"/>
  <c r="F1018" i="10"/>
  <c r="F1030" i="10"/>
  <c r="F1042" i="10"/>
  <c r="F1054" i="10"/>
  <c r="F1066" i="10"/>
  <c r="F1078" i="10"/>
  <c r="F1090" i="10"/>
  <c r="F1102" i="10"/>
  <c r="F1114" i="10"/>
  <c r="F1126" i="10"/>
  <c r="F1138" i="10"/>
  <c r="F1150" i="10"/>
  <c r="F1162" i="10"/>
  <c r="F1174" i="10"/>
  <c r="F1186" i="10"/>
  <c r="F1198" i="10"/>
  <c r="F1210" i="10"/>
  <c r="F1222" i="10"/>
  <c r="F1234" i="10"/>
  <c r="F1246" i="10"/>
  <c r="F1258" i="10"/>
  <c r="F1270" i="10"/>
  <c r="F1282" i="10"/>
  <c r="F1294" i="10"/>
  <c r="F1306" i="10"/>
  <c r="F1318" i="10"/>
  <c r="F1330" i="10"/>
  <c r="F1342" i="10"/>
  <c r="F1354" i="10"/>
  <c r="F1366" i="10"/>
  <c r="F1378" i="10"/>
  <c r="F1390" i="10"/>
  <c r="F1402" i="10"/>
  <c r="F1414" i="10"/>
  <c r="F1426" i="10"/>
  <c r="F1438" i="10"/>
  <c r="F1450" i="10"/>
  <c r="F1462" i="10"/>
  <c r="F1474" i="10"/>
  <c r="F1486" i="10"/>
  <c r="F1498" i="10"/>
  <c r="F1510" i="10"/>
  <c r="F1522" i="10"/>
  <c r="F1534" i="10"/>
  <c r="F1546" i="10"/>
  <c r="F1558" i="10"/>
  <c r="F1570" i="10"/>
  <c r="F1582" i="10"/>
  <c r="F1594" i="10"/>
  <c r="F1606" i="10"/>
  <c r="F1618" i="10"/>
  <c r="F1630" i="10"/>
  <c r="F1642" i="10"/>
  <c r="F1654" i="10"/>
  <c r="F1666" i="10"/>
  <c r="F1678" i="10"/>
  <c r="F1690" i="10"/>
  <c r="F1702" i="10"/>
  <c r="F1714" i="10"/>
  <c r="F1726" i="10"/>
  <c r="F1738" i="10"/>
  <c r="F1750" i="10"/>
  <c r="F1762" i="10"/>
  <c r="F10" i="10"/>
  <c r="F24" i="10"/>
  <c r="F40" i="10"/>
  <c r="F54" i="10"/>
  <c r="F68" i="10"/>
  <c r="F82" i="10"/>
  <c r="F96" i="10"/>
  <c r="F112" i="10"/>
  <c r="F126" i="10"/>
  <c r="F140" i="10"/>
  <c r="F154" i="10"/>
  <c r="F168" i="10"/>
  <c r="F184" i="10"/>
  <c r="F197" i="10"/>
  <c r="F210" i="10"/>
  <c r="F223" i="10"/>
  <c r="F236" i="10"/>
  <c r="F249" i="10"/>
  <c r="F262" i="10"/>
  <c r="F275" i="10"/>
  <c r="F287" i="10"/>
  <c r="F299" i="10"/>
  <c r="F311" i="10"/>
  <c r="F323" i="10"/>
  <c r="F335" i="10"/>
  <c r="F347" i="10"/>
  <c r="F359" i="10"/>
  <c r="F371" i="10"/>
  <c r="F383" i="10"/>
  <c r="F395" i="10"/>
  <c r="F407" i="10"/>
  <c r="F419" i="10"/>
  <c r="F431" i="10"/>
  <c r="F443" i="10"/>
  <c r="F455" i="10"/>
  <c r="F467" i="10"/>
  <c r="F479" i="10"/>
  <c r="F491" i="10"/>
  <c r="F503" i="10"/>
  <c r="F515" i="10"/>
  <c r="F527" i="10"/>
  <c r="F539" i="10"/>
  <c r="F551" i="10"/>
  <c r="F563" i="10"/>
  <c r="F575" i="10"/>
  <c r="F587" i="10"/>
  <c r="F599" i="10"/>
  <c r="F611" i="10"/>
  <c r="F623" i="10"/>
  <c r="F635" i="10"/>
  <c r="F647" i="10"/>
  <c r="F659" i="10"/>
  <c r="F671" i="10"/>
  <c r="F683" i="10"/>
  <c r="F695" i="10"/>
  <c r="F707" i="10"/>
  <c r="F719" i="10"/>
  <c r="F731" i="10"/>
  <c r="F743" i="10"/>
  <c r="F755" i="10"/>
  <c r="F767" i="10"/>
  <c r="F779" i="10"/>
  <c r="F791" i="10"/>
  <c r="F803" i="10"/>
  <c r="F815" i="10"/>
  <c r="F827" i="10"/>
  <c r="F839" i="10"/>
  <c r="F851" i="10"/>
  <c r="F863" i="10"/>
  <c r="F875" i="10"/>
  <c r="F887" i="10"/>
  <c r="F899" i="10"/>
  <c r="F911" i="10"/>
  <c r="F923" i="10"/>
  <c r="F935" i="10"/>
  <c r="F947" i="10"/>
  <c r="F959" i="10"/>
  <c r="F971" i="10"/>
  <c r="F983" i="10"/>
  <c r="F995" i="10"/>
  <c r="F1007" i="10"/>
  <c r="F1019" i="10"/>
  <c r="F1031" i="10"/>
  <c r="F1043" i="10"/>
  <c r="F1055" i="10"/>
  <c r="F1067" i="10"/>
  <c r="F1079" i="10"/>
  <c r="F1091" i="10"/>
  <c r="F1103" i="10"/>
  <c r="F1115" i="10"/>
  <c r="F1127" i="10"/>
  <c r="F1139" i="10"/>
  <c r="F1151" i="10"/>
  <c r="F1163" i="10"/>
  <c r="F1175" i="10"/>
  <c r="F1187" i="10"/>
  <c r="F1199" i="10"/>
  <c r="F1211" i="10"/>
  <c r="F1223" i="10"/>
  <c r="F1235" i="10"/>
  <c r="F1247" i="10"/>
  <c r="F1259" i="10"/>
  <c r="F1271" i="10"/>
  <c r="F1283" i="10"/>
  <c r="F1295" i="10"/>
  <c r="F1307" i="10"/>
  <c r="F1319" i="10"/>
  <c r="F1331" i="10"/>
  <c r="F1343" i="10"/>
  <c r="F1355" i="10"/>
  <c r="F1367" i="10"/>
  <c r="F1379" i="10"/>
  <c r="F1391" i="10"/>
  <c r="F1403" i="10"/>
  <c r="F1415" i="10"/>
  <c r="F1427" i="10"/>
  <c r="F1439" i="10"/>
  <c r="F1451" i="10"/>
  <c r="F1463" i="10"/>
  <c r="F1475" i="10"/>
  <c r="F1487" i="10"/>
  <c r="F1499" i="10"/>
  <c r="F1511" i="10"/>
  <c r="F1523" i="10"/>
  <c r="F1535" i="10"/>
  <c r="F1547" i="10"/>
  <c r="F1559" i="10"/>
  <c r="F1571" i="10"/>
  <c r="F1583" i="10"/>
  <c r="F1595" i="10"/>
  <c r="F1607" i="10"/>
  <c r="F1619" i="10"/>
  <c r="F1631" i="10"/>
  <c r="F1643" i="10"/>
  <c r="F1655" i="10"/>
  <c r="F1667" i="10"/>
  <c r="F1679" i="10"/>
  <c r="F1691" i="10"/>
  <c r="F1703" i="10"/>
  <c r="F1715" i="10"/>
  <c r="F1727" i="10"/>
  <c r="F1739" i="10"/>
  <c r="F1751" i="10"/>
  <c r="F1763" i="10"/>
  <c r="F19" i="10"/>
  <c r="F44" i="10"/>
  <c r="F70" i="10"/>
  <c r="F92" i="10"/>
  <c r="F117" i="10"/>
  <c r="F143" i="10"/>
  <c r="F170" i="10"/>
  <c r="F191" i="10"/>
  <c r="F214" i="10"/>
  <c r="F238" i="10"/>
  <c r="F258" i="10"/>
  <c r="F280" i="10"/>
  <c r="F302" i="10"/>
  <c r="F324" i="10"/>
  <c r="F342" i="10"/>
  <c r="F363" i="10"/>
  <c r="F385" i="10"/>
  <c r="F403" i="10"/>
  <c r="F424" i="10"/>
  <c r="F446" i="10"/>
  <c r="F468" i="10"/>
  <c r="F486" i="10"/>
  <c r="F507" i="10"/>
  <c r="F529" i="10"/>
  <c r="F547" i="10"/>
  <c r="F568" i="10"/>
  <c r="F590" i="10"/>
  <c r="F612" i="10"/>
  <c r="F630" i="10"/>
  <c r="F651" i="10"/>
  <c r="F673" i="10"/>
  <c r="F691" i="10"/>
  <c r="F712" i="10"/>
  <c r="F734" i="10"/>
  <c r="F756" i="10"/>
  <c r="F774" i="10"/>
  <c r="F795" i="10"/>
  <c r="F817" i="10"/>
  <c r="F835" i="10"/>
  <c r="F856" i="10"/>
  <c r="F878" i="10"/>
  <c r="F900" i="10"/>
  <c r="F918" i="10"/>
  <c r="F939" i="10"/>
  <c r="F961" i="10"/>
  <c r="F979" i="10"/>
  <c r="F1000" i="10"/>
  <c r="F1022" i="10"/>
  <c r="F1044" i="10"/>
  <c r="F1062" i="10"/>
  <c r="F1083" i="10"/>
  <c r="F1105" i="10"/>
  <c r="F1123" i="10"/>
  <c r="F1144" i="10"/>
  <c r="F1166" i="10"/>
  <c r="F1188" i="10"/>
  <c r="F1206" i="10"/>
  <c r="F1227" i="10"/>
  <c r="F1249" i="10"/>
  <c r="F1267" i="10"/>
  <c r="F1288" i="10"/>
  <c r="F1310" i="10"/>
  <c r="F1332" i="10"/>
  <c r="F1350" i="10"/>
  <c r="F1371" i="10"/>
  <c r="F1393" i="10"/>
  <c r="F1411" i="10"/>
  <c r="F1432" i="10"/>
  <c r="F1454" i="10"/>
  <c r="F1476" i="10"/>
  <c r="F1494" i="10"/>
  <c r="F1515" i="10"/>
  <c r="F1537" i="10"/>
  <c r="F1555" i="10"/>
  <c r="F1576" i="10"/>
  <c r="F1598" i="10"/>
  <c r="F1620" i="10"/>
  <c r="F1638" i="10"/>
  <c r="F1659" i="10"/>
  <c r="F1681" i="10"/>
  <c r="F1699" i="10"/>
  <c r="F1720" i="10"/>
  <c r="F1742" i="10"/>
  <c r="F20" i="10"/>
  <c r="F45" i="10"/>
  <c r="F71" i="10"/>
  <c r="F98" i="10"/>
  <c r="F119" i="10"/>
  <c r="F144" i="10"/>
  <c r="F172" i="10"/>
  <c r="F192" i="10"/>
  <c r="F215" i="10"/>
  <c r="F239" i="10"/>
  <c r="F263" i="10"/>
  <c r="F282" i="10"/>
  <c r="F303" i="10"/>
  <c r="F325" i="10"/>
  <c r="F343" i="10"/>
  <c r="F364" i="10"/>
  <c r="F386" i="10"/>
  <c r="F408" i="10"/>
  <c r="F426" i="10"/>
  <c r="F447" i="10"/>
  <c r="F26" i="10"/>
  <c r="F47" i="10"/>
  <c r="F72" i="10"/>
  <c r="F100" i="10"/>
  <c r="F120" i="10"/>
  <c r="F146" i="10"/>
  <c r="F173" i="10"/>
  <c r="F198" i="10"/>
  <c r="F217" i="10"/>
  <c r="F240" i="10"/>
  <c r="F264" i="10"/>
  <c r="F283" i="10"/>
  <c r="F304" i="10"/>
  <c r="F326" i="10"/>
  <c r="F348" i="10"/>
  <c r="F366" i="10"/>
  <c r="F387" i="10"/>
  <c r="F409" i="10"/>
  <c r="F427" i="10"/>
  <c r="F448" i="10"/>
  <c r="F470" i="10"/>
  <c r="F492" i="10"/>
  <c r="F510" i="10"/>
  <c r="F531" i="10"/>
  <c r="F553" i="10"/>
  <c r="F571" i="10"/>
  <c r="F592" i="10"/>
  <c r="F614" i="10"/>
  <c r="F636" i="10"/>
  <c r="F654" i="10"/>
  <c r="F675" i="10"/>
  <c r="F697" i="10"/>
  <c r="F715" i="10"/>
  <c r="F736" i="10"/>
  <c r="F758" i="10"/>
  <c r="F780" i="10"/>
  <c r="F798" i="10"/>
  <c r="F819" i="10"/>
  <c r="F841" i="10"/>
  <c r="F859" i="10"/>
  <c r="F880" i="10"/>
  <c r="F902" i="10"/>
  <c r="F924" i="10"/>
  <c r="F942" i="10"/>
  <c r="F963" i="10"/>
  <c r="F985" i="10"/>
  <c r="F1003" i="10"/>
  <c r="F1024" i="10"/>
  <c r="F1046" i="10"/>
  <c r="F1068" i="10"/>
  <c r="F1086" i="10"/>
  <c r="F1107" i="10"/>
  <c r="F1129" i="10"/>
  <c r="F1147" i="10"/>
  <c r="F1168" i="10"/>
  <c r="F1190" i="10"/>
  <c r="F1212" i="10"/>
  <c r="F1230" i="10"/>
  <c r="F1251" i="10"/>
  <c r="F1273" i="10"/>
  <c r="F1291" i="10"/>
  <c r="F1312" i="10"/>
  <c r="F1334" i="10"/>
  <c r="F1356" i="10"/>
  <c r="F1374" i="10"/>
  <c r="F1395" i="10"/>
  <c r="F1417" i="10"/>
  <c r="F1435" i="10"/>
  <c r="F1456" i="10"/>
  <c r="F1478" i="10"/>
  <c r="F1500" i="10"/>
  <c r="F1518" i="10"/>
  <c r="F1539" i="10"/>
  <c r="F1561" i="10"/>
  <c r="F1579" i="10"/>
  <c r="F1600" i="10"/>
  <c r="F1622" i="10"/>
  <c r="F1644" i="10"/>
  <c r="F1662" i="10"/>
  <c r="F1683" i="10"/>
  <c r="F1705" i="10"/>
  <c r="F1723" i="10"/>
  <c r="F1744" i="10"/>
  <c r="F28" i="10"/>
  <c r="F48" i="10"/>
  <c r="F74" i="10"/>
  <c r="F101" i="10"/>
  <c r="F127" i="10"/>
  <c r="F149" i="10"/>
  <c r="F174" i="10"/>
  <c r="F199" i="10"/>
  <c r="F218" i="10"/>
  <c r="F241" i="10"/>
  <c r="F265" i="10"/>
  <c r="F288" i="10"/>
  <c r="F306" i="10"/>
  <c r="F327" i="10"/>
  <c r="F349" i="10"/>
  <c r="F367" i="10"/>
  <c r="F388" i="10"/>
  <c r="F410" i="10"/>
  <c r="F432" i="10"/>
  <c r="F450" i="10"/>
  <c r="F471" i="10"/>
  <c r="F493" i="10"/>
  <c r="F511" i="10"/>
  <c r="F532" i="10"/>
  <c r="F554" i="10"/>
  <c r="F576" i="10"/>
  <c r="F594" i="10"/>
  <c r="F615" i="10"/>
  <c r="F637" i="10"/>
  <c r="F655" i="10"/>
  <c r="F676" i="10"/>
  <c r="F698" i="10"/>
  <c r="F720" i="10"/>
  <c r="F738" i="10"/>
  <c r="F759" i="10"/>
  <c r="F781" i="10"/>
  <c r="F799" i="10"/>
  <c r="F820" i="10"/>
  <c r="F842" i="10"/>
  <c r="F864" i="10"/>
  <c r="F882" i="10"/>
  <c r="F903" i="10"/>
  <c r="F925" i="10"/>
  <c r="F943" i="10"/>
  <c r="F964" i="10"/>
  <c r="F986" i="10"/>
  <c r="F1008" i="10"/>
  <c r="F1026" i="10"/>
  <c r="F1047" i="10"/>
  <c r="F1069" i="10"/>
  <c r="F1087" i="10"/>
  <c r="F1108" i="10"/>
  <c r="F1130" i="10"/>
  <c r="F1152" i="10"/>
  <c r="F1170" i="10"/>
  <c r="F1191" i="10"/>
  <c r="F1213" i="10"/>
  <c r="F1231" i="10"/>
  <c r="F1252" i="10"/>
  <c r="F1274" i="10"/>
  <c r="F1296" i="10"/>
  <c r="F1314" i="10"/>
  <c r="F1335" i="10"/>
  <c r="F1357" i="10"/>
  <c r="F1375" i="10"/>
  <c r="F1396" i="10"/>
  <c r="F1418" i="10"/>
  <c r="F1440" i="10"/>
  <c r="F1458" i="10"/>
  <c r="F1479" i="10"/>
  <c r="F1501" i="10"/>
  <c r="F1519" i="10"/>
  <c r="F1540" i="10"/>
  <c r="F1562" i="10"/>
  <c r="F1584" i="10"/>
  <c r="F1602" i="10"/>
  <c r="F1623" i="10"/>
  <c r="F1645" i="10"/>
  <c r="F1663" i="10"/>
  <c r="F1684" i="10"/>
  <c r="F1706" i="10"/>
  <c r="F1728" i="10"/>
  <c r="F1746" i="10"/>
  <c r="F5" i="10"/>
  <c r="F30" i="10"/>
  <c r="F56" i="10"/>
  <c r="F78" i="10"/>
  <c r="F103" i="10"/>
  <c r="F129" i="10"/>
  <c r="F155" i="10"/>
  <c r="F177" i="10"/>
  <c r="F201" i="10"/>
  <c r="F225" i="10"/>
  <c r="F245" i="10"/>
  <c r="F268" i="10"/>
  <c r="F290" i="10"/>
  <c r="F312" i="10"/>
  <c r="F330" i="10"/>
  <c r="F351" i="10"/>
  <c r="F373" i="10"/>
  <c r="F391" i="10"/>
  <c r="F412" i="10"/>
  <c r="F434" i="10"/>
  <c r="F456" i="10"/>
  <c r="F474" i="10"/>
  <c r="F495" i="10"/>
  <c r="F517" i="10"/>
  <c r="F535" i="10"/>
  <c r="F556" i="10"/>
  <c r="F578" i="10"/>
  <c r="F600" i="10"/>
  <c r="F618" i="10"/>
  <c r="F639" i="10"/>
  <c r="F661" i="10"/>
  <c r="F679" i="10"/>
  <c r="F700" i="10"/>
  <c r="F722" i="10"/>
  <c r="F744" i="10"/>
  <c r="F762" i="10"/>
  <c r="F783" i="10"/>
  <c r="F805" i="10"/>
  <c r="F823" i="10"/>
  <c r="F844" i="10"/>
  <c r="F866" i="10"/>
  <c r="F888" i="10"/>
  <c r="F906" i="10"/>
  <c r="F927" i="10"/>
  <c r="F949" i="10"/>
  <c r="F967" i="10"/>
  <c r="F988" i="10"/>
  <c r="F1010" i="10"/>
  <c r="F1032" i="10"/>
  <c r="F1050" i="10"/>
  <c r="F1071" i="10"/>
  <c r="F1093" i="10"/>
  <c r="F1111" i="10"/>
  <c r="F1132" i="10"/>
  <c r="F1154" i="10"/>
  <c r="F1176" i="10"/>
  <c r="F1194" i="10"/>
  <c r="F1215" i="10"/>
  <c r="F1237" i="10"/>
  <c r="F1255" i="10"/>
  <c r="F1276" i="10"/>
  <c r="F1298" i="10"/>
  <c r="F1320" i="10"/>
  <c r="F1338" i="10"/>
  <c r="F1359" i="10"/>
  <c r="F1381" i="10"/>
  <c r="F1399" i="10"/>
  <c r="F1420" i="10"/>
  <c r="F1442" i="10"/>
  <c r="F1464" i="10"/>
  <c r="F1482" i="10"/>
  <c r="F1503" i="10"/>
  <c r="F1525" i="10"/>
  <c r="F1543" i="10"/>
  <c r="F1564" i="10"/>
  <c r="F1586" i="10"/>
  <c r="F1608" i="10"/>
  <c r="F1626" i="10"/>
  <c r="F1647" i="10"/>
  <c r="F1669" i="10"/>
  <c r="F1687" i="10"/>
  <c r="F1708" i="10"/>
  <c r="F1730" i="10"/>
  <c r="F1752" i="10"/>
  <c r="F6" i="10"/>
  <c r="F31" i="10"/>
  <c r="F57" i="10"/>
  <c r="F83" i="10"/>
  <c r="F105" i="10"/>
  <c r="F130" i="10"/>
  <c r="F156" i="10"/>
  <c r="F178" i="10"/>
  <c r="F202" i="10"/>
  <c r="F226" i="10"/>
  <c r="F250" i="10"/>
  <c r="F270" i="10"/>
  <c r="F291" i="10"/>
  <c r="F313" i="10"/>
  <c r="F331" i="10"/>
  <c r="F352" i="10"/>
  <c r="F374" i="10"/>
  <c r="F396" i="10"/>
  <c r="F414" i="10"/>
  <c r="F435" i="10"/>
  <c r="F457" i="10"/>
  <c r="F475" i="10"/>
  <c r="F496" i="10"/>
  <c r="F518" i="10"/>
  <c r="F540" i="10"/>
  <c r="F558" i="10"/>
  <c r="F579" i="10"/>
  <c r="F601" i="10"/>
  <c r="F619" i="10"/>
  <c r="F640" i="10"/>
  <c r="F662" i="10"/>
  <c r="F684" i="10"/>
  <c r="F702" i="10"/>
  <c r="F723" i="10"/>
  <c r="F745" i="10"/>
  <c r="F763" i="10"/>
  <c r="F784" i="10"/>
  <c r="F806" i="10"/>
  <c r="F828" i="10"/>
  <c r="F846" i="10"/>
  <c r="F867" i="10"/>
  <c r="F889" i="10"/>
  <c r="F907" i="10"/>
  <c r="F928" i="10"/>
  <c r="F950" i="10"/>
  <c r="F972" i="10"/>
  <c r="F990" i="10"/>
  <c r="F1011" i="10"/>
  <c r="F1033" i="10"/>
  <c r="F1051" i="10"/>
  <c r="F1072" i="10"/>
  <c r="F1094" i="10"/>
  <c r="F1116" i="10"/>
  <c r="F1134" i="10"/>
  <c r="F1155" i="10"/>
  <c r="F1177" i="10"/>
  <c r="F1195" i="10"/>
  <c r="F1216" i="10"/>
  <c r="F1238" i="10"/>
  <c r="F1260" i="10"/>
  <c r="F1278" i="10"/>
  <c r="F1299" i="10"/>
  <c r="F1321" i="10"/>
  <c r="F1339" i="10"/>
  <c r="F1360" i="10"/>
  <c r="F1382" i="10"/>
  <c r="F1404" i="10"/>
  <c r="F1422" i="10"/>
  <c r="F1443" i="10"/>
  <c r="F1465" i="10"/>
  <c r="F1483" i="10"/>
  <c r="F1504" i="10"/>
  <c r="F1526" i="10"/>
  <c r="F1548" i="10"/>
  <c r="F1566" i="10"/>
  <c r="F1587" i="10"/>
  <c r="F1609" i="10"/>
  <c r="F1627" i="10"/>
  <c r="F1648" i="10"/>
  <c r="F1670" i="10"/>
  <c r="F1692" i="10"/>
  <c r="F1710" i="10"/>
  <c r="F1731" i="10"/>
  <c r="F1753" i="10"/>
  <c r="F29" i="10"/>
  <c r="F77" i="10"/>
  <c r="F128" i="10"/>
  <c r="F175" i="10"/>
  <c r="F224" i="10"/>
  <c r="F266" i="10"/>
  <c r="F307" i="10"/>
  <c r="F350" i="10"/>
  <c r="F390" i="10"/>
  <c r="F433" i="10"/>
  <c r="F469" i="10"/>
  <c r="F505" i="10"/>
  <c r="F542" i="10"/>
  <c r="F577" i="10"/>
  <c r="F607" i="10"/>
  <c r="F648" i="10"/>
  <c r="F685" i="10"/>
  <c r="F714" i="10"/>
  <c r="F750" i="10"/>
  <c r="F787" i="10"/>
  <c r="F822" i="10"/>
  <c r="F855" i="10"/>
  <c r="F892" i="10"/>
  <c r="F930" i="10"/>
  <c r="F962" i="10"/>
  <c r="F998" i="10"/>
  <c r="F1035" i="10"/>
  <c r="F1070" i="10"/>
  <c r="F1104" i="10"/>
  <c r="F1141" i="10"/>
  <c r="F1178" i="10"/>
  <c r="F1207" i="10"/>
  <c r="F1243" i="10"/>
  <c r="F1284" i="10"/>
  <c r="F1315" i="10"/>
  <c r="F1348" i="10"/>
  <c r="F1386" i="10"/>
  <c r="F1423" i="10"/>
  <c r="F1455" i="10"/>
  <c r="F1491" i="10"/>
  <c r="F1528" i="10"/>
  <c r="F1563" i="10"/>
  <c r="F1597" i="10"/>
  <c r="F1634" i="10"/>
  <c r="F1671" i="10"/>
  <c r="F1704" i="10"/>
  <c r="F1740" i="10"/>
  <c r="F33" i="10"/>
  <c r="F84" i="10"/>
  <c r="F131" i="10"/>
  <c r="F185" i="10"/>
  <c r="F227" i="10"/>
  <c r="F271" i="10"/>
  <c r="F314" i="10"/>
  <c r="F354" i="10"/>
  <c r="F397" i="10"/>
  <c r="F436" i="10"/>
  <c r="F472" i="10"/>
  <c r="F506" i="10"/>
  <c r="F543" i="10"/>
  <c r="F580" i="10"/>
  <c r="F613" i="10"/>
  <c r="F649" i="10"/>
  <c r="F686" i="10"/>
  <c r="F721" i="10"/>
  <c r="F751" i="10"/>
  <c r="F792" i="10"/>
  <c r="F829" i="10"/>
  <c r="F858" i="10"/>
  <c r="F894" i="10"/>
  <c r="F931" i="10"/>
  <c r="F966" i="10"/>
  <c r="F999" i="10"/>
  <c r="F1036" i="10"/>
  <c r="F1074" i="10"/>
  <c r="F1106" i="10"/>
  <c r="F1142" i="10"/>
  <c r="F1179" i="10"/>
  <c r="F1214" i="10"/>
  <c r="F1248" i="10"/>
  <c r="F1285" i="10"/>
  <c r="F1322" i="10"/>
  <c r="F1351" i="10"/>
  <c r="F1387" i="10"/>
  <c r="F1428" i="10"/>
  <c r="F1459" i="10"/>
  <c r="F1492" i="10"/>
  <c r="F1530" i="10"/>
  <c r="F1567" i="10"/>
  <c r="F1599" i="10"/>
  <c r="F1635" i="10"/>
  <c r="F1672" i="10"/>
  <c r="F1707" i="10"/>
  <c r="F1741" i="10"/>
  <c r="F34" i="10"/>
  <c r="F86" i="10"/>
  <c r="F134" i="10"/>
  <c r="F186" i="10"/>
  <c r="F228" i="10"/>
  <c r="F276" i="10"/>
  <c r="F315" i="10"/>
  <c r="F355" i="10"/>
  <c r="F398" i="10"/>
  <c r="F438" i="10"/>
  <c r="F480" i="10"/>
  <c r="F508" i="10"/>
  <c r="F544" i="10"/>
  <c r="F582" i="10"/>
  <c r="F616" i="10"/>
  <c r="F650" i="10"/>
  <c r="F687" i="10"/>
  <c r="F724" i="10"/>
  <c r="F757" i="10"/>
  <c r="F793" i="10"/>
  <c r="F830" i="10"/>
  <c r="F865" i="10"/>
  <c r="F895" i="10"/>
  <c r="F936" i="10"/>
  <c r="F973" i="10"/>
  <c r="F1002" i="10"/>
  <c r="F1038" i="10"/>
  <c r="F1075" i="10"/>
  <c r="F1110" i="10"/>
  <c r="F1143" i="10"/>
  <c r="F1180" i="10"/>
  <c r="F1218" i="10"/>
  <c r="F1250" i="10"/>
  <c r="F1286" i="10"/>
  <c r="F1323" i="10"/>
  <c r="F1358" i="10"/>
  <c r="F1392" i="10"/>
  <c r="F1429" i="10"/>
  <c r="F1466" i="10"/>
  <c r="F1495" i="10"/>
  <c r="F1531" i="10"/>
  <c r="F1572" i="10"/>
  <c r="F1603" i="10"/>
  <c r="F1636" i="10"/>
  <c r="F1674" i="10"/>
  <c r="F1711" i="10"/>
  <c r="F1743" i="10"/>
  <c r="F41" i="10"/>
  <c r="F88" i="10"/>
  <c r="F136" i="10"/>
  <c r="F187" i="10"/>
  <c r="F230" i="10"/>
  <c r="F277" i="10"/>
  <c r="F316" i="10"/>
  <c r="F360" i="10"/>
  <c r="F399" i="10"/>
  <c r="F439" i="10"/>
  <c r="F481" i="10"/>
  <c r="F516" i="10"/>
  <c r="F546" i="10"/>
  <c r="F583" i="10"/>
  <c r="F624" i="10"/>
  <c r="F652" i="10"/>
  <c r="F688" i="10"/>
  <c r="F726" i="10"/>
  <c r="F760" i="10"/>
  <c r="F794" i="10"/>
  <c r="F831" i="10"/>
  <c r="F868" i="10"/>
  <c r="F901" i="10"/>
  <c r="F937" i="10"/>
  <c r="F974" i="10"/>
  <c r="F1009" i="10"/>
  <c r="F1039" i="10"/>
  <c r="F1080" i="10"/>
  <c r="F1117" i="10"/>
  <c r="F1146" i="10"/>
  <c r="F1182" i="10"/>
  <c r="F1219" i="10"/>
  <c r="F1254" i="10"/>
  <c r="F1287" i="10"/>
  <c r="F1324" i="10"/>
  <c r="F1362" i="10"/>
  <c r="F1394" i="10"/>
  <c r="F1430" i="10"/>
  <c r="F1467" i="10"/>
  <c r="F1502" i="10"/>
  <c r="F1536" i="10"/>
  <c r="F1573" i="10"/>
  <c r="F1610" i="10"/>
  <c r="F1639" i="10"/>
  <c r="F1675" i="10"/>
  <c r="F1716" i="10"/>
  <c r="F1747" i="10"/>
  <c r="F42" i="10"/>
  <c r="F89" i="10"/>
  <c r="F141" i="10"/>
  <c r="F188" i="10"/>
  <c r="F232" i="10"/>
  <c r="F278" i="10"/>
  <c r="F318" i="10"/>
  <c r="F361" i="10"/>
  <c r="F400" i="10"/>
  <c r="F444" i="10"/>
  <c r="F482" i="10"/>
  <c r="F519" i="10"/>
  <c r="F552" i="10"/>
  <c r="F588" i="10"/>
  <c r="F625" i="10"/>
  <c r="F660" i="10"/>
  <c r="F690" i="10"/>
  <c r="F727" i="10"/>
  <c r="F768" i="10"/>
  <c r="F796" i="10"/>
  <c r="F832" i="10"/>
  <c r="F870" i="10"/>
  <c r="F904" i="10"/>
  <c r="F938" i="10"/>
  <c r="F975" i="10"/>
  <c r="F1012" i="10"/>
  <c r="F1045" i="10"/>
  <c r="F1081" i="10"/>
  <c r="F1118" i="10"/>
  <c r="F1153" i="10"/>
  <c r="F1183" i="10"/>
  <c r="F1224" i="10"/>
  <c r="F1261" i="10"/>
  <c r="F1290" i="10"/>
  <c r="F1326" i="10"/>
  <c r="F1363" i="10"/>
  <c r="F1398" i="10"/>
  <c r="F1431" i="10"/>
  <c r="F1468" i="10"/>
  <c r="F1506" i="10"/>
  <c r="F1538" i="10"/>
  <c r="F1574" i="10"/>
  <c r="F1611" i="10"/>
  <c r="F1646" i="10"/>
  <c r="F1680" i="10"/>
  <c r="F1717" i="10"/>
  <c r="F1754" i="10"/>
  <c r="F43" i="10"/>
  <c r="F91" i="10"/>
  <c r="F142" i="10"/>
  <c r="F189" i="10"/>
  <c r="F237" i="10"/>
  <c r="F279" i="10"/>
  <c r="F319" i="10"/>
  <c r="F362" i="10"/>
  <c r="F402" i="10"/>
  <c r="F445" i="10"/>
  <c r="F483" i="10"/>
  <c r="F520" i="10"/>
  <c r="F555" i="10"/>
  <c r="F589" i="10"/>
  <c r="F626" i="10"/>
  <c r="F663" i="10"/>
  <c r="F696" i="10"/>
  <c r="F732" i="10"/>
  <c r="F769" i="10"/>
  <c r="F804" i="10"/>
  <c r="F834" i="10"/>
  <c r="F871" i="10"/>
  <c r="F912" i="10"/>
  <c r="F940" i="10"/>
  <c r="F976" i="10"/>
  <c r="F1014" i="10"/>
  <c r="F1048" i="10"/>
  <c r="F1082" i="10"/>
  <c r="F1119" i="10"/>
  <c r="F1156" i="10"/>
  <c r="F1189" i="10"/>
  <c r="F1225" i="10"/>
  <c r="F1262" i="10"/>
  <c r="F1297" i="10"/>
  <c r="F1327" i="10"/>
  <c r="F1368" i="10"/>
  <c r="F1405" i="10"/>
  <c r="F1434" i="10"/>
  <c r="F1470" i="10"/>
  <c r="F1507" i="10"/>
  <c r="F1542" i="10"/>
  <c r="F1575" i="10"/>
  <c r="F1612" i="10"/>
  <c r="F1650" i="10"/>
  <c r="F1682" i="10"/>
  <c r="F1718" i="10"/>
  <c r="F1755" i="10"/>
  <c r="F55" i="10"/>
  <c r="F150" i="10"/>
  <c r="F244" i="10"/>
  <c r="F328" i="10"/>
  <c r="F411" i="10"/>
  <c r="F484" i="10"/>
  <c r="F559" i="10"/>
  <c r="F627" i="10"/>
  <c r="F699" i="10"/>
  <c r="F770" i="10"/>
  <c r="F840" i="10"/>
  <c r="F913" i="10"/>
  <c r="F978" i="10"/>
  <c r="F1056" i="10"/>
  <c r="F1120" i="10"/>
  <c r="F1192" i="10"/>
  <c r="F1263" i="10"/>
  <c r="F1333" i="10"/>
  <c r="F1406" i="10"/>
  <c r="F1471" i="10"/>
  <c r="F1549" i="10"/>
  <c r="F1614" i="10"/>
  <c r="F1686" i="10"/>
  <c r="F1756" i="10"/>
  <c r="F58" i="10"/>
  <c r="F158" i="10"/>
  <c r="F251" i="10"/>
  <c r="F336" i="10"/>
  <c r="F415" i="10"/>
  <c r="F487" i="10"/>
  <c r="F564" i="10"/>
  <c r="F628" i="10"/>
  <c r="F703" i="10"/>
  <c r="F771" i="10"/>
  <c r="F843" i="10"/>
  <c r="F914" i="10"/>
  <c r="F984" i="10"/>
  <c r="F1057" i="10"/>
  <c r="F1122" i="10"/>
  <c r="F1200" i="10"/>
  <c r="F1264" i="10"/>
  <c r="F1336" i="10"/>
  <c r="F1407" i="10"/>
  <c r="F1477" i="10"/>
  <c r="F1550" i="10"/>
  <c r="F1615" i="10"/>
  <c r="F1693" i="10"/>
  <c r="F1758" i="10"/>
  <c r="F59" i="10"/>
  <c r="F160" i="10"/>
  <c r="F252" i="10"/>
  <c r="F337" i="10"/>
  <c r="F420" i="10"/>
  <c r="F494" i="10"/>
  <c r="F565" i="10"/>
  <c r="F631" i="10"/>
  <c r="F708" i="10"/>
  <c r="F772" i="10"/>
  <c r="F847" i="10"/>
  <c r="F915" i="10"/>
  <c r="F987" i="10"/>
  <c r="F1058" i="10"/>
  <c r="F1128" i="10"/>
  <c r="F1201" i="10"/>
  <c r="F1266" i="10"/>
  <c r="F1344" i="10"/>
  <c r="F1408" i="10"/>
  <c r="F1480" i="10"/>
  <c r="F1551" i="10"/>
  <c r="F1621" i="10"/>
  <c r="F1694" i="10"/>
  <c r="F1759" i="10"/>
  <c r="F62" i="10"/>
  <c r="F161" i="10"/>
  <c r="F253" i="10"/>
  <c r="F338" i="10"/>
  <c r="F421" i="10"/>
  <c r="F498" i="10"/>
  <c r="F566" i="10"/>
  <c r="F638" i="10"/>
  <c r="F709" i="10"/>
  <c r="F775" i="10"/>
  <c r="F852" i="10"/>
  <c r="F916" i="10"/>
  <c r="F991" i="10"/>
  <c r="F1059" i="10"/>
  <c r="F1131" i="10"/>
  <c r="F1202" i="10"/>
  <c r="F1272" i="10"/>
  <c r="F1345" i="10"/>
  <c r="F1410" i="10"/>
  <c r="F1488" i="10"/>
  <c r="F1552" i="10"/>
  <c r="F1624" i="10"/>
  <c r="F1695" i="10"/>
  <c r="F64" i="10"/>
  <c r="F163" i="10"/>
  <c r="F254" i="10"/>
  <c r="F339" i="10"/>
  <c r="F422" i="10"/>
  <c r="F499" i="10"/>
  <c r="F567" i="10"/>
  <c r="F642" i="10"/>
  <c r="F710" i="10"/>
  <c r="F782" i="10"/>
  <c r="F853" i="10"/>
  <c r="F919" i="10"/>
  <c r="F996" i="10"/>
  <c r="F1060" i="10"/>
  <c r="F1135" i="10"/>
  <c r="F1203" i="10"/>
  <c r="F1275" i="10"/>
  <c r="F1346" i="10"/>
  <c r="F1416" i="10"/>
  <c r="F1489" i="10"/>
  <c r="F1554" i="10"/>
  <c r="F1632" i="10"/>
  <c r="F1696" i="10"/>
  <c r="F69" i="10"/>
  <c r="F164" i="10"/>
  <c r="F257" i="10"/>
  <c r="F340" i="10"/>
  <c r="F423" i="10"/>
  <c r="F504" i="10"/>
  <c r="F570" i="10"/>
  <c r="F643" i="10"/>
  <c r="F711" i="10"/>
  <c r="F786" i="10"/>
  <c r="F854" i="10"/>
  <c r="F926" i="10"/>
  <c r="F997" i="10"/>
  <c r="F1063" i="10"/>
  <c r="F1140" i="10"/>
  <c r="F1204" i="10"/>
  <c r="F1279" i="10"/>
  <c r="F1347" i="10"/>
  <c r="F1419" i="10"/>
  <c r="F1490" i="10"/>
  <c r="F1560" i="10"/>
  <c r="F1633" i="10"/>
  <c r="F1698" i="10"/>
  <c r="F2" i="10"/>
  <c r="F200" i="10"/>
  <c r="F372" i="10"/>
  <c r="F522" i="10"/>
  <c r="F664" i="10"/>
  <c r="F807" i="10"/>
  <c r="F948" i="10"/>
  <c r="F1084" i="10"/>
  <c r="F1226" i="10"/>
  <c r="F1369" i="10"/>
  <c r="F1512" i="10"/>
  <c r="F1651" i="10"/>
  <c r="F11" i="10"/>
  <c r="F204" i="10"/>
  <c r="F375" i="10"/>
  <c r="F523" i="10"/>
  <c r="F666" i="10"/>
  <c r="F808" i="10"/>
  <c r="F951" i="10"/>
  <c r="F1092" i="10"/>
  <c r="F1228" i="10"/>
  <c r="F1370" i="10"/>
  <c r="F1513" i="10"/>
  <c r="F1656" i="10"/>
  <c r="F12" i="10"/>
  <c r="F205" i="10"/>
  <c r="F376" i="10"/>
  <c r="F528" i="10"/>
  <c r="F667" i="10"/>
  <c r="F810" i="10"/>
  <c r="F952" i="10"/>
  <c r="F1095" i="10"/>
  <c r="F1236" i="10"/>
  <c r="F1372" i="10"/>
  <c r="F1514" i="10"/>
  <c r="F1657" i="10"/>
  <c r="F14" i="10"/>
  <c r="F211" i="10"/>
  <c r="F378" i="10"/>
  <c r="F530" i="10"/>
  <c r="F672" i="10"/>
  <c r="F811" i="10"/>
  <c r="F954" i="10"/>
  <c r="F1096" i="10"/>
  <c r="F1239" i="10"/>
  <c r="F1380" i="10"/>
  <c r="F1516" i="10"/>
  <c r="F1658" i="10"/>
  <c r="F16" i="10"/>
  <c r="F212" i="10"/>
  <c r="F379" i="10"/>
  <c r="F534" i="10"/>
  <c r="F674" i="10"/>
  <c r="F816" i="10"/>
  <c r="F955" i="10"/>
  <c r="F1098" i="10"/>
  <c r="F1240" i="10"/>
  <c r="F1383" i="10"/>
  <c r="F1524" i="10"/>
  <c r="F1660" i="10"/>
  <c r="F17" i="10"/>
  <c r="F213" i="10"/>
  <c r="F384" i="10"/>
  <c r="F541" i="10"/>
  <c r="F678" i="10"/>
  <c r="F818" i="10"/>
  <c r="F960" i="10"/>
  <c r="F1099" i="10"/>
  <c r="F1242" i="10"/>
  <c r="F1384" i="10"/>
  <c r="F1527" i="10"/>
  <c r="F1668" i="10"/>
  <c r="F102" i="10"/>
  <c r="F451" i="10"/>
  <c r="F733" i="10"/>
  <c r="F1015" i="10"/>
  <c r="F1300" i="10"/>
  <c r="F1578" i="10"/>
  <c r="F106" i="10"/>
  <c r="F458" i="10"/>
  <c r="F735" i="10"/>
  <c r="F1020" i="10"/>
  <c r="F1302" i="10"/>
  <c r="F1585" i="10"/>
  <c r="F114" i="10"/>
  <c r="F460" i="10"/>
  <c r="F746" i="10"/>
  <c r="F1023" i="10"/>
  <c r="F1308" i="10"/>
  <c r="F1590" i="10"/>
  <c r="F115" i="10"/>
  <c r="F462" i="10"/>
  <c r="F747" i="10"/>
  <c r="F1027" i="10"/>
  <c r="F1309" i="10"/>
  <c r="F1591" i="10"/>
  <c r="F116" i="10"/>
  <c r="F463" i="10"/>
  <c r="F748" i="10"/>
  <c r="F1034" i="10"/>
  <c r="F1311" i="10"/>
  <c r="F1596" i="10"/>
  <c r="F289" i="10"/>
  <c r="F591" i="10"/>
  <c r="F876" i="10"/>
  <c r="F1158" i="10"/>
  <c r="F1441" i="10"/>
  <c r="F1719" i="10"/>
  <c r="F459" i="10"/>
  <c r="F1021" i="10"/>
  <c r="F1588" i="10"/>
  <c r="F602" i="10"/>
  <c r="F1729" i="10"/>
  <c r="F595" i="10"/>
  <c r="F1159" i="10"/>
  <c r="F1722" i="10"/>
  <c r="F1164" i="10"/>
  <c r="F603" i="10"/>
  <c r="F1165" i="10"/>
  <c r="F1732" i="10"/>
  <c r="F1444" i="10"/>
  <c r="F604" i="10"/>
  <c r="F1167" i="10"/>
  <c r="F1734" i="10"/>
  <c r="F1446" i="10"/>
  <c r="F606" i="10"/>
  <c r="F1171" i="10"/>
  <c r="F1735" i="10"/>
  <c r="F292" i="10"/>
  <c r="F113" i="10"/>
  <c r="F739" i="10"/>
  <c r="F1303" i="10"/>
  <c r="F877" i="10"/>
  <c r="F890" i="10"/>
  <c r="F1447" i="10"/>
  <c r="F891" i="10"/>
  <c r="F1452" i="10"/>
  <c r="F1453" i="10"/>
  <c r="F300" i="10"/>
  <c r="F301" i="10"/>
  <c r="F879" i="10"/>
  <c r="F883" i="10"/>
  <c r="F295" i="10"/>
  <c r="F294" i="10"/>
  <c r="AZ4" i="10"/>
  <c r="AZ16" i="10"/>
  <c r="AZ28" i="10"/>
  <c r="AZ40" i="10"/>
  <c r="AZ52" i="10"/>
  <c r="AZ64" i="10"/>
  <c r="AZ76" i="10"/>
  <c r="AZ88" i="10"/>
  <c r="AZ100" i="10"/>
  <c r="AZ112" i="10"/>
  <c r="AZ124" i="10"/>
  <c r="AZ136" i="10"/>
  <c r="AZ148" i="10"/>
  <c r="AZ160" i="10"/>
  <c r="AZ172" i="10"/>
  <c r="AZ184" i="10"/>
  <c r="AZ196" i="10"/>
  <c r="AZ208" i="10"/>
  <c r="AZ220" i="10"/>
  <c r="AZ232" i="10"/>
  <c r="AZ244" i="10"/>
  <c r="AZ256" i="10"/>
  <c r="AZ268" i="10"/>
  <c r="AZ280" i="10"/>
  <c r="AZ292" i="10"/>
  <c r="AZ304" i="10"/>
  <c r="AZ316" i="10"/>
  <c r="AZ328" i="10"/>
  <c r="AZ340" i="10"/>
  <c r="AZ352" i="10"/>
  <c r="AZ364" i="10"/>
  <c r="AZ376" i="10"/>
  <c r="AZ388" i="10"/>
  <c r="AZ400" i="10"/>
  <c r="AZ412" i="10"/>
  <c r="AZ424" i="10"/>
  <c r="AZ436" i="10"/>
  <c r="AZ448" i="10"/>
  <c r="AZ460" i="10"/>
  <c r="AZ472" i="10"/>
  <c r="AZ484" i="10"/>
  <c r="AZ496" i="10"/>
  <c r="AZ5" i="10"/>
  <c r="AZ17" i="10"/>
  <c r="AZ29" i="10"/>
  <c r="AZ41" i="10"/>
  <c r="AZ53" i="10"/>
  <c r="AZ65" i="10"/>
  <c r="AZ77" i="10"/>
  <c r="AZ89" i="10"/>
  <c r="AZ101" i="10"/>
  <c r="AZ113" i="10"/>
  <c r="AZ125" i="10"/>
  <c r="AZ137" i="10"/>
  <c r="AZ149" i="10"/>
  <c r="AZ161" i="10"/>
  <c r="AZ173" i="10"/>
  <c r="AZ185" i="10"/>
  <c r="AZ197" i="10"/>
  <c r="AZ209" i="10"/>
  <c r="AZ221" i="10"/>
  <c r="AZ233" i="10"/>
  <c r="AZ245" i="10"/>
  <c r="AZ257" i="10"/>
  <c r="AZ269" i="10"/>
  <c r="AZ281" i="10"/>
  <c r="AZ293" i="10"/>
  <c r="AZ305" i="10"/>
  <c r="AZ317" i="10"/>
  <c r="AZ329" i="10"/>
  <c r="AZ341" i="10"/>
  <c r="AZ353" i="10"/>
  <c r="AZ365" i="10"/>
  <c r="AZ377" i="10"/>
  <c r="AZ389" i="10"/>
  <c r="AZ401" i="10"/>
  <c r="AZ413" i="10"/>
  <c r="AZ425" i="10"/>
  <c r="AZ437" i="10"/>
  <c r="AZ449" i="10"/>
  <c r="AZ461" i="10"/>
  <c r="AZ473" i="10"/>
  <c r="AZ485" i="10"/>
  <c r="AZ6" i="10"/>
  <c r="AZ18" i="10"/>
  <c r="AZ30" i="10"/>
  <c r="AZ42" i="10"/>
  <c r="AZ54" i="10"/>
  <c r="AZ66" i="10"/>
  <c r="AZ78" i="10"/>
  <c r="AZ90" i="10"/>
  <c r="AZ102" i="10"/>
  <c r="AZ114" i="10"/>
  <c r="AZ126" i="10"/>
  <c r="AZ138" i="10"/>
  <c r="AZ150" i="10"/>
  <c r="AZ162" i="10"/>
  <c r="AZ174" i="10"/>
  <c r="AZ186" i="10"/>
  <c r="AZ198" i="10"/>
  <c r="AZ210" i="10"/>
  <c r="AZ222" i="10"/>
  <c r="AZ234" i="10"/>
  <c r="AZ246" i="10"/>
  <c r="AZ258" i="10"/>
  <c r="AZ270" i="10"/>
  <c r="AZ282" i="10"/>
  <c r="AZ294" i="10"/>
  <c r="AZ306" i="10"/>
  <c r="AZ318" i="10"/>
  <c r="AZ330" i="10"/>
  <c r="AZ342" i="10"/>
  <c r="AZ354" i="10"/>
  <c r="AZ366" i="10"/>
  <c r="AZ378" i="10"/>
  <c r="AZ390" i="10"/>
  <c r="AZ402" i="10"/>
  <c r="AZ414" i="10"/>
  <c r="AZ426" i="10"/>
  <c r="AZ438" i="10"/>
  <c r="AZ450" i="10"/>
  <c r="AZ462" i="10"/>
  <c r="AZ474" i="10"/>
  <c r="AZ486" i="10"/>
  <c r="AZ498" i="10"/>
  <c r="AZ510" i="10"/>
  <c r="AZ522" i="10"/>
  <c r="AZ534" i="10"/>
  <c r="AZ546" i="10"/>
  <c r="AZ558" i="10"/>
  <c r="AZ570" i="10"/>
  <c r="AZ582" i="10"/>
  <c r="AZ594" i="10"/>
  <c r="AZ606" i="10"/>
  <c r="AZ618" i="10"/>
  <c r="AZ630" i="10"/>
  <c r="AZ642" i="10"/>
  <c r="AZ654" i="10"/>
  <c r="AZ666" i="10"/>
  <c r="AZ8" i="10"/>
  <c r="AZ20" i="10"/>
  <c r="AZ32" i="10"/>
  <c r="AZ44" i="10"/>
  <c r="AZ56" i="10"/>
  <c r="AZ68" i="10"/>
  <c r="AZ80" i="10"/>
  <c r="AZ92" i="10"/>
  <c r="AZ104" i="10"/>
  <c r="AZ116" i="10"/>
  <c r="AZ128" i="10"/>
  <c r="AZ140" i="10"/>
  <c r="AZ152" i="10"/>
  <c r="AZ164" i="10"/>
  <c r="AZ176" i="10"/>
  <c r="AZ188" i="10"/>
  <c r="AZ200" i="10"/>
  <c r="AZ212" i="10"/>
  <c r="AZ224" i="10"/>
  <c r="AZ236" i="10"/>
  <c r="AZ248" i="10"/>
  <c r="AZ260" i="10"/>
  <c r="AZ272" i="10"/>
  <c r="AZ284" i="10"/>
  <c r="AZ296" i="10"/>
  <c r="AZ308" i="10"/>
  <c r="AZ320" i="10"/>
  <c r="AZ332" i="10"/>
  <c r="AZ344" i="10"/>
  <c r="AZ356" i="10"/>
  <c r="AZ368" i="10"/>
  <c r="AZ380" i="10"/>
  <c r="AZ392" i="10"/>
  <c r="AZ404" i="10"/>
  <c r="AZ416" i="10"/>
  <c r="AZ428" i="10"/>
  <c r="AZ440" i="10"/>
  <c r="AZ452" i="10"/>
  <c r="AZ464" i="10"/>
  <c r="AZ476" i="10"/>
  <c r="AZ488" i="10"/>
  <c r="AZ500" i="10"/>
  <c r="AZ512" i="10"/>
  <c r="AZ524" i="10"/>
  <c r="AZ536" i="10"/>
  <c r="AZ548" i="10"/>
  <c r="AZ560" i="10"/>
  <c r="AZ572" i="10"/>
  <c r="AZ584" i="10"/>
  <c r="AZ596" i="10"/>
  <c r="AZ608" i="10"/>
  <c r="AZ620" i="10"/>
  <c r="AZ632" i="10"/>
  <c r="AZ644" i="10"/>
  <c r="AZ656" i="10"/>
  <c r="AZ668" i="10"/>
  <c r="AZ680" i="10"/>
  <c r="AZ692" i="10"/>
  <c r="AZ704" i="10"/>
  <c r="AZ716" i="10"/>
  <c r="AZ728" i="10"/>
  <c r="AZ740" i="10"/>
  <c r="AZ752" i="10"/>
  <c r="AZ764" i="10"/>
  <c r="AZ776" i="10"/>
  <c r="AZ788" i="10"/>
  <c r="AZ800" i="10"/>
  <c r="AZ812" i="10"/>
  <c r="AZ824" i="10"/>
  <c r="AZ836" i="10"/>
  <c r="AZ848" i="10"/>
  <c r="AZ860" i="10"/>
  <c r="AZ872" i="10"/>
  <c r="AZ884" i="10"/>
  <c r="AZ896" i="10"/>
  <c r="AZ908" i="10"/>
  <c r="AZ920" i="10"/>
  <c r="AZ932" i="10"/>
  <c r="AZ944" i="10"/>
  <c r="AZ956" i="10"/>
  <c r="AZ968" i="10"/>
  <c r="AZ980" i="10"/>
  <c r="AZ992" i="10"/>
  <c r="AZ1004" i="10"/>
  <c r="AZ1016" i="10"/>
  <c r="AZ1028" i="10"/>
  <c r="AZ1040" i="10"/>
  <c r="AZ1052" i="10"/>
  <c r="AZ1064" i="10"/>
  <c r="AZ1076" i="10"/>
  <c r="AZ1088" i="10"/>
  <c r="AZ1100" i="10"/>
  <c r="AZ1112" i="10"/>
  <c r="AZ9" i="10"/>
  <c r="BB9" i="10" s="1"/>
  <c r="AZ21" i="10"/>
  <c r="AZ33" i="10"/>
  <c r="AZ45" i="10"/>
  <c r="AZ57" i="10"/>
  <c r="AZ69" i="10"/>
  <c r="AZ81" i="10"/>
  <c r="AZ93" i="10"/>
  <c r="AZ105" i="10"/>
  <c r="AZ117" i="10"/>
  <c r="AZ129" i="10"/>
  <c r="AZ141" i="10"/>
  <c r="AZ153" i="10"/>
  <c r="AZ165" i="10"/>
  <c r="AZ177" i="10"/>
  <c r="AZ189" i="10"/>
  <c r="AZ201" i="10"/>
  <c r="AZ213" i="10"/>
  <c r="AZ225" i="10"/>
  <c r="AZ237" i="10"/>
  <c r="AZ249" i="10"/>
  <c r="AZ261" i="10"/>
  <c r="AZ273" i="10"/>
  <c r="AZ285" i="10"/>
  <c r="AZ297" i="10"/>
  <c r="AZ309" i="10"/>
  <c r="AZ321" i="10"/>
  <c r="AZ333" i="10"/>
  <c r="AZ345" i="10"/>
  <c r="AZ357" i="10"/>
  <c r="AZ369" i="10"/>
  <c r="AZ381" i="10"/>
  <c r="AZ393" i="10"/>
  <c r="AZ405" i="10"/>
  <c r="AZ417" i="10"/>
  <c r="AZ429" i="10"/>
  <c r="AZ441" i="10"/>
  <c r="AZ453" i="10"/>
  <c r="AZ465" i="10"/>
  <c r="AZ477" i="10"/>
  <c r="AZ489" i="10"/>
  <c r="AZ501" i="10"/>
  <c r="AZ513" i="10"/>
  <c r="AZ525" i="10"/>
  <c r="AZ537" i="10"/>
  <c r="AZ549" i="10"/>
  <c r="AZ561" i="10"/>
  <c r="AZ573" i="10"/>
  <c r="AZ585" i="10"/>
  <c r="AZ597" i="10"/>
  <c r="AZ609" i="10"/>
  <c r="AZ621" i="10"/>
  <c r="AZ633" i="10"/>
  <c r="AZ645" i="10"/>
  <c r="AZ657" i="10"/>
  <c r="AZ669" i="10"/>
  <c r="AZ681" i="10"/>
  <c r="AZ693" i="10"/>
  <c r="AZ705" i="10"/>
  <c r="AZ717" i="10"/>
  <c r="AZ729" i="10"/>
  <c r="AZ741" i="10"/>
  <c r="AZ753" i="10"/>
  <c r="AZ765" i="10"/>
  <c r="AZ777" i="10"/>
  <c r="AZ789" i="10"/>
  <c r="AZ801" i="10"/>
  <c r="AZ813" i="10"/>
  <c r="AZ825" i="10"/>
  <c r="AZ837" i="10"/>
  <c r="AZ849" i="10"/>
  <c r="AZ861" i="10"/>
  <c r="AZ873" i="10"/>
  <c r="AZ885" i="10"/>
  <c r="AZ897" i="10"/>
  <c r="AZ909" i="10"/>
  <c r="AZ921" i="10"/>
  <c r="AZ933" i="10"/>
  <c r="AZ945" i="10"/>
  <c r="AZ957" i="10"/>
  <c r="AZ969" i="10"/>
  <c r="AZ981" i="10"/>
  <c r="AZ993" i="10"/>
  <c r="AZ1005" i="10"/>
  <c r="AZ1017" i="10"/>
  <c r="AZ1029" i="10"/>
  <c r="AZ1041" i="10"/>
  <c r="AZ1053" i="10"/>
  <c r="AZ1065" i="10"/>
  <c r="AZ1077" i="10"/>
  <c r="AZ1089" i="10"/>
  <c r="AZ1101" i="10"/>
  <c r="AZ1113" i="10"/>
  <c r="AZ1125" i="10"/>
  <c r="AZ1137" i="10"/>
  <c r="AZ1149" i="10"/>
  <c r="AZ11" i="10"/>
  <c r="AZ31" i="10"/>
  <c r="AZ50" i="10"/>
  <c r="AZ72" i="10"/>
  <c r="AZ94" i="10"/>
  <c r="AZ111" i="10"/>
  <c r="AZ133" i="10"/>
  <c r="AZ155" i="10"/>
  <c r="AZ175" i="10"/>
  <c r="AZ194" i="10"/>
  <c r="AZ216" i="10"/>
  <c r="AZ238" i="10"/>
  <c r="AZ255" i="10"/>
  <c r="AZ277" i="10"/>
  <c r="AZ299" i="10"/>
  <c r="AZ319" i="10"/>
  <c r="AZ338" i="10"/>
  <c r="AZ360" i="10"/>
  <c r="AZ382" i="10"/>
  <c r="AZ399" i="10"/>
  <c r="AZ421" i="10"/>
  <c r="AZ443" i="10"/>
  <c r="AZ463" i="10"/>
  <c r="AZ482" i="10"/>
  <c r="AZ503" i="10"/>
  <c r="AZ518" i="10"/>
  <c r="AZ533" i="10"/>
  <c r="AZ551" i="10"/>
  <c r="AZ566" i="10"/>
  <c r="AZ581" i="10"/>
  <c r="AZ599" i="10"/>
  <c r="AZ614" i="10"/>
  <c r="AZ629" i="10"/>
  <c r="AZ647" i="10"/>
  <c r="AZ662" i="10"/>
  <c r="AZ677" i="10"/>
  <c r="AZ691" i="10"/>
  <c r="AZ707" i="10"/>
  <c r="AZ721" i="10"/>
  <c r="AZ735" i="10"/>
  <c r="AZ749" i="10"/>
  <c r="AZ763" i="10"/>
  <c r="AZ779" i="10"/>
  <c r="AZ793" i="10"/>
  <c r="AZ807" i="10"/>
  <c r="AZ821" i="10"/>
  <c r="AZ835" i="10"/>
  <c r="AZ851" i="10"/>
  <c r="AZ865" i="10"/>
  <c r="AZ879" i="10"/>
  <c r="AZ893" i="10"/>
  <c r="AZ907" i="10"/>
  <c r="AZ923" i="10"/>
  <c r="AZ937" i="10"/>
  <c r="AZ951" i="10"/>
  <c r="AZ965" i="10"/>
  <c r="AZ979" i="10"/>
  <c r="AZ995" i="10"/>
  <c r="AZ1009" i="10"/>
  <c r="AZ1023" i="10"/>
  <c r="AZ1037" i="10"/>
  <c r="AZ1051" i="10"/>
  <c r="AZ1067" i="10"/>
  <c r="AZ1081" i="10"/>
  <c r="AZ1095" i="10"/>
  <c r="AZ1109" i="10"/>
  <c r="AZ1123" i="10"/>
  <c r="AZ1136" i="10"/>
  <c r="AZ1150" i="10"/>
  <c r="AZ1162" i="10"/>
  <c r="AZ1174" i="10"/>
  <c r="AZ1186" i="10"/>
  <c r="AZ1198" i="10"/>
  <c r="AZ1210" i="10"/>
  <c r="AZ1222" i="10"/>
  <c r="AZ1234" i="10"/>
  <c r="AZ1246" i="10"/>
  <c r="AZ1258" i="10"/>
  <c r="AZ1270" i="10"/>
  <c r="AZ1282" i="10"/>
  <c r="AZ1294" i="10"/>
  <c r="AZ1306" i="10"/>
  <c r="AZ1318" i="10"/>
  <c r="AZ1330" i="10"/>
  <c r="AZ1342" i="10"/>
  <c r="AZ1354" i="10"/>
  <c r="AZ1366" i="10"/>
  <c r="AZ1378" i="10"/>
  <c r="AZ1390" i="10"/>
  <c r="AZ1402" i="10"/>
  <c r="AZ1414" i="10"/>
  <c r="AZ1426" i="10"/>
  <c r="AZ1438" i="10"/>
  <c r="AZ1450" i="10"/>
  <c r="AZ1462" i="10"/>
  <c r="AZ1474" i="10"/>
  <c r="AZ1486" i="10"/>
  <c r="AZ1498" i="10"/>
  <c r="AZ1510" i="10"/>
  <c r="AZ1522" i="10"/>
  <c r="AZ1534" i="10"/>
  <c r="AZ1546" i="10"/>
  <c r="AZ1558" i="10"/>
  <c r="AZ1570" i="10"/>
  <c r="AZ1582" i="10"/>
  <c r="AZ1594" i="10"/>
  <c r="AZ1606" i="10"/>
  <c r="AZ1618" i="10"/>
  <c r="AZ1630" i="10"/>
  <c r="AZ1642" i="10"/>
  <c r="AZ1654" i="10"/>
  <c r="AZ12" i="10"/>
  <c r="AZ34" i="10"/>
  <c r="AZ51" i="10"/>
  <c r="AZ73" i="10"/>
  <c r="AZ95" i="10"/>
  <c r="AZ115" i="10"/>
  <c r="AZ134" i="10"/>
  <c r="AZ156" i="10"/>
  <c r="AZ178" i="10"/>
  <c r="AZ195" i="10"/>
  <c r="AZ217" i="10"/>
  <c r="AZ239" i="10"/>
  <c r="AZ259" i="10"/>
  <c r="AZ278" i="10"/>
  <c r="AZ300" i="10"/>
  <c r="AZ322" i="10"/>
  <c r="AZ339" i="10"/>
  <c r="AZ361" i="10"/>
  <c r="AZ383" i="10"/>
  <c r="AZ403" i="10"/>
  <c r="AZ422" i="10"/>
  <c r="AZ444" i="10"/>
  <c r="AZ466" i="10"/>
  <c r="AZ483" i="10"/>
  <c r="AZ504" i="10"/>
  <c r="AZ519" i="10"/>
  <c r="AZ535" i="10"/>
  <c r="AZ552" i="10"/>
  <c r="AZ567" i="10"/>
  <c r="AZ583" i="10"/>
  <c r="AZ600" i="10"/>
  <c r="AZ615" i="10"/>
  <c r="AZ631" i="10"/>
  <c r="AZ648" i="10"/>
  <c r="AZ663" i="10"/>
  <c r="AZ678" i="10"/>
  <c r="AZ694" i="10"/>
  <c r="AZ708" i="10"/>
  <c r="AZ722" i="10"/>
  <c r="AZ736" i="10"/>
  <c r="AZ750" i="10"/>
  <c r="AZ766" i="10"/>
  <c r="AZ780" i="10"/>
  <c r="AZ13" i="10"/>
  <c r="AZ35" i="10"/>
  <c r="AZ55" i="10"/>
  <c r="AZ74" i="10"/>
  <c r="AZ96" i="10"/>
  <c r="AZ118" i="10"/>
  <c r="AZ135" i="10"/>
  <c r="AZ157" i="10"/>
  <c r="AZ179" i="10"/>
  <c r="AZ199" i="10"/>
  <c r="AZ218" i="10"/>
  <c r="AZ240" i="10"/>
  <c r="AZ262" i="10"/>
  <c r="AZ279" i="10"/>
  <c r="AZ301" i="10"/>
  <c r="AZ323" i="10"/>
  <c r="AZ343" i="10"/>
  <c r="AZ362" i="10"/>
  <c r="AZ384" i="10"/>
  <c r="AZ406" i="10"/>
  <c r="AZ423" i="10"/>
  <c r="AZ445" i="10"/>
  <c r="AZ467" i="10"/>
  <c r="AZ487" i="10"/>
  <c r="AZ505" i="10"/>
  <c r="AZ520" i="10"/>
  <c r="AZ538" i="10"/>
  <c r="AZ553" i="10"/>
  <c r="AZ568" i="10"/>
  <c r="AZ586" i="10"/>
  <c r="AZ601" i="10"/>
  <c r="AZ616" i="10"/>
  <c r="AZ634" i="10"/>
  <c r="AZ649" i="10"/>
  <c r="AZ664" i="10"/>
  <c r="AZ679" i="10"/>
  <c r="AZ695" i="10"/>
  <c r="AZ709" i="10"/>
  <c r="AZ723" i="10"/>
  <c r="AZ737" i="10"/>
  <c r="AZ751" i="10"/>
  <c r="AZ767" i="10"/>
  <c r="AZ781" i="10"/>
  <c r="AZ795" i="10"/>
  <c r="AZ809" i="10"/>
  <c r="AZ823" i="10"/>
  <c r="AZ839" i="10"/>
  <c r="AZ853" i="10"/>
  <c r="AZ14" i="10"/>
  <c r="AZ36" i="10"/>
  <c r="AZ58" i="10"/>
  <c r="AZ75" i="10"/>
  <c r="AZ97" i="10"/>
  <c r="AZ119" i="10"/>
  <c r="AZ139" i="10"/>
  <c r="AZ158" i="10"/>
  <c r="AZ180" i="10"/>
  <c r="AZ202" i="10"/>
  <c r="AZ19" i="10"/>
  <c r="AZ38" i="10"/>
  <c r="AZ60" i="10"/>
  <c r="AZ82" i="10"/>
  <c r="AZ99" i="10"/>
  <c r="AZ121" i="10"/>
  <c r="AZ143" i="10"/>
  <c r="AZ163" i="10"/>
  <c r="AZ182" i="10"/>
  <c r="AZ204" i="10"/>
  <c r="AZ226" i="10"/>
  <c r="AZ243" i="10"/>
  <c r="AZ265" i="10"/>
  <c r="AZ287" i="10"/>
  <c r="AZ307" i="10"/>
  <c r="AZ326" i="10"/>
  <c r="AZ348" i="10"/>
  <c r="AZ370" i="10"/>
  <c r="AZ387" i="10"/>
  <c r="AZ409" i="10"/>
  <c r="AZ431" i="10"/>
  <c r="AZ451" i="10"/>
  <c r="AZ470" i="10"/>
  <c r="AZ492" i="10"/>
  <c r="AZ508" i="10"/>
  <c r="AZ526" i="10"/>
  <c r="AZ541" i="10"/>
  <c r="AZ556" i="10"/>
  <c r="AZ574" i="10"/>
  <c r="AZ589" i="10"/>
  <c r="AZ604" i="10"/>
  <c r="AZ622" i="10"/>
  <c r="AZ637" i="10"/>
  <c r="AZ652" i="10"/>
  <c r="AZ670" i="10"/>
  <c r="AZ684" i="10"/>
  <c r="AZ698" i="10"/>
  <c r="AZ712" i="10"/>
  <c r="AZ24" i="10"/>
  <c r="AZ61" i="10"/>
  <c r="AZ91" i="10"/>
  <c r="AZ130" i="10"/>
  <c r="AZ167" i="10"/>
  <c r="AZ203" i="10"/>
  <c r="AZ230" i="10"/>
  <c r="AZ264" i="10"/>
  <c r="AZ291" i="10"/>
  <c r="AZ325" i="10"/>
  <c r="AZ355" i="10"/>
  <c r="AZ386" i="10"/>
  <c r="AZ418" i="10"/>
  <c r="AZ447" i="10"/>
  <c r="AZ479" i="10"/>
  <c r="AZ507" i="10"/>
  <c r="AZ530" i="10"/>
  <c r="AZ555" i="10"/>
  <c r="AZ578" i="10"/>
  <c r="AZ603" i="10"/>
  <c r="AZ626" i="10"/>
  <c r="AZ651" i="10"/>
  <c r="AZ674" i="10"/>
  <c r="AZ697" i="10"/>
  <c r="AZ718" i="10"/>
  <c r="AZ738" i="10"/>
  <c r="AZ757" i="10"/>
  <c r="AZ774" i="10"/>
  <c r="AZ794" i="10"/>
  <c r="AZ811" i="10"/>
  <c r="AZ829" i="10"/>
  <c r="AZ845" i="10"/>
  <c r="AZ863" i="10"/>
  <c r="AZ878" i="10"/>
  <c r="AZ894" i="10"/>
  <c r="AZ911" i="10"/>
  <c r="AZ926" i="10"/>
  <c r="AZ941" i="10"/>
  <c r="AZ958" i="10"/>
  <c r="AZ973" i="10"/>
  <c r="AZ988" i="10"/>
  <c r="AZ1003" i="10"/>
  <c r="AZ1020" i="10"/>
  <c r="AZ1035" i="10"/>
  <c r="AZ1050" i="10"/>
  <c r="AZ1068" i="10"/>
  <c r="AZ1083" i="10"/>
  <c r="AZ1098" i="10"/>
  <c r="AZ1115" i="10"/>
  <c r="AZ1129" i="10"/>
  <c r="AZ1143" i="10"/>
  <c r="AZ1157" i="10"/>
  <c r="AZ1170" i="10"/>
  <c r="AZ1183" i="10"/>
  <c r="AZ1196" i="10"/>
  <c r="AZ1209" i="10"/>
  <c r="AZ1223" i="10"/>
  <c r="AZ1236" i="10"/>
  <c r="AZ1249" i="10"/>
  <c r="AZ1262" i="10"/>
  <c r="AZ1275" i="10"/>
  <c r="AZ1288" i="10"/>
  <c r="AZ1301" i="10"/>
  <c r="AZ1314" i="10"/>
  <c r="AZ1327" i="10"/>
  <c r="AZ1340" i="10"/>
  <c r="AZ1353" i="10"/>
  <c r="AZ1367" i="10"/>
  <c r="AZ1380" i="10"/>
  <c r="AZ1393" i="10"/>
  <c r="AZ1406" i="10"/>
  <c r="AZ1419" i="10"/>
  <c r="AZ1432" i="10"/>
  <c r="AZ1445" i="10"/>
  <c r="AZ1458" i="10"/>
  <c r="AZ1471" i="10"/>
  <c r="AZ1484" i="10"/>
  <c r="AZ1497" i="10"/>
  <c r="AZ1511" i="10"/>
  <c r="AZ1524" i="10"/>
  <c r="AZ1537" i="10"/>
  <c r="AZ1550" i="10"/>
  <c r="AZ1563" i="10"/>
  <c r="AZ1576" i="10"/>
  <c r="AZ1589" i="10"/>
  <c r="AZ1602" i="10"/>
  <c r="AZ1615" i="10"/>
  <c r="AZ1628" i="10"/>
  <c r="AZ1641" i="10"/>
  <c r="AZ1655" i="10"/>
  <c r="AZ1667" i="10"/>
  <c r="AZ1679" i="10"/>
  <c r="AZ1691" i="10"/>
  <c r="AZ1703" i="10"/>
  <c r="AZ1715" i="10"/>
  <c r="AZ1727" i="10"/>
  <c r="AZ1739" i="10"/>
  <c r="AZ1751" i="10"/>
  <c r="AZ1763" i="10"/>
  <c r="AZ1775" i="10"/>
  <c r="AZ1787" i="10"/>
  <c r="AZ1799" i="10"/>
  <c r="AZ1811" i="10"/>
  <c r="AZ1823" i="10"/>
  <c r="AZ1835" i="10"/>
  <c r="AZ1847" i="10"/>
  <c r="AZ1859" i="10"/>
  <c r="AZ1871" i="10"/>
  <c r="AZ1883" i="10"/>
  <c r="AZ1895" i="10"/>
  <c r="AZ1907" i="10"/>
  <c r="AZ1919" i="10"/>
  <c r="AZ1931" i="10"/>
  <c r="AZ1943" i="10"/>
  <c r="AZ1955" i="10"/>
  <c r="AZ1967" i="10"/>
  <c r="AZ1979" i="10"/>
  <c r="AZ1991" i="10"/>
  <c r="AZ2003" i="10"/>
  <c r="AZ2015" i="10"/>
  <c r="AZ2027" i="10"/>
  <c r="AZ2039" i="10"/>
  <c r="AZ2051" i="10"/>
  <c r="AZ2063" i="10"/>
  <c r="AZ2075" i="10"/>
  <c r="AZ2087" i="10"/>
  <c r="AZ2099" i="10"/>
  <c r="AZ2111" i="10"/>
  <c r="AZ2123" i="10"/>
  <c r="AZ2135" i="10"/>
  <c r="AZ2147" i="10"/>
  <c r="AZ2159" i="10"/>
  <c r="AZ2171" i="10"/>
  <c r="AZ2183" i="10"/>
  <c r="AZ2195" i="10"/>
  <c r="AZ2207" i="10"/>
  <c r="AZ2219" i="10"/>
  <c r="AZ2231" i="10"/>
  <c r="AZ2243" i="10"/>
  <c r="AZ2255" i="10"/>
  <c r="AZ2267" i="10"/>
  <c r="AZ2279" i="10"/>
  <c r="AZ2291" i="10"/>
  <c r="AZ2303" i="10"/>
  <c r="AZ2315" i="10"/>
  <c r="AZ2327" i="10"/>
  <c r="AZ2339" i="10"/>
  <c r="AZ2351" i="10"/>
  <c r="AZ2363" i="10"/>
  <c r="AZ2375" i="10"/>
  <c r="AZ2387" i="10"/>
  <c r="AZ2399" i="10"/>
  <c r="AZ2411" i="10"/>
  <c r="AZ2423" i="10"/>
  <c r="AZ2435" i="10"/>
  <c r="AZ2447" i="10"/>
  <c r="AZ2459" i="10"/>
  <c r="AZ2471" i="10"/>
  <c r="AZ2483" i="10"/>
  <c r="AZ2495" i="10"/>
  <c r="AZ2507" i="10"/>
  <c r="AZ2519" i="10"/>
  <c r="AZ2531" i="10"/>
  <c r="AZ2543" i="10"/>
  <c r="AZ2555" i="10"/>
  <c r="AZ2567" i="10"/>
  <c r="AZ2579" i="10"/>
  <c r="AZ2591" i="10"/>
  <c r="AZ2603" i="10"/>
  <c r="AZ2615" i="10"/>
  <c r="AZ2627" i="10"/>
  <c r="AZ2639" i="10"/>
  <c r="AZ2651" i="10"/>
  <c r="AZ2663" i="10"/>
  <c r="AZ2675" i="10"/>
  <c r="AZ2687" i="10"/>
  <c r="AZ2699" i="10"/>
  <c r="AZ2711" i="10"/>
  <c r="AZ2723" i="10"/>
  <c r="AZ2735" i="10"/>
  <c r="AZ2747" i="10"/>
  <c r="AZ2759" i="10"/>
  <c r="AZ2771" i="10"/>
  <c r="AZ2783" i="10"/>
  <c r="AZ2795" i="10"/>
  <c r="AZ2807" i="10"/>
  <c r="AZ2819" i="10"/>
  <c r="AZ2831" i="10"/>
  <c r="AZ2843" i="10"/>
  <c r="AZ2855" i="10"/>
  <c r="AZ2867" i="10"/>
  <c r="AZ2879" i="10"/>
  <c r="AZ2891" i="10"/>
  <c r="AZ2903" i="10"/>
  <c r="AZ25" i="10"/>
  <c r="AZ62" i="10"/>
  <c r="AZ98" i="10"/>
  <c r="AZ131" i="10"/>
  <c r="AZ168" i="10"/>
  <c r="AZ26" i="10"/>
  <c r="AZ63" i="10"/>
  <c r="AZ103" i="10"/>
  <c r="AZ132" i="10"/>
  <c r="AZ169" i="10"/>
  <c r="AZ206" i="10"/>
  <c r="AZ235" i="10"/>
  <c r="AZ267" i="10"/>
  <c r="AZ298" i="10"/>
  <c r="AZ331" i="10"/>
  <c r="AZ359" i="10"/>
  <c r="AZ394" i="10"/>
  <c r="AZ420" i="10"/>
  <c r="AZ455" i="10"/>
  <c r="AZ481" i="10"/>
  <c r="AZ511" i="10"/>
  <c r="AZ532" i="10"/>
  <c r="AZ559" i="10"/>
  <c r="AZ580" i="10"/>
  <c r="AZ607" i="10"/>
  <c r="AZ628" i="10"/>
  <c r="AZ655" i="10"/>
  <c r="AZ676" i="10"/>
  <c r="AZ700" i="10"/>
  <c r="AZ720" i="10"/>
  <c r="AZ742" i="10"/>
  <c r="AZ759" i="10"/>
  <c r="AZ778" i="10"/>
  <c r="AZ797" i="10"/>
  <c r="AZ815" i="10"/>
  <c r="AZ831" i="10"/>
  <c r="AZ847" i="10"/>
  <c r="AZ866" i="10"/>
  <c r="AZ881" i="10"/>
  <c r="AZ898" i="10"/>
  <c r="AZ913" i="10"/>
  <c r="AZ928" i="10"/>
  <c r="AZ943" i="10"/>
  <c r="AZ960" i="10"/>
  <c r="AZ975" i="10"/>
  <c r="AZ990" i="10"/>
  <c r="AZ1007" i="10"/>
  <c r="AZ1022" i="10"/>
  <c r="AZ1038" i="10"/>
  <c r="AZ1055" i="10"/>
  <c r="AZ1070" i="10"/>
  <c r="AZ1085" i="10"/>
  <c r="AZ1102" i="10"/>
  <c r="AZ1117" i="10"/>
  <c r="AZ1131" i="10"/>
  <c r="AZ1145" i="10"/>
  <c r="AZ1159" i="10"/>
  <c r="AZ1172" i="10"/>
  <c r="AZ1185" i="10"/>
  <c r="AZ1199" i="10"/>
  <c r="AZ1212" i="10"/>
  <c r="AZ1225" i="10"/>
  <c r="AZ1238" i="10"/>
  <c r="AZ1251" i="10"/>
  <c r="AZ1264" i="10"/>
  <c r="AZ1277" i="10"/>
  <c r="AZ1290" i="10"/>
  <c r="AZ1303" i="10"/>
  <c r="AZ1316" i="10"/>
  <c r="AZ1329" i="10"/>
  <c r="AZ1343" i="10"/>
  <c r="AZ1356" i="10"/>
  <c r="AZ1369" i="10"/>
  <c r="AZ1382" i="10"/>
  <c r="AZ1395" i="10"/>
  <c r="AZ1408" i="10"/>
  <c r="AZ1421" i="10"/>
  <c r="AZ1434" i="10"/>
  <c r="AZ1447" i="10"/>
  <c r="AZ1460" i="10"/>
  <c r="AZ1473" i="10"/>
  <c r="AZ1487" i="10"/>
  <c r="AZ1500" i="10"/>
  <c r="AZ1513" i="10"/>
  <c r="AZ1526" i="10"/>
  <c r="AZ1539" i="10"/>
  <c r="AZ1552" i="10"/>
  <c r="AZ1565" i="10"/>
  <c r="AZ1578" i="10"/>
  <c r="AZ1591" i="10"/>
  <c r="AZ1604" i="10"/>
  <c r="AZ1617" i="10"/>
  <c r="AZ1631" i="10"/>
  <c r="AZ1644" i="10"/>
  <c r="AZ1657" i="10"/>
  <c r="AZ1669" i="10"/>
  <c r="AZ1681" i="10"/>
  <c r="AZ1693" i="10"/>
  <c r="AZ27" i="10"/>
  <c r="AZ67" i="10"/>
  <c r="AZ106" i="10"/>
  <c r="AZ142" i="10"/>
  <c r="AZ170" i="10"/>
  <c r="AZ207" i="10"/>
  <c r="AZ241" i="10"/>
  <c r="AZ271" i="10"/>
  <c r="AZ302" i="10"/>
  <c r="AZ334" i="10"/>
  <c r="AZ363" i="10"/>
  <c r="AZ395" i="10"/>
  <c r="AZ427" i="10"/>
  <c r="AZ456" i="10"/>
  <c r="AZ490" i="10"/>
  <c r="AZ514" i="10"/>
  <c r="AZ539" i="10"/>
  <c r="AZ562" i="10"/>
  <c r="AZ587" i="10"/>
  <c r="AZ610" i="10"/>
  <c r="AZ635" i="10"/>
  <c r="AZ658" i="10"/>
  <c r="AZ682" i="10"/>
  <c r="AZ701" i="10"/>
  <c r="AZ724" i="10"/>
  <c r="AZ743" i="10"/>
  <c r="AZ760" i="10"/>
  <c r="AZ782" i="10"/>
  <c r="AZ798" i="10"/>
  <c r="AZ816" i="10"/>
  <c r="AZ832" i="10"/>
  <c r="AZ850" i="10"/>
  <c r="AZ867" i="10"/>
  <c r="AZ882" i="10"/>
  <c r="AZ899" i="10"/>
  <c r="AZ914" i="10"/>
  <c r="AZ929" i="10"/>
  <c r="AZ946" i="10"/>
  <c r="AZ961" i="10"/>
  <c r="AZ976" i="10"/>
  <c r="AZ991" i="10"/>
  <c r="AZ1008" i="10"/>
  <c r="AZ1024" i="10"/>
  <c r="AZ1039" i="10"/>
  <c r="AZ1056" i="10"/>
  <c r="AZ1071" i="10"/>
  <c r="AZ1086" i="10"/>
  <c r="AZ1103" i="10"/>
  <c r="AZ1118" i="10"/>
  <c r="AZ1132" i="10"/>
  <c r="AZ1146" i="10"/>
  <c r="AZ1160" i="10"/>
  <c r="AZ1173" i="10"/>
  <c r="AZ1187" i="10"/>
  <c r="AZ1200" i="10"/>
  <c r="AZ1213" i="10"/>
  <c r="AZ1226" i="10"/>
  <c r="AZ1239" i="10"/>
  <c r="AZ1252" i="10"/>
  <c r="AZ1265" i="10"/>
  <c r="AZ1278" i="10"/>
  <c r="AZ1291" i="10"/>
  <c r="AZ1304" i="10"/>
  <c r="AZ1317" i="10"/>
  <c r="AZ1331" i="10"/>
  <c r="AZ1344" i="10"/>
  <c r="AZ1357" i="10"/>
  <c r="AZ1370" i="10"/>
  <c r="AZ1383" i="10"/>
  <c r="AZ1396" i="10"/>
  <c r="AZ1409" i="10"/>
  <c r="AZ1422" i="10"/>
  <c r="AZ1435" i="10"/>
  <c r="AZ1448" i="10"/>
  <c r="AZ1461" i="10"/>
  <c r="AZ1475" i="10"/>
  <c r="AZ1488" i="10"/>
  <c r="AZ1501" i="10"/>
  <c r="AZ1514" i="10"/>
  <c r="AZ1527" i="10"/>
  <c r="AZ1540" i="10"/>
  <c r="AZ1553" i="10"/>
  <c r="AZ1566" i="10"/>
  <c r="AZ1579" i="10"/>
  <c r="AZ1592" i="10"/>
  <c r="AZ1605" i="10"/>
  <c r="AZ1619" i="10"/>
  <c r="AZ1632" i="10"/>
  <c r="AZ1645" i="10"/>
  <c r="AZ1658" i="10"/>
  <c r="AZ1670" i="10"/>
  <c r="AZ1682" i="10"/>
  <c r="AZ1694" i="10"/>
  <c r="AZ1706" i="10"/>
  <c r="AZ1718" i="10"/>
  <c r="AZ1730" i="10"/>
  <c r="AZ1742" i="10"/>
  <c r="AZ1754" i="10"/>
  <c r="AZ1766" i="10"/>
  <c r="AZ1778" i="10"/>
  <c r="AZ1790" i="10"/>
  <c r="AZ1802" i="10"/>
  <c r="AZ1814" i="10"/>
  <c r="AZ1826" i="10"/>
  <c r="AZ1838" i="10"/>
  <c r="AZ1850" i="10"/>
  <c r="AZ1862" i="10"/>
  <c r="AZ1874" i="10"/>
  <c r="AZ1886" i="10"/>
  <c r="AZ1898" i="10"/>
  <c r="AZ1910" i="10"/>
  <c r="AZ1922" i="10"/>
  <c r="AZ1934" i="10"/>
  <c r="AZ1946" i="10"/>
  <c r="AZ1958" i="10"/>
  <c r="AZ1970" i="10"/>
  <c r="AZ1982" i="10"/>
  <c r="AZ1994" i="10"/>
  <c r="AZ2006" i="10"/>
  <c r="AZ2018" i="10"/>
  <c r="AZ2030" i="10"/>
  <c r="AZ2042" i="10"/>
  <c r="AZ2054" i="10"/>
  <c r="AZ2066" i="10"/>
  <c r="AZ2078" i="10"/>
  <c r="AZ2090" i="10"/>
  <c r="AZ2102" i="10"/>
  <c r="AZ2114" i="10"/>
  <c r="AZ2126" i="10"/>
  <c r="AZ2138" i="10"/>
  <c r="AZ2150" i="10"/>
  <c r="AZ2162" i="10"/>
  <c r="AZ2174" i="10"/>
  <c r="AZ2186" i="10"/>
  <c r="AZ2198" i="10"/>
  <c r="AZ2210" i="10"/>
  <c r="AZ2222" i="10"/>
  <c r="AZ2234" i="10"/>
  <c r="AZ2" i="10"/>
  <c r="AZ39" i="10"/>
  <c r="AZ23" i="10"/>
  <c r="AZ59" i="10"/>
  <c r="AZ87" i="10"/>
  <c r="AZ127" i="10"/>
  <c r="AZ166" i="10"/>
  <c r="AZ193" i="10"/>
  <c r="AZ229" i="10"/>
  <c r="AZ263" i="10"/>
  <c r="AZ290" i="10"/>
  <c r="AZ324" i="10"/>
  <c r="AZ351" i="10"/>
  <c r="AZ385" i="10"/>
  <c r="AZ415" i="10"/>
  <c r="AZ446" i="10"/>
  <c r="AZ478" i="10"/>
  <c r="AZ506" i="10"/>
  <c r="AZ529" i="10"/>
  <c r="AZ554" i="10"/>
  <c r="AZ577" i="10"/>
  <c r="AZ602" i="10"/>
  <c r="AZ625" i="10"/>
  <c r="AZ650" i="10"/>
  <c r="AZ37" i="10"/>
  <c r="AZ86" i="10"/>
  <c r="AZ151" i="10"/>
  <c r="AZ214" i="10"/>
  <c r="AZ253" i="10"/>
  <c r="AZ310" i="10"/>
  <c r="AZ349" i="10"/>
  <c r="AZ397" i="10"/>
  <c r="AZ439" i="10"/>
  <c r="AZ493" i="10"/>
  <c r="AZ527" i="10"/>
  <c r="AZ564" i="10"/>
  <c r="AZ595" i="10"/>
  <c r="AZ638" i="10"/>
  <c r="AZ671" i="10"/>
  <c r="AZ699" i="10"/>
  <c r="AZ727" i="10"/>
  <c r="AZ754" i="10"/>
  <c r="AZ775" i="10"/>
  <c r="AZ803" i="10"/>
  <c r="AZ826" i="10"/>
  <c r="AZ846" i="10"/>
  <c r="AZ870" i="10"/>
  <c r="AZ890" i="10"/>
  <c r="AZ912" i="10"/>
  <c r="AZ934" i="10"/>
  <c r="AZ953" i="10"/>
  <c r="AZ974" i="10"/>
  <c r="AZ997" i="10"/>
  <c r="AZ1015" i="10"/>
  <c r="AZ1036" i="10"/>
  <c r="AZ1059" i="10"/>
  <c r="AZ1079" i="10"/>
  <c r="AZ1099" i="10"/>
  <c r="AZ1121" i="10"/>
  <c r="AZ1140" i="10"/>
  <c r="AZ1158" i="10"/>
  <c r="AZ1177" i="10"/>
  <c r="AZ1193" i="10"/>
  <c r="AZ1211" i="10"/>
  <c r="AZ1229" i="10"/>
  <c r="AZ1245" i="10"/>
  <c r="AZ1263" i="10"/>
  <c r="AZ1281" i="10"/>
  <c r="AZ1298" i="10"/>
  <c r="AZ1315" i="10"/>
  <c r="AZ1334" i="10"/>
  <c r="AZ1350" i="10"/>
  <c r="AZ1368" i="10"/>
  <c r="AZ1386" i="10"/>
  <c r="AZ1403" i="10"/>
  <c r="AZ1420" i="10"/>
  <c r="AZ1439" i="10"/>
  <c r="AZ1455" i="10"/>
  <c r="AZ1472" i="10"/>
  <c r="AZ1491" i="10"/>
  <c r="AZ1507" i="10"/>
  <c r="AZ1525" i="10"/>
  <c r="AZ1543" i="10"/>
  <c r="AZ1560" i="10"/>
  <c r="AZ1577" i="10"/>
  <c r="AZ1596" i="10"/>
  <c r="AZ1612" i="10"/>
  <c r="AZ1629" i="10"/>
  <c r="AZ1648" i="10"/>
  <c r="AZ1664" i="10"/>
  <c r="AZ1680" i="10"/>
  <c r="AZ1697" i="10"/>
  <c r="AZ1711" i="10"/>
  <c r="AZ1725" i="10"/>
  <c r="AZ1740" i="10"/>
  <c r="AZ1755" i="10"/>
  <c r="AZ1769" i="10"/>
  <c r="AZ1783" i="10"/>
  <c r="AZ1797" i="10"/>
  <c r="AZ1812" i="10"/>
  <c r="AZ1827" i="10"/>
  <c r="AZ1841" i="10"/>
  <c r="AZ1855" i="10"/>
  <c r="AZ1869" i="10"/>
  <c r="AZ1884" i="10"/>
  <c r="AZ1899" i="10"/>
  <c r="AZ1913" i="10"/>
  <c r="AZ1927" i="10"/>
  <c r="AZ1941" i="10"/>
  <c r="AZ1956" i="10"/>
  <c r="AZ1971" i="10"/>
  <c r="AZ1985" i="10"/>
  <c r="AZ1999" i="10"/>
  <c r="AZ2013" i="10"/>
  <c r="AZ2028" i="10"/>
  <c r="AZ2043" i="10"/>
  <c r="AZ2057" i="10"/>
  <c r="AZ2071" i="10"/>
  <c r="AZ2085" i="10"/>
  <c r="AZ2100" i="10"/>
  <c r="AZ2115" i="10"/>
  <c r="AZ2129" i="10"/>
  <c r="AZ2143" i="10"/>
  <c r="AZ2157" i="10"/>
  <c r="AZ2172" i="10"/>
  <c r="AZ2187" i="10"/>
  <c r="AZ2201" i="10"/>
  <c r="AZ2215" i="10"/>
  <c r="AZ2229" i="10"/>
  <c r="AZ2244" i="10"/>
  <c r="AZ2257" i="10"/>
  <c r="AZ2270" i="10"/>
  <c r="AZ2283" i="10"/>
  <c r="AZ2296" i="10"/>
  <c r="AZ2309" i="10"/>
  <c r="AZ2322" i="10"/>
  <c r="AZ2335" i="10"/>
  <c r="AZ2348" i="10"/>
  <c r="AZ2361" i="10"/>
  <c r="AZ2374" i="10"/>
  <c r="AZ2388" i="10"/>
  <c r="AZ2401" i="10"/>
  <c r="AZ2414" i="10"/>
  <c r="AZ2427" i="10"/>
  <c r="AZ2440" i="10"/>
  <c r="AZ2453" i="10"/>
  <c r="AZ2466" i="10"/>
  <c r="AZ2479" i="10"/>
  <c r="AZ2492" i="10"/>
  <c r="AZ2505" i="10"/>
  <c r="AZ2518" i="10"/>
  <c r="AZ2532" i="10"/>
  <c r="AZ2545" i="10"/>
  <c r="AZ2558" i="10"/>
  <c r="AZ2571" i="10"/>
  <c r="AZ2584" i="10"/>
  <c r="AZ2597" i="10"/>
  <c r="AZ2610" i="10"/>
  <c r="AZ2623" i="10"/>
  <c r="AZ2636" i="10"/>
  <c r="AZ2649" i="10"/>
  <c r="AZ2662" i="10"/>
  <c r="AZ2676" i="10"/>
  <c r="AZ2689" i="10"/>
  <c r="AZ2702" i="10"/>
  <c r="AZ2715" i="10"/>
  <c r="AZ2728" i="10"/>
  <c r="AZ2741" i="10"/>
  <c r="AZ2754" i="10"/>
  <c r="AZ2767" i="10"/>
  <c r="AZ2780" i="10"/>
  <c r="AZ2793" i="10"/>
  <c r="AZ2806" i="10"/>
  <c r="AZ2820" i="10"/>
  <c r="AZ2833" i="10"/>
  <c r="AZ2846" i="10"/>
  <c r="AZ2859" i="10"/>
  <c r="AZ2872" i="10"/>
  <c r="AZ2885" i="10"/>
  <c r="AZ2898" i="10"/>
  <c r="AZ2911" i="10"/>
  <c r="AZ2923" i="10"/>
  <c r="AZ2935" i="10"/>
  <c r="AZ2947" i="10"/>
  <c r="AZ2959" i="10"/>
  <c r="AZ2971" i="10"/>
  <c r="AZ43" i="10"/>
  <c r="AZ107" i="10"/>
  <c r="AZ154" i="10"/>
  <c r="AZ215" i="10"/>
  <c r="AZ254" i="10"/>
  <c r="AZ311" i="10"/>
  <c r="AZ350" i="10"/>
  <c r="AZ398" i="10"/>
  <c r="AZ442" i="10"/>
  <c r="AZ494" i="10"/>
  <c r="AZ528" i="10"/>
  <c r="AZ565" i="10"/>
  <c r="AZ598" i="10"/>
  <c r="AZ639" i="10"/>
  <c r="AZ672" i="10"/>
  <c r="AZ702" i="10"/>
  <c r="AZ730" i="10"/>
  <c r="AZ755" i="10"/>
  <c r="AZ783" i="10"/>
  <c r="AZ804" i="10"/>
  <c r="AZ827" i="10"/>
  <c r="AZ852" i="10"/>
  <c r="AZ871" i="10"/>
  <c r="AZ891" i="10"/>
  <c r="AZ915" i="10"/>
  <c r="AZ935" i="10"/>
  <c r="AZ954" i="10"/>
  <c r="AZ977" i="10"/>
  <c r="AZ998" i="10"/>
  <c r="AZ1018" i="10"/>
  <c r="AZ1042" i="10"/>
  <c r="AZ1060" i="10"/>
  <c r="AZ1080" i="10"/>
  <c r="AZ1104" i="10"/>
  <c r="AZ1122" i="10"/>
  <c r="AZ1141" i="10"/>
  <c r="AZ1161" i="10"/>
  <c r="AZ1178" i="10"/>
  <c r="AZ1194" i="10"/>
  <c r="AZ1214" i="10"/>
  <c r="AZ1230" i="10"/>
  <c r="AZ1247" i="10"/>
  <c r="AZ1266" i="10"/>
  <c r="AZ1283" i="10"/>
  <c r="AZ1299" i="10"/>
  <c r="AZ1319" i="10"/>
  <c r="AZ1335" i="10"/>
  <c r="AZ1351" i="10"/>
  <c r="AZ1371" i="10"/>
  <c r="AZ1387" i="10"/>
  <c r="AZ1404" i="10"/>
  <c r="AZ1423" i="10"/>
  <c r="AZ1440" i="10"/>
  <c r="AZ1456" i="10"/>
  <c r="AZ1476" i="10"/>
  <c r="AZ1492" i="10"/>
  <c r="AZ1508" i="10"/>
  <c r="AZ1528" i="10"/>
  <c r="AZ1544" i="10"/>
  <c r="AZ1561" i="10"/>
  <c r="AZ1580" i="10"/>
  <c r="AZ1597" i="10"/>
  <c r="AZ1613" i="10"/>
  <c r="AZ1633" i="10"/>
  <c r="AZ1649" i="10"/>
  <c r="AZ1665" i="10"/>
  <c r="AZ1683" i="10"/>
  <c r="AZ1698" i="10"/>
  <c r="AZ1712" i="10"/>
  <c r="AZ1726" i="10"/>
  <c r="AZ1741" i="10"/>
  <c r="AZ1756" i="10"/>
  <c r="AZ1770" i="10"/>
  <c r="AZ1784" i="10"/>
  <c r="AZ1798" i="10"/>
  <c r="AZ1813" i="10"/>
  <c r="AZ1828" i="10"/>
  <c r="AZ1842" i="10"/>
  <c r="AZ1856" i="10"/>
  <c r="AZ1870" i="10"/>
  <c r="AZ1885" i="10"/>
  <c r="AZ1900" i="10"/>
  <c r="AZ1914" i="10"/>
  <c r="AZ1928" i="10"/>
  <c r="AZ1942" i="10"/>
  <c r="AZ1957" i="10"/>
  <c r="AZ1972" i="10"/>
  <c r="AZ1986" i="10"/>
  <c r="AZ2000" i="10"/>
  <c r="AZ2014" i="10"/>
  <c r="AZ2029" i="10"/>
  <c r="AZ2044" i="10"/>
  <c r="AZ2058" i="10"/>
  <c r="AZ2072" i="10"/>
  <c r="AZ2086" i="10"/>
  <c r="AZ2101" i="10"/>
  <c r="AZ2116" i="10"/>
  <c r="AZ2130" i="10"/>
  <c r="AZ2144" i="10"/>
  <c r="AZ2158" i="10"/>
  <c r="AZ2173" i="10"/>
  <c r="AZ2188" i="10"/>
  <c r="AZ2202" i="10"/>
  <c r="AZ2216" i="10"/>
  <c r="AZ2230" i="10"/>
  <c r="AZ2245" i="10"/>
  <c r="AZ2258" i="10"/>
  <c r="AZ2271" i="10"/>
  <c r="AZ2284" i="10"/>
  <c r="AZ2297" i="10"/>
  <c r="AZ2310" i="10"/>
  <c r="AZ2323" i="10"/>
  <c r="AZ2336" i="10"/>
  <c r="AZ2349" i="10"/>
  <c r="AZ2362" i="10"/>
  <c r="AZ2376" i="10"/>
  <c r="AZ2389" i="10"/>
  <c r="AZ2402" i="10"/>
  <c r="AZ2415" i="10"/>
  <c r="AZ2428" i="10"/>
  <c r="AZ2441" i="10"/>
  <c r="AZ2454" i="10"/>
  <c r="AZ2467" i="10"/>
  <c r="AZ2480" i="10"/>
  <c r="AZ2493" i="10"/>
  <c r="AZ2506" i="10"/>
  <c r="AZ2520" i="10"/>
  <c r="AZ2533" i="10"/>
  <c r="AZ2546" i="10"/>
  <c r="AZ2559" i="10"/>
  <c r="AZ2572" i="10"/>
  <c r="AZ2585" i="10"/>
  <c r="AZ2598" i="10"/>
  <c r="AZ2611" i="10"/>
  <c r="AZ2624" i="10"/>
  <c r="AZ2637" i="10"/>
  <c r="AZ2650" i="10"/>
  <c r="AZ2664" i="10"/>
  <c r="AZ2677" i="10"/>
  <c r="AZ2690" i="10"/>
  <c r="AZ2703" i="10"/>
  <c r="AZ2716" i="10"/>
  <c r="AZ2729" i="10"/>
  <c r="AZ2742" i="10"/>
  <c r="AZ2755" i="10"/>
  <c r="AZ2768" i="10"/>
  <c r="AZ2781" i="10"/>
  <c r="AZ2794" i="10"/>
  <c r="AZ2808" i="10"/>
  <c r="AZ2821" i="10"/>
  <c r="AZ2834" i="10"/>
  <c r="AZ2847" i="10"/>
  <c r="AZ2860" i="10"/>
  <c r="AZ2873" i="10"/>
  <c r="AZ46" i="10"/>
  <c r="AZ108" i="10"/>
  <c r="AZ159" i="10"/>
  <c r="AZ219" i="10"/>
  <c r="AZ266" i="10"/>
  <c r="AZ312" i="10"/>
  <c r="AZ358" i="10"/>
  <c r="AZ407" i="10"/>
  <c r="AZ454" i="10"/>
  <c r="AZ495" i="10"/>
  <c r="AZ531" i="10"/>
  <c r="AZ569" i="10"/>
  <c r="AZ605" i="10"/>
  <c r="AZ640" i="10"/>
  <c r="AZ673" i="10"/>
  <c r="AZ703" i="10"/>
  <c r="AZ731" i="10"/>
  <c r="AZ756" i="10"/>
  <c r="AZ784" i="10"/>
  <c r="AZ805" i="10"/>
  <c r="AZ828" i="10"/>
  <c r="AZ854" i="10"/>
  <c r="AZ874" i="10"/>
  <c r="AZ892" i="10"/>
  <c r="AZ916" i="10"/>
  <c r="AZ936" i="10"/>
  <c r="AZ955" i="10"/>
  <c r="AZ978" i="10"/>
  <c r="AZ999" i="10"/>
  <c r="AZ1019" i="10"/>
  <c r="AZ1043" i="10"/>
  <c r="AZ1061" i="10"/>
  <c r="AZ1082" i="10"/>
  <c r="AZ1105" i="10"/>
  <c r="AZ1124" i="10"/>
  <c r="AZ1142" i="10"/>
  <c r="AZ1163" i="10"/>
  <c r="AZ1179" i="10"/>
  <c r="AZ1195" i="10"/>
  <c r="AZ1215" i="10"/>
  <c r="AZ1231" i="10"/>
  <c r="AZ1248" i="10"/>
  <c r="AZ1267" i="10"/>
  <c r="AZ1284" i="10"/>
  <c r="AZ1300" i="10"/>
  <c r="AZ1320" i="10"/>
  <c r="AZ1336" i="10"/>
  <c r="AZ1352" i="10"/>
  <c r="AZ1372" i="10"/>
  <c r="AZ1388" i="10"/>
  <c r="AZ1405" i="10"/>
  <c r="AZ1424" i="10"/>
  <c r="AZ1441" i="10"/>
  <c r="AZ1457" i="10"/>
  <c r="AZ1477" i="10"/>
  <c r="AZ1493" i="10"/>
  <c r="AZ1509" i="10"/>
  <c r="AZ1529" i="10"/>
  <c r="AZ1545" i="10"/>
  <c r="AZ1562" i="10"/>
  <c r="AZ1581" i="10"/>
  <c r="AZ1598" i="10"/>
  <c r="AZ1614" i="10"/>
  <c r="AZ1634" i="10"/>
  <c r="AZ1650" i="10"/>
  <c r="AZ1666" i="10"/>
  <c r="AZ1684" i="10"/>
  <c r="AZ1699" i="10"/>
  <c r="AZ1713" i="10"/>
  <c r="AZ1728" i="10"/>
  <c r="AZ1743" i="10"/>
  <c r="AZ1757" i="10"/>
  <c r="AZ1771" i="10"/>
  <c r="AZ1785" i="10"/>
  <c r="AZ1800" i="10"/>
  <c r="AZ1815" i="10"/>
  <c r="AZ1829" i="10"/>
  <c r="AZ1843" i="10"/>
  <c r="AZ1857" i="10"/>
  <c r="AZ1872" i="10"/>
  <c r="AZ1887" i="10"/>
  <c r="AZ1901" i="10"/>
  <c r="AZ1915" i="10"/>
  <c r="AZ1929" i="10"/>
  <c r="AZ1944" i="10"/>
  <c r="AZ1959" i="10"/>
  <c r="AZ1973" i="10"/>
  <c r="AZ1987" i="10"/>
  <c r="AZ2001" i="10"/>
  <c r="AZ2016" i="10"/>
  <c r="AZ2031" i="10"/>
  <c r="AZ2045" i="10"/>
  <c r="AZ2059" i="10"/>
  <c r="AZ2073" i="10"/>
  <c r="AZ2088" i="10"/>
  <c r="AZ2103" i="10"/>
  <c r="AZ2117" i="10"/>
  <c r="AZ2131" i="10"/>
  <c r="AZ2145" i="10"/>
  <c r="AZ2160" i="10"/>
  <c r="AZ2175" i="10"/>
  <c r="AZ2189" i="10"/>
  <c r="AZ2203" i="10"/>
  <c r="AZ2217" i="10"/>
  <c r="AZ2232" i="10"/>
  <c r="AZ2246" i="10"/>
  <c r="AZ2259" i="10"/>
  <c r="AZ2272" i="10"/>
  <c r="AZ2285" i="10"/>
  <c r="AZ2298" i="10"/>
  <c r="AZ2311" i="10"/>
  <c r="AZ2324" i="10"/>
  <c r="AZ2337" i="10"/>
  <c r="AZ2350" i="10"/>
  <c r="AZ2364" i="10"/>
  <c r="AZ2377" i="10"/>
  <c r="AZ2390" i="10"/>
  <c r="AZ2403" i="10"/>
  <c r="AZ2416" i="10"/>
  <c r="AZ2429" i="10"/>
  <c r="AZ2442" i="10"/>
  <c r="AZ2455" i="10"/>
  <c r="AZ2468" i="10"/>
  <c r="AZ2481" i="10"/>
  <c r="AZ2494" i="10"/>
  <c r="AZ2508" i="10"/>
  <c r="AZ2521" i="10"/>
  <c r="AZ2534" i="10"/>
  <c r="AZ2547" i="10"/>
  <c r="AZ2560" i="10"/>
  <c r="AZ2573" i="10"/>
  <c r="AZ2586" i="10"/>
  <c r="AZ2599" i="10"/>
  <c r="AZ2612" i="10"/>
  <c r="AZ2625" i="10"/>
  <c r="AZ2638" i="10"/>
  <c r="AZ2652" i="10"/>
  <c r="AZ2665" i="10"/>
  <c r="AZ2678" i="10"/>
  <c r="AZ2691" i="10"/>
  <c r="AZ2704" i="10"/>
  <c r="AZ2717" i="10"/>
  <c r="AZ2730" i="10"/>
  <c r="AZ2743" i="10"/>
  <c r="AZ2756" i="10"/>
  <c r="AZ2769" i="10"/>
  <c r="AZ2782" i="10"/>
  <c r="AZ2796" i="10"/>
  <c r="AZ2809" i="10"/>
  <c r="AZ2822" i="10"/>
  <c r="AZ2835" i="10"/>
  <c r="AZ2848" i="10"/>
  <c r="AZ2861" i="10"/>
  <c r="AZ2874" i="10"/>
  <c r="AZ2887" i="10"/>
  <c r="AZ2900" i="10"/>
  <c r="AZ2913" i="10"/>
  <c r="AZ2925" i="10"/>
  <c r="AZ47" i="10"/>
  <c r="AZ109" i="10"/>
  <c r="AZ171" i="10"/>
  <c r="AZ223" i="10"/>
  <c r="AZ274" i="10"/>
  <c r="AZ313" i="10"/>
  <c r="AZ367" i="10"/>
  <c r="AZ408" i="10"/>
  <c r="AZ457" i="10"/>
  <c r="AZ497" i="10"/>
  <c r="AZ540" i="10"/>
  <c r="AZ571" i="10"/>
  <c r="AZ611" i="10"/>
  <c r="AZ641" i="10"/>
  <c r="AZ675" i="10"/>
  <c r="AZ706" i="10"/>
  <c r="AZ732" i="10"/>
  <c r="AZ758" i="10"/>
  <c r="AZ785" i="10"/>
  <c r="AZ806" i="10"/>
  <c r="AZ830" i="10"/>
  <c r="AZ855" i="10"/>
  <c r="AZ875" i="10"/>
  <c r="AZ895" i="10"/>
  <c r="AZ917" i="10"/>
  <c r="AZ938" i="10"/>
  <c r="AZ959" i="10"/>
  <c r="AZ982" i="10"/>
  <c r="AZ1000" i="10"/>
  <c r="AZ1021" i="10"/>
  <c r="AZ1044" i="10"/>
  <c r="AZ1062" i="10"/>
  <c r="AZ1084" i="10"/>
  <c r="AZ1106" i="10"/>
  <c r="AZ1126" i="10"/>
  <c r="AZ1144" i="10"/>
  <c r="AZ1164" i="10"/>
  <c r="AZ1180" i="10"/>
  <c r="AZ1197" i="10"/>
  <c r="AZ1216" i="10"/>
  <c r="AZ1232" i="10"/>
  <c r="AZ1250" i="10"/>
  <c r="AZ1268" i="10"/>
  <c r="AZ1285" i="10"/>
  <c r="AZ1302" i="10"/>
  <c r="AZ1321" i="10"/>
  <c r="AZ1337" i="10"/>
  <c r="AZ1355" i="10"/>
  <c r="AZ1373" i="10"/>
  <c r="AZ1389" i="10"/>
  <c r="AZ1407" i="10"/>
  <c r="AZ1425" i="10"/>
  <c r="AZ1442" i="10"/>
  <c r="AZ1459" i="10"/>
  <c r="AZ1478" i="10"/>
  <c r="AZ1494" i="10"/>
  <c r="AZ1512" i="10"/>
  <c r="AZ1530" i="10"/>
  <c r="AZ1547" i="10"/>
  <c r="AZ1564" i="10"/>
  <c r="AZ1583" i="10"/>
  <c r="AZ1599" i="10"/>
  <c r="AZ1616" i="10"/>
  <c r="AZ1635" i="10"/>
  <c r="AZ1651" i="10"/>
  <c r="AZ1668" i="10"/>
  <c r="AZ1685" i="10"/>
  <c r="AZ1700" i="10"/>
  <c r="AZ1714" i="10"/>
  <c r="AZ1729" i="10"/>
  <c r="AZ1744" i="10"/>
  <c r="AZ1758" i="10"/>
  <c r="AZ1772" i="10"/>
  <c r="AZ1786" i="10"/>
  <c r="AZ1801" i="10"/>
  <c r="AZ1816" i="10"/>
  <c r="AZ1830" i="10"/>
  <c r="AZ1844" i="10"/>
  <c r="AZ1858" i="10"/>
  <c r="AZ1873" i="10"/>
  <c r="AZ1888" i="10"/>
  <c r="AZ1902" i="10"/>
  <c r="AZ1916" i="10"/>
  <c r="AZ1930" i="10"/>
  <c r="AZ1945" i="10"/>
  <c r="AZ1960" i="10"/>
  <c r="AZ1974" i="10"/>
  <c r="AZ1988" i="10"/>
  <c r="AZ2002" i="10"/>
  <c r="AZ2017" i="10"/>
  <c r="AZ2032" i="10"/>
  <c r="AZ2046" i="10"/>
  <c r="AZ2060" i="10"/>
  <c r="AZ2074" i="10"/>
  <c r="AZ2089" i="10"/>
  <c r="AZ2104" i="10"/>
  <c r="AZ2118" i="10"/>
  <c r="AZ2132" i="10"/>
  <c r="AZ2146" i="10"/>
  <c r="AZ2161" i="10"/>
  <c r="AZ2176" i="10"/>
  <c r="AZ2190" i="10"/>
  <c r="AZ2204" i="10"/>
  <c r="AZ2218" i="10"/>
  <c r="AZ2233" i="10"/>
  <c r="AZ2247" i="10"/>
  <c r="AZ2260" i="10"/>
  <c r="AZ2273" i="10"/>
  <c r="AZ2286" i="10"/>
  <c r="AZ2299" i="10"/>
  <c r="AZ2312" i="10"/>
  <c r="AZ2325" i="10"/>
  <c r="AZ2338" i="10"/>
  <c r="AZ2352" i="10"/>
  <c r="AZ2365" i="10"/>
  <c r="AZ2378" i="10"/>
  <c r="AZ2391" i="10"/>
  <c r="AZ2404" i="10"/>
  <c r="AZ2417" i="10"/>
  <c r="AZ2430" i="10"/>
  <c r="AZ2443" i="10"/>
  <c r="AZ2456" i="10"/>
  <c r="AZ2469" i="10"/>
  <c r="AZ2482" i="10"/>
  <c r="AZ2496" i="10"/>
  <c r="AZ2509" i="10"/>
  <c r="AZ2522" i="10"/>
  <c r="AZ2535" i="10"/>
  <c r="AZ2548" i="10"/>
  <c r="AZ2561" i="10"/>
  <c r="AZ2574" i="10"/>
  <c r="AZ2587" i="10"/>
  <c r="AZ2600" i="10"/>
  <c r="AZ2613" i="10"/>
  <c r="AZ2626" i="10"/>
  <c r="AZ2640" i="10"/>
  <c r="AZ2653" i="10"/>
  <c r="AZ2666" i="10"/>
  <c r="AZ2679" i="10"/>
  <c r="AZ2692" i="10"/>
  <c r="AZ2705" i="10"/>
  <c r="AZ2718" i="10"/>
  <c r="AZ2731" i="10"/>
  <c r="AZ2744" i="10"/>
  <c r="AZ2757" i="10"/>
  <c r="AZ2770" i="10"/>
  <c r="AZ2784" i="10"/>
  <c r="AZ2797" i="10"/>
  <c r="AZ2810" i="10"/>
  <c r="AZ2823" i="10"/>
  <c r="AZ2836" i="10"/>
  <c r="AZ2849" i="10"/>
  <c r="AZ2862" i="10"/>
  <c r="AZ2875" i="10"/>
  <c r="AZ2888" i="10"/>
  <c r="AZ2901" i="10"/>
  <c r="AZ2914" i="10"/>
  <c r="AZ2926" i="10"/>
  <c r="AZ2938" i="10"/>
  <c r="AZ2950" i="10"/>
  <c r="AZ2962" i="10"/>
  <c r="AZ2974" i="10"/>
  <c r="AZ2986" i="10"/>
  <c r="AZ2998" i="10"/>
  <c r="AZ3010" i="10"/>
  <c r="AZ3022" i="10"/>
  <c r="AZ3034" i="10"/>
  <c r="AZ3046" i="10"/>
  <c r="AZ3058" i="10"/>
  <c r="AZ3070" i="10"/>
  <c r="AZ3082" i="10"/>
  <c r="AZ3094" i="10"/>
  <c r="AZ3106" i="10"/>
  <c r="AZ3118" i="10"/>
  <c r="AZ3130" i="10"/>
  <c r="AZ3142" i="10"/>
  <c r="AZ3154" i="10"/>
  <c r="AZ3166" i="10"/>
  <c r="AZ3178" i="10"/>
  <c r="AZ3190" i="10"/>
  <c r="AZ3202" i="10"/>
  <c r="AZ3214" i="10"/>
  <c r="AZ3226" i="10"/>
  <c r="AZ3238" i="10"/>
  <c r="AZ3250" i="10"/>
  <c r="AZ3262" i="10"/>
  <c r="AZ3274" i="10"/>
  <c r="AZ3286" i="10"/>
  <c r="AZ3298" i="10"/>
  <c r="AZ3310" i="10"/>
  <c r="AZ3322" i="10"/>
  <c r="AZ3334" i="10"/>
  <c r="AZ3346" i="10"/>
  <c r="AZ3358" i="10"/>
  <c r="AZ3370" i="10"/>
  <c r="AZ3382" i="10"/>
  <c r="AZ3394" i="10"/>
  <c r="AZ3406" i="10"/>
  <c r="AZ3418" i="10"/>
  <c r="AZ3430" i="10"/>
  <c r="AZ3442" i="10"/>
  <c r="AZ3454" i="10"/>
  <c r="AZ3466" i="10"/>
  <c r="AZ3478" i="10"/>
  <c r="AZ3490" i="10"/>
  <c r="AZ3502" i="10"/>
  <c r="AZ3514" i="10"/>
  <c r="AZ3526" i="10"/>
  <c r="AZ3538" i="10"/>
  <c r="AZ3550" i="10"/>
  <c r="AZ3562" i="10"/>
  <c r="AZ3574" i="10"/>
  <c r="AZ3586" i="10"/>
  <c r="AZ3598" i="10"/>
  <c r="AZ3610" i="10"/>
  <c r="AZ3622" i="10"/>
  <c r="AZ3634" i="10"/>
  <c r="AZ3646" i="10"/>
  <c r="AZ3658" i="10"/>
  <c r="AZ3670" i="10"/>
  <c r="AZ3682" i="10"/>
  <c r="AZ3694" i="10"/>
  <c r="AZ3706" i="10"/>
  <c r="AZ3718" i="10"/>
  <c r="AZ3730" i="10"/>
  <c r="AZ3742" i="10"/>
  <c r="AZ3754" i="10"/>
  <c r="AZ3766" i="10"/>
  <c r="AZ3778" i="10"/>
  <c r="AZ3790" i="10"/>
  <c r="AZ3802" i="10"/>
  <c r="AZ3814" i="10"/>
  <c r="AZ3826" i="10"/>
  <c r="AZ3838" i="10"/>
  <c r="AZ3850" i="10"/>
  <c r="AZ3862" i="10"/>
  <c r="AZ3874" i="10"/>
  <c r="AZ3886" i="10"/>
  <c r="AZ3898" i="10"/>
  <c r="AZ3910" i="10"/>
  <c r="AZ3922" i="10"/>
  <c r="AZ3934" i="10"/>
  <c r="AZ48" i="10"/>
  <c r="AZ110" i="10"/>
  <c r="AZ181" i="10"/>
  <c r="AZ227" i="10"/>
  <c r="AZ275" i="10"/>
  <c r="AZ314" i="10"/>
  <c r="AZ371" i="10"/>
  <c r="AZ410" i="10"/>
  <c r="AZ458" i="10"/>
  <c r="AZ499" i="10"/>
  <c r="AZ542" i="10"/>
  <c r="AZ575" i="10"/>
  <c r="AZ612" i="10"/>
  <c r="AZ643" i="10"/>
  <c r="AZ683" i="10"/>
  <c r="AZ710" i="10"/>
  <c r="AZ733" i="10"/>
  <c r="AZ761" i="10"/>
  <c r="AZ786" i="10"/>
  <c r="AZ808" i="10"/>
  <c r="AZ833" i="10"/>
  <c r="AZ856" i="10"/>
  <c r="AZ876" i="10"/>
  <c r="AZ900" i="10"/>
  <c r="AZ918" i="10"/>
  <c r="AZ939" i="10"/>
  <c r="AZ962" i="10"/>
  <c r="AZ983" i="10"/>
  <c r="AZ1001" i="10"/>
  <c r="AZ1025" i="10"/>
  <c r="AZ1045" i="10"/>
  <c r="AZ1063" i="10"/>
  <c r="AZ1087" i="10"/>
  <c r="AZ1107" i="10"/>
  <c r="AZ1127" i="10"/>
  <c r="AZ1147" i="10"/>
  <c r="AZ1165" i="10"/>
  <c r="AZ1181" i="10"/>
  <c r="AZ1201" i="10"/>
  <c r="AZ1217" i="10"/>
  <c r="AZ1233" i="10"/>
  <c r="AZ1253" i="10"/>
  <c r="AZ1269" i="10"/>
  <c r="AZ1286" i="10"/>
  <c r="AZ1305" i="10"/>
  <c r="AZ1322" i="10"/>
  <c r="AZ1338" i="10"/>
  <c r="AZ1358" i="10"/>
  <c r="AZ1374" i="10"/>
  <c r="AZ1391" i="10"/>
  <c r="AZ1410" i="10"/>
  <c r="AZ1427" i="10"/>
  <c r="AZ1443" i="10"/>
  <c r="AZ1463" i="10"/>
  <c r="AZ1479" i="10"/>
  <c r="AZ1495" i="10"/>
  <c r="AZ1515" i="10"/>
  <c r="AZ1531" i="10"/>
  <c r="AZ1548" i="10"/>
  <c r="AZ1567" i="10"/>
  <c r="AZ1584" i="10"/>
  <c r="AZ1600" i="10"/>
  <c r="AZ1620" i="10"/>
  <c r="AZ1636" i="10"/>
  <c r="AZ1652" i="10"/>
  <c r="AZ1671" i="10"/>
  <c r="AZ1686" i="10"/>
  <c r="AZ1701" i="10"/>
  <c r="AZ1716" i="10"/>
  <c r="AZ1731" i="10"/>
  <c r="AZ1745" i="10"/>
  <c r="AZ1759" i="10"/>
  <c r="AZ1773" i="10"/>
  <c r="AZ1788" i="10"/>
  <c r="AZ1803" i="10"/>
  <c r="AZ1817" i="10"/>
  <c r="AZ1831" i="10"/>
  <c r="AZ1845" i="10"/>
  <c r="AZ1860" i="10"/>
  <c r="AZ1875" i="10"/>
  <c r="AZ1889" i="10"/>
  <c r="AZ1903" i="10"/>
  <c r="AZ1917" i="10"/>
  <c r="AZ1932" i="10"/>
  <c r="AZ1947" i="10"/>
  <c r="AZ1961" i="10"/>
  <c r="AZ1975" i="10"/>
  <c r="AZ1989" i="10"/>
  <c r="AZ2004" i="10"/>
  <c r="AZ2019" i="10"/>
  <c r="AZ2033" i="10"/>
  <c r="AZ2047" i="10"/>
  <c r="AZ2061" i="10"/>
  <c r="AZ2076" i="10"/>
  <c r="AZ2091" i="10"/>
  <c r="AZ2105" i="10"/>
  <c r="AZ2119" i="10"/>
  <c r="AZ2133" i="10"/>
  <c r="AZ2148" i="10"/>
  <c r="AZ2163" i="10"/>
  <c r="AZ2177" i="10"/>
  <c r="AZ2191" i="10"/>
  <c r="AZ2205" i="10"/>
  <c r="AZ2220" i="10"/>
  <c r="AZ2235" i="10"/>
  <c r="AZ2248" i="10"/>
  <c r="AZ2261" i="10"/>
  <c r="AZ2274" i="10"/>
  <c r="AZ2287" i="10"/>
  <c r="AZ2300" i="10"/>
  <c r="AZ2313" i="10"/>
  <c r="AZ2326" i="10"/>
  <c r="AZ2340" i="10"/>
  <c r="AZ2353" i="10"/>
  <c r="AZ2366" i="10"/>
  <c r="AZ2379" i="10"/>
  <c r="AZ2392" i="10"/>
  <c r="AZ2405" i="10"/>
  <c r="AZ2418" i="10"/>
  <c r="AZ2431" i="10"/>
  <c r="AZ2444" i="10"/>
  <c r="AZ2457" i="10"/>
  <c r="AZ2470" i="10"/>
  <c r="AZ2484" i="10"/>
  <c r="AZ2497" i="10"/>
  <c r="AZ2510" i="10"/>
  <c r="AZ2523" i="10"/>
  <c r="AZ2536" i="10"/>
  <c r="AZ2549" i="10"/>
  <c r="AZ2562" i="10"/>
  <c r="AZ2575" i="10"/>
  <c r="AZ2588" i="10"/>
  <c r="AZ2601" i="10"/>
  <c r="AZ2614" i="10"/>
  <c r="AZ2628" i="10"/>
  <c r="AZ2641" i="10"/>
  <c r="AZ2654" i="10"/>
  <c r="AZ2667" i="10"/>
  <c r="AZ2680" i="10"/>
  <c r="AZ2693" i="10"/>
  <c r="AZ2706" i="10"/>
  <c r="AZ2719" i="10"/>
  <c r="AZ2732" i="10"/>
  <c r="AZ2745" i="10"/>
  <c r="AZ2758" i="10"/>
  <c r="AZ2772" i="10"/>
  <c r="AZ2785" i="10"/>
  <c r="AZ2798" i="10"/>
  <c r="AZ2811" i="10"/>
  <c r="AZ2824" i="10"/>
  <c r="AZ2837" i="10"/>
  <c r="AZ2850" i="10"/>
  <c r="AZ2863" i="10"/>
  <c r="AZ2876" i="10"/>
  <c r="AZ2889" i="10"/>
  <c r="AZ2902" i="10"/>
  <c r="AZ2915" i="10"/>
  <c r="AZ2927" i="10"/>
  <c r="AZ2939" i="10"/>
  <c r="AZ2951" i="10"/>
  <c r="AZ2963" i="10"/>
  <c r="AZ2975" i="10"/>
  <c r="AZ2987" i="10"/>
  <c r="AZ2999" i="10"/>
  <c r="AZ3011" i="10"/>
  <c r="AZ3023" i="10"/>
  <c r="AZ3035" i="10"/>
  <c r="AZ3047" i="10"/>
  <c r="AZ3059" i="10"/>
  <c r="AZ3071" i="10"/>
  <c r="AZ3083" i="10"/>
  <c r="AZ3095" i="10"/>
  <c r="AZ3107" i="10"/>
  <c r="AZ3119" i="10"/>
  <c r="AZ3131" i="10"/>
  <c r="AZ3143" i="10"/>
  <c r="AZ3155" i="10"/>
  <c r="AZ3167" i="10"/>
  <c r="AZ3179" i="10"/>
  <c r="AZ3191" i="10"/>
  <c r="AZ3203" i="10"/>
  <c r="AZ3215" i="10"/>
  <c r="AZ3227" i="10"/>
  <c r="AZ3239" i="10"/>
  <c r="AZ3251" i="10"/>
  <c r="AZ3263" i="10"/>
  <c r="AZ3275" i="10"/>
  <c r="AZ3287" i="10"/>
  <c r="AZ3299" i="10"/>
  <c r="AZ3311" i="10"/>
  <c r="AZ3323" i="10"/>
  <c r="AZ3335" i="10"/>
  <c r="AZ3347" i="10"/>
  <c r="AZ3359" i="10"/>
  <c r="AZ3371" i="10"/>
  <c r="AZ3383" i="10"/>
  <c r="AZ3395" i="10"/>
  <c r="AZ3407" i="10"/>
  <c r="AZ3419" i="10"/>
  <c r="AZ3431" i="10"/>
  <c r="AZ3443" i="10"/>
  <c r="AZ3455" i="10"/>
  <c r="AZ3467" i="10"/>
  <c r="AZ3479" i="10"/>
  <c r="AZ3491" i="10"/>
  <c r="AZ3503" i="10"/>
  <c r="AZ3515" i="10"/>
  <c r="AZ3527" i="10"/>
  <c r="AZ3539" i="10"/>
  <c r="AZ3551" i="10"/>
  <c r="AZ3563" i="10"/>
  <c r="AZ3575" i="10"/>
  <c r="AZ3587" i="10"/>
  <c r="AZ3599" i="10"/>
  <c r="AZ3611" i="10"/>
  <c r="AZ3623" i="10"/>
  <c r="AZ3635" i="10"/>
  <c r="AZ3647" i="10"/>
  <c r="AZ3659" i="10"/>
  <c r="AZ3671" i="10"/>
  <c r="AZ3683" i="10"/>
  <c r="AZ3695" i="10"/>
  <c r="AZ3707" i="10"/>
  <c r="AZ3719" i="10"/>
  <c r="AZ3731" i="10"/>
  <c r="AZ3743" i="10"/>
  <c r="AZ3755" i="10"/>
  <c r="AZ3767" i="10"/>
  <c r="AZ49" i="10"/>
  <c r="AZ120" i="10"/>
  <c r="AZ183" i="10"/>
  <c r="AZ228" i="10"/>
  <c r="AZ276" i="10"/>
  <c r="AZ315" i="10"/>
  <c r="AZ372" i="10"/>
  <c r="AZ411" i="10"/>
  <c r="AZ459" i="10"/>
  <c r="AZ502" i="10"/>
  <c r="AZ543" i="10"/>
  <c r="AZ576" i="10"/>
  <c r="AZ613" i="10"/>
  <c r="AZ646" i="10"/>
  <c r="AZ685" i="10"/>
  <c r="AZ711" i="10"/>
  <c r="AZ734" i="10"/>
  <c r="AZ762" i="10"/>
  <c r="AZ787" i="10"/>
  <c r="AZ810" i="10"/>
  <c r="AZ834" i="10"/>
  <c r="AZ857" i="10"/>
  <c r="AZ877" i="10"/>
  <c r="AZ901" i="10"/>
  <c r="AZ919" i="10"/>
  <c r="AZ940" i="10"/>
  <c r="AZ963" i="10"/>
  <c r="AZ984" i="10"/>
  <c r="AZ1002" i="10"/>
  <c r="AZ1026" i="10"/>
  <c r="AZ1046" i="10"/>
  <c r="AZ1066" i="10"/>
  <c r="AZ1090" i="10"/>
  <c r="AZ1108" i="10"/>
  <c r="AZ1128" i="10"/>
  <c r="AZ1148" i="10"/>
  <c r="AZ1166" i="10"/>
  <c r="AZ1182" i="10"/>
  <c r="AZ1202" i="10"/>
  <c r="AZ1218" i="10"/>
  <c r="AZ1235" i="10"/>
  <c r="AZ1254" i="10"/>
  <c r="AZ1271" i="10"/>
  <c r="AZ1287" i="10"/>
  <c r="AZ1307" i="10"/>
  <c r="AZ1323" i="10"/>
  <c r="AZ1339" i="10"/>
  <c r="AZ1359" i="10"/>
  <c r="AZ1375" i="10"/>
  <c r="AZ1392" i="10"/>
  <c r="AZ1411" i="10"/>
  <c r="AZ1428" i="10"/>
  <c r="AZ1444" i="10"/>
  <c r="AZ1464" i="10"/>
  <c r="AZ1480" i="10"/>
  <c r="AZ1496" i="10"/>
  <c r="AZ1516" i="10"/>
  <c r="AZ1532" i="10"/>
  <c r="AZ1549" i="10"/>
  <c r="AZ1568" i="10"/>
  <c r="AZ1585" i="10"/>
  <c r="AZ1601" i="10"/>
  <c r="AZ1621" i="10"/>
  <c r="AZ1637" i="10"/>
  <c r="AZ1653" i="10"/>
  <c r="AZ1672" i="10"/>
  <c r="AZ1687" i="10"/>
  <c r="AZ1702" i="10"/>
  <c r="AZ1717" i="10"/>
  <c r="AZ1732" i="10"/>
  <c r="AZ1746" i="10"/>
  <c r="AZ1760" i="10"/>
  <c r="AZ1774" i="10"/>
  <c r="AZ1789" i="10"/>
  <c r="AZ1804" i="10"/>
  <c r="AZ1818" i="10"/>
  <c r="AZ1832" i="10"/>
  <c r="AZ1846" i="10"/>
  <c r="AZ1861" i="10"/>
  <c r="AZ1876" i="10"/>
  <c r="AZ1890" i="10"/>
  <c r="AZ1904" i="10"/>
  <c r="AZ1918" i="10"/>
  <c r="AZ1933" i="10"/>
  <c r="AZ1948" i="10"/>
  <c r="AZ1962" i="10"/>
  <c r="AZ1976" i="10"/>
  <c r="AZ1990" i="10"/>
  <c r="AZ2005" i="10"/>
  <c r="AZ2020" i="10"/>
  <c r="AZ2034" i="10"/>
  <c r="AZ2048" i="10"/>
  <c r="AZ2062" i="10"/>
  <c r="AZ2077" i="10"/>
  <c r="AZ2092" i="10"/>
  <c r="AZ2106" i="10"/>
  <c r="AZ2120" i="10"/>
  <c r="AZ2134" i="10"/>
  <c r="AZ2149" i="10"/>
  <c r="AZ2164" i="10"/>
  <c r="AZ2178" i="10"/>
  <c r="AZ2192" i="10"/>
  <c r="AZ2206" i="10"/>
  <c r="AZ2221" i="10"/>
  <c r="AZ2236" i="10"/>
  <c r="AZ2249" i="10"/>
  <c r="AZ2262" i="10"/>
  <c r="AZ2275" i="10"/>
  <c r="AZ2288" i="10"/>
  <c r="AZ2301" i="10"/>
  <c r="AZ2314" i="10"/>
  <c r="AZ2328" i="10"/>
  <c r="AZ2341" i="10"/>
  <c r="AZ2354" i="10"/>
  <c r="AZ2367" i="10"/>
  <c r="AZ2380" i="10"/>
  <c r="AZ2393" i="10"/>
  <c r="AZ2406" i="10"/>
  <c r="AZ2419" i="10"/>
  <c r="AZ2432" i="10"/>
  <c r="AZ2445" i="10"/>
  <c r="AZ2458" i="10"/>
  <c r="AZ2472" i="10"/>
  <c r="AZ2485" i="10"/>
  <c r="AZ2498" i="10"/>
  <c r="AZ2511" i="10"/>
  <c r="AZ2524" i="10"/>
  <c r="AZ2537" i="10"/>
  <c r="AZ2550" i="10"/>
  <c r="AZ2563" i="10"/>
  <c r="AZ2576" i="10"/>
  <c r="AZ2589" i="10"/>
  <c r="AZ2602" i="10"/>
  <c r="AZ2616" i="10"/>
  <c r="AZ2629" i="10"/>
  <c r="AZ2642" i="10"/>
  <c r="AZ2655" i="10"/>
  <c r="AZ2668" i="10"/>
  <c r="AZ2681" i="10"/>
  <c r="AZ2694" i="10"/>
  <c r="AZ2707" i="10"/>
  <c r="AZ2720" i="10"/>
  <c r="AZ2733" i="10"/>
  <c r="AZ2746" i="10"/>
  <c r="AZ2760" i="10"/>
  <c r="AZ2773" i="10"/>
  <c r="AZ2786" i="10"/>
  <c r="AZ2799" i="10"/>
  <c r="AZ2812" i="10"/>
  <c r="AZ2825" i="10"/>
  <c r="AZ2838" i="10"/>
  <c r="AZ2851" i="10"/>
  <c r="AZ2864" i="10"/>
  <c r="AZ2877" i="10"/>
  <c r="AZ2890" i="10"/>
  <c r="AZ2904" i="10"/>
  <c r="AZ2916" i="10"/>
  <c r="AZ2928" i="10"/>
  <c r="AZ2940" i="10"/>
  <c r="AZ2952" i="10"/>
  <c r="AZ2964" i="10"/>
  <c r="AZ70" i="10"/>
  <c r="AZ187" i="10"/>
  <c r="AZ283" i="10"/>
  <c r="AZ373" i="10"/>
  <c r="AZ468" i="10"/>
  <c r="AZ544" i="10"/>
  <c r="AZ617" i="10"/>
  <c r="AZ686" i="10"/>
  <c r="AZ739" i="10"/>
  <c r="AZ790" i="10"/>
  <c r="AZ838" i="10"/>
  <c r="AZ880" i="10"/>
  <c r="AZ922" i="10"/>
  <c r="AZ964" i="10"/>
  <c r="AZ1006" i="10"/>
  <c r="AZ1047" i="10"/>
  <c r="AZ1091" i="10"/>
  <c r="AZ1130" i="10"/>
  <c r="AZ1167" i="10"/>
  <c r="AZ1203" i="10"/>
  <c r="AZ1237" i="10"/>
  <c r="AZ1272" i="10"/>
  <c r="AZ1308" i="10"/>
  <c r="AZ1341" i="10"/>
  <c r="AZ1376" i="10"/>
  <c r="AZ1412" i="10"/>
  <c r="AZ1446" i="10"/>
  <c r="AZ1481" i="10"/>
  <c r="AZ1517" i="10"/>
  <c r="AZ1551" i="10"/>
  <c r="AZ1586" i="10"/>
  <c r="AZ1622" i="10"/>
  <c r="AZ1656" i="10"/>
  <c r="AZ1688" i="10"/>
  <c r="AZ1719" i="10"/>
  <c r="AZ1747" i="10"/>
  <c r="AZ1776" i="10"/>
  <c r="AZ1805" i="10"/>
  <c r="AZ1833" i="10"/>
  <c r="AZ1863" i="10"/>
  <c r="AZ1891" i="10"/>
  <c r="AZ1920" i="10"/>
  <c r="AZ1949" i="10"/>
  <c r="AZ1977" i="10"/>
  <c r="AZ2007" i="10"/>
  <c r="AZ2035" i="10"/>
  <c r="AZ2064" i="10"/>
  <c r="AZ2093" i="10"/>
  <c r="AZ2121" i="10"/>
  <c r="AZ2151" i="10"/>
  <c r="AZ2179" i="10"/>
  <c r="AZ2208" i="10"/>
  <c r="AZ2237" i="10"/>
  <c r="AZ2263" i="10"/>
  <c r="AZ2289" i="10"/>
  <c r="AZ2316" i="10"/>
  <c r="AZ2342" i="10"/>
  <c r="AZ2368" i="10"/>
  <c r="AZ2394" i="10"/>
  <c r="AZ2420" i="10"/>
  <c r="AZ2446" i="10"/>
  <c r="AZ2473" i="10"/>
  <c r="AZ2499" i="10"/>
  <c r="AZ2525" i="10"/>
  <c r="AZ2551" i="10"/>
  <c r="AZ2577" i="10"/>
  <c r="AZ2604" i="10"/>
  <c r="AZ2630" i="10"/>
  <c r="AZ2656" i="10"/>
  <c r="AZ2682" i="10"/>
  <c r="AZ2708" i="10"/>
  <c r="AZ2734" i="10"/>
  <c r="AZ2761" i="10"/>
  <c r="AZ2787" i="10"/>
  <c r="AZ2813" i="10"/>
  <c r="AZ2839" i="10"/>
  <c r="AZ2865" i="10"/>
  <c r="AZ2886" i="10"/>
  <c r="AZ2909" i="10"/>
  <c r="AZ2931" i="10"/>
  <c r="AZ2948" i="10"/>
  <c r="AZ2967" i="10"/>
  <c r="AZ2982" i="10"/>
  <c r="AZ2996" i="10"/>
  <c r="AZ3012" i="10"/>
  <c r="AZ3026" i="10"/>
  <c r="AZ3040" i="10"/>
  <c r="AZ3054" i="10"/>
  <c r="AZ3068" i="10"/>
  <c r="AZ3084" i="10"/>
  <c r="AZ3098" i="10"/>
  <c r="AZ3112" i="10"/>
  <c r="AZ3126" i="10"/>
  <c r="AZ3140" i="10"/>
  <c r="AZ3156" i="10"/>
  <c r="AZ3170" i="10"/>
  <c r="AZ3184" i="10"/>
  <c r="AZ3198" i="10"/>
  <c r="AZ3212" i="10"/>
  <c r="AZ3228" i="10"/>
  <c r="AZ3242" i="10"/>
  <c r="AZ3256" i="10"/>
  <c r="AZ3270" i="10"/>
  <c r="AZ3284" i="10"/>
  <c r="AZ3300" i="10"/>
  <c r="AZ3314" i="10"/>
  <c r="AZ3328" i="10"/>
  <c r="AZ3342" i="10"/>
  <c r="AZ3356" i="10"/>
  <c r="AZ3372" i="10"/>
  <c r="AZ3386" i="10"/>
  <c r="AZ3400" i="10"/>
  <c r="AZ3414" i="10"/>
  <c r="AZ3428" i="10"/>
  <c r="AZ3444" i="10"/>
  <c r="AZ3458" i="10"/>
  <c r="AZ3472" i="10"/>
  <c r="AZ3486" i="10"/>
  <c r="AZ3500" i="10"/>
  <c r="AZ3516" i="10"/>
  <c r="AZ3530" i="10"/>
  <c r="AZ3544" i="10"/>
  <c r="AZ3558" i="10"/>
  <c r="AZ3572" i="10"/>
  <c r="AZ3588" i="10"/>
  <c r="AZ3602" i="10"/>
  <c r="AZ3616" i="10"/>
  <c r="AZ3630" i="10"/>
  <c r="AZ3644" i="10"/>
  <c r="AZ3660" i="10"/>
  <c r="AZ3674" i="10"/>
  <c r="AZ3688" i="10"/>
  <c r="AZ3702" i="10"/>
  <c r="AZ3716" i="10"/>
  <c r="AZ3732" i="10"/>
  <c r="AZ3746" i="10"/>
  <c r="AZ3760" i="10"/>
  <c r="AZ3774" i="10"/>
  <c r="AZ3787" i="10"/>
  <c r="AZ3800" i="10"/>
  <c r="AZ3813" i="10"/>
  <c r="AZ3827" i="10"/>
  <c r="AZ3840" i="10"/>
  <c r="AZ3853" i="10"/>
  <c r="AZ3866" i="10"/>
  <c r="AZ3879" i="10"/>
  <c r="AZ3892" i="10"/>
  <c r="AZ3905" i="10"/>
  <c r="AZ3918" i="10"/>
  <c r="AZ3931" i="10"/>
  <c r="AZ3944" i="10"/>
  <c r="AZ3956" i="10"/>
  <c r="AZ3968" i="10"/>
  <c r="AZ3980" i="10"/>
  <c r="AZ3992" i="10"/>
  <c r="AZ4004" i="10"/>
  <c r="AZ4016" i="10"/>
  <c r="AZ4028" i="10"/>
  <c r="AZ4040" i="10"/>
  <c r="AZ4052" i="10"/>
  <c r="AZ4064" i="10"/>
  <c r="AZ4076" i="10"/>
  <c r="AZ4088" i="10"/>
  <c r="AZ4100" i="10"/>
  <c r="AZ4112" i="10"/>
  <c r="AZ4124" i="10"/>
  <c r="AZ4136" i="10"/>
  <c r="AZ4148" i="10"/>
  <c r="AZ4160" i="10"/>
  <c r="AZ4172" i="10"/>
  <c r="AZ4184" i="10"/>
  <c r="AZ4196" i="10"/>
  <c r="AZ4208" i="10"/>
  <c r="AZ4220" i="10"/>
  <c r="AZ4232" i="10"/>
  <c r="AZ4244" i="10"/>
  <c r="AZ4256" i="10"/>
  <c r="AZ4268" i="10"/>
  <c r="AZ4280" i="10"/>
  <c r="AZ4292" i="10"/>
  <c r="AZ4304" i="10"/>
  <c r="AZ4316" i="10"/>
  <c r="AZ4328" i="10"/>
  <c r="AZ4340" i="10"/>
  <c r="AZ4352" i="10"/>
  <c r="AZ4364" i="10"/>
  <c r="AZ4376" i="10"/>
  <c r="AZ4388" i="10"/>
  <c r="AZ4400" i="10"/>
  <c r="AZ4412" i="10"/>
  <c r="AZ4424" i="10"/>
  <c r="AZ4436" i="10"/>
  <c r="AZ4448" i="10"/>
  <c r="AZ4460" i="10"/>
  <c r="AZ4472" i="10"/>
  <c r="AZ4484" i="10"/>
  <c r="AZ4496" i="10"/>
  <c r="AZ4508" i="10"/>
  <c r="AZ4520" i="10"/>
  <c r="AZ4532" i="10"/>
  <c r="AZ4544" i="10"/>
  <c r="AZ4556" i="10"/>
  <c r="AZ4568" i="10"/>
  <c r="AZ4580" i="10"/>
  <c r="AZ4592" i="10"/>
  <c r="AZ4604" i="10"/>
  <c r="AZ4616" i="10"/>
  <c r="AZ4628" i="10"/>
  <c r="AZ4640" i="10"/>
  <c r="AZ4652" i="10"/>
  <c r="AZ4664" i="10"/>
  <c r="AZ4676" i="10"/>
  <c r="AZ4688" i="10"/>
  <c r="AZ4700" i="10"/>
  <c r="AZ4712" i="10"/>
  <c r="AZ4724" i="10"/>
  <c r="AZ4736" i="10"/>
  <c r="AZ4748" i="10"/>
  <c r="AZ4760" i="10"/>
  <c r="AZ71" i="10"/>
  <c r="AZ190" i="10"/>
  <c r="AZ286" i="10"/>
  <c r="AZ374" i="10"/>
  <c r="AZ469" i="10"/>
  <c r="AZ545" i="10"/>
  <c r="AZ619" i="10"/>
  <c r="AZ687" i="10"/>
  <c r="AZ744" i="10"/>
  <c r="AZ791" i="10"/>
  <c r="AZ840" i="10"/>
  <c r="AZ883" i="10"/>
  <c r="AZ924" i="10"/>
  <c r="AZ966" i="10"/>
  <c r="AZ1010" i="10"/>
  <c r="AZ1048" i="10"/>
  <c r="AZ1092" i="10"/>
  <c r="AZ1133" i="10"/>
  <c r="AZ1168" i="10"/>
  <c r="AZ1204" i="10"/>
  <c r="AZ1240" i="10"/>
  <c r="AZ1273" i="10"/>
  <c r="AZ1309" i="10"/>
  <c r="AZ1345" i="10"/>
  <c r="AZ1377" i="10"/>
  <c r="AZ1413" i="10"/>
  <c r="AZ1449" i="10"/>
  <c r="AZ1482" i="10"/>
  <c r="AZ1518" i="10"/>
  <c r="AZ1554" i="10"/>
  <c r="AZ1587" i="10"/>
  <c r="AZ1623" i="10"/>
  <c r="AZ1659" i="10"/>
  <c r="AZ1689" i="10"/>
  <c r="AZ1720" i="10"/>
  <c r="AZ1748" i="10"/>
  <c r="AZ1777" i="10"/>
  <c r="AZ1806" i="10"/>
  <c r="AZ1834" i="10"/>
  <c r="AZ1864" i="10"/>
  <c r="AZ1892" i="10"/>
  <c r="AZ1921" i="10"/>
  <c r="AZ1950" i="10"/>
  <c r="AZ1978" i="10"/>
  <c r="AZ2008" i="10"/>
  <c r="AZ2036" i="10"/>
  <c r="AZ2065" i="10"/>
  <c r="AZ2094" i="10"/>
  <c r="AZ2122" i="10"/>
  <c r="AZ2152" i="10"/>
  <c r="AZ2180" i="10"/>
  <c r="AZ2209" i="10"/>
  <c r="AZ2238" i="10"/>
  <c r="AZ2264" i="10"/>
  <c r="AZ2290" i="10"/>
  <c r="AZ2317" i="10"/>
  <c r="AZ2343" i="10"/>
  <c r="AZ2369" i="10"/>
  <c r="AZ2395" i="10"/>
  <c r="AZ2421" i="10"/>
  <c r="AZ2448" i="10"/>
  <c r="AZ2474" i="10"/>
  <c r="AZ2500" i="10"/>
  <c r="AZ2526" i="10"/>
  <c r="AZ2552" i="10"/>
  <c r="AZ2578" i="10"/>
  <c r="AZ2605" i="10"/>
  <c r="AZ2631" i="10"/>
  <c r="AZ2657" i="10"/>
  <c r="AZ2683" i="10"/>
  <c r="AZ2709" i="10"/>
  <c r="AZ2736" i="10"/>
  <c r="AZ2762" i="10"/>
  <c r="AZ2788" i="10"/>
  <c r="AZ2814" i="10"/>
  <c r="AZ2840" i="10"/>
  <c r="AZ2866" i="10"/>
  <c r="AZ2892" i="10"/>
  <c r="AZ2910" i="10"/>
  <c r="AZ2932" i="10"/>
  <c r="AZ2949" i="10"/>
  <c r="AZ2968" i="10"/>
  <c r="AZ2983" i="10"/>
  <c r="AZ2997" i="10"/>
  <c r="AZ3013" i="10"/>
  <c r="AZ3027" i="10"/>
  <c r="AZ3041" i="10"/>
  <c r="AZ3055" i="10"/>
  <c r="AZ3069" i="10"/>
  <c r="AZ3085" i="10"/>
  <c r="AZ3099" i="10"/>
  <c r="AZ3113" i="10"/>
  <c r="AZ3127" i="10"/>
  <c r="AZ3141" i="10"/>
  <c r="AZ3157" i="10"/>
  <c r="AZ3171" i="10"/>
  <c r="AZ3185" i="10"/>
  <c r="AZ3199" i="10"/>
  <c r="AZ3213" i="10"/>
  <c r="AZ3229" i="10"/>
  <c r="AZ3243" i="10"/>
  <c r="AZ3257" i="10"/>
  <c r="AZ3271" i="10"/>
  <c r="AZ3285" i="10"/>
  <c r="AZ3301" i="10"/>
  <c r="AZ3315" i="10"/>
  <c r="AZ3329" i="10"/>
  <c r="AZ3343" i="10"/>
  <c r="AZ3357" i="10"/>
  <c r="AZ3373" i="10"/>
  <c r="AZ3387" i="10"/>
  <c r="AZ3401" i="10"/>
  <c r="AZ3415" i="10"/>
  <c r="AZ3429" i="10"/>
  <c r="AZ3445" i="10"/>
  <c r="AZ3459" i="10"/>
  <c r="AZ3473" i="10"/>
  <c r="AZ3487" i="10"/>
  <c r="AZ3501" i="10"/>
  <c r="AZ3517" i="10"/>
  <c r="AZ3531" i="10"/>
  <c r="AZ3545" i="10"/>
  <c r="AZ3559" i="10"/>
  <c r="AZ3573" i="10"/>
  <c r="AZ3589" i="10"/>
  <c r="AZ3603" i="10"/>
  <c r="AZ3617" i="10"/>
  <c r="AZ3631" i="10"/>
  <c r="AZ3645" i="10"/>
  <c r="AZ3661" i="10"/>
  <c r="AZ3675" i="10"/>
  <c r="AZ3689" i="10"/>
  <c r="AZ3703" i="10"/>
  <c r="AZ3717" i="10"/>
  <c r="AZ3733" i="10"/>
  <c r="AZ3747" i="10"/>
  <c r="AZ3761" i="10"/>
  <c r="AZ3775" i="10"/>
  <c r="AZ3788" i="10"/>
  <c r="AZ3801" i="10"/>
  <c r="AZ3815" i="10"/>
  <c r="AZ3828" i="10"/>
  <c r="AZ3841" i="10"/>
  <c r="AZ3854" i="10"/>
  <c r="AZ3867" i="10"/>
  <c r="AZ3880" i="10"/>
  <c r="AZ3893" i="10"/>
  <c r="AZ3906" i="10"/>
  <c r="AZ3919" i="10"/>
  <c r="AZ3932" i="10"/>
  <c r="AZ3945" i="10"/>
  <c r="AZ3957" i="10"/>
  <c r="AZ3969" i="10"/>
  <c r="AZ3981" i="10"/>
  <c r="AZ3993" i="10"/>
  <c r="AZ4005" i="10"/>
  <c r="AZ4017" i="10"/>
  <c r="AZ4029" i="10"/>
  <c r="AZ4041" i="10"/>
  <c r="AZ4053" i="10"/>
  <c r="AZ4065" i="10"/>
  <c r="AZ4077" i="10"/>
  <c r="AZ4089" i="10"/>
  <c r="AZ4101" i="10"/>
  <c r="AZ4113" i="10"/>
  <c r="AZ4125" i="10"/>
  <c r="AZ4137" i="10"/>
  <c r="AZ4149" i="10"/>
  <c r="AZ4161" i="10"/>
  <c r="AZ4173" i="10"/>
  <c r="AZ4185" i="10"/>
  <c r="AZ4197" i="10"/>
  <c r="AZ4209" i="10"/>
  <c r="AZ4221" i="10"/>
  <c r="AZ4233" i="10"/>
  <c r="AZ4245" i="10"/>
  <c r="AZ4257" i="10"/>
  <c r="AZ4269" i="10"/>
  <c r="AZ4281" i="10"/>
  <c r="AZ4293" i="10"/>
  <c r="AZ4305" i="10"/>
  <c r="AZ4317" i="10"/>
  <c r="AZ4329" i="10"/>
  <c r="AZ4341" i="10"/>
  <c r="AZ4353" i="10"/>
  <c r="AZ4365" i="10"/>
  <c r="AZ4377" i="10"/>
  <c r="AZ4389" i="10"/>
  <c r="AZ4401" i="10"/>
  <c r="AZ4413" i="10"/>
  <c r="AZ4425" i="10"/>
  <c r="AZ4437" i="10"/>
  <c r="AZ4449" i="10"/>
  <c r="AZ4461" i="10"/>
  <c r="AZ4473" i="10"/>
  <c r="AZ4485" i="10"/>
  <c r="AZ4497" i="10"/>
  <c r="AZ4509" i="10"/>
  <c r="AZ4521" i="10"/>
  <c r="AZ4533" i="10"/>
  <c r="AZ4545" i="10"/>
  <c r="AZ4557" i="10"/>
  <c r="AZ4569" i="10"/>
  <c r="AZ4581" i="10"/>
  <c r="AZ4593" i="10"/>
  <c r="AZ4605" i="10"/>
  <c r="AZ4617" i="10"/>
  <c r="AZ4629" i="10"/>
  <c r="AZ4641" i="10"/>
  <c r="AZ4653" i="10"/>
  <c r="AZ4665" i="10"/>
  <c r="AZ4677" i="10"/>
  <c r="AZ4689" i="10"/>
  <c r="AZ4701" i="10"/>
  <c r="AZ4713" i="10"/>
  <c r="AZ4725" i="10"/>
  <c r="AZ4737" i="10"/>
  <c r="AZ4749" i="10"/>
  <c r="AZ4761" i="10"/>
  <c r="AZ4773" i="10"/>
  <c r="AZ79" i="10"/>
  <c r="AZ191" i="10"/>
  <c r="AZ288" i="10"/>
  <c r="AZ375" i="10"/>
  <c r="AZ471" i="10"/>
  <c r="AZ547" i="10"/>
  <c r="AZ623" i="10"/>
  <c r="AZ688" i="10"/>
  <c r="AZ745" i="10"/>
  <c r="AZ792" i="10"/>
  <c r="AZ841" i="10"/>
  <c r="AZ886" i="10"/>
  <c r="AZ925" i="10"/>
  <c r="AZ967" i="10"/>
  <c r="AZ1011" i="10"/>
  <c r="AZ1049" i="10"/>
  <c r="AZ1093" i="10"/>
  <c r="AZ1134" i="10"/>
  <c r="AZ1169" i="10"/>
  <c r="AZ1205" i="10"/>
  <c r="AZ1241" i="10"/>
  <c r="AZ1274" i="10"/>
  <c r="AZ1310" i="10"/>
  <c r="AZ1346" i="10"/>
  <c r="AZ1379" i="10"/>
  <c r="AZ1415" i="10"/>
  <c r="AZ1451" i="10"/>
  <c r="AZ1483" i="10"/>
  <c r="AZ1519" i="10"/>
  <c r="AZ1555" i="10"/>
  <c r="AZ1588" i="10"/>
  <c r="AZ1624" i="10"/>
  <c r="AZ1660" i="10"/>
  <c r="AZ1690" i="10"/>
  <c r="AZ1721" i="10"/>
  <c r="AZ1749" i="10"/>
  <c r="AZ1779" i="10"/>
  <c r="AZ1807" i="10"/>
  <c r="AZ1836" i="10"/>
  <c r="AZ1865" i="10"/>
  <c r="AZ1893" i="10"/>
  <c r="AZ1923" i="10"/>
  <c r="AZ1951" i="10"/>
  <c r="AZ1980" i="10"/>
  <c r="AZ2009" i="10"/>
  <c r="AZ2037" i="10"/>
  <c r="AZ2067" i="10"/>
  <c r="AZ2095" i="10"/>
  <c r="AZ2124" i="10"/>
  <c r="AZ2153" i="10"/>
  <c r="AZ2181" i="10"/>
  <c r="AZ2211" i="10"/>
  <c r="AZ2239" i="10"/>
  <c r="AZ2265" i="10"/>
  <c r="AZ2292" i="10"/>
  <c r="AZ2318" i="10"/>
  <c r="AZ2344" i="10"/>
  <c r="AZ2370" i="10"/>
  <c r="AZ2396" i="10"/>
  <c r="AZ2422" i="10"/>
  <c r="AZ2449" i="10"/>
  <c r="AZ2475" i="10"/>
  <c r="AZ2501" i="10"/>
  <c r="AZ2527" i="10"/>
  <c r="AZ2553" i="10"/>
  <c r="AZ2580" i="10"/>
  <c r="AZ2606" i="10"/>
  <c r="AZ2632" i="10"/>
  <c r="AZ2658" i="10"/>
  <c r="AZ2684" i="10"/>
  <c r="AZ2710" i="10"/>
  <c r="AZ2737" i="10"/>
  <c r="AZ2763" i="10"/>
  <c r="AZ2789" i="10"/>
  <c r="AZ2815" i="10"/>
  <c r="AZ2841" i="10"/>
  <c r="AZ2868" i="10"/>
  <c r="AZ2893" i="10"/>
  <c r="AZ2912" i="10"/>
  <c r="AZ2933" i="10"/>
  <c r="AZ2953" i="10"/>
  <c r="AZ2969" i="10"/>
  <c r="AZ2984" i="10"/>
  <c r="AZ3000" i="10"/>
  <c r="AZ3014" i="10"/>
  <c r="AZ3028" i="10"/>
  <c r="AZ3042" i="10"/>
  <c r="AZ3056" i="10"/>
  <c r="AZ3072" i="10"/>
  <c r="AZ3086" i="10"/>
  <c r="AZ3100" i="10"/>
  <c r="AZ3114" i="10"/>
  <c r="AZ3128" i="10"/>
  <c r="AZ3144" i="10"/>
  <c r="AZ3158" i="10"/>
  <c r="AZ3172" i="10"/>
  <c r="AZ3186" i="10"/>
  <c r="AZ3200" i="10"/>
  <c r="AZ3216" i="10"/>
  <c r="AZ3230" i="10"/>
  <c r="AZ3244" i="10"/>
  <c r="AZ3258" i="10"/>
  <c r="AZ3272" i="10"/>
  <c r="AZ3288" i="10"/>
  <c r="AZ3302" i="10"/>
  <c r="AZ3316" i="10"/>
  <c r="AZ3330" i="10"/>
  <c r="AZ3344" i="10"/>
  <c r="AZ3360" i="10"/>
  <c r="AZ3374" i="10"/>
  <c r="AZ3388" i="10"/>
  <c r="AZ3402" i="10"/>
  <c r="AZ3416" i="10"/>
  <c r="AZ3432" i="10"/>
  <c r="AZ3446" i="10"/>
  <c r="AZ3460" i="10"/>
  <c r="AZ3474" i="10"/>
  <c r="AZ3488" i="10"/>
  <c r="AZ3504" i="10"/>
  <c r="AZ3518" i="10"/>
  <c r="AZ3532" i="10"/>
  <c r="AZ3546" i="10"/>
  <c r="AZ3560" i="10"/>
  <c r="AZ3576" i="10"/>
  <c r="AZ3590" i="10"/>
  <c r="AZ3604" i="10"/>
  <c r="AZ3618" i="10"/>
  <c r="AZ3632" i="10"/>
  <c r="AZ3648" i="10"/>
  <c r="AZ3662" i="10"/>
  <c r="AZ3676" i="10"/>
  <c r="AZ3690" i="10"/>
  <c r="AZ3704" i="10"/>
  <c r="AZ3720" i="10"/>
  <c r="AZ3734" i="10"/>
  <c r="AZ3748" i="10"/>
  <c r="AZ3762" i="10"/>
  <c r="AZ3776" i="10"/>
  <c r="AZ3789" i="10"/>
  <c r="AZ3803" i="10"/>
  <c r="AZ3816" i="10"/>
  <c r="AZ3829" i="10"/>
  <c r="AZ3842" i="10"/>
  <c r="AZ3855" i="10"/>
  <c r="AZ3868" i="10"/>
  <c r="AZ3881" i="10"/>
  <c r="AZ3894" i="10"/>
  <c r="AZ3907" i="10"/>
  <c r="AZ3920" i="10"/>
  <c r="AZ3933" i="10"/>
  <c r="AZ3946" i="10"/>
  <c r="AZ3958" i="10"/>
  <c r="AZ3970" i="10"/>
  <c r="AZ3982" i="10"/>
  <c r="AZ3994" i="10"/>
  <c r="AZ4006" i="10"/>
  <c r="AZ4018" i="10"/>
  <c r="AZ4030" i="10"/>
  <c r="AZ4042" i="10"/>
  <c r="AZ4054" i="10"/>
  <c r="AZ4066" i="10"/>
  <c r="AZ4078" i="10"/>
  <c r="AZ4090" i="10"/>
  <c r="AZ4102" i="10"/>
  <c r="AZ4114" i="10"/>
  <c r="AZ4126" i="10"/>
  <c r="AZ4138" i="10"/>
  <c r="AZ4150" i="10"/>
  <c r="AZ4162" i="10"/>
  <c r="AZ4174" i="10"/>
  <c r="AZ4186" i="10"/>
  <c r="AZ4198" i="10"/>
  <c r="AZ4210" i="10"/>
  <c r="AZ4222" i="10"/>
  <c r="AZ4234" i="10"/>
  <c r="AZ4246" i="10"/>
  <c r="AZ4258" i="10"/>
  <c r="AZ4270" i="10"/>
  <c r="AZ4282" i="10"/>
  <c r="AZ4294" i="10"/>
  <c r="AZ4306" i="10"/>
  <c r="AZ4318" i="10"/>
  <c r="AZ4330" i="10"/>
  <c r="AZ4342" i="10"/>
  <c r="AZ4354" i="10"/>
  <c r="AZ4366" i="10"/>
  <c r="AZ4378" i="10"/>
  <c r="AZ4390" i="10"/>
  <c r="AZ4402" i="10"/>
  <c r="AZ4414" i="10"/>
  <c r="AZ4426" i="10"/>
  <c r="AZ4438" i="10"/>
  <c r="AZ4450" i="10"/>
  <c r="AZ4462" i="10"/>
  <c r="AZ4474" i="10"/>
  <c r="AZ4486" i="10"/>
  <c r="AZ4498" i="10"/>
  <c r="AZ4510" i="10"/>
  <c r="AZ4522" i="10"/>
  <c r="AZ4534" i="10"/>
  <c r="AZ4546" i="10"/>
  <c r="AZ4558" i="10"/>
  <c r="AZ4570" i="10"/>
  <c r="AZ4582" i="10"/>
  <c r="AZ4594" i="10"/>
  <c r="AZ4606" i="10"/>
  <c r="AZ4618" i="10"/>
  <c r="AZ4630" i="10"/>
  <c r="AZ4642" i="10"/>
  <c r="AZ4654" i="10"/>
  <c r="AZ4666" i="10"/>
  <c r="AZ4678" i="10"/>
  <c r="AZ4690" i="10"/>
  <c r="AZ4702" i="10"/>
  <c r="AZ4714" i="10"/>
  <c r="AZ4726" i="10"/>
  <c r="AZ4738" i="10"/>
  <c r="AZ4750" i="10"/>
  <c r="AZ4762" i="10"/>
  <c r="AZ83" i="10"/>
  <c r="AZ192" i="10"/>
  <c r="AZ289" i="10"/>
  <c r="AZ379" i="10"/>
  <c r="AZ475" i="10"/>
  <c r="AZ550" i="10"/>
  <c r="AZ624" i="10"/>
  <c r="AZ689" i="10"/>
  <c r="AZ746" i="10"/>
  <c r="AZ796" i="10"/>
  <c r="AZ842" i="10"/>
  <c r="AZ887" i="10"/>
  <c r="AZ927" i="10"/>
  <c r="AZ970" i="10"/>
  <c r="AZ1012" i="10"/>
  <c r="AZ1054" i="10"/>
  <c r="AZ1094" i="10"/>
  <c r="AZ1135" i="10"/>
  <c r="AZ1171" i="10"/>
  <c r="AZ1206" i="10"/>
  <c r="AZ1242" i="10"/>
  <c r="AZ1276" i="10"/>
  <c r="AZ1311" i="10"/>
  <c r="AZ1347" i="10"/>
  <c r="AZ1381" i="10"/>
  <c r="AZ1416" i="10"/>
  <c r="AZ1452" i="10"/>
  <c r="AZ1485" i="10"/>
  <c r="AZ1520" i="10"/>
  <c r="AZ1556" i="10"/>
  <c r="AZ1590" i="10"/>
  <c r="AZ1625" i="10"/>
  <c r="AZ1661" i="10"/>
  <c r="AZ1692" i="10"/>
  <c r="AZ1722" i="10"/>
  <c r="AZ1750" i="10"/>
  <c r="AZ1780" i="10"/>
  <c r="AZ1808" i="10"/>
  <c r="AZ1837" i="10"/>
  <c r="AZ1866" i="10"/>
  <c r="AZ1894" i="10"/>
  <c r="AZ1924" i="10"/>
  <c r="AZ1952" i="10"/>
  <c r="AZ1981" i="10"/>
  <c r="AZ2010" i="10"/>
  <c r="AZ2038" i="10"/>
  <c r="AZ2068" i="10"/>
  <c r="AZ2096" i="10"/>
  <c r="AZ2125" i="10"/>
  <c r="AZ2154" i="10"/>
  <c r="AZ2182" i="10"/>
  <c r="AZ2212" i="10"/>
  <c r="AZ2240" i="10"/>
  <c r="AZ2266" i="10"/>
  <c r="AZ2293" i="10"/>
  <c r="AZ2319" i="10"/>
  <c r="AZ2345" i="10"/>
  <c r="AZ2371" i="10"/>
  <c r="AZ2397" i="10"/>
  <c r="AZ2424" i="10"/>
  <c r="AZ2450" i="10"/>
  <c r="AZ2476" i="10"/>
  <c r="AZ2502" i="10"/>
  <c r="AZ2528" i="10"/>
  <c r="AZ2554" i="10"/>
  <c r="AZ2581" i="10"/>
  <c r="AZ2607" i="10"/>
  <c r="AZ2633" i="10"/>
  <c r="AZ2659" i="10"/>
  <c r="AZ2685" i="10"/>
  <c r="AZ2712" i="10"/>
  <c r="AZ2738" i="10"/>
  <c r="AZ2764" i="10"/>
  <c r="AZ2790" i="10"/>
  <c r="AZ2816" i="10"/>
  <c r="AZ2842" i="10"/>
  <c r="AZ2869" i="10"/>
  <c r="AZ2894" i="10"/>
  <c r="AZ2917" i="10"/>
  <c r="AZ2934" i="10"/>
  <c r="AZ2954" i="10"/>
  <c r="AZ2970" i="10"/>
  <c r="AZ2985" i="10"/>
  <c r="AZ3001" i="10"/>
  <c r="AZ3015" i="10"/>
  <c r="AZ3029" i="10"/>
  <c r="AZ3043" i="10"/>
  <c r="AZ3057" i="10"/>
  <c r="AZ3073" i="10"/>
  <c r="AZ3087" i="10"/>
  <c r="AZ3101" i="10"/>
  <c r="AZ3115" i="10"/>
  <c r="AZ3129" i="10"/>
  <c r="AZ3145" i="10"/>
  <c r="AZ3159" i="10"/>
  <c r="AZ3173" i="10"/>
  <c r="AZ3187" i="10"/>
  <c r="AZ3201" i="10"/>
  <c r="AZ3217" i="10"/>
  <c r="AZ3231" i="10"/>
  <c r="AZ3245" i="10"/>
  <c r="AZ3259" i="10"/>
  <c r="AZ3273" i="10"/>
  <c r="AZ3289" i="10"/>
  <c r="AZ3303" i="10"/>
  <c r="AZ3317" i="10"/>
  <c r="AZ3331" i="10"/>
  <c r="AZ3345" i="10"/>
  <c r="AZ3361" i="10"/>
  <c r="AZ3375" i="10"/>
  <c r="AZ3389" i="10"/>
  <c r="AZ3403" i="10"/>
  <c r="AZ3417" i="10"/>
  <c r="AZ3433" i="10"/>
  <c r="AZ3447" i="10"/>
  <c r="AZ3461" i="10"/>
  <c r="AZ3475" i="10"/>
  <c r="AZ3489" i="10"/>
  <c r="AZ3505" i="10"/>
  <c r="AZ3519" i="10"/>
  <c r="AZ3533" i="10"/>
  <c r="AZ3547" i="10"/>
  <c r="AZ3561" i="10"/>
  <c r="AZ3577" i="10"/>
  <c r="AZ3591" i="10"/>
  <c r="AZ3605" i="10"/>
  <c r="AZ3619" i="10"/>
  <c r="AZ3633" i="10"/>
  <c r="AZ3649" i="10"/>
  <c r="AZ3663" i="10"/>
  <c r="AZ3677" i="10"/>
  <c r="AZ3691" i="10"/>
  <c r="AZ3705" i="10"/>
  <c r="AZ3721" i="10"/>
  <c r="AZ3735" i="10"/>
  <c r="AZ3749" i="10"/>
  <c r="AZ3763" i="10"/>
  <c r="AZ3777" i="10"/>
  <c r="AZ3791" i="10"/>
  <c r="AZ3804" i="10"/>
  <c r="AZ3817" i="10"/>
  <c r="AZ3830" i="10"/>
  <c r="AZ3843" i="10"/>
  <c r="AZ3856" i="10"/>
  <c r="AZ3869" i="10"/>
  <c r="AZ3882" i="10"/>
  <c r="AZ3895" i="10"/>
  <c r="AZ3908" i="10"/>
  <c r="AZ3921" i="10"/>
  <c r="AZ3935" i="10"/>
  <c r="AZ3947" i="10"/>
  <c r="AZ3959" i="10"/>
  <c r="AZ3971" i="10"/>
  <c r="AZ3983" i="10"/>
  <c r="AZ3995" i="10"/>
  <c r="AZ4007" i="10"/>
  <c r="AZ4019" i="10"/>
  <c r="AZ4031" i="10"/>
  <c r="AZ4043" i="10"/>
  <c r="AZ4055" i="10"/>
  <c r="AZ4067" i="10"/>
  <c r="AZ4079" i="10"/>
  <c r="AZ4091" i="10"/>
  <c r="AZ4103" i="10"/>
  <c r="AZ4115" i="10"/>
  <c r="AZ4127" i="10"/>
  <c r="AZ4139" i="10"/>
  <c r="AZ4151" i="10"/>
  <c r="AZ4163" i="10"/>
  <c r="AZ4175" i="10"/>
  <c r="AZ4187" i="10"/>
  <c r="AZ4199" i="10"/>
  <c r="AZ4211" i="10"/>
  <c r="AZ4223" i="10"/>
  <c r="AZ4235" i="10"/>
  <c r="AZ4247" i="10"/>
  <c r="AZ4259" i="10"/>
  <c r="AZ4271" i="10"/>
  <c r="AZ4283" i="10"/>
  <c r="AZ4295" i="10"/>
  <c r="AZ4307" i="10"/>
  <c r="AZ4319" i="10"/>
  <c r="AZ4331" i="10"/>
  <c r="AZ4343" i="10"/>
  <c r="AZ4355" i="10"/>
  <c r="AZ4367" i="10"/>
  <c r="AZ4379" i="10"/>
  <c r="AZ4391" i="10"/>
  <c r="AZ4403" i="10"/>
  <c r="AZ4415" i="10"/>
  <c r="AZ4427" i="10"/>
  <c r="AZ4439" i="10"/>
  <c r="AZ4451" i="10"/>
  <c r="AZ4463" i="10"/>
  <c r="AZ4475" i="10"/>
  <c r="AZ4487" i="10"/>
  <c r="AZ4499" i="10"/>
  <c r="AZ4511" i="10"/>
  <c r="AZ4523" i="10"/>
  <c r="AZ4535" i="10"/>
  <c r="AZ4547" i="10"/>
  <c r="AZ4559" i="10"/>
  <c r="AZ4571" i="10"/>
  <c r="AZ4583" i="10"/>
  <c r="AZ4595" i="10"/>
  <c r="AZ4607" i="10"/>
  <c r="AZ4619" i="10"/>
  <c r="AZ4631" i="10"/>
  <c r="AZ4643" i="10"/>
  <c r="AZ4655" i="10"/>
  <c r="AZ4667" i="10"/>
  <c r="AZ4679" i="10"/>
  <c r="AZ4691" i="10"/>
  <c r="AZ4703" i="10"/>
  <c r="AZ4715" i="10"/>
  <c r="AZ4727" i="10"/>
  <c r="AZ4739" i="10"/>
  <c r="AZ4751" i="10"/>
  <c r="AZ4763" i="10"/>
  <c r="AZ4775" i="10"/>
  <c r="AZ4787" i="10"/>
  <c r="AZ4799" i="10"/>
  <c r="AZ4811" i="10"/>
  <c r="AZ4823" i="10"/>
  <c r="AZ4835" i="10"/>
  <c r="AZ4847" i="10"/>
  <c r="AZ4859" i="10"/>
  <c r="AZ4871" i="10"/>
  <c r="AZ4883" i="10"/>
  <c r="AZ4895" i="10"/>
  <c r="AZ4907" i="10"/>
  <c r="AZ4919" i="10"/>
  <c r="AZ4931" i="10"/>
  <c r="AZ4943" i="10"/>
  <c r="AZ4955" i="10"/>
  <c r="AZ4967" i="10"/>
  <c r="AZ4979" i="10"/>
  <c r="AZ4991" i="10"/>
  <c r="AZ5003" i="10"/>
  <c r="AZ5015" i="10"/>
  <c r="AZ5027" i="10"/>
  <c r="AZ5039" i="10"/>
  <c r="AZ5051" i="10"/>
  <c r="AZ5063" i="10"/>
  <c r="AZ5075" i="10"/>
  <c r="AZ5087" i="10"/>
  <c r="AZ5099" i="10"/>
  <c r="AZ5111" i="10"/>
  <c r="AZ5123" i="10"/>
  <c r="AZ5135" i="10"/>
  <c r="AZ5147" i="10"/>
  <c r="AZ5159" i="10"/>
  <c r="AZ5171" i="10"/>
  <c r="AZ5183" i="10"/>
  <c r="AZ5195" i="10"/>
  <c r="AZ5207" i="10"/>
  <c r="AZ5219" i="10"/>
  <c r="AZ84" i="10"/>
  <c r="AZ205" i="10"/>
  <c r="AZ295" i="10"/>
  <c r="AZ391" i="10"/>
  <c r="AZ480" i="10"/>
  <c r="AZ557" i="10"/>
  <c r="AZ627" i="10"/>
  <c r="AZ690" i="10"/>
  <c r="AZ747" i="10"/>
  <c r="AZ799" i="10"/>
  <c r="AZ843" i="10"/>
  <c r="AZ888" i="10"/>
  <c r="AZ930" i="10"/>
  <c r="AZ971" i="10"/>
  <c r="AZ1013" i="10"/>
  <c r="AZ1057" i="10"/>
  <c r="AZ1096" i="10"/>
  <c r="AZ1138" i="10"/>
  <c r="AZ1175" i="10"/>
  <c r="AZ1207" i="10"/>
  <c r="AZ1243" i="10"/>
  <c r="AZ1279" i="10"/>
  <c r="AZ1312" i="10"/>
  <c r="AZ1348" i="10"/>
  <c r="AZ1384" i="10"/>
  <c r="AZ1417" i="10"/>
  <c r="AZ1453" i="10"/>
  <c r="AZ1489" i="10"/>
  <c r="AZ1521" i="10"/>
  <c r="AZ1557" i="10"/>
  <c r="AZ1593" i="10"/>
  <c r="AZ1626" i="10"/>
  <c r="AZ1662" i="10"/>
  <c r="AZ1695" i="10"/>
  <c r="AZ1723" i="10"/>
  <c r="AZ1752" i="10"/>
  <c r="AZ1781" i="10"/>
  <c r="AZ1809" i="10"/>
  <c r="AZ1839" i="10"/>
  <c r="AZ1867" i="10"/>
  <c r="AZ1896" i="10"/>
  <c r="AZ1925" i="10"/>
  <c r="AZ1953" i="10"/>
  <c r="AZ1983" i="10"/>
  <c r="AZ2011" i="10"/>
  <c r="AZ2040" i="10"/>
  <c r="AZ2069" i="10"/>
  <c r="AZ2097" i="10"/>
  <c r="AZ2127" i="10"/>
  <c r="AZ2155" i="10"/>
  <c r="AZ2184" i="10"/>
  <c r="AZ2213" i="10"/>
  <c r="AZ2241" i="10"/>
  <c r="AZ2268" i="10"/>
  <c r="AZ2294" i="10"/>
  <c r="AZ2320" i="10"/>
  <c r="AZ2346" i="10"/>
  <c r="AZ2372" i="10"/>
  <c r="AZ2398" i="10"/>
  <c r="AZ2425" i="10"/>
  <c r="AZ2451" i="10"/>
  <c r="AZ2477" i="10"/>
  <c r="AZ2503" i="10"/>
  <c r="AZ2529" i="10"/>
  <c r="AZ2556" i="10"/>
  <c r="AZ2582" i="10"/>
  <c r="AZ2608" i="10"/>
  <c r="AZ2634" i="10"/>
  <c r="AZ2660" i="10"/>
  <c r="AZ2686" i="10"/>
  <c r="AZ2713" i="10"/>
  <c r="AZ2739" i="10"/>
  <c r="AZ2765" i="10"/>
  <c r="AZ2791" i="10"/>
  <c r="AZ2817" i="10"/>
  <c r="AZ2844" i="10"/>
  <c r="AZ2870" i="10"/>
  <c r="AZ2895" i="10"/>
  <c r="AZ2918" i="10"/>
  <c r="AZ2936" i="10"/>
  <c r="AZ2955" i="10"/>
  <c r="AZ2972" i="10"/>
  <c r="AZ2988" i="10"/>
  <c r="AZ3002" i="10"/>
  <c r="AZ3016" i="10"/>
  <c r="AZ3030" i="10"/>
  <c r="AZ3044" i="10"/>
  <c r="AZ3060" i="10"/>
  <c r="AZ3074" i="10"/>
  <c r="AZ3088" i="10"/>
  <c r="AZ3102" i="10"/>
  <c r="AZ3116" i="10"/>
  <c r="AZ3132" i="10"/>
  <c r="AZ3146" i="10"/>
  <c r="AZ3160" i="10"/>
  <c r="AZ3174" i="10"/>
  <c r="AZ3188" i="10"/>
  <c r="AZ3204" i="10"/>
  <c r="AZ3218" i="10"/>
  <c r="AZ3232" i="10"/>
  <c r="AZ3246" i="10"/>
  <c r="AZ3260" i="10"/>
  <c r="AZ3276" i="10"/>
  <c r="AZ3290" i="10"/>
  <c r="AZ3304" i="10"/>
  <c r="AZ3318" i="10"/>
  <c r="AZ3332" i="10"/>
  <c r="AZ3348" i="10"/>
  <c r="AZ3362" i="10"/>
  <c r="AZ3376" i="10"/>
  <c r="AZ3390" i="10"/>
  <c r="AZ3404" i="10"/>
  <c r="AZ3420" i="10"/>
  <c r="AZ3434" i="10"/>
  <c r="AZ3448" i="10"/>
  <c r="AZ3462" i="10"/>
  <c r="AZ3476" i="10"/>
  <c r="AZ3492" i="10"/>
  <c r="AZ3506" i="10"/>
  <c r="AZ3520" i="10"/>
  <c r="AZ3534" i="10"/>
  <c r="AZ3548" i="10"/>
  <c r="AZ3564" i="10"/>
  <c r="AZ3578" i="10"/>
  <c r="AZ3592" i="10"/>
  <c r="AZ3606" i="10"/>
  <c r="AZ3620" i="10"/>
  <c r="AZ3636" i="10"/>
  <c r="AZ3650" i="10"/>
  <c r="AZ3664" i="10"/>
  <c r="AZ3678" i="10"/>
  <c r="AZ3692" i="10"/>
  <c r="AZ3708" i="10"/>
  <c r="AZ3722" i="10"/>
  <c r="AZ3736" i="10"/>
  <c r="AZ3750" i="10"/>
  <c r="AZ3764" i="10"/>
  <c r="AZ3779" i="10"/>
  <c r="AZ3792" i="10"/>
  <c r="AZ3805" i="10"/>
  <c r="AZ3818" i="10"/>
  <c r="AZ3831" i="10"/>
  <c r="AZ3844" i="10"/>
  <c r="AZ3857" i="10"/>
  <c r="AZ3870" i="10"/>
  <c r="AZ3883" i="10"/>
  <c r="AZ3896" i="10"/>
  <c r="AZ3909" i="10"/>
  <c r="AZ3923" i="10"/>
  <c r="AZ3936" i="10"/>
  <c r="AZ3948" i="10"/>
  <c r="AZ3960" i="10"/>
  <c r="AZ3972" i="10"/>
  <c r="AZ3984" i="10"/>
  <c r="AZ3996" i="10"/>
  <c r="AZ4008" i="10"/>
  <c r="AZ4020" i="10"/>
  <c r="AZ4032" i="10"/>
  <c r="AZ4044" i="10"/>
  <c r="AZ4056" i="10"/>
  <c r="AZ4068" i="10"/>
  <c r="AZ4080" i="10"/>
  <c r="AZ4092" i="10"/>
  <c r="AZ4104" i="10"/>
  <c r="AZ4116" i="10"/>
  <c r="AZ4128" i="10"/>
  <c r="AZ4140" i="10"/>
  <c r="AZ4152" i="10"/>
  <c r="AZ4164" i="10"/>
  <c r="AZ4176" i="10"/>
  <c r="AZ4188" i="10"/>
  <c r="AZ4200" i="10"/>
  <c r="AZ4212" i="10"/>
  <c r="AZ4224" i="10"/>
  <c r="AZ4236" i="10"/>
  <c r="AZ4248" i="10"/>
  <c r="AZ4260" i="10"/>
  <c r="AZ4272" i="10"/>
  <c r="AZ4284" i="10"/>
  <c r="AZ4296" i="10"/>
  <c r="AZ4308" i="10"/>
  <c r="AZ4320" i="10"/>
  <c r="AZ4332" i="10"/>
  <c r="AZ4344" i="10"/>
  <c r="AZ4356" i="10"/>
  <c r="AZ4368" i="10"/>
  <c r="AZ4380" i="10"/>
  <c r="AZ4392" i="10"/>
  <c r="AZ4404" i="10"/>
  <c r="AZ4416" i="10"/>
  <c r="AZ4428" i="10"/>
  <c r="AZ4440" i="10"/>
  <c r="AZ4452" i="10"/>
  <c r="AZ4464" i="10"/>
  <c r="AZ4476" i="10"/>
  <c r="AZ4488" i="10"/>
  <c r="AZ4500" i="10"/>
  <c r="AZ4512" i="10"/>
  <c r="AZ4524" i="10"/>
  <c r="AZ4536" i="10"/>
  <c r="AZ4548" i="10"/>
  <c r="AZ4560" i="10"/>
  <c r="AZ4572" i="10"/>
  <c r="AZ4584" i="10"/>
  <c r="AZ4596" i="10"/>
  <c r="AZ4608" i="10"/>
  <c r="AZ4620" i="10"/>
  <c r="AZ4632" i="10"/>
  <c r="AZ4644" i="10"/>
  <c r="AZ4656" i="10"/>
  <c r="AZ4668" i="10"/>
  <c r="AZ4680" i="10"/>
  <c r="AZ4692" i="10"/>
  <c r="AZ4704" i="10"/>
  <c r="AZ4716" i="10"/>
  <c r="AZ4728" i="10"/>
  <c r="AZ4740" i="10"/>
  <c r="AZ4752" i="10"/>
  <c r="AZ4764" i="10"/>
  <c r="AZ4776" i="10"/>
  <c r="AZ4788" i="10"/>
  <c r="AZ4800" i="10"/>
  <c r="AZ4812" i="10"/>
  <c r="AZ4824" i="10"/>
  <c r="AZ4836" i="10"/>
  <c r="AZ4848" i="10"/>
  <c r="AZ4860" i="10"/>
  <c r="AZ4872" i="10"/>
  <c r="AZ4884" i="10"/>
  <c r="AZ4896" i="10"/>
  <c r="AZ4908" i="10"/>
  <c r="AZ4920" i="10"/>
  <c r="AZ4932" i="10"/>
  <c r="AZ4944" i="10"/>
  <c r="AZ4956" i="10"/>
  <c r="AZ4968" i="10"/>
  <c r="AZ4980" i="10"/>
  <c r="AZ4992" i="10"/>
  <c r="AZ5004" i="10"/>
  <c r="AZ5016" i="10"/>
  <c r="AZ5028" i="10"/>
  <c r="AZ5040" i="10"/>
  <c r="AZ5052" i="10"/>
  <c r="AZ5064" i="10"/>
  <c r="AZ5076" i="10"/>
  <c r="AZ5088" i="10"/>
  <c r="AZ5100" i="10"/>
  <c r="AZ5112" i="10"/>
  <c r="AZ5124" i="10"/>
  <c r="AZ5136" i="10"/>
  <c r="AZ5148" i="10"/>
  <c r="AZ5160" i="10"/>
  <c r="AZ5172" i="10"/>
  <c r="AZ5184" i="10"/>
  <c r="AZ5196" i="10"/>
  <c r="AZ5208" i="10"/>
  <c r="AZ85" i="10"/>
  <c r="AZ211" i="10"/>
  <c r="AZ303" i="10"/>
  <c r="AZ396" i="10"/>
  <c r="AZ491" i="10"/>
  <c r="AZ563" i="10"/>
  <c r="AZ636" i="10"/>
  <c r="AZ696" i="10"/>
  <c r="AZ748" i="10"/>
  <c r="AZ802" i="10"/>
  <c r="AZ844" i="10"/>
  <c r="AZ889" i="10"/>
  <c r="AZ931" i="10"/>
  <c r="AZ972" i="10"/>
  <c r="AZ1014" i="10"/>
  <c r="AZ1058" i="10"/>
  <c r="AZ1097" i="10"/>
  <c r="AZ1139" i="10"/>
  <c r="AZ1176" i="10"/>
  <c r="AZ1208" i="10"/>
  <c r="AZ1244" i="10"/>
  <c r="AZ1280" i="10"/>
  <c r="AZ1313" i="10"/>
  <c r="AZ1349" i="10"/>
  <c r="AZ1385" i="10"/>
  <c r="AZ1418" i="10"/>
  <c r="AZ1454" i="10"/>
  <c r="AZ1490" i="10"/>
  <c r="AZ1523" i="10"/>
  <c r="AZ1559" i="10"/>
  <c r="AZ1595" i="10"/>
  <c r="AZ1627" i="10"/>
  <c r="AZ1663" i="10"/>
  <c r="AZ1696" i="10"/>
  <c r="AZ1724" i="10"/>
  <c r="AZ1753" i="10"/>
  <c r="AZ1782" i="10"/>
  <c r="AZ1810" i="10"/>
  <c r="AZ1840" i="10"/>
  <c r="AZ1868" i="10"/>
  <c r="AZ1897" i="10"/>
  <c r="AZ1926" i="10"/>
  <c r="AZ1954" i="10"/>
  <c r="AZ1984" i="10"/>
  <c r="AZ2012" i="10"/>
  <c r="AZ2041" i="10"/>
  <c r="AZ2070" i="10"/>
  <c r="AZ2098" i="10"/>
  <c r="AZ2128" i="10"/>
  <c r="AZ2156" i="10"/>
  <c r="AZ2185" i="10"/>
  <c r="AZ2214" i="10"/>
  <c r="AZ2242" i="10"/>
  <c r="AZ2269" i="10"/>
  <c r="AZ2295" i="10"/>
  <c r="AZ2321" i="10"/>
  <c r="AZ2347" i="10"/>
  <c r="AZ2373" i="10"/>
  <c r="AZ2400" i="10"/>
  <c r="AZ2426" i="10"/>
  <c r="AZ2452" i="10"/>
  <c r="AZ2478" i="10"/>
  <c r="AZ2504" i="10"/>
  <c r="AZ2530" i="10"/>
  <c r="AZ2557" i="10"/>
  <c r="AZ2583" i="10"/>
  <c r="AZ2609" i="10"/>
  <c r="AZ2635" i="10"/>
  <c r="AZ2661" i="10"/>
  <c r="AZ2688" i="10"/>
  <c r="AZ2714" i="10"/>
  <c r="AZ2740" i="10"/>
  <c r="AZ2766" i="10"/>
  <c r="AZ2792" i="10"/>
  <c r="AZ2818" i="10"/>
  <c r="AZ2845" i="10"/>
  <c r="AZ2871" i="10"/>
  <c r="AZ2896" i="10"/>
  <c r="AZ2919" i="10"/>
  <c r="AZ2937" i="10"/>
  <c r="AZ2956" i="10"/>
  <c r="AZ2973" i="10"/>
  <c r="AZ2989" i="10"/>
  <c r="AZ3003" i="10"/>
  <c r="AZ3017" i="10"/>
  <c r="AZ3031" i="10"/>
  <c r="AZ3045" i="10"/>
  <c r="AZ3061" i="10"/>
  <c r="AZ3075" i="10"/>
  <c r="AZ3089" i="10"/>
  <c r="AZ3103" i="10"/>
  <c r="AZ3117" i="10"/>
  <c r="AZ3133" i="10"/>
  <c r="AZ3147" i="10"/>
  <c r="AZ3161" i="10"/>
  <c r="AZ3175" i="10"/>
  <c r="AZ3189" i="10"/>
  <c r="AZ3205" i="10"/>
  <c r="AZ3219" i="10"/>
  <c r="AZ3233" i="10"/>
  <c r="AZ3247" i="10"/>
  <c r="AZ3261" i="10"/>
  <c r="AZ3277" i="10"/>
  <c r="AZ3291" i="10"/>
  <c r="AZ3305" i="10"/>
  <c r="AZ3319" i="10"/>
  <c r="AZ3333" i="10"/>
  <c r="AZ3349" i="10"/>
  <c r="AZ3363" i="10"/>
  <c r="AZ3377" i="10"/>
  <c r="AZ3391" i="10"/>
  <c r="AZ3405" i="10"/>
  <c r="AZ3421" i="10"/>
  <c r="AZ3435" i="10"/>
  <c r="AZ3449" i="10"/>
  <c r="AZ3463" i="10"/>
  <c r="AZ3477" i="10"/>
  <c r="AZ3493" i="10"/>
  <c r="AZ3507" i="10"/>
  <c r="AZ3521" i="10"/>
  <c r="AZ3535" i="10"/>
  <c r="AZ3549" i="10"/>
  <c r="AZ3565" i="10"/>
  <c r="AZ3579" i="10"/>
  <c r="AZ3593" i="10"/>
  <c r="AZ3607" i="10"/>
  <c r="AZ3621" i="10"/>
  <c r="AZ3637" i="10"/>
  <c r="AZ3651" i="10"/>
  <c r="AZ3665" i="10"/>
  <c r="AZ3679" i="10"/>
  <c r="AZ3693" i="10"/>
  <c r="AZ3709" i="10"/>
  <c r="AZ3723" i="10"/>
  <c r="AZ3737" i="10"/>
  <c r="AZ3751" i="10"/>
  <c r="AZ3765" i="10"/>
  <c r="AZ3780" i="10"/>
  <c r="AZ3793" i="10"/>
  <c r="AZ3806" i="10"/>
  <c r="AZ3819" i="10"/>
  <c r="AZ3832" i="10"/>
  <c r="AZ3845" i="10"/>
  <c r="AZ3858" i="10"/>
  <c r="AZ3871" i="10"/>
  <c r="AZ3884" i="10"/>
  <c r="AZ3897" i="10"/>
  <c r="AZ3911" i="10"/>
  <c r="AZ3924" i="10"/>
  <c r="AZ3937" i="10"/>
  <c r="AZ3949" i="10"/>
  <c r="AZ3961" i="10"/>
  <c r="AZ3973" i="10"/>
  <c r="AZ3985" i="10"/>
  <c r="AZ3997" i="10"/>
  <c r="AZ4009" i="10"/>
  <c r="AZ4021" i="10"/>
  <c r="AZ4033" i="10"/>
  <c r="AZ4045" i="10"/>
  <c r="AZ4057" i="10"/>
  <c r="AZ4069" i="10"/>
  <c r="AZ4081" i="10"/>
  <c r="AZ4093" i="10"/>
  <c r="AZ4105" i="10"/>
  <c r="AZ4117" i="10"/>
  <c r="AZ4129" i="10"/>
  <c r="AZ4141" i="10"/>
  <c r="AZ4153" i="10"/>
  <c r="AZ4165" i="10"/>
  <c r="AZ4177" i="10"/>
  <c r="AZ4189" i="10"/>
  <c r="AZ4201" i="10"/>
  <c r="AZ4213" i="10"/>
  <c r="AZ4225" i="10"/>
  <c r="AZ4237" i="10"/>
  <c r="AZ4249" i="10"/>
  <c r="AZ4261" i="10"/>
  <c r="AZ4273" i="10"/>
  <c r="AZ4285" i="10"/>
  <c r="AZ4297" i="10"/>
  <c r="AZ4309" i="10"/>
  <c r="AZ4321" i="10"/>
  <c r="AZ4333" i="10"/>
  <c r="AZ4345" i="10"/>
  <c r="AZ4357" i="10"/>
  <c r="AZ4369" i="10"/>
  <c r="AZ4381" i="10"/>
  <c r="AZ4393" i="10"/>
  <c r="AZ4405" i="10"/>
  <c r="AZ4417" i="10"/>
  <c r="AZ4429" i="10"/>
  <c r="AZ4441" i="10"/>
  <c r="AZ4453" i="10"/>
  <c r="AZ4465" i="10"/>
  <c r="AZ4477" i="10"/>
  <c r="AZ4489" i="10"/>
  <c r="AZ4501" i="10"/>
  <c r="AZ4513" i="10"/>
  <c r="AZ4525" i="10"/>
  <c r="AZ4537" i="10"/>
  <c r="AZ4549" i="10"/>
  <c r="AZ4561" i="10"/>
  <c r="AZ4573" i="10"/>
  <c r="AZ4585" i="10"/>
  <c r="AZ4597" i="10"/>
  <c r="AZ4609" i="10"/>
  <c r="AZ4621" i="10"/>
  <c r="AZ4633" i="10"/>
  <c r="AZ4645" i="10"/>
  <c r="AZ4657" i="10"/>
  <c r="AZ4669" i="10"/>
  <c r="AZ4681" i="10"/>
  <c r="AZ4693" i="10"/>
  <c r="AZ4705" i="10"/>
  <c r="AZ4717" i="10"/>
  <c r="AZ4729" i="10"/>
  <c r="AZ4741" i="10"/>
  <c r="AZ122" i="10"/>
  <c r="AZ327" i="10"/>
  <c r="AZ509" i="10"/>
  <c r="AZ653" i="10"/>
  <c r="AZ768" i="10"/>
  <c r="AZ858" i="10"/>
  <c r="AZ942" i="10"/>
  <c r="AZ1027" i="10"/>
  <c r="AZ1110" i="10"/>
  <c r="AZ1184" i="10"/>
  <c r="AZ1255" i="10"/>
  <c r="AZ1324" i="10"/>
  <c r="AZ1394" i="10"/>
  <c r="AZ1465" i="10"/>
  <c r="AZ1533" i="10"/>
  <c r="AZ1603" i="10"/>
  <c r="AZ1673" i="10"/>
  <c r="AZ1733" i="10"/>
  <c r="AZ1791" i="10"/>
  <c r="AZ1848" i="10"/>
  <c r="AZ1905" i="10"/>
  <c r="AZ1963" i="10"/>
  <c r="AZ2021" i="10"/>
  <c r="AZ2079" i="10"/>
  <c r="AZ2136" i="10"/>
  <c r="AZ2193" i="10"/>
  <c r="AZ2250" i="10"/>
  <c r="AZ2302" i="10"/>
  <c r="AZ2355" i="10"/>
  <c r="AZ2407" i="10"/>
  <c r="AZ2460" i="10"/>
  <c r="AZ2512" i="10"/>
  <c r="AZ2564" i="10"/>
  <c r="AZ2617" i="10"/>
  <c r="AZ2669" i="10"/>
  <c r="AZ2721" i="10"/>
  <c r="AZ2774" i="10"/>
  <c r="AZ2826" i="10"/>
  <c r="AZ2878" i="10"/>
  <c r="AZ2920" i="10"/>
  <c r="AZ2957" i="10"/>
  <c r="AZ2990" i="10"/>
  <c r="AZ3018" i="10"/>
  <c r="AZ3048" i="10"/>
  <c r="AZ3076" i="10"/>
  <c r="AZ3104" i="10"/>
  <c r="AZ3134" i="10"/>
  <c r="AZ3162" i="10"/>
  <c r="AZ3192" i="10"/>
  <c r="AZ3220" i="10"/>
  <c r="AZ3248" i="10"/>
  <c r="AZ3278" i="10"/>
  <c r="AZ3306" i="10"/>
  <c r="AZ3336" i="10"/>
  <c r="AZ3364" i="10"/>
  <c r="AZ3392" i="10"/>
  <c r="AZ3422" i="10"/>
  <c r="AZ3450" i="10"/>
  <c r="AZ3480" i="10"/>
  <c r="AZ3508" i="10"/>
  <c r="AZ3536" i="10"/>
  <c r="AZ3566" i="10"/>
  <c r="AZ3594" i="10"/>
  <c r="AZ3624" i="10"/>
  <c r="AZ3652" i="10"/>
  <c r="AZ3680" i="10"/>
  <c r="AZ3710" i="10"/>
  <c r="AZ3738" i="10"/>
  <c r="AZ3768" i="10"/>
  <c r="AZ3794" i="10"/>
  <c r="AZ3820" i="10"/>
  <c r="AZ3846" i="10"/>
  <c r="AZ3872" i="10"/>
  <c r="AZ3899" i="10"/>
  <c r="AZ3925" i="10"/>
  <c r="AZ3950" i="10"/>
  <c r="AZ3974" i="10"/>
  <c r="AZ3998" i="10"/>
  <c r="AZ4022" i="10"/>
  <c r="AZ4046" i="10"/>
  <c r="AZ4070" i="10"/>
  <c r="AZ4094" i="10"/>
  <c r="AZ4118" i="10"/>
  <c r="AZ4142" i="10"/>
  <c r="AZ4166" i="10"/>
  <c r="AZ4190" i="10"/>
  <c r="AZ4214" i="10"/>
  <c r="AZ4238" i="10"/>
  <c r="AZ4262" i="10"/>
  <c r="AZ4286" i="10"/>
  <c r="AZ4310" i="10"/>
  <c r="AZ4334" i="10"/>
  <c r="AZ4358" i="10"/>
  <c r="AZ4382" i="10"/>
  <c r="AZ4406" i="10"/>
  <c r="AZ4430" i="10"/>
  <c r="AZ4454" i="10"/>
  <c r="AZ4478" i="10"/>
  <c r="AZ4502" i="10"/>
  <c r="AZ4526" i="10"/>
  <c r="AZ4550" i="10"/>
  <c r="AZ4574" i="10"/>
  <c r="AZ4598" i="10"/>
  <c r="AZ4622" i="10"/>
  <c r="AZ4646" i="10"/>
  <c r="AZ4670" i="10"/>
  <c r="AZ4694" i="10"/>
  <c r="AZ4718" i="10"/>
  <c r="AZ4742" i="10"/>
  <c r="AZ4759" i="10"/>
  <c r="AZ4779" i="10"/>
  <c r="AZ4793" i="10"/>
  <c r="AZ4807" i="10"/>
  <c r="AZ4821" i="10"/>
  <c r="AZ4837" i="10"/>
  <c r="AZ4851" i="10"/>
  <c r="AZ4865" i="10"/>
  <c r="AZ4879" i="10"/>
  <c r="AZ4893" i="10"/>
  <c r="AZ4909" i="10"/>
  <c r="AZ4923" i="10"/>
  <c r="AZ4937" i="10"/>
  <c r="AZ4951" i="10"/>
  <c r="AZ4965" i="10"/>
  <c r="AZ4981" i="10"/>
  <c r="AZ4995" i="10"/>
  <c r="AZ5009" i="10"/>
  <c r="AZ5023" i="10"/>
  <c r="AZ5037" i="10"/>
  <c r="AZ5053" i="10"/>
  <c r="AZ5067" i="10"/>
  <c r="AZ5081" i="10"/>
  <c r="AZ5095" i="10"/>
  <c r="AZ5109" i="10"/>
  <c r="AZ5125" i="10"/>
  <c r="AZ5139" i="10"/>
  <c r="AZ5153" i="10"/>
  <c r="AZ5167" i="10"/>
  <c r="AZ5181" i="10"/>
  <c r="AZ5197" i="10"/>
  <c r="AZ5211" i="10"/>
  <c r="AZ123" i="10"/>
  <c r="AZ335" i="10"/>
  <c r="AZ515" i="10"/>
  <c r="AZ659" i="10"/>
  <c r="AZ769" i="10"/>
  <c r="AZ859" i="10"/>
  <c r="AZ947" i="10"/>
  <c r="AZ1030" i="10"/>
  <c r="AZ1111" i="10"/>
  <c r="AZ1188" i="10"/>
  <c r="AZ1256" i="10"/>
  <c r="AZ1325" i="10"/>
  <c r="AZ1397" i="10"/>
  <c r="AZ1466" i="10"/>
  <c r="AZ1535" i="10"/>
  <c r="AZ1607" i="10"/>
  <c r="AZ1674" i="10"/>
  <c r="AZ1734" i="10"/>
  <c r="AZ1792" i="10"/>
  <c r="AZ1849" i="10"/>
  <c r="AZ1906" i="10"/>
  <c r="AZ1964" i="10"/>
  <c r="AZ2022" i="10"/>
  <c r="AZ2080" i="10"/>
  <c r="AZ2137" i="10"/>
  <c r="AZ2194" i="10"/>
  <c r="AZ2251" i="10"/>
  <c r="AZ2304" i="10"/>
  <c r="AZ2356" i="10"/>
  <c r="AZ2408" i="10"/>
  <c r="AZ2461" i="10"/>
  <c r="AZ2513" i="10"/>
  <c r="AZ2565" i="10"/>
  <c r="AZ2618" i="10"/>
  <c r="AZ2670" i="10"/>
  <c r="AZ2722" i="10"/>
  <c r="AZ2775" i="10"/>
  <c r="AZ2827" i="10"/>
  <c r="AZ2880" i="10"/>
  <c r="AZ2921" i="10"/>
  <c r="AZ2958" i="10"/>
  <c r="AZ2991" i="10"/>
  <c r="AZ3019" i="10"/>
  <c r="AZ3049" i="10"/>
  <c r="AZ3077" i="10"/>
  <c r="AZ3105" i="10"/>
  <c r="AZ3135" i="10"/>
  <c r="AZ3163" i="10"/>
  <c r="AZ3193" i="10"/>
  <c r="AZ3221" i="10"/>
  <c r="AZ3249" i="10"/>
  <c r="AZ3279" i="10"/>
  <c r="AZ3307" i="10"/>
  <c r="AZ3337" i="10"/>
  <c r="AZ3365" i="10"/>
  <c r="AZ3393" i="10"/>
  <c r="AZ3423" i="10"/>
  <c r="AZ3451" i="10"/>
  <c r="AZ3481" i="10"/>
  <c r="AZ3509" i="10"/>
  <c r="AZ3537" i="10"/>
  <c r="AZ3567" i="10"/>
  <c r="AZ3595" i="10"/>
  <c r="AZ3625" i="10"/>
  <c r="AZ3653" i="10"/>
  <c r="AZ3681" i="10"/>
  <c r="AZ3711" i="10"/>
  <c r="AZ3739" i="10"/>
  <c r="AZ3769" i="10"/>
  <c r="AZ3795" i="10"/>
  <c r="AZ3821" i="10"/>
  <c r="AZ3847" i="10"/>
  <c r="AZ3873" i="10"/>
  <c r="AZ3900" i="10"/>
  <c r="AZ3926" i="10"/>
  <c r="AZ3951" i="10"/>
  <c r="AZ3975" i="10"/>
  <c r="AZ3999" i="10"/>
  <c r="AZ4023" i="10"/>
  <c r="AZ4047" i="10"/>
  <c r="AZ4071" i="10"/>
  <c r="AZ4095" i="10"/>
  <c r="AZ4119" i="10"/>
  <c r="AZ4143" i="10"/>
  <c r="AZ4167" i="10"/>
  <c r="AZ4191" i="10"/>
  <c r="AZ4215" i="10"/>
  <c r="AZ4239" i="10"/>
  <c r="AZ4263" i="10"/>
  <c r="AZ4287" i="10"/>
  <c r="AZ4311" i="10"/>
  <c r="AZ4335" i="10"/>
  <c r="AZ4359" i="10"/>
  <c r="AZ4383" i="10"/>
  <c r="AZ4407" i="10"/>
  <c r="AZ4431" i="10"/>
  <c r="AZ4455" i="10"/>
  <c r="AZ4479" i="10"/>
  <c r="AZ4503" i="10"/>
  <c r="AZ4527" i="10"/>
  <c r="AZ4551" i="10"/>
  <c r="AZ4575" i="10"/>
  <c r="AZ4599" i="10"/>
  <c r="AZ4623" i="10"/>
  <c r="AZ4647" i="10"/>
  <c r="AZ4671" i="10"/>
  <c r="AZ4695" i="10"/>
  <c r="AZ4719" i="10"/>
  <c r="AZ4743" i="10"/>
  <c r="AZ4765" i="10"/>
  <c r="AZ4780" i="10"/>
  <c r="AZ4794" i="10"/>
  <c r="AZ4808" i="10"/>
  <c r="AZ4822" i="10"/>
  <c r="AZ4838" i="10"/>
  <c r="AZ4852" i="10"/>
  <c r="AZ4866" i="10"/>
  <c r="AZ4880" i="10"/>
  <c r="AZ4894" i="10"/>
  <c r="AZ4910" i="10"/>
  <c r="AZ4924" i="10"/>
  <c r="AZ4938" i="10"/>
  <c r="AZ4952" i="10"/>
  <c r="AZ4966" i="10"/>
  <c r="AZ4982" i="10"/>
  <c r="AZ4996" i="10"/>
  <c r="AZ5010" i="10"/>
  <c r="AZ5024" i="10"/>
  <c r="AZ5038" i="10"/>
  <c r="AZ5054" i="10"/>
  <c r="AZ5068" i="10"/>
  <c r="AZ5082" i="10"/>
  <c r="AZ5096" i="10"/>
  <c r="AZ5110" i="10"/>
  <c r="AZ5126" i="10"/>
  <c r="AZ5140" i="10"/>
  <c r="AZ5154" i="10"/>
  <c r="AZ5168" i="10"/>
  <c r="AZ5182" i="10"/>
  <c r="AZ5198" i="10"/>
  <c r="AZ5212" i="10"/>
  <c r="AZ144" i="10"/>
  <c r="AZ336" i="10"/>
  <c r="AZ516" i="10"/>
  <c r="AZ660" i="10"/>
  <c r="AZ770" i="10"/>
  <c r="AZ862" i="10"/>
  <c r="AZ948" i="10"/>
  <c r="AZ1031" i="10"/>
  <c r="AZ1114" i="10"/>
  <c r="AZ1189" i="10"/>
  <c r="AZ1257" i="10"/>
  <c r="AZ1326" i="10"/>
  <c r="AZ1398" i="10"/>
  <c r="AZ1467" i="10"/>
  <c r="AZ1536" i="10"/>
  <c r="AZ1608" i="10"/>
  <c r="AZ1675" i="10"/>
  <c r="AZ1735" i="10"/>
  <c r="AZ1793" i="10"/>
  <c r="AZ1851" i="10"/>
  <c r="AZ1908" i="10"/>
  <c r="AZ1965" i="10"/>
  <c r="AZ2023" i="10"/>
  <c r="AZ2081" i="10"/>
  <c r="AZ2139" i="10"/>
  <c r="AZ2196" i="10"/>
  <c r="AZ2252" i="10"/>
  <c r="AZ2305" i="10"/>
  <c r="AZ2357" i="10"/>
  <c r="AZ2409" i="10"/>
  <c r="AZ2462" i="10"/>
  <c r="AZ2514" i="10"/>
  <c r="AZ2566" i="10"/>
  <c r="AZ2619" i="10"/>
  <c r="AZ2671" i="10"/>
  <c r="AZ2724" i="10"/>
  <c r="AZ2776" i="10"/>
  <c r="AZ2828" i="10"/>
  <c r="AZ2881" i="10"/>
  <c r="AZ2922" i="10"/>
  <c r="AZ2960" i="10"/>
  <c r="AZ2992" i="10"/>
  <c r="AZ3020" i="10"/>
  <c r="AZ3050" i="10"/>
  <c r="AZ3078" i="10"/>
  <c r="AZ3108" i="10"/>
  <c r="AZ3136" i="10"/>
  <c r="AZ3164" i="10"/>
  <c r="AZ3194" i="10"/>
  <c r="AZ3222" i="10"/>
  <c r="AZ3252" i="10"/>
  <c r="AZ3280" i="10"/>
  <c r="AZ3308" i="10"/>
  <c r="AZ3338" i="10"/>
  <c r="AZ3366" i="10"/>
  <c r="AZ3396" i="10"/>
  <c r="AZ3424" i="10"/>
  <c r="AZ3452" i="10"/>
  <c r="AZ3482" i="10"/>
  <c r="AZ3510" i="10"/>
  <c r="AZ3540" i="10"/>
  <c r="AZ3568" i="10"/>
  <c r="AZ3596" i="10"/>
  <c r="AZ3626" i="10"/>
  <c r="AZ3654" i="10"/>
  <c r="AZ3684" i="10"/>
  <c r="AZ3712" i="10"/>
  <c r="AZ3740" i="10"/>
  <c r="AZ3770" i="10"/>
  <c r="AZ3796" i="10"/>
  <c r="AZ3822" i="10"/>
  <c r="AZ3848" i="10"/>
  <c r="AZ3875" i="10"/>
  <c r="AZ3901" i="10"/>
  <c r="AZ3927" i="10"/>
  <c r="AZ3952" i="10"/>
  <c r="AZ3976" i="10"/>
  <c r="AZ4000" i="10"/>
  <c r="AZ4024" i="10"/>
  <c r="AZ4048" i="10"/>
  <c r="AZ4072" i="10"/>
  <c r="AZ4096" i="10"/>
  <c r="AZ4120" i="10"/>
  <c r="AZ4144" i="10"/>
  <c r="AZ4168" i="10"/>
  <c r="AZ4192" i="10"/>
  <c r="AZ4216" i="10"/>
  <c r="AZ4240" i="10"/>
  <c r="AZ4264" i="10"/>
  <c r="AZ4288" i="10"/>
  <c r="AZ4312" i="10"/>
  <c r="AZ4336" i="10"/>
  <c r="AZ4360" i="10"/>
  <c r="AZ4384" i="10"/>
  <c r="AZ4408" i="10"/>
  <c r="AZ4432" i="10"/>
  <c r="AZ4456" i="10"/>
  <c r="AZ4480" i="10"/>
  <c r="AZ4504" i="10"/>
  <c r="AZ4528" i="10"/>
  <c r="AZ4552" i="10"/>
  <c r="AZ4576" i="10"/>
  <c r="AZ4600" i="10"/>
  <c r="AZ4624" i="10"/>
  <c r="AZ4648" i="10"/>
  <c r="AZ4672" i="10"/>
  <c r="AZ4696" i="10"/>
  <c r="AZ4720" i="10"/>
  <c r="AZ4744" i="10"/>
  <c r="AZ4766" i="10"/>
  <c r="AZ4781" i="10"/>
  <c r="AZ4795" i="10"/>
  <c r="AZ4809" i="10"/>
  <c r="AZ4825" i="10"/>
  <c r="AZ4839" i="10"/>
  <c r="AZ4853" i="10"/>
  <c r="AZ4867" i="10"/>
  <c r="AZ4881" i="10"/>
  <c r="AZ4897" i="10"/>
  <c r="AZ4911" i="10"/>
  <c r="AZ4925" i="10"/>
  <c r="AZ4939" i="10"/>
  <c r="AZ4953" i="10"/>
  <c r="AZ4969" i="10"/>
  <c r="AZ4983" i="10"/>
  <c r="AZ4997" i="10"/>
  <c r="AZ5011" i="10"/>
  <c r="AZ5025" i="10"/>
  <c r="AZ5041" i="10"/>
  <c r="AZ5055" i="10"/>
  <c r="AZ5069" i="10"/>
  <c r="AZ5083" i="10"/>
  <c r="AZ5097" i="10"/>
  <c r="AZ5113" i="10"/>
  <c r="AZ5127" i="10"/>
  <c r="AZ5141" i="10"/>
  <c r="AZ5155" i="10"/>
  <c r="AZ5169" i="10"/>
  <c r="AZ5185" i="10"/>
  <c r="AZ5199" i="10"/>
  <c r="AZ5213" i="10"/>
  <c r="AZ145" i="10"/>
  <c r="AZ337" i="10"/>
  <c r="AZ517" i="10"/>
  <c r="AZ661" i="10"/>
  <c r="AZ771" i="10"/>
  <c r="AZ864" i="10"/>
  <c r="AZ949" i="10"/>
  <c r="AZ1032" i="10"/>
  <c r="AZ1116" i="10"/>
  <c r="AZ1190" i="10"/>
  <c r="AZ1259" i="10"/>
  <c r="AZ1328" i="10"/>
  <c r="AZ1399" i="10"/>
  <c r="AZ1468" i="10"/>
  <c r="AZ1538" i="10"/>
  <c r="AZ1609" i="10"/>
  <c r="AZ1676" i="10"/>
  <c r="AZ1736" i="10"/>
  <c r="AZ1794" i="10"/>
  <c r="AZ1852" i="10"/>
  <c r="AZ1909" i="10"/>
  <c r="AZ1966" i="10"/>
  <c r="AZ2024" i="10"/>
  <c r="AZ2082" i="10"/>
  <c r="AZ2140" i="10"/>
  <c r="AZ2197" i="10"/>
  <c r="AZ2253" i="10"/>
  <c r="AZ2306" i="10"/>
  <c r="AZ2358" i="10"/>
  <c r="AZ2410" i="10"/>
  <c r="AZ2463" i="10"/>
  <c r="AZ2515" i="10"/>
  <c r="AZ2568" i="10"/>
  <c r="AZ2620" i="10"/>
  <c r="AZ2672" i="10"/>
  <c r="AZ2725" i="10"/>
  <c r="AZ2777" i="10"/>
  <c r="AZ2829" i="10"/>
  <c r="AZ2882" i="10"/>
  <c r="AZ2924" i="10"/>
  <c r="AZ2961" i="10"/>
  <c r="AZ2993" i="10"/>
  <c r="AZ3021" i="10"/>
  <c r="AZ3051" i="10"/>
  <c r="AZ3079" i="10"/>
  <c r="AZ3109" i="10"/>
  <c r="AZ3137" i="10"/>
  <c r="AZ3165" i="10"/>
  <c r="AZ3195" i="10"/>
  <c r="AZ3223" i="10"/>
  <c r="AZ3253" i="10"/>
  <c r="AZ3281" i="10"/>
  <c r="AZ3309" i="10"/>
  <c r="AZ3339" i="10"/>
  <c r="AZ3367" i="10"/>
  <c r="AZ3397" i="10"/>
  <c r="AZ3425" i="10"/>
  <c r="AZ3453" i="10"/>
  <c r="AZ3483" i="10"/>
  <c r="AZ3511" i="10"/>
  <c r="AZ3541" i="10"/>
  <c r="AZ3569" i="10"/>
  <c r="AZ3597" i="10"/>
  <c r="AZ3627" i="10"/>
  <c r="AZ3655" i="10"/>
  <c r="AZ3685" i="10"/>
  <c r="AZ3713" i="10"/>
  <c r="AZ3741" i="10"/>
  <c r="AZ3771" i="10"/>
  <c r="AZ3797" i="10"/>
  <c r="AZ3823" i="10"/>
  <c r="AZ3849" i="10"/>
  <c r="AZ3876" i="10"/>
  <c r="AZ3902" i="10"/>
  <c r="AZ3928" i="10"/>
  <c r="AZ3953" i="10"/>
  <c r="AZ3977" i="10"/>
  <c r="AZ4001" i="10"/>
  <c r="AZ4025" i="10"/>
  <c r="AZ4049" i="10"/>
  <c r="AZ4073" i="10"/>
  <c r="AZ4097" i="10"/>
  <c r="AZ4121" i="10"/>
  <c r="AZ4145" i="10"/>
  <c r="AZ4169" i="10"/>
  <c r="AZ4193" i="10"/>
  <c r="AZ4217" i="10"/>
  <c r="AZ4241" i="10"/>
  <c r="AZ4265" i="10"/>
  <c r="AZ4289" i="10"/>
  <c r="AZ4313" i="10"/>
  <c r="AZ4337" i="10"/>
  <c r="AZ4361" i="10"/>
  <c r="AZ4385" i="10"/>
  <c r="AZ4409" i="10"/>
  <c r="AZ4433" i="10"/>
  <c r="AZ4457" i="10"/>
  <c r="AZ4481" i="10"/>
  <c r="AZ4505" i="10"/>
  <c r="AZ4529" i="10"/>
  <c r="AZ4553" i="10"/>
  <c r="AZ4577" i="10"/>
  <c r="AZ4601" i="10"/>
  <c r="AZ4625" i="10"/>
  <c r="AZ4649" i="10"/>
  <c r="AZ4673" i="10"/>
  <c r="AZ4697" i="10"/>
  <c r="AZ4721" i="10"/>
  <c r="AZ4745" i="10"/>
  <c r="AZ4767" i="10"/>
  <c r="AZ4782" i="10"/>
  <c r="AZ4796" i="10"/>
  <c r="AZ4810" i="10"/>
  <c r="AZ4826" i="10"/>
  <c r="AZ4840" i="10"/>
  <c r="AZ4854" i="10"/>
  <c r="AZ4868" i="10"/>
  <c r="AZ4882" i="10"/>
  <c r="AZ4898" i="10"/>
  <c r="AZ4912" i="10"/>
  <c r="AZ4926" i="10"/>
  <c r="AZ4940" i="10"/>
  <c r="AZ4954" i="10"/>
  <c r="AZ4970" i="10"/>
  <c r="AZ4984" i="10"/>
  <c r="AZ4998" i="10"/>
  <c r="AZ5012" i="10"/>
  <c r="AZ5026" i="10"/>
  <c r="AZ5042" i="10"/>
  <c r="AZ5056" i="10"/>
  <c r="AZ5070" i="10"/>
  <c r="AZ5084" i="10"/>
  <c r="AZ5098" i="10"/>
  <c r="AZ5114" i="10"/>
  <c r="AZ5128" i="10"/>
  <c r="AZ5142" i="10"/>
  <c r="AZ5156" i="10"/>
  <c r="AZ5170" i="10"/>
  <c r="AZ5186" i="10"/>
  <c r="AZ5200" i="10"/>
  <c r="AZ5214" i="10"/>
  <c r="AZ146" i="10"/>
  <c r="AZ346" i="10"/>
  <c r="AZ521" i="10"/>
  <c r="AZ665" i="10"/>
  <c r="AZ772" i="10"/>
  <c r="AZ868" i="10"/>
  <c r="AZ950" i="10"/>
  <c r="AZ1033" i="10"/>
  <c r="AZ1119" i="10"/>
  <c r="AZ1191" i="10"/>
  <c r="AZ1260" i="10"/>
  <c r="AZ1332" i="10"/>
  <c r="AZ1400" i="10"/>
  <c r="AZ1469" i="10"/>
  <c r="AZ1541" i="10"/>
  <c r="AZ1610" i="10"/>
  <c r="AZ1677" i="10"/>
  <c r="AZ1737" i="10"/>
  <c r="AZ1795" i="10"/>
  <c r="AZ1853" i="10"/>
  <c r="AZ1911" i="10"/>
  <c r="AZ1968" i="10"/>
  <c r="AZ2025" i="10"/>
  <c r="AZ2083" i="10"/>
  <c r="AZ2141" i="10"/>
  <c r="AZ2199" i="10"/>
  <c r="AZ2254" i="10"/>
  <c r="AZ2307" i="10"/>
  <c r="AZ2359" i="10"/>
  <c r="AZ2412" i="10"/>
  <c r="AZ2464" i="10"/>
  <c r="AZ2516" i="10"/>
  <c r="AZ2569" i="10"/>
  <c r="AZ2621" i="10"/>
  <c r="AZ2673" i="10"/>
  <c r="AZ2726" i="10"/>
  <c r="AZ2778" i="10"/>
  <c r="AZ2830" i="10"/>
  <c r="AZ2883" i="10"/>
  <c r="AZ2929" i="10"/>
  <c r="AZ2965" i="10"/>
  <c r="AZ2994" i="10"/>
  <c r="AZ3024" i="10"/>
  <c r="AZ3052" i="10"/>
  <c r="AZ3080" i="10"/>
  <c r="AZ3110" i="10"/>
  <c r="AZ3138" i="10"/>
  <c r="AZ3168" i="10"/>
  <c r="AZ3196" i="10"/>
  <c r="AZ3224" i="10"/>
  <c r="AZ3254" i="10"/>
  <c r="AZ3282" i="10"/>
  <c r="AZ3312" i="10"/>
  <c r="AZ3340" i="10"/>
  <c r="AZ3368" i="10"/>
  <c r="AZ3398" i="10"/>
  <c r="AZ3426" i="10"/>
  <c r="AZ3456" i="10"/>
  <c r="AZ3484" i="10"/>
  <c r="AZ3512" i="10"/>
  <c r="AZ3542" i="10"/>
  <c r="AZ3570" i="10"/>
  <c r="AZ3600" i="10"/>
  <c r="AZ3628" i="10"/>
  <c r="AZ3656" i="10"/>
  <c r="AZ3686" i="10"/>
  <c r="AZ3714" i="10"/>
  <c r="AZ3744" i="10"/>
  <c r="AZ3772" i="10"/>
  <c r="AZ3798" i="10"/>
  <c r="AZ3824" i="10"/>
  <c r="AZ3851" i="10"/>
  <c r="AZ3877" i="10"/>
  <c r="AZ3903" i="10"/>
  <c r="AZ3929" i="10"/>
  <c r="AZ3954" i="10"/>
  <c r="AZ3978" i="10"/>
  <c r="AZ4002" i="10"/>
  <c r="AZ4026" i="10"/>
  <c r="AZ4050" i="10"/>
  <c r="AZ4074" i="10"/>
  <c r="AZ4098" i="10"/>
  <c r="AZ4122" i="10"/>
  <c r="AZ4146" i="10"/>
  <c r="AZ4170" i="10"/>
  <c r="AZ4194" i="10"/>
  <c r="AZ4218" i="10"/>
  <c r="AZ4242" i="10"/>
  <c r="AZ4266" i="10"/>
  <c r="AZ4290" i="10"/>
  <c r="AZ4314" i="10"/>
  <c r="AZ4338" i="10"/>
  <c r="AZ4362" i="10"/>
  <c r="AZ4386" i="10"/>
  <c r="AZ4410" i="10"/>
  <c r="AZ4434" i="10"/>
  <c r="AZ4458" i="10"/>
  <c r="AZ4482" i="10"/>
  <c r="AZ4506" i="10"/>
  <c r="AZ4530" i="10"/>
  <c r="AZ4554" i="10"/>
  <c r="AZ4578" i="10"/>
  <c r="AZ4602" i="10"/>
  <c r="AZ4626" i="10"/>
  <c r="AZ4650" i="10"/>
  <c r="AZ4674" i="10"/>
  <c r="AZ4698" i="10"/>
  <c r="AZ4722" i="10"/>
  <c r="AZ4746" i="10"/>
  <c r="AZ4768" i="10"/>
  <c r="AZ4783" i="10"/>
  <c r="AZ4797" i="10"/>
  <c r="AZ4813" i="10"/>
  <c r="AZ4827" i="10"/>
  <c r="AZ4841" i="10"/>
  <c r="AZ4855" i="10"/>
  <c r="AZ4869" i="10"/>
  <c r="AZ4885" i="10"/>
  <c r="AZ4899" i="10"/>
  <c r="AZ4913" i="10"/>
  <c r="AZ4927" i="10"/>
  <c r="AZ4941" i="10"/>
  <c r="AZ4957" i="10"/>
  <c r="AZ4971" i="10"/>
  <c r="AZ4985" i="10"/>
  <c r="AZ4999" i="10"/>
  <c r="AZ5013" i="10"/>
  <c r="AZ5029" i="10"/>
  <c r="AZ5043" i="10"/>
  <c r="AZ5057" i="10"/>
  <c r="AZ5071" i="10"/>
  <c r="AZ5085" i="10"/>
  <c r="AZ5101" i="10"/>
  <c r="AZ5115" i="10"/>
  <c r="AZ5129" i="10"/>
  <c r="AZ5143" i="10"/>
  <c r="AZ5157" i="10"/>
  <c r="AZ5173" i="10"/>
  <c r="AZ5187" i="10"/>
  <c r="AZ5201" i="10"/>
  <c r="AZ5215" i="10"/>
  <c r="AZ147" i="10"/>
  <c r="AZ347" i="10"/>
  <c r="AZ523" i="10"/>
  <c r="AZ667" i="10"/>
  <c r="AZ773" i="10"/>
  <c r="AZ869" i="10"/>
  <c r="AZ952" i="10"/>
  <c r="AZ1034" i="10"/>
  <c r="AZ1120" i="10"/>
  <c r="AZ1192" i="10"/>
  <c r="AZ1261" i="10"/>
  <c r="AZ1333" i="10"/>
  <c r="AZ1401" i="10"/>
  <c r="AZ1470" i="10"/>
  <c r="AZ1542" i="10"/>
  <c r="AZ1611" i="10"/>
  <c r="AZ1678" i="10"/>
  <c r="AZ1738" i="10"/>
  <c r="AZ1796" i="10"/>
  <c r="AZ1854" i="10"/>
  <c r="AZ1912" i="10"/>
  <c r="AZ1969" i="10"/>
  <c r="AZ2026" i="10"/>
  <c r="AZ2084" i="10"/>
  <c r="AZ2142" i="10"/>
  <c r="AZ2200" i="10"/>
  <c r="AZ2256" i="10"/>
  <c r="AZ2308" i="10"/>
  <c r="AZ2360" i="10"/>
  <c r="AZ2413" i="10"/>
  <c r="AZ2465" i="10"/>
  <c r="AZ2517" i="10"/>
  <c r="AZ2570" i="10"/>
  <c r="AZ2622" i="10"/>
  <c r="AZ2674" i="10"/>
  <c r="AZ2727" i="10"/>
  <c r="AZ2779" i="10"/>
  <c r="AZ2832" i="10"/>
  <c r="AZ2884" i="10"/>
  <c r="AZ2930" i="10"/>
  <c r="AZ2966" i="10"/>
  <c r="AZ2995" i="10"/>
  <c r="AZ3025" i="10"/>
  <c r="AZ3053" i="10"/>
  <c r="AZ3081" i="10"/>
  <c r="AZ3111" i="10"/>
  <c r="AZ3139" i="10"/>
  <c r="AZ3169" i="10"/>
  <c r="AZ3197" i="10"/>
  <c r="AZ3225" i="10"/>
  <c r="AZ3255" i="10"/>
  <c r="AZ3283" i="10"/>
  <c r="AZ3313" i="10"/>
  <c r="AZ3341" i="10"/>
  <c r="AZ3369" i="10"/>
  <c r="AZ3399" i="10"/>
  <c r="AZ3427" i="10"/>
  <c r="AZ3457" i="10"/>
  <c r="AZ3485" i="10"/>
  <c r="AZ3513" i="10"/>
  <c r="AZ3543" i="10"/>
  <c r="AZ3571" i="10"/>
  <c r="AZ3601" i="10"/>
  <c r="AZ3629" i="10"/>
  <c r="AZ3657" i="10"/>
  <c r="AZ3687" i="10"/>
  <c r="AZ3715" i="10"/>
  <c r="AZ3745" i="10"/>
  <c r="AZ3773" i="10"/>
  <c r="AZ3799" i="10"/>
  <c r="AZ3825" i="10"/>
  <c r="AZ3852" i="10"/>
  <c r="AZ3878" i="10"/>
  <c r="AZ3904" i="10"/>
  <c r="AZ3930" i="10"/>
  <c r="AZ3955" i="10"/>
  <c r="AZ3979" i="10"/>
  <c r="AZ4003" i="10"/>
  <c r="AZ4027" i="10"/>
  <c r="AZ4051" i="10"/>
  <c r="AZ4075" i="10"/>
  <c r="AZ4099" i="10"/>
  <c r="AZ4123" i="10"/>
  <c r="AZ4147" i="10"/>
  <c r="AZ4171" i="10"/>
  <c r="AZ4195" i="10"/>
  <c r="AZ4219" i="10"/>
  <c r="AZ4243" i="10"/>
  <c r="AZ4267" i="10"/>
  <c r="AZ4291" i="10"/>
  <c r="AZ4315" i="10"/>
  <c r="AZ4339" i="10"/>
  <c r="AZ4363" i="10"/>
  <c r="AZ4387" i="10"/>
  <c r="AZ4411" i="10"/>
  <c r="AZ4435" i="10"/>
  <c r="AZ4459" i="10"/>
  <c r="AZ4483" i="10"/>
  <c r="AZ4507" i="10"/>
  <c r="AZ4531" i="10"/>
  <c r="AZ4555" i="10"/>
  <c r="AZ4579" i="10"/>
  <c r="AZ4603" i="10"/>
  <c r="AZ4627" i="10"/>
  <c r="AZ4651" i="10"/>
  <c r="AZ4675" i="10"/>
  <c r="AZ4699" i="10"/>
  <c r="AZ4723" i="10"/>
  <c r="AZ4747" i="10"/>
  <c r="AZ4769" i="10"/>
  <c r="AZ4784" i="10"/>
  <c r="AZ4798" i="10"/>
  <c r="AZ4814" i="10"/>
  <c r="AZ4828" i="10"/>
  <c r="AZ4842" i="10"/>
  <c r="AZ4856" i="10"/>
  <c r="AZ4870" i="10"/>
  <c r="AZ4886" i="10"/>
  <c r="AZ4900" i="10"/>
  <c r="AZ4914" i="10"/>
  <c r="AZ4928" i="10"/>
  <c r="AZ4942" i="10"/>
  <c r="AZ4958" i="10"/>
  <c r="AZ4972" i="10"/>
  <c r="AZ4986" i="10"/>
  <c r="AZ5000" i="10"/>
  <c r="AZ5014" i="10"/>
  <c r="AZ5030" i="10"/>
  <c r="AZ5044" i="10"/>
  <c r="AZ5058" i="10"/>
  <c r="AZ5072" i="10"/>
  <c r="AZ5086" i="10"/>
  <c r="AZ5102" i="10"/>
  <c r="AZ5116" i="10"/>
  <c r="AZ5130" i="10"/>
  <c r="AZ5144" i="10"/>
  <c r="AZ5158" i="10"/>
  <c r="AZ5174" i="10"/>
  <c r="AZ5188" i="10"/>
  <c r="AZ5202" i="10"/>
  <c r="AZ5216" i="10"/>
  <c r="AZ242" i="10"/>
  <c r="AZ588" i="10"/>
  <c r="AZ817" i="10"/>
  <c r="AZ986" i="10"/>
  <c r="AZ1152" i="10"/>
  <c r="AZ1292" i="10"/>
  <c r="AZ1430" i="10"/>
  <c r="AZ1571" i="10"/>
  <c r="AZ1705" i="10"/>
  <c r="AZ1820" i="10"/>
  <c r="AZ1936" i="10"/>
  <c r="AZ2050" i="10"/>
  <c r="AZ2166" i="10"/>
  <c r="AZ2277" i="10"/>
  <c r="AZ2382" i="10"/>
  <c r="AZ2487" i="10"/>
  <c r="AZ2592" i="10"/>
  <c r="AZ2696" i="10"/>
  <c r="AZ2801" i="10"/>
  <c r="AZ2899" i="10"/>
  <c r="AZ2977" i="10"/>
  <c r="AZ3033" i="10"/>
  <c r="AZ3091" i="10"/>
  <c r="AZ3149" i="10"/>
  <c r="AZ3207" i="10"/>
  <c r="AZ3265" i="10"/>
  <c r="AZ3321" i="10"/>
  <c r="AZ3379" i="10"/>
  <c r="AZ3437" i="10"/>
  <c r="AZ3495" i="10"/>
  <c r="AZ3553" i="10"/>
  <c r="AZ3609" i="10"/>
  <c r="AZ3667" i="10"/>
  <c r="AZ3725" i="10"/>
  <c r="AZ3782" i="10"/>
  <c r="AZ3834" i="10"/>
  <c r="AZ3887" i="10"/>
  <c r="AZ3939" i="10"/>
  <c r="AZ3987" i="10"/>
  <c r="AZ4035" i="10"/>
  <c r="AZ4083" i="10"/>
  <c r="AZ4131" i="10"/>
  <c r="AZ4179" i="10"/>
  <c r="AZ4227" i="10"/>
  <c r="AZ4275" i="10"/>
  <c r="AZ4323" i="10"/>
  <c r="AZ4371" i="10"/>
  <c r="AZ4419" i="10"/>
  <c r="AZ4467" i="10"/>
  <c r="AZ4515" i="10"/>
  <c r="AZ4563" i="10"/>
  <c r="AZ4611" i="10"/>
  <c r="AZ4659" i="10"/>
  <c r="AZ4707" i="10"/>
  <c r="AZ4754" i="10"/>
  <c r="AZ4786" i="10"/>
  <c r="AZ4816" i="10"/>
  <c r="AZ4844" i="10"/>
  <c r="AZ4874" i="10"/>
  <c r="AZ4902" i="10"/>
  <c r="AZ4930" i="10"/>
  <c r="AZ4960" i="10"/>
  <c r="AZ4988" i="10"/>
  <c r="AZ5018" i="10"/>
  <c r="AZ5046" i="10"/>
  <c r="AZ5074" i="10"/>
  <c r="AZ5104" i="10"/>
  <c r="AZ5132" i="10"/>
  <c r="AZ5162" i="10"/>
  <c r="AZ5190" i="10"/>
  <c r="AZ5218" i="10"/>
  <c r="AZ250" i="10"/>
  <c r="AZ591" i="10"/>
  <c r="AZ819" i="10"/>
  <c r="AZ989" i="10"/>
  <c r="AZ1154" i="10"/>
  <c r="AZ1295" i="10"/>
  <c r="AZ1433" i="10"/>
  <c r="AZ1573" i="10"/>
  <c r="AZ1708" i="10"/>
  <c r="AZ1822" i="10"/>
  <c r="AZ1938" i="10"/>
  <c r="AZ2053" i="10"/>
  <c r="AZ2168" i="10"/>
  <c r="AZ2280" i="10"/>
  <c r="AZ2384" i="10"/>
  <c r="AZ2489" i="10"/>
  <c r="AZ2594" i="10"/>
  <c r="AZ2698" i="10"/>
  <c r="AZ2803" i="10"/>
  <c r="AZ2906" i="10"/>
  <c r="AZ2979" i="10"/>
  <c r="AZ3037" i="10"/>
  <c r="AZ3093" i="10"/>
  <c r="AZ3151" i="10"/>
  <c r="AZ3209" i="10"/>
  <c r="AZ3267" i="10"/>
  <c r="AZ3325" i="10"/>
  <c r="AZ3381" i="10"/>
  <c r="AZ3439" i="10"/>
  <c r="AZ3497" i="10"/>
  <c r="AZ3555" i="10"/>
  <c r="AZ3613" i="10"/>
  <c r="AZ3669" i="10"/>
  <c r="AZ3727" i="10"/>
  <c r="AZ3784" i="10"/>
  <c r="AZ3836" i="10"/>
  <c r="AZ3889" i="10"/>
  <c r="AZ3941" i="10"/>
  <c r="AZ3989" i="10"/>
  <c r="AZ4037" i="10"/>
  <c r="AZ4085" i="10"/>
  <c r="AZ4133" i="10"/>
  <c r="AZ4181" i="10"/>
  <c r="AZ4229" i="10"/>
  <c r="AZ4277" i="10"/>
  <c r="AZ4325" i="10"/>
  <c r="AZ4373" i="10"/>
  <c r="AZ4421" i="10"/>
  <c r="AZ4469" i="10"/>
  <c r="AZ4517" i="10"/>
  <c r="AZ4565" i="10"/>
  <c r="AZ4613" i="10"/>
  <c r="AZ4661" i="10"/>
  <c r="AZ4709" i="10"/>
  <c r="AZ4756" i="10"/>
  <c r="AZ4790" i="10"/>
  <c r="AZ4818" i="10"/>
  <c r="AZ4846" i="10"/>
  <c r="AZ4876" i="10"/>
  <c r="AZ4904" i="10"/>
  <c r="AZ4934" i="10"/>
  <c r="AZ4962" i="10"/>
  <c r="AZ4990" i="10"/>
  <c r="AZ5020" i="10"/>
  <c r="AZ5048" i="10"/>
  <c r="AZ5078" i="10"/>
  <c r="AZ5106" i="10"/>
  <c r="AZ5134" i="10"/>
  <c r="AZ5164" i="10"/>
  <c r="AZ5192" i="10"/>
  <c r="AZ251" i="10"/>
  <c r="AZ592" i="10"/>
  <c r="AZ820" i="10"/>
  <c r="AZ994" i="10"/>
  <c r="AZ1155" i="10"/>
  <c r="AZ1296" i="10"/>
  <c r="AZ1436" i="10"/>
  <c r="AZ1574" i="10"/>
  <c r="AZ1709" i="10"/>
  <c r="AZ1824" i="10"/>
  <c r="AZ1939" i="10"/>
  <c r="AZ2055" i="10"/>
  <c r="AZ2169" i="10"/>
  <c r="AZ2281" i="10"/>
  <c r="AZ2385" i="10"/>
  <c r="AZ2490" i="10"/>
  <c r="AZ2595" i="10"/>
  <c r="AZ2700" i="10"/>
  <c r="AZ2804" i="10"/>
  <c r="AZ2907" i="10"/>
  <c r="AZ2980" i="10"/>
  <c r="AZ3038" i="10"/>
  <c r="AZ3096" i="10"/>
  <c r="AZ3152" i="10"/>
  <c r="AZ3210" i="10"/>
  <c r="AZ3268" i="10"/>
  <c r="AZ3326" i="10"/>
  <c r="AZ3384" i="10"/>
  <c r="AZ3440" i="10"/>
  <c r="AZ3498" i="10"/>
  <c r="AZ3556" i="10"/>
  <c r="AZ3614" i="10"/>
  <c r="AZ3672" i="10"/>
  <c r="AZ3728" i="10"/>
  <c r="AZ3785" i="10"/>
  <c r="AZ3837" i="10"/>
  <c r="AZ3890" i="10"/>
  <c r="AZ3942" i="10"/>
  <c r="AZ3990" i="10"/>
  <c r="AZ4038" i="10"/>
  <c r="AZ4086" i="10"/>
  <c r="AZ4134" i="10"/>
  <c r="AZ4182" i="10"/>
  <c r="AZ4230" i="10"/>
  <c r="AZ4278" i="10"/>
  <c r="AZ4326" i="10"/>
  <c r="AZ4374" i="10"/>
  <c r="AZ4422" i="10"/>
  <c r="AZ4470" i="10"/>
  <c r="AZ4518" i="10"/>
  <c r="AZ4566" i="10"/>
  <c r="AZ4614" i="10"/>
  <c r="AZ4662" i="10"/>
  <c r="AZ4710" i="10"/>
  <c r="AZ4757" i="10"/>
  <c r="AZ4791" i="10"/>
  <c r="AZ4819" i="10"/>
  <c r="AZ4849" i="10"/>
  <c r="AZ4877" i="10"/>
  <c r="AZ4905" i="10"/>
  <c r="AZ4935" i="10"/>
  <c r="AZ4963" i="10"/>
  <c r="AZ4993" i="10"/>
  <c r="AZ5021" i="10"/>
  <c r="AZ5049" i="10"/>
  <c r="AZ5079" i="10"/>
  <c r="AZ5107" i="10"/>
  <c r="AZ5137" i="10"/>
  <c r="AZ5165" i="10"/>
  <c r="AZ5193" i="10"/>
  <c r="AZ252" i="10"/>
  <c r="AZ593" i="10"/>
  <c r="AZ822" i="10"/>
  <c r="AZ996" i="10"/>
  <c r="AZ1156" i="10"/>
  <c r="AZ1297" i="10"/>
  <c r="AZ1437" i="10"/>
  <c r="AZ1575" i="10"/>
  <c r="AZ1710" i="10"/>
  <c r="AZ1825" i="10"/>
  <c r="AZ1940" i="10"/>
  <c r="AZ2056" i="10"/>
  <c r="AZ2170" i="10"/>
  <c r="AZ2282" i="10"/>
  <c r="AZ2386" i="10"/>
  <c r="AZ2491" i="10"/>
  <c r="AZ2596" i="10"/>
  <c r="AZ2701" i="10"/>
  <c r="AZ2805" i="10"/>
  <c r="AZ2908" i="10"/>
  <c r="AZ2981" i="10"/>
  <c r="AZ3039" i="10"/>
  <c r="AZ3097" i="10"/>
  <c r="AZ3153" i="10"/>
  <c r="AZ3211" i="10"/>
  <c r="AZ3269" i="10"/>
  <c r="AZ3327" i="10"/>
  <c r="AZ3385" i="10"/>
  <c r="AZ3441" i="10"/>
  <c r="AZ3499" i="10"/>
  <c r="AZ3557" i="10"/>
  <c r="AZ3615" i="10"/>
  <c r="AZ3673" i="10"/>
  <c r="AZ3729" i="10"/>
  <c r="AZ3786" i="10"/>
  <c r="AZ3839" i="10"/>
  <c r="AZ3891" i="10"/>
  <c r="AZ3943" i="10"/>
  <c r="AZ3991" i="10"/>
  <c r="AZ4039" i="10"/>
  <c r="AZ4087" i="10"/>
  <c r="AZ4135" i="10"/>
  <c r="AZ4183" i="10"/>
  <c r="AZ4231" i="10"/>
  <c r="AZ4279" i="10"/>
  <c r="AZ4327" i="10"/>
  <c r="AZ4375" i="10"/>
  <c r="AZ4423" i="10"/>
  <c r="AZ4471" i="10"/>
  <c r="AZ4519" i="10"/>
  <c r="AZ4567" i="10"/>
  <c r="AZ4615" i="10"/>
  <c r="AZ4663" i="10"/>
  <c r="AZ4711" i="10"/>
  <c r="AZ4758" i="10"/>
  <c r="AZ4792" i="10"/>
  <c r="AZ4820" i="10"/>
  <c r="AZ4850" i="10"/>
  <c r="AZ4878" i="10"/>
  <c r="AZ4906" i="10"/>
  <c r="AZ4936" i="10"/>
  <c r="AZ4964" i="10"/>
  <c r="AZ4994" i="10"/>
  <c r="AZ5022" i="10"/>
  <c r="AZ5050" i="10"/>
  <c r="AZ5080" i="10"/>
  <c r="AZ5108" i="10"/>
  <c r="AZ5138" i="10"/>
  <c r="AZ5166" i="10"/>
  <c r="AZ5194" i="10"/>
  <c r="AZ419" i="10"/>
  <c r="AZ713" i="10"/>
  <c r="AZ902" i="10"/>
  <c r="AZ1069" i="10"/>
  <c r="AZ1219" i="10"/>
  <c r="AZ1360" i="10"/>
  <c r="AZ1499" i="10"/>
  <c r="AZ1638" i="10"/>
  <c r="AZ1761" i="10"/>
  <c r="AZ1877" i="10"/>
  <c r="AZ1992" i="10"/>
  <c r="AZ2107" i="10"/>
  <c r="AZ2223" i="10"/>
  <c r="AZ2329" i="10"/>
  <c r="AZ2433" i="10"/>
  <c r="AZ2538" i="10"/>
  <c r="AZ2643" i="10"/>
  <c r="AZ2748" i="10"/>
  <c r="AZ2852" i="10"/>
  <c r="AZ2941" i="10"/>
  <c r="AZ3004" i="10"/>
  <c r="AZ3062" i="10"/>
  <c r="AZ3120" i="10"/>
  <c r="AZ3176" i="10"/>
  <c r="AZ3234" i="10"/>
  <c r="AZ3292" i="10"/>
  <c r="AZ3350" i="10"/>
  <c r="AZ3408" i="10"/>
  <c r="AZ3464" i="10"/>
  <c r="AZ3522" i="10"/>
  <c r="AZ3580" i="10"/>
  <c r="AZ3638" i="10"/>
  <c r="AZ3696" i="10"/>
  <c r="AZ3752" i="10"/>
  <c r="AZ3807" i="10"/>
  <c r="AZ3859" i="10"/>
  <c r="AZ3912" i="10"/>
  <c r="AZ3962" i="10"/>
  <c r="AZ4010" i="10"/>
  <c r="AZ4058" i="10"/>
  <c r="AZ4106" i="10"/>
  <c r="AZ4154" i="10"/>
  <c r="AZ4202" i="10"/>
  <c r="AZ4250" i="10"/>
  <c r="AZ4298" i="10"/>
  <c r="AZ4346" i="10"/>
  <c r="AZ4394" i="10"/>
  <c r="AZ4442" i="10"/>
  <c r="AZ4490" i="10"/>
  <c r="AZ4538" i="10"/>
  <c r="AZ4586" i="10"/>
  <c r="AZ4634" i="10"/>
  <c r="AZ4682" i="10"/>
  <c r="AZ4730" i="10"/>
  <c r="AZ4770" i="10"/>
  <c r="AZ4801" i="10"/>
  <c r="AZ4829" i="10"/>
  <c r="AZ4857" i="10"/>
  <c r="AZ4887" i="10"/>
  <c r="AZ4915" i="10"/>
  <c r="AZ4945" i="10"/>
  <c r="AZ4973" i="10"/>
  <c r="AZ5001" i="10"/>
  <c r="AZ5031" i="10"/>
  <c r="AZ5059" i="10"/>
  <c r="AZ5089" i="10"/>
  <c r="AZ5117" i="10"/>
  <c r="AZ5145" i="10"/>
  <c r="AZ5175" i="10"/>
  <c r="AZ5203" i="10"/>
  <c r="AZ15" i="10"/>
  <c r="AZ715" i="10"/>
  <c r="AZ987" i="10"/>
  <c r="AZ1228" i="10"/>
  <c r="AZ1504" i="10"/>
  <c r="AZ1762" i="10"/>
  <c r="AZ1935" i="10"/>
  <c r="AZ2112" i="10"/>
  <c r="AZ2331" i="10"/>
  <c r="AZ2488" i="10"/>
  <c r="AZ2648" i="10"/>
  <c r="AZ2856" i="10"/>
  <c r="AZ3005" i="10"/>
  <c r="AZ3090" i="10"/>
  <c r="AZ3182" i="10"/>
  <c r="AZ3294" i="10"/>
  <c r="AZ3380" i="10"/>
  <c r="AZ3471" i="10"/>
  <c r="AZ3583" i="10"/>
  <c r="AZ3697" i="10"/>
  <c r="AZ3781" i="10"/>
  <c r="AZ3864" i="10"/>
  <c r="AZ3964" i="10"/>
  <c r="AZ4036" i="10"/>
  <c r="AZ4111" i="10"/>
  <c r="AZ4205" i="10"/>
  <c r="AZ22" i="10"/>
  <c r="AZ719" i="10"/>
  <c r="AZ1072" i="10"/>
  <c r="AZ1289" i="10"/>
  <c r="AZ1505" i="10"/>
  <c r="AZ1764" i="10"/>
  <c r="AZ1937" i="10"/>
  <c r="AZ2113" i="10"/>
  <c r="AZ2332" i="10"/>
  <c r="AZ2539" i="10"/>
  <c r="AZ2695" i="10"/>
  <c r="AZ2857" i="10"/>
  <c r="AZ3006" i="10"/>
  <c r="AZ3092" i="10"/>
  <c r="AZ3183" i="10"/>
  <c r="AZ3295" i="10"/>
  <c r="AZ3409" i="10"/>
  <c r="AZ3494" i="10"/>
  <c r="AZ3584" i="10"/>
  <c r="AZ3698" i="10"/>
  <c r="AZ3783" i="10"/>
  <c r="AZ3865" i="10"/>
  <c r="AZ3965" i="10"/>
  <c r="AZ4059" i="10"/>
  <c r="AZ4130" i="10"/>
  <c r="AZ4206" i="10"/>
  <c r="AZ4300" i="10"/>
  <c r="AZ4372" i="10"/>
  <c r="AZ4447" i="10"/>
  <c r="AZ4541" i="10"/>
  <c r="AZ4635" i="10"/>
  <c r="AZ4706" i="10"/>
  <c r="AZ4777" i="10"/>
  <c r="AZ4831" i="10"/>
  <c r="AZ4875" i="10"/>
  <c r="AZ4922" i="10"/>
  <c r="AZ4976" i="10"/>
  <c r="AZ5032" i="10"/>
  <c r="AZ5073" i="10"/>
  <c r="AZ5121" i="10"/>
  <c r="AZ5177" i="10"/>
  <c r="AZ247" i="10"/>
  <c r="AZ726" i="10"/>
  <c r="AZ1074" i="10"/>
  <c r="AZ1361" i="10"/>
  <c r="AZ1569" i="10"/>
  <c r="AZ1767" i="10"/>
  <c r="AZ1995" i="10"/>
  <c r="AZ2167" i="10"/>
  <c r="AZ2334" i="10"/>
  <c r="AZ2541" i="10"/>
  <c r="AZ2749" i="10"/>
  <c r="AZ2897" i="10"/>
  <c r="AZ3008" i="10"/>
  <c r="AZ3122" i="10"/>
  <c r="AZ3208" i="10"/>
  <c r="AZ3297" i="10"/>
  <c r="AZ3411" i="10"/>
  <c r="AZ3523" i="10"/>
  <c r="AZ3608" i="10"/>
  <c r="AZ3700" i="10"/>
  <c r="AZ3809" i="10"/>
  <c r="AZ3888" i="10"/>
  <c r="AZ3967" i="10"/>
  <c r="AZ4061" i="10"/>
  <c r="AZ4155" i="10"/>
  <c r="AZ4226" i="10"/>
  <c r="AZ4302" i="10"/>
  <c r="AZ4396" i="10"/>
  <c r="AZ4468" i="10"/>
  <c r="AZ4543" i="10"/>
  <c r="AZ4637" i="10"/>
  <c r="AZ4731" i="10"/>
  <c r="AZ4785" i="10"/>
  <c r="AZ4833" i="10"/>
  <c r="AZ4889" i="10"/>
  <c r="AZ4933" i="10"/>
  <c r="AZ4978" i="10"/>
  <c r="AZ5034" i="10"/>
  <c r="AZ5090" i="10"/>
  <c r="AZ5131" i="10"/>
  <c r="AZ5179" i="10"/>
  <c r="AZ430" i="10"/>
  <c r="AZ814" i="10"/>
  <c r="AZ1075" i="10"/>
  <c r="AZ1362" i="10"/>
  <c r="AZ1572" i="10"/>
  <c r="AZ1768" i="10"/>
  <c r="AZ1996" i="10"/>
  <c r="AZ2224" i="10"/>
  <c r="AZ2381" i="10"/>
  <c r="AZ2542" i="10"/>
  <c r="AZ2750" i="10"/>
  <c r="AZ2905" i="10"/>
  <c r="AZ3009" i="10"/>
  <c r="AZ3123" i="10"/>
  <c r="AZ3235" i="10"/>
  <c r="AZ3320" i="10"/>
  <c r="AZ3412" i="10"/>
  <c r="AZ3524" i="10"/>
  <c r="AZ3612" i="10"/>
  <c r="AZ3701" i="10"/>
  <c r="AZ3810" i="10"/>
  <c r="AZ3913" i="10"/>
  <c r="AZ3986" i="10"/>
  <c r="AZ4062" i="10"/>
  <c r="AZ4156" i="10"/>
  <c r="AZ4228" i="10"/>
  <c r="AZ4303" i="10"/>
  <c r="AZ4397" i="10"/>
  <c r="AZ4491" i="10"/>
  <c r="AZ4562" i="10"/>
  <c r="AZ4638" i="10"/>
  <c r="AZ4732" i="10"/>
  <c r="AZ4789" i="10"/>
  <c r="AZ4834" i="10"/>
  <c r="AZ4890" i="10"/>
  <c r="AZ4946" i="10"/>
  <c r="AZ4987" i="10"/>
  <c r="AZ5035" i="10"/>
  <c r="AZ5091" i="10"/>
  <c r="AZ5133" i="10"/>
  <c r="AZ5180" i="10"/>
  <c r="AZ432" i="10"/>
  <c r="AZ818" i="10"/>
  <c r="AZ1078" i="10"/>
  <c r="AZ1363" i="10"/>
  <c r="AZ1639" i="10"/>
  <c r="AZ1819" i="10"/>
  <c r="AZ1997" i="10"/>
  <c r="AZ2225" i="10"/>
  <c r="AZ2383" i="10"/>
  <c r="AZ2544" i="10"/>
  <c r="AZ2751" i="10"/>
  <c r="AZ2942" i="10"/>
  <c r="AZ3032" i="10"/>
  <c r="AZ3124" i="10"/>
  <c r="AZ3236" i="10"/>
  <c r="AZ3324" i="10"/>
  <c r="AZ3413" i="10"/>
  <c r="AZ3525" i="10"/>
  <c r="AZ3639" i="10"/>
  <c r="AZ3724" i="10"/>
  <c r="AZ3811" i="10"/>
  <c r="AZ3914" i="10"/>
  <c r="AZ3988" i="10"/>
  <c r="AZ4063" i="10"/>
  <c r="AZ4157" i="10"/>
  <c r="AZ4251" i="10"/>
  <c r="AZ4322" i="10"/>
  <c r="AZ4398" i="10"/>
  <c r="AZ4492" i="10"/>
  <c r="AZ4564" i="10"/>
  <c r="AZ4639" i="10"/>
  <c r="AZ4733" i="10"/>
  <c r="AZ4802" i="10"/>
  <c r="AZ4843" i="10"/>
  <c r="AZ4891" i="10"/>
  <c r="AZ4947" i="10"/>
  <c r="AZ4989" i="10"/>
  <c r="AZ5036" i="10"/>
  <c r="AZ5092" i="10"/>
  <c r="AZ5146" i="10"/>
  <c r="AZ5189" i="10"/>
  <c r="AZ433" i="10"/>
  <c r="AZ903" i="10"/>
  <c r="AZ1151" i="10"/>
  <c r="AZ1364" i="10"/>
  <c r="AZ1640" i="10"/>
  <c r="AZ1821" i="10"/>
  <c r="AZ1998" i="10"/>
  <c r="AZ2226" i="10"/>
  <c r="AZ2434" i="10"/>
  <c r="AZ2590" i="10"/>
  <c r="AZ2752" i="10"/>
  <c r="AZ2943" i="10"/>
  <c r="AZ3036" i="10"/>
  <c r="AZ3125" i="10"/>
  <c r="AZ3237" i="10"/>
  <c r="AZ3351" i="10"/>
  <c r="AZ3436" i="10"/>
  <c r="AZ3528" i="10"/>
  <c r="AZ3640" i="10"/>
  <c r="AZ3726" i="10"/>
  <c r="AZ3812" i="10"/>
  <c r="AZ3915" i="10"/>
  <c r="AZ4011" i="10"/>
  <c r="AZ4082" i="10"/>
  <c r="AZ4158" i="10"/>
  <c r="AZ4252" i="10"/>
  <c r="AZ4324" i="10"/>
  <c r="AZ4399" i="10"/>
  <c r="AZ4493" i="10"/>
  <c r="AZ4587" i="10"/>
  <c r="AZ4658" i="10"/>
  <c r="AZ4734" i="10"/>
  <c r="AZ4803" i="10"/>
  <c r="AZ4845" i="10"/>
  <c r="AZ4892" i="10"/>
  <c r="AZ4948" i="10"/>
  <c r="AZ5002" i="10"/>
  <c r="AZ5045" i="10"/>
  <c r="AZ5093" i="10"/>
  <c r="AZ5149" i="10"/>
  <c r="AZ5191" i="10"/>
  <c r="AZ725" i="10"/>
  <c r="AZ1293" i="10"/>
  <c r="AZ1765" i="10"/>
  <c r="AZ2165" i="10"/>
  <c r="AZ2540" i="10"/>
  <c r="AZ2858" i="10"/>
  <c r="AZ3121" i="10"/>
  <c r="AZ3296" i="10"/>
  <c r="AZ3496" i="10"/>
  <c r="AZ3699" i="10"/>
  <c r="AZ3885" i="10"/>
  <c r="AZ4060" i="10"/>
  <c r="AZ4207" i="10"/>
  <c r="AZ4351" i="10"/>
  <c r="AZ4514" i="10"/>
  <c r="AZ4660" i="10"/>
  <c r="AZ4774" i="10"/>
  <c r="AZ4863" i="10"/>
  <c r="AZ4950" i="10"/>
  <c r="AZ5033" i="10"/>
  <c r="AZ5119" i="10"/>
  <c r="AZ5206" i="10"/>
  <c r="AZ904" i="10"/>
  <c r="AZ1365" i="10"/>
  <c r="AZ1878" i="10"/>
  <c r="AZ2227" i="10"/>
  <c r="AZ2593" i="10"/>
  <c r="AZ2944" i="10"/>
  <c r="AZ3148" i="10"/>
  <c r="AZ3352" i="10"/>
  <c r="AZ3529" i="10"/>
  <c r="AZ3753" i="10"/>
  <c r="AZ3916" i="10"/>
  <c r="AZ4084" i="10"/>
  <c r="AZ4253" i="10"/>
  <c r="AZ4370" i="10"/>
  <c r="AZ4516" i="10"/>
  <c r="AZ4683" i="10"/>
  <c r="AZ4778" i="10"/>
  <c r="AZ4864" i="10"/>
  <c r="AZ4959" i="10"/>
  <c r="AZ5047" i="10"/>
  <c r="AZ5120" i="10"/>
  <c r="AZ5209" i="10"/>
  <c r="AZ3" i="10"/>
  <c r="AZ906" i="10"/>
  <c r="AZ1431" i="10"/>
  <c r="AZ1880" i="10"/>
  <c r="AZ2276" i="10"/>
  <c r="AZ2645" i="10"/>
  <c r="AZ2946" i="10"/>
  <c r="AZ3177" i="10"/>
  <c r="AZ3354" i="10"/>
  <c r="AZ3554" i="10"/>
  <c r="AZ3757" i="10"/>
  <c r="AZ3938" i="10"/>
  <c r="AZ4108" i="10"/>
  <c r="AZ4255" i="10"/>
  <c r="AZ4418" i="10"/>
  <c r="AZ4540" i="10"/>
  <c r="AZ4685" i="10"/>
  <c r="AZ4805" i="10"/>
  <c r="AZ4888" i="10"/>
  <c r="AZ4974" i="10"/>
  <c r="AZ5061" i="10"/>
  <c r="AZ5150" i="10"/>
  <c r="AZ5217" i="10"/>
  <c r="AZ7" i="10"/>
  <c r="AZ910" i="10"/>
  <c r="AZ1502" i="10"/>
  <c r="AZ1881" i="10"/>
  <c r="AZ2278" i="10"/>
  <c r="AZ2646" i="10"/>
  <c r="AZ2976" i="10"/>
  <c r="AZ3180" i="10"/>
  <c r="AZ3355" i="10"/>
  <c r="AZ3581" i="10"/>
  <c r="AZ3758" i="10"/>
  <c r="AZ3940" i="10"/>
  <c r="AZ4109" i="10"/>
  <c r="AZ4274" i="10"/>
  <c r="AZ4420" i="10"/>
  <c r="AZ4542" i="10"/>
  <c r="AZ4686" i="10"/>
  <c r="AZ4806" i="10"/>
  <c r="AZ4901" i="10"/>
  <c r="AZ4975" i="10"/>
  <c r="AZ5062" i="10"/>
  <c r="AZ5151" i="10"/>
  <c r="AZ10" i="10"/>
  <c r="AZ985" i="10"/>
  <c r="AZ1503" i="10"/>
  <c r="AZ1882" i="10"/>
  <c r="AZ2330" i="10"/>
  <c r="AZ2647" i="10"/>
  <c r="AZ2978" i="10"/>
  <c r="AZ3181" i="10"/>
  <c r="AZ3378" i="10"/>
  <c r="AZ3582" i="10"/>
  <c r="AZ3759" i="10"/>
  <c r="AZ3963" i="10"/>
  <c r="AZ4110" i="10"/>
  <c r="AZ4276" i="10"/>
  <c r="AZ4443" i="10"/>
  <c r="AZ4588" i="10"/>
  <c r="AZ4687" i="10"/>
  <c r="AZ4815" i="10"/>
  <c r="AZ4903" i="10"/>
  <c r="AZ4977" i="10"/>
  <c r="AZ5065" i="10"/>
  <c r="AZ5152" i="10"/>
  <c r="AZ231" i="10"/>
  <c r="AZ1073" i="10"/>
  <c r="AZ1506" i="10"/>
  <c r="AZ1993" i="10"/>
  <c r="AZ2333" i="10"/>
  <c r="AZ2697" i="10"/>
  <c r="AZ3007" i="10"/>
  <c r="AZ3206" i="10"/>
  <c r="AZ3410" i="10"/>
  <c r="AZ3585" i="10"/>
  <c r="AZ3808" i="10"/>
  <c r="AZ3966" i="10"/>
  <c r="AZ4132" i="10"/>
  <c r="AZ4299" i="10"/>
  <c r="AZ4444" i="10"/>
  <c r="AZ4589" i="10"/>
  <c r="AZ4708" i="10"/>
  <c r="AZ4817" i="10"/>
  <c r="AZ4916" i="10"/>
  <c r="AZ5005" i="10"/>
  <c r="AZ5066" i="10"/>
  <c r="AZ5161" i="10"/>
  <c r="AZ1429" i="10"/>
  <c r="AZ2228" i="10"/>
  <c r="AZ2945" i="10"/>
  <c r="AZ3353" i="10"/>
  <c r="AZ3756" i="10"/>
  <c r="AZ4107" i="10"/>
  <c r="AZ4395" i="10"/>
  <c r="AZ4684" i="10"/>
  <c r="AZ4873" i="10"/>
  <c r="AZ5060" i="10"/>
  <c r="AZ5210" i="10"/>
  <c r="AZ434" i="10"/>
  <c r="AZ1643" i="10"/>
  <c r="AZ2436" i="10"/>
  <c r="AZ3063" i="10"/>
  <c r="AZ3438" i="10"/>
  <c r="AZ3833" i="10"/>
  <c r="AZ4159" i="10"/>
  <c r="AZ4445" i="10"/>
  <c r="AZ4735" i="10"/>
  <c r="AZ4917" i="10"/>
  <c r="AZ5077" i="10"/>
  <c r="AZ435" i="10"/>
  <c r="AZ1646" i="10"/>
  <c r="AZ2437" i="10"/>
  <c r="AZ3064" i="10"/>
  <c r="AZ3465" i="10"/>
  <c r="AZ3835" i="10"/>
  <c r="AZ4178" i="10"/>
  <c r="AZ4446" i="10"/>
  <c r="AZ4753" i="10"/>
  <c r="AZ4918" i="10"/>
  <c r="AZ5094" i="10"/>
  <c r="AZ579" i="10"/>
  <c r="AZ1647" i="10"/>
  <c r="AZ2438" i="10"/>
  <c r="AZ3065" i="10"/>
  <c r="AZ3468" i="10"/>
  <c r="AZ3860" i="10"/>
  <c r="AZ4180" i="10"/>
  <c r="AZ4466" i="10"/>
  <c r="AZ4755" i="10"/>
  <c r="AZ4921" i="10"/>
  <c r="AZ5103" i="10"/>
  <c r="AZ714" i="10"/>
  <c r="AZ1707" i="10"/>
  <c r="AZ2486" i="10"/>
  <c r="AZ3067" i="10"/>
  <c r="AZ3470" i="10"/>
  <c r="AZ3863" i="10"/>
  <c r="AZ4204" i="10"/>
  <c r="AZ4495" i="10"/>
  <c r="AZ4772" i="10"/>
  <c r="AZ4949" i="10"/>
  <c r="AZ5118" i="10"/>
  <c r="AZ905" i="10"/>
  <c r="AZ1879" i="10"/>
  <c r="AZ2644" i="10"/>
  <c r="AZ3150" i="10"/>
  <c r="AZ3552" i="10"/>
  <c r="AZ3917" i="10"/>
  <c r="AZ4254" i="10"/>
  <c r="AZ4539" i="10"/>
  <c r="AZ4804" i="10"/>
  <c r="AZ4961" i="10"/>
  <c r="AZ5122" i="10"/>
  <c r="AZ590" i="10"/>
  <c r="AZ2439" i="10"/>
  <c r="AZ3469" i="10"/>
  <c r="AZ4203" i="10"/>
  <c r="AZ4771" i="10"/>
  <c r="AZ5105" i="10"/>
  <c r="AZ1153" i="10"/>
  <c r="AZ2753" i="10"/>
  <c r="AZ3641" i="10"/>
  <c r="AZ4301" i="10"/>
  <c r="AZ4830" i="10"/>
  <c r="AZ5163" i="10"/>
  <c r="AZ1220" i="10"/>
  <c r="AZ2800" i="10"/>
  <c r="AZ3642" i="10"/>
  <c r="AZ4347" i="10"/>
  <c r="AZ4832" i="10"/>
  <c r="AZ5176" i="10"/>
  <c r="AZ1221" i="10"/>
  <c r="AZ2802" i="10"/>
  <c r="AZ3643" i="10"/>
  <c r="AZ4348" i="10"/>
  <c r="AZ4858" i="10"/>
  <c r="AZ5178" i="10"/>
  <c r="AZ1224" i="10"/>
  <c r="AZ2853" i="10"/>
  <c r="AZ3666" i="10"/>
  <c r="AZ4349" i="10"/>
  <c r="AZ4861" i="10"/>
  <c r="AZ5204" i="10"/>
  <c r="AZ1227" i="10"/>
  <c r="AZ2854" i="10"/>
  <c r="AZ3668" i="10"/>
  <c r="AZ4350" i="10"/>
  <c r="AZ4862" i="10"/>
  <c r="AZ5205" i="10"/>
  <c r="AZ1704" i="10"/>
  <c r="AZ3861" i="10"/>
  <c r="AZ4929" i="10"/>
  <c r="AZ2049" i="10"/>
  <c r="AZ4012" i="10"/>
  <c r="AZ5006" i="10"/>
  <c r="AZ2052" i="10"/>
  <c r="AZ4013" i="10"/>
  <c r="AZ5007" i="10"/>
  <c r="AZ2108" i="10"/>
  <c r="AZ4014" i="10"/>
  <c r="AZ5008" i="10"/>
  <c r="AZ2109" i="10"/>
  <c r="AZ4015" i="10"/>
  <c r="AZ5017" i="10"/>
  <c r="AZ2110" i="10"/>
  <c r="AZ4034" i="10"/>
  <c r="AZ5019" i="10"/>
  <c r="AZ3066" i="10"/>
  <c r="AZ3240" i="10"/>
  <c r="AZ3241" i="10"/>
  <c r="AZ3264" i="10"/>
  <c r="AZ3266" i="10"/>
  <c r="AZ3293" i="10"/>
  <c r="AZ4494" i="10"/>
  <c r="AZ4590" i="10"/>
  <c r="AZ4610" i="10"/>
  <c r="AZ4612" i="10"/>
  <c r="AZ4636" i="10"/>
  <c r="AZ4591" i="10"/>
  <c r="A12" i="10"/>
  <c r="A24" i="10"/>
  <c r="A36" i="10"/>
  <c r="A48" i="10"/>
  <c r="A60" i="10"/>
  <c r="A72" i="10"/>
  <c r="A84" i="10"/>
  <c r="A96" i="10"/>
  <c r="A108" i="10"/>
  <c r="A120" i="10"/>
  <c r="A132" i="10"/>
  <c r="A144" i="10"/>
  <c r="A156" i="10"/>
  <c r="A168" i="10"/>
  <c r="A180" i="10"/>
  <c r="A192" i="10"/>
  <c r="A204" i="10"/>
  <c r="A216" i="10"/>
  <c r="A228" i="10"/>
  <c r="A240" i="10"/>
  <c r="A252" i="10"/>
  <c r="A264" i="10"/>
  <c r="A276" i="10"/>
  <c r="A288" i="10"/>
  <c r="A300" i="10"/>
  <c r="A312" i="10"/>
  <c r="A324" i="10"/>
  <c r="A336" i="10"/>
  <c r="A348" i="10"/>
  <c r="A360" i="10"/>
  <c r="A372" i="10"/>
  <c r="A384" i="10"/>
  <c r="A396" i="10"/>
  <c r="A408" i="10"/>
  <c r="A420" i="10"/>
  <c r="A432" i="10"/>
  <c r="A444" i="10"/>
  <c r="A456" i="10"/>
  <c r="A468" i="10"/>
  <c r="A480" i="10"/>
  <c r="A492" i="10"/>
  <c r="A504" i="10"/>
  <c r="A516" i="10"/>
  <c r="A528" i="10"/>
  <c r="A540" i="10"/>
  <c r="A552" i="10"/>
  <c r="A564" i="10"/>
  <c r="A576" i="10"/>
  <c r="A588" i="10"/>
  <c r="A600" i="10"/>
  <c r="A612" i="10"/>
  <c r="A624" i="10"/>
  <c r="A636" i="10"/>
  <c r="A648" i="10"/>
  <c r="A660" i="10"/>
  <c r="A672" i="10"/>
  <c r="A684" i="10"/>
  <c r="A696" i="10"/>
  <c r="A708" i="10"/>
  <c r="A720" i="10"/>
  <c r="A732" i="10"/>
  <c r="A744" i="10"/>
  <c r="A756" i="10"/>
  <c r="A768" i="10"/>
  <c r="A780" i="10"/>
  <c r="A792" i="10"/>
  <c r="A804" i="10"/>
  <c r="A816" i="10"/>
  <c r="A828" i="10"/>
  <c r="A840" i="10"/>
  <c r="A852" i="10"/>
  <c r="A864" i="10"/>
  <c r="A876" i="10"/>
  <c r="A888" i="10"/>
  <c r="A900" i="10"/>
  <c r="A912" i="10"/>
  <c r="A13" i="10"/>
  <c r="A25" i="10"/>
  <c r="A37" i="10"/>
  <c r="A49" i="10"/>
  <c r="A61" i="10"/>
  <c r="A73" i="10"/>
  <c r="A85" i="10"/>
  <c r="A97" i="10"/>
  <c r="A109" i="10"/>
  <c r="A121" i="10"/>
  <c r="A133" i="10"/>
  <c r="A145" i="10"/>
  <c r="A157" i="10"/>
  <c r="A169" i="10"/>
  <c r="A181" i="10"/>
  <c r="A193" i="10"/>
  <c r="A205" i="10"/>
  <c r="A217" i="10"/>
  <c r="A229" i="10"/>
  <c r="A241" i="10"/>
  <c r="A253" i="10"/>
  <c r="A265" i="10"/>
  <c r="A277" i="10"/>
  <c r="A289" i="10"/>
  <c r="A301" i="10"/>
  <c r="A313" i="10"/>
  <c r="A325" i="10"/>
  <c r="A337" i="10"/>
  <c r="A349" i="10"/>
  <c r="A361" i="10"/>
  <c r="A373" i="10"/>
  <c r="A385" i="10"/>
  <c r="A397" i="10"/>
  <c r="A409" i="10"/>
  <c r="A421" i="10"/>
  <c r="A433" i="10"/>
  <c r="A445" i="10"/>
  <c r="A457" i="10"/>
  <c r="A469" i="10"/>
  <c r="A481" i="10"/>
  <c r="A493" i="10"/>
  <c r="A505" i="10"/>
  <c r="A517" i="10"/>
  <c r="A529" i="10"/>
  <c r="A541" i="10"/>
  <c r="A6" i="10"/>
  <c r="A20" i="10"/>
  <c r="A34" i="10"/>
  <c r="A50" i="10"/>
  <c r="A64" i="10"/>
  <c r="A78" i="10"/>
  <c r="A92" i="10"/>
  <c r="A106" i="10"/>
  <c r="A122" i="10"/>
  <c r="A136" i="10"/>
  <c r="A150" i="10"/>
  <c r="A164" i="10"/>
  <c r="A178" i="10"/>
  <c r="A194" i="10"/>
  <c r="A208" i="10"/>
  <c r="A222" i="10"/>
  <c r="A236" i="10"/>
  <c r="A250" i="10"/>
  <c r="A266" i="10"/>
  <c r="A280" i="10"/>
  <c r="A294" i="10"/>
  <c r="A308" i="10"/>
  <c r="A322" i="10"/>
  <c r="A338" i="10"/>
  <c r="A352" i="10"/>
  <c r="A366" i="10"/>
  <c r="A380" i="10"/>
  <c r="A394" i="10"/>
  <c r="A410" i="10"/>
  <c r="A424" i="10"/>
  <c r="A438" i="10"/>
  <c r="A452" i="10"/>
  <c r="A466" i="10"/>
  <c r="A482" i="10"/>
  <c r="A496" i="10"/>
  <c r="A510" i="10"/>
  <c r="A524" i="10"/>
  <c r="A538" i="10"/>
  <c r="A553" i="10"/>
  <c r="A566" i="10"/>
  <c r="A579" i="10"/>
  <c r="A592" i="10"/>
  <c r="A605" i="10"/>
  <c r="A618" i="10"/>
  <c r="A631" i="10"/>
  <c r="A644" i="10"/>
  <c r="A657" i="10"/>
  <c r="A7" i="10"/>
  <c r="A21" i="10"/>
  <c r="A35" i="10"/>
  <c r="A51" i="10"/>
  <c r="A65" i="10"/>
  <c r="A79" i="10"/>
  <c r="A93" i="10"/>
  <c r="A107" i="10"/>
  <c r="A123" i="10"/>
  <c r="A137" i="10"/>
  <c r="A151" i="10"/>
  <c r="A165" i="10"/>
  <c r="A179" i="10"/>
  <c r="A195" i="10"/>
  <c r="A209" i="10"/>
  <c r="A223" i="10"/>
  <c r="A237" i="10"/>
  <c r="A251" i="10"/>
  <c r="A267" i="10"/>
  <c r="A281" i="10"/>
  <c r="A295" i="10"/>
  <c r="A309" i="10"/>
  <c r="A323" i="10"/>
  <c r="A339" i="10"/>
  <c r="A353" i="10"/>
  <c r="A367" i="10"/>
  <c r="A381" i="10"/>
  <c r="A395" i="10"/>
  <c r="A411" i="10"/>
  <c r="A425" i="10"/>
  <c r="A439" i="10"/>
  <c r="A453" i="10"/>
  <c r="A467" i="10"/>
  <c r="A483" i="10"/>
  <c r="A497" i="10"/>
  <c r="A511" i="10"/>
  <c r="A525" i="10"/>
  <c r="A539" i="10"/>
  <c r="A554" i="10"/>
  <c r="A567" i="10"/>
  <c r="A580" i="10"/>
  <c r="A593" i="10"/>
  <c r="A606" i="10"/>
  <c r="A619" i="10"/>
  <c r="A632" i="10"/>
  <c r="A645" i="10"/>
  <c r="A658" i="10"/>
  <c r="A671" i="10"/>
  <c r="A685" i="10"/>
  <c r="A698" i="10"/>
  <c r="A711" i="10"/>
  <c r="A724" i="10"/>
  <c r="A737" i="10"/>
  <c r="A750" i="10"/>
  <c r="A763" i="10"/>
  <c r="A776" i="10"/>
  <c r="A789" i="10"/>
  <c r="A802" i="10"/>
  <c r="A815" i="10"/>
  <c r="A829" i="10"/>
  <c r="A842" i="10"/>
  <c r="A855" i="10"/>
  <c r="A868" i="10"/>
  <c r="A881" i="10"/>
  <c r="A894" i="10"/>
  <c r="A907" i="10"/>
  <c r="A920" i="10"/>
  <c r="A932" i="10"/>
  <c r="A944" i="10"/>
  <c r="A956" i="10"/>
  <c r="A968" i="10"/>
  <c r="A980" i="10"/>
  <c r="A992" i="10"/>
  <c r="A1004" i="10"/>
  <c r="A1016" i="10"/>
  <c r="A1028" i="10"/>
  <c r="A1040" i="10"/>
  <c r="A1052" i="10"/>
  <c r="A1064" i="10"/>
  <c r="A1076" i="10"/>
  <c r="A1088" i="10"/>
  <c r="A1100" i="10"/>
  <c r="A1112" i="10"/>
  <c r="A1124" i="10"/>
  <c r="A8" i="10"/>
  <c r="A22" i="10"/>
  <c r="A38" i="10"/>
  <c r="A52" i="10"/>
  <c r="A66" i="10"/>
  <c r="A80" i="10"/>
  <c r="A94" i="10"/>
  <c r="A110" i="10"/>
  <c r="A124" i="10"/>
  <c r="A138" i="10"/>
  <c r="A152" i="10"/>
  <c r="A166" i="10"/>
  <c r="A182" i="10"/>
  <c r="A196" i="10"/>
  <c r="A210" i="10"/>
  <c r="A224" i="10"/>
  <c r="A238" i="10"/>
  <c r="A254" i="10"/>
  <c r="A268" i="10"/>
  <c r="A282" i="10"/>
  <c r="A296" i="10"/>
  <c r="A310" i="10"/>
  <c r="A326" i="10"/>
  <c r="A340" i="10"/>
  <c r="A354" i="10"/>
  <c r="A368" i="10"/>
  <c r="A382" i="10"/>
  <c r="A398" i="10"/>
  <c r="A412" i="10"/>
  <c r="A426" i="10"/>
  <c r="A440" i="10"/>
  <c r="A454" i="10"/>
  <c r="A470" i="10"/>
  <c r="A484" i="10"/>
  <c r="A498" i="10"/>
  <c r="A512" i="10"/>
  <c r="A526" i="10"/>
  <c r="A542" i="10"/>
  <c r="A555" i="10"/>
  <c r="A568" i="10"/>
  <c r="A581" i="10"/>
  <c r="A594" i="10"/>
  <c r="A607" i="10"/>
  <c r="A620" i="10"/>
  <c r="A633" i="10"/>
  <c r="A646" i="10"/>
  <c r="A659" i="10"/>
  <c r="A673" i="10"/>
  <c r="A686" i="10"/>
  <c r="A699" i="10"/>
  <c r="A712" i="10"/>
  <c r="A725" i="10"/>
  <c r="A738" i="10"/>
  <c r="A751" i="10"/>
  <c r="A764" i="10"/>
  <c r="A777" i="10"/>
  <c r="A790" i="10"/>
  <c r="A803" i="10"/>
  <c r="A817" i="10"/>
  <c r="A830" i="10"/>
  <c r="A843" i="10"/>
  <c r="A856" i="10"/>
  <c r="A869" i="10"/>
  <c r="A882" i="10"/>
  <c r="A895" i="10"/>
  <c r="A908" i="10"/>
  <c r="A921" i="10"/>
  <c r="A933" i="10"/>
  <c r="A945" i="10"/>
  <c r="A957" i="10"/>
  <c r="A969" i="10"/>
  <c r="A981" i="10"/>
  <c r="A993" i="10"/>
  <c r="A1005" i="10"/>
  <c r="A1017" i="10"/>
  <c r="A1029" i="10"/>
  <c r="A1041" i="10"/>
  <c r="A1053" i="10"/>
  <c r="A1065" i="10"/>
  <c r="A1077" i="10"/>
  <c r="A1089" i="10"/>
  <c r="A1101" i="10"/>
  <c r="A1113" i="10"/>
  <c r="A9" i="10"/>
  <c r="A23" i="10"/>
  <c r="A39" i="10"/>
  <c r="A53" i="10"/>
  <c r="A67" i="10"/>
  <c r="A81" i="10"/>
  <c r="A95" i="10"/>
  <c r="A111" i="10"/>
  <c r="A125" i="10"/>
  <c r="A139" i="10"/>
  <c r="A153" i="10"/>
  <c r="A167" i="10"/>
  <c r="A183" i="10"/>
  <c r="A197" i="10"/>
  <c r="A211" i="10"/>
  <c r="A225" i="10"/>
  <c r="A239" i="10"/>
  <c r="A255" i="10"/>
  <c r="A269" i="10"/>
  <c r="A283" i="10"/>
  <c r="A297" i="10"/>
  <c r="A311" i="10"/>
  <c r="A327" i="10"/>
  <c r="A341" i="10"/>
  <c r="A355" i="10"/>
  <c r="A369" i="10"/>
  <c r="A383" i="10"/>
  <c r="A399" i="10"/>
  <c r="A413" i="10"/>
  <c r="A427" i="10"/>
  <c r="A441" i="10"/>
  <c r="A455" i="10"/>
  <c r="A471" i="10"/>
  <c r="A485" i="10"/>
  <c r="A499" i="10"/>
  <c r="A513" i="10"/>
  <c r="A527" i="10"/>
  <c r="A543" i="10"/>
  <c r="A556" i="10"/>
  <c r="A569" i="10"/>
  <c r="A582" i="10"/>
  <c r="A595" i="10"/>
  <c r="A608" i="10"/>
  <c r="A621" i="10"/>
  <c r="A634" i="10"/>
  <c r="A647" i="10"/>
  <c r="A661" i="10"/>
  <c r="A674" i="10"/>
  <c r="A687" i="10"/>
  <c r="A700" i="10"/>
  <c r="A713" i="10"/>
  <c r="A726" i="10"/>
  <c r="A739" i="10"/>
  <c r="A752" i="10"/>
  <c r="A765" i="10"/>
  <c r="A778" i="10"/>
  <c r="A791" i="10"/>
  <c r="A805" i="10"/>
  <c r="A818" i="10"/>
  <c r="A831" i="10"/>
  <c r="A844" i="10"/>
  <c r="A857" i="10"/>
  <c r="A870" i="10"/>
  <c r="A883" i="10"/>
  <c r="A896" i="10"/>
  <c r="A909" i="10"/>
  <c r="A922" i="10"/>
  <c r="A934" i="10"/>
  <c r="A946" i="10"/>
  <c r="A958" i="10"/>
  <c r="A970" i="10"/>
  <c r="A982" i="10"/>
  <c r="A994" i="10"/>
  <c r="A1006" i="10"/>
  <c r="A1018" i="10"/>
  <c r="A1030" i="10"/>
  <c r="A1042" i="10"/>
  <c r="A1054" i="10"/>
  <c r="A1066" i="10"/>
  <c r="A1078" i="10"/>
  <c r="A1090" i="10"/>
  <c r="A1102" i="10"/>
  <c r="A1114" i="10"/>
  <c r="A1126" i="10"/>
  <c r="A1138" i="10"/>
  <c r="A1150" i="10"/>
  <c r="A1162" i="10"/>
  <c r="A1174" i="10"/>
  <c r="A1186" i="10"/>
  <c r="A1198" i="10"/>
  <c r="A1210" i="10"/>
  <c r="A1222" i="10"/>
  <c r="A1234" i="10"/>
  <c r="A1246" i="10"/>
  <c r="A1258" i="10"/>
  <c r="A1270" i="10"/>
  <c r="A1282" i="10"/>
  <c r="A1294" i="10"/>
  <c r="A1306" i="10"/>
  <c r="A1318" i="10"/>
  <c r="A1330" i="10"/>
  <c r="A1342" i="10"/>
  <c r="A1354" i="10"/>
  <c r="A1366" i="10"/>
  <c r="A1378" i="10"/>
  <c r="A1390" i="10"/>
  <c r="A1402" i="10"/>
  <c r="A1414" i="10"/>
  <c r="A1426" i="10"/>
  <c r="A1438" i="10"/>
  <c r="A1450" i="10"/>
  <c r="A1462" i="10"/>
  <c r="A1474" i="10"/>
  <c r="A1486" i="10"/>
  <c r="A1498" i="10"/>
  <c r="A1510" i="10"/>
  <c r="A1522" i="10"/>
  <c r="A1534" i="10"/>
  <c r="A1546" i="10"/>
  <c r="A1558" i="10"/>
  <c r="A1570" i="10"/>
  <c r="A1582" i="10"/>
  <c r="A1594" i="10"/>
  <c r="A1606" i="10"/>
  <c r="A1618" i="10"/>
  <c r="A1630" i="10"/>
  <c r="A1642" i="10"/>
  <c r="A1654" i="10"/>
  <c r="A1666" i="10"/>
  <c r="A1678" i="10"/>
  <c r="A1690" i="10"/>
  <c r="A1702" i="10"/>
  <c r="A1714" i="10"/>
  <c r="A1726" i="10"/>
  <c r="A1738" i="10"/>
  <c r="A1750" i="10"/>
  <c r="A1762" i="10"/>
  <c r="A10" i="10"/>
  <c r="A26" i="10"/>
  <c r="A40" i="10"/>
  <c r="A54" i="10"/>
  <c r="A68" i="10"/>
  <c r="A82" i="10"/>
  <c r="A98" i="10"/>
  <c r="A112" i="10"/>
  <c r="A126" i="10"/>
  <c r="A140" i="10"/>
  <c r="A154" i="10"/>
  <c r="A170" i="10"/>
  <c r="A184" i="10"/>
  <c r="A198" i="10"/>
  <c r="A212" i="10"/>
  <c r="A226" i="10"/>
  <c r="A242" i="10"/>
  <c r="A256" i="10"/>
  <c r="A270" i="10"/>
  <c r="A284" i="10"/>
  <c r="A298" i="10"/>
  <c r="A314" i="10"/>
  <c r="A328" i="10"/>
  <c r="A342" i="10"/>
  <c r="A356" i="10"/>
  <c r="A370" i="10"/>
  <c r="A386" i="10"/>
  <c r="A400" i="10"/>
  <c r="A414" i="10"/>
  <c r="A428" i="10"/>
  <c r="A442" i="10"/>
  <c r="A458" i="10"/>
  <c r="A472" i="10"/>
  <c r="A486" i="10"/>
  <c r="A500" i="10"/>
  <c r="A514" i="10"/>
  <c r="A530" i="10"/>
  <c r="A544" i="10"/>
  <c r="A557" i="10"/>
  <c r="A570" i="10"/>
  <c r="A583" i="10"/>
  <c r="A596" i="10"/>
  <c r="A609" i="10"/>
  <c r="A622" i="10"/>
  <c r="A635" i="10"/>
  <c r="A649" i="10"/>
  <c r="A662" i="10"/>
  <c r="A675" i="10"/>
  <c r="A688" i="10"/>
  <c r="A701" i="10"/>
  <c r="A714" i="10"/>
  <c r="A727" i="10"/>
  <c r="A740" i="10"/>
  <c r="A753" i="10"/>
  <c r="A766" i="10"/>
  <c r="A779" i="10"/>
  <c r="A793" i="10"/>
  <c r="A806" i="10"/>
  <c r="A819" i="10"/>
  <c r="A832" i="10"/>
  <c r="A845" i="10"/>
  <c r="A858" i="10"/>
  <c r="A871" i="10"/>
  <c r="A884" i="10"/>
  <c r="A897" i="10"/>
  <c r="A910" i="10"/>
  <c r="A923" i="10"/>
  <c r="A935" i="10"/>
  <c r="A947" i="10"/>
  <c r="A959" i="10"/>
  <c r="A971" i="10"/>
  <c r="A983" i="10"/>
  <c r="A995" i="10"/>
  <c r="A1007" i="10"/>
  <c r="A1019" i="10"/>
  <c r="A1031" i="10"/>
  <c r="A1043" i="10"/>
  <c r="A1055" i="10"/>
  <c r="A1067" i="10"/>
  <c r="A1079" i="10"/>
  <c r="A1091" i="10"/>
  <c r="A1103" i="10"/>
  <c r="A1115" i="10"/>
  <c r="A1127" i="10"/>
  <c r="A1139" i="10"/>
  <c r="A1151" i="10"/>
  <c r="A1163" i="10"/>
  <c r="A1175" i="10"/>
  <c r="A1187" i="10"/>
  <c r="A1199" i="10"/>
  <c r="A1211" i="10"/>
  <c r="A1223" i="10"/>
  <c r="A1235" i="10"/>
  <c r="A1247" i="10"/>
  <c r="A1259" i="10"/>
  <c r="A1271" i="10"/>
  <c r="A1283" i="10"/>
  <c r="A1295" i="10"/>
  <c r="A1307" i="10"/>
  <c r="A1319" i="10"/>
  <c r="A1331" i="10"/>
  <c r="A1343" i="10"/>
  <c r="A1355" i="10"/>
  <c r="A1367" i="10"/>
  <c r="A1379" i="10"/>
  <c r="A1391" i="10"/>
  <c r="A1403" i="10"/>
  <c r="A1415" i="10"/>
  <c r="A1427" i="10"/>
  <c r="A1439" i="10"/>
  <c r="A1451" i="10"/>
  <c r="A1463" i="10"/>
  <c r="A1475" i="10"/>
  <c r="A1487" i="10"/>
  <c r="A1499" i="10"/>
  <c r="A1511" i="10"/>
  <c r="A1523" i="10"/>
  <c r="A1535" i="10"/>
  <c r="A1547" i="10"/>
  <c r="A1559" i="10"/>
  <c r="A1571" i="10"/>
  <c r="A1583" i="10"/>
  <c r="A1595" i="10"/>
  <c r="A1607" i="10"/>
  <c r="A1619" i="10"/>
  <c r="A1631" i="10"/>
  <c r="A1643" i="10"/>
  <c r="A1655" i="10"/>
  <c r="A1667" i="10"/>
  <c r="A1679" i="10"/>
  <c r="A1691" i="10"/>
  <c r="A1703" i="10"/>
  <c r="A1715" i="10"/>
  <c r="A1727" i="10"/>
  <c r="A1739" i="10"/>
  <c r="A1751" i="10"/>
  <c r="A1763" i="10"/>
  <c r="A11" i="10"/>
  <c r="A27" i="10"/>
  <c r="A41" i="10"/>
  <c r="A55" i="10"/>
  <c r="A69" i="10"/>
  <c r="A83" i="10"/>
  <c r="A99" i="10"/>
  <c r="A113" i="10"/>
  <c r="A127" i="10"/>
  <c r="A141" i="10"/>
  <c r="A155" i="10"/>
  <c r="A171" i="10"/>
  <c r="A185" i="10"/>
  <c r="A199" i="10"/>
  <c r="A213" i="10"/>
  <c r="A227" i="10"/>
  <c r="A243" i="10"/>
  <c r="A257" i="10"/>
  <c r="A271" i="10"/>
  <c r="A285" i="10"/>
  <c r="A299" i="10"/>
  <c r="A315" i="10"/>
  <c r="A329" i="10"/>
  <c r="A343" i="10"/>
  <c r="A357" i="10"/>
  <c r="A371" i="10"/>
  <c r="A387" i="10"/>
  <c r="A401" i="10"/>
  <c r="A415" i="10"/>
  <c r="A429" i="10"/>
  <c r="A443" i="10"/>
  <c r="A459" i="10"/>
  <c r="A473" i="10"/>
  <c r="A487" i="10"/>
  <c r="A501" i="10"/>
  <c r="A515" i="10"/>
  <c r="A531" i="10"/>
  <c r="A545" i="10"/>
  <c r="A558" i="10"/>
  <c r="A571" i="10"/>
  <c r="A584" i="10"/>
  <c r="A597" i="10"/>
  <c r="A610" i="10"/>
  <c r="A623" i="10"/>
  <c r="A637" i="10"/>
  <c r="A650" i="10"/>
  <c r="A663" i="10"/>
  <c r="A676" i="10"/>
  <c r="A689" i="10"/>
  <c r="A702" i="10"/>
  <c r="A715" i="10"/>
  <c r="A728" i="10"/>
  <c r="A741" i="10"/>
  <c r="A754" i="10"/>
  <c r="A767" i="10"/>
  <c r="A781" i="10"/>
  <c r="A794" i="10"/>
  <c r="A807" i="10"/>
  <c r="A820" i="10"/>
  <c r="A833" i="10"/>
  <c r="A846" i="10"/>
  <c r="A859" i="10"/>
  <c r="A872" i="10"/>
  <c r="A885" i="10"/>
  <c r="A898" i="10"/>
  <c r="A911" i="10"/>
  <c r="A924" i="10"/>
  <c r="A936" i="10"/>
  <c r="A948" i="10"/>
  <c r="A960" i="10"/>
  <c r="A972" i="10"/>
  <c r="A984" i="10"/>
  <c r="A996" i="10"/>
  <c r="A1008" i="10"/>
  <c r="A1020" i="10"/>
  <c r="A1032" i="10"/>
  <c r="A1044" i="10"/>
  <c r="A1056" i="10"/>
  <c r="A1068" i="10"/>
  <c r="A1080" i="10"/>
  <c r="A1092" i="10"/>
  <c r="A1104" i="10"/>
  <c r="A1116" i="10"/>
  <c r="A1128" i="10"/>
  <c r="A1140" i="10"/>
  <c r="A1152" i="10"/>
  <c r="A1164" i="10"/>
  <c r="A1176" i="10"/>
  <c r="A1188" i="10"/>
  <c r="A1200" i="10"/>
  <c r="A1212" i="10"/>
  <c r="A1224" i="10"/>
  <c r="A1236" i="10"/>
  <c r="A1248" i="10"/>
  <c r="A1260" i="10"/>
  <c r="A1272" i="10"/>
  <c r="A1284" i="10"/>
  <c r="A29" i="10"/>
  <c r="A57" i="10"/>
  <c r="A87" i="10"/>
  <c r="A115" i="10"/>
  <c r="A143" i="10"/>
  <c r="A173" i="10"/>
  <c r="A201" i="10"/>
  <c r="A231" i="10"/>
  <c r="A259" i="10"/>
  <c r="A287" i="10"/>
  <c r="A317" i="10"/>
  <c r="A345" i="10"/>
  <c r="A375" i="10"/>
  <c r="A403" i="10"/>
  <c r="A431" i="10"/>
  <c r="A461" i="10"/>
  <c r="A489" i="10"/>
  <c r="A519" i="10"/>
  <c r="A547" i="10"/>
  <c r="A573" i="10"/>
  <c r="A599" i="10"/>
  <c r="A626" i="10"/>
  <c r="A652" i="10"/>
  <c r="A677" i="10"/>
  <c r="A695" i="10"/>
  <c r="A719" i="10"/>
  <c r="A743" i="10"/>
  <c r="A762" i="10"/>
  <c r="A786" i="10"/>
  <c r="A810" i="10"/>
  <c r="A834" i="10"/>
  <c r="A853" i="10"/>
  <c r="A877" i="10"/>
  <c r="A901" i="10"/>
  <c r="A919" i="10"/>
  <c r="A941" i="10"/>
  <c r="A963" i="10"/>
  <c r="A985" i="10"/>
  <c r="A1002" i="10"/>
  <c r="A1024" i="10"/>
  <c r="A1046" i="10"/>
  <c r="A1063" i="10"/>
  <c r="A1085" i="10"/>
  <c r="A1107" i="10"/>
  <c r="A1125" i="10"/>
  <c r="A1143" i="10"/>
  <c r="A1158" i="10"/>
  <c r="A1173" i="10"/>
  <c r="A1191" i="10"/>
  <c r="A1206" i="10"/>
  <c r="A1221" i="10"/>
  <c r="A1239" i="10"/>
  <c r="A1254" i="10"/>
  <c r="A1269" i="10"/>
  <c r="A1287" i="10"/>
  <c r="A1301" i="10"/>
  <c r="A1315" i="10"/>
  <c r="A1329" i="10"/>
  <c r="A1345" i="10"/>
  <c r="A3" i="10"/>
  <c r="A31" i="10"/>
  <c r="A59" i="10"/>
  <c r="A89" i="10"/>
  <c r="A117" i="10"/>
  <c r="A147" i="10"/>
  <c r="A175" i="10"/>
  <c r="A203" i="10"/>
  <c r="A233" i="10"/>
  <c r="A261" i="10"/>
  <c r="A291" i="10"/>
  <c r="A319" i="10"/>
  <c r="A347" i="10"/>
  <c r="A377" i="10"/>
  <c r="A405" i="10"/>
  <c r="A435" i="10"/>
  <c r="A463" i="10"/>
  <c r="A491" i="10"/>
  <c r="A521" i="10"/>
  <c r="A549" i="10"/>
  <c r="A575" i="10"/>
  <c r="A602" i="10"/>
  <c r="A628" i="10"/>
  <c r="A654" i="10"/>
  <c r="A679" i="10"/>
  <c r="A703" i="10"/>
  <c r="A722" i="10"/>
  <c r="A746" i="10"/>
  <c r="A770" i="10"/>
  <c r="A788" i="10"/>
  <c r="A812" i="10"/>
  <c r="A836" i="10"/>
  <c r="A860" i="10"/>
  <c r="A879" i="10"/>
  <c r="A903" i="10"/>
  <c r="A926" i="10"/>
  <c r="A943" i="10"/>
  <c r="A965" i="10"/>
  <c r="A987" i="10"/>
  <c r="A1009" i="10"/>
  <c r="A1026" i="10"/>
  <c r="A1048" i="10"/>
  <c r="A1070" i="10"/>
  <c r="A1087" i="10"/>
  <c r="A1109" i="10"/>
  <c r="A1130" i="10"/>
  <c r="A1145" i="10"/>
  <c r="A1160" i="10"/>
  <c r="A1178" i="10"/>
  <c r="A1193" i="10"/>
  <c r="A1208" i="10"/>
  <c r="A1226" i="10"/>
  <c r="A1241" i="10"/>
  <c r="A1256" i="10"/>
  <c r="A1274" i="10"/>
  <c r="A1289" i="10"/>
  <c r="A1303" i="10"/>
  <c r="A1317" i="10"/>
  <c r="A1333" i="10"/>
  <c r="A1347" i="10"/>
  <c r="A1361" i="10"/>
  <c r="A1375" i="10"/>
  <c r="A1389" i="10"/>
  <c r="A1405" i="10"/>
  <c r="A1419" i="10"/>
  <c r="A1433" i="10"/>
  <c r="A1447" i="10"/>
  <c r="A1461" i="10"/>
  <c r="A1477" i="10"/>
  <c r="A1491" i="10"/>
  <c r="A1505" i="10"/>
  <c r="A1519" i="10"/>
  <c r="A1533" i="10"/>
  <c r="A1549" i="10"/>
  <c r="A1563" i="10"/>
  <c r="A1577" i="10"/>
  <c r="A1591" i="10"/>
  <c r="A1605" i="10"/>
  <c r="A1621" i="10"/>
  <c r="A1635" i="10"/>
  <c r="A1649" i="10"/>
  <c r="A1663" i="10"/>
  <c r="A1677" i="10"/>
  <c r="A1693" i="10"/>
  <c r="A1707" i="10"/>
  <c r="A1721" i="10"/>
  <c r="A1735" i="10"/>
  <c r="A1749" i="10"/>
  <c r="A4" i="10"/>
  <c r="A32" i="10"/>
  <c r="A62" i="10"/>
  <c r="A90" i="10"/>
  <c r="A118" i="10"/>
  <c r="A148" i="10"/>
  <c r="A176" i="10"/>
  <c r="A206" i="10"/>
  <c r="A234" i="10"/>
  <c r="A262" i="10"/>
  <c r="A292" i="10"/>
  <c r="A320" i="10"/>
  <c r="A350" i="10"/>
  <c r="A378" i="10"/>
  <c r="A406" i="10"/>
  <c r="A436" i="10"/>
  <c r="A464" i="10"/>
  <c r="A494" i="10"/>
  <c r="A522" i="10"/>
  <c r="A550" i="10"/>
  <c r="A577" i="10"/>
  <c r="A603" i="10"/>
  <c r="A629" i="10"/>
  <c r="A655" i="10"/>
  <c r="A680" i="10"/>
  <c r="A704" i="10"/>
  <c r="A723" i="10"/>
  <c r="A747" i="10"/>
  <c r="A771" i="10"/>
  <c r="A795" i="10"/>
  <c r="A813" i="10"/>
  <c r="A837" i="10"/>
  <c r="A861" i="10"/>
  <c r="A880" i="10"/>
  <c r="A904" i="10"/>
  <c r="A927" i="10"/>
  <c r="A949" i="10"/>
  <c r="A966" i="10"/>
  <c r="A988" i="10"/>
  <c r="A1010" i="10"/>
  <c r="A1027" i="10"/>
  <c r="A1049" i="10"/>
  <c r="A1071" i="10"/>
  <c r="A1093" i="10"/>
  <c r="A1110" i="10"/>
  <c r="A1131" i="10"/>
  <c r="A1146" i="10"/>
  <c r="A1161" i="10"/>
  <c r="A1179" i="10"/>
  <c r="A1194" i="10"/>
  <c r="A1209" i="10"/>
  <c r="A1227" i="10"/>
  <c r="A1242" i="10"/>
  <c r="A1257" i="10"/>
  <c r="A1275" i="10"/>
  <c r="A1290" i="10"/>
  <c r="A1304" i="10"/>
  <c r="A1320" i="10"/>
  <c r="A1334" i="10"/>
  <c r="A1348" i="10"/>
  <c r="A1362" i="10"/>
  <c r="A1376" i="10"/>
  <c r="A1392" i="10"/>
  <c r="A1406" i="10"/>
  <c r="A1420" i="10"/>
  <c r="A1434" i="10"/>
  <c r="A1448" i="10"/>
  <c r="A1464" i="10"/>
  <c r="A1478" i="10"/>
  <c r="A1492" i="10"/>
  <c r="A1506" i="10"/>
  <c r="A1520" i="10"/>
  <c r="A1536" i="10"/>
  <c r="A1550" i="10"/>
  <c r="A1564" i="10"/>
  <c r="A1578" i="10"/>
  <c r="A1592" i="10"/>
  <c r="A1608" i="10"/>
  <c r="A1622" i="10"/>
  <c r="A1636" i="10"/>
  <c r="A1650" i="10"/>
  <c r="A1664" i="10"/>
  <c r="A1680" i="10"/>
  <c r="A1694" i="10"/>
  <c r="A5" i="10"/>
  <c r="A33" i="10"/>
  <c r="A63" i="10"/>
  <c r="A91" i="10"/>
  <c r="A119" i="10"/>
  <c r="A149" i="10"/>
  <c r="A177" i="10"/>
  <c r="A207" i="10"/>
  <c r="A235" i="10"/>
  <c r="A263" i="10"/>
  <c r="A293" i="10"/>
  <c r="A321" i="10"/>
  <c r="A351" i="10"/>
  <c r="A379" i="10"/>
  <c r="A407" i="10"/>
  <c r="A437" i="10"/>
  <c r="A465" i="10"/>
  <c r="A495" i="10"/>
  <c r="A523" i="10"/>
  <c r="A551" i="10"/>
  <c r="A578" i="10"/>
  <c r="A604" i="10"/>
  <c r="A630" i="10"/>
  <c r="A656" i="10"/>
  <c r="A681" i="10"/>
  <c r="A705" i="10"/>
  <c r="A729" i="10"/>
  <c r="A748" i="10"/>
  <c r="A772" i="10"/>
  <c r="A796" i="10"/>
  <c r="A814" i="10"/>
  <c r="A838" i="10"/>
  <c r="A862" i="10"/>
  <c r="A886" i="10"/>
  <c r="A905" i="10"/>
  <c r="A928" i="10"/>
  <c r="A950" i="10"/>
  <c r="A967" i="10"/>
  <c r="A989" i="10"/>
  <c r="A1011" i="10"/>
  <c r="A1033" i="10"/>
  <c r="A1050" i="10"/>
  <c r="A1072" i="10"/>
  <c r="A1094" i="10"/>
  <c r="A1111" i="10"/>
  <c r="A1132" i="10"/>
  <c r="A1147" i="10"/>
  <c r="A1165" i="10"/>
  <c r="A1180" i="10"/>
  <c r="A1195" i="10"/>
  <c r="A14" i="10"/>
  <c r="A42" i="10"/>
  <c r="A70" i="10"/>
  <c r="A100" i="10"/>
  <c r="A128" i="10"/>
  <c r="A158" i="10"/>
  <c r="A186" i="10"/>
  <c r="A214" i="10"/>
  <c r="A244" i="10"/>
  <c r="A272" i="10"/>
  <c r="A302" i="10"/>
  <c r="A330" i="10"/>
  <c r="A358" i="10"/>
  <c r="A2" i="10"/>
  <c r="A47" i="10"/>
  <c r="A103" i="10"/>
  <c r="A159" i="10"/>
  <c r="A200" i="10"/>
  <c r="A248" i="10"/>
  <c r="A304" i="10"/>
  <c r="A346" i="10"/>
  <c r="A392" i="10"/>
  <c r="A446" i="10"/>
  <c r="A478" i="10"/>
  <c r="A532" i="10"/>
  <c r="A563" i="10"/>
  <c r="A611" i="10"/>
  <c r="A642" i="10"/>
  <c r="A682" i="10"/>
  <c r="A716" i="10"/>
  <c r="A749" i="10"/>
  <c r="A783" i="10"/>
  <c r="A821" i="10"/>
  <c r="A849" i="10"/>
  <c r="A887" i="10"/>
  <c r="A916" i="10"/>
  <c r="A951" i="10"/>
  <c r="A977" i="10"/>
  <c r="A1012" i="10"/>
  <c r="A1038" i="10"/>
  <c r="A1073" i="10"/>
  <c r="A1099" i="10"/>
  <c r="A1133" i="10"/>
  <c r="A1155" i="10"/>
  <c r="A1181" i="10"/>
  <c r="A1203" i="10"/>
  <c r="A1225" i="10"/>
  <c r="A1245" i="10"/>
  <c r="A1266" i="10"/>
  <c r="A1288" i="10"/>
  <c r="A1309" i="10"/>
  <c r="A1326" i="10"/>
  <c r="A1346" i="10"/>
  <c r="A1364" i="10"/>
  <c r="A1382" i="10"/>
  <c r="A16" i="10"/>
  <c r="A58" i="10"/>
  <c r="A105" i="10"/>
  <c r="A161" i="10"/>
  <c r="A215" i="10"/>
  <c r="A258" i="10"/>
  <c r="A306" i="10"/>
  <c r="A362" i="10"/>
  <c r="A402" i="10"/>
  <c r="A448" i="10"/>
  <c r="A488" i="10"/>
  <c r="A534" i="10"/>
  <c r="A572" i="10"/>
  <c r="A614" i="10"/>
  <c r="A651" i="10"/>
  <c r="A690" i="10"/>
  <c r="A718" i="10"/>
  <c r="A757" i="10"/>
  <c r="A785" i="10"/>
  <c r="A823" i="10"/>
  <c r="A851" i="10"/>
  <c r="A890" i="10"/>
  <c r="A918" i="10"/>
  <c r="A953" i="10"/>
  <c r="A979" i="10"/>
  <c r="A1014" i="10"/>
  <c r="A1045" i="10"/>
  <c r="A1075" i="10"/>
  <c r="A1106" i="10"/>
  <c r="A1135" i="10"/>
  <c r="A1157" i="10"/>
  <c r="A1183" i="10"/>
  <c r="A1205" i="10"/>
  <c r="A1229" i="10"/>
  <c r="A1250" i="10"/>
  <c r="A1268" i="10"/>
  <c r="A1292" i="10"/>
  <c r="A1311" i="10"/>
  <c r="A1328" i="10"/>
  <c r="A1350" i="10"/>
  <c r="A1368" i="10"/>
  <c r="A1384" i="10"/>
  <c r="A1400" i="10"/>
  <c r="A1418" i="10"/>
  <c r="A1436" i="10"/>
  <c r="A1454" i="10"/>
  <c r="A1470" i="10"/>
  <c r="A1488" i="10"/>
  <c r="A1504" i="10"/>
  <c r="A1524" i="10"/>
  <c r="A1540" i="10"/>
  <c r="A1556" i="10"/>
  <c r="A1574" i="10"/>
  <c r="A1590" i="10"/>
  <c r="A1610" i="10"/>
  <c r="A1626" i="10"/>
  <c r="A1644" i="10"/>
  <c r="A1660" i="10"/>
  <c r="A1676" i="10"/>
  <c r="A1696" i="10"/>
  <c r="A1711" i="10"/>
  <c r="A1728" i="10"/>
  <c r="A1743" i="10"/>
  <c r="A1758" i="10"/>
  <c r="A17" i="10"/>
  <c r="A71" i="10"/>
  <c r="A114" i="10"/>
  <c r="A162" i="10"/>
  <c r="A218" i="10"/>
  <c r="A260" i="10"/>
  <c r="A307" i="10"/>
  <c r="A363" i="10"/>
  <c r="A404" i="10"/>
  <c r="A449" i="10"/>
  <c r="A490" i="10"/>
  <c r="A535" i="10"/>
  <c r="A574" i="10"/>
  <c r="A615" i="10"/>
  <c r="A653" i="10"/>
  <c r="A691" i="10"/>
  <c r="A721" i="10"/>
  <c r="A758" i="10"/>
  <c r="A787" i="10"/>
  <c r="A824" i="10"/>
  <c r="A854" i="10"/>
  <c r="A891" i="10"/>
  <c r="A925" i="10"/>
  <c r="A954" i="10"/>
  <c r="A986" i="10"/>
  <c r="A1015" i="10"/>
  <c r="A1047" i="10"/>
  <c r="A1081" i="10"/>
  <c r="A1108" i="10"/>
  <c r="A1136" i="10"/>
  <c r="A1159" i="10"/>
  <c r="A1184" i="10"/>
  <c r="A1207" i="10"/>
  <c r="A1230" i="10"/>
  <c r="A1251" i="10"/>
  <c r="A1273" i="10"/>
  <c r="A1293" i="10"/>
  <c r="A1312" i="10"/>
  <c r="A1332" i="10"/>
  <c r="A1351" i="10"/>
  <c r="A1369" i="10"/>
  <c r="A1385" i="10"/>
  <c r="A1401" i="10"/>
  <c r="A1421" i="10"/>
  <c r="A1437" i="10"/>
  <c r="A1455" i="10"/>
  <c r="A1471" i="10"/>
  <c r="A1489" i="10"/>
  <c r="A1507" i="10"/>
  <c r="A1525" i="10"/>
  <c r="A1541" i="10"/>
  <c r="A1557" i="10"/>
  <c r="A1575" i="10"/>
  <c r="A1593" i="10"/>
  <c r="A1611" i="10"/>
  <c r="A1627" i="10"/>
  <c r="A1645" i="10"/>
  <c r="A1661" i="10"/>
  <c r="A1681" i="10"/>
  <c r="A1697" i="10"/>
  <c r="A1712" i="10"/>
  <c r="A1729" i="10"/>
  <c r="A1744" i="10"/>
  <c r="A1759" i="10"/>
  <c r="A18" i="10"/>
  <c r="A74" i="10"/>
  <c r="A116" i="10"/>
  <c r="A163" i="10"/>
  <c r="A219" i="10"/>
  <c r="A273" i="10"/>
  <c r="A316" i="10"/>
  <c r="A364" i="10"/>
  <c r="A416" i="10"/>
  <c r="A450" i="10"/>
  <c r="A502" i="10"/>
  <c r="A536" i="10"/>
  <c r="A585" i="10"/>
  <c r="A616" i="10"/>
  <c r="A664" i="10"/>
  <c r="A692" i="10"/>
  <c r="A730" i="10"/>
  <c r="A759" i="10"/>
  <c r="A797" i="10"/>
  <c r="A825" i="10"/>
  <c r="A863" i="10"/>
  <c r="A892" i="10"/>
  <c r="A929" i="10"/>
  <c r="A955" i="10"/>
  <c r="A990" i="10"/>
  <c r="A1021" i="10"/>
  <c r="A1051" i="10"/>
  <c r="A1082" i="10"/>
  <c r="A1117" i="10"/>
  <c r="A1137" i="10"/>
  <c r="A1166" i="10"/>
  <c r="A1185" i="10"/>
  <c r="A1213" i="10"/>
  <c r="A1231" i="10"/>
  <c r="A1252" i="10"/>
  <c r="A1276" i="10"/>
  <c r="A1296" i="10"/>
  <c r="A1313" i="10"/>
  <c r="A1335" i="10"/>
  <c r="A1352" i="10"/>
  <c r="A1370" i="10"/>
  <c r="A1386" i="10"/>
  <c r="A1404" i="10"/>
  <c r="A1422" i="10"/>
  <c r="A1440" i="10"/>
  <c r="A1456" i="10"/>
  <c r="A1472" i="10"/>
  <c r="A1490" i="10"/>
  <c r="A1508" i="10"/>
  <c r="A1526" i="10"/>
  <c r="A1542" i="10"/>
  <c r="A1560" i="10"/>
  <c r="A1576" i="10"/>
  <c r="A1596" i="10"/>
  <c r="A1612" i="10"/>
  <c r="A1628" i="10"/>
  <c r="A1646" i="10"/>
  <c r="A1662" i="10"/>
  <c r="A1682" i="10"/>
  <c r="A1698" i="10"/>
  <c r="A1713" i="10"/>
  <c r="A1730" i="10"/>
  <c r="A1745" i="10"/>
  <c r="A1760" i="10"/>
  <c r="A19" i="10"/>
  <c r="A75" i="10"/>
  <c r="A129" i="10"/>
  <c r="A172" i="10"/>
  <c r="A220" i="10"/>
  <c r="A274" i="10"/>
  <c r="A318" i="10"/>
  <c r="A365" i="10"/>
  <c r="A417" i="10"/>
  <c r="A451" i="10"/>
  <c r="A503" i="10"/>
  <c r="A537" i="10"/>
  <c r="A586" i="10"/>
  <c r="A617" i="10"/>
  <c r="A665" i="10"/>
  <c r="A693" i="10"/>
  <c r="A731" i="10"/>
  <c r="A760" i="10"/>
  <c r="A798" i="10"/>
  <c r="A826" i="10"/>
  <c r="A865" i="10"/>
  <c r="A893" i="10"/>
  <c r="A930" i="10"/>
  <c r="A961" i="10"/>
  <c r="A991" i="10"/>
  <c r="A1022" i="10"/>
  <c r="A1057" i="10"/>
  <c r="A1083" i="10"/>
  <c r="A1118" i="10"/>
  <c r="A1141" i="10"/>
  <c r="A1167" i="10"/>
  <c r="A1189" i="10"/>
  <c r="A1214" i="10"/>
  <c r="A1232" i="10"/>
  <c r="A1253" i="10"/>
  <c r="A1277" i="10"/>
  <c r="A1297" i="10"/>
  <c r="A1314" i="10"/>
  <c r="A1336" i="10"/>
  <c r="A1353" i="10"/>
  <c r="A1371" i="10"/>
  <c r="A1387" i="10"/>
  <c r="A1407" i="10"/>
  <c r="A1423" i="10"/>
  <c r="A1441" i="10"/>
  <c r="A1457" i="10"/>
  <c r="A1473" i="10"/>
  <c r="A1493" i="10"/>
  <c r="A1509" i="10"/>
  <c r="A1527" i="10"/>
  <c r="A1543" i="10"/>
  <c r="A1561" i="10"/>
  <c r="A1579" i="10"/>
  <c r="A1597" i="10"/>
  <c r="A1613" i="10"/>
  <c r="A1629" i="10"/>
  <c r="A1647" i="10"/>
  <c r="A1665" i="10"/>
  <c r="A1683" i="10"/>
  <c r="A1699" i="10"/>
  <c r="A1716" i="10"/>
  <c r="A1731" i="10"/>
  <c r="A1746" i="10"/>
  <c r="A1761" i="10"/>
  <c r="A76" i="10"/>
  <c r="A146" i="10"/>
  <c r="A245" i="10"/>
  <c r="A332" i="10"/>
  <c r="A393" i="10"/>
  <c r="A476" i="10"/>
  <c r="A559" i="10"/>
  <c r="A625" i="10"/>
  <c r="A678" i="10"/>
  <c r="A736" i="10"/>
  <c r="A800" i="10"/>
  <c r="A850" i="10"/>
  <c r="A914" i="10"/>
  <c r="A973" i="10"/>
  <c r="A1023" i="10"/>
  <c r="A1069" i="10"/>
  <c r="A1122" i="10"/>
  <c r="A1169" i="10"/>
  <c r="A1204" i="10"/>
  <c r="A1243" i="10"/>
  <c r="A1280" i="10"/>
  <c r="A1316" i="10"/>
  <c r="A1344" i="10"/>
  <c r="A1377" i="10"/>
  <c r="A1408" i="10"/>
  <c r="A1430" i="10"/>
  <c r="A1458" i="10"/>
  <c r="A1482" i="10"/>
  <c r="A1512" i="10"/>
  <c r="A1532" i="10"/>
  <c r="A1562" i="10"/>
  <c r="A1586" i="10"/>
  <c r="A1614" i="10"/>
  <c r="A1638" i="10"/>
  <c r="A1668" i="10"/>
  <c r="A1688" i="10"/>
  <c r="A1717" i="10"/>
  <c r="A1737" i="10"/>
  <c r="A77" i="10"/>
  <c r="A160" i="10"/>
  <c r="A246" i="10"/>
  <c r="A333" i="10"/>
  <c r="A418" i="10"/>
  <c r="A477" i="10"/>
  <c r="A560" i="10"/>
  <c r="A627" i="10"/>
  <c r="A683" i="10"/>
  <c r="A742" i="10"/>
  <c r="A801" i="10"/>
  <c r="A866" i="10"/>
  <c r="A915" i="10"/>
  <c r="A974" i="10"/>
  <c r="A1025" i="10"/>
  <c r="A1074" i="10"/>
  <c r="A1123" i="10"/>
  <c r="A1170" i="10"/>
  <c r="A1215" i="10"/>
  <c r="A1244" i="10"/>
  <c r="A1281" i="10"/>
  <c r="A1321" i="10"/>
  <c r="A1349" i="10"/>
  <c r="A1380" i="10"/>
  <c r="A1409" i="10"/>
  <c r="A1431" i="10"/>
  <c r="A1459" i="10"/>
  <c r="A1483" i="10"/>
  <c r="A1513" i="10"/>
  <c r="A1537" i="10"/>
  <c r="A1565" i="10"/>
  <c r="A1587" i="10"/>
  <c r="A1615" i="10"/>
  <c r="A1639" i="10"/>
  <c r="A1669" i="10"/>
  <c r="A1689" i="10"/>
  <c r="A1718" i="10"/>
  <c r="A1740" i="10"/>
  <c r="A88" i="10"/>
  <c r="A187" i="10"/>
  <c r="A249" i="10"/>
  <c r="A335" i="10"/>
  <c r="A422" i="10"/>
  <c r="A506" i="10"/>
  <c r="A562" i="10"/>
  <c r="A639" i="10"/>
  <c r="A697" i="10"/>
  <c r="A755" i="10"/>
  <c r="A809" i="10"/>
  <c r="A873" i="10"/>
  <c r="A931" i="10"/>
  <c r="A976" i="10"/>
  <c r="A1035" i="10"/>
  <c r="A1086" i="10"/>
  <c r="A1134" i="10"/>
  <c r="A1172" i="10"/>
  <c r="A1217" i="10"/>
  <c r="A1255" i="10"/>
  <c r="A1286" i="10"/>
  <c r="A1323" i="10"/>
  <c r="A1357" i="10"/>
  <c r="A1383" i="10"/>
  <c r="A1411" i="10"/>
  <c r="A1435" i="10"/>
  <c r="A1465" i="10"/>
  <c r="A1485" i="10"/>
  <c r="A1515" i="10"/>
  <c r="A1539" i="10"/>
  <c r="A1567" i="10"/>
  <c r="A1589" i="10"/>
  <c r="A1617" i="10"/>
  <c r="A1641" i="10"/>
  <c r="A1671" i="10"/>
  <c r="A1695" i="10"/>
  <c r="A1720" i="10"/>
  <c r="A1742" i="10"/>
  <c r="A15" i="10"/>
  <c r="A101" i="10"/>
  <c r="A188" i="10"/>
  <c r="A275" i="10"/>
  <c r="A344" i="10"/>
  <c r="A423" i="10"/>
  <c r="A507" i="10"/>
  <c r="A565" i="10"/>
  <c r="A640" i="10"/>
  <c r="A706" i="10"/>
  <c r="A761" i="10"/>
  <c r="A811" i="10"/>
  <c r="A874" i="10"/>
  <c r="A937" i="10"/>
  <c r="A978" i="10"/>
  <c r="A1036" i="10"/>
  <c r="A1095" i="10"/>
  <c r="A1142" i="10"/>
  <c r="A1177" i="10"/>
  <c r="A1218" i="10"/>
  <c r="A1261" i="10"/>
  <c r="A1291" i="10"/>
  <c r="A1324" i="10"/>
  <c r="A1358" i="10"/>
  <c r="A1388" i="10"/>
  <c r="A1412" i="10"/>
  <c r="A1442" i="10"/>
  <c r="A1466" i="10"/>
  <c r="A1494" i="10"/>
  <c r="A1516" i="10"/>
  <c r="A1544" i="10"/>
  <c r="A1568" i="10"/>
  <c r="A1598" i="10"/>
  <c r="A1620" i="10"/>
  <c r="A1648" i="10"/>
  <c r="A1672" i="10"/>
  <c r="A1700" i="10"/>
  <c r="A1722" i="10"/>
  <c r="A1747" i="10"/>
  <c r="A28" i="10"/>
  <c r="A102" i="10"/>
  <c r="A189" i="10"/>
  <c r="A278" i="10"/>
  <c r="A359" i="10"/>
  <c r="A430" i="10"/>
  <c r="A508" i="10"/>
  <c r="A587" i="10"/>
  <c r="A641" i="10"/>
  <c r="A707" i="10"/>
  <c r="A769" i="10"/>
  <c r="A822" i="10"/>
  <c r="A875" i="10"/>
  <c r="A938" i="10"/>
  <c r="A997" i="10"/>
  <c r="A1037" i="10"/>
  <c r="A1096" i="10"/>
  <c r="A1144" i="10"/>
  <c r="A1182" i="10"/>
  <c r="A1219" i="10"/>
  <c r="A1262" i="10"/>
  <c r="A1298" i="10"/>
  <c r="A1325" i="10"/>
  <c r="A1359" i="10"/>
  <c r="A1393" i="10"/>
  <c r="A1413" i="10"/>
  <c r="A1443" i="10"/>
  <c r="A1467" i="10"/>
  <c r="A1495" i="10"/>
  <c r="A1517" i="10"/>
  <c r="A1545" i="10"/>
  <c r="A1569" i="10"/>
  <c r="A1599" i="10"/>
  <c r="A1623" i="10"/>
  <c r="A1651" i="10"/>
  <c r="A1673" i="10"/>
  <c r="A1701" i="10"/>
  <c r="A1723" i="10"/>
  <c r="A1748" i="10"/>
  <c r="A30" i="10"/>
  <c r="A104" i="10"/>
  <c r="A190" i="10"/>
  <c r="A279" i="10"/>
  <c r="A374" i="10"/>
  <c r="A434" i="10"/>
  <c r="A509" i="10"/>
  <c r="A589" i="10"/>
  <c r="A643" i="10"/>
  <c r="A709" i="10"/>
  <c r="A773" i="10"/>
  <c r="A827" i="10"/>
  <c r="A878" i="10"/>
  <c r="A939" i="10"/>
  <c r="A998" i="10"/>
  <c r="A1039" i="10"/>
  <c r="A1097" i="10"/>
  <c r="A1148" i="10"/>
  <c r="A1190" i="10"/>
  <c r="A1220" i="10"/>
  <c r="A1263" i="10"/>
  <c r="A1299" i="10"/>
  <c r="A1327" i="10"/>
  <c r="A1360" i="10"/>
  <c r="A1394" i="10"/>
  <c r="A1416" i="10"/>
  <c r="A1444" i="10"/>
  <c r="A1468" i="10"/>
  <c r="A1496" i="10"/>
  <c r="A1518" i="10"/>
  <c r="A1548" i="10"/>
  <c r="A1572" i="10"/>
  <c r="A1600" i="10"/>
  <c r="A1624" i="10"/>
  <c r="A1652" i="10"/>
  <c r="A1674" i="10"/>
  <c r="A1704" i="10"/>
  <c r="A1724" i="10"/>
  <c r="A1752" i="10"/>
  <c r="A174" i="10"/>
  <c r="A334" i="10"/>
  <c r="A479" i="10"/>
  <c r="A638" i="10"/>
  <c r="A745" i="10"/>
  <c r="A867" i="10"/>
  <c r="A975" i="10"/>
  <c r="A1084" i="10"/>
  <c r="A1171" i="10"/>
  <c r="A1249" i="10"/>
  <c r="A1322" i="10"/>
  <c r="A1381" i="10"/>
  <c r="A1432" i="10"/>
  <c r="A1484" i="10"/>
  <c r="A1538" i="10"/>
  <c r="A1588" i="10"/>
  <c r="A1640" i="10"/>
  <c r="A1692" i="10"/>
  <c r="A1741" i="10"/>
  <c r="A43" i="10"/>
  <c r="A191" i="10"/>
  <c r="A376" i="10"/>
  <c r="A518" i="10"/>
  <c r="A666" i="10"/>
  <c r="A774" i="10"/>
  <c r="A889" i="10"/>
  <c r="A999" i="10"/>
  <c r="A1098" i="10"/>
  <c r="A1192" i="10"/>
  <c r="A1264" i="10"/>
  <c r="A1337" i="10"/>
  <c r="A1395" i="10"/>
  <c r="A1445" i="10"/>
  <c r="A1497" i="10"/>
  <c r="A1551" i="10"/>
  <c r="A1601" i="10"/>
  <c r="A1653" i="10"/>
  <c r="A1705" i="10"/>
  <c r="A1753" i="10"/>
  <c r="A44" i="10"/>
  <c r="A202" i="10"/>
  <c r="A388" i="10"/>
  <c r="A520" i="10"/>
  <c r="A667" i="10"/>
  <c r="A775" i="10"/>
  <c r="A899" i="10"/>
  <c r="A1000" i="10"/>
  <c r="A1105" i="10"/>
  <c r="A1196" i="10"/>
  <c r="A1265" i="10"/>
  <c r="A1338" i="10"/>
  <c r="A1396" i="10"/>
  <c r="A1446" i="10"/>
  <c r="A1500" i="10"/>
  <c r="A1552" i="10"/>
  <c r="A1602" i="10"/>
  <c r="A1656" i="10"/>
  <c r="A1706" i="10"/>
  <c r="A1754" i="10"/>
  <c r="A45" i="10"/>
  <c r="A221" i="10"/>
  <c r="A389" i="10"/>
  <c r="A533" i="10"/>
  <c r="A668" i="10"/>
  <c r="A782" i="10"/>
  <c r="A902" i="10"/>
  <c r="A1001" i="10"/>
  <c r="A1119" i="10"/>
  <c r="A1197" i="10"/>
  <c r="A1267" i="10"/>
  <c r="A1339" i="10"/>
  <c r="A1397" i="10"/>
  <c r="A1449" i="10"/>
  <c r="A1501" i="10"/>
  <c r="A1553" i="10"/>
  <c r="A1603" i="10"/>
  <c r="A1657" i="10"/>
  <c r="A1708" i="10"/>
  <c r="A1755" i="10"/>
  <c r="A56" i="10"/>
  <c r="A232" i="10"/>
  <c r="A391" i="10"/>
  <c r="A548" i="10"/>
  <c r="A670" i="10"/>
  <c r="A799" i="10"/>
  <c r="A913" i="10"/>
  <c r="A1013" i="10"/>
  <c r="A1121" i="10"/>
  <c r="A1202" i="10"/>
  <c r="A1279" i="10"/>
  <c r="A1341" i="10"/>
  <c r="A1399" i="10"/>
  <c r="A1453" i="10"/>
  <c r="A1503" i="10"/>
  <c r="A1555" i="10"/>
  <c r="A1609" i="10"/>
  <c r="A1659" i="10"/>
  <c r="A1710" i="10"/>
  <c r="A1757" i="10"/>
  <c r="A86" i="10"/>
  <c r="A247" i="10"/>
  <c r="A419" i="10"/>
  <c r="A561" i="10"/>
  <c r="A694" i="10"/>
  <c r="A808" i="10"/>
  <c r="A917" i="10"/>
  <c r="A1034" i="10"/>
  <c r="A1129" i="10"/>
  <c r="A1216" i="10"/>
  <c r="A1285" i="10"/>
  <c r="A1356" i="10"/>
  <c r="A1410" i="10"/>
  <c r="A1460" i="10"/>
  <c r="A1514" i="10"/>
  <c r="A1566" i="10"/>
  <c r="A1616" i="10"/>
  <c r="A1670" i="10"/>
  <c r="A1719" i="10"/>
  <c r="A230" i="10"/>
  <c r="A546" i="10"/>
  <c r="A784" i="10"/>
  <c r="A1003" i="10"/>
  <c r="A1201" i="10"/>
  <c r="A1340" i="10"/>
  <c r="A1452" i="10"/>
  <c r="A1554" i="10"/>
  <c r="A1658" i="10"/>
  <c r="A1756" i="10"/>
  <c r="A286" i="10"/>
  <c r="A590" i="10"/>
  <c r="A835" i="10"/>
  <c r="A1058" i="10"/>
  <c r="A1228" i="10"/>
  <c r="A1363" i="10"/>
  <c r="A1469" i="10"/>
  <c r="A1573" i="10"/>
  <c r="A1675" i="10"/>
  <c r="A290" i="10"/>
  <c r="A591" i="10"/>
  <c r="A839" i="10"/>
  <c r="A1059" i="10"/>
  <c r="A1233" i="10"/>
  <c r="A1365" i="10"/>
  <c r="A1476" i="10"/>
  <c r="A1580" i="10"/>
  <c r="A1684" i="10"/>
  <c r="A303" i="10"/>
  <c r="A598" i="10"/>
  <c r="A841" i="10"/>
  <c r="A1060" i="10"/>
  <c r="A1237" i="10"/>
  <c r="A1372" i="10"/>
  <c r="A1479" i="10"/>
  <c r="A1581" i="10"/>
  <c r="A1685" i="10"/>
  <c r="A305" i="10"/>
  <c r="A601" i="10"/>
  <c r="A847" i="10"/>
  <c r="A1061" i="10"/>
  <c r="A1238" i="10"/>
  <c r="A1373" i="10"/>
  <c r="A1480" i="10"/>
  <c r="A1584" i="10"/>
  <c r="A1686" i="10"/>
  <c r="A331" i="10"/>
  <c r="A613" i="10"/>
  <c r="A848" i="10"/>
  <c r="A1062" i="10"/>
  <c r="A1240" i="10"/>
  <c r="A1374" i="10"/>
  <c r="A1481" i="10"/>
  <c r="A1585" i="10"/>
  <c r="A1687" i="10"/>
  <c r="A390" i="10"/>
  <c r="A906" i="10"/>
  <c r="A1278" i="10"/>
  <c r="A1502" i="10"/>
  <c r="A1709" i="10"/>
  <c r="A447" i="10"/>
  <c r="A940" i="10"/>
  <c r="A1300" i="10"/>
  <c r="A1521" i="10"/>
  <c r="A1725" i="10"/>
  <c r="A460" i="10"/>
  <c r="A942" i="10"/>
  <c r="A1302" i="10"/>
  <c r="A1528" i="10"/>
  <c r="A1732" i="10"/>
  <c r="A462" i="10"/>
  <c r="A952" i="10"/>
  <c r="A1305" i="10"/>
  <c r="A1529" i="10"/>
  <c r="A1733" i="10"/>
  <c r="A474" i="10"/>
  <c r="A962" i="10"/>
  <c r="A1308" i="10"/>
  <c r="A1530" i="10"/>
  <c r="A1734" i="10"/>
  <c r="A475" i="10"/>
  <c r="A964" i="10"/>
  <c r="A1310" i="10"/>
  <c r="A1531" i="10"/>
  <c r="A1736" i="10"/>
  <c r="A46" i="10"/>
  <c r="A1120" i="10"/>
  <c r="A1604" i="10"/>
  <c r="A130" i="10"/>
  <c r="A1149" i="10"/>
  <c r="A1625" i="10"/>
  <c r="A131" i="10"/>
  <c r="A1153" i="10"/>
  <c r="A1632" i="10"/>
  <c r="A134" i="10"/>
  <c r="A1154" i="10"/>
  <c r="A1633" i="10"/>
  <c r="A135" i="10"/>
  <c r="A1156" i="10"/>
  <c r="A1634" i="10"/>
  <c r="A142" i="10"/>
  <c r="A1168" i="10"/>
  <c r="A1637" i="10"/>
  <c r="A1398" i="10"/>
  <c r="A1417" i="10"/>
  <c r="A1425" i="10"/>
  <c r="A1428" i="10"/>
  <c r="A1429" i="10"/>
  <c r="A669" i="10"/>
  <c r="A710" i="10"/>
  <c r="A717" i="10"/>
  <c r="A733" i="10"/>
  <c r="A734" i="10"/>
  <c r="A735" i="10"/>
  <c r="A1424" i="10"/>
  <c r="B4" i="10"/>
  <c r="B16" i="10"/>
  <c r="B28" i="10"/>
  <c r="B40" i="10"/>
  <c r="B52" i="10"/>
  <c r="B64" i="10"/>
  <c r="B76" i="10"/>
  <c r="B88" i="10"/>
  <c r="B100" i="10"/>
  <c r="B112" i="10"/>
  <c r="B124" i="10"/>
  <c r="B136" i="10"/>
  <c r="B148" i="10"/>
  <c r="B160" i="10"/>
  <c r="B172" i="10"/>
  <c r="B184" i="10"/>
  <c r="B196" i="10"/>
  <c r="B208" i="10"/>
  <c r="B220" i="10"/>
  <c r="B5" i="10"/>
  <c r="B17" i="10"/>
  <c r="B29" i="10"/>
  <c r="B41" i="10"/>
  <c r="B53" i="10"/>
  <c r="B65" i="10"/>
  <c r="B77" i="10"/>
  <c r="B89" i="10"/>
  <c r="B101" i="10"/>
  <c r="B113" i="10"/>
  <c r="B125" i="10"/>
  <c r="B137" i="10"/>
  <c r="B149" i="10"/>
  <c r="B161" i="10"/>
  <c r="B173" i="10"/>
  <c r="B6" i="10"/>
  <c r="B18" i="10"/>
  <c r="B30" i="10"/>
  <c r="B42" i="10"/>
  <c r="B54" i="10"/>
  <c r="B66" i="10"/>
  <c r="B78" i="10"/>
  <c r="B90" i="10"/>
  <c r="B102" i="10"/>
  <c r="B114" i="10"/>
  <c r="B126" i="10"/>
  <c r="B138" i="10"/>
  <c r="B150" i="10"/>
  <c r="B162" i="10"/>
  <c r="B174" i="10"/>
  <c r="B186" i="10"/>
  <c r="B198" i="10"/>
  <c r="B210" i="10"/>
  <c r="B222" i="10"/>
  <c r="B234" i="10"/>
  <c r="B246" i="10"/>
  <c r="B258" i="10"/>
  <c r="B270" i="10"/>
  <c r="B282" i="10"/>
  <c r="B294" i="10"/>
  <c r="B306" i="10"/>
  <c r="B318" i="10"/>
  <c r="B330" i="10"/>
  <c r="B7" i="10"/>
  <c r="B19" i="10"/>
  <c r="B31" i="10"/>
  <c r="B43" i="10"/>
  <c r="B55" i="10"/>
  <c r="B67" i="10"/>
  <c r="B79" i="10"/>
  <c r="B91" i="10"/>
  <c r="B103" i="10"/>
  <c r="B115" i="10"/>
  <c r="B127" i="10"/>
  <c r="B139" i="10"/>
  <c r="B8" i="10"/>
  <c r="B20" i="10"/>
  <c r="B32" i="10"/>
  <c r="B44" i="10"/>
  <c r="B56" i="10"/>
  <c r="B68" i="10"/>
  <c r="B80" i="10"/>
  <c r="B92" i="10"/>
  <c r="B104" i="10"/>
  <c r="B116" i="10"/>
  <c r="B128" i="10"/>
  <c r="B140" i="10"/>
  <c r="B152" i="10"/>
  <c r="B164" i="10"/>
  <c r="B176" i="10"/>
  <c r="B188" i="10"/>
  <c r="B200" i="10"/>
  <c r="B212" i="10"/>
  <c r="B224" i="10"/>
  <c r="B236" i="10"/>
  <c r="B248" i="10"/>
  <c r="B260" i="10"/>
  <c r="B272" i="10"/>
  <c r="B284" i="10"/>
  <c r="B296" i="10"/>
  <c r="B308" i="10"/>
  <c r="B320" i="10"/>
  <c r="B332" i="10"/>
  <c r="B344" i="10"/>
  <c r="B356" i="10"/>
  <c r="B368" i="10"/>
  <c r="B380" i="10"/>
  <c r="B392" i="10"/>
  <c r="B404" i="10"/>
  <c r="B416" i="10"/>
  <c r="B428" i="10"/>
  <c r="B440" i="10"/>
  <c r="B452" i="10"/>
  <c r="B464" i="10"/>
  <c r="B476" i="10"/>
  <c r="B488" i="10"/>
  <c r="B500" i="10"/>
  <c r="B512" i="10"/>
  <c r="B524" i="10"/>
  <c r="B536" i="10"/>
  <c r="B548" i="10"/>
  <c r="B560" i="10"/>
  <c r="B572" i="10"/>
  <c r="B584" i="10"/>
  <c r="B596" i="10"/>
  <c r="B608" i="10"/>
  <c r="B620" i="10"/>
  <c r="B632" i="10"/>
  <c r="B644" i="10"/>
  <c r="B656" i="10"/>
  <c r="B668" i="10"/>
  <c r="B680" i="10"/>
  <c r="B692" i="10"/>
  <c r="B704" i="10"/>
  <c r="B716" i="10"/>
  <c r="B728" i="10"/>
  <c r="B740" i="10"/>
  <c r="B752" i="10"/>
  <c r="B9" i="10"/>
  <c r="B21" i="10"/>
  <c r="B33" i="10"/>
  <c r="B45" i="10"/>
  <c r="B57" i="10"/>
  <c r="B69" i="10"/>
  <c r="B81" i="10"/>
  <c r="B93" i="10"/>
  <c r="B105" i="10"/>
  <c r="B117" i="10"/>
  <c r="B129" i="10"/>
  <c r="B141" i="10"/>
  <c r="B153" i="10"/>
  <c r="B165" i="10"/>
  <c r="B177" i="10"/>
  <c r="B189" i="10"/>
  <c r="B201" i="10"/>
  <c r="B213" i="10"/>
  <c r="B225" i="10"/>
  <c r="B237" i="10"/>
  <c r="B249" i="10"/>
  <c r="B261" i="10"/>
  <c r="B273" i="10"/>
  <c r="B285" i="10"/>
  <c r="B297" i="10"/>
  <c r="B309" i="10"/>
  <c r="B321" i="10"/>
  <c r="B333" i="10"/>
  <c r="B345" i="10"/>
  <c r="B357" i="10"/>
  <c r="B369" i="10"/>
  <c r="B381" i="10"/>
  <c r="B393" i="10"/>
  <c r="B405" i="10"/>
  <c r="B417" i="10"/>
  <c r="B429" i="10"/>
  <c r="B441" i="10"/>
  <c r="B453" i="10"/>
  <c r="B465" i="10"/>
  <c r="B477" i="10"/>
  <c r="B489" i="10"/>
  <c r="B501" i="10"/>
  <c r="B513" i="10"/>
  <c r="B525" i="10"/>
  <c r="B537" i="10"/>
  <c r="B549" i="10"/>
  <c r="B561" i="10"/>
  <c r="B573" i="10"/>
  <c r="B585" i="10"/>
  <c r="B597" i="10"/>
  <c r="B609" i="10"/>
  <c r="B621" i="10"/>
  <c r="B633" i="10"/>
  <c r="B645" i="10"/>
  <c r="B657" i="10"/>
  <c r="B22" i="10"/>
  <c r="B46" i="10"/>
  <c r="B70" i="10"/>
  <c r="B94" i="10"/>
  <c r="B118" i="10"/>
  <c r="B142" i="10"/>
  <c r="B159" i="10"/>
  <c r="B181" i="10"/>
  <c r="B199" i="10"/>
  <c r="B217" i="10"/>
  <c r="B233" i="10"/>
  <c r="B251" i="10"/>
  <c r="B266" i="10"/>
  <c r="B281" i="10"/>
  <c r="B299" i="10"/>
  <c r="B314" i="10"/>
  <c r="B329" i="10"/>
  <c r="B346" i="10"/>
  <c r="B360" i="10"/>
  <c r="B374" i="10"/>
  <c r="B388" i="10"/>
  <c r="B402" i="10"/>
  <c r="B418" i="10"/>
  <c r="B432" i="10"/>
  <c r="B446" i="10"/>
  <c r="B460" i="10"/>
  <c r="B474" i="10"/>
  <c r="B490" i="10"/>
  <c r="B504" i="10"/>
  <c r="B518" i="10"/>
  <c r="B532" i="10"/>
  <c r="B546" i="10"/>
  <c r="B562" i="10"/>
  <c r="B576" i="10"/>
  <c r="B590" i="10"/>
  <c r="B604" i="10"/>
  <c r="B618" i="10"/>
  <c r="B634" i="10"/>
  <c r="B648" i="10"/>
  <c r="B662" i="10"/>
  <c r="B675" i="10"/>
  <c r="B688" i="10"/>
  <c r="B701" i="10"/>
  <c r="B714" i="10"/>
  <c r="B727" i="10"/>
  <c r="B741" i="10"/>
  <c r="B754" i="10"/>
  <c r="B766" i="10"/>
  <c r="B778" i="10"/>
  <c r="B790" i="10"/>
  <c r="B802" i="10"/>
  <c r="B814" i="10"/>
  <c r="B826" i="10"/>
  <c r="B838" i="10"/>
  <c r="B850" i="10"/>
  <c r="B862" i="10"/>
  <c r="B874" i="10"/>
  <c r="B886" i="10"/>
  <c r="B898" i="10"/>
  <c r="B910" i="10"/>
  <c r="B922" i="10"/>
  <c r="B934" i="10"/>
  <c r="B946" i="10"/>
  <c r="B958" i="10"/>
  <c r="B970" i="10"/>
  <c r="B982" i="10"/>
  <c r="B994" i="10"/>
  <c r="B1006" i="10"/>
  <c r="B1018" i="10"/>
  <c r="B1030" i="10"/>
  <c r="B1042" i="10"/>
  <c r="B1054" i="10"/>
  <c r="B23" i="10"/>
  <c r="B47" i="10"/>
  <c r="B71" i="10"/>
  <c r="B95" i="10"/>
  <c r="B119" i="10"/>
  <c r="B143" i="10"/>
  <c r="B163" i="10"/>
  <c r="B182" i="10"/>
  <c r="B202" i="10"/>
  <c r="B218" i="10"/>
  <c r="B235" i="10"/>
  <c r="B252" i="10"/>
  <c r="B267" i="10"/>
  <c r="B283" i="10"/>
  <c r="B300" i="10"/>
  <c r="B315" i="10"/>
  <c r="B331" i="10"/>
  <c r="B347" i="10"/>
  <c r="B361" i="10"/>
  <c r="B375" i="10"/>
  <c r="B389" i="10"/>
  <c r="B403" i="10"/>
  <c r="B419" i="10"/>
  <c r="B433" i="10"/>
  <c r="B447" i="10"/>
  <c r="B461" i="10"/>
  <c r="B475" i="10"/>
  <c r="B491" i="10"/>
  <c r="B505" i="10"/>
  <c r="B519" i="10"/>
  <c r="B533" i="10"/>
  <c r="B547" i="10"/>
  <c r="B563" i="10"/>
  <c r="B577" i="10"/>
  <c r="B591" i="10"/>
  <c r="B605" i="10"/>
  <c r="B619" i="10"/>
  <c r="B635" i="10"/>
  <c r="B649" i="10"/>
  <c r="B663" i="10"/>
  <c r="B676" i="10"/>
  <c r="B689" i="10"/>
  <c r="B702" i="10"/>
  <c r="B715" i="10"/>
  <c r="B729" i="10"/>
  <c r="B742" i="10"/>
  <c r="B755" i="10"/>
  <c r="B767" i="10"/>
  <c r="B779" i="10"/>
  <c r="B791" i="10"/>
  <c r="B803" i="10"/>
  <c r="B815" i="10"/>
  <c r="B827" i="10"/>
  <c r="B839" i="10"/>
  <c r="B851" i="10"/>
  <c r="B863" i="10"/>
  <c r="B875" i="10"/>
  <c r="B887" i="10"/>
  <c r="B899" i="10"/>
  <c r="B911" i="10"/>
  <c r="B923" i="10"/>
  <c r="B935" i="10"/>
  <c r="B947" i="10"/>
  <c r="B959" i="10"/>
  <c r="B971" i="10"/>
  <c r="B983" i="10"/>
  <c r="B995" i="10"/>
  <c r="B1007" i="10"/>
  <c r="B1019" i="10"/>
  <c r="B1031" i="10"/>
  <c r="B1043" i="10"/>
  <c r="B1055" i="10"/>
  <c r="B24" i="10"/>
  <c r="B48" i="10"/>
  <c r="B72" i="10"/>
  <c r="B96" i="10"/>
  <c r="B120" i="10"/>
  <c r="B144" i="10"/>
  <c r="B166" i="10"/>
  <c r="B183" i="10"/>
  <c r="B203" i="10"/>
  <c r="B219" i="10"/>
  <c r="B238" i="10"/>
  <c r="B253" i="10"/>
  <c r="B268" i="10"/>
  <c r="B286" i="10"/>
  <c r="B301" i="10"/>
  <c r="B316" i="10"/>
  <c r="B334" i="10"/>
  <c r="B348" i="10"/>
  <c r="B362" i="10"/>
  <c r="B376" i="10"/>
  <c r="B390" i="10"/>
  <c r="B406" i="10"/>
  <c r="B420" i="10"/>
  <c r="B434" i="10"/>
  <c r="B448" i="10"/>
  <c r="B462" i="10"/>
  <c r="B478" i="10"/>
  <c r="B492" i="10"/>
  <c r="B506" i="10"/>
  <c r="B520" i="10"/>
  <c r="B534" i="10"/>
  <c r="B550" i="10"/>
  <c r="B564" i="10"/>
  <c r="B578" i="10"/>
  <c r="B592" i="10"/>
  <c r="B606" i="10"/>
  <c r="B622" i="10"/>
  <c r="B636" i="10"/>
  <c r="B650" i="10"/>
  <c r="B664" i="10"/>
  <c r="B677" i="10"/>
  <c r="B690" i="10"/>
  <c r="B703" i="10"/>
  <c r="B717" i="10"/>
  <c r="B730" i="10"/>
  <c r="B743" i="10"/>
  <c r="B756" i="10"/>
  <c r="B768" i="10"/>
  <c r="B780" i="10"/>
  <c r="B792" i="10"/>
  <c r="B804" i="10"/>
  <c r="B816" i="10"/>
  <c r="B828" i="10"/>
  <c r="B840" i="10"/>
  <c r="B852" i="10"/>
  <c r="B864" i="10"/>
  <c r="B876" i="10"/>
  <c r="B888" i="10"/>
  <c r="B900" i="10"/>
  <c r="B912" i="10"/>
  <c r="B924" i="10"/>
  <c r="B936" i="10"/>
  <c r="B948" i="10"/>
  <c r="B960" i="10"/>
  <c r="B972" i="10"/>
  <c r="B984" i="10"/>
  <c r="B996" i="10"/>
  <c r="B1008" i="10"/>
  <c r="B1020" i="10"/>
  <c r="B1032" i="10"/>
  <c r="B1044" i="10"/>
  <c r="B1056" i="10"/>
  <c r="B1068" i="10"/>
  <c r="B1080" i="10"/>
  <c r="B1092" i="10"/>
  <c r="B1104" i="10"/>
  <c r="B1116" i="10"/>
  <c r="B1128" i="10"/>
  <c r="B1140" i="10"/>
  <c r="B1152" i="10"/>
  <c r="B1164" i="10"/>
  <c r="B1176" i="10"/>
  <c r="B25" i="10"/>
  <c r="B49" i="10"/>
  <c r="B73" i="10"/>
  <c r="B97" i="10"/>
  <c r="B121" i="10"/>
  <c r="B145" i="10"/>
  <c r="B167" i="10"/>
  <c r="B185" i="10"/>
  <c r="B204" i="10"/>
  <c r="B221" i="10"/>
  <c r="B239" i="10"/>
  <c r="B254" i="10"/>
  <c r="B269" i="10"/>
  <c r="B287" i="10"/>
  <c r="B302" i="10"/>
  <c r="B317" i="10"/>
  <c r="B335" i="10"/>
  <c r="B349" i="10"/>
  <c r="B363" i="10"/>
  <c r="B377" i="10"/>
  <c r="B391" i="10"/>
  <c r="B407" i="10"/>
  <c r="B421" i="10"/>
  <c r="B435" i="10"/>
  <c r="B449" i="10"/>
  <c r="B463" i="10"/>
  <c r="B479" i="10"/>
  <c r="B493" i="10"/>
  <c r="B507" i="10"/>
  <c r="B521" i="10"/>
  <c r="B535" i="10"/>
  <c r="B551" i="10"/>
  <c r="B565" i="10"/>
  <c r="B579" i="10"/>
  <c r="B593" i="10"/>
  <c r="B607" i="10"/>
  <c r="B623" i="10"/>
  <c r="B637" i="10"/>
  <c r="B651" i="10"/>
  <c r="B665" i="10"/>
  <c r="B678" i="10"/>
  <c r="B691" i="10"/>
  <c r="B705" i="10"/>
  <c r="B718" i="10"/>
  <c r="B731" i="10"/>
  <c r="B744" i="10"/>
  <c r="B757" i="10"/>
  <c r="B769" i="10"/>
  <c r="B781" i="10"/>
  <c r="B793" i="10"/>
  <c r="B2" i="10"/>
  <c r="B26" i="10"/>
  <c r="B50" i="10"/>
  <c r="B74" i="10"/>
  <c r="B98" i="10"/>
  <c r="B122" i="10"/>
  <c r="B146" i="10"/>
  <c r="B168" i="10"/>
  <c r="B187" i="10"/>
  <c r="B205" i="10"/>
  <c r="B223" i="10"/>
  <c r="B240" i="10"/>
  <c r="B255" i="10"/>
  <c r="B271" i="10"/>
  <c r="B288" i="10"/>
  <c r="B303" i="10"/>
  <c r="B319" i="10"/>
  <c r="B336" i="10"/>
  <c r="B350" i="10"/>
  <c r="B364" i="10"/>
  <c r="B378" i="10"/>
  <c r="B394" i="10"/>
  <c r="B408" i="10"/>
  <c r="B422" i="10"/>
  <c r="B436" i="10"/>
  <c r="B450" i="10"/>
  <c r="B466" i="10"/>
  <c r="B480" i="10"/>
  <c r="B494" i="10"/>
  <c r="B508" i="10"/>
  <c r="B522" i="10"/>
  <c r="B538" i="10"/>
  <c r="B552" i="10"/>
  <c r="B566" i="10"/>
  <c r="B580" i="10"/>
  <c r="B594" i="10"/>
  <c r="B610" i="10"/>
  <c r="B624" i="10"/>
  <c r="B638" i="10"/>
  <c r="B652" i="10"/>
  <c r="B666" i="10"/>
  <c r="B679" i="10"/>
  <c r="B693" i="10"/>
  <c r="B706" i="10"/>
  <c r="B719" i="10"/>
  <c r="B732" i="10"/>
  <c r="B745" i="10"/>
  <c r="B758" i="10"/>
  <c r="B770" i="10"/>
  <c r="B782" i="10"/>
  <c r="B794" i="10"/>
  <c r="B806" i="10"/>
  <c r="B818" i="10"/>
  <c r="B830" i="10"/>
  <c r="B842" i="10"/>
  <c r="B854" i="10"/>
  <c r="B866" i="10"/>
  <c r="B878" i="10"/>
  <c r="B890" i="10"/>
  <c r="B902" i="10"/>
  <c r="B914" i="10"/>
  <c r="B926" i="10"/>
  <c r="B938" i="10"/>
  <c r="B950" i="10"/>
  <c r="B962" i="10"/>
  <c r="B974" i="10"/>
  <c r="B986" i="10"/>
  <c r="B998" i="10"/>
  <c r="B1010" i="10"/>
  <c r="B1022" i="10"/>
  <c r="B1034" i="10"/>
  <c r="B1046" i="10"/>
  <c r="B1058" i="10"/>
  <c r="B1070" i="10"/>
  <c r="B1082" i="10"/>
  <c r="B1094" i="10"/>
  <c r="B1106" i="10"/>
  <c r="B1118" i="10"/>
  <c r="B1130" i="10"/>
  <c r="B1142" i="10"/>
  <c r="B1154" i="10"/>
  <c r="B1166" i="10"/>
  <c r="B1178" i="10"/>
  <c r="B1190" i="10"/>
  <c r="B1202" i="10"/>
  <c r="B1214" i="10"/>
  <c r="B1226" i="10"/>
  <c r="B1238" i="10"/>
  <c r="B1250" i="10"/>
  <c r="B1262" i="10"/>
  <c r="B1274" i="10"/>
  <c r="B1286" i="10"/>
  <c r="B1298" i="10"/>
  <c r="B1310" i="10"/>
  <c r="B1322" i="10"/>
  <c r="B1334" i="10"/>
  <c r="B1346" i="10"/>
  <c r="B1358" i="10"/>
  <c r="B1370" i="10"/>
  <c r="B1382" i="10"/>
  <c r="B1394" i="10"/>
  <c r="B1406" i="10"/>
  <c r="B1418" i="10"/>
  <c r="B1430" i="10"/>
  <c r="B1442" i="10"/>
  <c r="B1454" i="10"/>
  <c r="B1466" i="10"/>
  <c r="B1478" i="10"/>
  <c r="B1490" i="10"/>
  <c r="B1502" i="10"/>
  <c r="B1514" i="10"/>
  <c r="B1526" i="10"/>
  <c r="B1538" i="10"/>
  <c r="B1550" i="10"/>
  <c r="B1562" i="10"/>
  <c r="B1574" i="10"/>
  <c r="B1586" i="10"/>
  <c r="B1598" i="10"/>
  <c r="B1610" i="10"/>
  <c r="B1622" i="10"/>
  <c r="B1634" i="10"/>
  <c r="B1646" i="10"/>
  <c r="B1658" i="10"/>
  <c r="B1670" i="10"/>
  <c r="B1682" i="10"/>
  <c r="B1694" i="10"/>
  <c r="B1706" i="10"/>
  <c r="B1718" i="10"/>
  <c r="B1730" i="10"/>
  <c r="B1742" i="10"/>
  <c r="B3" i="10"/>
  <c r="B27" i="10"/>
  <c r="B51" i="10"/>
  <c r="B75" i="10"/>
  <c r="B99" i="10"/>
  <c r="B123" i="10"/>
  <c r="B147" i="10"/>
  <c r="B169" i="10"/>
  <c r="B190" i="10"/>
  <c r="B206" i="10"/>
  <c r="B226" i="10"/>
  <c r="B241" i="10"/>
  <c r="B256" i="10"/>
  <c r="B274" i="10"/>
  <c r="B289" i="10"/>
  <c r="B304" i="10"/>
  <c r="B322" i="10"/>
  <c r="B337" i="10"/>
  <c r="B351" i="10"/>
  <c r="B365" i="10"/>
  <c r="B379" i="10"/>
  <c r="B395" i="10"/>
  <c r="B409" i="10"/>
  <c r="B423" i="10"/>
  <c r="B437" i="10"/>
  <c r="B451" i="10"/>
  <c r="B467" i="10"/>
  <c r="B481" i="10"/>
  <c r="B495" i="10"/>
  <c r="B509" i="10"/>
  <c r="B523" i="10"/>
  <c r="B539" i="10"/>
  <c r="B553" i="10"/>
  <c r="B567" i="10"/>
  <c r="B581" i="10"/>
  <c r="B595" i="10"/>
  <c r="B611" i="10"/>
  <c r="B625" i="10"/>
  <c r="B639" i="10"/>
  <c r="B653" i="10"/>
  <c r="B667" i="10"/>
  <c r="B681" i="10"/>
  <c r="B694" i="10"/>
  <c r="B707" i="10"/>
  <c r="B720" i="10"/>
  <c r="B733" i="10"/>
  <c r="B746" i="10"/>
  <c r="B759" i="10"/>
  <c r="B771" i="10"/>
  <c r="B783" i="10"/>
  <c r="B795" i="10"/>
  <c r="B807" i="10"/>
  <c r="B819" i="10"/>
  <c r="B831" i="10"/>
  <c r="B843" i="10"/>
  <c r="B855" i="10"/>
  <c r="B867" i="10"/>
  <c r="B879" i="10"/>
  <c r="B891" i="10"/>
  <c r="B903" i="10"/>
  <c r="B915" i="10"/>
  <c r="B927" i="10"/>
  <c r="B939" i="10"/>
  <c r="B951" i="10"/>
  <c r="B963" i="10"/>
  <c r="B975" i="10"/>
  <c r="B987" i="10"/>
  <c r="B999" i="10"/>
  <c r="B1011" i="10"/>
  <c r="B1023" i="10"/>
  <c r="B1035" i="10"/>
  <c r="B1047" i="10"/>
  <c r="B1059" i="10"/>
  <c r="B1071" i="10"/>
  <c r="B1083" i="10"/>
  <c r="B1095" i="10"/>
  <c r="B1107" i="10"/>
  <c r="B1119" i="10"/>
  <c r="B1131" i="10"/>
  <c r="B1143" i="10"/>
  <c r="B1155" i="10"/>
  <c r="B1167" i="10"/>
  <c r="B1179" i="10"/>
  <c r="B1191" i="10"/>
  <c r="B1203" i="10"/>
  <c r="B1215" i="10"/>
  <c r="B1227" i="10"/>
  <c r="B1239" i="10"/>
  <c r="B1251" i="10"/>
  <c r="B1263" i="10"/>
  <c r="B1275" i="10"/>
  <c r="B1287" i="10"/>
  <c r="B1299" i="10"/>
  <c r="B1311" i="10"/>
  <c r="B1323" i="10"/>
  <c r="B1335" i="10"/>
  <c r="B1347" i="10"/>
  <c r="B1359" i="10"/>
  <c r="B1371" i="10"/>
  <c r="B1383" i="10"/>
  <c r="B1395" i="10"/>
  <c r="B1407" i="10"/>
  <c r="B1419" i="10"/>
  <c r="B1431" i="10"/>
  <c r="B1443" i="10"/>
  <c r="B1455" i="10"/>
  <c r="B1467" i="10"/>
  <c r="B1479" i="10"/>
  <c r="B1491" i="10"/>
  <c r="B1503" i="10"/>
  <c r="B1515" i="10"/>
  <c r="B1527" i="10"/>
  <c r="B1539" i="10"/>
  <c r="B1551" i="10"/>
  <c r="B1563" i="10"/>
  <c r="B1575" i="10"/>
  <c r="B1587" i="10"/>
  <c r="B34" i="10"/>
  <c r="B82" i="10"/>
  <c r="B130" i="10"/>
  <c r="B170" i="10"/>
  <c r="B207" i="10"/>
  <c r="B242" i="10"/>
  <c r="B275" i="10"/>
  <c r="B305" i="10"/>
  <c r="B338" i="10"/>
  <c r="B366" i="10"/>
  <c r="B396" i="10"/>
  <c r="B424" i="10"/>
  <c r="B454" i="10"/>
  <c r="B482" i="10"/>
  <c r="B510" i="10"/>
  <c r="B540" i="10"/>
  <c r="B568" i="10"/>
  <c r="B598" i="10"/>
  <c r="B626" i="10"/>
  <c r="B654" i="10"/>
  <c r="B682" i="10"/>
  <c r="B708" i="10"/>
  <c r="B734" i="10"/>
  <c r="B760" i="10"/>
  <c r="B784" i="10"/>
  <c r="B805" i="10"/>
  <c r="B824" i="10"/>
  <c r="B846" i="10"/>
  <c r="B868" i="10"/>
  <c r="B885" i="10"/>
  <c r="B907" i="10"/>
  <c r="B929" i="10"/>
  <c r="B949" i="10"/>
  <c r="B968" i="10"/>
  <c r="B990" i="10"/>
  <c r="B1012" i="10"/>
  <c r="B1029" i="10"/>
  <c r="B1051" i="10"/>
  <c r="B1069" i="10"/>
  <c r="B1086" i="10"/>
  <c r="B1101" i="10"/>
  <c r="B1117" i="10"/>
  <c r="B1134" i="10"/>
  <c r="B1149" i="10"/>
  <c r="B1165" i="10"/>
  <c r="B1182" i="10"/>
  <c r="B1196" i="10"/>
  <c r="B1210" i="10"/>
  <c r="B1224" i="10"/>
  <c r="B1240" i="10"/>
  <c r="B1254" i="10"/>
  <c r="B1268" i="10"/>
  <c r="B1282" i="10"/>
  <c r="B1296" i="10"/>
  <c r="B1312" i="10"/>
  <c r="B1326" i="10"/>
  <c r="B1340" i="10"/>
  <c r="B1354" i="10"/>
  <c r="B1368" i="10"/>
  <c r="B1384" i="10"/>
  <c r="B1398" i="10"/>
  <c r="B1412" i="10"/>
  <c r="B1426" i="10"/>
  <c r="B1440" i="10"/>
  <c r="B1456" i="10"/>
  <c r="B1470" i="10"/>
  <c r="B1484" i="10"/>
  <c r="B1498" i="10"/>
  <c r="B1512" i="10"/>
  <c r="B1528" i="10"/>
  <c r="B1542" i="10"/>
  <c r="B1556" i="10"/>
  <c r="B1570" i="10"/>
  <c r="B1584" i="10"/>
  <c r="B1599" i="10"/>
  <c r="B1612" i="10"/>
  <c r="B1625" i="10"/>
  <c r="B1638" i="10"/>
  <c r="B1651" i="10"/>
  <c r="B1664" i="10"/>
  <c r="B1677" i="10"/>
  <c r="B1690" i="10"/>
  <c r="B1703" i="10"/>
  <c r="B1716" i="10"/>
  <c r="B1729" i="10"/>
  <c r="B1743" i="10"/>
  <c r="B1755" i="10"/>
  <c r="B35" i="10"/>
  <c r="B83" i="10"/>
  <c r="B131" i="10"/>
  <c r="B171" i="10"/>
  <c r="B209" i="10"/>
  <c r="B243" i="10"/>
  <c r="B276" i="10"/>
  <c r="B307" i="10"/>
  <c r="B339" i="10"/>
  <c r="B367" i="10"/>
  <c r="B397" i="10"/>
  <c r="B425" i="10"/>
  <c r="B455" i="10"/>
  <c r="B483" i="10"/>
  <c r="B511" i="10"/>
  <c r="B541" i="10"/>
  <c r="B569" i="10"/>
  <c r="B599" i="10"/>
  <c r="B627" i="10"/>
  <c r="B655" i="10"/>
  <c r="B683" i="10"/>
  <c r="B709" i="10"/>
  <c r="B735" i="10"/>
  <c r="B761" i="10"/>
  <c r="B785" i="10"/>
  <c r="B808" i="10"/>
  <c r="B825" i="10"/>
  <c r="B847" i="10"/>
  <c r="B869" i="10"/>
  <c r="B889" i="10"/>
  <c r="B908" i="10"/>
  <c r="B930" i="10"/>
  <c r="B952" i="10"/>
  <c r="B969" i="10"/>
  <c r="B991" i="10"/>
  <c r="B1013" i="10"/>
  <c r="B1033" i="10"/>
  <c r="B1052" i="10"/>
  <c r="B1072" i="10"/>
  <c r="B1087" i="10"/>
  <c r="B1102" i="10"/>
  <c r="B1120" i="10"/>
  <c r="B1135" i="10"/>
  <c r="B1150" i="10"/>
  <c r="B1168" i="10"/>
  <c r="B1183" i="10"/>
  <c r="B1197" i="10"/>
  <c r="B1211" i="10"/>
  <c r="B1225" i="10"/>
  <c r="B1241" i="10"/>
  <c r="B1255" i="10"/>
  <c r="B1269" i="10"/>
  <c r="B1283" i="10"/>
  <c r="B1297" i="10"/>
  <c r="B1313" i="10"/>
  <c r="B1327" i="10"/>
  <c r="B1341" i="10"/>
  <c r="B1355" i="10"/>
  <c r="B1369" i="10"/>
  <c r="B1385" i="10"/>
  <c r="B1399" i="10"/>
  <c r="B1413" i="10"/>
  <c r="B1427" i="10"/>
  <c r="B1441" i="10"/>
  <c r="B1457" i="10"/>
  <c r="B1471" i="10"/>
  <c r="B1485" i="10"/>
  <c r="B1499" i="10"/>
  <c r="B1513" i="10"/>
  <c r="B1529" i="10"/>
  <c r="B1543" i="10"/>
  <c r="B1557" i="10"/>
  <c r="B1571" i="10"/>
  <c r="B1585" i="10"/>
  <c r="B1600" i="10"/>
  <c r="B1613" i="10"/>
  <c r="B1626" i="10"/>
  <c r="B1639" i="10"/>
  <c r="B1652" i="10"/>
  <c r="B1665" i="10"/>
  <c r="B1678" i="10"/>
  <c r="B1691" i="10"/>
  <c r="B1704" i="10"/>
  <c r="B1717" i="10"/>
  <c r="B1731" i="10"/>
  <c r="B1744" i="10"/>
  <c r="B1756" i="10"/>
  <c r="B36" i="10"/>
  <c r="B84" i="10"/>
  <c r="B132" i="10"/>
  <c r="B175" i="10"/>
  <c r="B211" i="10"/>
  <c r="B244" i="10"/>
  <c r="B277" i="10"/>
  <c r="B310" i="10"/>
  <c r="B340" i="10"/>
  <c r="B370" i="10"/>
  <c r="B398" i="10"/>
  <c r="B426" i="10"/>
  <c r="B456" i="10"/>
  <c r="B484" i="10"/>
  <c r="B514" i="10"/>
  <c r="B542" i="10"/>
  <c r="B570" i="10"/>
  <c r="B600" i="10"/>
  <c r="B628" i="10"/>
  <c r="B658" i="10"/>
  <c r="B684" i="10"/>
  <c r="B710" i="10"/>
  <c r="B736" i="10"/>
  <c r="B762" i="10"/>
  <c r="B786" i="10"/>
  <c r="B809" i="10"/>
  <c r="B829" i="10"/>
  <c r="B848" i="10"/>
  <c r="B870" i="10"/>
  <c r="B892" i="10"/>
  <c r="B909" i="10"/>
  <c r="B931" i="10"/>
  <c r="B953" i="10"/>
  <c r="B973" i="10"/>
  <c r="B992" i="10"/>
  <c r="B1014" i="10"/>
  <c r="B1036" i="10"/>
  <c r="B1053" i="10"/>
  <c r="B1073" i="10"/>
  <c r="B1088" i="10"/>
  <c r="B1103" i="10"/>
  <c r="B1121" i="10"/>
  <c r="B1136" i="10"/>
  <c r="B1151" i="10"/>
  <c r="B1169" i="10"/>
  <c r="B1184" i="10"/>
  <c r="B1198" i="10"/>
  <c r="B1212" i="10"/>
  <c r="B1228" i="10"/>
  <c r="B1242" i="10"/>
  <c r="B1256" i="10"/>
  <c r="B1270" i="10"/>
  <c r="B1284" i="10"/>
  <c r="B1300" i="10"/>
  <c r="B1314" i="10"/>
  <c r="B1328" i="10"/>
  <c r="B1342" i="10"/>
  <c r="B1356" i="10"/>
  <c r="B1372" i="10"/>
  <c r="B1386" i="10"/>
  <c r="B1400" i="10"/>
  <c r="B1414" i="10"/>
  <c r="B1428" i="10"/>
  <c r="B1444" i="10"/>
  <c r="B1458" i="10"/>
  <c r="B1472" i="10"/>
  <c r="B1486" i="10"/>
  <c r="B1500" i="10"/>
  <c r="B1516" i="10"/>
  <c r="B1530" i="10"/>
  <c r="B1544" i="10"/>
  <c r="B1558" i="10"/>
  <c r="B1572" i="10"/>
  <c r="B1588" i="10"/>
  <c r="B1601" i="10"/>
  <c r="B1614" i="10"/>
  <c r="B1627" i="10"/>
  <c r="B1640" i="10"/>
  <c r="B1653" i="10"/>
  <c r="B1666" i="10"/>
  <c r="B1679" i="10"/>
  <c r="B1692" i="10"/>
  <c r="B1705" i="10"/>
  <c r="B1719" i="10"/>
  <c r="B1732" i="10"/>
  <c r="B1745" i="10"/>
  <c r="B1757" i="10"/>
  <c r="B37" i="10"/>
  <c r="B85" i="10"/>
  <c r="B133" i="10"/>
  <c r="B178" i="10"/>
  <c r="B214" i="10"/>
  <c r="B245" i="10"/>
  <c r="B278" i="10"/>
  <c r="B311" i="10"/>
  <c r="B341" i="10"/>
  <c r="B371" i="10"/>
  <c r="B399" i="10"/>
  <c r="B427" i="10"/>
  <c r="B457" i="10"/>
  <c r="B485" i="10"/>
  <c r="B515" i="10"/>
  <c r="B543" i="10"/>
  <c r="B571" i="10"/>
  <c r="B601" i="10"/>
  <c r="B629" i="10"/>
  <c r="B659" i="10"/>
  <c r="B685" i="10"/>
  <c r="B711" i="10"/>
  <c r="B737" i="10"/>
  <c r="B763" i="10"/>
  <c r="B787" i="10"/>
  <c r="B810" i="10"/>
  <c r="B832" i="10"/>
  <c r="B849" i="10"/>
  <c r="B871" i="10"/>
  <c r="B893" i="10"/>
  <c r="B913" i="10"/>
  <c r="B932" i="10"/>
  <c r="B954" i="10"/>
  <c r="B976" i="10"/>
  <c r="B993" i="10"/>
  <c r="B1015" i="10"/>
  <c r="B1037" i="10"/>
  <c r="B1057" i="10"/>
  <c r="B1074" i="10"/>
  <c r="B1089" i="10"/>
  <c r="B1105" i="10"/>
  <c r="B1122" i="10"/>
  <c r="B1137" i="10"/>
  <c r="B1153" i="10"/>
  <c r="B1170" i="10"/>
  <c r="B1185" i="10"/>
  <c r="B1199" i="10"/>
  <c r="B1213" i="10"/>
  <c r="B1229" i="10"/>
  <c r="B1243" i="10"/>
  <c r="B1257" i="10"/>
  <c r="B1271" i="10"/>
  <c r="B1285" i="10"/>
  <c r="B1301" i="10"/>
  <c r="B1315" i="10"/>
  <c r="B1329" i="10"/>
  <c r="B1343" i="10"/>
  <c r="B1357" i="10"/>
  <c r="B1373" i="10"/>
  <c r="B1387" i="10"/>
  <c r="B1401" i="10"/>
  <c r="B1415" i="10"/>
  <c r="B1429" i="10"/>
  <c r="B1445" i="10"/>
  <c r="B1459" i="10"/>
  <c r="B38" i="10"/>
  <c r="B86" i="10"/>
  <c r="B134" i="10"/>
  <c r="B179" i="10"/>
  <c r="B215" i="10"/>
  <c r="B247" i="10"/>
  <c r="B279" i="10"/>
  <c r="B312" i="10"/>
  <c r="B342" i="10"/>
  <c r="B372" i="10"/>
  <c r="B400" i="10"/>
  <c r="B430" i="10"/>
  <c r="B458" i="10"/>
  <c r="B486" i="10"/>
  <c r="B516" i="10"/>
  <c r="B544" i="10"/>
  <c r="B574" i="10"/>
  <c r="B602" i="10"/>
  <c r="B630" i="10"/>
  <c r="B660" i="10"/>
  <c r="B686" i="10"/>
  <c r="B712" i="10"/>
  <c r="B738" i="10"/>
  <c r="B764" i="10"/>
  <c r="B788" i="10"/>
  <c r="B811" i="10"/>
  <c r="B833" i="10"/>
  <c r="B853" i="10"/>
  <c r="B872" i="10"/>
  <c r="B894" i="10"/>
  <c r="B916" i="10"/>
  <c r="B933" i="10"/>
  <c r="B955" i="10"/>
  <c r="B977" i="10"/>
  <c r="B997" i="10"/>
  <c r="B1016" i="10"/>
  <c r="B1038" i="10"/>
  <c r="B1060" i="10"/>
  <c r="B1075" i="10"/>
  <c r="B1090" i="10"/>
  <c r="B1108" i="10"/>
  <c r="B1123" i="10"/>
  <c r="B1138" i="10"/>
  <c r="B1156" i="10"/>
  <c r="B1171" i="10"/>
  <c r="B1186" i="10"/>
  <c r="B1200" i="10"/>
  <c r="B1216" i="10"/>
  <c r="B1230" i="10"/>
  <c r="B1244" i="10"/>
  <c r="B1258" i="10"/>
  <c r="B1272" i="10"/>
  <c r="B1288" i="10"/>
  <c r="B1302" i="10"/>
  <c r="B1316" i="10"/>
  <c r="B1330" i="10"/>
  <c r="B1344" i="10"/>
  <c r="B1360" i="10"/>
  <c r="B1374" i="10"/>
  <c r="B1388" i="10"/>
  <c r="B1402" i="10"/>
  <c r="B1416" i="10"/>
  <c r="B1432" i="10"/>
  <c r="B1446" i="10"/>
  <c r="B1460" i="10"/>
  <c r="B1474" i="10"/>
  <c r="B1488" i="10"/>
  <c r="B1504" i="10"/>
  <c r="B1518" i="10"/>
  <c r="B1532" i="10"/>
  <c r="B1546" i="10"/>
  <c r="B1560" i="10"/>
  <c r="B1576" i="10"/>
  <c r="B1590" i="10"/>
  <c r="B1603" i="10"/>
  <c r="B1616" i="10"/>
  <c r="B1629" i="10"/>
  <c r="B1642" i="10"/>
  <c r="B1655" i="10"/>
  <c r="B1668" i="10"/>
  <c r="B1681" i="10"/>
  <c r="B1695" i="10"/>
  <c r="B1708" i="10"/>
  <c r="B1721" i="10"/>
  <c r="B1734" i="10"/>
  <c r="B1747" i="10"/>
  <c r="B1759" i="10"/>
  <c r="B39" i="10"/>
  <c r="B87" i="10"/>
  <c r="B135" i="10"/>
  <c r="B180" i="10"/>
  <c r="B216" i="10"/>
  <c r="B250" i="10"/>
  <c r="B280" i="10"/>
  <c r="B313" i="10"/>
  <c r="B343" i="10"/>
  <c r="B373" i="10"/>
  <c r="B401" i="10"/>
  <c r="B431" i="10"/>
  <c r="B459" i="10"/>
  <c r="B487" i="10"/>
  <c r="B517" i="10"/>
  <c r="B545" i="10"/>
  <c r="B575" i="10"/>
  <c r="B603" i="10"/>
  <c r="B631" i="10"/>
  <c r="B661" i="10"/>
  <c r="B687" i="10"/>
  <c r="B713" i="10"/>
  <c r="B739" i="10"/>
  <c r="B765" i="10"/>
  <c r="B789" i="10"/>
  <c r="B812" i="10"/>
  <c r="B834" i="10"/>
  <c r="B856" i="10"/>
  <c r="B873" i="10"/>
  <c r="B895" i="10"/>
  <c r="B917" i="10"/>
  <c r="B937" i="10"/>
  <c r="B956" i="10"/>
  <c r="B978" i="10"/>
  <c r="B1000" i="10"/>
  <c r="B1017" i="10"/>
  <c r="B1039" i="10"/>
  <c r="B1061" i="10"/>
  <c r="B1076" i="10"/>
  <c r="B1091" i="10"/>
  <c r="B1109" i="10"/>
  <c r="B1124" i="10"/>
  <c r="B1139" i="10"/>
  <c r="B1157" i="10"/>
  <c r="B1172" i="10"/>
  <c r="B1187" i="10"/>
  <c r="B1201" i="10"/>
  <c r="B1217" i="10"/>
  <c r="B1231" i="10"/>
  <c r="B1245" i="10"/>
  <c r="B1259" i="10"/>
  <c r="B1273" i="10"/>
  <c r="B1289" i="10"/>
  <c r="B1303" i="10"/>
  <c r="B1317" i="10"/>
  <c r="B1331" i="10"/>
  <c r="B1345" i="10"/>
  <c r="B1361" i="10"/>
  <c r="B1375" i="10"/>
  <c r="B1389" i="10"/>
  <c r="B1403" i="10"/>
  <c r="B1417" i="10"/>
  <c r="B1433" i="10"/>
  <c r="B1447" i="10"/>
  <c r="B1461" i="10"/>
  <c r="B1475" i="10"/>
  <c r="B1489" i="10"/>
  <c r="B1505" i="10"/>
  <c r="B1519" i="10"/>
  <c r="B1533" i="10"/>
  <c r="B1547" i="10"/>
  <c r="B1561" i="10"/>
  <c r="B1577" i="10"/>
  <c r="B1591" i="10"/>
  <c r="B1604" i="10"/>
  <c r="B1617" i="10"/>
  <c r="B1630" i="10"/>
  <c r="B1643" i="10"/>
  <c r="B1656" i="10"/>
  <c r="B1669" i="10"/>
  <c r="B1683" i="10"/>
  <c r="B1696" i="10"/>
  <c r="B1709" i="10"/>
  <c r="B1722" i="10"/>
  <c r="B1735" i="10"/>
  <c r="B1748" i="10"/>
  <c r="B1760" i="10"/>
  <c r="B10" i="10"/>
  <c r="B106" i="10"/>
  <c r="B191" i="10"/>
  <c r="B257" i="10"/>
  <c r="B323" i="10"/>
  <c r="B382" i="10"/>
  <c r="B438" i="10"/>
  <c r="B496" i="10"/>
  <c r="B554" i="10"/>
  <c r="B612" i="10"/>
  <c r="B669" i="10"/>
  <c r="B721" i="10"/>
  <c r="B772" i="10"/>
  <c r="B813" i="10"/>
  <c r="B857" i="10"/>
  <c r="B896" i="10"/>
  <c r="B940" i="10"/>
  <c r="B979" i="10"/>
  <c r="B1021" i="10"/>
  <c r="B1062" i="10"/>
  <c r="B1093" i="10"/>
  <c r="B1125" i="10"/>
  <c r="B1158" i="10"/>
  <c r="B1188" i="10"/>
  <c r="B1218" i="10"/>
  <c r="B1246" i="10"/>
  <c r="B1276" i="10"/>
  <c r="B1304" i="10"/>
  <c r="B1332" i="10"/>
  <c r="B1362" i="10"/>
  <c r="B1390" i="10"/>
  <c r="B1420" i="10"/>
  <c r="B1448" i="10"/>
  <c r="B1473" i="10"/>
  <c r="B1496" i="10"/>
  <c r="B1522" i="10"/>
  <c r="B1548" i="10"/>
  <c r="B1569" i="10"/>
  <c r="B1595" i="10"/>
  <c r="B1619" i="10"/>
  <c r="B1641" i="10"/>
  <c r="B1662" i="10"/>
  <c r="B1686" i="10"/>
  <c r="B1710" i="10"/>
  <c r="B1728" i="10"/>
  <c r="B1752" i="10"/>
  <c r="B11" i="10"/>
  <c r="B107" i="10"/>
  <c r="B192" i="10"/>
  <c r="B259" i="10"/>
  <c r="B324" i="10"/>
  <c r="B383" i="10"/>
  <c r="B439" i="10"/>
  <c r="B497" i="10"/>
  <c r="B555" i="10"/>
  <c r="B613" i="10"/>
  <c r="B670" i="10"/>
  <c r="B722" i="10"/>
  <c r="B773" i="10"/>
  <c r="B817" i="10"/>
  <c r="B858" i="10"/>
  <c r="B897" i="10"/>
  <c r="B941" i="10"/>
  <c r="B980" i="10"/>
  <c r="B1024" i="10"/>
  <c r="B1063" i="10"/>
  <c r="B1096" i="10"/>
  <c r="B1126" i="10"/>
  <c r="B1159" i="10"/>
  <c r="B1189" i="10"/>
  <c r="B1219" i="10"/>
  <c r="B1247" i="10"/>
  <c r="B1277" i="10"/>
  <c r="B1305" i="10"/>
  <c r="B1333" i="10"/>
  <c r="B1363" i="10"/>
  <c r="B1391" i="10"/>
  <c r="B1421" i="10"/>
  <c r="B1449" i="10"/>
  <c r="B1476" i="10"/>
  <c r="B1497" i="10"/>
  <c r="B1523" i="10"/>
  <c r="B1549" i="10"/>
  <c r="B1573" i="10"/>
  <c r="B1596" i="10"/>
  <c r="B1620" i="10"/>
  <c r="B1644" i="10"/>
  <c r="B1663" i="10"/>
  <c r="B1687" i="10"/>
  <c r="B1711" i="10"/>
  <c r="B1733" i="10"/>
  <c r="B1753" i="10"/>
  <c r="B12" i="10"/>
  <c r="B108" i="10"/>
  <c r="B193" i="10"/>
  <c r="B262" i="10"/>
  <c r="B325" i="10"/>
  <c r="B384" i="10"/>
  <c r="B442" i="10"/>
  <c r="B498" i="10"/>
  <c r="B556" i="10"/>
  <c r="B614" i="10"/>
  <c r="B671" i="10"/>
  <c r="B723" i="10"/>
  <c r="B774" i="10"/>
  <c r="B820" i="10"/>
  <c r="B859" i="10"/>
  <c r="B901" i="10"/>
  <c r="B942" i="10"/>
  <c r="B981" i="10"/>
  <c r="B1025" i="10"/>
  <c r="B1064" i="10"/>
  <c r="B1097" i="10"/>
  <c r="B1127" i="10"/>
  <c r="B1160" i="10"/>
  <c r="B1192" i="10"/>
  <c r="B1220" i="10"/>
  <c r="B1248" i="10"/>
  <c r="B1278" i="10"/>
  <c r="B1306" i="10"/>
  <c r="B1336" i="10"/>
  <c r="B1364" i="10"/>
  <c r="B1392" i="10"/>
  <c r="B1422" i="10"/>
  <c r="B1450" i="10"/>
  <c r="B1477" i="10"/>
  <c r="B1501" i="10"/>
  <c r="B1524" i="10"/>
  <c r="B1552" i="10"/>
  <c r="B1578" i="10"/>
  <c r="B1597" i="10"/>
  <c r="B1621" i="10"/>
  <c r="B1645" i="10"/>
  <c r="B1667" i="10"/>
  <c r="B1688" i="10"/>
  <c r="B1712" i="10"/>
  <c r="B1736" i="10"/>
  <c r="B1754" i="10"/>
  <c r="B13" i="10"/>
  <c r="B109" i="10"/>
  <c r="B194" i="10"/>
  <c r="B263" i="10"/>
  <c r="B326" i="10"/>
  <c r="B385" i="10"/>
  <c r="B443" i="10"/>
  <c r="B499" i="10"/>
  <c r="B557" i="10"/>
  <c r="B615" i="10"/>
  <c r="B672" i="10"/>
  <c r="B724" i="10"/>
  <c r="B775" i="10"/>
  <c r="B821" i="10"/>
  <c r="B860" i="10"/>
  <c r="B904" i="10"/>
  <c r="B943" i="10"/>
  <c r="B985" i="10"/>
  <c r="B1026" i="10"/>
  <c r="B1065" i="10"/>
  <c r="B1098" i="10"/>
  <c r="B1129" i="10"/>
  <c r="B1161" i="10"/>
  <c r="B1193" i="10"/>
  <c r="B1221" i="10"/>
  <c r="B1249" i="10"/>
  <c r="B1279" i="10"/>
  <c r="B1307" i="10"/>
  <c r="B1337" i="10"/>
  <c r="B1365" i="10"/>
  <c r="B1393" i="10"/>
  <c r="B1423" i="10"/>
  <c r="B1451" i="10"/>
  <c r="B1480" i="10"/>
  <c r="B1506" i="10"/>
  <c r="B1525" i="10"/>
  <c r="B1553" i="10"/>
  <c r="B1579" i="10"/>
  <c r="B1602" i="10"/>
  <c r="B1623" i="10"/>
  <c r="B1647" i="10"/>
  <c r="B1671" i="10"/>
  <c r="B1689" i="10"/>
  <c r="B1713" i="10"/>
  <c r="B1737" i="10"/>
  <c r="B1758" i="10"/>
  <c r="B14" i="10"/>
  <c r="B110" i="10"/>
  <c r="B195" i="10"/>
  <c r="B264" i="10"/>
  <c r="B327" i="10"/>
  <c r="B386" i="10"/>
  <c r="B444" i="10"/>
  <c r="B502" i="10"/>
  <c r="B558" i="10"/>
  <c r="B616" i="10"/>
  <c r="B673" i="10"/>
  <c r="B725" i="10"/>
  <c r="B776" i="10"/>
  <c r="B822" i="10"/>
  <c r="B861" i="10"/>
  <c r="B905" i="10"/>
  <c r="B944" i="10"/>
  <c r="B988" i="10"/>
  <c r="B1027" i="10"/>
  <c r="B15" i="10"/>
  <c r="B111" i="10"/>
  <c r="B197" i="10"/>
  <c r="B265" i="10"/>
  <c r="B328" i="10"/>
  <c r="B387" i="10"/>
  <c r="B445" i="10"/>
  <c r="B503" i="10"/>
  <c r="B559" i="10"/>
  <c r="B617" i="10"/>
  <c r="B674" i="10"/>
  <c r="B726" i="10"/>
  <c r="B777" i="10"/>
  <c r="B823" i="10"/>
  <c r="B865" i="10"/>
  <c r="B906" i="10"/>
  <c r="B945" i="10"/>
  <c r="B989" i="10"/>
  <c r="B1028" i="10"/>
  <c r="B1067" i="10"/>
  <c r="B1100" i="10"/>
  <c r="B1133" i="10"/>
  <c r="B1163" i="10"/>
  <c r="B1195" i="10"/>
  <c r="B1223" i="10"/>
  <c r="B1253" i="10"/>
  <c r="B1281" i="10"/>
  <c r="B1309" i="10"/>
  <c r="B1339" i="10"/>
  <c r="B1367" i="10"/>
  <c r="B1397" i="10"/>
  <c r="B1425" i="10"/>
  <c r="B1453" i="10"/>
  <c r="B1482" i="10"/>
  <c r="B1508" i="10"/>
  <c r="B1534" i="10"/>
  <c r="B1555" i="10"/>
  <c r="B1581" i="10"/>
  <c r="B1606" i="10"/>
  <c r="B1628" i="10"/>
  <c r="B1649" i="10"/>
  <c r="B1673" i="10"/>
  <c r="B1697" i="10"/>
  <c r="B1715" i="10"/>
  <c r="B1739" i="10"/>
  <c r="B1762" i="10"/>
  <c r="B151" i="10"/>
  <c r="B290" i="10"/>
  <c r="B410" i="10"/>
  <c r="B526" i="10"/>
  <c r="B640" i="10"/>
  <c r="B747" i="10"/>
  <c r="B835" i="10"/>
  <c r="B918" i="10"/>
  <c r="B1001" i="10"/>
  <c r="B1066" i="10"/>
  <c r="B1114" i="10"/>
  <c r="B1175" i="10"/>
  <c r="B1232" i="10"/>
  <c r="B1267" i="10"/>
  <c r="B1321" i="10"/>
  <c r="B1377" i="10"/>
  <c r="B1424" i="10"/>
  <c r="B1468" i="10"/>
  <c r="B1511" i="10"/>
  <c r="B1559" i="10"/>
  <c r="B1594" i="10"/>
  <c r="B1635" i="10"/>
  <c r="B1675" i="10"/>
  <c r="B1714" i="10"/>
  <c r="B1750" i="10"/>
  <c r="B154" i="10"/>
  <c r="B291" i="10"/>
  <c r="B411" i="10"/>
  <c r="B527" i="10"/>
  <c r="B641" i="10"/>
  <c r="B748" i="10"/>
  <c r="B836" i="10"/>
  <c r="B919" i="10"/>
  <c r="B1002" i="10"/>
  <c r="B1077" i="10"/>
  <c r="B1115" i="10"/>
  <c r="B1177" i="10"/>
  <c r="B1233" i="10"/>
  <c r="B1280" i="10"/>
  <c r="B1324" i="10"/>
  <c r="B1378" i="10"/>
  <c r="B1434" i="10"/>
  <c r="B1469" i="10"/>
  <c r="B1517" i="10"/>
  <c r="B1564" i="10"/>
  <c r="B1605" i="10"/>
  <c r="B1636" i="10"/>
  <c r="B1676" i="10"/>
  <c r="B1720" i="10"/>
  <c r="B1751" i="10"/>
  <c r="B155" i="10"/>
  <c r="B292" i="10"/>
  <c r="B412" i="10"/>
  <c r="B528" i="10"/>
  <c r="B642" i="10"/>
  <c r="B749" i="10"/>
  <c r="B837" i="10"/>
  <c r="B920" i="10"/>
  <c r="B1003" i="10"/>
  <c r="B1078" i="10"/>
  <c r="B1132" i="10"/>
  <c r="B1180" i="10"/>
  <c r="B1234" i="10"/>
  <c r="B1290" i="10"/>
  <c r="B1325" i="10"/>
  <c r="B1379" i="10"/>
  <c r="B1435" i="10"/>
  <c r="B1481" i="10"/>
  <c r="B1520" i="10"/>
  <c r="B1565" i="10"/>
  <c r="B1607" i="10"/>
  <c r="B1637" i="10"/>
  <c r="B1680" i="10"/>
  <c r="B1723" i="10"/>
  <c r="B1761" i="10"/>
  <c r="B156" i="10"/>
  <c r="B293" i="10"/>
  <c r="B413" i="10"/>
  <c r="B529" i="10"/>
  <c r="B643" i="10"/>
  <c r="B750" i="10"/>
  <c r="B841" i="10"/>
  <c r="B921" i="10"/>
  <c r="B1004" i="10"/>
  <c r="B1079" i="10"/>
  <c r="B1141" i="10"/>
  <c r="B1181" i="10"/>
  <c r="B1235" i="10"/>
  <c r="B1291" i="10"/>
  <c r="B1338" i="10"/>
  <c r="B1380" i="10"/>
  <c r="B1436" i="10"/>
  <c r="B1483" i="10"/>
  <c r="B1521" i="10"/>
  <c r="B1566" i="10"/>
  <c r="B1608" i="10"/>
  <c r="B1648" i="10"/>
  <c r="B1684" i="10"/>
  <c r="B1724" i="10"/>
  <c r="B1763" i="10"/>
  <c r="B158" i="10"/>
  <c r="B298" i="10"/>
  <c r="B415" i="10"/>
  <c r="B531" i="10"/>
  <c r="B647" i="10"/>
  <c r="B753" i="10"/>
  <c r="B845" i="10"/>
  <c r="B928" i="10"/>
  <c r="B1009" i="10"/>
  <c r="B1084" i="10"/>
  <c r="B1145" i="10"/>
  <c r="B1204" i="10"/>
  <c r="B1237" i="10"/>
  <c r="B1293" i="10"/>
  <c r="B1349" i="10"/>
  <c r="B1396" i="10"/>
  <c r="B1438" i="10"/>
  <c r="B1492" i="10"/>
  <c r="B1535" i="10"/>
  <c r="B1568" i="10"/>
  <c r="B1611" i="10"/>
  <c r="B1654" i="10"/>
  <c r="B1693" i="10"/>
  <c r="B1726" i="10"/>
  <c r="B63" i="10"/>
  <c r="B232" i="10"/>
  <c r="B359" i="10"/>
  <c r="B473" i="10"/>
  <c r="B589" i="10"/>
  <c r="B700" i="10"/>
  <c r="B801" i="10"/>
  <c r="B884" i="10"/>
  <c r="B967" i="10"/>
  <c r="B1050" i="10"/>
  <c r="B1113" i="10"/>
  <c r="B1174" i="10"/>
  <c r="B1222" i="10"/>
  <c r="B1266" i="10"/>
  <c r="B1320" i="10"/>
  <c r="B1376" i="10"/>
  <c r="B1411" i="10"/>
  <c r="B1465" i="10"/>
  <c r="B1510" i="10"/>
  <c r="B1554" i="10"/>
  <c r="B1593" i="10"/>
  <c r="B1633" i="10"/>
  <c r="B1674" i="10"/>
  <c r="B1707" i="10"/>
  <c r="B1749" i="10"/>
  <c r="B295" i="10"/>
  <c r="B530" i="10"/>
  <c r="B751" i="10"/>
  <c r="B925" i="10"/>
  <c r="B1081" i="10"/>
  <c r="B1194" i="10"/>
  <c r="B1292" i="10"/>
  <c r="B1381" i="10"/>
  <c r="B1487" i="10"/>
  <c r="B1567" i="10"/>
  <c r="B1650" i="10"/>
  <c r="B1725" i="10"/>
  <c r="B58" i="10"/>
  <c r="B352" i="10"/>
  <c r="B582" i="10"/>
  <c r="B796" i="10"/>
  <c r="B957" i="10"/>
  <c r="B1085" i="10"/>
  <c r="B1205" i="10"/>
  <c r="B1294" i="10"/>
  <c r="B1404" i="10"/>
  <c r="B1493" i="10"/>
  <c r="B1580" i="10"/>
  <c r="B1657" i="10"/>
  <c r="B1727" i="10"/>
  <c r="B59" i="10"/>
  <c r="B353" i="10"/>
  <c r="B583" i="10"/>
  <c r="B797" i="10"/>
  <c r="B961" i="10"/>
  <c r="B1099" i="10"/>
  <c r="B1206" i="10"/>
  <c r="B1295" i="10"/>
  <c r="B1405" i="10"/>
  <c r="B1494" i="10"/>
  <c r="B1582" i="10"/>
  <c r="B1659" i="10"/>
  <c r="B1738" i="10"/>
  <c r="B60" i="10"/>
  <c r="B354" i="10"/>
  <c r="B586" i="10"/>
  <c r="B798" i="10"/>
  <c r="B964" i="10"/>
  <c r="B1110" i="10"/>
  <c r="B1207" i="10"/>
  <c r="B1308" i="10"/>
  <c r="B1408" i="10"/>
  <c r="B1495" i="10"/>
  <c r="B1583" i="10"/>
  <c r="B1660" i="10"/>
  <c r="B1740" i="10"/>
  <c r="B61" i="10"/>
  <c r="B355" i="10"/>
  <c r="B587" i="10"/>
  <c r="B799" i="10"/>
  <c r="B965" i="10"/>
  <c r="B1111" i="10"/>
  <c r="B1208" i="10"/>
  <c r="B1318" i="10"/>
  <c r="B1409" i="10"/>
  <c r="B1507" i="10"/>
  <c r="B1589" i="10"/>
  <c r="B1661" i="10"/>
  <c r="B1741" i="10"/>
  <c r="B62" i="10"/>
  <c r="B358" i="10"/>
  <c r="B588" i="10"/>
  <c r="B800" i="10"/>
  <c r="B966" i="10"/>
  <c r="B1112" i="10"/>
  <c r="B1209" i="10"/>
  <c r="B1319" i="10"/>
  <c r="B1410" i="10"/>
  <c r="B1509" i="10"/>
  <c r="B1592" i="10"/>
  <c r="B1672" i="10"/>
  <c r="B1746" i="10"/>
  <c r="B414" i="10"/>
  <c r="B844" i="10"/>
  <c r="B1144" i="10"/>
  <c r="B1348" i="10"/>
  <c r="B1531" i="10"/>
  <c r="B1685" i="10"/>
  <c r="B468" i="10"/>
  <c r="B877" i="10"/>
  <c r="B1146" i="10"/>
  <c r="B1350" i="10"/>
  <c r="B1536" i="10"/>
  <c r="B1698" i="10"/>
  <c r="B469" i="10"/>
  <c r="B880" i="10"/>
  <c r="B1147" i="10"/>
  <c r="B1351" i="10"/>
  <c r="B1537" i="10"/>
  <c r="B1699" i="10"/>
  <c r="B470" i="10"/>
  <c r="B881" i="10"/>
  <c r="B1148" i="10"/>
  <c r="B1352" i="10"/>
  <c r="B1540" i="10"/>
  <c r="B1700" i="10"/>
  <c r="B471" i="10"/>
  <c r="B882" i="10"/>
  <c r="B1162" i="10"/>
  <c r="B1353" i="10"/>
  <c r="B1541" i="10"/>
  <c r="B1701" i="10"/>
  <c r="B472" i="10"/>
  <c r="B883" i="10"/>
  <c r="B1173" i="10"/>
  <c r="B1366" i="10"/>
  <c r="B1545" i="10"/>
  <c r="B1702" i="10"/>
  <c r="B646" i="10"/>
  <c r="B1236" i="10"/>
  <c r="B1609" i="10"/>
  <c r="B695" i="10"/>
  <c r="B1252" i="10"/>
  <c r="B1615" i="10"/>
  <c r="B696" i="10"/>
  <c r="B1260" i="10"/>
  <c r="B1618" i="10"/>
  <c r="B697" i="10"/>
  <c r="B1261" i="10"/>
  <c r="B1624" i="10"/>
  <c r="B698" i="10"/>
  <c r="B1264" i="10"/>
  <c r="B1631" i="10"/>
  <c r="B699" i="10"/>
  <c r="B1265" i="10"/>
  <c r="B1632" i="10"/>
  <c r="B227" i="10"/>
  <c r="B1439" i="10"/>
  <c r="B229" i="10"/>
  <c r="B1462" i="10"/>
  <c r="B230" i="10"/>
  <c r="B1463" i="10"/>
  <c r="B231" i="10"/>
  <c r="B1464" i="10"/>
  <c r="B1005" i="10"/>
  <c r="B157" i="10"/>
  <c r="B228" i="10"/>
  <c r="B1041" i="10"/>
  <c r="B1045" i="10"/>
  <c r="B1048" i="10"/>
  <c r="B1049" i="10"/>
  <c r="B1040" i="10"/>
  <c r="B1437" i="10"/>
  <c r="B1452" i="10"/>
  <c r="G10" i="10"/>
  <c r="G22" i="10"/>
  <c r="G8" i="10"/>
  <c r="G21" i="10"/>
  <c r="G34" i="10"/>
  <c r="G46" i="10"/>
  <c r="G58" i="10"/>
  <c r="G70" i="10"/>
  <c r="G82" i="10"/>
  <c r="G94" i="10"/>
  <c r="G106" i="10"/>
  <c r="G118" i="10"/>
  <c r="G130" i="10"/>
  <c r="G142" i="10"/>
  <c r="G154" i="10"/>
  <c r="G166" i="10"/>
  <c r="G178" i="10"/>
  <c r="G190" i="10"/>
  <c r="G202" i="10"/>
  <c r="G214" i="10"/>
  <c r="G226" i="10"/>
  <c r="G238" i="10"/>
  <c r="G250" i="10"/>
  <c r="G262" i="10"/>
  <c r="G274" i="10"/>
  <c r="G286" i="10"/>
  <c r="G298" i="10"/>
  <c r="G310" i="10"/>
  <c r="G322" i="10"/>
  <c r="G334" i="10"/>
  <c r="G346" i="10"/>
  <c r="G358" i="10"/>
  <c r="G370" i="10"/>
  <c r="G382" i="10"/>
  <c r="G394" i="10"/>
  <c r="G406" i="10"/>
  <c r="G418" i="10"/>
  <c r="G9" i="10"/>
  <c r="G23" i="10"/>
  <c r="G35" i="10"/>
  <c r="G47" i="10"/>
  <c r="G59" i="10"/>
  <c r="G71" i="10"/>
  <c r="G83" i="10"/>
  <c r="G95" i="10"/>
  <c r="G107" i="10"/>
  <c r="G119" i="10"/>
  <c r="G131" i="10"/>
  <c r="G143" i="10"/>
  <c r="G155" i="10"/>
  <c r="G167" i="10"/>
  <c r="G179" i="10"/>
  <c r="G191" i="10"/>
  <c r="G203" i="10"/>
  <c r="G215" i="10"/>
  <c r="G227" i="10"/>
  <c r="G239" i="10"/>
  <c r="G251" i="10"/>
  <c r="G263" i="10"/>
  <c r="G275" i="10"/>
  <c r="G287" i="10"/>
  <c r="G299" i="10"/>
  <c r="G311" i="10"/>
  <c r="G323" i="10"/>
  <c r="G335" i="10"/>
  <c r="G347" i="10"/>
  <c r="G359" i="10"/>
  <c r="G371" i="10"/>
  <c r="G383" i="10"/>
  <c r="G395" i="10"/>
  <c r="G11" i="10"/>
  <c r="G24" i="10"/>
  <c r="G36" i="10"/>
  <c r="G48" i="10"/>
  <c r="G60" i="10"/>
  <c r="G72" i="10"/>
  <c r="G84" i="10"/>
  <c r="G96" i="10"/>
  <c r="G108" i="10"/>
  <c r="G120" i="10"/>
  <c r="G132" i="10"/>
  <c r="G144" i="10"/>
  <c r="G156" i="10"/>
  <c r="G168" i="10"/>
  <c r="G180" i="10"/>
  <c r="G192" i="10"/>
  <c r="G204" i="10"/>
  <c r="G216" i="10"/>
  <c r="G228" i="10"/>
  <c r="G240" i="10"/>
  <c r="G252" i="10"/>
  <c r="G264" i="10"/>
  <c r="G276" i="10"/>
  <c r="G288" i="10"/>
  <c r="G300" i="10"/>
  <c r="G312" i="10"/>
  <c r="G324" i="10"/>
  <c r="G336" i="10"/>
  <c r="G348" i="10"/>
  <c r="G360" i="10"/>
  <c r="G372" i="10"/>
  <c r="G384" i="10"/>
  <c r="G396" i="10"/>
  <c r="G408" i="10"/>
  <c r="G420" i="10"/>
  <c r="G432" i="10"/>
  <c r="G444" i="10"/>
  <c r="G456" i="10"/>
  <c r="G468" i="10"/>
  <c r="G480" i="10"/>
  <c r="G12" i="10"/>
  <c r="G25" i="10"/>
  <c r="G37" i="10"/>
  <c r="G49" i="10"/>
  <c r="G61" i="10"/>
  <c r="G73" i="10"/>
  <c r="G85" i="10"/>
  <c r="G97" i="10"/>
  <c r="G109" i="10"/>
  <c r="G121" i="10"/>
  <c r="G133" i="10"/>
  <c r="G145" i="10"/>
  <c r="G157" i="10"/>
  <c r="G169" i="10"/>
  <c r="G181" i="10"/>
  <c r="G193" i="10"/>
  <c r="G205" i="10"/>
  <c r="G217" i="10"/>
  <c r="G229" i="10"/>
  <c r="G241" i="10"/>
  <c r="G253" i="10"/>
  <c r="G265" i="10"/>
  <c r="G277" i="10"/>
  <c r="G289" i="10"/>
  <c r="G301" i="10"/>
  <c r="G313" i="10"/>
  <c r="G325" i="10"/>
  <c r="G337" i="10"/>
  <c r="G349" i="10"/>
  <c r="G361" i="10"/>
  <c r="G13" i="10"/>
  <c r="G26" i="10"/>
  <c r="G38" i="10"/>
  <c r="G50" i="10"/>
  <c r="G62" i="10"/>
  <c r="G74" i="10"/>
  <c r="G86" i="10"/>
  <c r="G98" i="10"/>
  <c r="G110" i="10"/>
  <c r="G122" i="10"/>
  <c r="G134" i="10"/>
  <c r="G146" i="10"/>
  <c r="G158" i="10"/>
  <c r="G170" i="10"/>
  <c r="G182" i="10"/>
  <c r="G194" i="10"/>
  <c r="G206" i="10"/>
  <c r="G218" i="10"/>
  <c r="G230" i="10"/>
  <c r="G242" i="10"/>
  <c r="G254" i="10"/>
  <c r="G266" i="10"/>
  <c r="G278" i="10"/>
  <c r="G290" i="10"/>
  <c r="G302" i="10"/>
  <c r="G314" i="10"/>
  <c r="G326" i="10"/>
  <c r="G338" i="10"/>
  <c r="G350" i="10"/>
  <c r="G362" i="10"/>
  <c r="G374" i="10"/>
  <c r="G386" i="10"/>
  <c r="G398" i="10"/>
  <c r="G410" i="10"/>
  <c r="G422" i="10"/>
  <c r="G434" i="10"/>
  <c r="G446" i="10"/>
  <c r="G458" i="10"/>
  <c r="G470" i="10"/>
  <c r="G482" i="10"/>
  <c r="G494" i="10"/>
  <c r="G506" i="10"/>
  <c r="G518" i="10"/>
  <c r="G530" i="10"/>
  <c r="G542" i="10"/>
  <c r="G554" i="10"/>
  <c r="G566" i="10"/>
  <c r="G578" i="10"/>
  <c r="G590" i="10"/>
  <c r="G602" i="10"/>
  <c r="G614" i="10"/>
  <c r="G626" i="10"/>
  <c r="G638" i="10"/>
  <c r="G650" i="10"/>
  <c r="G662" i="10"/>
  <c r="G674" i="10"/>
  <c r="G686" i="10"/>
  <c r="G698" i="10"/>
  <c r="G710" i="10"/>
  <c r="G722" i="10"/>
  <c r="G734" i="10"/>
  <c r="G746" i="10"/>
  <c r="G758" i="10"/>
  <c r="G770" i="10"/>
  <c r="G782" i="10"/>
  <c r="G794" i="10"/>
  <c r="G806" i="10"/>
  <c r="G14" i="10"/>
  <c r="G27" i="10"/>
  <c r="G39" i="10"/>
  <c r="G51" i="10"/>
  <c r="G63" i="10"/>
  <c r="G75" i="10"/>
  <c r="G87" i="10"/>
  <c r="G99" i="10"/>
  <c r="G111" i="10"/>
  <c r="G123" i="10"/>
  <c r="G135" i="10"/>
  <c r="G147" i="10"/>
  <c r="G15" i="10"/>
  <c r="G40" i="10"/>
  <c r="G64" i="10"/>
  <c r="G88" i="10"/>
  <c r="G112" i="10"/>
  <c r="G136" i="10"/>
  <c r="G159" i="10"/>
  <c r="G176" i="10"/>
  <c r="G198" i="10"/>
  <c r="G220" i="10"/>
  <c r="G237" i="10"/>
  <c r="G259" i="10"/>
  <c r="G281" i="10"/>
  <c r="G303" i="10"/>
  <c r="G320" i="10"/>
  <c r="G342" i="10"/>
  <c r="G364" i="10"/>
  <c r="G380" i="10"/>
  <c r="G400" i="10"/>
  <c r="G415" i="10"/>
  <c r="G430" i="10"/>
  <c r="G445" i="10"/>
  <c r="G460" i="10"/>
  <c r="G474" i="10"/>
  <c r="G488" i="10"/>
  <c r="G501" i="10"/>
  <c r="G514" i="10"/>
  <c r="G527" i="10"/>
  <c r="G540" i="10"/>
  <c r="G553" i="10"/>
  <c r="G567" i="10"/>
  <c r="G580" i="10"/>
  <c r="G593" i="10"/>
  <c r="G606" i="10"/>
  <c r="G619" i="10"/>
  <c r="G632" i="10"/>
  <c r="G645" i="10"/>
  <c r="G658" i="10"/>
  <c r="G671" i="10"/>
  <c r="G684" i="10"/>
  <c r="G697" i="10"/>
  <c r="G711" i="10"/>
  <c r="G724" i="10"/>
  <c r="G737" i="10"/>
  <c r="G750" i="10"/>
  <c r="G763" i="10"/>
  <c r="G776" i="10"/>
  <c r="G789" i="10"/>
  <c r="G802" i="10"/>
  <c r="G815" i="10"/>
  <c r="G827" i="10"/>
  <c r="G839" i="10"/>
  <c r="G851" i="10"/>
  <c r="G863" i="10"/>
  <c r="G875" i="10"/>
  <c r="G887" i="10"/>
  <c r="G899" i="10"/>
  <c r="G911" i="10"/>
  <c r="G923" i="10"/>
  <c r="G935" i="10"/>
  <c r="G16" i="10"/>
  <c r="G41" i="10"/>
  <c r="G65" i="10"/>
  <c r="G89" i="10"/>
  <c r="G113" i="10"/>
  <c r="G137" i="10"/>
  <c r="G160" i="10"/>
  <c r="G177" i="10"/>
  <c r="G199" i="10"/>
  <c r="G221" i="10"/>
  <c r="G243" i="10"/>
  <c r="G260" i="10"/>
  <c r="G282" i="10"/>
  <c r="G304" i="10"/>
  <c r="G321" i="10"/>
  <c r="G343" i="10"/>
  <c r="G365" i="10"/>
  <c r="G381" i="10"/>
  <c r="G401" i="10"/>
  <c r="G416" i="10"/>
  <c r="G431" i="10"/>
  <c r="G447" i="10"/>
  <c r="G461" i="10"/>
  <c r="G475" i="10"/>
  <c r="G489" i="10"/>
  <c r="G502" i="10"/>
  <c r="G515" i="10"/>
  <c r="G528" i="10"/>
  <c r="G541" i="10"/>
  <c r="G555" i="10"/>
  <c r="G568" i="10"/>
  <c r="G581" i="10"/>
  <c r="G594" i="10"/>
  <c r="G607" i="10"/>
  <c r="G620" i="10"/>
  <c r="G633" i="10"/>
  <c r="G646" i="10"/>
  <c r="G659" i="10"/>
  <c r="G672" i="10"/>
  <c r="G685" i="10"/>
  <c r="G699" i="10"/>
  <c r="G712" i="10"/>
  <c r="G725" i="10"/>
  <c r="G738" i="10"/>
  <c r="G751" i="10"/>
  <c r="G764" i="10"/>
  <c r="G777" i="10"/>
  <c r="G790" i="10"/>
  <c r="G803" i="10"/>
  <c r="G816" i="10"/>
  <c r="G828" i="10"/>
  <c r="G840" i="10"/>
  <c r="G852" i="10"/>
  <c r="G864" i="10"/>
  <c r="G876" i="10"/>
  <c r="G888" i="10"/>
  <c r="G900" i="10"/>
  <c r="G912" i="10"/>
  <c r="G924" i="10"/>
  <c r="G936" i="10"/>
  <c r="G17" i="10"/>
  <c r="G42" i="10"/>
  <c r="G66" i="10"/>
  <c r="G90" i="10"/>
  <c r="G114" i="10"/>
  <c r="G138" i="10"/>
  <c r="G161" i="10"/>
  <c r="G183" i="10"/>
  <c r="G200" i="10"/>
  <c r="G222" i="10"/>
  <c r="G244" i="10"/>
  <c r="G261" i="10"/>
  <c r="G283" i="10"/>
  <c r="G305" i="10"/>
  <c r="G327" i="10"/>
  <c r="G344" i="10"/>
  <c r="G366" i="10"/>
  <c r="G385" i="10"/>
  <c r="G402" i="10"/>
  <c r="G417" i="10"/>
  <c r="G433" i="10"/>
  <c r="G448" i="10"/>
  <c r="G462" i="10"/>
  <c r="G476" i="10"/>
  <c r="G490" i="10"/>
  <c r="G503" i="10"/>
  <c r="G516" i="10"/>
  <c r="G529" i="10"/>
  <c r="G543" i="10"/>
  <c r="G556" i="10"/>
  <c r="G569" i="10"/>
  <c r="G582" i="10"/>
  <c r="G595" i="10"/>
  <c r="G608" i="10"/>
  <c r="G621" i="10"/>
  <c r="G634" i="10"/>
  <c r="G647" i="10"/>
  <c r="G660" i="10"/>
  <c r="G673" i="10"/>
  <c r="G687" i="10"/>
  <c r="G700" i="10"/>
  <c r="G713" i="10"/>
  <c r="G726" i="10"/>
  <c r="G739" i="10"/>
  <c r="G752" i="10"/>
  <c r="G765" i="10"/>
  <c r="G778" i="10"/>
  <c r="G791" i="10"/>
  <c r="G804" i="10"/>
  <c r="G817" i="10"/>
  <c r="G829" i="10"/>
  <c r="G841" i="10"/>
  <c r="G853" i="10"/>
  <c r="G865" i="10"/>
  <c r="G877" i="10"/>
  <c r="G889" i="10"/>
  <c r="G901" i="10"/>
  <c r="G913" i="10"/>
  <c r="G925" i="10"/>
  <c r="G937" i="10"/>
  <c r="G949" i="10"/>
  <c r="G961" i="10"/>
  <c r="G973" i="10"/>
  <c r="G985" i="10"/>
  <c r="G997" i="10"/>
  <c r="G1009" i="10"/>
  <c r="G1021" i="10"/>
  <c r="G1033" i="10"/>
  <c r="G1045" i="10"/>
  <c r="G18" i="10"/>
  <c r="G43" i="10"/>
  <c r="G67" i="10"/>
  <c r="G91" i="10"/>
  <c r="G115" i="10"/>
  <c r="G139" i="10"/>
  <c r="G162" i="10"/>
  <c r="G184" i="10"/>
  <c r="G201" i="10"/>
  <c r="G223" i="10"/>
  <c r="G245" i="10"/>
  <c r="G267" i="10"/>
  <c r="G284" i="10"/>
  <c r="G306" i="10"/>
  <c r="G328" i="10"/>
  <c r="G345" i="10"/>
  <c r="G367" i="10"/>
  <c r="G387" i="10"/>
  <c r="G403" i="10"/>
  <c r="G419" i="10"/>
  <c r="G435" i="10"/>
  <c r="G449" i="10"/>
  <c r="G463" i="10"/>
  <c r="G477" i="10"/>
  <c r="G491" i="10"/>
  <c r="G504" i="10"/>
  <c r="G517" i="10"/>
  <c r="G531" i="10"/>
  <c r="G544" i="10"/>
  <c r="G557" i="10"/>
  <c r="G570" i="10"/>
  <c r="G583" i="10"/>
  <c r="G596" i="10"/>
  <c r="G609" i="10"/>
  <c r="G622" i="10"/>
  <c r="G635" i="10"/>
  <c r="G648" i="10"/>
  <c r="G661" i="10"/>
  <c r="G675" i="10"/>
  <c r="G688" i="10"/>
  <c r="G701" i="10"/>
  <c r="G714" i="10"/>
  <c r="G727" i="10"/>
  <c r="G740" i="10"/>
  <c r="G753" i="10"/>
  <c r="G766" i="10"/>
  <c r="G779" i="10"/>
  <c r="G792" i="10"/>
  <c r="G805" i="10"/>
  <c r="G818" i="10"/>
  <c r="G830" i="10"/>
  <c r="G842" i="10"/>
  <c r="G854" i="10"/>
  <c r="G19" i="10"/>
  <c r="G44" i="10"/>
  <c r="G68" i="10"/>
  <c r="G92" i="10"/>
  <c r="G116" i="10"/>
  <c r="G140" i="10"/>
  <c r="G163" i="10"/>
  <c r="G185" i="10"/>
  <c r="G207" i="10"/>
  <c r="G224" i="10"/>
  <c r="G246" i="10"/>
  <c r="G268" i="10"/>
  <c r="G285" i="10"/>
  <c r="G307" i="10"/>
  <c r="G329" i="10"/>
  <c r="G351" i="10"/>
  <c r="G368" i="10"/>
  <c r="G388" i="10"/>
  <c r="G404" i="10"/>
  <c r="G421" i="10"/>
  <c r="G436" i="10"/>
  <c r="G450" i="10"/>
  <c r="G464" i="10"/>
  <c r="G478" i="10"/>
  <c r="G492" i="10"/>
  <c r="G505" i="10"/>
  <c r="G519" i="10"/>
  <c r="G532" i="10"/>
  <c r="G545" i="10"/>
  <c r="G558" i="10"/>
  <c r="G571" i="10"/>
  <c r="G584" i="10"/>
  <c r="G597" i="10"/>
  <c r="G610" i="10"/>
  <c r="G623" i="10"/>
  <c r="G636" i="10"/>
  <c r="G649" i="10"/>
  <c r="G663" i="10"/>
  <c r="G676" i="10"/>
  <c r="G689" i="10"/>
  <c r="G702" i="10"/>
  <c r="G715" i="10"/>
  <c r="G728" i="10"/>
  <c r="G741" i="10"/>
  <c r="G754" i="10"/>
  <c r="G767" i="10"/>
  <c r="G780" i="10"/>
  <c r="G793" i="10"/>
  <c r="G807" i="10"/>
  <c r="G819" i="10"/>
  <c r="G831" i="10"/>
  <c r="G843" i="10"/>
  <c r="G855" i="10"/>
  <c r="G867" i="10"/>
  <c r="G879" i="10"/>
  <c r="G891" i="10"/>
  <c r="G903" i="10"/>
  <c r="G915" i="10"/>
  <c r="G927" i="10"/>
  <c r="G939" i="10"/>
  <c r="G951" i="10"/>
  <c r="G963" i="10"/>
  <c r="G975" i="10"/>
  <c r="G987" i="10"/>
  <c r="G999" i="10"/>
  <c r="G1011" i="10"/>
  <c r="G1023" i="10"/>
  <c r="G1035" i="10"/>
  <c r="G1047" i="10"/>
  <c r="G1059" i="10"/>
  <c r="G1071" i="10"/>
  <c r="G1083" i="10"/>
  <c r="G1095" i="10"/>
  <c r="G1107" i="10"/>
  <c r="G1119" i="10"/>
  <c r="G1131" i="10"/>
  <c r="G1143" i="10"/>
  <c r="G1155" i="10"/>
  <c r="G1167" i="10"/>
  <c r="G1179" i="10"/>
  <c r="G1191" i="10"/>
  <c r="G1203" i="10"/>
  <c r="G1215" i="10"/>
  <c r="G1227" i="10"/>
  <c r="G1239" i="10"/>
  <c r="G1251" i="10"/>
  <c r="G1263" i="10"/>
  <c r="G1275" i="10"/>
  <c r="G1287" i="10"/>
  <c r="G1299" i="10"/>
  <c r="G1311" i="10"/>
  <c r="G1323" i="10"/>
  <c r="G20" i="10"/>
  <c r="G45" i="10"/>
  <c r="G69" i="10"/>
  <c r="G93" i="10"/>
  <c r="G117" i="10"/>
  <c r="G141" i="10"/>
  <c r="G164" i="10"/>
  <c r="G186" i="10"/>
  <c r="G208" i="10"/>
  <c r="G225" i="10"/>
  <c r="G247" i="10"/>
  <c r="G269" i="10"/>
  <c r="G291" i="10"/>
  <c r="G308" i="10"/>
  <c r="G330" i="10"/>
  <c r="G352" i="10"/>
  <c r="G369" i="10"/>
  <c r="G389" i="10"/>
  <c r="G405" i="10"/>
  <c r="G423" i="10"/>
  <c r="G437" i="10"/>
  <c r="G451" i="10"/>
  <c r="G465" i="10"/>
  <c r="G479" i="10"/>
  <c r="G493" i="10"/>
  <c r="G507" i="10"/>
  <c r="G520" i="10"/>
  <c r="G533" i="10"/>
  <c r="G546" i="10"/>
  <c r="G559" i="10"/>
  <c r="G572" i="10"/>
  <c r="G585" i="10"/>
  <c r="G598" i="10"/>
  <c r="G611" i="10"/>
  <c r="G624" i="10"/>
  <c r="G637" i="10"/>
  <c r="G651" i="10"/>
  <c r="G664" i="10"/>
  <c r="G677" i="10"/>
  <c r="G690" i="10"/>
  <c r="G703" i="10"/>
  <c r="G716" i="10"/>
  <c r="G729" i="10"/>
  <c r="G742" i="10"/>
  <c r="G755" i="10"/>
  <c r="G768" i="10"/>
  <c r="G781" i="10"/>
  <c r="G795" i="10"/>
  <c r="G808" i="10"/>
  <c r="G820" i="10"/>
  <c r="G832" i="10"/>
  <c r="G844" i="10"/>
  <c r="G856" i="10"/>
  <c r="G868" i="10"/>
  <c r="G880" i="10"/>
  <c r="G892" i="10"/>
  <c r="G904" i="10"/>
  <c r="G916" i="10"/>
  <c r="G928" i="10"/>
  <c r="G940" i="10"/>
  <c r="G952" i="10"/>
  <c r="G964" i="10"/>
  <c r="G976" i="10"/>
  <c r="G988" i="10"/>
  <c r="G1000" i="10"/>
  <c r="G1012" i="10"/>
  <c r="G1024" i="10"/>
  <c r="G1036" i="10"/>
  <c r="G1048" i="10"/>
  <c r="G1060" i="10"/>
  <c r="G1072" i="10"/>
  <c r="G1084" i="10"/>
  <c r="G2" i="10"/>
  <c r="G52" i="10"/>
  <c r="G100" i="10"/>
  <c r="G148" i="10"/>
  <c r="G187" i="10"/>
  <c r="G231" i="10"/>
  <c r="G270" i="10"/>
  <c r="G309" i="10"/>
  <c r="G353" i="10"/>
  <c r="G390" i="10"/>
  <c r="G424" i="10"/>
  <c r="G452" i="10"/>
  <c r="G481" i="10"/>
  <c r="G508" i="10"/>
  <c r="G534" i="10"/>
  <c r="G560" i="10"/>
  <c r="G586" i="10"/>
  <c r="G612" i="10"/>
  <c r="G639" i="10"/>
  <c r="G665" i="10"/>
  <c r="G691" i="10"/>
  <c r="G717" i="10"/>
  <c r="G743" i="10"/>
  <c r="G769" i="10"/>
  <c r="G796" i="10"/>
  <c r="G821" i="10"/>
  <c r="G845" i="10"/>
  <c r="G866" i="10"/>
  <c r="G885" i="10"/>
  <c r="G907" i="10"/>
  <c r="G929" i="10"/>
  <c r="G946" i="10"/>
  <c r="G962" i="10"/>
  <c r="G979" i="10"/>
  <c r="G994" i="10"/>
  <c r="G1010" i="10"/>
  <c r="G1027" i="10"/>
  <c r="G1042" i="10"/>
  <c r="G1057" i="10"/>
  <c r="G1073" i="10"/>
  <c r="G1087" i="10"/>
  <c r="G1100" i="10"/>
  <c r="G1113" i="10"/>
  <c r="G1126" i="10"/>
  <c r="G1139" i="10"/>
  <c r="G1152" i="10"/>
  <c r="G1165" i="10"/>
  <c r="G1178" i="10"/>
  <c r="G1192" i="10"/>
  <c r="G1205" i="10"/>
  <c r="G1218" i="10"/>
  <c r="G1231" i="10"/>
  <c r="G1244" i="10"/>
  <c r="G1257" i="10"/>
  <c r="G1270" i="10"/>
  <c r="G1283" i="10"/>
  <c r="G1296" i="10"/>
  <c r="G1309" i="10"/>
  <c r="G1322" i="10"/>
  <c r="G1335" i="10"/>
  <c r="G1347" i="10"/>
  <c r="G1359" i="10"/>
  <c r="G1371" i="10"/>
  <c r="G1383" i="10"/>
  <c r="G1395" i="10"/>
  <c r="G1407" i="10"/>
  <c r="G1419" i="10"/>
  <c r="G1431" i="10"/>
  <c r="G1443" i="10"/>
  <c r="G1455" i="10"/>
  <c r="G1467" i="10"/>
  <c r="G1479" i="10"/>
  <c r="G1491" i="10"/>
  <c r="G1503" i="10"/>
  <c r="G1515" i="10"/>
  <c r="G1527" i="10"/>
  <c r="G1539" i="10"/>
  <c r="G1551" i="10"/>
  <c r="G1563" i="10"/>
  <c r="G1575" i="10"/>
  <c r="G1587" i="10"/>
  <c r="G1599" i="10"/>
  <c r="G1611" i="10"/>
  <c r="G1623" i="10"/>
  <c r="G1635" i="10"/>
  <c r="G1647" i="10"/>
  <c r="G1659" i="10"/>
  <c r="G1671" i="10"/>
  <c r="G1683" i="10"/>
  <c r="G1695" i="10"/>
  <c r="G1707" i="10"/>
  <c r="G1719" i="10"/>
  <c r="G1731" i="10"/>
  <c r="G1743" i="10"/>
  <c r="G1755" i="10"/>
  <c r="G3" i="10"/>
  <c r="G53" i="10"/>
  <c r="G101" i="10"/>
  <c r="G149" i="10"/>
  <c r="G188" i="10"/>
  <c r="G232" i="10"/>
  <c r="G271" i="10"/>
  <c r="G315" i="10"/>
  <c r="G354" i="10"/>
  <c r="G391" i="10"/>
  <c r="G425" i="10"/>
  <c r="G453" i="10"/>
  <c r="G483" i="10"/>
  <c r="G509" i="10"/>
  <c r="G535" i="10"/>
  <c r="G561" i="10"/>
  <c r="G587" i="10"/>
  <c r="G613" i="10"/>
  <c r="G640" i="10"/>
  <c r="G666" i="10"/>
  <c r="G692" i="10"/>
  <c r="G718" i="10"/>
  <c r="G744" i="10"/>
  <c r="G771" i="10"/>
  <c r="G797" i="10"/>
  <c r="G822" i="10"/>
  <c r="G846" i="10"/>
  <c r="G869" i="10"/>
  <c r="G886" i="10"/>
  <c r="G908" i="10"/>
  <c r="G930" i="10"/>
  <c r="G947" i="10"/>
  <c r="G965" i="10"/>
  <c r="G980" i="10"/>
  <c r="G995" i="10"/>
  <c r="G1013" i="10"/>
  <c r="G1028" i="10"/>
  <c r="G1043" i="10"/>
  <c r="G1058" i="10"/>
  <c r="G1074" i="10"/>
  <c r="G1088" i="10"/>
  <c r="G1101" i="10"/>
  <c r="G1114" i="10"/>
  <c r="G1127" i="10"/>
  <c r="G1140" i="10"/>
  <c r="G1153" i="10"/>
  <c r="G1166" i="10"/>
  <c r="G1180" i="10"/>
  <c r="G1193" i="10"/>
  <c r="G1206" i="10"/>
  <c r="G1219" i="10"/>
  <c r="G1232" i="10"/>
  <c r="G1245" i="10"/>
  <c r="G1258" i="10"/>
  <c r="G1271" i="10"/>
  <c r="G1284" i="10"/>
  <c r="G1297" i="10"/>
  <c r="G1310" i="10"/>
  <c r="G1324" i="10"/>
  <c r="G1336" i="10"/>
  <c r="G1348" i="10"/>
  <c r="G1360" i="10"/>
  <c r="G1372" i="10"/>
  <c r="G1384" i="10"/>
  <c r="G1396" i="10"/>
  <c r="G1408" i="10"/>
  <c r="G1420" i="10"/>
  <c r="G1432" i="10"/>
  <c r="G1444" i="10"/>
  <c r="G1456" i="10"/>
  <c r="G1468" i="10"/>
  <c r="G1480" i="10"/>
  <c r="G1492" i="10"/>
  <c r="G1504" i="10"/>
  <c r="G1516" i="10"/>
  <c r="G1528" i="10"/>
  <c r="G1540" i="10"/>
  <c r="G1552" i="10"/>
  <c r="G1564" i="10"/>
  <c r="G1576" i="10"/>
  <c r="G1588" i="10"/>
  <c r="G1600" i="10"/>
  <c r="G1612" i="10"/>
  <c r="G1624" i="10"/>
  <c r="G1636" i="10"/>
  <c r="G1648" i="10"/>
  <c r="G1660" i="10"/>
  <c r="G1672" i="10"/>
  <c r="G1684" i="10"/>
  <c r="G1696" i="10"/>
  <c r="G1708" i="10"/>
  <c r="G1720" i="10"/>
  <c r="G1732" i="10"/>
  <c r="G1744" i="10"/>
  <c r="G1756" i="10"/>
  <c r="G4" i="10"/>
  <c r="G54" i="10"/>
  <c r="G102" i="10"/>
  <c r="G150" i="10"/>
  <c r="G189" i="10"/>
  <c r="G233" i="10"/>
  <c r="G272" i="10"/>
  <c r="G316" i="10"/>
  <c r="G355" i="10"/>
  <c r="G392" i="10"/>
  <c r="G426" i="10"/>
  <c r="G454" i="10"/>
  <c r="G484" i="10"/>
  <c r="G510" i="10"/>
  <c r="G536" i="10"/>
  <c r="G562" i="10"/>
  <c r="G588" i="10"/>
  <c r="G615" i="10"/>
  <c r="G641" i="10"/>
  <c r="G667" i="10"/>
  <c r="G693" i="10"/>
  <c r="G719" i="10"/>
  <c r="G745" i="10"/>
  <c r="G772" i="10"/>
  <c r="G798" i="10"/>
  <c r="G823" i="10"/>
  <c r="G847" i="10"/>
  <c r="G870" i="10"/>
  <c r="G890" i="10"/>
  <c r="G909" i="10"/>
  <c r="G931" i="10"/>
  <c r="G948" i="10"/>
  <c r="G966" i="10"/>
  <c r="G981" i="10"/>
  <c r="G996" i="10"/>
  <c r="G1014" i="10"/>
  <c r="G1029" i="10"/>
  <c r="G1044" i="10"/>
  <c r="G1061" i="10"/>
  <c r="G1075" i="10"/>
  <c r="G1089" i="10"/>
  <c r="G1102" i="10"/>
  <c r="G1115" i="10"/>
  <c r="G1128" i="10"/>
  <c r="G1141" i="10"/>
  <c r="G1154" i="10"/>
  <c r="G1168" i="10"/>
  <c r="G1181" i="10"/>
  <c r="G1194" i="10"/>
  <c r="G1207" i="10"/>
  <c r="G1220" i="10"/>
  <c r="G1233" i="10"/>
  <c r="G1246" i="10"/>
  <c r="G1259" i="10"/>
  <c r="G1272" i="10"/>
  <c r="G1285" i="10"/>
  <c r="G1298" i="10"/>
  <c r="G1312" i="10"/>
  <c r="G1325" i="10"/>
  <c r="G1337" i="10"/>
  <c r="G1349" i="10"/>
  <c r="G1361" i="10"/>
  <c r="G1373" i="10"/>
  <c r="G1385" i="10"/>
  <c r="G1397" i="10"/>
  <c r="G1409" i="10"/>
  <c r="G1421" i="10"/>
  <c r="G1433" i="10"/>
  <c r="G1445" i="10"/>
  <c r="G1457" i="10"/>
  <c r="G1469" i="10"/>
  <c r="G1481" i="10"/>
  <c r="G1493" i="10"/>
  <c r="G1505" i="10"/>
  <c r="G1517" i="10"/>
  <c r="G1529" i="10"/>
  <c r="G1541" i="10"/>
  <c r="G1553" i="10"/>
  <c r="G1565" i="10"/>
  <c r="G1577" i="10"/>
  <c r="G1589" i="10"/>
  <c r="G1601" i="10"/>
  <c r="G1613" i="10"/>
  <c r="G1625" i="10"/>
  <c r="G1637" i="10"/>
  <c r="G1649" i="10"/>
  <c r="G1661" i="10"/>
  <c r="G1673" i="10"/>
  <c r="G1685" i="10"/>
  <c r="G1697" i="10"/>
  <c r="G1709" i="10"/>
  <c r="G1721" i="10"/>
  <c r="G1733" i="10"/>
  <c r="G1745" i="10"/>
  <c r="G1757" i="10"/>
  <c r="G5" i="10"/>
  <c r="G55" i="10"/>
  <c r="G103" i="10"/>
  <c r="G151" i="10"/>
  <c r="G195" i="10"/>
  <c r="G234" i="10"/>
  <c r="G273" i="10"/>
  <c r="G317" i="10"/>
  <c r="G356" i="10"/>
  <c r="G393" i="10"/>
  <c r="G427" i="10"/>
  <c r="G455" i="10"/>
  <c r="G485" i="10"/>
  <c r="G511" i="10"/>
  <c r="G537" i="10"/>
  <c r="G563" i="10"/>
  <c r="G589" i="10"/>
  <c r="G616" i="10"/>
  <c r="G642" i="10"/>
  <c r="G668" i="10"/>
  <c r="G694" i="10"/>
  <c r="G720" i="10"/>
  <c r="G747" i="10"/>
  <c r="G773" i="10"/>
  <c r="G799" i="10"/>
  <c r="G824" i="10"/>
  <c r="G848" i="10"/>
  <c r="G871" i="10"/>
  <c r="G893" i="10"/>
  <c r="G910" i="10"/>
  <c r="G932" i="10"/>
  <c r="G950" i="10"/>
  <c r="G967" i="10"/>
  <c r="G982" i="10"/>
  <c r="G998" i="10"/>
  <c r="G1015" i="10"/>
  <c r="G1030" i="10"/>
  <c r="G1046" i="10"/>
  <c r="G1062" i="10"/>
  <c r="G1076" i="10"/>
  <c r="G1090" i="10"/>
  <c r="G1103" i="10"/>
  <c r="G1116" i="10"/>
  <c r="G1129" i="10"/>
  <c r="G1142" i="10"/>
  <c r="G1156" i="10"/>
  <c r="G1169" i="10"/>
  <c r="G1182" i="10"/>
  <c r="G1195" i="10"/>
  <c r="G1208" i="10"/>
  <c r="G1221" i="10"/>
  <c r="G1234" i="10"/>
  <c r="G1247" i="10"/>
  <c r="G1260" i="10"/>
  <c r="G1273" i="10"/>
  <c r="G1286" i="10"/>
  <c r="G1300" i="10"/>
  <c r="G1313" i="10"/>
  <c r="G1326" i="10"/>
  <c r="G1338" i="10"/>
  <c r="G1350" i="10"/>
  <c r="G1362" i="10"/>
  <c r="G1374" i="10"/>
  <c r="G1386" i="10"/>
  <c r="G1398" i="10"/>
  <c r="G1410" i="10"/>
  <c r="G1422" i="10"/>
  <c r="G1434" i="10"/>
  <c r="G1446" i="10"/>
  <c r="G1458" i="10"/>
  <c r="G1470" i="10"/>
  <c r="G1482" i="10"/>
  <c r="G1494" i="10"/>
  <c r="G1506" i="10"/>
  <c r="G1518" i="10"/>
  <c r="G1530" i="10"/>
  <c r="G1542" i="10"/>
  <c r="G1554" i="10"/>
  <c r="G1566" i="10"/>
  <c r="G1578" i="10"/>
  <c r="G1590" i="10"/>
  <c r="G1602" i="10"/>
  <c r="G1614" i="10"/>
  <c r="G1626" i="10"/>
  <c r="G1638" i="10"/>
  <c r="G1650" i="10"/>
  <c r="G1662" i="10"/>
  <c r="G1674" i="10"/>
  <c r="G1686" i="10"/>
  <c r="G1698" i="10"/>
  <c r="G1710" i="10"/>
  <c r="G1722" i="10"/>
  <c r="G1734" i="10"/>
  <c r="G1746" i="10"/>
  <c r="G1758" i="10"/>
  <c r="G6" i="10"/>
  <c r="G56" i="10"/>
  <c r="G104" i="10"/>
  <c r="G152" i="10"/>
  <c r="G196" i="10"/>
  <c r="G235" i="10"/>
  <c r="G279" i="10"/>
  <c r="G318" i="10"/>
  <c r="G357" i="10"/>
  <c r="G397" i="10"/>
  <c r="G428" i="10"/>
  <c r="G457" i="10"/>
  <c r="G486" i="10"/>
  <c r="G512" i="10"/>
  <c r="G538" i="10"/>
  <c r="G564" i="10"/>
  <c r="G591" i="10"/>
  <c r="G617" i="10"/>
  <c r="G643" i="10"/>
  <c r="G669" i="10"/>
  <c r="G695" i="10"/>
  <c r="G721" i="10"/>
  <c r="G748" i="10"/>
  <c r="G774" i="10"/>
  <c r="G800" i="10"/>
  <c r="G825" i="10"/>
  <c r="G849" i="10"/>
  <c r="G872" i="10"/>
  <c r="G894" i="10"/>
  <c r="G914" i="10"/>
  <c r="G933" i="10"/>
  <c r="G953" i="10"/>
  <c r="G968" i="10"/>
  <c r="G983" i="10"/>
  <c r="G1001" i="10"/>
  <c r="G1016" i="10"/>
  <c r="G1031" i="10"/>
  <c r="G1049" i="10"/>
  <c r="G1063" i="10"/>
  <c r="G1077" i="10"/>
  <c r="G1091" i="10"/>
  <c r="G1104" i="10"/>
  <c r="G1117" i="10"/>
  <c r="G1130" i="10"/>
  <c r="G1144" i="10"/>
  <c r="G1157" i="10"/>
  <c r="G1170" i="10"/>
  <c r="G1183" i="10"/>
  <c r="G1196" i="10"/>
  <c r="G1209" i="10"/>
  <c r="G1222" i="10"/>
  <c r="G1235" i="10"/>
  <c r="G1248" i="10"/>
  <c r="G1261" i="10"/>
  <c r="G1274" i="10"/>
  <c r="G1288" i="10"/>
  <c r="G1301" i="10"/>
  <c r="G1314" i="10"/>
  <c r="G1327" i="10"/>
  <c r="G1339" i="10"/>
  <c r="G1351" i="10"/>
  <c r="G1363" i="10"/>
  <c r="G1375" i="10"/>
  <c r="G1387" i="10"/>
  <c r="G1399" i="10"/>
  <c r="G1411" i="10"/>
  <c r="G1423" i="10"/>
  <c r="G1435" i="10"/>
  <c r="G1447" i="10"/>
  <c r="G1459" i="10"/>
  <c r="G1471" i="10"/>
  <c r="G1483" i="10"/>
  <c r="G1495" i="10"/>
  <c r="G1507" i="10"/>
  <c r="G1519" i="10"/>
  <c r="G1531" i="10"/>
  <c r="G1543" i="10"/>
  <c r="G1555" i="10"/>
  <c r="G1567" i="10"/>
  <c r="G1579" i="10"/>
  <c r="G1591" i="10"/>
  <c r="G1603" i="10"/>
  <c r="G1615" i="10"/>
  <c r="G1627" i="10"/>
  <c r="G1639" i="10"/>
  <c r="G1651" i="10"/>
  <c r="G1663" i="10"/>
  <c r="G1675" i="10"/>
  <c r="G1687" i="10"/>
  <c r="G1699" i="10"/>
  <c r="G1711" i="10"/>
  <c r="G1723" i="10"/>
  <c r="G1735" i="10"/>
  <c r="G1747" i="10"/>
  <c r="G1759" i="10"/>
  <c r="G7" i="10"/>
  <c r="G57" i="10"/>
  <c r="G105" i="10"/>
  <c r="G153" i="10"/>
  <c r="G197" i="10"/>
  <c r="G236" i="10"/>
  <c r="G280" i="10"/>
  <c r="G319" i="10"/>
  <c r="G363" i="10"/>
  <c r="G399" i="10"/>
  <c r="G429" i="10"/>
  <c r="G459" i="10"/>
  <c r="G487" i="10"/>
  <c r="G513" i="10"/>
  <c r="G539" i="10"/>
  <c r="G565" i="10"/>
  <c r="G592" i="10"/>
  <c r="G618" i="10"/>
  <c r="G644" i="10"/>
  <c r="G670" i="10"/>
  <c r="G696" i="10"/>
  <c r="G723" i="10"/>
  <c r="G749" i="10"/>
  <c r="G775" i="10"/>
  <c r="G801" i="10"/>
  <c r="G826" i="10"/>
  <c r="G850" i="10"/>
  <c r="G873" i="10"/>
  <c r="G895" i="10"/>
  <c r="G917" i="10"/>
  <c r="G934" i="10"/>
  <c r="G954" i="10"/>
  <c r="G969" i="10"/>
  <c r="G984" i="10"/>
  <c r="G1002" i="10"/>
  <c r="G1017" i="10"/>
  <c r="G1032" i="10"/>
  <c r="G1050" i="10"/>
  <c r="G1064" i="10"/>
  <c r="G1078" i="10"/>
  <c r="G1092" i="10"/>
  <c r="G1105" i="10"/>
  <c r="G1118" i="10"/>
  <c r="G1132" i="10"/>
  <c r="G1145" i="10"/>
  <c r="G1158" i="10"/>
  <c r="G1171" i="10"/>
  <c r="G1184" i="10"/>
  <c r="G1197" i="10"/>
  <c r="G1210" i="10"/>
  <c r="G1223" i="10"/>
  <c r="G1236" i="10"/>
  <c r="G1249" i="10"/>
  <c r="G1262" i="10"/>
  <c r="G1276" i="10"/>
  <c r="G1289" i="10"/>
  <c r="G1302" i="10"/>
  <c r="G1315" i="10"/>
  <c r="G1328" i="10"/>
  <c r="G1340" i="10"/>
  <c r="G1352" i="10"/>
  <c r="G1364" i="10"/>
  <c r="G1376" i="10"/>
  <c r="G1388" i="10"/>
  <c r="G1400" i="10"/>
  <c r="G1412" i="10"/>
  <c r="G1424" i="10"/>
  <c r="G1436" i="10"/>
  <c r="G1448" i="10"/>
  <c r="G1460" i="10"/>
  <c r="G1472" i="10"/>
  <c r="G1484" i="10"/>
  <c r="G1496" i="10"/>
  <c r="G1508" i="10"/>
  <c r="G1520" i="10"/>
  <c r="G1532" i="10"/>
  <c r="G1544" i="10"/>
  <c r="G1556" i="10"/>
  <c r="G1568" i="10"/>
  <c r="G1580" i="10"/>
  <c r="G1592" i="10"/>
  <c r="G1604" i="10"/>
  <c r="G1616" i="10"/>
  <c r="G1628" i="10"/>
  <c r="G1640" i="10"/>
  <c r="G1652" i="10"/>
  <c r="G1664" i="10"/>
  <c r="G1676" i="10"/>
  <c r="G1688" i="10"/>
  <c r="G1700" i="10"/>
  <c r="G1712" i="10"/>
  <c r="G1724" i="10"/>
  <c r="G1736" i="10"/>
  <c r="G1748" i="10"/>
  <c r="G1760" i="10"/>
  <c r="G28" i="10"/>
  <c r="G124" i="10"/>
  <c r="G209" i="10"/>
  <c r="G292" i="10"/>
  <c r="G373" i="10"/>
  <c r="G438" i="10"/>
  <c r="G495" i="10"/>
  <c r="G547" i="10"/>
  <c r="G599" i="10"/>
  <c r="G652" i="10"/>
  <c r="G704" i="10"/>
  <c r="G756" i="10"/>
  <c r="G809" i="10"/>
  <c r="G857" i="10"/>
  <c r="G896" i="10"/>
  <c r="G938" i="10"/>
  <c r="G970" i="10"/>
  <c r="G1003" i="10"/>
  <c r="G1034" i="10"/>
  <c r="G1065" i="10"/>
  <c r="G1093" i="10"/>
  <c r="G1120" i="10"/>
  <c r="G1146" i="10"/>
  <c r="G1172" i="10"/>
  <c r="G1198" i="10"/>
  <c r="G1224" i="10"/>
  <c r="G1250" i="10"/>
  <c r="G1277" i="10"/>
  <c r="G1303" i="10"/>
  <c r="G1329" i="10"/>
  <c r="G1353" i="10"/>
  <c r="G1377" i="10"/>
  <c r="G1401" i="10"/>
  <c r="G1425" i="10"/>
  <c r="G1449" i="10"/>
  <c r="G1473" i="10"/>
  <c r="G1497" i="10"/>
  <c r="G1521" i="10"/>
  <c r="G1545" i="10"/>
  <c r="G1569" i="10"/>
  <c r="G1593" i="10"/>
  <c r="G1617" i="10"/>
  <c r="G1641" i="10"/>
  <c r="G1665" i="10"/>
  <c r="G1689" i="10"/>
  <c r="G1713" i="10"/>
  <c r="G1737" i="10"/>
  <c r="G1761" i="10"/>
  <c r="G29" i="10"/>
  <c r="G125" i="10"/>
  <c r="G210" i="10"/>
  <c r="G293" i="10"/>
  <c r="G375" i="10"/>
  <c r="G439" i="10"/>
  <c r="G496" i="10"/>
  <c r="G548" i="10"/>
  <c r="G600" i="10"/>
  <c r="G653" i="10"/>
  <c r="G705" i="10"/>
  <c r="G757" i="10"/>
  <c r="G810" i="10"/>
  <c r="G858" i="10"/>
  <c r="G897" i="10"/>
  <c r="G941" i="10"/>
  <c r="G971" i="10"/>
  <c r="G1004" i="10"/>
  <c r="G1037" i="10"/>
  <c r="G1066" i="10"/>
  <c r="G1094" i="10"/>
  <c r="G1121" i="10"/>
  <c r="G1147" i="10"/>
  <c r="G1173" i="10"/>
  <c r="G1199" i="10"/>
  <c r="G1225" i="10"/>
  <c r="G1252" i="10"/>
  <c r="G1278" i="10"/>
  <c r="G1304" i="10"/>
  <c r="G1330" i="10"/>
  <c r="G1354" i="10"/>
  <c r="G1378" i="10"/>
  <c r="G1402" i="10"/>
  <c r="G1426" i="10"/>
  <c r="G1450" i="10"/>
  <c r="G1474" i="10"/>
  <c r="G1498" i="10"/>
  <c r="G1522" i="10"/>
  <c r="G1546" i="10"/>
  <c r="G1570" i="10"/>
  <c r="G1594" i="10"/>
  <c r="G1618" i="10"/>
  <c r="G1642" i="10"/>
  <c r="G1666" i="10"/>
  <c r="G1690" i="10"/>
  <c r="G1714" i="10"/>
  <c r="G1738" i="10"/>
  <c r="G1762" i="10"/>
  <c r="G30" i="10"/>
  <c r="G126" i="10"/>
  <c r="G211" i="10"/>
  <c r="G294" i="10"/>
  <c r="G376" i="10"/>
  <c r="G440" i="10"/>
  <c r="G497" i="10"/>
  <c r="G549" i="10"/>
  <c r="G601" i="10"/>
  <c r="G654" i="10"/>
  <c r="G706" i="10"/>
  <c r="G759" i="10"/>
  <c r="G811" i="10"/>
  <c r="G859" i="10"/>
  <c r="G898" i="10"/>
  <c r="G942" i="10"/>
  <c r="G972" i="10"/>
  <c r="G1005" i="10"/>
  <c r="G1038" i="10"/>
  <c r="G1067" i="10"/>
  <c r="G1096" i="10"/>
  <c r="G1122" i="10"/>
  <c r="G1148" i="10"/>
  <c r="G1174" i="10"/>
  <c r="G1200" i="10"/>
  <c r="G1226" i="10"/>
  <c r="G1253" i="10"/>
  <c r="G1279" i="10"/>
  <c r="G1305" i="10"/>
  <c r="G1331" i="10"/>
  <c r="G1355" i="10"/>
  <c r="G1379" i="10"/>
  <c r="G1403" i="10"/>
  <c r="G1427" i="10"/>
  <c r="G1451" i="10"/>
  <c r="G1475" i="10"/>
  <c r="G1499" i="10"/>
  <c r="G1523" i="10"/>
  <c r="G1547" i="10"/>
  <c r="G1571" i="10"/>
  <c r="G1595" i="10"/>
  <c r="G1619" i="10"/>
  <c r="G1643" i="10"/>
  <c r="G1667" i="10"/>
  <c r="G1691" i="10"/>
  <c r="G1715" i="10"/>
  <c r="G1739" i="10"/>
  <c r="G1763" i="10"/>
  <c r="G31" i="10"/>
  <c r="G127" i="10"/>
  <c r="G212" i="10"/>
  <c r="G295" i="10"/>
  <c r="G377" i="10"/>
  <c r="G441" i="10"/>
  <c r="G498" i="10"/>
  <c r="G550" i="10"/>
  <c r="G603" i="10"/>
  <c r="G655" i="10"/>
  <c r="G707" i="10"/>
  <c r="G760" i="10"/>
  <c r="G812" i="10"/>
  <c r="G860" i="10"/>
  <c r="G902" i="10"/>
  <c r="G943" i="10"/>
  <c r="G974" i="10"/>
  <c r="G1006" i="10"/>
  <c r="G1039" i="10"/>
  <c r="G1068" i="10"/>
  <c r="G1097" i="10"/>
  <c r="G1123" i="10"/>
  <c r="G1149" i="10"/>
  <c r="G1175" i="10"/>
  <c r="G1201" i="10"/>
  <c r="G1228" i="10"/>
  <c r="G1254" i="10"/>
  <c r="G1280" i="10"/>
  <c r="G1306" i="10"/>
  <c r="G1332" i="10"/>
  <c r="G1356" i="10"/>
  <c r="G1380" i="10"/>
  <c r="G1404" i="10"/>
  <c r="G1428" i="10"/>
  <c r="G1452" i="10"/>
  <c r="G1476" i="10"/>
  <c r="G1500" i="10"/>
  <c r="G1524" i="10"/>
  <c r="G1548" i="10"/>
  <c r="G1572" i="10"/>
  <c r="G1596" i="10"/>
  <c r="G1620" i="10"/>
  <c r="G1644" i="10"/>
  <c r="G1668" i="10"/>
  <c r="G1692" i="10"/>
  <c r="G1716" i="10"/>
  <c r="G1740" i="10"/>
  <c r="G32" i="10"/>
  <c r="G128" i="10"/>
  <c r="G213" i="10"/>
  <c r="G296" i="10"/>
  <c r="G378" i="10"/>
  <c r="G442" i="10"/>
  <c r="G499" i="10"/>
  <c r="G551" i="10"/>
  <c r="G604" i="10"/>
  <c r="G656" i="10"/>
  <c r="G708" i="10"/>
  <c r="G761" i="10"/>
  <c r="G813" i="10"/>
  <c r="G861" i="10"/>
  <c r="G905" i="10"/>
  <c r="G944" i="10"/>
  <c r="G977" i="10"/>
  <c r="G1007" i="10"/>
  <c r="G1040" i="10"/>
  <c r="G1069" i="10"/>
  <c r="G1098" i="10"/>
  <c r="G1124" i="10"/>
  <c r="G1150" i="10"/>
  <c r="G1176" i="10"/>
  <c r="G1202" i="10"/>
  <c r="G1229" i="10"/>
  <c r="G1255" i="10"/>
  <c r="G1281" i="10"/>
  <c r="G1307" i="10"/>
  <c r="G1333" i="10"/>
  <c r="G1357" i="10"/>
  <c r="G1381" i="10"/>
  <c r="G1405" i="10"/>
  <c r="G1429" i="10"/>
  <c r="G1453" i="10"/>
  <c r="G1477" i="10"/>
  <c r="G1501" i="10"/>
  <c r="G1525" i="10"/>
  <c r="G1549" i="10"/>
  <c r="G1573" i="10"/>
  <c r="G1597" i="10"/>
  <c r="G1621" i="10"/>
  <c r="G1645" i="10"/>
  <c r="G1669" i="10"/>
  <c r="G1693" i="10"/>
  <c r="G1717" i="10"/>
  <c r="G1741" i="10"/>
  <c r="G33" i="10"/>
  <c r="G129" i="10"/>
  <c r="G219" i="10"/>
  <c r="G297" i="10"/>
  <c r="G379" i="10"/>
  <c r="G443" i="10"/>
  <c r="G500" i="10"/>
  <c r="G552" i="10"/>
  <c r="G605" i="10"/>
  <c r="G657" i="10"/>
  <c r="G709" i="10"/>
  <c r="G762" i="10"/>
  <c r="G814" i="10"/>
  <c r="G862" i="10"/>
  <c r="G906" i="10"/>
  <c r="G945" i="10"/>
  <c r="G978" i="10"/>
  <c r="G1008" i="10"/>
  <c r="G1041" i="10"/>
  <c r="G1070" i="10"/>
  <c r="G1099" i="10"/>
  <c r="G1125" i="10"/>
  <c r="G1151" i="10"/>
  <c r="G1177" i="10"/>
  <c r="G1204" i="10"/>
  <c r="G1230" i="10"/>
  <c r="G1256" i="10"/>
  <c r="G1282" i="10"/>
  <c r="G1308" i="10"/>
  <c r="G1334" i="10"/>
  <c r="G1358" i="10"/>
  <c r="G1382" i="10"/>
  <c r="G1406" i="10"/>
  <c r="G1430" i="10"/>
  <c r="G1454" i="10"/>
  <c r="G1478" i="10"/>
  <c r="G1502" i="10"/>
  <c r="G1526" i="10"/>
  <c r="G1550" i="10"/>
  <c r="G1574" i="10"/>
  <c r="G1598" i="10"/>
  <c r="G1622" i="10"/>
  <c r="G1646" i="10"/>
  <c r="G1670" i="10"/>
  <c r="G1694" i="10"/>
  <c r="G1718" i="10"/>
  <c r="G1742" i="10"/>
  <c r="G76" i="10"/>
  <c r="G248" i="10"/>
  <c r="G407" i="10"/>
  <c r="G521" i="10"/>
  <c r="G625" i="10"/>
  <c r="G730" i="10"/>
  <c r="G833" i="10"/>
  <c r="G918" i="10"/>
  <c r="G986" i="10"/>
  <c r="G1051" i="10"/>
  <c r="G1106" i="10"/>
  <c r="G1159" i="10"/>
  <c r="G1211" i="10"/>
  <c r="G1264" i="10"/>
  <c r="G1316" i="10"/>
  <c r="G1365" i="10"/>
  <c r="G1413" i="10"/>
  <c r="G1461" i="10"/>
  <c r="G1509" i="10"/>
  <c r="G1557" i="10"/>
  <c r="G1605" i="10"/>
  <c r="G1653" i="10"/>
  <c r="G1701" i="10"/>
  <c r="G1749" i="10"/>
  <c r="G77" i="10"/>
  <c r="G249" i="10"/>
  <c r="G409" i="10"/>
  <c r="G522" i="10"/>
  <c r="G627" i="10"/>
  <c r="G731" i="10"/>
  <c r="G834" i="10"/>
  <c r="G919" i="10"/>
  <c r="G989" i="10"/>
  <c r="G1052" i="10"/>
  <c r="G1108" i="10"/>
  <c r="G1160" i="10"/>
  <c r="G1212" i="10"/>
  <c r="G1265" i="10"/>
  <c r="G1317" i="10"/>
  <c r="G1366" i="10"/>
  <c r="G1414" i="10"/>
  <c r="G1462" i="10"/>
  <c r="G1510" i="10"/>
  <c r="G1558" i="10"/>
  <c r="G1606" i="10"/>
  <c r="G1654" i="10"/>
  <c r="G1702" i="10"/>
  <c r="G1750" i="10"/>
  <c r="G78" i="10"/>
  <c r="G255" i="10"/>
  <c r="G411" i="10"/>
  <c r="G523" i="10"/>
  <c r="G628" i="10"/>
  <c r="G732" i="10"/>
  <c r="G835" i="10"/>
  <c r="G920" i="10"/>
  <c r="G990" i="10"/>
  <c r="G1053" i="10"/>
  <c r="G1109" i="10"/>
  <c r="G1161" i="10"/>
  <c r="G1213" i="10"/>
  <c r="G1266" i="10"/>
  <c r="G1318" i="10"/>
  <c r="G1367" i="10"/>
  <c r="G1415" i="10"/>
  <c r="G1463" i="10"/>
  <c r="G1511" i="10"/>
  <c r="G1559" i="10"/>
  <c r="G1607" i="10"/>
  <c r="G1655" i="10"/>
  <c r="G1703" i="10"/>
  <c r="G1751" i="10"/>
  <c r="G79" i="10"/>
  <c r="G256" i="10"/>
  <c r="G412" i="10"/>
  <c r="G524" i="10"/>
  <c r="G629" i="10"/>
  <c r="G733" i="10"/>
  <c r="G836" i="10"/>
  <c r="G921" i="10"/>
  <c r="G991" i="10"/>
  <c r="G1054" i="10"/>
  <c r="G1110" i="10"/>
  <c r="G1162" i="10"/>
  <c r="G1214" i="10"/>
  <c r="G1267" i="10"/>
  <c r="G1319" i="10"/>
  <c r="G1368" i="10"/>
  <c r="G1416" i="10"/>
  <c r="G1464" i="10"/>
  <c r="G1512" i="10"/>
  <c r="G1560" i="10"/>
  <c r="G1608" i="10"/>
  <c r="G1656" i="10"/>
  <c r="G1704" i="10"/>
  <c r="G1752" i="10"/>
  <c r="G80" i="10"/>
  <c r="G257" i="10"/>
  <c r="G413" i="10"/>
  <c r="G525" i="10"/>
  <c r="G630" i="10"/>
  <c r="G735" i="10"/>
  <c r="G837" i="10"/>
  <c r="G922" i="10"/>
  <c r="G992" i="10"/>
  <c r="G1055" i="10"/>
  <c r="G1111" i="10"/>
  <c r="G1163" i="10"/>
  <c r="G1216" i="10"/>
  <c r="G1268" i="10"/>
  <c r="G1320" i="10"/>
  <c r="G1369" i="10"/>
  <c r="G1417" i="10"/>
  <c r="G1465" i="10"/>
  <c r="G1513" i="10"/>
  <c r="G1561" i="10"/>
  <c r="G1609" i="10"/>
  <c r="G1657" i="10"/>
  <c r="G1705" i="10"/>
  <c r="G1753" i="10"/>
  <c r="G81" i="10"/>
  <c r="G258" i="10"/>
  <c r="G414" i="10"/>
  <c r="G526" i="10"/>
  <c r="G631" i="10"/>
  <c r="G736" i="10"/>
  <c r="G838" i="10"/>
  <c r="G926" i="10"/>
  <c r="G993" i="10"/>
  <c r="G1056" i="10"/>
  <c r="G1112" i="10"/>
  <c r="G1164" i="10"/>
  <c r="G1217" i="10"/>
  <c r="G1269" i="10"/>
  <c r="G1321" i="10"/>
  <c r="G1370" i="10"/>
  <c r="G1418" i="10"/>
  <c r="G1466" i="10"/>
  <c r="G1514" i="10"/>
  <c r="G1562" i="10"/>
  <c r="G1610" i="10"/>
  <c r="G1658" i="10"/>
  <c r="G1706" i="10"/>
  <c r="G1754" i="10"/>
  <c r="G331" i="10"/>
  <c r="G573" i="10"/>
  <c r="G783" i="10"/>
  <c r="G955" i="10"/>
  <c r="G1079" i="10"/>
  <c r="G1185" i="10"/>
  <c r="G1290" i="10"/>
  <c r="G1389" i="10"/>
  <c r="G1485" i="10"/>
  <c r="G1581" i="10"/>
  <c r="G1677" i="10"/>
  <c r="G332" i="10"/>
  <c r="G574" i="10"/>
  <c r="G784" i="10"/>
  <c r="G956" i="10"/>
  <c r="G1080" i="10"/>
  <c r="G1186" i="10"/>
  <c r="G1291" i="10"/>
  <c r="G1390" i="10"/>
  <c r="G1486" i="10"/>
  <c r="G1582" i="10"/>
  <c r="G1678" i="10"/>
  <c r="G333" i="10"/>
  <c r="G575" i="10"/>
  <c r="G785" i="10"/>
  <c r="G957" i="10"/>
  <c r="G1081" i="10"/>
  <c r="G1187" i="10"/>
  <c r="G1292" i="10"/>
  <c r="G1391" i="10"/>
  <c r="G1487" i="10"/>
  <c r="G1583" i="10"/>
  <c r="G1679" i="10"/>
  <c r="G339" i="10"/>
  <c r="G576" i="10"/>
  <c r="G786" i="10"/>
  <c r="G958" i="10"/>
  <c r="G1082" i="10"/>
  <c r="G1188" i="10"/>
  <c r="G1293" i="10"/>
  <c r="G1392" i="10"/>
  <c r="G1488" i="10"/>
  <c r="G1584" i="10"/>
  <c r="G1680" i="10"/>
  <c r="G340" i="10"/>
  <c r="G577" i="10"/>
  <c r="G787" i="10"/>
  <c r="G959" i="10"/>
  <c r="G1085" i="10"/>
  <c r="G1189" i="10"/>
  <c r="G1294" i="10"/>
  <c r="G1393" i="10"/>
  <c r="G1489" i="10"/>
  <c r="G1585" i="10"/>
  <c r="G1681" i="10"/>
  <c r="G341" i="10"/>
  <c r="G579" i="10"/>
  <c r="G788" i="10"/>
  <c r="G960" i="10"/>
  <c r="G1086" i="10"/>
  <c r="G1190" i="10"/>
  <c r="G1295" i="10"/>
  <c r="G1394" i="10"/>
  <c r="G1490" i="10"/>
  <c r="G1586" i="10"/>
  <c r="G1682" i="10"/>
  <c r="G466" i="10"/>
  <c r="G874" i="10"/>
  <c r="G1133" i="10"/>
  <c r="G1341" i="10"/>
  <c r="G1533" i="10"/>
  <c r="G1725" i="10"/>
  <c r="G467" i="10"/>
  <c r="G878" i="10"/>
  <c r="G1134" i="10"/>
  <c r="G1342" i="10"/>
  <c r="G1534" i="10"/>
  <c r="G1726" i="10"/>
  <c r="G469" i="10"/>
  <c r="G881" i="10"/>
  <c r="G1135" i="10"/>
  <c r="G1343" i="10"/>
  <c r="G1535" i="10"/>
  <c r="G1727" i="10"/>
  <c r="G471" i="10"/>
  <c r="G882" i="10"/>
  <c r="G1136" i="10"/>
  <c r="G1344" i="10"/>
  <c r="G1536" i="10"/>
  <c r="G1728" i="10"/>
  <c r="G473" i="10"/>
  <c r="G884" i="10"/>
  <c r="G1138" i="10"/>
  <c r="G1346" i="10"/>
  <c r="G1538" i="10"/>
  <c r="G1730" i="10"/>
  <c r="G175" i="10"/>
  <c r="G683" i="10"/>
  <c r="G1026" i="10"/>
  <c r="G1243" i="10"/>
  <c r="G1442" i="10"/>
  <c r="G1634" i="10"/>
  <c r="G883" i="10"/>
  <c r="G1345" i="10"/>
  <c r="G1729" i="10"/>
  <c r="G165" i="10"/>
  <c r="G1018" i="10"/>
  <c r="G1437" i="10"/>
  <c r="G171" i="10"/>
  <c r="G1019" i="10"/>
  <c r="G1438" i="10"/>
  <c r="G172" i="10"/>
  <c r="G1020" i="10"/>
  <c r="G1439" i="10"/>
  <c r="G173" i="10"/>
  <c r="G1022" i="10"/>
  <c r="G1440" i="10"/>
  <c r="G174" i="10"/>
  <c r="G1025" i="10"/>
  <c r="G1441" i="10"/>
  <c r="G472" i="10"/>
  <c r="G1537" i="10"/>
  <c r="G678" i="10"/>
  <c r="G1629" i="10"/>
  <c r="G679" i="10"/>
  <c r="G1630" i="10"/>
  <c r="G680" i="10"/>
  <c r="G1631" i="10"/>
  <c r="G681" i="10"/>
  <c r="G1632" i="10"/>
  <c r="G682" i="10"/>
  <c r="G1633" i="10"/>
  <c r="G1137" i="10"/>
  <c r="G1237" i="10"/>
  <c r="G1238" i="10"/>
  <c r="G1240" i="10"/>
  <c r="G1241" i="10"/>
  <c r="G1242" i="10"/>
  <c r="D3" i="10"/>
  <c r="D4" i="10"/>
  <c r="D16" i="10"/>
  <c r="D28" i="10"/>
  <c r="D40" i="10"/>
  <c r="D52" i="10"/>
  <c r="D64" i="10"/>
  <c r="D76" i="10"/>
  <c r="D88" i="10"/>
  <c r="D100" i="10"/>
  <c r="D112" i="10"/>
  <c r="D124" i="10"/>
  <c r="D136" i="10"/>
  <c r="D148" i="10"/>
  <c r="D160" i="10"/>
  <c r="D172" i="10"/>
  <c r="D184" i="10"/>
  <c r="D196" i="10"/>
  <c r="D208" i="10"/>
  <c r="D220" i="10"/>
  <c r="D232" i="10"/>
  <c r="D244" i="10"/>
  <c r="D256" i="10"/>
  <c r="D268" i="10"/>
  <c r="D280" i="10"/>
  <c r="D292" i="10"/>
  <c r="D304" i="10"/>
  <c r="D316" i="10"/>
  <c r="D328" i="10"/>
  <c r="D340" i="10"/>
  <c r="D352" i="10"/>
  <c r="D364" i="10"/>
  <c r="D376" i="10"/>
  <c r="D388" i="10"/>
  <c r="D400" i="10"/>
  <c r="D412" i="10"/>
  <c r="D424" i="10"/>
  <c r="D436" i="10"/>
  <c r="D448" i="10"/>
  <c r="D460" i="10"/>
  <c r="D472" i="10"/>
  <c r="D484" i="10"/>
  <c r="D496" i="10"/>
  <c r="D508" i="10"/>
  <c r="D520" i="10"/>
  <c r="D532" i="10"/>
  <c r="D544" i="10"/>
  <c r="D556" i="10"/>
  <c r="D568" i="10"/>
  <c r="D580" i="10"/>
  <c r="D592" i="10"/>
  <c r="D604" i="10"/>
  <c r="D616" i="10"/>
  <c r="D628" i="10"/>
  <c r="D640" i="10"/>
  <c r="D652" i="10"/>
  <c r="D664" i="10"/>
  <c r="D676" i="10"/>
  <c r="D688" i="10"/>
  <c r="D700" i="10"/>
  <c r="D712" i="10"/>
  <c r="D724" i="10"/>
  <c r="D736" i="10"/>
  <c r="D748" i="10"/>
  <c r="D760" i="10"/>
  <c r="D772" i="10"/>
  <c r="D784" i="10"/>
  <c r="D796" i="10"/>
  <c r="D808" i="10"/>
  <c r="D820" i="10"/>
  <c r="D832" i="10"/>
  <c r="D844" i="10"/>
  <c r="D856" i="10"/>
  <c r="D868" i="10"/>
  <c r="D880" i="10"/>
  <c r="D892" i="10"/>
  <c r="D904" i="10"/>
  <c r="D916" i="10"/>
  <c r="D928" i="10"/>
  <c r="D940" i="10"/>
  <c r="D952" i="10"/>
  <c r="D964" i="10"/>
  <c r="D976" i="10"/>
  <c r="D988" i="10"/>
  <c r="D1000" i="10"/>
  <c r="D1012" i="10"/>
  <c r="D5" i="10"/>
  <c r="D17" i="10"/>
  <c r="D29" i="10"/>
  <c r="D41" i="10"/>
  <c r="D53" i="10"/>
  <c r="D65" i="10"/>
  <c r="D77" i="10"/>
  <c r="D2" i="10"/>
  <c r="D19" i="10"/>
  <c r="D33" i="10"/>
  <c r="D47" i="10"/>
  <c r="D61" i="10"/>
  <c r="D75" i="10"/>
  <c r="D90" i="10"/>
  <c r="D103" i="10"/>
  <c r="D116" i="10"/>
  <c r="D129" i="10"/>
  <c r="D142" i="10"/>
  <c r="D155" i="10"/>
  <c r="D168" i="10"/>
  <c r="D181" i="10"/>
  <c r="D194" i="10"/>
  <c r="D207" i="10"/>
  <c r="D221" i="10"/>
  <c r="D234" i="10"/>
  <c r="D247" i="10"/>
  <c r="D260" i="10"/>
  <c r="D273" i="10"/>
  <c r="D286" i="10"/>
  <c r="D299" i="10"/>
  <c r="D312" i="10"/>
  <c r="D325" i="10"/>
  <c r="D338" i="10"/>
  <c r="D351" i="10"/>
  <c r="D365" i="10"/>
  <c r="D378" i="10"/>
  <c r="D391" i="10"/>
  <c r="D404" i="10"/>
  <c r="D417" i="10"/>
  <c r="D430" i="10"/>
  <c r="D443" i="10"/>
  <c r="D456" i="10"/>
  <c r="D469" i="10"/>
  <c r="D482" i="10"/>
  <c r="D495" i="10"/>
  <c r="D509" i="10"/>
  <c r="D522" i="10"/>
  <c r="D535" i="10"/>
  <c r="D548" i="10"/>
  <c r="D561" i="10"/>
  <c r="D574" i="10"/>
  <c r="D587" i="10"/>
  <c r="D600" i="10"/>
  <c r="D613" i="10"/>
  <c r="D626" i="10"/>
  <c r="D639" i="10"/>
  <c r="D653" i="10"/>
  <c r="D666" i="10"/>
  <c r="D679" i="10"/>
  <c r="D692" i="10"/>
  <c r="D705" i="10"/>
  <c r="D718" i="10"/>
  <c r="D731" i="10"/>
  <c r="D744" i="10"/>
  <c r="D757" i="10"/>
  <c r="D770" i="10"/>
  <c r="D783" i="10"/>
  <c r="D797" i="10"/>
  <c r="D810" i="10"/>
  <c r="D823" i="10"/>
  <c r="D6" i="10"/>
  <c r="D20" i="10"/>
  <c r="D34" i="10"/>
  <c r="D48" i="10"/>
  <c r="D62" i="10"/>
  <c r="D78" i="10"/>
  <c r="D91" i="10"/>
  <c r="D104" i="10"/>
  <c r="D117" i="10"/>
  <c r="D130" i="10"/>
  <c r="D143" i="10"/>
  <c r="D156" i="10"/>
  <c r="D169" i="10"/>
  <c r="D182" i="10"/>
  <c r="D195" i="10"/>
  <c r="D209" i="10"/>
  <c r="D222" i="10"/>
  <c r="D235" i="10"/>
  <c r="D248" i="10"/>
  <c r="D261" i="10"/>
  <c r="D274" i="10"/>
  <c r="D287" i="10"/>
  <c r="D300" i="10"/>
  <c r="D313" i="10"/>
  <c r="D326" i="10"/>
  <c r="D339" i="10"/>
  <c r="D353" i="10"/>
  <c r="D366" i="10"/>
  <c r="D379" i="10"/>
  <c r="D392" i="10"/>
  <c r="D405" i="10"/>
  <c r="D418" i="10"/>
  <c r="D431" i="10"/>
  <c r="D444" i="10"/>
  <c r="D457" i="10"/>
  <c r="D470" i="10"/>
  <c r="D483" i="10"/>
  <c r="D497" i="10"/>
  <c r="D510" i="10"/>
  <c r="D523" i="10"/>
  <c r="D536" i="10"/>
  <c r="D549" i="10"/>
  <c r="D562" i="10"/>
  <c r="D575" i="10"/>
  <c r="D588" i="10"/>
  <c r="D601" i="10"/>
  <c r="D614" i="10"/>
  <c r="D627" i="10"/>
  <c r="D641" i="10"/>
  <c r="D654" i="10"/>
  <c r="D667" i="10"/>
  <c r="D680" i="10"/>
  <c r="D693" i="10"/>
  <c r="D706" i="10"/>
  <c r="D719" i="10"/>
  <c r="D732" i="10"/>
  <c r="D745" i="10"/>
  <c r="D758" i="10"/>
  <c r="D771" i="10"/>
  <c r="D785" i="10"/>
  <c r="D798" i="10"/>
  <c r="D811" i="10"/>
  <c r="D824" i="10"/>
  <c r="D837" i="10"/>
  <c r="D850" i="10"/>
  <c r="D863" i="10"/>
  <c r="D876" i="10"/>
  <c r="D889" i="10"/>
  <c r="D902" i="10"/>
  <c r="D915" i="10"/>
  <c r="D929" i="10"/>
  <c r="D942" i="10"/>
  <c r="D955" i="10"/>
  <c r="D968" i="10"/>
  <c r="D981" i="10"/>
  <c r="D994" i="10"/>
  <c r="D1007" i="10"/>
  <c r="D1020" i="10"/>
  <c r="D1032" i="10"/>
  <c r="D1044" i="10"/>
  <c r="D1056" i="10"/>
  <c r="D1068" i="10"/>
  <c r="D1080" i="10"/>
  <c r="D1092" i="10"/>
  <c r="D1104" i="10"/>
  <c r="D7" i="10"/>
  <c r="D21" i="10"/>
  <c r="D35" i="10"/>
  <c r="D49" i="10"/>
  <c r="D63" i="10"/>
  <c r="D79" i="10"/>
  <c r="D92" i="10"/>
  <c r="D105" i="10"/>
  <c r="D118" i="10"/>
  <c r="D131" i="10"/>
  <c r="D144" i="10"/>
  <c r="D157" i="10"/>
  <c r="D170" i="10"/>
  <c r="D183" i="10"/>
  <c r="D197" i="10"/>
  <c r="D210" i="10"/>
  <c r="D223" i="10"/>
  <c r="D236" i="10"/>
  <c r="D249" i="10"/>
  <c r="D262" i="10"/>
  <c r="D275" i="10"/>
  <c r="D288" i="10"/>
  <c r="D301" i="10"/>
  <c r="D314" i="10"/>
  <c r="D327" i="10"/>
  <c r="D341" i="10"/>
  <c r="D354" i="10"/>
  <c r="D367" i="10"/>
  <c r="D380" i="10"/>
  <c r="D393" i="10"/>
  <c r="D406" i="10"/>
  <c r="D419" i="10"/>
  <c r="D432" i="10"/>
  <c r="D445" i="10"/>
  <c r="D458" i="10"/>
  <c r="D471" i="10"/>
  <c r="D485" i="10"/>
  <c r="D498" i="10"/>
  <c r="D511" i="10"/>
  <c r="D524" i="10"/>
  <c r="D537" i="10"/>
  <c r="D550" i="10"/>
  <c r="D563" i="10"/>
  <c r="D576" i="10"/>
  <c r="D589" i="10"/>
  <c r="D602" i="10"/>
  <c r="D615" i="10"/>
  <c r="D629" i="10"/>
  <c r="D642" i="10"/>
  <c r="D655" i="10"/>
  <c r="D668" i="10"/>
  <c r="D681" i="10"/>
  <c r="D694" i="10"/>
  <c r="D707" i="10"/>
  <c r="D720" i="10"/>
  <c r="D733" i="10"/>
  <c r="D746" i="10"/>
  <c r="D759" i="10"/>
  <c r="D9" i="10"/>
  <c r="D23" i="10"/>
  <c r="D37" i="10"/>
  <c r="D51" i="10"/>
  <c r="D67" i="10"/>
  <c r="D81" i="10"/>
  <c r="D94" i="10"/>
  <c r="D107" i="10"/>
  <c r="D120" i="10"/>
  <c r="D133" i="10"/>
  <c r="D146" i="10"/>
  <c r="D159" i="10"/>
  <c r="D173" i="10"/>
  <c r="D186" i="10"/>
  <c r="D199" i="10"/>
  <c r="D212" i="10"/>
  <c r="D225" i="10"/>
  <c r="D238" i="10"/>
  <c r="D251" i="10"/>
  <c r="D264" i="10"/>
  <c r="D277" i="10"/>
  <c r="D290" i="10"/>
  <c r="D303" i="10"/>
  <c r="D317" i="10"/>
  <c r="D330" i="10"/>
  <c r="D343" i="10"/>
  <c r="D356" i="10"/>
  <c r="D369" i="10"/>
  <c r="D382" i="10"/>
  <c r="D395" i="10"/>
  <c r="D408" i="10"/>
  <c r="D421" i="10"/>
  <c r="D434" i="10"/>
  <c r="D447" i="10"/>
  <c r="D461" i="10"/>
  <c r="D474" i="10"/>
  <c r="D487" i="10"/>
  <c r="D500" i="10"/>
  <c r="D513" i="10"/>
  <c r="D526" i="10"/>
  <c r="D539" i="10"/>
  <c r="D552" i="10"/>
  <c r="D565" i="10"/>
  <c r="D578" i="10"/>
  <c r="D591" i="10"/>
  <c r="D605" i="10"/>
  <c r="D618" i="10"/>
  <c r="D631" i="10"/>
  <c r="D644" i="10"/>
  <c r="D657" i="10"/>
  <c r="D670" i="10"/>
  <c r="D683" i="10"/>
  <c r="D696" i="10"/>
  <c r="D709" i="10"/>
  <c r="D722" i="10"/>
  <c r="D735" i="10"/>
  <c r="D749" i="10"/>
  <c r="D762" i="10"/>
  <c r="D775" i="10"/>
  <c r="D788" i="10"/>
  <c r="D801" i="10"/>
  <c r="D814" i="10"/>
  <c r="D827" i="10"/>
  <c r="D840" i="10"/>
  <c r="D853" i="10"/>
  <c r="D866" i="10"/>
  <c r="D879" i="10"/>
  <c r="D893" i="10"/>
  <c r="D906" i="10"/>
  <c r="D919" i="10"/>
  <c r="D932" i="10"/>
  <c r="D945" i="10"/>
  <c r="D958" i="10"/>
  <c r="D971" i="10"/>
  <c r="D984" i="10"/>
  <c r="D997" i="10"/>
  <c r="D1010" i="10"/>
  <c r="D1023" i="10"/>
  <c r="D1035" i="10"/>
  <c r="D10" i="10"/>
  <c r="D8" i="10"/>
  <c r="D30" i="10"/>
  <c r="D54" i="10"/>
  <c r="D72" i="10"/>
  <c r="D95" i="10"/>
  <c r="D113" i="10"/>
  <c r="D134" i="10"/>
  <c r="D152" i="10"/>
  <c r="D174" i="10"/>
  <c r="D191" i="10"/>
  <c r="D213" i="10"/>
  <c r="D230" i="10"/>
  <c r="D252" i="10"/>
  <c r="D270" i="10"/>
  <c r="D291" i="10"/>
  <c r="D309" i="10"/>
  <c r="D331" i="10"/>
  <c r="D348" i="10"/>
  <c r="D370" i="10"/>
  <c r="D387" i="10"/>
  <c r="D409" i="10"/>
  <c r="D427" i="10"/>
  <c r="D449" i="10"/>
  <c r="D466" i="10"/>
  <c r="D488" i="10"/>
  <c r="D505" i="10"/>
  <c r="D527" i="10"/>
  <c r="D545" i="10"/>
  <c r="D566" i="10"/>
  <c r="D584" i="10"/>
  <c r="D606" i="10"/>
  <c r="D623" i="10"/>
  <c r="D645" i="10"/>
  <c r="D662" i="10"/>
  <c r="D684" i="10"/>
  <c r="D702" i="10"/>
  <c r="D723" i="10"/>
  <c r="D741" i="10"/>
  <c r="D763" i="10"/>
  <c r="D779" i="10"/>
  <c r="D795" i="10"/>
  <c r="D815" i="10"/>
  <c r="D831" i="10"/>
  <c r="D847" i="10"/>
  <c r="D862" i="10"/>
  <c r="D878" i="10"/>
  <c r="D895" i="10"/>
  <c r="D910" i="10"/>
  <c r="D925" i="10"/>
  <c r="D941" i="10"/>
  <c r="D957" i="10"/>
  <c r="D973" i="10"/>
  <c r="D989" i="10"/>
  <c r="D1004" i="10"/>
  <c r="D1019" i="10"/>
  <c r="D1034" i="10"/>
  <c r="D1048" i="10"/>
  <c r="D1061" i="10"/>
  <c r="D1074" i="10"/>
  <c r="D1087" i="10"/>
  <c r="D1100" i="10"/>
  <c r="D1113" i="10"/>
  <c r="D11" i="10"/>
  <c r="D31" i="10"/>
  <c r="D55" i="10"/>
  <c r="D73" i="10"/>
  <c r="D96" i="10"/>
  <c r="D114" i="10"/>
  <c r="D135" i="10"/>
  <c r="D153" i="10"/>
  <c r="D175" i="10"/>
  <c r="D192" i="10"/>
  <c r="D214" i="10"/>
  <c r="D231" i="10"/>
  <c r="D253" i="10"/>
  <c r="D271" i="10"/>
  <c r="D293" i="10"/>
  <c r="D310" i="10"/>
  <c r="D332" i="10"/>
  <c r="D349" i="10"/>
  <c r="D371" i="10"/>
  <c r="D389" i="10"/>
  <c r="D410" i="10"/>
  <c r="D428" i="10"/>
  <c r="D450" i="10"/>
  <c r="D467" i="10"/>
  <c r="D489" i="10"/>
  <c r="D506" i="10"/>
  <c r="D528" i="10"/>
  <c r="D546" i="10"/>
  <c r="D567" i="10"/>
  <c r="D585" i="10"/>
  <c r="D607" i="10"/>
  <c r="D624" i="10"/>
  <c r="D646" i="10"/>
  <c r="D663" i="10"/>
  <c r="D685" i="10"/>
  <c r="D703" i="10"/>
  <c r="D725" i="10"/>
  <c r="D742" i="10"/>
  <c r="D764" i="10"/>
  <c r="D780" i="10"/>
  <c r="D799" i="10"/>
  <c r="D816" i="10"/>
  <c r="D833" i="10"/>
  <c r="D848" i="10"/>
  <c r="D864" i="10"/>
  <c r="D881" i="10"/>
  <c r="D896" i="10"/>
  <c r="D911" i="10"/>
  <c r="D926" i="10"/>
  <c r="D943" i="10"/>
  <c r="D959" i="10"/>
  <c r="D974" i="10"/>
  <c r="D990" i="10"/>
  <c r="D1005" i="10"/>
  <c r="D1021" i="10"/>
  <c r="D1036" i="10"/>
  <c r="D1049" i="10"/>
  <c r="D1062" i="10"/>
  <c r="D1075" i="10"/>
  <c r="D1088" i="10"/>
  <c r="D12" i="10"/>
  <c r="D32" i="10"/>
  <c r="D56" i="10"/>
  <c r="D74" i="10"/>
  <c r="D97" i="10"/>
  <c r="D115" i="10"/>
  <c r="D137" i="10"/>
  <c r="D154" i="10"/>
  <c r="D176" i="10"/>
  <c r="D193" i="10"/>
  <c r="D215" i="10"/>
  <c r="D233" i="10"/>
  <c r="D254" i="10"/>
  <c r="D272" i="10"/>
  <c r="D294" i="10"/>
  <c r="D311" i="10"/>
  <c r="D333" i="10"/>
  <c r="D350" i="10"/>
  <c r="D372" i="10"/>
  <c r="D390" i="10"/>
  <c r="D411" i="10"/>
  <c r="D429" i="10"/>
  <c r="D451" i="10"/>
  <c r="D468" i="10"/>
  <c r="D490" i="10"/>
  <c r="D507" i="10"/>
  <c r="D529" i="10"/>
  <c r="D547" i="10"/>
  <c r="D569" i="10"/>
  <c r="D586" i="10"/>
  <c r="D608" i="10"/>
  <c r="D625" i="10"/>
  <c r="D647" i="10"/>
  <c r="D665" i="10"/>
  <c r="D686" i="10"/>
  <c r="D704" i="10"/>
  <c r="D726" i="10"/>
  <c r="D743" i="10"/>
  <c r="D765" i="10"/>
  <c r="D781" i="10"/>
  <c r="D800" i="10"/>
  <c r="D817" i="10"/>
  <c r="D834" i="10"/>
  <c r="D849" i="10"/>
  <c r="D865" i="10"/>
  <c r="D882" i="10"/>
  <c r="D897" i="10"/>
  <c r="D912" i="10"/>
  <c r="D927" i="10"/>
  <c r="D944" i="10"/>
  <c r="D960" i="10"/>
  <c r="D975" i="10"/>
  <c r="D991" i="10"/>
  <c r="D1006" i="10"/>
  <c r="D1022" i="10"/>
  <c r="D1037" i="10"/>
  <c r="D1050" i="10"/>
  <c r="D1063" i="10"/>
  <c r="D1076" i="10"/>
  <c r="D1089" i="10"/>
  <c r="D1102" i="10"/>
  <c r="D1115" i="10"/>
  <c r="D13" i="10"/>
  <c r="D36" i="10"/>
  <c r="D57" i="10"/>
  <c r="D80" i="10"/>
  <c r="D98" i="10"/>
  <c r="D119" i="10"/>
  <c r="D138" i="10"/>
  <c r="D158" i="10"/>
  <c r="D177" i="10"/>
  <c r="D198" i="10"/>
  <c r="D216" i="10"/>
  <c r="D237" i="10"/>
  <c r="D255" i="10"/>
  <c r="D276" i="10"/>
  <c r="D295" i="10"/>
  <c r="D315" i="10"/>
  <c r="D334" i="10"/>
  <c r="D355" i="10"/>
  <c r="D373" i="10"/>
  <c r="D394" i="10"/>
  <c r="D413" i="10"/>
  <c r="D433" i="10"/>
  <c r="D452" i="10"/>
  <c r="D473" i="10"/>
  <c r="D491" i="10"/>
  <c r="D512" i="10"/>
  <c r="D530" i="10"/>
  <c r="D551" i="10"/>
  <c r="D570" i="10"/>
  <c r="D590" i="10"/>
  <c r="D609" i="10"/>
  <c r="D630" i="10"/>
  <c r="D648" i="10"/>
  <c r="D669" i="10"/>
  <c r="D687" i="10"/>
  <c r="D708" i="10"/>
  <c r="D727" i="10"/>
  <c r="D747" i="10"/>
  <c r="D766" i="10"/>
  <c r="D782" i="10"/>
  <c r="D802" i="10"/>
  <c r="D818" i="10"/>
  <c r="D835" i="10"/>
  <c r="D851" i="10"/>
  <c r="D867" i="10"/>
  <c r="D883" i="10"/>
  <c r="D898" i="10"/>
  <c r="D913" i="10"/>
  <c r="D930" i="10"/>
  <c r="D946" i="10"/>
  <c r="D961" i="10"/>
  <c r="D977" i="10"/>
  <c r="D992" i="10"/>
  <c r="D14" i="10"/>
  <c r="D38" i="10"/>
  <c r="D58" i="10"/>
  <c r="D82" i="10"/>
  <c r="D99" i="10"/>
  <c r="D121" i="10"/>
  <c r="D139" i="10"/>
  <c r="D161" i="10"/>
  <c r="D178" i="10"/>
  <c r="D200" i="10"/>
  <c r="D217" i="10"/>
  <c r="D239" i="10"/>
  <c r="D257" i="10"/>
  <c r="D278" i="10"/>
  <c r="D296" i="10"/>
  <c r="D318" i="10"/>
  <c r="D335" i="10"/>
  <c r="D357" i="10"/>
  <c r="D374" i="10"/>
  <c r="D396" i="10"/>
  <c r="D414" i="10"/>
  <c r="D435" i="10"/>
  <c r="D453" i="10"/>
  <c r="D475" i="10"/>
  <c r="D492" i="10"/>
  <c r="D514" i="10"/>
  <c r="D531" i="10"/>
  <c r="D553" i="10"/>
  <c r="D571" i="10"/>
  <c r="D593" i="10"/>
  <c r="D610" i="10"/>
  <c r="D632" i="10"/>
  <c r="D649" i="10"/>
  <c r="D671" i="10"/>
  <c r="D689" i="10"/>
  <c r="D710" i="10"/>
  <c r="D728" i="10"/>
  <c r="D750" i="10"/>
  <c r="D767" i="10"/>
  <c r="D786" i="10"/>
  <c r="D803" i="10"/>
  <c r="D819" i="10"/>
  <c r="D836" i="10"/>
  <c r="D852" i="10"/>
  <c r="D869" i="10"/>
  <c r="D884" i="10"/>
  <c r="D899" i="10"/>
  <c r="D914" i="10"/>
  <c r="D931" i="10"/>
  <c r="D947" i="10"/>
  <c r="D962" i="10"/>
  <c r="D978" i="10"/>
  <c r="D993" i="10"/>
  <c r="D1009" i="10"/>
  <c r="D1025" i="10"/>
  <c r="D1039" i="10"/>
  <c r="D1052" i="10"/>
  <c r="D1065" i="10"/>
  <c r="D1078" i="10"/>
  <c r="D1091" i="10"/>
  <c r="D1105" i="10"/>
  <c r="D1117" i="10"/>
  <c r="D1129" i="10"/>
  <c r="D1141" i="10"/>
  <c r="D1153" i="10"/>
  <c r="D1165" i="10"/>
  <c r="D1177" i="10"/>
  <c r="D1189" i="10"/>
  <c r="D1201" i="10"/>
  <c r="D1213" i="10"/>
  <c r="D15" i="10"/>
  <c r="D39" i="10"/>
  <c r="D59" i="10"/>
  <c r="D83" i="10"/>
  <c r="D101" i="10"/>
  <c r="D122" i="10"/>
  <c r="D140" i="10"/>
  <c r="D162" i="10"/>
  <c r="D179" i="10"/>
  <c r="D201" i="10"/>
  <c r="D218" i="10"/>
  <c r="D240" i="10"/>
  <c r="D258" i="10"/>
  <c r="D279" i="10"/>
  <c r="D297" i="10"/>
  <c r="D319" i="10"/>
  <c r="D336" i="10"/>
  <c r="D358" i="10"/>
  <c r="D375" i="10"/>
  <c r="D397" i="10"/>
  <c r="D415" i="10"/>
  <c r="D437" i="10"/>
  <c r="D454" i="10"/>
  <c r="D476" i="10"/>
  <c r="D493" i="10"/>
  <c r="D515" i="10"/>
  <c r="D533" i="10"/>
  <c r="D554" i="10"/>
  <c r="D572" i="10"/>
  <c r="D594" i="10"/>
  <c r="D611" i="10"/>
  <c r="D633" i="10"/>
  <c r="D650" i="10"/>
  <c r="D672" i="10"/>
  <c r="D690" i="10"/>
  <c r="D711" i="10"/>
  <c r="D729" i="10"/>
  <c r="D751" i="10"/>
  <c r="D768" i="10"/>
  <c r="D787" i="10"/>
  <c r="D804" i="10"/>
  <c r="D821" i="10"/>
  <c r="D838" i="10"/>
  <c r="D854" i="10"/>
  <c r="D870" i="10"/>
  <c r="D885" i="10"/>
  <c r="D900" i="10"/>
  <c r="D917" i="10"/>
  <c r="D933" i="10"/>
  <c r="D948" i="10"/>
  <c r="D963" i="10"/>
  <c r="D979" i="10"/>
  <c r="D995" i="10"/>
  <c r="D1011" i="10"/>
  <c r="D1026" i="10"/>
  <c r="D1040" i="10"/>
  <c r="D1053" i="10"/>
  <c r="D1066" i="10"/>
  <c r="D1079" i="10"/>
  <c r="D1093" i="10"/>
  <c r="D1106" i="10"/>
  <c r="D1118" i="10"/>
  <c r="D1130" i="10"/>
  <c r="D1142" i="10"/>
  <c r="D1154" i="10"/>
  <c r="D1166" i="10"/>
  <c r="D1178" i="10"/>
  <c r="D1190" i="10"/>
  <c r="D1202" i="10"/>
  <c r="D1214" i="10"/>
  <c r="D1226" i="10"/>
  <c r="D1238" i="10"/>
  <c r="D1250" i="10"/>
  <c r="D1262" i="10"/>
  <c r="D1274" i="10"/>
  <c r="D1286" i="10"/>
  <c r="D1298" i="10"/>
  <c r="D1310" i="10"/>
  <c r="D1322" i="10"/>
  <c r="D1334" i="10"/>
  <c r="D1346" i="10"/>
  <c r="D1358" i="10"/>
  <c r="D1370" i="10"/>
  <c r="D1382" i="10"/>
  <c r="D1394" i="10"/>
  <c r="D18" i="10"/>
  <c r="D60" i="10"/>
  <c r="D102" i="10"/>
  <c r="D141" i="10"/>
  <c r="D180" i="10"/>
  <c r="D219" i="10"/>
  <c r="D259" i="10"/>
  <c r="D298" i="10"/>
  <c r="D337" i="10"/>
  <c r="D377" i="10"/>
  <c r="D416" i="10"/>
  <c r="D455" i="10"/>
  <c r="D494" i="10"/>
  <c r="D534" i="10"/>
  <c r="D573" i="10"/>
  <c r="D612" i="10"/>
  <c r="D651" i="10"/>
  <c r="D691" i="10"/>
  <c r="D730" i="10"/>
  <c r="D769" i="10"/>
  <c r="D805" i="10"/>
  <c r="D839" i="10"/>
  <c r="D871" i="10"/>
  <c r="D901" i="10"/>
  <c r="D934" i="10"/>
  <c r="D965" i="10"/>
  <c r="D996" i="10"/>
  <c r="D1018" i="10"/>
  <c r="D1045" i="10"/>
  <c r="D1069" i="10"/>
  <c r="D1090" i="10"/>
  <c r="D1110" i="10"/>
  <c r="D1126" i="10"/>
  <c r="D1140" i="10"/>
  <c r="D1156" i="10"/>
  <c r="D1170" i="10"/>
  <c r="D1184" i="10"/>
  <c r="D1198" i="10"/>
  <c r="D1212" i="10"/>
  <c r="D1227" i="10"/>
  <c r="D1240" i="10"/>
  <c r="D1253" i="10"/>
  <c r="D1266" i="10"/>
  <c r="D1279" i="10"/>
  <c r="D1292" i="10"/>
  <c r="D1305" i="10"/>
  <c r="D1318" i="10"/>
  <c r="D1331" i="10"/>
  <c r="D1344" i="10"/>
  <c r="D1357" i="10"/>
  <c r="D1371" i="10"/>
  <c r="D1384" i="10"/>
  <c r="D1397" i="10"/>
  <c r="D1409" i="10"/>
  <c r="D1421" i="10"/>
  <c r="D1433" i="10"/>
  <c r="D1445" i="10"/>
  <c r="D1457" i="10"/>
  <c r="D1469" i="10"/>
  <c r="D1481" i="10"/>
  <c r="D1493" i="10"/>
  <c r="D1505" i="10"/>
  <c r="D1517" i="10"/>
  <c r="D22" i="10"/>
  <c r="D66" i="10"/>
  <c r="D106" i="10"/>
  <c r="D145" i="10"/>
  <c r="D185" i="10"/>
  <c r="D224" i="10"/>
  <c r="D263" i="10"/>
  <c r="D302" i="10"/>
  <c r="D342" i="10"/>
  <c r="D381" i="10"/>
  <c r="D420" i="10"/>
  <c r="D459" i="10"/>
  <c r="D499" i="10"/>
  <c r="D538" i="10"/>
  <c r="D577" i="10"/>
  <c r="D617" i="10"/>
  <c r="D656" i="10"/>
  <c r="D695" i="10"/>
  <c r="D734" i="10"/>
  <c r="D773" i="10"/>
  <c r="D806" i="10"/>
  <c r="D841" i="10"/>
  <c r="D872" i="10"/>
  <c r="D903" i="10"/>
  <c r="D935" i="10"/>
  <c r="D966" i="10"/>
  <c r="D998" i="10"/>
  <c r="D1024" i="10"/>
  <c r="D1046" i="10"/>
  <c r="D1070" i="10"/>
  <c r="D1094" i="10"/>
  <c r="D1111" i="10"/>
  <c r="D1127" i="10"/>
  <c r="D1143" i="10"/>
  <c r="D1157" i="10"/>
  <c r="D1171" i="10"/>
  <c r="D1185" i="10"/>
  <c r="D1199" i="10"/>
  <c r="D1215" i="10"/>
  <c r="D1228" i="10"/>
  <c r="D1241" i="10"/>
  <c r="D1254" i="10"/>
  <c r="D1267" i="10"/>
  <c r="D1280" i="10"/>
  <c r="D1293" i="10"/>
  <c r="D1306" i="10"/>
  <c r="D1319" i="10"/>
  <c r="D1332" i="10"/>
  <c r="D1345" i="10"/>
  <c r="D1359" i="10"/>
  <c r="D1372" i="10"/>
  <c r="D1385" i="10"/>
  <c r="D1398" i="10"/>
  <c r="D1410" i="10"/>
  <c r="D1422" i="10"/>
  <c r="D1434" i="10"/>
  <c r="D1446" i="10"/>
  <c r="D1458" i="10"/>
  <c r="D1470" i="10"/>
  <c r="D1482" i="10"/>
  <c r="D1494" i="10"/>
  <c r="D1506" i="10"/>
  <c r="D1518" i="10"/>
  <c r="D24" i="10"/>
  <c r="D68" i="10"/>
  <c r="D108" i="10"/>
  <c r="D147" i="10"/>
  <c r="D187" i="10"/>
  <c r="D226" i="10"/>
  <c r="D265" i="10"/>
  <c r="D305" i="10"/>
  <c r="D344" i="10"/>
  <c r="D383" i="10"/>
  <c r="D422" i="10"/>
  <c r="D462" i="10"/>
  <c r="D501" i="10"/>
  <c r="D540" i="10"/>
  <c r="D579" i="10"/>
  <c r="D619" i="10"/>
  <c r="D658" i="10"/>
  <c r="D697" i="10"/>
  <c r="D737" i="10"/>
  <c r="D774" i="10"/>
  <c r="D807" i="10"/>
  <c r="D842" i="10"/>
  <c r="D873" i="10"/>
  <c r="D905" i="10"/>
  <c r="D936" i="10"/>
  <c r="D967" i="10"/>
  <c r="D999" i="10"/>
  <c r="D1027" i="10"/>
  <c r="D1047" i="10"/>
  <c r="D1071" i="10"/>
  <c r="D1095" i="10"/>
  <c r="D1112" i="10"/>
  <c r="D1128" i="10"/>
  <c r="D1144" i="10"/>
  <c r="D1158" i="10"/>
  <c r="D1172" i="10"/>
  <c r="D1186" i="10"/>
  <c r="D1200" i="10"/>
  <c r="D1216" i="10"/>
  <c r="D1229" i="10"/>
  <c r="D1242" i="10"/>
  <c r="D1255" i="10"/>
  <c r="D1268" i="10"/>
  <c r="D1281" i="10"/>
  <c r="D1294" i="10"/>
  <c r="D1307" i="10"/>
  <c r="D1320" i="10"/>
  <c r="D1333" i="10"/>
  <c r="D1347" i="10"/>
  <c r="D1360" i="10"/>
  <c r="D1373" i="10"/>
  <c r="D1386" i="10"/>
  <c r="D1399" i="10"/>
  <c r="D1411" i="10"/>
  <c r="D1423" i="10"/>
  <c r="D1435" i="10"/>
  <c r="D1447" i="10"/>
  <c r="D1459" i="10"/>
  <c r="D1471" i="10"/>
  <c r="D1483" i="10"/>
  <c r="D1495" i="10"/>
  <c r="D1507" i="10"/>
  <c r="D1519" i="10"/>
  <c r="D1531" i="10"/>
  <c r="D1543" i="10"/>
  <c r="D1555" i="10"/>
  <c r="D1567" i="10"/>
  <c r="D25" i="10"/>
  <c r="D69" i="10"/>
  <c r="D109" i="10"/>
  <c r="D149" i="10"/>
  <c r="D188" i="10"/>
  <c r="D227" i="10"/>
  <c r="D266" i="10"/>
  <c r="D306" i="10"/>
  <c r="D345" i="10"/>
  <c r="D384" i="10"/>
  <c r="D423" i="10"/>
  <c r="D463" i="10"/>
  <c r="D502" i="10"/>
  <c r="D541" i="10"/>
  <c r="D581" i="10"/>
  <c r="D620" i="10"/>
  <c r="D659" i="10"/>
  <c r="D698" i="10"/>
  <c r="D738" i="10"/>
  <c r="D776" i="10"/>
  <c r="D809" i="10"/>
  <c r="D843" i="10"/>
  <c r="D874" i="10"/>
  <c r="D907" i="10"/>
  <c r="D937" i="10"/>
  <c r="D969" i="10"/>
  <c r="D1001" i="10"/>
  <c r="D1028" i="10"/>
  <c r="D1051" i="10"/>
  <c r="D1072" i="10"/>
  <c r="D1096" i="10"/>
  <c r="D1114" i="10"/>
  <c r="D1131" i="10"/>
  <c r="D1145" i="10"/>
  <c r="D1159" i="10"/>
  <c r="D1173" i="10"/>
  <c r="D1187" i="10"/>
  <c r="D1203" i="10"/>
  <c r="D1217" i="10"/>
  <c r="D1230" i="10"/>
  <c r="D1243" i="10"/>
  <c r="D1256" i="10"/>
  <c r="D1269" i="10"/>
  <c r="D1282" i="10"/>
  <c r="D1295" i="10"/>
  <c r="D1308" i="10"/>
  <c r="D1321" i="10"/>
  <c r="D1335" i="10"/>
  <c r="D1348" i="10"/>
  <c r="D1361" i="10"/>
  <c r="D1374" i="10"/>
  <c r="D1387" i="10"/>
  <c r="D1400" i="10"/>
  <c r="D1412" i="10"/>
  <c r="D1424" i="10"/>
  <c r="D1436" i="10"/>
  <c r="D1448" i="10"/>
  <c r="D1460" i="10"/>
  <c r="D1472" i="10"/>
  <c r="D26" i="10"/>
  <c r="D70" i="10"/>
  <c r="D110" i="10"/>
  <c r="D150" i="10"/>
  <c r="D189" i="10"/>
  <c r="D228" i="10"/>
  <c r="D267" i="10"/>
  <c r="D307" i="10"/>
  <c r="D346" i="10"/>
  <c r="D385" i="10"/>
  <c r="D425" i="10"/>
  <c r="D464" i="10"/>
  <c r="D503" i="10"/>
  <c r="D542" i="10"/>
  <c r="D582" i="10"/>
  <c r="D621" i="10"/>
  <c r="D660" i="10"/>
  <c r="D699" i="10"/>
  <c r="D739" i="10"/>
  <c r="D777" i="10"/>
  <c r="D812" i="10"/>
  <c r="D845" i="10"/>
  <c r="D875" i="10"/>
  <c r="D908" i="10"/>
  <c r="D938" i="10"/>
  <c r="D970" i="10"/>
  <c r="D1002" i="10"/>
  <c r="D1029" i="10"/>
  <c r="D1054" i="10"/>
  <c r="D1073" i="10"/>
  <c r="D1097" i="10"/>
  <c r="D1116" i="10"/>
  <c r="D1132" i="10"/>
  <c r="D1146" i="10"/>
  <c r="D1160" i="10"/>
  <c r="D1174" i="10"/>
  <c r="D1188" i="10"/>
  <c r="D1204" i="10"/>
  <c r="D1218" i="10"/>
  <c r="D1231" i="10"/>
  <c r="D1244" i="10"/>
  <c r="D1257" i="10"/>
  <c r="D1270" i="10"/>
  <c r="D1283" i="10"/>
  <c r="D1296" i="10"/>
  <c r="D1309" i="10"/>
  <c r="D1323" i="10"/>
  <c r="D1336" i="10"/>
  <c r="D1349" i="10"/>
  <c r="D1362" i="10"/>
  <c r="D1375" i="10"/>
  <c r="D1388" i="10"/>
  <c r="D1401" i="10"/>
  <c r="D1413" i="10"/>
  <c r="D1425" i="10"/>
  <c r="D1437" i="10"/>
  <c r="D1449" i="10"/>
  <c r="D1461" i="10"/>
  <c r="D1473" i="10"/>
  <c r="D1485" i="10"/>
  <c r="D1497" i="10"/>
  <c r="D1509" i="10"/>
  <c r="D1521" i="10"/>
  <c r="D1533" i="10"/>
  <c r="D1545" i="10"/>
  <c r="D1557" i="10"/>
  <c r="D1569" i="10"/>
  <c r="D1581" i="10"/>
  <c r="D1593" i="10"/>
  <c r="D1605" i="10"/>
  <c r="D1617" i="10"/>
  <c r="D1629" i="10"/>
  <c r="D1641" i="10"/>
  <c r="D1653" i="10"/>
  <c r="D1665" i="10"/>
  <c r="D1677" i="10"/>
  <c r="D1689" i="10"/>
  <c r="D1701" i="10"/>
  <c r="D1713" i="10"/>
  <c r="D1725" i="10"/>
  <c r="D1737" i="10"/>
  <c r="D1749" i="10"/>
  <c r="D1761" i="10"/>
  <c r="D27" i="10"/>
  <c r="D71" i="10"/>
  <c r="D111" i="10"/>
  <c r="D151" i="10"/>
  <c r="D190" i="10"/>
  <c r="D229" i="10"/>
  <c r="D269" i="10"/>
  <c r="D308" i="10"/>
  <c r="D347" i="10"/>
  <c r="D386" i="10"/>
  <c r="D426" i="10"/>
  <c r="D465" i="10"/>
  <c r="D504" i="10"/>
  <c r="D543" i="10"/>
  <c r="D583" i="10"/>
  <c r="D622" i="10"/>
  <c r="D661" i="10"/>
  <c r="D701" i="10"/>
  <c r="D740" i="10"/>
  <c r="D778" i="10"/>
  <c r="D813" i="10"/>
  <c r="D846" i="10"/>
  <c r="D877" i="10"/>
  <c r="D909" i="10"/>
  <c r="D939" i="10"/>
  <c r="D972" i="10"/>
  <c r="D1003" i="10"/>
  <c r="D1030" i="10"/>
  <c r="D1055" i="10"/>
  <c r="D1077" i="10"/>
  <c r="D1098" i="10"/>
  <c r="D1119" i="10"/>
  <c r="D1133" i="10"/>
  <c r="D1147" i="10"/>
  <c r="D1161" i="10"/>
  <c r="D1175" i="10"/>
  <c r="D1191" i="10"/>
  <c r="D1205" i="10"/>
  <c r="D1219" i="10"/>
  <c r="D1232" i="10"/>
  <c r="D1245" i="10"/>
  <c r="D1258" i="10"/>
  <c r="D1271" i="10"/>
  <c r="D1284" i="10"/>
  <c r="D1297" i="10"/>
  <c r="D1311" i="10"/>
  <c r="D1324" i="10"/>
  <c r="D1337" i="10"/>
  <c r="D1350" i="10"/>
  <c r="D1363" i="10"/>
  <c r="D1376" i="10"/>
  <c r="D1389" i="10"/>
  <c r="D1402" i="10"/>
  <c r="D1414" i="10"/>
  <c r="D1426" i="10"/>
  <c r="D1438" i="10"/>
  <c r="D1450" i="10"/>
  <c r="D1462" i="10"/>
  <c r="D1474" i="10"/>
  <c r="D1486" i="10"/>
  <c r="D1498" i="10"/>
  <c r="D1510" i="10"/>
  <c r="D1522" i="10"/>
  <c r="D42" i="10"/>
  <c r="D123" i="10"/>
  <c r="D202" i="10"/>
  <c r="D281" i="10"/>
  <c r="D359" i="10"/>
  <c r="D438" i="10"/>
  <c r="D516" i="10"/>
  <c r="D595" i="10"/>
  <c r="D673" i="10"/>
  <c r="D752" i="10"/>
  <c r="D822" i="10"/>
  <c r="D886" i="10"/>
  <c r="D949" i="10"/>
  <c r="D1008" i="10"/>
  <c r="D1057" i="10"/>
  <c r="D1099" i="10"/>
  <c r="D1134" i="10"/>
  <c r="D1162" i="10"/>
  <c r="D1192" i="10"/>
  <c r="D1220" i="10"/>
  <c r="D1246" i="10"/>
  <c r="D1272" i="10"/>
  <c r="D1299" i="10"/>
  <c r="D1325" i="10"/>
  <c r="D1351" i="10"/>
  <c r="D1377" i="10"/>
  <c r="D1403" i="10"/>
  <c r="D1427" i="10"/>
  <c r="D1451" i="10"/>
  <c r="D1475" i="10"/>
  <c r="D1492" i="10"/>
  <c r="D1514" i="10"/>
  <c r="D1532" i="10"/>
  <c r="D1547" i="10"/>
  <c r="D1561" i="10"/>
  <c r="D1575" i="10"/>
  <c r="D1588" i="10"/>
  <c r="D1601" i="10"/>
  <c r="D1614" i="10"/>
  <c r="D1627" i="10"/>
  <c r="D1640" i="10"/>
  <c r="D1654" i="10"/>
  <c r="D1667" i="10"/>
  <c r="D1680" i="10"/>
  <c r="D1693" i="10"/>
  <c r="D1706" i="10"/>
  <c r="D1719" i="10"/>
  <c r="D1732" i="10"/>
  <c r="D1745" i="10"/>
  <c r="D1758" i="10"/>
  <c r="D43" i="10"/>
  <c r="D125" i="10"/>
  <c r="D203" i="10"/>
  <c r="D282" i="10"/>
  <c r="D360" i="10"/>
  <c r="D439" i="10"/>
  <c r="D517" i="10"/>
  <c r="D596" i="10"/>
  <c r="D674" i="10"/>
  <c r="D753" i="10"/>
  <c r="D825" i="10"/>
  <c r="D887" i="10"/>
  <c r="D950" i="10"/>
  <c r="D1013" i="10"/>
  <c r="D1058" i="10"/>
  <c r="D1101" i="10"/>
  <c r="D1135" i="10"/>
  <c r="D1163" i="10"/>
  <c r="D1193" i="10"/>
  <c r="D1221" i="10"/>
  <c r="D1247" i="10"/>
  <c r="D1273" i="10"/>
  <c r="D1300" i="10"/>
  <c r="D1326" i="10"/>
  <c r="D1352" i="10"/>
  <c r="D1378" i="10"/>
  <c r="D1404" i="10"/>
  <c r="D1428" i="10"/>
  <c r="D1452" i="10"/>
  <c r="D1476" i="10"/>
  <c r="D1496" i="10"/>
  <c r="D1515" i="10"/>
  <c r="D1534" i="10"/>
  <c r="D1548" i="10"/>
  <c r="D1562" i="10"/>
  <c r="D1576" i="10"/>
  <c r="D1589" i="10"/>
  <c r="D1602" i="10"/>
  <c r="D1615" i="10"/>
  <c r="D1628" i="10"/>
  <c r="D1642" i="10"/>
  <c r="D1655" i="10"/>
  <c r="D1668" i="10"/>
  <c r="D1681" i="10"/>
  <c r="D1694" i="10"/>
  <c r="D1707" i="10"/>
  <c r="D1720" i="10"/>
  <c r="D1733" i="10"/>
  <c r="D1746" i="10"/>
  <c r="D1759" i="10"/>
  <c r="D44" i="10"/>
  <c r="D126" i="10"/>
  <c r="D204" i="10"/>
  <c r="D283" i="10"/>
  <c r="D361" i="10"/>
  <c r="D440" i="10"/>
  <c r="D518" i="10"/>
  <c r="D597" i="10"/>
  <c r="D675" i="10"/>
  <c r="D754" i="10"/>
  <c r="D826" i="10"/>
  <c r="D888" i="10"/>
  <c r="D951" i="10"/>
  <c r="D1014" i="10"/>
  <c r="D1059" i="10"/>
  <c r="D1103" i="10"/>
  <c r="D1136" i="10"/>
  <c r="D1164" i="10"/>
  <c r="D1194" i="10"/>
  <c r="D1222" i="10"/>
  <c r="D1248" i="10"/>
  <c r="D1275" i="10"/>
  <c r="D1301" i="10"/>
  <c r="D1327" i="10"/>
  <c r="D1353" i="10"/>
  <c r="D1379" i="10"/>
  <c r="D1405" i="10"/>
  <c r="D1429" i="10"/>
  <c r="D1453" i="10"/>
  <c r="D1477" i="10"/>
  <c r="D1499" i="10"/>
  <c r="D1516" i="10"/>
  <c r="D1535" i="10"/>
  <c r="D1549" i="10"/>
  <c r="D1563" i="10"/>
  <c r="D1577" i="10"/>
  <c r="D1590" i="10"/>
  <c r="D1603" i="10"/>
  <c r="D1616" i="10"/>
  <c r="D1630" i="10"/>
  <c r="D1643" i="10"/>
  <c r="D1656" i="10"/>
  <c r="D1669" i="10"/>
  <c r="D1682" i="10"/>
  <c r="D1695" i="10"/>
  <c r="D1708" i="10"/>
  <c r="D1721" i="10"/>
  <c r="D1734" i="10"/>
  <c r="D1747" i="10"/>
  <c r="D1760" i="10"/>
  <c r="D45" i="10"/>
  <c r="D127" i="10"/>
  <c r="D205" i="10"/>
  <c r="D284" i="10"/>
  <c r="D362" i="10"/>
  <c r="D441" i="10"/>
  <c r="D519" i="10"/>
  <c r="D598" i="10"/>
  <c r="D677" i="10"/>
  <c r="D755" i="10"/>
  <c r="D828" i="10"/>
  <c r="D890" i="10"/>
  <c r="D953" i="10"/>
  <c r="D1015" i="10"/>
  <c r="D1060" i="10"/>
  <c r="D1107" i="10"/>
  <c r="D1137" i="10"/>
  <c r="D1167" i="10"/>
  <c r="D1195" i="10"/>
  <c r="D1223" i="10"/>
  <c r="D1249" i="10"/>
  <c r="D1276" i="10"/>
  <c r="D1302" i="10"/>
  <c r="D1328" i="10"/>
  <c r="D1354" i="10"/>
  <c r="D1380" i="10"/>
  <c r="D1406" i="10"/>
  <c r="D1430" i="10"/>
  <c r="D1454" i="10"/>
  <c r="D1478" i="10"/>
  <c r="D1500" i="10"/>
  <c r="D1520" i="10"/>
  <c r="D1536" i="10"/>
  <c r="D1550" i="10"/>
  <c r="D1564" i="10"/>
  <c r="D1578" i="10"/>
  <c r="D1591" i="10"/>
  <c r="D1604" i="10"/>
  <c r="D1618" i="10"/>
  <c r="D1631" i="10"/>
  <c r="D1644" i="10"/>
  <c r="D1657" i="10"/>
  <c r="D1670" i="10"/>
  <c r="D1683" i="10"/>
  <c r="D1696" i="10"/>
  <c r="D1709" i="10"/>
  <c r="D1722" i="10"/>
  <c r="D1735" i="10"/>
  <c r="D1748" i="10"/>
  <c r="D1762" i="10"/>
  <c r="D46" i="10"/>
  <c r="D128" i="10"/>
  <c r="D206" i="10"/>
  <c r="D285" i="10"/>
  <c r="D363" i="10"/>
  <c r="D442" i="10"/>
  <c r="D521" i="10"/>
  <c r="D599" i="10"/>
  <c r="D678" i="10"/>
  <c r="D756" i="10"/>
  <c r="D829" i="10"/>
  <c r="D891" i="10"/>
  <c r="D954" i="10"/>
  <c r="D1016" i="10"/>
  <c r="D1064" i="10"/>
  <c r="D1108" i="10"/>
  <c r="D1138" i="10"/>
  <c r="D1168" i="10"/>
  <c r="D1196" i="10"/>
  <c r="D1224" i="10"/>
  <c r="D1251" i="10"/>
  <c r="D1277" i="10"/>
  <c r="D1303" i="10"/>
  <c r="D1329" i="10"/>
  <c r="D1355" i="10"/>
  <c r="D1381" i="10"/>
  <c r="D1407" i="10"/>
  <c r="D1431" i="10"/>
  <c r="D1455" i="10"/>
  <c r="D1479" i="10"/>
  <c r="D1501" i="10"/>
  <c r="D1523" i="10"/>
  <c r="D1537" i="10"/>
  <c r="D1551" i="10"/>
  <c r="D1565" i="10"/>
  <c r="D1579" i="10"/>
  <c r="D1592" i="10"/>
  <c r="D1606" i="10"/>
  <c r="D1619" i="10"/>
  <c r="D1632" i="10"/>
  <c r="D1645" i="10"/>
  <c r="D1658" i="10"/>
  <c r="D1671" i="10"/>
  <c r="D1684" i="10"/>
  <c r="D1697" i="10"/>
  <c r="D1710" i="10"/>
  <c r="D1723" i="10"/>
  <c r="D1736" i="10"/>
  <c r="D1750" i="10"/>
  <c r="D1763" i="10"/>
  <c r="D50" i="10"/>
  <c r="D132" i="10"/>
  <c r="D211" i="10"/>
  <c r="D289" i="10"/>
  <c r="D368" i="10"/>
  <c r="D446" i="10"/>
  <c r="D525" i="10"/>
  <c r="D603" i="10"/>
  <c r="D682" i="10"/>
  <c r="D761" i="10"/>
  <c r="D830" i="10"/>
  <c r="D894" i="10"/>
  <c r="D956" i="10"/>
  <c r="D1017" i="10"/>
  <c r="D1067" i="10"/>
  <c r="D1109" i="10"/>
  <c r="D1139" i="10"/>
  <c r="D1169" i="10"/>
  <c r="D1197" i="10"/>
  <c r="D1225" i="10"/>
  <c r="D1252" i="10"/>
  <c r="D1278" i="10"/>
  <c r="D1304" i="10"/>
  <c r="D1330" i="10"/>
  <c r="D1356" i="10"/>
  <c r="D1383" i="10"/>
  <c r="D1408" i="10"/>
  <c r="D1432" i="10"/>
  <c r="D1456" i="10"/>
  <c r="D1480" i="10"/>
  <c r="D1502" i="10"/>
  <c r="D1524" i="10"/>
  <c r="D1538" i="10"/>
  <c r="D1552" i="10"/>
  <c r="D1566" i="10"/>
  <c r="D1580" i="10"/>
  <c r="D1594" i="10"/>
  <c r="D1607" i="10"/>
  <c r="D1620" i="10"/>
  <c r="D1633" i="10"/>
  <c r="D1646" i="10"/>
  <c r="D1659" i="10"/>
  <c r="D1672" i="10"/>
  <c r="D1685" i="10"/>
  <c r="D1698" i="10"/>
  <c r="D1711" i="10"/>
  <c r="D1724" i="10"/>
  <c r="D1738" i="10"/>
  <c r="D1751" i="10"/>
  <c r="D84" i="10"/>
  <c r="D241" i="10"/>
  <c r="D398" i="10"/>
  <c r="D555" i="10"/>
  <c r="D713" i="10"/>
  <c r="D855" i="10"/>
  <c r="D980" i="10"/>
  <c r="D1081" i="10"/>
  <c r="D1148" i="10"/>
  <c r="D1206" i="10"/>
  <c r="D1259" i="10"/>
  <c r="D1312" i="10"/>
  <c r="D1364" i="10"/>
  <c r="D1415" i="10"/>
  <c r="D1463" i="10"/>
  <c r="D1503" i="10"/>
  <c r="D1539" i="10"/>
  <c r="D1568" i="10"/>
  <c r="D1595" i="10"/>
  <c r="D1621" i="10"/>
  <c r="D1647" i="10"/>
  <c r="D1673" i="10"/>
  <c r="D1699" i="10"/>
  <c r="D1726" i="10"/>
  <c r="D1752" i="10"/>
  <c r="D85" i="10"/>
  <c r="D242" i="10"/>
  <c r="D399" i="10"/>
  <c r="D557" i="10"/>
  <c r="D714" i="10"/>
  <c r="D857" i="10"/>
  <c r="D982" i="10"/>
  <c r="D1082" i="10"/>
  <c r="D1149" i="10"/>
  <c r="D1207" i="10"/>
  <c r="D1260" i="10"/>
  <c r="D1313" i="10"/>
  <c r="D1365" i="10"/>
  <c r="D1416" i="10"/>
  <c r="D1464" i="10"/>
  <c r="D1504" i="10"/>
  <c r="D1540" i="10"/>
  <c r="D1570" i="10"/>
  <c r="D1596" i="10"/>
  <c r="D1622" i="10"/>
  <c r="D1648" i="10"/>
  <c r="D1674" i="10"/>
  <c r="D1700" i="10"/>
  <c r="D1727" i="10"/>
  <c r="D1753" i="10"/>
  <c r="D86" i="10"/>
  <c r="D243" i="10"/>
  <c r="D401" i="10"/>
  <c r="D558" i="10"/>
  <c r="D715" i="10"/>
  <c r="D858" i="10"/>
  <c r="D983" i="10"/>
  <c r="D1083" i="10"/>
  <c r="D1150" i="10"/>
  <c r="D1208" i="10"/>
  <c r="D1261" i="10"/>
  <c r="D1314" i="10"/>
  <c r="D1366" i="10"/>
  <c r="D1417" i="10"/>
  <c r="D1465" i="10"/>
  <c r="D1508" i="10"/>
  <c r="D1541" i="10"/>
  <c r="D1571" i="10"/>
  <c r="D1597" i="10"/>
  <c r="D1623" i="10"/>
  <c r="D1649" i="10"/>
  <c r="D1675" i="10"/>
  <c r="D1702" i="10"/>
  <c r="D1728" i="10"/>
  <c r="D1754" i="10"/>
  <c r="D87" i="10"/>
  <c r="D245" i="10"/>
  <c r="D402" i="10"/>
  <c r="D559" i="10"/>
  <c r="D716" i="10"/>
  <c r="D859" i="10"/>
  <c r="D985" i="10"/>
  <c r="D1084" i="10"/>
  <c r="D1151" i="10"/>
  <c r="D1209" i="10"/>
  <c r="D1263" i="10"/>
  <c r="D1315" i="10"/>
  <c r="D1367" i="10"/>
  <c r="D1418" i="10"/>
  <c r="D1466" i="10"/>
  <c r="D1511" i="10"/>
  <c r="D1542" i="10"/>
  <c r="D1572" i="10"/>
  <c r="D1598" i="10"/>
  <c r="D1624" i="10"/>
  <c r="D1650" i="10"/>
  <c r="D1676" i="10"/>
  <c r="D1703" i="10"/>
  <c r="D1729" i="10"/>
  <c r="D1755" i="10"/>
  <c r="D89" i="10"/>
  <c r="D246" i="10"/>
  <c r="D403" i="10"/>
  <c r="D560" i="10"/>
  <c r="D717" i="10"/>
  <c r="D860" i="10"/>
  <c r="D986" i="10"/>
  <c r="D1085" i="10"/>
  <c r="D1152" i="10"/>
  <c r="D1210" i="10"/>
  <c r="D1264" i="10"/>
  <c r="D1316" i="10"/>
  <c r="D1368" i="10"/>
  <c r="D1419" i="10"/>
  <c r="D1467" i="10"/>
  <c r="D1512" i="10"/>
  <c r="D1544" i="10"/>
  <c r="D1573" i="10"/>
  <c r="D1599" i="10"/>
  <c r="D1625" i="10"/>
  <c r="D1651" i="10"/>
  <c r="D1678" i="10"/>
  <c r="D1704" i="10"/>
  <c r="D1730" i="10"/>
  <c r="D1756" i="10"/>
  <c r="D93" i="10"/>
  <c r="D250" i="10"/>
  <c r="D407" i="10"/>
  <c r="D564" i="10"/>
  <c r="D721" i="10"/>
  <c r="D861" i="10"/>
  <c r="D987" i="10"/>
  <c r="D1086" i="10"/>
  <c r="D1155" i="10"/>
  <c r="D1211" i="10"/>
  <c r="D1265" i="10"/>
  <c r="D1317" i="10"/>
  <c r="D1369" i="10"/>
  <c r="D1420" i="10"/>
  <c r="D1468" i="10"/>
  <c r="D1513" i="10"/>
  <c r="D1546" i="10"/>
  <c r="D1574" i="10"/>
  <c r="D1600" i="10"/>
  <c r="D1626" i="10"/>
  <c r="D1652" i="10"/>
  <c r="D1679" i="10"/>
  <c r="D1705" i="10"/>
  <c r="D1731" i="10"/>
  <c r="D1757" i="10"/>
  <c r="D163" i="10"/>
  <c r="D477" i="10"/>
  <c r="D789" i="10"/>
  <c r="D1031" i="10"/>
  <c r="D1176" i="10"/>
  <c r="D1285" i="10"/>
  <c r="D1390" i="10"/>
  <c r="D1484" i="10"/>
  <c r="D1553" i="10"/>
  <c r="D1608" i="10"/>
  <c r="D1660" i="10"/>
  <c r="D1712" i="10"/>
  <c r="D164" i="10"/>
  <c r="D478" i="10"/>
  <c r="D790" i="10"/>
  <c r="D1033" i="10"/>
  <c r="D1179" i="10"/>
  <c r="D1287" i="10"/>
  <c r="D1391" i="10"/>
  <c r="D1487" i="10"/>
  <c r="D1554" i="10"/>
  <c r="D1609" i="10"/>
  <c r="D1661" i="10"/>
  <c r="D1714" i="10"/>
  <c r="D165" i="10"/>
  <c r="D479" i="10"/>
  <c r="D791" i="10"/>
  <c r="D1038" i="10"/>
  <c r="D1180" i="10"/>
  <c r="D1288" i="10"/>
  <c r="D1392" i="10"/>
  <c r="D1488" i="10"/>
  <c r="D1556" i="10"/>
  <c r="D1610" i="10"/>
  <c r="D1662" i="10"/>
  <c r="D1715" i="10"/>
  <c r="D166" i="10"/>
  <c r="D480" i="10"/>
  <c r="D792" i="10"/>
  <c r="D1041" i="10"/>
  <c r="D1181" i="10"/>
  <c r="D1289" i="10"/>
  <c r="D1393" i="10"/>
  <c r="D1489" i="10"/>
  <c r="D1558" i="10"/>
  <c r="D1611" i="10"/>
  <c r="D1663" i="10"/>
  <c r="D1716" i="10"/>
  <c r="D167" i="10"/>
  <c r="D481" i="10"/>
  <c r="D793" i="10"/>
  <c r="D1042" i="10"/>
  <c r="D1182" i="10"/>
  <c r="D1290" i="10"/>
  <c r="D1395" i="10"/>
  <c r="D1490" i="10"/>
  <c r="D1559" i="10"/>
  <c r="D1612" i="10"/>
  <c r="D1664" i="10"/>
  <c r="D1717" i="10"/>
  <c r="D171" i="10"/>
  <c r="D486" i="10"/>
  <c r="D794" i="10"/>
  <c r="D1043" i="10"/>
  <c r="D1183" i="10"/>
  <c r="D1291" i="10"/>
  <c r="D1396" i="10"/>
  <c r="D1491" i="10"/>
  <c r="D1560" i="10"/>
  <c r="D1613" i="10"/>
  <c r="D1666" i="10"/>
  <c r="D1718" i="10"/>
  <c r="D320" i="10"/>
  <c r="D918" i="10"/>
  <c r="D1233" i="10"/>
  <c r="D1439" i="10"/>
  <c r="D1582" i="10"/>
  <c r="D1686" i="10"/>
  <c r="D321" i="10"/>
  <c r="D920" i="10"/>
  <c r="D1234" i="10"/>
  <c r="D1440" i="10"/>
  <c r="D1583" i="10"/>
  <c r="D1687" i="10"/>
  <c r="D322" i="10"/>
  <c r="D921" i="10"/>
  <c r="D1235" i="10"/>
  <c r="D1441" i="10"/>
  <c r="D1584" i="10"/>
  <c r="D1688" i="10"/>
  <c r="D323" i="10"/>
  <c r="D922" i="10"/>
  <c r="D1236" i="10"/>
  <c r="D1442" i="10"/>
  <c r="D1585" i="10"/>
  <c r="D1690" i="10"/>
  <c r="D324" i="10"/>
  <c r="D923" i="10"/>
  <c r="D1237" i="10"/>
  <c r="D1443" i="10"/>
  <c r="D1586" i="10"/>
  <c r="D1691" i="10"/>
  <c r="D329" i="10"/>
  <c r="D924" i="10"/>
  <c r="D1239" i="10"/>
  <c r="D1444" i="10"/>
  <c r="D1587" i="10"/>
  <c r="D1692" i="10"/>
  <c r="D634" i="10"/>
  <c r="D1338" i="10"/>
  <c r="D1634" i="10"/>
  <c r="D635" i="10"/>
  <c r="D1339" i="10"/>
  <c r="D1635" i="10"/>
  <c r="D636" i="10"/>
  <c r="D1340" i="10"/>
  <c r="D1636" i="10"/>
  <c r="D637" i="10"/>
  <c r="D1341" i="10"/>
  <c r="D1637" i="10"/>
  <c r="D638" i="10"/>
  <c r="D1342" i="10"/>
  <c r="D1638" i="10"/>
  <c r="D643" i="10"/>
  <c r="D1343" i="10"/>
  <c r="D1639" i="10"/>
  <c r="D1120" i="10"/>
  <c r="D1739" i="10"/>
  <c r="D1121" i="10"/>
  <c r="D1740" i="10"/>
  <c r="D1122" i="10"/>
  <c r="D1741" i="10"/>
  <c r="D1123" i="10"/>
  <c r="D1742" i="10"/>
  <c r="D1124" i="10"/>
  <c r="D1743" i="10"/>
  <c r="D1125" i="10"/>
  <c r="D1744" i="10"/>
  <c r="D1525" i="10"/>
  <c r="D1526" i="10"/>
  <c r="D1527" i="10"/>
  <c r="D1528" i="10"/>
  <c r="D1530" i="10"/>
  <c r="D1529" i="10"/>
  <c r="AF118" i="10"/>
  <c r="AF106" i="10"/>
  <c r="AF94" i="10"/>
  <c r="AF82" i="10"/>
  <c r="AF70" i="10"/>
  <c r="AF58" i="10"/>
  <c r="AF46" i="10"/>
  <c r="AF34" i="10"/>
  <c r="AF22" i="10"/>
  <c r="AF10" i="10"/>
  <c r="AF116" i="10"/>
  <c r="AF104" i="10"/>
  <c r="AF92" i="10"/>
  <c r="AF80" i="10"/>
  <c r="AF68" i="10"/>
  <c r="AF56" i="10"/>
  <c r="AF44" i="10"/>
  <c r="AF32" i="10"/>
  <c r="AF20" i="10"/>
  <c r="AF8" i="10"/>
  <c r="AF115" i="10"/>
  <c r="AF103" i="10"/>
  <c r="AF91" i="10"/>
  <c r="AF79" i="10"/>
  <c r="AF67" i="10"/>
  <c r="AF55" i="10"/>
  <c r="AF43" i="10"/>
  <c r="AF31" i="10"/>
  <c r="AF19" i="10"/>
  <c r="AF7" i="10"/>
  <c r="AF125" i="10"/>
  <c r="AF113" i="10"/>
  <c r="AF101" i="10"/>
  <c r="AF89" i="10"/>
  <c r="AF77" i="10"/>
  <c r="AF65" i="10"/>
  <c r="AF53" i="10"/>
  <c r="AF41" i="10"/>
  <c r="AF29" i="10"/>
  <c r="AF17" i="10"/>
  <c r="AF117" i="10"/>
  <c r="AF98" i="10"/>
  <c r="AF81" i="10"/>
  <c r="AF62" i="10"/>
  <c r="AF45" i="10"/>
  <c r="AF26" i="10"/>
  <c r="AF9" i="10"/>
  <c r="AF112" i="10"/>
  <c r="AF96" i="10"/>
  <c r="AF76" i="10"/>
  <c r="AF60" i="10"/>
  <c r="AF40" i="10"/>
  <c r="AF24" i="10"/>
  <c r="AF126" i="10"/>
  <c r="AF109" i="10"/>
  <c r="AF90" i="10"/>
  <c r="AF73" i="10"/>
  <c r="AF54" i="10"/>
  <c r="AF37" i="10"/>
  <c r="AF18" i="10"/>
  <c r="AF124" i="10"/>
  <c r="AF108" i="10"/>
  <c r="AF88" i="10"/>
  <c r="AF72" i="10"/>
  <c r="AF52" i="10"/>
  <c r="AF36" i="10"/>
  <c r="AF16" i="10"/>
  <c r="AF105" i="10"/>
  <c r="AF78" i="10"/>
  <c r="AF50" i="10"/>
  <c r="AF25" i="10"/>
  <c r="AF100" i="10"/>
  <c r="AF74" i="10"/>
  <c r="AF48" i="10"/>
  <c r="AF21" i="10"/>
  <c r="AF121" i="10"/>
  <c r="AF95" i="10"/>
  <c r="AF66" i="10"/>
  <c r="AF39" i="10"/>
  <c r="AF13" i="10"/>
  <c r="AF120" i="10"/>
  <c r="AF93" i="10"/>
  <c r="AF64" i="10"/>
  <c r="AF38" i="10"/>
  <c r="AF12" i="10"/>
  <c r="AF102" i="10"/>
  <c r="AF61" i="10"/>
  <c r="AF23" i="10"/>
  <c r="AF97" i="10"/>
  <c r="AF57" i="10"/>
  <c r="AF14" i="10"/>
  <c r="AF123" i="10"/>
  <c r="AF85" i="10"/>
  <c r="AF47" i="10"/>
  <c r="AF122" i="10"/>
  <c r="AF84" i="10"/>
  <c r="AF42" i="10"/>
  <c r="AF99" i="10"/>
  <c r="AF33" i="10"/>
  <c r="AF87" i="10"/>
  <c r="AF30" i="10"/>
  <c r="AF86" i="10"/>
  <c r="AF28" i="10"/>
  <c r="AF83" i="10"/>
  <c r="AF27" i="10"/>
  <c r="AF75" i="10"/>
  <c r="AF15" i="10"/>
  <c r="AF71" i="10"/>
  <c r="AF11" i="10"/>
  <c r="AF119" i="10"/>
  <c r="AF63" i="10"/>
  <c r="AF114" i="10"/>
  <c r="AF59" i="10"/>
  <c r="AF69" i="10"/>
  <c r="AF35" i="10"/>
  <c r="AF111" i="10"/>
  <c r="AF110" i="10"/>
  <c r="AF107" i="10"/>
  <c r="AF51" i="10"/>
  <c r="AF49" i="10"/>
  <c r="T515" i="10"/>
  <c r="T503" i="10"/>
  <c r="T491" i="10"/>
  <c r="T479" i="10"/>
  <c r="T467" i="10"/>
  <c r="T455" i="10"/>
  <c r="T443" i="10"/>
  <c r="T431" i="10"/>
  <c r="T419" i="10"/>
  <c r="T407" i="10"/>
  <c r="T395" i="10"/>
  <c r="T383" i="10"/>
  <c r="T371" i="10"/>
  <c r="T359" i="10"/>
  <c r="T347" i="10"/>
  <c r="T335" i="10"/>
  <c r="T323" i="10"/>
  <c r="T311" i="10"/>
  <c r="T299" i="10"/>
  <c r="T287" i="10"/>
  <c r="T275" i="10"/>
  <c r="T263" i="10"/>
  <c r="T251" i="10"/>
  <c r="T239" i="10"/>
  <c r="T227" i="10"/>
  <c r="T215" i="10"/>
  <c r="T203" i="10"/>
  <c r="T191" i="10"/>
  <c r="T179" i="10"/>
  <c r="T167" i="10"/>
  <c r="T155" i="10"/>
  <c r="T143" i="10"/>
  <c r="T131" i="10"/>
  <c r="T119" i="10"/>
  <c r="T107" i="10"/>
  <c r="T95" i="10"/>
  <c r="T83" i="10"/>
  <c r="T71" i="10"/>
  <c r="T59" i="10"/>
  <c r="T47" i="10"/>
  <c r="T35" i="10"/>
  <c r="T23" i="10"/>
  <c r="T11" i="10"/>
  <c r="T513" i="10"/>
  <c r="T501" i="10"/>
  <c r="T489" i="10"/>
  <c r="T477" i="10"/>
  <c r="T465" i="10"/>
  <c r="T453" i="10"/>
  <c r="T441" i="10"/>
  <c r="T429" i="10"/>
  <c r="T417" i="10"/>
  <c r="T405" i="10"/>
  <c r="T393" i="10"/>
  <c r="T381" i="10"/>
  <c r="T369" i="10"/>
  <c r="T357" i="10"/>
  <c r="T345" i="10"/>
  <c r="T333" i="10"/>
  <c r="T321" i="10"/>
  <c r="T309" i="10"/>
  <c r="T297" i="10"/>
  <c r="T285" i="10"/>
  <c r="T273" i="10"/>
  <c r="T261" i="10"/>
  <c r="T249" i="10"/>
  <c r="T237" i="10"/>
  <c r="T225" i="10"/>
  <c r="T213" i="10"/>
  <c r="T201" i="10"/>
  <c r="T189" i="10"/>
  <c r="T177" i="10"/>
  <c r="T165" i="10"/>
  <c r="T153" i="10"/>
  <c r="T141" i="10"/>
  <c r="T129" i="10"/>
  <c r="T117" i="10"/>
  <c r="T105" i="10"/>
  <c r="T93" i="10"/>
  <c r="T81" i="10"/>
  <c r="T69" i="10"/>
  <c r="T57" i="10"/>
  <c r="T45" i="10"/>
  <c r="T33" i="10"/>
  <c r="T21" i="10"/>
  <c r="T9" i="10"/>
  <c r="T522" i="10"/>
  <c r="T510" i="10"/>
  <c r="T498" i="10"/>
  <c r="T486" i="10"/>
  <c r="T474" i="10"/>
  <c r="T462" i="10"/>
  <c r="T450" i="10"/>
  <c r="T438" i="10"/>
  <c r="T426" i="10"/>
  <c r="T414" i="10"/>
  <c r="T402" i="10"/>
  <c r="T390" i="10"/>
  <c r="T378" i="10"/>
  <c r="T366" i="10"/>
  <c r="T354" i="10"/>
  <c r="T342" i="10"/>
  <c r="T330" i="10"/>
  <c r="T318" i="10"/>
  <c r="T306" i="10"/>
  <c r="T294" i="10"/>
  <c r="T282" i="10"/>
  <c r="T270" i="10"/>
  <c r="T258" i="10"/>
  <c r="T246" i="10"/>
  <c r="T234" i="10"/>
  <c r="T222" i="10"/>
  <c r="T210" i="10"/>
  <c r="T198" i="10"/>
  <c r="T186" i="10"/>
  <c r="T174" i="10"/>
  <c r="T162" i="10"/>
  <c r="T150" i="10"/>
  <c r="T138" i="10"/>
  <c r="T126" i="10"/>
  <c r="T114" i="10"/>
  <c r="T102" i="10"/>
  <c r="T90" i="10"/>
  <c r="T78" i="10"/>
  <c r="T66" i="10"/>
  <c r="T54" i="10"/>
  <c r="T42" i="10"/>
  <c r="T30" i="10"/>
  <c r="T18" i="10"/>
  <c r="T6" i="10"/>
  <c r="T521" i="10"/>
  <c r="T509" i="10"/>
  <c r="T497" i="10"/>
  <c r="T485" i="10"/>
  <c r="T473" i="10"/>
  <c r="T461" i="10"/>
  <c r="T449" i="10"/>
  <c r="T437" i="10"/>
  <c r="T425" i="10"/>
  <c r="T413" i="10"/>
  <c r="T401" i="10"/>
  <c r="T389" i="10"/>
  <c r="T377" i="10"/>
  <c r="T365" i="10"/>
  <c r="T353" i="10"/>
  <c r="T341" i="10"/>
  <c r="T329" i="10"/>
  <c r="T317" i="10"/>
  <c r="T305" i="10"/>
  <c r="T293" i="10"/>
  <c r="T281" i="10"/>
  <c r="T269" i="10"/>
  <c r="T257" i="10"/>
  <c r="T245" i="10"/>
  <c r="T233" i="10"/>
  <c r="T221" i="10"/>
  <c r="T209" i="10"/>
  <c r="T197" i="10"/>
  <c r="T185" i="10"/>
  <c r="T173" i="10"/>
  <c r="T161" i="10"/>
  <c r="T149" i="10"/>
  <c r="T137" i="10"/>
  <c r="T125" i="10"/>
  <c r="T113" i="10"/>
  <c r="T101" i="10"/>
  <c r="T89" i="10"/>
  <c r="T77" i="10"/>
  <c r="T65" i="10"/>
  <c r="T53" i="10"/>
  <c r="T41" i="10"/>
  <c r="T29" i="10"/>
  <c r="T17" i="10"/>
  <c r="T5" i="10"/>
  <c r="T514" i="10"/>
  <c r="T495" i="10"/>
  <c r="T478" i="10"/>
  <c r="T459" i="10"/>
  <c r="T442" i="10"/>
  <c r="T423" i="10"/>
  <c r="T406" i="10"/>
  <c r="T387" i="10"/>
  <c r="T370" i="10"/>
  <c r="T351" i="10"/>
  <c r="T334" i="10"/>
  <c r="T315" i="10"/>
  <c r="T298" i="10"/>
  <c r="T279" i="10"/>
  <c r="T262" i="10"/>
  <c r="T243" i="10"/>
  <c r="T226" i="10"/>
  <c r="T207" i="10"/>
  <c r="T190" i="10"/>
  <c r="T171" i="10"/>
  <c r="T154" i="10"/>
  <c r="T135" i="10"/>
  <c r="T118" i="10"/>
  <c r="T99" i="10"/>
  <c r="T82" i="10"/>
  <c r="T63" i="10"/>
  <c r="T46" i="10"/>
  <c r="T27" i="10"/>
  <c r="T10" i="10"/>
  <c r="T511" i="10"/>
  <c r="T493" i="10"/>
  <c r="T475" i="10"/>
  <c r="T457" i="10"/>
  <c r="T439" i="10"/>
  <c r="T421" i="10"/>
  <c r="T403" i="10"/>
  <c r="T385" i="10"/>
  <c r="T367" i="10"/>
  <c r="T349" i="10"/>
  <c r="T331" i="10"/>
  <c r="T313" i="10"/>
  <c r="T295" i="10"/>
  <c r="T277" i="10"/>
  <c r="T259" i="10"/>
  <c r="T241" i="10"/>
  <c r="T223" i="10"/>
  <c r="T205" i="10"/>
  <c r="T187" i="10"/>
  <c r="T169" i="10"/>
  <c r="T151" i="10"/>
  <c r="T133" i="10"/>
  <c r="T115" i="10"/>
  <c r="T97" i="10"/>
  <c r="T79" i="10"/>
  <c r="T61" i="10"/>
  <c r="T43" i="10"/>
  <c r="T25" i="10"/>
  <c r="T7" i="10"/>
  <c r="T506" i="10"/>
  <c r="T488" i="10"/>
  <c r="T470" i="10"/>
  <c r="T452" i="10"/>
  <c r="T434" i="10"/>
  <c r="T416" i="10"/>
  <c r="T398" i="10"/>
  <c r="T380" i="10"/>
  <c r="T362" i="10"/>
  <c r="T344" i="10"/>
  <c r="T326" i="10"/>
  <c r="T308" i="10"/>
  <c r="T290" i="10"/>
  <c r="T272" i="10"/>
  <c r="T254" i="10"/>
  <c r="T236" i="10"/>
  <c r="T218" i="10"/>
  <c r="T200" i="10"/>
  <c r="T182" i="10"/>
  <c r="T164" i="10"/>
  <c r="T146" i="10"/>
  <c r="T128" i="10"/>
  <c r="T110" i="10"/>
  <c r="T92" i="10"/>
  <c r="T74" i="10"/>
  <c r="T56" i="10"/>
  <c r="T38" i="10"/>
  <c r="T20" i="10"/>
  <c r="T2" i="10"/>
  <c r="T523" i="10"/>
  <c r="T505" i="10"/>
  <c r="T487" i="10"/>
  <c r="T469" i="10"/>
  <c r="T451" i="10"/>
  <c r="T433" i="10"/>
  <c r="T415" i="10"/>
  <c r="T397" i="10"/>
  <c r="T379" i="10"/>
  <c r="T361" i="10"/>
  <c r="T343" i="10"/>
  <c r="T325" i="10"/>
  <c r="T307" i="10"/>
  <c r="T289" i="10"/>
  <c r="T271" i="10"/>
  <c r="T253" i="10"/>
  <c r="T235" i="10"/>
  <c r="T217" i="10"/>
  <c r="T199" i="10"/>
  <c r="T181" i="10"/>
  <c r="T163" i="10"/>
  <c r="T145" i="10"/>
  <c r="T127" i="10"/>
  <c r="T109" i="10"/>
  <c r="T91" i="10"/>
  <c r="T73" i="10"/>
  <c r="T55" i="10"/>
  <c r="T37" i="10"/>
  <c r="T19" i="10"/>
  <c r="T512" i="10"/>
  <c r="T483" i="10"/>
  <c r="T458" i="10"/>
  <c r="T430" i="10"/>
  <c r="T404" i="10"/>
  <c r="T375" i="10"/>
  <c r="T350" i="10"/>
  <c r="T322" i="10"/>
  <c r="T296" i="10"/>
  <c r="T267" i="10"/>
  <c r="T242" i="10"/>
  <c r="T214" i="10"/>
  <c r="T188" i="10"/>
  <c r="T159" i="10"/>
  <c r="T134" i="10"/>
  <c r="T106" i="10"/>
  <c r="T80" i="10"/>
  <c r="T51" i="10"/>
  <c r="T26" i="10"/>
  <c r="T508" i="10"/>
  <c r="T482" i="10"/>
  <c r="T456" i="10"/>
  <c r="T428" i="10"/>
  <c r="T400" i="10"/>
  <c r="T374" i="10"/>
  <c r="T348" i="10"/>
  <c r="T320" i="10"/>
  <c r="T292" i="10"/>
  <c r="T266" i="10"/>
  <c r="T240" i="10"/>
  <c r="T212" i="10"/>
  <c r="T184" i="10"/>
  <c r="T158" i="10"/>
  <c r="T132" i="10"/>
  <c r="T104" i="10"/>
  <c r="T76" i="10"/>
  <c r="T50" i="10"/>
  <c r="T24" i="10"/>
  <c r="T507" i="10"/>
  <c r="T481" i="10"/>
  <c r="T454" i="10"/>
  <c r="T427" i="10"/>
  <c r="T399" i="10"/>
  <c r="T373" i="10"/>
  <c r="T346" i="10"/>
  <c r="T319" i="10"/>
  <c r="T291" i="10"/>
  <c r="T265" i="10"/>
  <c r="T238" i="10"/>
  <c r="T211" i="10"/>
  <c r="T183" i="10"/>
  <c r="T157" i="10"/>
  <c r="T130" i="10"/>
  <c r="T103" i="10"/>
  <c r="T75" i="10"/>
  <c r="T49" i="10"/>
  <c r="T22" i="10"/>
  <c r="T504" i="10"/>
  <c r="T480" i="10"/>
  <c r="T448" i="10"/>
  <c r="T424" i="10"/>
  <c r="T396" i="10"/>
  <c r="T372" i="10"/>
  <c r="T340" i="10"/>
  <c r="T316" i="10"/>
  <c r="T288" i="10"/>
  <c r="T264" i="10"/>
  <c r="T232" i="10"/>
  <c r="T208" i="10"/>
  <c r="T180" i="10"/>
  <c r="T156" i="10"/>
  <c r="T124" i="10"/>
  <c r="T100" i="10"/>
  <c r="T72" i="10"/>
  <c r="T48" i="10"/>
  <c r="T16" i="10"/>
  <c r="T502" i="10"/>
  <c r="T476" i="10"/>
  <c r="T447" i="10"/>
  <c r="T422" i="10"/>
  <c r="T394" i="10"/>
  <c r="T368" i="10"/>
  <c r="T339" i="10"/>
  <c r="T314" i="10"/>
  <c r="T286" i="10"/>
  <c r="T260" i="10"/>
  <c r="T231" i="10"/>
  <c r="T206" i="10"/>
  <c r="T178" i="10"/>
  <c r="T152" i="10"/>
  <c r="T123" i="10"/>
  <c r="T98" i="10"/>
  <c r="T70" i="10"/>
  <c r="T44" i="10"/>
  <c r="T15" i="10"/>
  <c r="T500" i="10"/>
  <c r="T472" i="10"/>
  <c r="T446" i="10"/>
  <c r="T420" i="10"/>
  <c r="T392" i="10"/>
  <c r="T364" i="10"/>
  <c r="T338" i="10"/>
  <c r="T312" i="10"/>
  <c r="T284" i="10"/>
  <c r="T256" i="10"/>
  <c r="T230" i="10"/>
  <c r="T204" i="10"/>
  <c r="T176" i="10"/>
  <c r="T148" i="10"/>
  <c r="T122" i="10"/>
  <c r="T96" i="10"/>
  <c r="T68" i="10"/>
  <c r="T40" i="10"/>
  <c r="T14" i="10"/>
  <c r="T520" i="10"/>
  <c r="T496" i="10"/>
  <c r="T468" i="10"/>
  <c r="T444" i="10"/>
  <c r="T412" i="10"/>
  <c r="T388" i="10"/>
  <c r="T360" i="10"/>
  <c r="T336" i="10"/>
  <c r="T304" i="10"/>
  <c r="T280" i="10"/>
  <c r="T252" i="10"/>
  <c r="T228" i="10"/>
  <c r="T196" i="10"/>
  <c r="T172" i="10"/>
  <c r="T144" i="10"/>
  <c r="T120" i="10"/>
  <c r="T88" i="10"/>
  <c r="T64" i="10"/>
  <c r="T36" i="10"/>
  <c r="T12" i="10"/>
  <c r="T519" i="10"/>
  <c r="T494" i="10"/>
  <c r="T466" i="10"/>
  <c r="T440" i="10"/>
  <c r="T411" i="10"/>
  <c r="T386" i="10"/>
  <c r="T358" i="10"/>
  <c r="T332" i="10"/>
  <c r="T303" i="10"/>
  <c r="T278" i="10"/>
  <c r="T250" i="10"/>
  <c r="T224" i="10"/>
  <c r="T195" i="10"/>
  <c r="T170" i="10"/>
  <c r="T142" i="10"/>
  <c r="T116" i="10"/>
  <c r="T87" i="10"/>
  <c r="T62" i="10"/>
  <c r="T34" i="10"/>
  <c r="T8" i="10"/>
  <c r="T499" i="10"/>
  <c r="T471" i="10"/>
  <c r="T445" i="10"/>
  <c r="T418" i="10"/>
  <c r="T391" i="10"/>
  <c r="T363" i="10"/>
  <c r="T337" i="10"/>
  <c r="T310" i="10"/>
  <c r="T283" i="10"/>
  <c r="T255" i="10"/>
  <c r="T229" i="10"/>
  <c r="T202" i="10"/>
  <c r="T175" i="10"/>
  <c r="T147" i="10"/>
  <c r="T121" i="10"/>
  <c r="T94" i="10"/>
  <c r="T67" i="10"/>
  <c r="T39" i="10"/>
  <c r="T13" i="10"/>
  <c r="T490" i="10"/>
  <c r="T382" i="10"/>
  <c r="T274" i="10"/>
  <c r="T166" i="10"/>
  <c r="T58" i="10"/>
  <c r="T484" i="10"/>
  <c r="T376" i="10"/>
  <c r="T268" i="10"/>
  <c r="T160" i="10"/>
  <c r="T52" i="10"/>
  <c r="T464" i="10"/>
  <c r="T356" i="10"/>
  <c r="T248" i="10"/>
  <c r="T140" i="10"/>
  <c r="T32" i="10"/>
  <c r="T327" i="10"/>
  <c r="T111" i="10"/>
  <c r="T324" i="10"/>
  <c r="T108" i="10"/>
  <c r="T518" i="10"/>
  <c r="T302" i="10"/>
  <c r="T86" i="10"/>
  <c r="T409" i="10"/>
  <c r="T193" i="10"/>
  <c r="T408" i="10"/>
  <c r="T192" i="10"/>
  <c r="T463" i="10"/>
  <c r="T355" i="10"/>
  <c r="T247" i="10"/>
  <c r="T139" i="10"/>
  <c r="T31" i="10"/>
  <c r="T460" i="10"/>
  <c r="T352" i="10"/>
  <c r="T244" i="10"/>
  <c r="T136" i="10"/>
  <c r="T28" i="10"/>
  <c r="T436" i="10"/>
  <c r="T328" i="10"/>
  <c r="T220" i="10"/>
  <c r="T112" i="10"/>
  <c r="T4" i="10"/>
  <c r="T435" i="10"/>
  <c r="T219" i="10"/>
  <c r="T3" i="10"/>
  <c r="T432" i="10"/>
  <c r="T216" i="10"/>
  <c r="T410" i="10"/>
  <c r="T194" i="10"/>
  <c r="T517" i="10"/>
  <c r="T301" i="10"/>
  <c r="T85" i="10"/>
  <c r="T516" i="10"/>
  <c r="T300" i="10"/>
  <c r="T84" i="10"/>
  <c r="T492" i="10"/>
  <c r="T276" i="10"/>
  <c r="T168" i="10"/>
  <c r="T60" i="10"/>
  <c r="T384" i="10"/>
  <c r="Y1045" i="10"/>
  <c r="Y1033" i="10"/>
  <c r="Y1021" i="10"/>
  <c r="Y1009" i="10"/>
  <c r="Y997" i="10"/>
  <c r="Y985" i="10"/>
  <c r="Y973" i="10"/>
  <c r="Y961" i="10"/>
  <c r="Y949" i="10"/>
  <c r="Y937" i="10"/>
  <c r="Y925" i="10"/>
  <c r="Y913" i="10"/>
  <c r="Y901" i="10"/>
  <c r="Y889" i="10"/>
  <c r="Y877" i="10"/>
  <c r="Y865" i="10"/>
  <c r="Y853" i="10"/>
  <c r="Y841" i="10"/>
  <c r="Y829" i="10"/>
  <c r="Y817" i="10"/>
  <c r="Y805" i="10"/>
  <c r="Y793" i="10"/>
  <c r="Y781" i="10"/>
  <c r="Y769" i="10"/>
  <c r="Y757" i="10"/>
  <c r="Y745" i="10"/>
  <c r="Y733" i="10"/>
  <c r="Y721" i="10"/>
  <c r="Y709" i="10"/>
  <c r="Y697" i="10"/>
  <c r="Y685" i="10"/>
  <c r="Y673" i="10"/>
  <c r="Y661" i="10"/>
  <c r="Y649" i="10"/>
  <c r="Y637" i="10"/>
  <c r="Y625" i="10"/>
  <c r="Y613" i="10"/>
  <c r="Y601" i="10"/>
  <c r="Y589" i="10"/>
  <c r="Y577" i="10"/>
  <c r="Y565" i="10"/>
  <c r="Y553" i="10"/>
  <c r="Y541" i="10"/>
  <c r="Y529" i="10"/>
  <c r="Y517" i="10"/>
  <c r="Y505" i="10"/>
  <c r="Y493" i="10"/>
  <c r="Y481" i="10"/>
  <c r="Y469" i="10"/>
  <c r="Y457" i="10"/>
  <c r="Y445" i="10"/>
  <c r="Y433" i="10"/>
  <c r="Y421" i="10"/>
  <c r="Y409" i="10"/>
  <c r="Y397" i="10"/>
  <c r="Y385" i="10"/>
  <c r="Y373" i="10"/>
  <c r="Y361" i="10"/>
  <c r="Y349" i="10"/>
  <c r="Y337" i="10"/>
  <c r="Y325" i="10"/>
  <c r="Y313" i="10"/>
  <c r="Y301" i="10"/>
  <c r="Y289" i="10"/>
  <c r="Y277" i="10"/>
  <c r="Y265" i="10"/>
  <c r="Y253" i="10"/>
  <c r="Y241" i="10"/>
  <c r="Y229" i="10"/>
  <c r="Y217" i="10"/>
  <c r="Y205" i="10"/>
  <c r="Y193" i="10"/>
  <c r="Y181" i="10"/>
  <c r="Y169" i="10"/>
  <c r="Y157" i="10"/>
  <c r="Y1042" i="10"/>
  <c r="Y1030" i="10"/>
  <c r="Y1018" i="10"/>
  <c r="Y1006" i="10"/>
  <c r="Y994" i="10"/>
  <c r="Y982" i="10"/>
  <c r="Y970" i="10"/>
  <c r="Y958" i="10"/>
  <c r="Y946" i="10"/>
  <c r="Y934" i="10"/>
  <c r="Y922" i="10"/>
  <c r="Y910" i="10"/>
  <c r="Y898" i="10"/>
  <c r="Y886" i="10"/>
  <c r="Y874" i="10"/>
  <c r="Y862" i="10"/>
  <c r="Y850" i="10"/>
  <c r="Y838" i="10"/>
  <c r="Y826" i="10"/>
  <c r="Y814" i="10"/>
  <c r="Y802" i="10"/>
  <c r="Y790" i="10"/>
  <c r="Y778" i="10"/>
  <c r="Y766" i="10"/>
  <c r="Y754" i="10"/>
  <c r="Y742" i="10"/>
  <c r="Y730" i="10"/>
  <c r="Y718" i="10"/>
  <c r="Y706" i="10"/>
  <c r="Y694" i="10"/>
  <c r="Y682" i="10"/>
  <c r="Y670" i="10"/>
  <c r="Y658" i="10"/>
  <c r="Y646" i="10"/>
  <c r="Y634" i="10"/>
  <c r="Y622" i="10"/>
  <c r="Y610" i="10"/>
  <c r="Y598" i="10"/>
  <c r="Y586" i="10"/>
  <c r="Y574" i="10"/>
  <c r="Y562" i="10"/>
  <c r="Y550" i="10"/>
  <c r="Y538" i="10"/>
  <c r="Y526" i="10"/>
  <c r="Y514" i="10"/>
  <c r="Y502" i="10"/>
  <c r="Y490" i="10"/>
  <c r="Y478" i="10"/>
  <c r="Y466" i="10"/>
  <c r="Y454" i="10"/>
  <c r="Y442" i="10"/>
  <c r="Y430" i="10"/>
  <c r="Y418" i="10"/>
  <c r="Y406" i="10"/>
  <c r="Y394" i="10"/>
  <c r="Y382" i="10"/>
  <c r="Y370" i="10"/>
  <c r="Y358" i="10"/>
  <c r="Y346" i="10"/>
  <c r="Y334" i="10"/>
  <c r="Y322" i="10"/>
  <c r="Y310" i="10"/>
  <c r="Y298" i="10"/>
  <c r="Y286" i="10"/>
  <c r="Y274" i="10"/>
  <c r="Y262" i="10"/>
  <c r="Y250" i="10"/>
  <c r="Y238" i="10"/>
  <c r="Y226" i="10"/>
  <c r="Y214" i="10"/>
  <c r="Y202" i="10"/>
  <c r="Y190" i="10"/>
  <c r="Y178" i="10"/>
  <c r="Y166" i="10"/>
  <c r="Y154" i="10"/>
  <c r="Y1041" i="10"/>
  <c r="Y1029" i="10"/>
  <c r="Y1017" i="10"/>
  <c r="Y1005" i="10"/>
  <c r="Y993" i="10"/>
  <c r="Y981" i="10"/>
  <c r="Y969" i="10"/>
  <c r="Y957" i="10"/>
  <c r="Y945" i="10"/>
  <c r="Y933" i="10"/>
  <c r="Y921" i="10"/>
  <c r="Y909" i="10"/>
  <c r="Y897" i="10"/>
  <c r="Y885" i="10"/>
  <c r="Y873" i="10"/>
  <c r="Y861" i="10"/>
  <c r="Y849" i="10"/>
  <c r="Y837" i="10"/>
  <c r="Y825" i="10"/>
  <c r="Y813" i="10"/>
  <c r="Y801" i="10"/>
  <c r="Y789" i="10"/>
  <c r="Y777" i="10"/>
  <c r="Y765" i="10"/>
  <c r="Y753" i="10"/>
  <c r="Y741" i="10"/>
  <c r="Y729" i="10"/>
  <c r="Y717" i="10"/>
  <c r="Y705" i="10"/>
  <c r="Y693" i="10"/>
  <c r="Y681" i="10"/>
  <c r="Y669" i="10"/>
  <c r="Y657" i="10"/>
  <c r="Y645" i="10"/>
  <c r="Y633" i="10"/>
  <c r="Y621" i="10"/>
  <c r="Y609" i="10"/>
  <c r="Y597" i="10"/>
  <c r="Y585" i="10"/>
  <c r="Y573" i="10"/>
  <c r="Y561" i="10"/>
  <c r="Y549" i="10"/>
  <c r="Y537" i="10"/>
  <c r="Y525" i="10"/>
  <c r="Y513" i="10"/>
  <c r="Y501" i="10"/>
  <c r="Y489" i="10"/>
  <c r="Y477" i="10"/>
  <c r="Y465" i="10"/>
  <c r="Y453" i="10"/>
  <c r="Y441" i="10"/>
  <c r="Y429" i="10"/>
  <c r="Y417" i="10"/>
  <c r="Y405" i="10"/>
  <c r="Y393" i="10"/>
  <c r="Y381" i="10"/>
  <c r="Y369" i="10"/>
  <c r="Y357" i="10"/>
  <c r="Y345" i="10"/>
  <c r="Y333" i="10"/>
  <c r="Y321" i="10"/>
  <c r="Y309" i="10"/>
  <c r="Y297" i="10"/>
  <c r="Y285" i="10"/>
  <c r="Y273" i="10"/>
  <c r="Y261" i="10"/>
  <c r="Y249" i="10"/>
  <c r="Y237" i="10"/>
  <c r="Y225" i="10"/>
  <c r="Y213" i="10"/>
  <c r="Y201" i="10"/>
  <c r="Y189" i="10"/>
  <c r="Y177" i="10"/>
  <c r="Y165" i="10"/>
  <c r="Y153" i="10"/>
  <c r="Y141" i="10"/>
  <c r="Y1046" i="10"/>
  <c r="Y1028" i="10"/>
  <c r="Y1013" i="10"/>
  <c r="Y998" i="10"/>
  <c r="Y980" i="10"/>
  <c r="Y965" i="10"/>
  <c r="Y950" i="10"/>
  <c r="Y932" i="10"/>
  <c r="Y917" i="10"/>
  <c r="Y902" i="10"/>
  <c r="Y884" i="10"/>
  <c r="Y869" i="10"/>
  <c r="Y854" i="10"/>
  <c r="Y836" i="10"/>
  <c r="Y821" i="10"/>
  <c r="Y806" i="10"/>
  <c r="Y788" i="10"/>
  <c r="Y773" i="10"/>
  <c r="Y758" i="10"/>
  <c r="Y740" i="10"/>
  <c r="Y725" i="10"/>
  <c r="Y710" i="10"/>
  <c r="Y692" i="10"/>
  <c r="Y677" i="10"/>
  <c r="Y662" i="10"/>
  <c r="Y644" i="10"/>
  <c r="Y629" i="10"/>
  <c r="Y614" i="10"/>
  <c r="Y596" i="10"/>
  <c r="Y581" i="10"/>
  <c r="Y566" i="10"/>
  <c r="Y548" i="10"/>
  <c r="Y533" i="10"/>
  <c r="Y518" i="10"/>
  <c r="Y500" i="10"/>
  <c r="Y485" i="10"/>
  <c r="Y470" i="10"/>
  <c r="Y452" i="10"/>
  <c r="Y437" i="10"/>
  <c r="Y422" i="10"/>
  <c r="Y404" i="10"/>
  <c r="Y389" i="10"/>
  <c r="Y374" i="10"/>
  <c r="Y356" i="10"/>
  <c r="Y341" i="10"/>
  <c r="Y326" i="10"/>
  <c r="Y308" i="10"/>
  <c r="Y293" i="10"/>
  <c r="Y278" i="10"/>
  <c r="Y260" i="10"/>
  <c r="Y245" i="10"/>
  <c r="Y230" i="10"/>
  <c r="Y212" i="10"/>
  <c r="Y197" i="10"/>
  <c r="Y182" i="10"/>
  <c r="Y164" i="10"/>
  <c r="Y149" i="10"/>
  <c r="Y136" i="10"/>
  <c r="Y124" i="10"/>
  <c r="Y112" i="10"/>
  <c r="Y100" i="10"/>
  <c r="Y88" i="10"/>
  <c r="Y76" i="10"/>
  <c r="Y64" i="10"/>
  <c r="Y52" i="10"/>
  <c r="Y40" i="10"/>
  <c r="Y28" i="10"/>
  <c r="Y16" i="10"/>
  <c r="Y1043" i="10"/>
  <c r="Y1026" i="10"/>
  <c r="Y1011" i="10"/>
  <c r="Y995" i="10"/>
  <c r="Y978" i="10"/>
  <c r="Y963" i="10"/>
  <c r="Y947" i="10"/>
  <c r="Y930" i="10"/>
  <c r="Y915" i="10"/>
  <c r="Y899" i="10"/>
  <c r="Y882" i="10"/>
  <c r="Y867" i="10"/>
  <c r="Y851" i="10"/>
  <c r="Y834" i="10"/>
  <c r="Y819" i="10"/>
  <c r="Y803" i="10"/>
  <c r="Y786" i="10"/>
  <c r="Y771" i="10"/>
  <c r="Y755" i="10"/>
  <c r="Y738" i="10"/>
  <c r="Y723" i="10"/>
  <c r="Y707" i="10"/>
  <c r="Y690" i="10"/>
  <c r="Y675" i="10"/>
  <c r="Y659" i="10"/>
  <c r="Y642" i="10"/>
  <c r="Y627" i="10"/>
  <c r="Y611" i="10"/>
  <c r="Y594" i="10"/>
  <c r="Y579" i="10"/>
  <c r="Y563" i="10"/>
  <c r="Y546" i="10"/>
  <c r="Y531" i="10"/>
  <c r="Y515" i="10"/>
  <c r="Y498" i="10"/>
  <c r="Y483" i="10"/>
  <c r="Y467" i="10"/>
  <c r="Y450" i="10"/>
  <c r="Y435" i="10"/>
  <c r="Y419" i="10"/>
  <c r="Y402" i="10"/>
  <c r="Y387" i="10"/>
  <c r="Y371" i="10"/>
  <c r="Y354" i="10"/>
  <c r="Y339" i="10"/>
  <c r="Y323" i="10"/>
  <c r="Y306" i="10"/>
  <c r="Y291" i="10"/>
  <c r="Y275" i="10"/>
  <c r="Y258" i="10"/>
  <c r="Y243" i="10"/>
  <c r="Y227" i="10"/>
  <c r="Y210" i="10"/>
  <c r="Y195" i="10"/>
  <c r="Y179" i="10"/>
  <c r="Y162" i="10"/>
  <c r="Y147" i="10"/>
  <c r="Y134" i="10"/>
  <c r="Y122" i="10"/>
  <c r="Y110" i="10"/>
  <c r="Y98" i="10"/>
  <c r="Y86" i="10"/>
  <c r="Y74" i="10"/>
  <c r="Y62" i="10"/>
  <c r="Y50" i="10"/>
  <c r="Y38" i="10"/>
  <c r="Y26" i="10"/>
  <c r="Y14" i="10"/>
  <c r="Y1038" i="10"/>
  <c r="Y1023" i="10"/>
  <c r="Y1007" i="10"/>
  <c r="Y990" i="10"/>
  <c r="Y975" i="10"/>
  <c r="Y959" i="10"/>
  <c r="Y942" i="10"/>
  <c r="Y927" i="10"/>
  <c r="Y911" i="10"/>
  <c r="Y894" i="10"/>
  <c r="Y879" i="10"/>
  <c r="Y863" i="10"/>
  <c r="Y846" i="10"/>
  <c r="Y831" i="10"/>
  <c r="Y815" i="10"/>
  <c r="Y798" i="10"/>
  <c r="Y783" i="10"/>
  <c r="Y767" i="10"/>
  <c r="Y750" i="10"/>
  <c r="Y735" i="10"/>
  <c r="Y719" i="10"/>
  <c r="Y702" i="10"/>
  <c r="Y687" i="10"/>
  <c r="Y671" i="10"/>
  <c r="Y654" i="10"/>
  <c r="Y639" i="10"/>
  <c r="Y623" i="10"/>
  <c r="Y606" i="10"/>
  <c r="Y591" i="10"/>
  <c r="Y575" i="10"/>
  <c r="Y558" i="10"/>
  <c r="Y543" i="10"/>
  <c r="Y527" i="10"/>
  <c r="Y510" i="10"/>
  <c r="Y495" i="10"/>
  <c r="Y479" i="10"/>
  <c r="Y462" i="10"/>
  <c r="Y447" i="10"/>
  <c r="Y431" i="10"/>
  <c r="Y414" i="10"/>
  <c r="Y399" i="10"/>
  <c r="Y383" i="10"/>
  <c r="Y366" i="10"/>
  <c r="Y351" i="10"/>
  <c r="Y335" i="10"/>
  <c r="Y318" i="10"/>
  <c r="Y303" i="10"/>
  <c r="Y287" i="10"/>
  <c r="Y270" i="10"/>
  <c r="Y255" i="10"/>
  <c r="Y239" i="10"/>
  <c r="Y222" i="10"/>
  <c r="Y207" i="10"/>
  <c r="Y191" i="10"/>
  <c r="Y174" i="10"/>
  <c r="Y159" i="10"/>
  <c r="Y144" i="10"/>
  <c r="Y131" i="10"/>
  <c r="Y119" i="10"/>
  <c r="Y107" i="10"/>
  <c r="Y95" i="10"/>
  <c r="Y83" i="10"/>
  <c r="Y71" i="10"/>
  <c r="Y59" i="10"/>
  <c r="Y47" i="10"/>
  <c r="Y35" i="10"/>
  <c r="Y23" i="10"/>
  <c r="Y11" i="10"/>
  <c r="Y1037" i="10"/>
  <c r="Y1022" i="10"/>
  <c r="Y1004" i="10"/>
  <c r="Y989" i="10"/>
  <c r="Y974" i="10"/>
  <c r="Y956" i="10"/>
  <c r="Y941" i="10"/>
  <c r="Y926" i="10"/>
  <c r="Y908" i="10"/>
  <c r="Y893" i="10"/>
  <c r="Y878" i="10"/>
  <c r="Y860" i="10"/>
  <c r="Y845" i="10"/>
  <c r="Y830" i="10"/>
  <c r="Y812" i="10"/>
  <c r="Y797" i="10"/>
  <c r="Y782" i="10"/>
  <c r="Y764" i="10"/>
  <c r="Y749" i="10"/>
  <c r="Y734" i="10"/>
  <c r="Y716" i="10"/>
  <c r="Y701" i="10"/>
  <c r="Y686" i="10"/>
  <c r="Y668" i="10"/>
  <c r="Y653" i="10"/>
  <c r="Y638" i="10"/>
  <c r="Y620" i="10"/>
  <c r="Y605" i="10"/>
  <c r="Y590" i="10"/>
  <c r="Y572" i="10"/>
  <c r="Y557" i="10"/>
  <c r="Y542" i="10"/>
  <c r="Y524" i="10"/>
  <c r="Y509" i="10"/>
  <c r="Y494" i="10"/>
  <c r="Y476" i="10"/>
  <c r="Y461" i="10"/>
  <c r="Y446" i="10"/>
  <c r="Y428" i="10"/>
  <c r="Y413" i="10"/>
  <c r="Y398" i="10"/>
  <c r="Y380" i="10"/>
  <c r="Y365" i="10"/>
  <c r="Y350" i="10"/>
  <c r="Y332" i="10"/>
  <c r="Y317" i="10"/>
  <c r="Y302" i="10"/>
  <c r="Y284" i="10"/>
  <c r="Y269" i="10"/>
  <c r="Y254" i="10"/>
  <c r="Y236" i="10"/>
  <c r="Y221" i="10"/>
  <c r="Y206" i="10"/>
  <c r="Y188" i="10"/>
  <c r="Y173" i="10"/>
  <c r="Y158" i="10"/>
  <c r="Y143" i="10"/>
  <c r="Y130" i="10"/>
  <c r="Y118" i="10"/>
  <c r="Y106" i="10"/>
  <c r="Y94" i="10"/>
  <c r="Y82" i="10"/>
  <c r="Y70" i="10"/>
  <c r="Y58" i="10"/>
  <c r="Y46" i="10"/>
  <c r="Y34" i="10"/>
  <c r="Y22" i="10"/>
  <c r="Y10" i="10"/>
  <c r="Y1050" i="10"/>
  <c r="Y1027" i="10"/>
  <c r="Y1002" i="10"/>
  <c r="Y979" i="10"/>
  <c r="Y954" i="10"/>
  <c r="Y931" i="10"/>
  <c r="Y906" i="10"/>
  <c r="Y883" i="10"/>
  <c r="Y858" i="10"/>
  <c r="Y835" i="10"/>
  <c r="Y810" i="10"/>
  <c r="Y787" i="10"/>
  <c r="Y762" i="10"/>
  <c r="Y739" i="10"/>
  <c r="Y714" i="10"/>
  <c r="Y691" i="10"/>
  <c r="Y666" i="10"/>
  <c r="Y643" i="10"/>
  <c r="Y618" i="10"/>
  <c r="Y595" i="10"/>
  <c r="Y570" i="10"/>
  <c r="Y547" i="10"/>
  <c r="Y522" i="10"/>
  <c r="Y499" i="10"/>
  <c r="Y474" i="10"/>
  <c r="Y451" i="10"/>
  <c r="Y426" i="10"/>
  <c r="Y403" i="10"/>
  <c r="Y378" i="10"/>
  <c r="Y355" i="10"/>
  <c r="Y330" i="10"/>
  <c r="Y307" i="10"/>
  <c r="Y282" i="10"/>
  <c r="Y259" i="10"/>
  <c r="Y234" i="10"/>
  <c r="Y211" i="10"/>
  <c r="Y186" i="10"/>
  <c r="Y163" i="10"/>
  <c r="Y140" i="10"/>
  <c r="Y123" i="10"/>
  <c r="Y104" i="10"/>
  <c r="Y87" i="10"/>
  <c r="Y68" i="10"/>
  <c r="Y51" i="10"/>
  <c r="Y32" i="10"/>
  <c r="Y15" i="10"/>
  <c r="Y1048" i="10"/>
  <c r="Y1024" i="10"/>
  <c r="Y1000" i="10"/>
  <c r="Y976" i="10"/>
  <c r="Y952" i="10"/>
  <c r="Y928" i="10"/>
  <c r="Y904" i="10"/>
  <c r="Y880" i="10"/>
  <c r="Y856" i="10"/>
  <c r="Y832" i="10"/>
  <c r="Y808" i="10"/>
  <c r="Y784" i="10"/>
  <c r="Y760" i="10"/>
  <c r="Y736" i="10"/>
  <c r="Y712" i="10"/>
  <c r="Y688" i="10"/>
  <c r="Y664" i="10"/>
  <c r="Y640" i="10"/>
  <c r="Y616" i="10"/>
  <c r="Y592" i="10"/>
  <c r="Y568" i="10"/>
  <c r="Y544" i="10"/>
  <c r="Y520" i="10"/>
  <c r="Y496" i="10"/>
  <c r="Y472" i="10"/>
  <c r="Y448" i="10"/>
  <c r="Y424" i="10"/>
  <c r="Y400" i="10"/>
  <c r="Y376" i="10"/>
  <c r="Y352" i="10"/>
  <c r="Y328" i="10"/>
  <c r="Y304" i="10"/>
  <c r="Y280" i="10"/>
  <c r="Y256" i="10"/>
  <c r="Y232" i="10"/>
  <c r="Y208" i="10"/>
  <c r="Y184" i="10"/>
  <c r="Y160" i="10"/>
  <c r="Y138" i="10"/>
  <c r="Y120" i="10"/>
  <c r="Y102" i="10"/>
  <c r="Y84" i="10"/>
  <c r="Y66" i="10"/>
  <c r="Y48" i="10"/>
  <c r="Y30" i="10"/>
  <c r="Y12" i="10"/>
  <c r="Y1040" i="10"/>
  <c r="Y1016" i="10"/>
  <c r="Y992" i="10"/>
  <c r="Y968" i="10"/>
  <c r="Y944" i="10"/>
  <c r="Y920" i="10"/>
  <c r="Y896" i="10"/>
  <c r="Y872" i="10"/>
  <c r="Y848" i="10"/>
  <c r="Y824" i="10"/>
  <c r="Y800" i="10"/>
  <c r="Y776" i="10"/>
  <c r="Y752" i="10"/>
  <c r="Y728" i="10"/>
  <c r="Y704" i="10"/>
  <c r="Y680" i="10"/>
  <c r="Y656" i="10"/>
  <c r="Y632" i="10"/>
  <c r="Y608" i="10"/>
  <c r="Y584" i="10"/>
  <c r="Y560" i="10"/>
  <c r="Y536" i="10"/>
  <c r="Y512" i="10"/>
  <c r="Y488" i="10"/>
  <c r="Y464" i="10"/>
  <c r="Y440" i="10"/>
  <c r="Y416" i="10"/>
  <c r="Y392" i="10"/>
  <c r="Y368" i="10"/>
  <c r="Y344" i="10"/>
  <c r="Y320" i="10"/>
  <c r="Y296" i="10"/>
  <c r="Y272" i="10"/>
  <c r="Y248" i="10"/>
  <c r="Y224" i="10"/>
  <c r="Y200" i="10"/>
  <c r="Y176" i="10"/>
  <c r="Y152" i="10"/>
  <c r="Y133" i="10"/>
  <c r="Y115" i="10"/>
  <c r="Y97" i="10"/>
  <c r="Y79" i="10"/>
  <c r="Y61" i="10"/>
  <c r="Y43" i="10"/>
  <c r="Y25" i="10"/>
  <c r="Y7" i="10"/>
  <c r="Y1039" i="10"/>
  <c r="Y1015" i="10"/>
  <c r="Y991" i="10"/>
  <c r="Y967" i="10"/>
  <c r="Y943" i="10"/>
  <c r="Y919" i="10"/>
  <c r="Y895" i="10"/>
  <c r="Y871" i="10"/>
  <c r="Y847" i="10"/>
  <c r="Y823" i="10"/>
  <c r="Y799" i="10"/>
  <c r="Y775" i="10"/>
  <c r="Y751" i="10"/>
  <c r="Y727" i="10"/>
  <c r="Y703" i="10"/>
  <c r="Y679" i="10"/>
  <c r="Y655" i="10"/>
  <c r="Y631" i="10"/>
  <c r="Y607" i="10"/>
  <c r="Y583" i="10"/>
  <c r="Y559" i="10"/>
  <c r="Y535" i="10"/>
  <c r="Y511" i="10"/>
  <c r="Y487" i="10"/>
  <c r="Y463" i="10"/>
  <c r="Y439" i="10"/>
  <c r="Y415" i="10"/>
  <c r="Y391" i="10"/>
  <c r="Y367" i="10"/>
  <c r="Y343" i="10"/>
  <c r="Y319" i="10"/>
  <c r="Y295" i="10"/>
  <c r="Y271" i="10"/>
  <c r="Y247" i="10"/>
  <c r="Y223" i="10"/>
  <c r="Y199" i="10"/>
  <c r="Y175" i="10"/>
  <c r="Y151" i="10"/>
  <c r="Y132" i="10"/>
  <c r="Y114" i="10"/>
  <c r="Y96" i="10"/>
  <c r="Y78" i="10"/>
  <c r="Y60" i="10"/>
  <c r="Y42" i="10"/>
  <c r="Y24" i="10"/>
  <c r="Y1035" i="10"/>
  <c r="Y1001" i="10"/>
  <c r="Y964" i="10"/>
  <c r="Y929" i="10"/>
  <c r="Y891" i="10"/>
  <c r="Y857" i="10"/>
  <c r="Y820" i="10"/>
  <c r="Y785" i="10"/>
  <c r="Y747" i="10"/>
  <c r="Y713" i="10"/>
  <c r="Y676" i="10"/>
  <c r="Y641" i="10"/>
  <c r="Y603" i="10"/>
  <c r="Y569" i="10"/>
  <c r="Y532" i="10"/>
  <c r="Y497" i="10"/>
  <c r="Y459" i="10"/>
  <c r="Y425" i="10"/>
  <c r="Y388" i="10"/>
  <c r="Y353" i="10"/>
  <c r="Y315" i="10"/>
  <c r="Y281" i="10"/>
  <c r="Y244" i="10"/>
  <c r="Y209" i="10"/>
  <c r="Y171" i="10"/>
  <c r="Y139" i="10"/>
  <c r="Y111" i="10"/>
  <c r="Y85" i="10"/>
  <c r="Y56" i="10"/>
  <c r="Y31" i="10"/>
  <c r="Y1034" i="10"/>
  <c r="Y999" i="10"/>
  <c r="Y962" i="10"/>
  <c r="Y924" i="10"/>
  <c r="Y890" i="10"/>
  <c r="Y855" i="10"/>
  <c r="Y818" i="10"/>
  <c r="Y780" i="10"/>
  <c r="Y746" i="10"/>
  <c r="Y711" i="10"/>
  <c r="Y674" i="10"/>
  <c r="Y636" i="10"/>
  <c r="Y602" i="10"/>
  <c r="Y567" i="10"/>
  <c r="Y530" i="10"/>
  <c r="Y492" i="10"/>
  <c r="Y458" i="10"/>
  <c r="Y423" i="10"/>
  <c r="Y386" i="10"/>
  <c r="Y348" i="10"/>
  <c r="Y314" i="10"/>
  <c r="Y279" i="10"/>
  <c r="Y242" i="10"/>
  <c r="Y204" i="10"/>
  <c r="Y170" i="10"/>
  <c r="Y137" i="10"/>
  <c r="Y109" i="10"/>
  <c r="Y81" i="10"/>
  <c r="Y55" i="10"/>
  <c r="Y29" i="10"/>
  <c r="Y1032" i="10"/>
  <c r="Y996" i="10"/>
  <c r="Y960" i="10"/>
  <c r="Y923" i="10"/>
  <c r="Y888" i="10"/>
  <c r="Y852" i="10"/>
  <c r="Y816" i="10"/>
  <c r="Y779" i="10"/>
  <c r="Y744" i="10"/>
  <c r="Y708" i="10"/>
  <c r="Y672" i="10"/>
  <c r="Y635" i="10"/>
  <c r="Y600" i="10"/>
  <c r="Y564" i="10"/>
  <c r="Y528" i="10"/>
  <c r="Y491" i="10"/>
  <c r="Y456" i="10"/>
  <c r="Y420" i="10"/>
  <c r="Y384" i="10"/>
  <c r="Y347" i="10"/>
  <c r="Y312" i="10"/>
  <c r="Y276" i="10"/>
  <c r="Y240" i="10"/>
  <c r="Y203" i="10"/>
  <c r="Y168" i="10"/>
  <c r="Y135" i="10"/>
  <c r="Y108" i="10"/>
  <c r="Y80" i="10"/>
  <c r="Y54" i="10"/>
  <c r="Y27" i="10"/>
  <c r="Y1031" i="10"/>
  <c r="Y988" i="10"/>
  <c r="Y955" i="10"/>
  <c r="Y918" i="10"/>
  <c r="Y887" i="10"/>
  <c r="Y844" i="10"/>
  <c r="Y811" i="10"/>
  <c r="Y774" i="10"/>
  <c r="Y743" i="10"/>
  <c r="Y700" i="10"/>
  <c r="Y667" i="10"/>
  <c r="Y630" i="10"/>
  <c r="Y599" i="10"/>
  <c r="Y556" i="10"/>
  <c r="Y523" i="10"/>
  <c r="Y486" i="10"/>
  <c r="Y455" i="10"/>
  <c r="Y412" i="10"/>
  <c r="Y379" i="10"/>
  <c r="Y342" i="10"/>
  <c r="Y311" i="10"/>
  <c r="Y268" i="10"/>
  <c r="Y235" i="10"/>
  <c r="Y198" i="10"/>
  <c r="Y167" i="10"/>
  <c r="Y129" i="10"/>
  <c r="Y105" i="10"/>
  <c r="Y77" i="10"/>
  <c r="Y53" i="10"/>
  <c r="Y21" i="10"/>
  <c r="Y1025" i="10"/>
  <c r="Y987" i="10"/>
  <c r="Y953" i="10"/>
  <c r="Y916" i="10"/>
  <c r="Y881" i="10"/>
  <c r="Y843" i="10"/>
  <c r="Y809" i="10"/>
  <c r="Y772" i="10"/>
  <c r="Y737" i="10"/>
  <c r="Y699" i="10"/>
  <c r="Y665" i="10"/>
  <c r="Y628" i="10"/>
  <c r="Y593" i="10"/>
  <c r="Y555" i="10"/>
  <c r="Y521" i="10"/>
  <c r="Y484" i="10"/>
  <c r="Y449" i="10"/>
  <c r="Y411" i="10"/>
  <c r="Y377" i="10"/>
  <c r="Y340" i="10"/>
  <c r="Y305" i="10"/>
  <c r="Y267" i="10"/>
  <c r="Y233" i="10"/>
  <c r="Y196" i="10"/>
  <c r="Y161" i="10"/>
  <c r="Y128" i="10"/>
  <c r="Y103" i="10"/>
  <c r="Y75" i="10"/>
  <c r="Y49" i="10"/>
  <c r="Y20" i="10"/>
  <c r="Y1020" i="10"/>
  <c r="Y986" i="10"/>
  <c r="Y951" i="10"/>
  <c r="Y914" i="10"/>
  <c r="Y876" i="10"/>
  <c r="Y842" i="10"/>
  <c r="Y807" i="10"/>
  <c r="Y770" i="10"/>
  <c r="Y732" i="10"/>
  <c r="Y698" i="10"/>
  <c r="Y663" i="10"/>
  <c r="Y626" i="10"/>
  <c r="Y588" i="10"/>
  <c r="Y554" i="10"/>
  <c r="Y519" i="10"/>
  <c r="Y482" i="10"/>
  <c r="Y444" i="10"/>
  <c r="Y410" i="10"/>
  <c r="Y375" i="10"/>
  <c r="Y338" i="10"/>
  <c r="Y300" i="10"/>
  <c r="Y266" i="10"/>
  <c r="Y231" i="10"/>
  <c r="Y194" i="10"/>
  <c r="Y156" i="10"/>
  <c r="Y127" i="10"/>
  <c r="Y101" i="10"/>
  <c r="Y73" i="10"/>
  <c r="Y45" i="10"/>
  <c r="Y19" i="10"/>
  <c r="Y1014" i="10"/>
  <c r="Y983" i="10"/>
  <c r="Y940" i="10"/>
  <c r="Y907" i="10"/>
  <c r="Y870" i="10"/>
  <c r="Y839" i="10"/>
  <c r="Y796" i="10"/>
  <c r="Y763" i="10"/>
  <c r="Y726" i="10"/>
  <c r="Y695" i="10"/>
  <c r="Y652" i="10"/>
  <c r="Y619" i="10"/>
  <c r="Y582" i="10"/>
  <c r="Y551" i="10"/>
  <c r="Y508" i="10"/>
  <c r="Y475" i="10"/>
  <c r="Y438" i="10"/>
  <c r="Y407" i="10"/>
  <c r="Y364" i="10"/>
  <c r="Y331" i="10"/>
  <c r="Y294" i="10"/>
  <c r="Y263" i="10"/>
  <c r="Y220" i="10"/>
  <c r="Y187" i="10"/>
  <c r="Y150" i="10"/>
  <c r="Y125" i="10"/>
  <c r="Y93" i="10"/>
  <c r="Y69" i="10"/>
  <c r="Y41" i="10"/>
  <c r="Y17" i="10"/>
  <c r="Y1049" i="10"/>
  <c r="Y1012" i="10"/>
  <c r="Y977" i="10"/>
  <c r="Y939" i="10"/>
  <c r="Y905" i="10"/>
  <c r="Y868" i="10"/>
  <c r="Y833" i="10"/>
  <c r="Y795" i="10"/>
  <c r="Y761" i="10"/>
  <c r="Y724" i="10"/>
  <c r="Y689" i="10"/>
  <c r="Y651" i="10"/>
  <c r="Y617" i="10"/>
  <c r="Y580" i="10"/>
  <c r="Y545" i="10"/>
  <c r="Y507" i="10"/>
  <c r="Y473" i="10"/>
  <c r="Y436" i="10"/>
  <c r="Y401" i="10"/>
  <c r="Y363" i="10"/>
  <c r="Y329" i="10"/>
  <c r="Y292" i="10"/>
  <c r="Y257" i="10"/>
  <c r="Y219" i="10"/>
  <c r="Y185" i="10"/>
  <c r="Y148" i="10"/>
  <c r="Y121" i="10"/>
  <c r="Y92" i="10"/>
  <c r="Y67" i="10"/>
  <c r="Y39" i="10"/>
  <c r="Y13" i="10"/>
  <c r="Y1019" i="10"/>
  <c r="Y984" i="10"/>
  <c r="Y948" i="10"/>
  <c r="Y912" i="10"/>
  <c r="Y875" i="10"/>
  <c r="Y840" i="10"/>
  <c r="Y804" i="10"/>
  <c r="Y768" i="10"/>
  <c r="Y731" i="10"/>
  <c r="Y696" i="10"/>
  <c r="Y660" i="10"/>
  <c r="Y624" i="10"/>
  <c r="Y587" i="10"/>
  <c r="Y552" i="10"/>
  <c r="Y516" i="10"/>
  <c r="Y480" i="10"/>
  <c r="Y443" i="10"/>
  <c r="Y408" i="10"/>
  <c r="Y372" i="10"/>
  <c r="Y336" i="10"/>
  <c r="Y299" i="10"/>
  <c r="Y264" i="10"/>
  <c r="Y228" i="10"/>
  <c r="Y192" i="10"/>
  <c r="Y155" i="10"/>
  <c r="Y126" i="10"/>
  <c r="Y99" i="10"/>
  <c r="Y72" i="10"/>
  <c r="Y44" i="10"/>
  <c r="Y18" i="10"/>
  <c r="Y1036" i="10"/>
  <c r="Y892" i="10"/>
  <c r="Y748" i="10"/>
  <c r="Y604" i="10"/>
  <c r="Y460" i="10"/>
  <c r="Y316" i="10"/>
  <c r="Y172" i="10"/>
  <c r="Y57" i="10"/>
  <c r="Y1010" i="10"/>
  <c r="Y866" i="10"/>
  <c r="Y722" i="10"/>
  <c r="Y578" i="10"/>
  <c r="Y434" i="10"/>
  <c r="Y290" i="10"/>
  <c r="Y146" i="10"/>
  <c r="Y37" i="10"/>
  <c r="Y1008" i="10"/>
  <c r="Y864" i="10"/>
  <c r="Y720" i="10"/>
  <c r="Y576" i="10"/>
  <c r="Y432" i="10"/>
  <c r="Y288" i="10"/>
  <c r="Y145" i="10"/>
  <c r="Y36" i="10"/>
  <c r="Y966" i="10"/>
  <c r="Y678" i="10"/>
  <c r="Y390" i="10"/>
  <c r="Y113" i="10"/>
  <c r="Y362" i="10"/>
  <c r="Y504" i="10"/>
  <c r="Y90" i="10"/>
  <c r="Y503" i="10"/>
  <c r="Y89" i="10"/>
  <c r="Y1047" i="10"/>
  <c r="Y759" i="10"/>
  <c r="Y471" i="10"/>
  <c r="Y65" i="10"/>
  <c r="Y1003" i="10"/>
  <c r="Y859" i="10"/>
  <c r="Y715" i="10"/>
  <c r="Y571" i="10"/>
  <c r="Y427" i="10"/>
  <c r="Y283" i="10"/>
  <c r="Y142" i="10"/>
  <c r="Y33" i="10"/>
  <c r="Y972" i="10"/>
  <c r="Y828" i="10"/>
  <c r="Y684" i="10"/>
  <c r="Y540" i="10"/>
  <c r="Y396" i="10"/>
  <c r="Y252" i="10"/>
  <c r="Y117" i="10"/>
  <c r="Y9" i="10"/>
  <c r="Y971" i="10"/>
  <c r="Y827" i="10"/>
  <c r="Y683" i="10"/>
  <c r="Y539" i="10"/>
  <c r="Y395" i="10"/>
  <c r="Y251" i="10"/>
  <c r="Y116" i="10"/>
  <c r="Y8" i="10"/>
  <c r="Y822" i="10"/>
  <c r="Y534" i="10"/>
  <c r="Y246" i="10"/>
  <c r="Y938" i="10"/>
  <c r="Y794" i="10"/>
  <c r="Y650" i="10"/>
  <c r="Y506" i="10"/>
  <c r="Y218" i="10"/>
  <c r="Y91" i="10"/>
  <c r="Y936" i="10"/>
  <c r="Y792" i="10"/>
  <c r="Y648" i="10"/>
  <c r="Y360" i="10"/>
  <c r="Y216" i="10"/>
  <c r="Y935" i="10"/>
  <c r="Y791" i="10"/>
  <c r="Y647" i="10"/>
  <c r="Y359" i="10"/>
  <c r="Y215" i="10"/>
  <c r="Y903" i="10"/>
  <c r="Y615" i="10"/>
  <c r="Y327" i="10"/>
  <c r="Y183" i="10"/>
  <c r="Y612" i="10"/>
  <c r="Y324" i="10"/>
  <c r="Y900" i="10"/>
  <c r="Y756" i="10"/>
  <c r="Y468" i="10"/>
  <c r="Y63" i="10"/>
  <c r="Y1044" i="10"/>
  <c r="Y180" i="10"/>
  <c r="AL124" i="10"/>
  <c r="AL112" i="10"/>
  <c r="AL100" i="10"/>
  <c r="AL88" i="10"/>
  <c r="AL76" i="10"/>
  <c r="AL64" i="10"/>
  <c r="AL52" i="10"/>
  <c r="AL40" i="10"/>
  <c r="AL28" i="10"/>
  <c r="AL16" i="10"/>
  <c r="AL122" i="10"/>
  <c r="AL110" i="10"/>
  <c r="AL98" i="10"/>
  <c r="AL86" i="10"/>
  <c r="AL74" i="10"/>
  <c r="AL62" i="10"/>
  <c r="AL50" i="10"/>
  <c r="AL38" i="10"/>
  <c r="AL26" i="10"/>
  <c r="AL14" i="10"/>
  <c r="AL121" i="10"/>
  <c r="AL109" i="10"/>
  <c r="AL97" i="10"/>
  <c r="AL85" i="10"/>
  <c r="AL73" i="10"/>
  <c r="AL61" i="10"/>
  <c r="AL49" i="10"/>
  <c r="AL37" i="10"/>
  <c r="AL25" i="10"/>
  <c r="AL13" i="10"/>
  <c r="AL119" i="10"/>
  <c r="AL107" i="10"/>
  <c r="AL95" i="10"/>
  <c r="AL83" i="10"/>
  <c r="AL71" i="10"/>
  <c r="AL59" i="10"/>
  <c r="AL47" i="10"/>
  <c r="AL35" i="10"/>
  <c r="AL23" i="10"/>
  <c r="AL11" i="10"/>
  <c r="AL111" i="10"/>
  <c r="AL92" i="10"/>
  <c r="AL75" i="10"/>
  <c r="AL56" i="10"/>
  <c r="AL39" i="10"/>
  <c r="AL20" i="10"/>
  <c r="AL126" i="10"/>
  <c r="AL106" i="10"/>
  <c r="AL90" i="10"/>
  <c r="AL70" i="10"/>
  <c r="AL54" i="10"/>
  <c r="AL34" i="10"/>
  <c r="AL18" i="10"/>
  <c r="AL120" i="10"/>
  <c r="AL103" i="10"/>
  <c r="AL84" i="10"/>
  <c r="AL67" i="10"/>
  <c r="AL48" i="10"/>
  <c r="AL31" i="10"/>
  <c r="AL12" i="10"/>
  <c r="AL118" i="10"/>
  <c r="AL102" i="10"/>
  <c r="AL82" i="10"/>
  <c r="AL66" i="10"/>
  <c r="AL46" i="10"/>
  <c r="AL30" i="10"/>
  <c r="AL10" i="10"/>
  <c r="AL108" i="10"/>
  <c r="AL80" i="10"/>
  <c r="AL55" i="10"/>
  <c r="AL27" i="10"/>
  <c r="AL104" i="10"/>
  <c r="AL78" i="10"/>
  <c r="AL51" i="10"/>
  <c r="AL22" i="10"/>
  <c r="AL125" i="10"/>
  <c r="AL96" i="10"/>
  <c r="AL69" i="10"/>
  <c r="AL43" i="10"/>
  <c r="AL17" i="10"/>
  <c r="AL123" i="10"/>
  <c r="AL94" i="10"/>
  <c r="AL68" i="10"/>
  <c r="AL42" i="10"/>
  <c r="AL15" i="10"/>
  <c r="AL105" i="10"/>
  <c r="AL63" i="10"/>
  <c r="AL24" i="10"/>
  <c r="AL99" i="10"/>
  <c r="AL58" i="10"/>
  <c r="AL19" i="10"/>
  <c r="AL89" i="10"/>
  <c r="AL45" i="10"/>
  <c r="AL7" i="10"/>
  <c r="AL87" i="10"/>
  <c r="AL44" i="10"/>
  <c r="AL101" i="10"/>
  <c r="AL36" i="10"/>
  <c r="AL93" i="10"/>
  <c r="AL33" i="10"/>
  <c r="AL91" i="10"/>
  <c r="AL32" i="10"/>
  <c r="AL81" i="10"/>
  <c r="AL29" i="10"/>
  <c r="AL79" i="10"/>
  <c r="AL21" i="10"/>
  <c r="AL77" i="10"/>
  <c r="AL9" i="10"/>
  <c r="AL117" i="10"/>
  <c r="AL65" i="10"/>
  <c r="AL116" i="10"/>
  <c r="AL60" i="10"/>
  <c r="AL72" i="10"/>
  <c r="AL8" i="10"/>
  <c r="AL41" i="10"/>
  <c r="AL114" i="10"/>
  <c r="AL113" i="10"/>
  <c r="AL57" i="10"/>
  <c r="AL115" i="10"/>
  <c r="AL53" i="10"/>
  <c r="AM123" i="10"/>
  <c r="AM111" i="10"/>
  <c r="AM99" i="10"/>
  <c r="AM87" i="10"/>
  <c r="AM75" i="10"/>
  <c r="AM63" i="10"/>
  <c r="AM51" i="10"/>
  <c r="AM39" i="10"/>
  <c r="AM27" i="10"/>
  <c r="AM15" i="10"/>
  <c r="AM121" i="10"/>
  <c r="AM109" i="10"/>
  <c r="AM97" i="10"/>
  <c r="AM85" i="10"/>
  <c r="AM73" i="10"/>
  <c r="AM61" i="10"/>
  <c r="AM49" i="10"/>
  <c r="AM37" i="10"/>
  <c r="AM25" i="10"/>
  <c r="AM13" i="10"/>
  <c r="AM120" i="10"/>
  <c r="AM108" i="10"/>
  <c r="AM96" i="10"/>
  <c r="AM84" i="10"/>
  <c r="AM72" i="10"/>
  <c r="AM60" i="10"/>
  <c r="AM48" i="10"/>
  <c r="AM36" i="10"/>
  <c r="AM24" i="10"/>
  <c r="AM12" i="10"/>
  <c r="AM118" i="10"/>
  <c r="AM106" i="10"/>
  <c r="AM94" i="10"/>
  <c r="AM82" i="10"/>
  <c r="AM70" i="10"/>
  <c r="AM58" i="10"/>
  <c r="AM46" i="10"/>
  <c r="AM34" i="10"/>
  <c r="AM22" i="10"/>
  <c r="AM10" i="10"/>
  <c r="AM115" i="10"/>
  <c r="AM98" i="10"/>
  <c r="AM79" i="10"/>
  <c r="AM62" i="10"/>
  <c r="AM43" i="10"/>
  <c r="AM26" i="10"/>
  <c r="AM7" i="10"/>
  <c r="AM113" i="10"/>
  <c r="AM93" i="10"/>
  <c r="AM77" i="10"/>
  <c r="AM57" i="10"/>
  <c r="AM41" i="10"/>
  <c r="AM21" i="10"/>
  <c r="AM126" i="10"/>
  <c r="AM107" i="10"/>
  <c r="AM90" i="10"/>
  <c r="AM71" i="10"/>
  <c r="AM54" i="10"/>
  <c r="AM35" i="10"/>
  <c r="AM18" i="10"/>
  <c r="AM125" i="10"/>
  <c r="AM105" i="10"/>
  <c r="AM89" i="10"/>
  <c r="AM69" i="10"/>
  <c r="AM53" i="10"/>
  <c r="AM33" i="10"/>
  <c r="AM17" i="10"/>
  <c r="AM122" i="10"/>
  <c r="AM95" i="10"/>
  <c r="AM67" i="10"/>
  <c r="AM42" i="10"/>
  <c r="AM14" i="10"/>
  <c r="AM117" i="10"/>
  <c r="AM91" i="10"/>
  <c r="AM65" i="10"/>
  <c r="AM38" i="10"/>
  <c r="AM9" i="10"/>
  <c r="AM112" i="10"/>
  <c r="AM83" i="10"/>
  <c r="AM56" i="10"/>
  <c r="AM30" i="10"/>
  <c r="AM110" i="10"/>
  <c r="AM81" i="10"/>
  <c r="AM55" i="10"/>
  <c r="AM29" i="10"/>
  <c r="AM103" i="10"/>
  <c r="AM66" i="10"/>
  <c r="AM23" i="10"/>
  <c r="AM101" i="10"/>
  <c r="AM59" i="10"/>
  <c r="AM19" i="10"/>
  <c r="AM88" i="10"/>
  <c r="AM47" i="10"/>
  <c r="AM8" i="10"/>
  <c r="AM86" i="10"/>
  <c r="AM45" i="10"/>
  <c r="AM102" i="10"/>
  <c r="AM40" i="10"/>
  <c r="AM100" i="10"/>
  <c r="AM32" i="10"/>
  <c r="AM92" i="10"/>
  <c r="AM31" i="10"/>
  <c r="AM80" i="10"/>
  <c r="AM28" i="10"/>
  <c r="AM78" i="10"/>
  <c r="AM20" i="10"/>
  <c r="AM76" i="10"/>
  <c r="AM16" i="10"/>
  <c r="AM124" i="10"/>
  <c r="AM68" i="10"/>
  <c r="AM119" i="10"/>
  <c r="AM64" i="10"/>
  <c r="AM74" i="10"/>
  <c r="AM11" i="10"/>
  <c r="AM116" i="10"/>
  <c r="AM114" i="10"/>
  <c r="AM104" i="10"/>
  <c r="AM52" i="10"/>
  <c r="AM50" i="10"/>
  <c r="AM44" i="10"/>
  <c r="U520" i="10"/>
  <c r="U508" i="10"/>
  <c r="U496" i="10"/>
  <c r="U484" i="10"/>
  <c r="U472" i="10"/>
  <c r="U460" i="10"/>
  <c r="U448" i="10"/>
  <c r="U436" i="10"/>
  <c r="U424" i="10"/>
  <c r="U412" i="10"/>
  <c r="U400" i="10"/>
  <c r="U388" i="10"/>
  <c r="U376" i="10"/>
  <c r="U364" i="10"/>
  <c r="U352" i="10"/>
  <c r="U340" i="10"/>
  <c r="U328" i="10"/>
  <c r="U316" i="10"/>
  <c r="U304" i="10"/>
  <c r="U292" i="10"/>
  <c r="U280" i="10"/>
  <c r="U268" i="10"/>
  <c r="U256" i="10"/>
  <c r="U244" i="10"/>
  <c r="U232" i="10"/>
  <c r="U220" i="10"/>
  <c r="U208" i="10"/>
  <c r="U196" i="10"/>
  <c r="U184" i="10"/>
  <c r="U172" i="10"/>
  <c r="U160" i="10"/>
  <c r="U148" i="10"/>
  <c r="U136" i="10"/>
  <c r="U124" i="10"/>
  <c r="U112" i="10"/>
  <c r="U100" i="10"/>
  <c r="U88" i="10"/>
  <c r="U76" i="10"/>
  <c r="U64" i="10"/>
  <c r="U52" i="10"/>
  <c r="U40" i="10"/>
  <c r="U28" i="10"/>
  <c r="U16" i="10"/>
  <c r="U4" i="10"/>
  <c r="U518" i="10"/>
  <c r="U506" i="10"/>
  <c r="U494" i="10"/>
  <c r="U482" i="10"/>
  <c r="U470" i="10"/>
  <c r="U458" i="10"/>
  <c r="U446" i="10"/>
  <c r="U434" i="10"/>
  <c r="U422" i="10"/>
  <c r="U410" i="10"/>
  <c r="U398" i="10"/>
  <c r="U386" i="10"/>
  <c r="U374" i="10"/>
  <c r="U362" i="10"/>
  <c r="U350" i="10"/>
  <c r="U338" i="10"/>
  <c r="U326" i="10"/>
  <c r="U314" i="10"/>
  <c r="U302" i="10"/>
  <c r="U290" i="10"/>
  <c r="U278" i="10"/>
  <c r="U266" i="10"/>
  <c r="U254" i="10"/>
  <c r="U242" i="10"/>
  <c r="U230" i="10"/>
  <c r="U218" i="10"/>
  <c r="U206" i="10"/>
  <c r="U194" i="10"/>
  <c r="U182" i="10"/>
  <c r="U170" i="10"/>
  <c r="U158" i="10"/>
  <c r="U146" i="10"/>
  <c r="U134" i="10"/>
  <c r="U122" i="10"/>
  <c r="U110" i="10"/>
  <c r="U98" i="10"/>
  <c r="U86" i="10"/>
  <c r="U74" i="10"/>
  <c r="U62" i="10"/>
  <c r="U50" i="10"/>
  <c r="U38" i="10"/>
  <c r="U26" i="10"/>
  <c r="U14" i="10"/>
  <c r="U2" i="10"/>
  <c r="U515" i="10"/>
  <c r="U503" i="10"/>
  <c r="U491" i="10"/>
  <c r="U479" i="10"/>
  <c r="U467" i="10"/>
  <c r="U455" i="10"/>
  <c r="U443" i="10"/>
  <c r="U431" i="10"/>
  <c r="U419" i="10"/>
  <c r="U407" i="10"/>
  <c r="U395" i="10"/>
  <c r="U383" i="10"/>
  <c r="U371" i="10"/>
  <c r="U359" i="10"/>
  <c r="U347" i="10"/>
  <c r="U335" i="10"/>
  <c r="U323" i="10"/>
  <c r="U311" i="10"/>
  <c r="U299" i="10"/>
  <c r="U287" i="10"/>
  <c r="U275" i="10"/>
  <c r="U263" i="10"/>
  <c r="U251" i="10"/>
  <c r="U239" i="10"/>
  <c r="U227" i="10"/>
  <c r="U215" i="10"/>
  <c r="U203" i="10"/>
  <c r="U191" i="10"/>
  <c r="U179" i="10"/>
  <c r="U167" i="10"/>
  <c r="U155" i="10"/>
  <c r="U143" i="10"/>
  <c r="U131" i="10"/>
  <c r="U119" i="10"/>
  <c r="U107" i="10"/>
  <c r="U95" i="10"/>
  <c r="U83" i="10"/>
  <c r="U71" i="10"/>
  <c r="U59" i="10"/>
  <c r="U47" i="10"/>
  <c r="U35" i="10"/>
  <c r="U23" i="10"/>
  <c r="U11" i="10"/>
  <c r="U514" i="10"/>
  <c r="U502" i="10"/>
  <c r="U490" i="10"/>
  <c r="U478" i="10"/>
  <c r="U466" i="10"/>
  <c r="U454" i="10"/>
  <c r="U442" i="10"/>
  <c r="U430" i="10"/>
  <c r="U418" i="10"/>
  <c r="U406" i="10"/>
  <c r="U394" i="10"/>
  <c r="U382" i="10"/>
  <c r="U370" i="10"/>
  <c r="U358" i="10"/>
  <c r="U346" i="10"/>
  <c r="U334" i="10"/>
  <c r="U322" i="10"/>
  <c r="U310" i="10"/>
  <c r="U298" i="10"/>
  <c r="U286" i="10"/>
  <c r="U274" i="10"/>
  <c r="U262" i="10"/>
  <c r="U250" i="10"/>
  <c r="U238" i="10"/>
  <c r="U226" i="10"/>
  <c r="U214" i="10"/>
  <c r="U202" i="10"/>
  <c r="U190" i="10"/>
  <c r="U178" i="10"/>
  <c r="U166" i="10"/>
  <c r="U154" i="10"/>
  <c r="U142" i="10"/>
  <c r="U130" i="10"/>
  <c r="U118" i="10"/>
  <c r="U106" i="10"/>
  <c r="U94" i="10"/>
  <c r="U82" i="10"/>
  <c r="U70" i="10"/>
  <c r="U58" i="10"/>
  <c r="U46" i="10"/>
  <c r="U34" i="10"/>
  <c r="U22" i="10"/>
  <c r="U10" i="10"/>
  <c r="U512" i="10"/>
  <c r="U495" i="10"/>
  <c r="U476" i="10"/>
  <c r="U459" i="10"/>
  <c r="U440" i="10"/>
  <c r="U423" i="10"/>
  <c r="U404" i="10"/>
  <c r="U387" i="10"/>
  <c r="U368" i="10"/>
  <c r="U351" i="10"/>
  <c r="U332" i="10"/>
  <c r="U315" i="10"/>
  <c r="U296" i="10"/>
  <c r="U279" i="10"/>
  <c r="U260" i="10"/>
  <c r="U243" i="10"/>
  <c r="U224" i="10"/>
  <c r="U207" i="10"/>
  <c r="U188" i="10"/>
  <c r="U171" i="10"/>
  <c r="U152" i="10"/>
  <c r="U135" i="10"/>
  <c r="U116" i="10"/>
  <c r="U99" i="10"/>
  <c r="U80" i="10"/>
  <c r="U63" i="10"/>
  <c r="U44" i="10"/>
  <c r="U27" i="10"/>
  <c r="U8" i="10"/>
  <c r="U510" i="10"/>
  <c r="U492" i="10"/>
  <c r="U474" i="10"/>
  <c r="U456" i="10"/>
  <c r="U438" i="10"/>
  <c r="U420" i="10"/>
  <c r="U402" i="10"/>
  <c r="U384" i="10"/>
  <c r="U366" i="10"/>
  <c r="U348" i="10"/>
  <c r="U330" i="10"/>
  <c r="U312" i="10"/>
  <c r="U294" i="10"/>
  <c r="U276" i="10"/>
  <c r="U258" i="10"/>
  <c r="U240" i="10"/>
  <c r="U222" i="10"/>
  <c r="U204" i="10"/>
  <c r="U186" i="10"/>
  <c r="U168" i="10"/>
  <c r="U150" i="10"/>
  <c r="U132" i="10"/>
  <c r="U114" i="10"/>
  <c r="U96" i="10"/>
  <c r="U78" i="10"/>
  <c r="U60" i="10"/>
  <c r="U42" i="10"/>
  <c r="U24" i="10"/>
  <c r="U6" i="10"/>
  <c r="U523" i="10"/>
  <c r="U505" i="10"/>
  <c r="U487" i="10"/>
  <c r="U469" i="10"/>
  <c r="U451" i="10"/>
  <c r="U433" i="10"/>
  <c r="U415" i="10"/>
  <c r="U397" i="10"/>
  <c r="U379" i="10"/>
  <c r="U361" i="10"/>
  <c r="U343" i="10"/>
  <c r="U325" i="10"/>
  <c r="U307" i="10"/>
  <c r="U289" i="10"/>
  <c r="U271" i="10"/>
  <c r="U253" i="10"/>
  <c r="U235" i="10"/>
  <c r="U217" i="10"/>
  <c r="U199" i="10"/>
  <c r="U181" i="10"/>
  <c r="U163" i="10"/>
  <c r="U145" i="10"/>
  <c r="U127" i="10"/>
  <c r="U109" i="10"/>
  <c r="U91" i="10"/>
  <c r="U73" i="10"/>
  <c r="U55" i="10"/>
  <c r="U37" i="10"/>
  <c r="U19" i="10"/>
  <c r="U522" i="10"/>
  <c r="U504" i="10"/>
  <c r="U486" i="10"/>
  <c r="U468" i="10"/>
  <c r="U450" i="10"/>
  <c r="U432" i="10"/>
  <c r="U414" i="10"/>
  <c r="U396" i="10"/>
  <c r="U378" i="10"/>
  <c r="U360" i="10"/>
  <c r="U342" i="10"/>
  <c r="U324" i="10"/>
  <c r="U306" i="10"/>
  <c r="U288" i="10"/>
  <c r="U270" i="10"/>
  <c r="U252" i="10"/>
  <c r="U234" i="10"/>
  <c r="U216" i="10"/>
  <c r="U198" i="10"/>
  <c r="U180" i="10"/>
  <c r="U162" i="10"/>
  <c r="U144" i="10"/>
  <c r="U126" i="10"/>
  <c r="U108" i="10"/>
  <c r="U90" i="10"/>
  <c r="U72" i="10"/>
  <c r="U54" i="10"/>
  <c r="U36" i="10"/>
  <c r="U18" i="10"/>
  <c r="U500" i="10"/>
  <c r="U475" i="10"/>
  <c r="U447" i="10"/>
  <c r="U421" i="10"/>
  <c r="U392" i="10"/>
  <c r="U367" i="10"/>
  <c r="U339" i="10"/>
  <c r="U313" i="10"/>
  <c r="U284" i="10"/>
  <c r="U259" i="10"/>
  <c r="U231" i="10"/>
  <c r="U205" i="10"/>
  <c r="U176" i="10"/>
  <c r="U151" i="10"/>
  <c r="U123" i="10"/>
  <c r="U97" i="10"/>
  <c r="U68" i="10"/>
  <c r="U43" i="10"/>
  <c r="U15" i="10"/>
  <c r="U499" i="10"/>
  <c r="U473" i="10"/>
  <c r="U445" i="10"/>
  <c r="U417" i="10"/>
  <c r="U391" i="10"/>
  <c r="U365" i="10"/>
  <c r="U337" i="10"/>
  <c r="U309" i="10"/>
  <c r="U283" i="10"/>
  <c r="U257" i="10"/>
  <c r="U229" i="10"/>
  <c r="U201" i="10"/>
  <c r="U175" i="10"/>
  <c r="U149" i="10"/>
  <c r="U121" i="10"/>
  <c r="U93" i="10"/>
  <c r="U67" i="10"/>
  <c r="U41" i="10"/>
  <c r="U13" i="10"/>
  <c r="U498" i="10"/>
  <c r="U471" i="10"/>
  <c r="U444" i="10"/>
  <c r="U416" i="10"/>
  <c r="U390" i="10"/>
  <c r="U363" i="10"/>
  <c r="U336" i="10"/>
  <c r="U308" i="10"/>
  <c r="U282" i="10"/>
  <c r="U255" i="10"/>
  <c r="U228" i="10"/>
  <c r="U200" i="10"/>
  <c r="U174" i="10"/>
  <c r="U147" i="10"/>
  <c r="U120" i="10"/>
  <c r="U92" i="10"/>
  <c r="U66" i="10"/>
  <c r="U39" i="10"/>
  <c r="U12" i="10"/>
  <c r="U521" i="10"/>
  <c r="U497" i="10"/>
  <c r="U465" i="10"/>
  <c r="U441" i="10"/>
  <c r="U413" i="10"/>
  <c r="U389" i="10"/>
  <c r="U357" i="10"/>
  <c r="U333" i="10"/>
  <c r="U305" i="10"/>
  <c r="U281" i="10"/>
  <c r="U249" i="10"/>
  <c r="U225" i="10"/>
  <c r="U197" i="10"/>
  <c r="U173" i="10"/>
  <c r="U141" i="10"/>
  <c r="U117" i="10"/>
  <c r="U89" i="10"/>
  <c r="U65" i="10"/>
  <c r="U33" i="10"/>
  <c r="U9" i="10"/>
  <c r="U519" i="10"/>
  <c r="U493" i="10"/>
  <c r="U464" i="10"/>
  <c r="U439" i="10"/>
  <c r="U411" i="10"/>
  <c r="U385" i="10"/>
  <c r="U356" i="10"/>
  <c r="U331" i="10"/>
  <c r="U303" i="10"/>
  <c r="U277" i="10"/>
  <c r="U248" i="10"/>
  <c r="U223" i="10"/>
  <c r="U195" i="10"/>
  <c r="U169" i="10"/>
  <c r="U140" i="10"/>
  <c r="U115" i="10"/>
  <c r="U87" i="10"/>
  <c r="U61" i="10"/>
  <c r="U32" i="10"/>
  <c r="U7" i="10"/>
  <c r="U517" i="10"/>
  <c r="U489" i="10"/>
  <c r="U463" i="10"/>
  <c r="U437" i="10"/>
  <c r="U409" i="10"/>
  <c r="U381" i="10"/>
  <c r="U355" i="10"/>
  <c r="U329" i="10"/>
  <c r="U301" i="10"/>
  <c r="U273" i="10"/>
  <c r="U247" i="10"/>
  <c r="U221" i="10"/>
  <c r="U193" i="10"/>
  <c r="U165" i="10"/>
  <c r="U139" i="10"/>
  <c r="U113" i="10"/>
  <c r="U85" i="10"/>
  <c r="U57" i="10"/>
  <c r="U31" i="10"/>
  <c r="U5" i="10"/>
  <c r="U513" i="10"/>
  <c r="U485" i="10"/>
  <c r="U461" i="10"/>
  <c r="U429" i="10"/>
  <c r="U405" i="10"/>
  <c r="U377" i="10"/>
  <c r="U353" i="10"/>
  <c r="U321" i="10"/>
  <c r="U297" i="10"/>
  <c r="U269" i="10"/>
  <c r="U245" i="10"/>
  <c r="U213" i="10"/>
  <c r="U189" i="10"/>
  <c r="U161" i="10"/>
  <c r="U137" i="10"/>
  <c r="U105" i="10"/>
  <c r="U81" i="10"/>
  <c r="U53" i="10"/>
  <c r="U29" i="10"/>
  <c r="U511" i="10"/>
  <c r="U483" i="10"/>
  <c r="U457" i="10"/>
  <c r="U428" i="10"/>
  <c r="U403" i="10"/>
  <c r="U375" i="10"/>
  <c r="U349" i="10"/>
  <c r="U320" i="10"/>
  <c r="U295" i="10"/>
  <c r="U267" i="10"/>
  <c r="U241" i="10"/>
  <c r="U212" i="10"/>
  <c r="U187" i="10"/>
  <c r="U159" i="10"/>
  <c r="U133" i="10"/>
  <c r="U104" i="10"/>
  <c r="U79" i="10"/>
  <c r="U51" i="10"/>
  <c r="U516" i="10"/>
  <c r="U488" i="10"/>
  <c r="U462" i="10"/>
  <c r="U435" i="10"/>
  <c r="U408" i="10"/>
  <c r="U380" i="10"/>
  <c r="U354" i="10"/>
  <c r="U327" i="10"/>
  <c r="U300" i="10"/>
  <c r="U272" i="10"/>
  <c r="U246" i="10"/>
  <c r="U219" i="10"/>
  <c r="U192" i="10"/>
  <c r="U164" i="10"/>
  <c r="U138" i="10"/>
  <c r="U111" i="10"/>
  <c r="U84" i="10"/>
  <c r="U56" i="10"/>
  <c r="U30" i="10"/>
  <c r="U3" i="10"/>
  <c r="U501" i="10"/>
  <c r="U393" i="10"/>
  <c r="U285" i="10"/>
  <c r="U177" i="10"/>
  <c r="U69" i="10"/>
  <c r="U481" i="10"/>
  <c r="U373" i="10"/>
  <c r="U265" i="10"/>
  <c r="U157" i="10"/>
  <c r="U49" i="10"/>
  <c r="U480" i="10"/>
  <c r="U372" i="10"/>
  <c r="U264" i="10"/>
  <c r="U156" i="10"/>
  <c r="U48" i="10"/>
  <c r="U449" i="10"/>
  <c r="U233" i="10"/>
  <c r="U20" i="10"/>
  <c r="U427" i="10"/>
  <c r="U211" i="10"/>
  <c r="U17" i="10"/>
  <c r="U426" i="10"/>
  <c r="U210" i="10"/>
  <c r="U425" i="10"/>
  <c r="U101" i="10"/>
  <c r="U401" i="10"/>
  <c r="U185" i="10"/>
  <c r="U77" i="10"/>
  <c r="U477" i="10"/>
  <c r="U369" i="10"/>
  <c r="U261" i="10"/>
  <c r="U153" i="10"/>
  <c r="U45" i="10"/>
  <c r="U453" i="10"/>
  <c r="U345" i="10"/>
  <c r="U237" i="10"/>
  <c r="U129" i="10"/>
  <c r="U25" i="10"/>
  <c r="U452" i="10"/>
  <c r="U344" i="10"/>
  <c r="U236" i="10"/>
  <c r="U128" i="10"/>
  <c r="U21" i="10"/>
  <c r="U341" i="10"/>
  <c r="U125" i="10"/>
  <c r="U319" i="10"/>
  <c r="U103" i="10"/>
  <c r="U318" i="10"/>
  <c r="U102" i="10"/>
  <c r="U317" i="10"/>
  <c r="U209" i="10"/>
  <c r="U509" i="10"/>
  <c r="U293" i="10"/>
  <c r="U183" i="10"/>
  <c r="U399" i="10"/>
  <c r="U291" i="10"/>
  <c r="U75" i="10"/>
  <c r="U507" i="10"/>
  <c r="AK125" i="10"/>
  <c r="AK113" i="10"/>
  <c r="AK101" i="10"/>
  <c r="AK89" i="10"/>
  <c r="AK77" i="10"/>
  <c r="AK65" i="10"/>
  <c r="AK53" i="10"/>
  <c r="AK41" i="10"/>
  <c r="AK29" i="10"/>
  <c r="AK17" i="10"/>
  <c r="AK123" i="10"/>
  <c r="AK111" i="10"/>
  <c r="AK99" i="10"/>
  <c r="AK87" i="10"/>
  <c r="AK75" i="10"/>
  <c r="AK63" i="10"/>
  <c r="AK51" i="10"/>
  <c r="AK39" i="10"/>
  <c r="AK27" i="10"/>
  <c r="AK15" i="10"/>
  <c r="AK122" i="10"/>
  <c r="AK110" i="10"/>
  <c r="AK98" i="10"/>
  <c r="AK86" i="10"/>
  <c r="AK74" i="10"/>
  <c r="AK62" i="10"/>
  <c r="AK50" i="10"/>
  <c r="AK38" i="10"/>
  <c r="AK26" i="10"/>
  <c r="AK14" i="10"/>
  <c r="AK120" i="10"/>
  <c r="AK108" i="10"/>
  <c r="AK96" i="10"/>
  <c r="AK84" i="10"/>
  <c r="AK72" i="10"/>
  <c r="AK60" i="10"/>
  <c r="AK48" i="10"/>
  <c r="AK36" i="10"/>
  <c r="AK24" i="10"/>
  <c r="AK12" i="10"/>
  <c r="AK124" i="10"/>
  <c r="AK105" i="10"/>
  <c r="AK88" i="10"/>
  <c r="AK69" i="10"/>
  <c r="AK52" i="10"/>
  <c r="AK33" i="10"/>
  <c r="AK16" i="10"/>
  <c r="AK119" i="10"/>
  <c r="AK103" i="10"/>
  <c r="AK83" i="10"/>
  <c r="AK67" i="10"/>
  <c r="AK47" i="10"/>
  <c r="AK31" i="10"/>
  <c r="AK11" i="10"/>
  <c r="AK116" i="10"/>
  <c r="AK97" i="10"/>
  <c r="AK80" i="10"/>
  <c r="AK61" i="10"/>
  <c r="AK44" i="10"/>
  <c r="AK25" i="10"/>
  <c r="AK8" i="10"/>
  <c r="AK115" i="10"/>
  <c r="AK95" i="10"/>
  <c r="AK79" i="10"/>
  <c r="AK59" i="10"/>
  <c r="AK43" i="10"/>
  <c r="AK23" i="10"/>
  <c r="AK7" i="10"/>
  <c r="AK121" i="10"/>
  <c r="AK93" i="10"/>
  <c r="AK68" i="10"/>
  <c r="AK40" i="10"/>
  <c r="AK13" i="10"/>
  <c r="AK117" i="10"/>
  <c r="AK91" i="10"/>
  <c r="AK64" i="10"/>
  <c r="AK35" i="10"/>
  <c r="AK9" i="10"/>
  <c r="AK109" i="10"/>
  <c r="AK82" i="10"/>
  <c r="AK56" i="10"/>
  <c r="AK30" i="10"/>
  <c r="AK107" i="10"/>
  <c r="AK81" i="10"/>
  <c r="AK55" i="10"/>
  <c r="AK28" i="10"/>
  <c r="AK104" i="10"/>
  <c r="AK66" i="10"/>
  <c r="AK21" i="10"/>
  <c r="AK100" i="10"/>
  <c r="AK57" i="10"/>
  <c r="AK19" i="10"/>
  <c r="AK90" i="10"/>
  <c r="AK46" i="10"/>
  <c r="AK85" i="10"/>
  <c r="AK45" i="10"/>
  <c r="AK102" i="10"/>
  <c r="AK37" i="10"/>
  <c r="AK94" i="10"/>
  <c r="AK34" i="10"/>
  <c r="AK92" i="10"/>
  <c r="AK32" i="10"/>
  <c r="AK78" i="10"/>
  <c r="AK22" i="10"/>
  <c r="AK76" i="10"/>
  <c r="AK20" i="10"/>
  <c r="AK73" i="10"/>
  <c r="AK18" i="10"/>
  <c r="AK126" i="10"/>
  <c r="AK70" i="10"/>
  <c r="AK118" i="10"/>
  <c r="AK58" i="10"/>
  <c r="AK71" i="10"/>
  <c r="AK10" i="10"/>
  <c r="AK114" i="10"/>
  <c r="AK112" i="10"/>
  <c r="AK42" i="10"/>
  <c r="AK106" i="10"/>
  <c r="AK54" i="10"/>
  <c r="AK49" i="10"/>
  <c r="AA1046" i="10"/>
  <c r="AA1034" i="10"/>
  <c r="AA1022" i="10"/>
  <c r="AA1010" i="10"/>
  <c r="AA998" i="10"/>
  <c r="AA986" i="10"/>
  <c r="AA974" i="10"/>
  <c r="AA962" i="10"/>
  <c r="AA950" i="10"/>
  <c r="AA938" i="10"/>
  <c r="AA926" i="10"/>
  <c r="AA914" i="10"/>
  <c r="AA902" i="10"/>
  <c r="AA890" i="10"/>
  <c r="AA878" i="10"/>
  <c r="AA866" i="10"/>
  <c r="AA854" i="10"/>
  <c r="AA842" i="10"/>
  <c r="AA830" i="10"/>
  <c r="AA818" i="10"/>
  <c r="AA806" i="10"/>
  <c r="AA794" i="10"/>
  <c r="AA782" i="10"/>
  <c r="AA770" i="10"/>
  <c r="AA1044" i="10"/>
  <c r="AA1032" i="10"/>
  <c r="AA1020" i="10"/>
  <c r="AA1008" i="10"/>
  <c r="AA996" i="10"/>
  <c r="AA984" i="10"/>
  <c r="AA972" i="10"/>
  <c r="AA960" i="10"/>
  <c r="AA948" i="10"/>
  <c r="AA936" i="10"/>
  <c r="AA924" i="10"/>
  <c r="AA912" i="10"/>
  <c r="AA900" i="10"/>
  <c r="AA888" i="10"/>
  <c r="AA876" i="10"/>
  <c r="AA864" i="10"/>
  <c r="AA852" i="10"/>
  <c r="AA840" i="10"/>
  <c r="AA828" i="10"/>
  <c r="AA816" i="10"/>
  <c r="AA804" i="10"/>
  <c r="AA792" i="10"/>
  <c r="AA780" i="10"/>
  <c r="AA768" i="10"/>
  <c r="AA1043" i="10"/>
  <c r="AA1031" i="10"/>
  <c r="AA1019" i="10"/>
  <c r="AA1007" i="10"/>
  <c r="AA995" i="10"/>
  <c r="AA983" i="10"/>
  <c r="AA971" i="10"/>
  <c r="AA959" i="10"/>
  <c r="AA947" i="10"/>
  <c r="AA935" i="10"/>
  <c r="AA923" i="10"/>
  <c r="AA911" i="10"/>
  <c r="AA899" i="10"/>
  <c r="AA887" i="10"/>
  <c r="AA875" i="10"/>
  <c r="AA863" i="10"/>
  <c r="AA851" i="10"/>
  <c r="AA839" i="10"/>
  <c r="AA827" i="10"/>
  <c r="AA815" i="10"/>
  <c r="AA803" i="10"/>
  <c r="AA791" i="10"/>
  <c r="AA779" i="10"/>
  <c r="AA767" i="10"/>
  <c r="AA1041" i="10"/>
  <c r="AA1029" i="10"/>
  <c r="AA1017" i="10"/>
  <c r="AA1005" i="10"/>
  <c r="AA993" i="10"/>
  <c r="AA981" i="10"/>
  <c r="AA969" i="10"/>
  <c r="AA957" i="10"/>
  <c r="AA945" i="10"/>
  <c r="AA1045" i="10"/>
  <c r="AA1026" i="10"/>
  <c r="AA1009" i="10"/>
  <c r="AA990" i="10"/>
  <c r="AA973" i="10"/>
  <c r="AA954" i="10"/>
  <c r="AA937" i="10"/>
  <c r="AA920" i="10"/>
  <c r="AA905" i="10"/>
  <c r="AA889" i="10"/>
  <c r="AA872" i="10"/>
  <c r="AA857" i="10"/>
  <c r="AA841" i="10"/>
  <c r="AA824" i="10"/>
  <c r="AA809" i="10"/>
  <c r="AA793" i="10"/>
  <c r="AA776" i="10"/>
  <c r="AA761" i="10"/>
  <c r="AA749" i="10"/>
  <c r="AA737" i="10"/>
  <c r="AA725" i="10"/>
  <c r="AA713" i="10"/>
  <c r="AA701" i="10"/>
  <c r="AA689" i="10"/>
  <c r="AA677" i="10"/>
  <c r="AA665" i="10"/>
  <c r="AA653" i="10"/>
  <c r="AA641" i="10"/>
  <c r="AA629" i="10"/>
  <c r="AA617" i="10"/>
  <c r="AA605" i="10"/>
  <c r="AA593" i="10"/>
  <c r="AA581" i="10"/>
  <c r="AA569" i="10"/>
  <c r="AA557" i="10"/>
  <c r="AA545" i="10"/>
  <c r="AA533" i="10"/>
  <c r="AA521" i="10"/>
  <c r="AA509" i="10"/>
  <c r="AA497" i="10"/>
  <c r="AA485" i="10"/>
  <c r="AA1040" i="10"/>
  <c r="AA1024" i="10"/>
  <c r="AA1004" i="10"/>
  <c r="AA988" i="10"/>
  <c r="AA968" i="10"/>
  <c r="AA952" i="10"/>
  <c r="AA933" i="10"/>
  <c r="AA918" i="10"/>
  <c r="AA903" i="10"/>
  <c r="AA885" i="10"/>
  <c r="AA870" i="10"/>
  <c r="AA855" i="10"/>
  <c r="AA837" i="10"/>
  <c r="AA822" i="10"/>
  <c r="AA807" i="10"/>
  <c r="AA789" i="10"/>
  <c r="AA774" i="10"/>
  <c r="AA759" i="10"/>
  <c r="AA747" i="10"/>
  <c r="AA735" i="10"/>
  <c r="AA723" i="10"/>
  <c r="AA711" i="10"/>
  <c r="AA699" i="10"/>
  <c r="AA687" i="10"/>
  <c r="AA675" i="10"/>
  <c r="AA663" i="10"/>
  <c r="AA651" i="10"/>
  <c r="AA639" i="10"/>
  <c r="AA627" i="10"/>
  <c r="AA615" i="10"/>
  <c r="AA603" i="10"/>
  <c r="AA591" i="10"/>
  <c r="AA579" i="10"/>
  <c r="AA567" i="10"/>
  <c r="AA555" i="10"/>
  <c r="AA543" i="10"/>
  <c r="AA531" i="10"/>
  <c r="AA519" i="10"/>
  <c r="AA507" i="10"/>
  <c r="AA495" i="10"/>
  <c r="AA483" i="10"/>
  <c r="AA471" i="10"/>
  <c r="AA459" i="10"/>
  <c r="AA447" i="10"/>
  <c r="AA435" i="10"/>
  <c r="AA423" i="10"/>
  <c r="AA411" i="10"/>
  <c r="AA399" i="10"/>
  <c r="AA387" i="10"/>
  <c r="AA375" i="10"/>
  <c r="AA363" i="10"/>
  <c r="AA351" i="10"/>
  <c r="AA339" i="10"/>
  <c r="AA327" i="10"/>
  <c r="AA315" i="10"/>
  <c r="AA303" i="10"/>
  <c r="AA291" i="10"/>
  <c r="AA279" i="10"/>
  <c r="AA267" i="10"/>
  <c r="AA255" i="10"/>
  <c r="AA243" i="10"/>
  <c r="AA231" i="10"/>
  <c r="AA219" i="10"/>
  <c r="AA207" i="10"/>
  <c r="AA195" i="10"/>
  <c r="AA183" i="10"/>
  <c r="AA171" i="10"/>
  <c r="AA159" i="10"/>
  <c r="AA147" i="10"/>
  <c r="AA135" i="10"/>
  <c r="AA123" i="10"/>
  <c r="AA111" i="10"/>
  <c r="AA99" i="10"/>
  <c r="AA87" i="10"/>
  <c r="AA75" i="10"/>
  <c r="AA63" i="10"/>
  <c r="AA51" i="10"/>
  <c r="AA39" i="10"/>
  <c r="AA27" i="10"/>
  <c r="AA15" i="10"/>
  <c r="AA1037" i="10"/>
  <c r="AA1018" i="10"/>
  <c r="AA1001" i="10"/>
  <c r="AA982" i="10"/>
  <c r="AA965" i="10"/>
  <c r="AA946" i="10"/>
  <c r="AA930" i="10"/>
  <c r="AA915" i="10"/>
  <c r="AA897" i="10"/>
  <c r="AA882" i="10"/>
  <c r="AA867" i="10"/>
  <c r="AA849" i="10"/>
  <c r="AA834" i="10"/>
  <c r="AA819" i="10"/>
  <c r="AA801" i="10"/>
  <c r="AA786" i="10"/>
  <c r="AA771" i="10"/>
  <c r="AA756" i="10"/>
  <c r="AA744" i="10"/>
  <c r="AA732" i="10"/>
  <c r="AA720" i="10"/>
  <c r="AA708" i="10"/>
  <c r="AA696" i="10"/>
  <c r="AA684" i="10"/>
  <c r="AA672" i="10"/>
  <c r="AA660" i="10"/>
  <c r="AA648" i="10"/>
  <c r="AA636" i="10"/>
  <c r="AA624" i="10"/>
  <c r="AA612" i="10"/>
  <c r="AA600" i="10"/>
  <c r="AA588" i="10"/>
  <c r="AA576" i="10"/>
  <c r="AA564" i="10"/>
  <c r="AA552" i="10"/>
  <c r="AA540" i="10"/>
  <c r="AA528" i="10"/>
  <c r="AA516" i="10"/>
  <c r="AA504" i="10"/>
  <c r="AA492" i="10"/>
  <c r="AA480" i="10"/>
  <c r="AA468" i="10"/>
  <c r="AA456" i="10"/>
  <c r="AA444" i="10"/>
  <c r="AA432" i="10"/>
  <c r="AA420" i="10"/>
  <c r="AA408" i="10"/>
  <c r="AA396" i="10"/>
  <c r="AA384" i="10"/>
  <c r="AA372" i="10"/>
  <c r="AA360" i="10"/>
  <c r="AA348" i="10"/>
  <c r="AA336" i="10"/>
  <c r="AA324" i="10"/>
  <c r="AA312" i="10"/>
  <c r="AA300" i="10"/>
  <c r="AA288" i="10"/>
  <c r="AA276" i="10"/>
  <c r="AA264" i="10"/>
  <c r="AA252" i="10"/>
  <c r="AA240" i="10"/>
  <c r="AA228" i="10"/>
  <c r="AA216" i="10"/>
  <c r="AA204" i="10"/>
  <c r="AA192" i="10"/>
  <c r="AA180" i="10"/>
  <c r="AA168" i="10"/>
  <c r="AA156" i="10"/>
  <c r="AA144" i="10"/>
  <c r="AA132" i="10"/>
  <c r="AA120" i="10"/>
  <c r="AA108" i="10"/>
  <c r="AA96" i="10"/>
  <c r="AA84" i="10"/>
  <c r="AA72" i="10"/>
  <c r="AA60" i="10"/>
  <c r="AA48" i="10"/>
  <c r="AA36" i="10"/>
  <c r="AA24" i="10"/>
  <c r="AA12" i="10"/>
  <c r="AA1036" i="10"/>
  <c r="AA1016" i="10"/>
  <c r="AA1000" i="10"/>
  <c r="AA980" i="10"/>
  <c r="AA964" i="10"/>
  <c r="AA944" i="10"/>
  <c r="AA929" i="10"/>
  <c r="AA913" i="10"/>
  <c r="AA896" i="10"/>
  <c r="AA881" i="10"/>
  <c r="AA865" i="10"/>
  <c r="AA848" i="10"/>
  <c r="AA833" i="10"/>
  <c r="AA817" i="10"/>
  <c r="AA800" i="10"/>
  <c r="AA785" i="10"/>
  <c r="AA769" i="10"/>
  <c r="AA755" i="10"/>
  <c r="AA743" i="10"/>
  <c r="AA731" i="10"/>
  <c r="AA719" i="10"/>
  <c r="AA707" i="10"/>
  <c r="AA695" i="10"/>
  <c r="AA683" i="10"/>
  <c r="AA671" i="10"/>
  <c r="AA659" i="10"/>
  <c r="AA647" i="10"/>
  <c r="AA635" i="10"/>
  <c r="AA623" i="10"/>
  <c r="AA611" i="10"/>
  <c r="AA599" i="10"/>
  <c r="AA587" i="10"/>
  <c r="AA575" i="10"/>
  <c r="AA563" i="10"/>
  <c r="AA551" i="10"/>
  <c r="AA539" i="10"/>
  <c r="AA527" i="10"/>
  <c r="AA515" i="10"/>
  <c r="AA503" i="10"/>
  <c r="AA491" i="10"/>
  <c r="AA479" i="10"/>
  <c r="AA467" i="10"/>
  <c r="AA455" i="10"/>
  <c r="AA443" i="10"/>
  <c r="AA431" i="10"/>
  <c r="AA419" i="10"/>
  <c r="AA407" i="10"/>
  <c r="AA395" i="10"/>
  <c r="AA383" i="10"/>
  <c r="AA371" i="10"/>
  <c r="AA359" i="10"/>
  <c r="AA347" i="10"/>
  <c r="AA335" i="10"/>
  <c r="AA323" i="10"/>
  <c r="AA311" i="10"/>
  <c r="AA299" i="10"/>
  <c r="AA287" i="10"/>
  <c r="AA275" i="10"/>
  <c r="AA263" i="10"/>
  <c r="AA251" i="10"/>
  <c r="AA239" i="10"/>
  <c r="AA227" i="10"/>
  <c r="AA215" i="10"/>
  <c r="AA203" i="10"/>
  <c r="AA191" i="10"/>
  <c r="AA179" i="10"/>
  <c r="AA167" i="10"/>
  <c r="AA155" i="10"/>
  <c r="AA143" i="10"/>
  <c r="AA131" i="10"/>
  <c r="AA119" i="10"/>
  <c r="AA107" i="10"/>
  <c r="AA95" i="10"/>
  <c r="AA83" i="10"/>
  <c r="AA71" i="10"/>
  <c r="AA59" i="10"/>
  <c r="AA47" i="10"/>
  <c r="AA35" i="10"/>
  <c r="AA23" i="10"/>
  <c r="AA11" i="10"/>
  <c r="AA1050" i="10"/>
  <c r="AA1025" i="10"/>
  <c r="AA997" i="10"/>
  <c r="AA970" i="10"/>
  <c r="AA942" i="10"/>
  <c r="AA919" i="10"/>
  <c r="AA894" i="10"/>
  <c r="AA871" i="10"/>
  <c r="AA846" i="10"/>
  <c r="AA823" i="10"/>
  <c r="AA798" i="10"/>
  <c r="AA775" i="10"/>
  <c r="AA753" i="10"/>
  <c r="AA736" i="10"/>
  <c r="AA717" i="10"/>
  <c r="AA700" i="10"/>
  <c r="AA681" i="10"/>
  <c r="AA664" i="10"/>
  <c r="AA645" i="10"/>
  <c r="AA628" i="10"/>
  <c r="AA609" i="10"/>
  <c r="AA592" i="10"/>
  <c r="AA573" i="10"/>
  <c r="AA556" i="10"/>
  <c r="AA537" i="10"/>
  <c r="AA520" i="10"/>
  <c r="AA501" i="10"/>
  <c r="AA484" i="10"/>
  <c r="AA466" i="10"/>
  <c r="AA451" i="10"/>
  <c r="AA436" i="10"/>
  <c r="AA418" i="10"/>
  <c r="AA403" i="10"/>
  <c r="AA388" i="10"/>
  <c r="AA370" i="10"/>
  <c r="AA355" i="10"/>
  <c r="AA340" i="10"/>
  <c r="AA322" i="10"/>
  <c r="AA307" i="10"/>
  <c r="AA292" i="10"/>
  <c r="AA274" i="10"/>
  <c r="AA259" i="10"/>
  <c r="AA244" i="10"/>
  <c r="AA226" i="10"/>
  <c r="AA211" i="10"/>
  <c r="AA196" i="10"/>
  <c r="AA178" i="10"/>
  <c r="AA163" i="10"/>
  <c r="AA148" i="10"/>
  <c r="AA130" i="10"/>
  <c r="AA115" i="10"/>
  <c r="AA100" i="10"/>
  <c r="AA82" i="10"/>
  <c r="AA67" i="10"/>
  <c r="AA52" i="10"/>
  <c r="AA34" i="10"/>
  <c r="AA19" i="10"/>
  <c r="AA1048" i="10"/>
  <c r="AA1021" i="10"/>
  <c r="AA992" i="10"/>
  <c r="AA966" i="10"/>
  <c r="AA940" i="10"/>
  <c r="AA916" i="10"/>
  <c r="AA892" i="10"/>
  <c r="AA868" i="10"/>
  <c r="AA844" i="10"/>
  <c r="AA820" i="10"/>
  <c r="AA796" i="10"/>
  <c r="AA772" i="10"/>
  <c r="AA751" i="10"/>
  <c r="AA733" i="10"/>
  <c r="AA715" i="10"/>
  <c r="AA697" i="10"/>
  <c r="AA679" i="10"/>
  <c r="AA661" i="10"/>
  <c r="AA643" i="10"/>
  <c r="AA625" i="10"/>
  <c r="AA607" i="10"/>
  <c r="AA589" i="10"/>
  <c r="AA571" i="10"/>
  <c r="AA553" i="10"/>
  <c r="AA535" i="10"/>
  <c r="AA517" i="10"/>
  <c r="AA499" i="10"/>
  <c r="AA481" i="10"/>
  <c r="AA464" i="10"/>
  <c r="AA449" i="10"/>
  <c r="AA433" i="10"/>
  <c r="AA416" i="10"/>
  <c r="AA401" i="10"/>
  <c r="AA385" i="10"/>
  <c r="AA368" i="10"/>
  <c r="AA353" i="10"/>
  <c r="AA337" i="10"/>
  <c r="AA320" i="10"/>
  <c r="AA305" i="10"/>
  <c r="AA289" i="10"/>
  <c r="AA272" i="10"/>
  <c r="AA257" i="10"/>
  <c r="AA241" i="10"/>
  <c r="AA224" i="10"/>
  <c r="AA209" i="10"/>
  <c r="AA193" i="10"/>
  <c r="AA176" i="10"/>
  <c r="AA161" i="10"/>
  <c r="AA145" i="10"/>
  <c r="AA128" i="10"/>
  <c r="AA113" i="10"/>
  <c r="AA97" i="10"/>
  <c r="AA80" i="10"/>
  <c r="AA65" i="10"/>
  <c r="AA49" i="10"/>
  <c r="AA32" i="10"/>
  <c r="AA17" i="10"/>
  <c r="AA1039" i="10"/>
  <c r="AA1013" i="10"/>
  <c r="AA987" i="10"/>
  <c r="AA958" i="10"/>
  <c r="AA932" i="10"/>
  <c r="AA908" i="10"/>
  <c r="AA884" i="10"/>
  <c r="AA860" i="10"/>
  <c r="AA836" i="10"/>
  <c r="AA812" i="10"/>
  <c r="AA788" i="10"/>
  <c r="AA764" i="10"/>
  <c r="AA746" i="10"/>
  <c r="AA728" i="10"/>
  <c r="AA710" i="10"/>
  <c r="AA692" i="10"/>
  <c r="AA674" i="10"/>
  <c r="AA656" i="10"/>
  <c r="AA638" i="10"/>
  <c r="AA620" i="10"/>
  <c r="AA602" i="10"/>
  <c r="AA584" i="10"/>
  <c r="AA566" i="10"/>
  <c r="AA548" i="10"/>
  <c r="AA530" i="10"/>
  <c r="AA512" i="10"/>
  <c r="AA494" i="10"/>
  <c r="AA476" i="10"/>
  <c r="AA461" i="10"/>
  <c r="AA445" i="10"/>
  <c r="AA428" i="10"/>
  <c r="AA413" i="10"/>
  <c r="AA397" i="10"/>
  <c r="AA380" i="10"/>
  <c r="AA365" i="10"/>
  <c r="AA349" i="10"/>
  <c r="AA332" i="10"/>
  <c r="AA317" i="10"/>
  <c r="AA301" i="10"/>
  <c r="AA284" i="10"/>
  <c r="AA269" i="10"/>
  <c r="AA253" i="10"/>
  <c r="AA236" i="10"/>
  <c r="AA221" i="10"/>
  <c r="AA205" i="10"/>
  <c r="AA188" i="10"/>
  <c r="AA173" i="10"/>
  <c r="AA157" i="10"/>
  <c r="AA140" i="10"/>
  <c r="AA125" i="10"/>
  <c r="AA109" i="10"/>
  <c r="AA92" i="10"/>
  <c r="AA77" i="10"/>
  <c r="AA61" i="10"/>
  <c r="AA44" i="10"/>
  <c r="AA29" i="10"/>
  <c r="AA13" i="10"/>
  <c r="AA1038" i="10"/>
  <c r="AA1012" i="10"/>
  <c r="AA985" i="10"/>
  <c r="AA956" i="10"/>
  <c r="AA931" i="10"/>
  <c r="AA907" i="10"/>
  <c r="AA883" i="10"/>
  <c r="AA859" i="10"/>
  <c r="AA835" i="10"/>
  <c r="AA811" i="10"/>
  <c r="AA787" i="10"/>
  <c r="AA763" i="10"/>
  <c r="AA745" i="10"/>
  <c r="AA727" i="10"/>
  <c r="AA709" i="10"/>
  <c r="AA691" i="10"/>
  <c r="AA673" i="10"/>
  <c r="AA655" i="10"/>
  <c r="AA637" i="10"/>
  <c r="AA619" i="10"/>
  <c r="AA601" i="10"/>
  <c r="AA583" i="10"/>
  <c r="AA565" i="10"/>
  <c r="AA547" i="10"/>
  <c r="AA529" i="10"/>
  <c r="AA511" i="10"/>
  <c r="AA493" i="10"/>
  <c r="AA475" i="10"/>
  <c r="AA460" i="10"/>
  <c r="AA442" i="10"/>
  <c r="AA427" i="10"/>
  <c r="AA412" i="10"/>
  <c r="AA394" i="10"/>
  <c r="AA379" i="10"/>
  <c r="AA364" i="10"/>
  <c r="AA346" i="10"/>
  <c r="AA331" i="10"/>
  <c r="AA316" i="10"/>
  <c r="AA298" i="10"/>
  <c r="AA283" i="10"/>
  <c r="AA268" i="10"/>
  <c r="AA250" i="10"/>
  <c r="AA235" i="10"/>
  <c r="AA220" i="10"/>
  <c r="AA202" i="10"/>
  <c r="AA187" i="10"/>
  <c r="AA172" i="10"/>
  <c r="AA154" i="10"/>
  <c r="AA139" i="10"/>
  <c r="AA124" i="10"/>
  <c r="AA106" i="10"/>
  <c r="AA91" i="10"/>
  <c r="AA76" i="10"/>
  <c r="AA58" i="10"/>
  <c r="AA43" i="10"/>
  <c r="AA28" i="10"/>
  <c r="AA10" i="10"/>
  <c r="AA1023" i="10"/>
  <c r="AA978" i="10"/>
  <c r="AA941" i="10"/>
  <c r="AA904" i="10"/>
  <c r="AA869" i="10"/>
  <c r="AA831" i="10"/>
  <c r="AA797" i="10"/>
  <c r="AA760" i="10"/>
  <c r="AA734" i="10"/>
  <c r="AA705" i="10"/>
  <c r="AA680" i="10"/>
  <c r="AA652" i="10"/>
  <c r="AA626" i="10"/>
  <c r="AA597" i="10"/>
  <c r="AA572" i="10"/>
  <c r="AA544" i="10"/>
  <c r="AA518" i="10"/>
  <c r="AA489" i="10"/>
  <c r="AA465" i="10"/>
  <c r="AA440" i="10"/>
  <c r="AA417" i="10"/>
  <c r="AA392" i="10"/>
  <c r="AA369" i="10"/>
  <c r="AA344" i="10"/>
  <c r="AA321" i="10"/>
  <c r="AA296" i="10"/>
  <c r="AA273" i="10"/>
  <c r="AA248" i="10"/>
  <c r="AA225" i="10"/>
  <c r="AA200" i="10"/>
  <c r="AA177" i="10"/>
  <c r="AA152" i="10"/>
  <c r="AA129" i="10"/>
  <c r="AA104" i="10"/>
  <c r="AA81" i="10"/>
  <c r="AA56" i="10"/>
  <c r="AA33" i="10"/>
  <c r="AA8" i="10"/>
  <c r="AA1014" i="10"/>
  <c r="AA976" i="10"/>
  <c r="AA934" i="10"/>
  <c r="AA898" i="10"/>
  <c r="AA861" i="10"/>
  <c r="AA826" i="10"/>
  <c r="AA790" i="10"/>
  <c r="AA757" i="10"/>
  <c r="AA729" i="10"/>
  <c r="AA703" i="10"/>
  <c r="AA676" i="10"/>
  <c r="AA649" i="10"/>
  <c r="AA621" i="10"/>
  <c r="AA595" i="10"/>
  <c r="AA568" i="10"/>
  <c r="AA541" i="10"/>
  <c r="AA513" i="10"/>
  <c r="AA487" i="10"/>
  <c r="AA462" i="10"/>
  <c r="AA438" i="10"/>
  <c r="AA414" i="10"/>
  <c r="AA390" i="10"/>
  <c r="AA366" i="10"/>
  <c r="AA342" i="10"/>
  <c r="AA318" i="10"/>
  <c r="AA294" i="10"/>
  <c r="AA270" i="10"/>
  <c r="AA246" i="10"/>
  <c r="AA222" i="10"/>
  <c r="AA198" i="10"/>
  <c r="AA174" i="10"/>
  <c r="AA150" i="10"/>
  <c r="AA126" i="10"/>
  <c r="AA102" i="10"/>
  <c r="AA78" i="10"/>
  <c r="AA54" i="10"/>
  <c r="AA30" i="10"/>
  <c r="AA1047" i="10"/>
  <c r="AA1003" i="10"/>
  <c r="AA963" i="10"/>
  <c r="AA925" i="10"/>
  <c r="AA891" i="10"/>
  <c r="AA853" i="10"/>
  <c r="AA814" i="10"/>
  <c r="AA781" i="10"/>
  <c r="AA750" i="10"/>
  <c r="AA722" i="10"/>
  <c r="AA694" i="10"/>
  <c r="AA668" i="10"/>
  <c r="AA642" i="10"/>
  <c r="AA614" i="10"/>
  <c r="AA586" i="10"/>
  <c r="AA560" i="10"/>
  <c r="AA534" i="10"/>
  <c r="AA506" i="10"/>
  <c r="AA478" i="10"/>
  <c r="AA454" i="10"/>
  <c r="AA430" i="10"/>
  <c r="AA406" i="10"/>
  <c r="AA382" i="10"/>
  <c r="AA358" i="10"/>
  <c r="AA334" i="10"/>
  <c r="AA310" i="10"/>
  <c r="AA286" i="10"/>
  <c r="AA262" i="10"/>
  <c r="AA238" i="10"/>
  <c r="AA214" i="10"/>
  <c r="AA190" i="10"/>
  <c r="AA166" i="10"/>
  <c r="AA142" i="10"/>
  <c r="AA118" i="10"/>
  <c r="AA94" i="10"/>
  <c r="AA70" i="10"/>
  <c r="AA46" i="10"/>
  <c r="AA22" i="10"/>
  <c r="AA1042" i="10"/>
  <c r="AA1002" i="10"/>
  <c r="AA961" i="10"/>
  <c r="AA922" i="10"/>
  <c r="AA886" i="10"/>
  <c r="AA850" i="10"/>
  <c r="AA813" i="10"/>
  <c r="AA778" i="10"/>
  <c r="AA748" i="10"/>
  <c r="AA721" i="10"/>
  <c r="AA693" i="10"/>
  <c r="AA667" i="10"/>
  <c r="AA640" i="10"/>
  <c r="AA613" i="10"/>
  <c r="AA585" i="10"/>
  <c r="AA559" i="10"/>
  <c r="AA532" i="10"/>
  <c r="AA505" i="10"/>
  <c r="AA477" i="10"/>
  <c r="AA453" i="10"/>
  <c r="AA429" i="10"/>
  <c r="AA405" i="10"/>
  <c r="AA381" i="10"/>
  <c r="AA357" i="10"/>
  <c r="AA333" i="10"/>
  <c r="AA309" i="10"/>
  <c r="AA285" i="10"/>
  <c r="AA261" i="10"/>
  <c r="AA237" i="10"/>
  <c r="AA213" i="10"/>
  <c r="AA189" i="10"/>
  <c r="AA165" i="10"/>
  <c r="AA141" i="10"/>
  <c r="AA117" i="10"/>
  <c r="AA93" i="10"/>
  <c r="AA69" i="10"/>
  <c r="AA45" i="10"/>
  <c r="AA21" i="10"/>
  <c r="AA994" i="10"/>
  <c r="AA939" i="10"/>
  <c r="AA879" i="10"/>
  <c r="AA829" i="10"/>
  <c r="AA773" i="10"/>
  <c r="AA730" i="10"/>
  <c r="AA688" i="10"/>
  <c r="AA650" i="10"/>
  <c r="AA608" i="10"/>
  <c r="AA570" i="10"/>
  <c r="AA525" i="10"/>
  <c r="AA488" i="10"/>
  <c r="AA450" i="10"/>
  <c r="AA415" i="10"/>
  <c r="AA377" i="10"/>
  <c r="AA343" i="10"/>
  <c r="AA306" i="10"/>
  <c r="AA271" i="10"/>
  <c r="AA233" i="10"/>
  <c r="AA199" i="10"/>
  <c r="AA162" i="10"/>
  <c r="AA127" i="10"/>
  <c r="AA89" i="10"/>
  <c r="AA55" i="10"/>
  <c r="AA18" i="10"/>
  <c r="AA991" i="10"/>
  <c r="AA928" i="10"/>
  <c r="AA877" i="10"/>
  <c r="AA825" i="10"/>
  <c r="AA766" i="10"/>
  <c r="AA726" i="10"/>
  <c r="AA686" i="10"/>
  <c r="AA646" i="10"/>
  <c r="AA606" i="10"/>
  <c r="AA562" i="10"/>
  <c r="AA524" i="10"/>
  <c r="AA486" i="10"/>
  <c r="AA448" i="10"/>
  <c r="AA410" i="10"/>
  <c r="AA376" i="10"/>
  <c r="AA341" i="10"/>
  <c r="AA304" i="10"/>
  <c r="AA266" i="10"/>
  <c r="AA232" i="10"/>
  <c r="AA197" i="10"/>
  <c r="AA160" i="10"/>
  <c r="AA122" i="10"/>
  <c r="AA88" i="10"/>
  <c r="AA53" i="10"/>
  <c r="AA16" i="10"/>
  <c r="AA1049" i="10"/>
  <c r="AA989" i="10"/>
  <c r="AA927" i="10"/>
  <c r="AA874" i="10"/>
  <c r="AA821" i="10"/>
  <c r="AA765" i="10"/>
  <c r="AA724" i="10"/>
  <c r="AA685" i="10"/>
  <c r="AA644" i="10"/>
  <c r="AA604" i="10"/>
  <c r="AA561" i="10"/>
  <c r="AA523" i="10"/>
  <c r="AA482" i="10"/>
  <c r="AA446" i="10"/>
  <c r="AA409" i="10"/>
  <c r="AA374" i="10"/>
  <c r="AA338" i="10"/>
  <c r="AA302" i="10"/>
  <c r="AA265" i="10"/>
  <c r="AA230" i="10"/>
  <c r="AA194" i="10"/>
  <c r="AA158" i="10"/>
  <c r="AA121" i="10"/>
  <c r="AA86" i="10"/>
  <c r="AA50" i="10"/>
  <c r="AA14" i="10"/>
  <c r="AA1035" i="10"/>
  <c r="AA979" i="10"/>
  <c r="AA921" i="10"/>
  <c r="AA873" i="10"/>
  <c r="AA810" i="10"/>
  <c r="AA762" i="10"/>
  <c r="AA718" i="10"/>
  <c r="AA682" i="10"/>
  <c r="AA634" i="10"/>
  <c r="AA598" i="10"/>
  <c r="AA558" i="10"/>
  <c r="AA522" i="10"/>
  <c r="AA474" i="10"/>
  <c r="AA441" i="10"/>
  <c r="AA404" i="10"/>
  <c r="AA373" i="10"/>
  <c r="AA330" i="10"/>
  <c r="AA297" i="10"/>
  <c r="AA260" i="10"/>
  <c r="AA229" i="10"/>
  <c r="AA186" i="10"/>
  <c r="AA153" i="10"/>
  <c r="AA116" i="10"/>
  <c r="AA85" i="10"/>
  <c r="AA42" i="10"/>
  <c r="AA9" i="10"/>
  <c r="AA1033" i="10"/>
  <c r="AA977" i="10"/>
  <c r="AA917" i="10"/>
  <c r="AA862" i="10"/>
  <c r="AA808" i="10"/>
  <c r="AA758" i="10"/>
  <c r="AA716" i="10"/>
  <c r="AA678" i="10"/>
  <c r="AA633" i="10"/>
  <c r="AA596" i="10"/>
  <c r="AA554" i="10"/>
  <c r="AA514" i="10"/>
  <c r="AA473" i="10"/>
  <c r="AA439" i="10"/>
  <c r="AA402" i="10"/>
  <c r="AA367" i="10"/>
  <c r="AA329" i="10"/>
  <c r="AA295" i="10"/>
  <c r="AA258" i="10"/>
  <c r="AA223" i="10"/>
  <c r="AA185" i="10"/>
  <c r="AA151" i="10"/>
  <c r="AA114" i="10"/>
  <c r="AA79" i="10"/>
  <c r="AA41" i="10"/>
  <c r="AA7" i="10"/>
  <c r="AA1030" i="10"/>
  <c r="AA975" i="10"/>
  <c r="AA910" i="10"/>
  <c r="AA858" i="10"/>
  <c r="AA805" i="10"/>
  <c r="AA754" i="10"/>
  <c r="AA714" i="10"/>
  <c r="AA670" i="10"/>
  <c r="AA632" i="10"/>
  <c r="AA594" i="10"/>
  <c r="AA550" i="10"/>
  <c r="AA510" i="10"/>
  <c r="AA472" i="10"/>
  <c r="AA437" i="10"/>
  <c r="AA400" i="10"/>
  <c r="AA362" i="10"/>
  <c r="AA328" i="10"/>
  <c r="AA293" i="10"/>
  <c r="AA256" i="10"/>
  <c r="AA218" i="10"/>
  <c r="AA184" i="10"/>
  <c r="AA149" i="10"/>
  <c r="AA112" i="10"/>
  <c r="AA74" i="10"/>
  <c r="AA40" i="10"/>
  <c r="AA1027" i="10"/>
  <c r="AA955" i="10"/>
  <c r="AA906" i="10"/>
  <c r="AA847" i="10"/>
  <c r="AA799" i="10"/>
  <c r="AA742" i="10"/>
  <c r="AA706" i="10"/>
  <c r="AA666" i="10"/>
  <c r="AA630" i="10"/>
  <c r="AA582" i="10"/>
  <c r="AA546" i="10"/>
  <c r="AA502" i="10"/>
  <c r="AA469" i="10"/>
  <c r="AA426" i="10"/>
  <c r="AA393" i="10"/>
  <c r="AA356" i="10"/>
  <c r="AA325" i="10"/>
  <c r="AA282" i="10"/>
  <c r="AA249" i="10"/>
  <c r="AA212" i="10"/>
  <c r="AA181" i="10"/>
  <c r="AA138" i="10"/>
  <c r="AA105" i="10"/>
  <c r="AA68" i="10"/>
  <c r="AA37" i="10"/>
  <c r="AA1015" i="10"/>
  <c r="AA953" i="10"/>
  <c r="AA901" i="10"/>
  <c r="AA845" i="10"/>
  <c r="AA795" i="10"/>
  <c r="AA741" i="10"/>
  <c r="AA704" i="10"/>
  <c r="AA662" i="10"/>
  <c r="AA622" i="10"/>
  <c r="AA580" i="10"/>
  <c r="AA542" i="10"/>
  <c r="AA500" i="10"/>
  <c r="AA463" i="10"/>
  <c r="AA425" i="10"/>
  <c r="AA391" i="10"/>
  <c r="AA354" i="10"/>
  <c r="AA319" i="10"/>
  <c r="AA281" i="10"/>
  <c r="AA247" i="10"/>
  <c r="AA210" i="10"/>
  <c r="AA175" i="10"/>
  <c r="AA137" i="10"/>
  <c r="AA103" i="10"/>
  <c r="AA66" i="10"/>
  <c r="AA31" i="10"/>
  <c r="AA1028" i="10"/>
  <c r="AA967" i="10"/>
  <c r="AA909" i="10"/>
  <c r="AA856" i="10"/>
  <c r="AA802" i="10"/>
  <c r="AA752" i="10"/>
  <c r="AA712" i="10"/>
  <c r="AA669" i="10"/>
  <c r="AA631" i="10"/>
  <c r="AA590" i="10"/>
  <c r="AA549" i="10"/>
  <c r="AA508" i="10"/>
  <c r="AA470" i="10"/>
  <c r="AA434" i="10"/>
  <c r="AA398" i="10"/>
  <c r="AA361" i="10"/>
  <c r="AA326" i="10"/>
  <c r="AA290" i="10"/>
  <c r="AA254" i="10"/>
  <c r="AA217" i="10"/>
  <c r="AA182" i="10"/>
  <c r="AA146" i="10"/>
  <c r="AA110" i="10"/>
  <c r="AA73" i="10"/>
  <c r="AA38" i="10"/>
  <c r="AA880" i="10"/>
  <c r="AA690" i="10"/>
  <c r="AA526" i="10"/>
  <c r="AA378" i="10"/>
  <c r="AA234" i="10"/>
  <c r="AA90" i="10"/>
  <c r="AA843" i="10"/>
  <c r="AA658" i="10"/>
  <c r="AA498" i="10"/>
  <c r="AA352" i="10"/>
  <c r="AA208" i="10"/>
  <c r="AA64" i="10"/>
  <c r="AA838" i="10"/>
  <c r="AA657" i="10"/>
  <c r="AA496" i="10"/>
  <c r="AA350" i="10"/>
  <c r="AA206" i="10"/>
  <c r="AA62" i="10"/>
  <c r="AA999" i="10"/>
  <c r="AA610" i="10"/>
  <c r="AA308" i="10"/>
  <c r="AA20" i="10"/>
  <c r="AA277" i="10"/>
  <c r="AA702" i="10"/>
  <c r="AA389" i="10"/>
  <c r="AA101" i="10"/>
  <c r="AA832" i="10"/>
  <c r="AA654" i="10"/>
  <c r="AA490" i="10"/>
  <c r="AA345" i="10"/>
  <c r="AA201" i="10"/>
  <c r="AA57" i="10"/>
  <c r="AA1011" i="10"/>
  <c r="AA784" i="10"/>
  <c r="AA618" i="10"/>
  <c r="AA458" i="10"/>
  <c r="AA314" i="10"/>
  <c r="AA170" i="10"/>
  <c r="AA26" i="10"/>
  <c r="AA1006" i="10"/>
  <c r="AA783" i="10"/>
  <c r="AA616" i="10"/>
  <c r="AA457" i="10"/>
  <c r="AA313" i="10"/>
  <c r="AA169" i="10"/>
  <c r="AA25" i="10"/>
  <c r="AA777" i="10"/>
  <c r="AA452" i="10"/>
  <c r="AA164" i="10"/>
  <c r="AA951" i="10"/>
  <c r="AA740" i="10"/>
  <c r="AA578" i="10"/>
  <c r="AA424" i="10"/>
  <c r="AA280" i="10"/>
  <c r="AA136" i="10"/>
  <c r="AA949" i="10"/>
  <c r="AA739" i="10"/>
  <c r="AA577" i="10"/>
  <c r="AA422" i="10"/>
  <c r="AA278" i="10"/>
  <c r="AA134" i="10"/>
  <c r="AA943" i="10"/>
  <c r="AA738" i="10"/>
  <c r="AA574" i="10"/>
  <c r="AA421" i="10"/>
  <c r="AA133" i="10"/>
  <c r="AA895" i="10"/>
  <c r="AA538" i="10"/>
  <c r="AA245" i="10"/>
  <c r="AA242" i="10"/>
  <c r="AA893" i="10"/>
  <c r="AA536" i="10"/>
  <c r="AA386" i="10"/>
  <c r="AA98" i="10"/>
  <c r="AA698" i="10"/>
  <c r="O261" i="10"/>
  <c r="O249" i="10"/>
  <c r="O237" i="10"/>
  <c r="O225" i="10"/>
  <c r="O213" i="10"/>
  <c r="O201" i="10"/>
  <c r="O189" i="10"/>
  <c r="O177" i="10"/>
  <c r="O165" i="10"/>
  <c r="O153" i="10"/>
  <c r="O141" i="10"/>
  <c r="O129" i="10"/>
  <c r="O117" i="10"/>
  <c r="O105" i="10"/>
  <c r="O93" i="10"/>
  <c r="O81" i="10"/>
  <c r="O69" i="10"/>
  <c r="O57" i="10"/>
  <c r="O45" i="10"/>
  <c r="O33" i="10"/>
  <c r="O21" i="10"/>
  <c r="O9" i="10"/>
  <c r="O259" i="10"/>
  <c r="O247" i="10"/>
  <c r="O235" i="10"/>
  <c r="O223" i="10"/>
  <c r="O211" i="10"/>
  <c r="O199" i="10"/>
  <c r="O187" i="10"/>
  <c r="O175" i="10"/>
  <c r="O163" i="10"/>
  <c r="O151" i="10"/>
  <c r="O139" i="10"/>
  <c r="O127" i="10"/>
  <c r="O115" i="10"/>
  <c r="O103" i="10"/>
  <c r="O91" i="10"/>
  <c r="O79" i="10"/>
  <c r="O67" i="10"/>
  <c r="O55" i="10"/>
  <c r="O43" i="10"/>
  <c r="O31" i="10"/>
  <c r="O19" i="10"/>
  <c r="O7" i="10"/>
  <c r="O256" i="10"/>
  <c r="O244" i="10"/>
  <c r="O232" i="10"/>
  <c r="O220" i="10"/>
  <c r="O208" i="10"/>
  <c r="O196" i="10"/>
  <c r="O184" i="10"/>
  <c r="O172" i="10"/>
  <c r="O160" i="10"/>
  <c r="O148" i="10"/>
  <c r="O136" i="10"/>
  <c r="O124" i="10"/>
  <c r="O112" i="10"/>
  <c r="O100" i="10"/>
  <c r="O88" i="10"/>
  <c r="O76" i="10"/>
  <c r="O64" i="10"/>
  <c r="O52" i="10"/>
  <c r="O40" i="10"/>
  <c r="O28" i="10"/>
  <c r="O16" i="10"/>
  <c r="O4" i="10"/>
  <c r="O255" i="10"/>
  <c r="O243" i="10"/>
  <c r="O231" i="10"/>
  <c r="O219" i="10"/>
  <c r="O207" i="10"/>
  <c r="O195" i="10"/>
  <c r="O183" i="10"/>
  <c r="O171" i="10"/>
  <c r="O159" i="10"/>
  <c r="O147" i="10"/>
  <c r="O135" i="10"/>
  <c r="O123" i="10"/>
  <c r="O111" i="10"/>
  <c r="O99" i="10"/>
  <c r="O87" i="10"/>
  <c r="O75" i="10"/>
  <c r="O63" i="10"/>
  <c r="O51" i="10"/>
  <c r="O39" i="10"/>
  <c r="O27" i="10"/>
  <c r="O15" i="10"/>
  <c r="O3" i="10"/>
  <c r="O253" i="10"/>
  <c r="O236" i="10"/>
  <c r="O217" i="10"/>
  <c r="O200" i="10"/>
  <c r="O181" i="10"/>
  <c r="O164" i="10"/>
  <c r="O145" i="10"/>
  <c r="O128" i="10"/>
  <c r="O109" i="10"/>
  <c r="O92" i="10"/>
  <c r="O73" i="10"/>
  <c r="O56" i="10"/>
  <c r="O37" i="10"/>
  <c r="O20" i="10"/>
  <c r="O251" i="10"/>
  <c r="O233" i="10"/>
  <c r="O215" i="10"/>
  <c r="O197" i="10"/>
  <c r="O179" i="10"/>
  <c r="O161" i="10"/>
  <c r="O143" i="10"/>
  <c r="O125" i="10"/>
  <c r="O107" i="10"/>
  <c r="O89" i="10"/>
  <c r="O71" i="10"/>
  <c r="O53" i="10"/>
  <c r="O35" i="10"/>
  <c r="O17" i="10"/>
  <c r="O246" i="10"/>
  <c r="O228" i="10"/>
  <c r="O210" i="10"/>
  <c r="O192" i="10"/>
  <c r="O174" i="10"/>
  <c r="O156" i="10"/>
  <c r="O138" i="10"/>
  <c r="O120" i="10"/>
  <c r="O102" i="10"/>
  <c r="O84" i="10"/>
  <c r="O66" i="10"/>
  <c r="O48" i="10"/>
  <c r="O30" i="10"/>
  <c r="O12" i="10"/>
  <c r="O245" i="10"/>
  <c r="O227" i="10"/>
  <c r="O209" i="10"/>
  <c r="O191" i="10"/>
  <c r="O173" i="10"/>
  <c r="O155" i="10"/>
  <c r="O137" i="10"/>
  <c r="O119" i="10"/>
  <c r="O101" i="10"/>
  <c r="O83" i="10"/>
  <c r="O65" i="10"/>
  <c r="O47" i="10"/>
  <c r="O29" i="10"/>
  <c r="O11" i="10"/>
  <c r="O260" i="10"/>
  <c r="O234" i="10"/>
  <c r="O205" i="10"/>
  <c r="O180" i="10"/>
  <c r="O152" i="10"/>
  <c r="O126" i="10"/>
  <c r="O97" i="10"/>
  <c r="O72" i="10"/>
  <c r="O44" i="10"/>
  <c r="O18" i="10"/>
  <c r="O258" i="10"/>
  <c r="O230" i="10"/>
  <c r="O204" i="10"/>
  <c r="O178" i="10"/>
  <c r="O150" i="10"/>
  <c r="O122" i="10"/>
  <c r="O96" i="10"/>
  <c r="O70" i="10"/>
  <c r="O42" i="10"/>
  <c r="O14" i="10"/>
  <c r="O257" i="10"/>
  <c r="O229" i="10"/>
  <c r="O203" i="10"/>
  <c r="O176" i="10"/>
  <c r="O149" i="10"/>
  <c r="O121" i="10"/>
  <c r="O95" i="10"/>
  <c r="O68" i="10"/>
  <c r="O41" i="10"/>
  <c r="O13" i="10"/>
  <c r="O254" i="10"/>
  <c r="O226" i="10"/>
  <c r="O202" i="10"/>
  <c r="O170" i="10"/>
  <c r="O146" i="10"/>
  <c r="O118" i="10"/>
  <c r="O94" i="10"/>
  <c r="O62" i="10"/>
  <c r="O38" i="10"/>
  <c r="O10" i="10"/>
  <c r="O252" i="10"/>
  <c r="O224" i="10"/>
  <c r="O198" i="10"/>
  <c r="O169" i="10"/>
  <c r="O144" i="10"/>
  <c r="O116" i="10"/>
  <c r="O90" i="10"/>
  <c r="O61" i="10"/>
  <c r="O36" i="10"/>
  <c r="O8" i="10"/>
  <c r="O250" i="10"/>
  <c r="O222" i="10"/>
  <c r="O194" i="10"/>
  <c r="O168" i="10"/>
  <c r="O142" i="10"/>
  <c r="O114" i="10"/>
  <c r="O86" i="10"/>
  <c r="O60" i="10"/>
  <c r="O34" i="10"/>
  <c r="O6" i="10"/>
  <c r="O242" i="10"/>
  <c r="O218" i="10"/>
  <c r="O190" i="10"/>
  <c r="O166" i="10"/>
  <c r="O134" i="10"/>
  <c r="O110" i="10"/>
  <c r="O82" i="10"/>
  <c r="O58" i="10"/>
  <c r="O26" i="10"/>
  <c r="O2" i="10"/>
  <c r="O241" i="10"/>
  <c r="O216" i="10"/>
  <c r="O188" i="10"/>
  <c r="O162" i="10"/>
  <c r="O133" i="10"/>
  <c r="O108" i="10"/>
  <c r="O80" i="10"/>
  <c r="O54" i="10"/>
  <c r="O25" i="10"/>
  <c r="O248" i="10"/>
  <c r="O221" i="10"/>
  <c r="O193" i="10"/>
  <c r="O167" i="10"/>
  <c r="O140" i="10"/>
  <c r="O113" i="10"/>
  <c r="O85" i="10"/>
  <c r="O59" i="10"/>
  <c r="O32" i="10"/>
  <c r="O5" i="10"/>
  <c r="O212" i="10"/>
  <c r="O104" i="10"/>
  <c r="O206" i="10"/>
  <c r="O98" i="10"/>
  <c r="O186" i="10"/>
  <c r="O78" i="10"/>
  <c r="O157" i="10"/>
  <c r="O154" i="10"/>
  <c r="O132" i="10"/>
  <c r="O239" i="10"/>
  <c r="O23" i="10"/>
  <c r="O238" i="10"/>
  <c r="O22" i="10"/>
  <c r="O185" i="10"/>
  <c r="O77" i="10"/>
  <c r="O182" i="10"/>
  <c r="O74" i="10"/>
  <c r="O158" i="10"/>
  <c r="O50" i="10"/>
  <c r="O49" i="10"/>
  <c r="O262" i="10"/>
  <c r="O46" i="10"/>
  <c r="O240" i="10"/>
  <c r="O24" i="10"/>
  <c r="O131" i="10"/>
  <c r="O130" i="10"/>
  <c r="O214" i="10"/>
  <c r="O106" i="10"/>
  <c r="N259" i="10"/>
  <c r="N247" i="10"/>
  <c r="N235" i="10"/>
  <c r="N223" i="10"/>
  <c r="N211" i="10"/>
  <c r="N199" i="10"/>
  <c r="N187" i="10"/>
  <c r="N175" i="10"/>
  <c r="N163" i="10"/>
  <c r="N151" i="10"/>
  <c r="N139" i="10"/>
  <c r="N127" i="10"/>
  <c r="N115" i="10"/>
  <c r="N103" i="10"/>
  <c r="N91" i="10"/>
  <c r="N79" i="10"/>
  <c r="N67" i="10"/>
  <c r="N55" i="10"/>
  <c r="N43" i="10"/>
  <c r="N31" i="10"/>
  <c r="N19" i="10"/>
  <c r="N7" i="10"/>
  <c r="N257" i="10"/>
  <c r="N245" i="10"/>
  <c r="N233" i="10"/>
  <c r="N221" i="10"/>
  <c r="N209" i="10"/>
  <c r="N197" i="10"/>
  <c r="N185" i="10"/>
  <c r="N173" i="10"/>
  <c r="N161" i="10"/>
  <c r="N149" i="10"/>
  <c r="N137" i="10"/>
  <c r="N125" i="10"/>
  <c r="N113" i="10"/>
  <c r="N101" i="10"/>
  <c r="N89" i="10"/>
  <c r="N77" i="10"/>
  <c r="N65" i="10"/>
  <c r="N53" i="10"/>
  <c r="N41" i="10"/>
  <c r="N29" i="10"/>
  <c r="N17" i="10"/>
  <c r="N5" i="10"/>
  <c r="N254" i="10"/>
  <c r="N242" i="10"/>
  <c r="N230" i="10"/>
  <c r="N218" i="10"/>
  <c r="N206" i="10"/>
  <c r="N194" i="10"/>
  <c r="N182" i="10"/>
  <c r="N170" i="10"/>
  <c r="N158" i="10"/>
  <c r="N146" i="10"/>
  <c r="N134" i="10"/>
  <c r="N122" i="10"/>
  <c r="N110" i="10"/>
  <c r="N98" i="10"/>
  <c r="N86" i="10"/>
  <c r="N74" i="10"/>
  <c r="N62" i="10"/>
  <c r="N50" i="10"/>
  <c r="N38" i="10"/>
  <c r="N26" i="10"/>
  <c r="N14" i="10"/>
  <c r="N2" i="10"/>
  <c r="N253" i="10"/>
  <c r="N241" i="10"/>
  <c r="N229" i="10"/>
  <c r="N217" i="10"/>
  <c r="N205" i="10"/>
  <c r="N193" i="10"/>
  <c r="N181" i="10"/>
  <c r="N169" i="10"/>
  <c r="N157" i="10"/>
  <c r="N145" i="10"/>
  <c r="N133" i="10"/>
  <c r="N121" i="10"/>
  <c r="N109" i="10"/>
  <c r="N97" i="10"/>
  <c r="N85" i="10"/>
  <c r="N73" i="10"/>
  <c r="N61" i="10"/>
  <c r="N49" i="10"/>
  <c r="N37" i="10"/>
  <c r="N25" i="10"/>
  <c r="N13" i="10"/>
  <c r="N246" i="10"/>
  <c r="N227" i="10"/>
  <c r="N210" i="10"/>
  <c r="N191" i="10"/>
  <c r="N174" i="10"/>
  <c r="N155" i="10"/>
  <c r="N138" i="10"/>
  <c r="N119" i="10"/>
  <c r="N102" i="10"/>
  <c r="N83" i="10"/>
  <c r="N66" i="10"/>
  <c r="N47" i="10"/>
  <c r="N30" i="10"/>
  <c r="N11" i="10"/>
  <c r="N261" i="10"/>
  <c r="N243" i="10"/>
  <c r="N225" i="10"/>
  <c r="N207" i="10"/>
  <c r="N189" i="10"/>
  <c r="N171" i="10"/>
  <c r="N153" i="10"/>
  <c r="N135" i="10"/>
  <c r="N117" i="10"/>
  <c r="N99" i="10"/>
  <c r="N81" i="10"/>
  <c r="N63" i="10"/>
  <c r="N45" i="10"/>
  <c r="N27" i="10"/>
  <c r="N9" i="10"/>
  <c r="N256" i="10"/>
  <c r="N238" i="10"/>
  <c r="N220" i="10"/>
  <c r="N202" i="10"/>
  <c r="N184" i="10"/>
  <c r="N166" i="10"/>
  <c r="N148" i="10"/>
  <c r="N130" i="10"/>
  <c r="N112" i="10"/>
  <c r="N94" i="10"/>
  <c r="N76" i="10"/>
  <c r="N58" i="10"/>
  <c r="N40" i="10"/>
  <c r="N22" i="10"/>
  <c r="N4" i="10"/>
  <c r="N255" i="10"/>
  <c r="N237" i="10"/>
  <c r="N219" i="10"/>
  <c r="N201" i="10"/>
  <c r="N183" i="10"/>
  <c r="N165" i="10"/>
  <c r="N147" i="10"/>
  <c r="N129" i="10"/>
  <c r="N111" i="10"/>
  <c r="N93" i="10"/>
  <c r="N75" i="10"/>
  <c r="N57" i="10"/>
  <c r="N39" i="10"/>
  <c r="N21" i="10"/>
  <c r="N3" i="10"/>
  <c r="N251" i="10"/>
  <c r="N226" i="10"/>
  <c r="N198" i="10"/>
  <c r="N172" i="10"/>
  <c r="N143" i="10"/>
  <c r="N118" i="10"/>
  <c r="N90" i="10"/>
  <c r="N64" i="10"/>
  <c r="N35" i="10"/>
  <c r="N10" i="10"/>
  <c r="N250" i="10"/>
  <c r="N224" i="10"/>
  <c r="N196" i="10"/>
  <c r="N168" i="10"/>
  <c r="N142" i="10"/>
  <c r="N116" i="10"/>
  <c r="N88" i="10"/>
  <c r="N60" i="10"/>
  <c r="N34" i="10"/>
  <c r="N8" i="10"/>
  <c r="N249" i="10"/>
  <c r="N222" i="10"/>
  <c r="N195" i="10"/>
  <c r="N167" i="10"/>
  <c r="N141" i="10"/>
  <c r="N114" i="10"/>
  <c r="N87" i="10"/>
  <c r="N59" i="10"/>
  <c r="N33" i="10"/>
  <c r="N6" i="10"/>
  <c r="N248" i="10"/>
  <c r="N216" i="10"/>
  <c r="N192" i="10"/>
  <c r="N164" i="10"/>
  <c r="N140" i="10"/>
  <c r="N108" i="10"/>
  <c r="N84" i="10"/>
  <c r="N56" i="10"/>
  <c r="N32" i="10"/>
  <c r="N244" i="10"/>
  <c r="N215" i="10"/>
  <c r="N190" i="10"/>
  <c r="N162" i="10"/>
  <c r="N136" i="10"/>
  <c r="N107" i="10"/>
  <c r="N82" i="10"/>
  <c r="N54" i="10"/>
  <c r="N28" i="10"/>
  <c r="N240" i="10"/>
  <c r="N214" i="10"/>
  <c r="N188" i="10"/>
  <c r="N160" i="10"/>
  <c r="N132" i="10"/>
  <c r="N106" i="10"/>
  <c r="N80" i="10"/>
  <c r="N52" i="10"/>
  <c r="N24" i="10"/>
  <c r="N236" i="10"/>
  <c r="N212" i="10"/>
  <c r="N180" i="10"/>
  <c r="N156" i="10"/>
  <c r="N128" i="10"/>
  <c r="N104" i="10"/>
  <c r="N72" i="10"/>
  <c r="N48" i="10"/>
  <c r="N20" i="10"/>
  <c r="N262" i="10"/>
  <c r="N234" i="10"/>
  <c r="N208" i="10"/>
  <c r="N179" i="10"/>
  <c r="N154" i="10"/>
  <c r="N126" i="10"/>
  <c r="N100" i="10"/>
  <c r="N71" i="10"/>
  <c r="N46" i="10"/>
  <c r="N18" i="10"/>
  <c r="N239" i="10"/>
  <c r="N213" i="10"/>
  <c r="N186" i="10"/>
  <c r="N159" i="10"/>
  <c r="N131" i="10"/>
  <c r="N105" i="10"/>
  <c r="N78" i="10"/>
  <c r="N51" i="10"/>
  <c r="N23" i="10"/>
  <c r="N258" i="10"/>
  <c r="N150" i="10"/>
  <c r="N42" i="10"/>
  <c r="N252" i="10"/>
  <c r="N144" i="10"/>
  <c r="N36" i="10"/>
  <c r="N232" i="10"/>
  <c r="N124" i="10"/>
  <c r="N16" i="10"/>
  <c r="N203" i="10"/>
  <c r="N200" i="10"/>
  <c r="N178" i="10"/>
  <c r="N69" i="10"/>
  <c r="N68" i="10"/>
  <c r="N231" i="10"/>
  <c r="N123" i="10"/>
  <c r="N15" i="10"/>
  <c r="N228" i="10"/>
  <c r="N120" i="10"/>
  <c r="N12" i="10"/>
  <c r="N204" i="10"/>
  <c r="N96" i="10"/>
  <c r="N95" i="10"/>
  <c r="N92" i="10"/>
  <c r="N70" i="10"/>
  <c r="N177" i="10"/>
  <c r="N176" i="10"/>
  <c r="N152" i="10"/>
  <c r="N44" i="10"/>
  <c r="N260" i="10"/>
  <c r="Z1048" i="10"/>
  <c r="Z1036" i="10"/>
  <c r="Z1024" i="10"/>
  <c r="Z1012" i="10"/>
  <c r="Z1000" i="10"/>
  <c r="Z988" i="10"/>
  <c r="Z976" i="10"/>
  <c r="Z964" i="10"/>
  <c r="Z952" i="10"/>
  <c r="Z940" i="10"/>
  <c r="Z928" i="10"/>
  <c r="Z916" i="10"/>
  <c r="Z904" i="10"/>
  <c r="Z892" i="10"/>
  <c r="Z880" i="10"/>
  <c r="Z868" i="10"/>
  <c r="Z856" i="10"/>
  <c r="Z844" i="10"/>
  <c r="Z832" i="10"/>
  <c r="Z820" i="10"/>
  <c r="Z808" i="10"/>
  <c r="Z796" i="10"/>
  <c r="Z784" i="10"/>
  <c r="Z772" i="10"/>
  <c r="Z760" i="10"/>
  <c r="Z748" i="10"/>
  <c r="Z736" i="10"/>
  <c r="Z724" i="10"/>
  <c r="Z712" i="10"/>
  <c r="Z700" i="10"/>
  <c r="Z688" i="10"/>
  <c r="Z676" i="10"/>
  <c r="Z664" i="10"/>
  <c r="Z652" i="10"/>
  <c r="Z640" i="10"/>
  <c r="Z628" i="10"/>
  <c r="Z616" i="10"/>
  <c r="Z604" i="10"/>
  <c r="Z592" i="10"/>
  <c r="Z580" i="10"/>
  <c r="Z568" i="10"/>
  <c r="Z556" i="10"/>
  <c r="Z544" i="10"/>
  <c r="Z532" i="10"/>
  <c r="Z520" i="10"/>
  <c r="Z508" i="10"/>
  <c r="Z496" i="10"/>
  <c r="Z484" i="10"/>
  <c r="Z472" i="10"/>
  <c r="Z460" i="10"/>
  <c r="Z448" i="10"/>
  <c r="Z436" i="10"/>
  <c r="Z424" i="10"/>
  <c r="Z412" i="10"/>
  <c r="Z400" i="10"/>
  <c r="Z388" i="10"/>
  <c r="Z376" i="10"/>
  <c r="Z364" i="10"/>
  <c r="Z352" i="10"/>
  <c r="Z340" i="10"/>
  <c r="Z328" i="10"/>
  <c r="Z316" i="10"/>
  <c r="Z304" i="10"/>
  <c r="Z292" i="10"/>
  <c r="Z280" i="10"/>
  <c r="Z268" i="10"/>
  <c r="Z256" i="10"/>
  <c r="Z244" i="10"/>
  <c r="Z232" i="10"/>
  <c r="Z220" i="10"/>
  <c r="Z208" i="10"/>
  <c r="Z196" i="10"/>
  <c r="Z184" i="10"/>
  <c r="Z172" i="10"/>
  <c r="Z160" i="10"/>
  <c r="Z148" i="10"/>
  <c r="Z136" i="10"/>
  <c r="Z124" i="10"/>
  <c r="Z112" i="10"/>
  <c r="Z100" i="10"/>
  <c r="Z88" i="10"/>
  <c r="Z76" i="10"/>
  <c r="Z64" i="10"/>
  <c r="Z52" i="10"/>
  <c r="Z40" i="10"/>
  <c r="Z28" i="10"/>
  <c r="Z16" i="10"/>
  <c r="Z1045" i="10"/>
  <c r="Z1033" i="10"/>
  <c r="Z1021" i="10"/>
  <c r="Z1009" i="10"/>
  <c r="Z997" i="10"/>
  <c r="Z985" i="10"/>
  <c r="Z973" i="10"/>
  <c r="Z961" i="10"/>
  <c r="Z949" i="10"/>
  <c r="Z937" i="10"/>
  <c r="Z925" i="10"/>
  <c r="Z913" i="10"/>
  <c r="Z901" i="10"/>
  <c r="Z889" i="10"/>
  <c r="Z877" i="10"/>
  <c r="Z865" i="10"/>
  <c r="Z853" i="10"/>
  <c r="Z841" i="10"/>
  <c r="Z829" i="10"/>
  <c r="Z817" i="10"/>
  <c r="Z805" i="10"/>
  <c r="Z793" i="10"/>
  <c r="Z781" i="10"/>
  <c r="Z769" i="10"/>
  <c r="Z757" i="10"/>
  <c r="Z745" i="10"/>
  <c r="Z733" i="10"/>
  <c r="Z721" i="10"/>
  <c r="Z709" i="10"/>
  <c r="Z697" i="10"/>
  <c r="Z685" i="10"/>
  <c r="Z673" i="10"/>
  <c r="Z661" i="10"/>
  <c r="Z649" i="10"/>
  <c r="Z637" i="10"/>
  <c r="Z625" i="10"/>
  <c r="Z613" i="10"/>
  <c r="Z601" i="10"/>
  <c r="Z589" i="10"/>
  <c r="Z577" i="10"/>
  <c r="Z565" i="10"/>
  <c r="Z553" i="10"/>
  <c r="Z541" i="10"/>
  <c r="Z529" i="10"/>
  <c r="Z517" i="10"/>
  <c r="Z505" i="10"/>
  <c r="Z493" i="10"/>
  <c r="Z481" i="10"/>
  <c r="Z469" i="10"/>
  <c r="Z457" i="10"/>
  <c r="Z445" i="10"/>
  <c r="Z433" i="10"/>
  <c r="Z421" i="10"/>
  <c r="Z409" i="10"/>
  <c r="Z397" i="10"/>
  <c r="Z385" i="10"/>
  <c r="Z373" i="10"/>
  <c r="Z361" i="10"/>
  <c r="Z349" i="10"/>
  <c r="Z337" i="10"/>
  <c r="Z325" i="10"/>
  <c r="Z313" i="10"/>
  <c r="Z301" i="10"/>
  <c r="Z289" i="10"/>
  <c r="Z277" i="10"/>
  <c r="Z265" i="10"/>
  <c r="Z253" i="10"/>
  <c r="Z241" i="10"/>
  <c r="Z229" i="10"/>
  <c r="Z217" i="10"/>
  <c r="Z205" i="10"/>
  <c r="Z193" i="10"/>
  <c r="Z181" i="10"/>
  <c r="Z169" i="10"/>
  <c r="Z157" i="10"/>
  <c r="Z145" i="10"/>
  <c r="Z133" i="10"/>
  <c r="Z121" i="10"/>
  <c r="Z109" i="10"/>
  <c r="Z97" i="10"/>
  <c r="Z85" i="10"/>
  <c r="Z73" i="10"/>
  <c r="Z61" i="10"/>
  <c r="Z49" i="10"/>
  <c r="Z37" i="10"/>
  <c r="Z25" i="10"/>
  <c r="Z13" i="10"/>
  <c r="Z1044" i="10"/>
  <c r="Z1032" i="10"/>
  <c r="Z1020" i="10"/>
  <c r="Z1008" i="10"/>
  <c r="Z996" i="10"/>
  <c r="Z984" i="10"/>
  <c r="Z972" i="10"/>
  <c r="Z960" i="10"/>
  <c r="Z948" i="10"/>
  <c r="Z936" i="10"/>
  <c r="Z924" i="10"/>
  <c r="Z912" i="10"/>
  <c r="Z900" i="10"/>
  <c r="Z888" i="10"/>
  <c r="Z876" i="10"/>
  <c r="Z864" i="10"/>
  <c r="Z852" i="10"/>
  <c r="Z840" i="10"/>
  <c r="Z828" i="10"/>
  <c r="Z816" i="10"/>
  <c r="Z804" i="10"/>
  <c r="Z792" i="10"/>
  <c r="Z780" i="10"/>
  <c r="Z768" i="10"/>
  <c r="Z756" i="10"/>
  <c r="Z744" i="10"/>
  <c r="Z732" i="10"/>
  <c r="Z720" i="10"/>
  <c r="Z708" i="10"/>
  <c r="Z696" i="10"/>
  <c r="Z684" i="10"/>
  <c r="Z672" i="10"/>
  <c r="Z660" i="10"/>
  <c r="Z648" i="10"/>
  <c r="Z636" i="10"/>
  <c r="Z624" i="10"/>
  <c r="Z612" i="10"/>
  <c r="Z600" i="10"/>
  <c r="Z588" i="10"/>
  <c r="Z576" i="10"/>
  <c r="Z564" i="10"/>
  <c r="Z552" i="10"/>
  <c r="Z540" i="10"/>
  <c r="Z528" i="10"/>
  <c r="Z516" i="10"/>
  <c r="Z504" i="10"/>
  <c r="Z492" i="10"/>
  <c r="Z480" i="10"/>
  <c r="Z468" i="10"/>
  <c r="Z456" i="10"/>
  <c r="Z444" i="10"/>
  <c r="Z432" i="10"/>
  <c r="Z420" i="10"/>
  <c r="Z408" i="10"/>
  <c r="Z396" i="10"/>
  <c r="Z384" i="10"/>
  <c r="Z372" i="10"/>
  <c r="Z360" i="10"/>
  <c r="Z348" i="10"/>
  <c r="Z336" i="10"/>
  <c r="Z324" i="10"/>
  <c r="Z312" i="10"/>
  <c r="Z300" i="10"/>
  <c r="Z288" i="10"/>
  <c r="Z276" i="10"/>
  <c r="Z264" i="10"/>
  <c r="Z252" i="10"/>
  <c r="Z240" i="10"/>
  <c r="Z228" i="10"/>
  <c r="Z216" i="10"/>
  <c r="Z204" i="10"/>
  <c r="Z192" i="10"/>
  <c r="Z180" i="10"/>
  <c r="Z168" i="10"/>
  <c r="Z156" i="10"/>
  <c r="Z144" i="10"/>
  <c r="Z132" i="10"/>
  <c r="Z120" i="10"/>
  <c r="Z108" i="10"/>
  <c r="Z96" i="10"/>
  <c r="Z84" i="10"/>
  <c r="Z72" i="10"/>
  <c r="Z60" i="10"/>
  <c r="Z48" i="10"/>
  <c r="Z36" i="10"/>
  <c r="Z24" i="10"/>
  <c r="Z12" i="10"/>
  <c r="Z1049" i="10"/>
  <c r="Z1031" i="10"/>
  <c r="Z1016" i="10"/>
  <c r="Z1001" i="10"/>
  <c r="Z983" i="10"/>
  <c r="Z968" i="10"/>
  <c r="Z953" i="10"/>
  <c r="Z935" i="10"/>
  <c r="Z920" i="10"/>
  <c r="Z905" i="10"/>
  <c r="Z887" i="10"/>
  <c r="Z872" i="10"/>
  <c r="Z857" i="10"/>
  <c r="Z839" i="10"/>
  <c r="Z824" i="10"/>
  <c r="Z809" i="10"/>
  <c r="Z791" i="10"/>
  <c r="Z776" i="10"/>
  <c r="Z761" i="10"/>
  <c r="Z743" i="10"/>
  <c r="Z728" i="10"/>
  <c r="Z713" i="10"/>
  <c r="Z695" i="10"/>
  <c r="Z680" i="10"/>
  <c r="Z665" i="10"/>
  <c r="Z647" i="10"/>
  <c r="Z632" i="10"/>
  <c r="Z617" i="10"/>
  <c r="Z599" i="10"/>
  <c r="Z584" i="10"/>
  <c r="Z569" i="10"/>
  <c r="Z551" i="10"/>
  <c r="Z536" i="10"/>
  <c r="Z521" i="10"/>
  <c r="Z503" i="10"/>
  <c r="Z488" i="10"/>
  <c r="Z473" i="10"/>
  <c r="Z455" i="10"/>
  <c r="Z440" i="10"/>
  <c r="Z425" i="10"/>
  <c r="Z407" i="10"/>
  <c r="Z392" i="10"/>
  <c r="Z377" i="10"/>
  <c r="Z359" i="10"/>
  <c r="Z344" i="10"/>
  <c r="Z329" i="10"/>
  <c r="Z311" i="10"/>
  <c r="Z296" i="10"/>
  <c r="Z281" i="10"/>
  <c r="Z263" i="10"/>
  <c r="Z248" i="10"/>
  <c r="Z233" i="10"/>
  <c r="Z215" i="10"/>
  <c r="Z200" i="10"/>
  <c r="Z185" i="10"/>
  <c r="Z167" i="10"/>
  <c r="Z152" i="10"/>
  <c r="Z137" i="10"/>
  <c r="Z119" i="10"/>
  <c r="Z104" i="10"/>
  <c r="Z89" i="10"/>
  <c r="Z71" i="10"/>
  <c r="Z56" i="10"/>
  <c r="Z41" i="10"/>
  <c r="Z23" i="10"/>
  <c r="Z8" i="10"/>
  <c r="Z1046" i="10"/>
  <c r="Z1029" i="10"/>
  <c r="Z1014" i="10"/>
  <c r="Z998" i="10"/>
  <c r="Z981" i="10"/>
  <c r="Z966" i="10"/>
  <c r="Z950" i="10"/>
  <c r="Z933" i="10"/>
  <c r="Z918" i="10"/>
  <c r="Z902" i="10"/>
  <c r="Z885" i="10"/>
  <c r="Z870" i="10"/>
  <c r="Z854" i="10"/>
  <c r="Z837" i="10"/>
  <c r="Z822" i="10"/>
  <c r="Z806" i="10"/>
  <c r="Z789" i="10"/>
  <c r="Z774" i="10"/>
  <c r="Z758" i="10"/>
  <c r="Z741" i="10"/>
  <c r="Z726" i="10"/>
  <c r="Z710" i="10"/>
  <c r="Z693" i="10"/>
  <c r="Z678" i="10"/>
  <c r="Z662" i="10"/>
  <c r="Z645" i="10"/>
  <c r="Z630" i="10"/>
  <c r="Z614" i="10"/>
  <c r="Z597" i="10"/>
  <c r="Z582" i="10"/>
  <c r="Z566" i="10"/>
  <c r="Z549" i="10"/>
  <c r="Z534" i="10"/>
  <c r="Z518" i="10"/>
  <c r="Z501" i="10"/>
  <c r="Z486" i="10"/>
  <c r="Z470" i="10"/>
  <c r="Z453" i="10"/>
  <c r="Z438" i="10"/>
  <c r="Z422" i="10"/>
  <c r="Z405" i="10"/>
  <c r="Z390" i="10"/>
  <c r="Z374" i="10"/>
  <c r="Z357" i="10"/>
  <c r="Z342" i="10"/>
  <c r="Z326" i="10"/>
  <c r="Z309" i="10"/>
  <c r="Z294" i="10"/>
  <c r="Z278" i="10"/>
  <c r="Z261" i="10"/>
  <c r="Z246" i="10"/>
  <c r="Z230" i="10"/>
  <c r="Z213" i="10"/>
  <c r="Z198" i="10"/>
  <c r="Z182" i="10"/>
  <c r="Z165" i="10"/>
  <c r="Z150" i="10"/>
  <c r="Z134" i="10"/>
  <c r="Z117" i="10"/>
  <c r="Z102" i="10"/>
  <c r="Z86" i="10"/>
  <c r="Z69" i="10"/>
  <c r="Z54" i="10"/>
  <c r="Z38" i="10"/>
  <c r="Z21" i="10"/>
  <c r="Z1041" i="10"/>
  <c r="Z1026" i="10"/>
  <c r="Z1010" i="10"/>
  <c r="Z993" i="10"/>
  <c r="Z978" i="10"/>
  <c r="Z962" i="10"/>
  <c r="Z945" i="10"/>
  <c r="Z930" i="10"/>
  <c r="Z914" i="10"/>
  <c r="Z897" i="10"/>
  <c r="Z882" i="10"/>
  <c r="Z866" i="10"/>
  <c r="Z849" i="10"/>
  <c r="Z834" i="10"/>
  <c r="Z818" i="10"/>
  <c r="Z801" i="10"/>
  <c r="Z786" i="10"/>
  <c r="Z770" i="10"/>
  <c r="Z753" i="10"/>
  <c r="Z738" i="10"/>
  <c r="Z722" i="10"/>
  <c r="Z705" i="10"/>
  <c r="Z690" i="10"/>
  <c r="Z674" i="10"/>
  <c r="Z657" i="10"/>
  <c r="Z642" i="10"/>
  <c r="Z626" i="10"/>
  <c r="Z609" i="10"/>
  <c r="Z594" i="10"/>
  <c r="Z578" i="10"/>
  <c r="Z561" i="10"/>
  <c r="Z546" i="10"/>
  <c r="Z530" i="10"/>
  <c r="Z513" i="10"/>
  <c r="Z498" i="10"/>
  <c r="Z482" i="10"/>
  <c r="Z465" i="10"/>
  <c r="Z450" i="10"/>
  <c r="Z434" i="10"/>
  <c r="Z417" i="10"/>
  <c r="Z402" i="10"/>
  <c r="Z386" i="10"/>
  <c r="Z369" i="10"/>
  <c r="Z354" i="10"/>
  <c r="Z338" i="10"/>
  <c r="Z321" i="10"/>
  <c r="Z306" i="10"/>
  <c r="Z290" i="10"/>
  <c r="Z273" i="10"/>
  <c r="Z258" i="10"/>
  <c r="Z242" i="10"/>
  <c r="Z225" i="10"/>
  <c r="Z210" i="10"/>
  <c r="Z194" i="10"/>
  <c r="Z177" i="10"/>
  <c r="Z162" i="10"/>
  <c r="Z146" i="10"/>
  <c r="Z129" i="10"/>
  <c r="Z114" i="10"/>
  <c r="Z98" i="10"/>
  <c r="Z81" i="10"/>
  <c r="Z66" i="10"/>
  <c r="Z50" i="10"/>
  <c r="Z33" i="10"/>
  <c r="Z18" i="10"/>
  <c r="Z1040" i="10"/>
  <c r="Z1025" i="10"/>
  <c r="Z1007" i="10"/>
  <c r="Z992" i="10"/>
  <c r="Z977" i="10"/>
  <c r="Z959" i="10"/>
  <c r="Z944" i="10"/>
  <c r="Z929" i="10"/>
  <c r="Z911" i="10"/>
  <c r="Z896" i="10"/>
  <c r="Z881" i="10"/>
  <c r="Z863" i="10"/>
  <c r="Z848" i="10"/>
  <c r="Z833" i="10"/>
  <c r="Z815" i="10"/>
  <c r="Z800" i="10"/>
  <c r="Z785" i="10"/>
  <c r="Z767" i="10"/>
  <c r="Z752" i="10"/>
  <c r="Z737" i="10"/>
  <c r="Z719" i="10"/>
  <c r="Z704" i="10"/>
  <c r="Z689" i="10"/>
  <c r="Z671" i="10"/>
  <c r="Z656" i="10"/>
  <c r="Z641" i="10"/>
  <c r="Z623" i="10"/>
  <c r="Z608" i="10"/>
  <c r="Z593" i="10"/>
  <c r="Z575" i="10"/>
  <c r="Z560" i="10"/>
  <c r="Z545" i="10"/>
  <c r="Z527" i="10"/>
  <c r="Z512" i="10"/>
  <c r="Z497" i="10"/>
  <c r="Z479" i="10"/>
  <c r="Z464" i="10"/>
  <c r="Z449" i="10"/>
  <c r="Z431" i="10"/>
  <c r="Z416" i="10"/>
  <c r="Z401" i="10"/>
  <c r="Z383" i="10"/>
  <c r="Z368" i="10"/>
  <c r="Z353" i="10"/>
  <c r="Z335" i="10"/>
  <c r="Z320" i="10"/>
  <c r="Z305" i="10"/>
  <c r="Z287" i="10"/>
  <c r="Z272" i="10"/>
  <c r="Z257" i="10"/>
  <c r="Z239" i="10"/>
  <c r="Z224" i="10"/>
  <c r="Z209" i="10"/>
  <c r="Z191" i="10"/>
  <c r="Z176" i="10"/>
  <c r="Z161" i="10"/>
  <c r="Z143" i="10"/>
  <c r="Z128" i="10"/>
  <c r="Z113" i="10"/>
  <c r="Z95" i="10"/>
  <c r="Z80" i="10"/>
  <c r="Z65" i="10"/>
  <c r="Z47" i="10"/>
  <c r="Z32" i="10"/>
  <c r="Z17" i="10"/>
  <c r="Z1030" i="10"/>
  <c r="Z1005" i="10"/>
  <c r="Z982" i="10"/>
  <c r="Z957" i="10"/>
  <c r="Z934" i="10"/>
  <c r="Z909" i="10"/>
  <c r="Z886" i="10"/>
  <c r="Z861" i="10"/>
  <c r="Z838" i="10"/>
  <c r="Z813" i="10"/>
  <c r="Z790" i="10"/>
  <c r="Z765" i="10"/>
  <c r="Z742" i="10"/>
  <c r="Z717" i="10"/>
  <c r="Z694" i="10"/>
  <c r="Z669" i="10"/>
  <c r="Z646" i="10"/>
  <c r="Z621" i="10"/>
  <c r="Z598" i="10"/>
  <c r="Z573" i="10"/>
  <c r="Z550" i="10"/>
  <c r="Z525" i="10"/>
  <c r="Z502" i="10"/>
  <c r="Z477" i="10"/>
  <c r="Z454" i="10"/>
  <c r="Z429" i="10"/>
  <c r="Z406" i="10"/>
  <c r="Z381" i="10"/>
  <c r="Z358" i="10"/>
  <c r="Z333" i="10"/>
  <c r="Z310" i="10"/>
  <c r="Z285" i="10"/>
  <c r="Z262" i="10"/>
  <c r="Z237" i="10"/>
  <c r="Z214" i="10"/>
  <c r="Z189" i="10"/>
  <c r="Z166" i="10"/>
  <c r="Z141" i="10"/>
  <c r="Z118" i="10"/>
  <c r="Z93" i="10"/>
  <c r="Z70" i="10"/>
  <c r="Z45" i="10"/>
  <c r="Z22" i="10"/>
  <c r="Z1027" i="10"/>
  <c r="Z1003" i="10"/>
  <c r="Z979" i="10"/>
  <c r="Z955" i="10"/>
  <c r="Z931" i="10"/>
  <c r="Z907" i="10"/>
  <c r="Z883" i="10"/>
  <c r="Z859" i="10"/>
  <c r="Z835" i="10"/>
  <c r="Z811" i="10"/>
  <c r="Z787" i="10"/>
  <c r="Z763" i="10"/>
  <c r="Z739" i="10"/>
  <c r="Z715" i="10"/>
  <c r="Z691" i="10"/>
  <c r="Z667" i="10"/>
  <c r="Z643" i="10"/>
  <c r="Z619" i="10"/>
  <c r="Z595" i="10"/>
  <c r="Z571" i="10"/>
  <c r="Z547" i="10"/>
  <c r="Z523" i="10"/>
  <c r="Z499" i="10"/>
  <c r="Z475" i="10"/>
  <c r="Z451" i="10"/>
  <c r="Z427" i="10"/>
  <c r="Z403" i="10"/>
  <c r="Z379" i="10"/>
  <c r="Z355" i="10"/>
  <c r="Z331" i="10"/>
  <c r="Z307" i="10"/>
  <c r="Z283" i="10"/>
  <c r="Z259" i="10"/>
  <c r="Z235" i="10"/>
  <c r="Z211" i="10"/>
  <c r="Z187" i="10"/>
  <c r="Z163" i="10"/>
  <c r="Z139" i="10"/>
  <c r="Z115" i="10"/>
  <c r="Z91" i="10"/>
  <c r="Z67" i="10"/>
  <c r="Z43" i="10"/>
  <c r="Z19" i="10"/>
  <c r="Z1043" i="10"/>
  <c r="Z1019" i="10"/>
  <c r="Z995" i="10"/>
  <c r="Z971" i="10"/>
  <c r="Z947" i="10"/>
  <c r="Z923" i="10"/>
  <c r="Z899" i="10"/>
  <c r="Z875" i="10"/>
  <c r="Z851" i="10"/>
  <c r="Z827" i="10"/>
  <c r="Z803" i="10"/>
  <c r="Z779" i="10"/>
  <c r="Z755" i="10"/>
  <c r="Z731" i="10"/>
  <c r="Z707" i="10"/>
  <c r="Z683" i="10"/>
  <c r="Z659" i="10"/>
  <c r="Z635" i="10"/>
  <c r="Z611" i="10"/>
  <c r="Z587" i="10"/>
  <c r="Z563" i="10"/>
  <c r="Z539" i="10"/>
  <c r="Z515" i="10"/>
  <c r="Z491" i="10"/>
  <c r="Z467" i="10"/>
  <c r="Z443" i="10"/>
  <c r="Z419" i="10"/>
  <c r="Z395" i="10"/>
  <c r="Z371" i="10"/>
  <c r="Z347" i="10"/>
  <c r="Z323" i="10"/>
  <c r="Z299" i="10"/>
  <c r="Z275" i="10"/>
  <c r="Z251" i="10"/>
  <c r="Z227" i="10"/>
  <c r="Z203" i="10"/>
  <c r="Z179" i="10"/>
  <c r="Z155" i="10"/>
  <c r="Z131" i="10"/>
  <c r="Z107" i="10"/>
  <c r="Z83" i="10"/>
  <c r="Z59" i="10"/>
  <c r="Z35" i="10"/>
  <c r="Z11" i="10"/>
  <c r="Z1042" i="10"/>
  <c r="Z1018" i="10"/>
  <c r="Z994" i="10"/>
  <c r="Z970" i="10"/>
  <c r="Z946" i="10"/>
  <c r="Z922" i="10"/>
  <c r="Z898" i="10"/>
  <c r="Z874" i="10"/>
  <c r="Z850" i="10"/>
  <c r="Z826" i="10"/>
  <c r="Z802" i="10"/>
  <c r="Z778" i="10"/>
  <c r="Z754" i="10"/>
  <c r="Z730" i="10"/>
  <c r="Z706" i="10"/>
  <c r="Z682" i="10"/>
  <c r="Z658" i="10"/>
  <c r="Z634" i="10"/>
  <c r="Z610" i="10"/>
  <c r="Z586" i="10"/>
  <c r="Z562" i="10"/>
  <c r="Z538" i="10"/>
  <c r="Z514" i="10"/>
  <c r="Z490" i="10"/>
  <c r="Z466" i="10"/>
  <c r="Z442" i="10"/>
  <c r="Z418" i="10"/>
  <c r="Z394" i="10"/>
  <c r="Z370" i="10"/>
  <c r="Z346" i="10"/>
  <c r="Z322" i="10"/>
  <c r="Z298" i="10"/>
  <c r="Z274" i="10"/>
  <c r="Z250" i="10"/>
  <c r="Z226" i="10"/>
  <c r="Z202" i="10"/>
  <c r="Z178" i="10"/>
  <c r="Z154" i="10"/>
  <c r="Z130" i="10"/>
  <c r="Z106" i="10"/>
  <c r="Z82" i="10"/>
  <c r="Z58" i="10"/>
  <c r="Z34" i="10"/>
  <c r="Z10" i="10"/>
  <c r="Z1028" i="10"/>
  <c r="Z990" i="10"/>
  <c r="Z956" i="10"/>
  <c r="Z919" i="10"/>
  <c r="Z884" i="10"/>
  <c r="Z846" i="10"/>
  <c r="Z812" i="10"/>
  <c r="Z775" i="10"/>
  <c r="Z740" i="10"/>
  <c r="Z702" i="10"/>
  <c r="Z668" i="10"/>
  <c r="Z631" i="10"/>
  <c r="Z596" i="10"/>
  <c r="Z558" i="10"/>
  <c r="Z524" i="10"/>
  <c r="Z487" i="10"/>
  <c r="Z452" i="10"/>
  <c r="Z414" i="10"/>
  <c r="Z380" i="10"/>
  <c r="Z343" i="10"/>
  <c r="Z308" i="10"/>
  <c r="Z270" i="10"/>
  <c r="Z236" i="10"/>
  <c r="Z199" i="10"/>
  <c r="Z164" i="10"/>
  <c r="Z126" i="10"/>
  <c r="Z92" i="10"/>
  <c r="Z55" i="10"/>
  <c r="Z20" i="10"/>
  <c r="Z1023" i="10"/>
  <c r="Z989" i="10"/>
  <c r="Z954" i="10"/>
  <c r="Z917" i="10"/>
  <c r="Z879" i="10"/>
  <c r="Z845" i="10"/>
  <c r="Z810" i="10"/>
  <c r="Z773" i="10"/>
  <c r="Z735" i="10"/>
  <c r="Z701" i="10"/>
  <c r="Z666" i="10"/>
  <c r="Z629" i="10"/>
  <c r="Z591" i="10"/>
  <c r="Z557" i="10"/>
  <c r="Z522" i="10"/>
  <c r="Z485" i="10"/>
  <c r="Z447" i="10"/>
  <c r="Z413" i="10"/>
  <c r="Z378" i="10"/>
  <c r="Z341" i="10"/>
  <c r="Z303" i="10"/>
  <c r="Z269" i="10"/>
  <c r="Z234" i="10"/>
  <c r="Z197" i="10"/>
  <c r="Z159" i="10"/>
  <c r="Z125" i="10"/>
  <c r="Z90" i="10"/>
  <c r="Z53" i="10"/>
  <c r="Z15" i="10"/>
  <c r="Z1022" i="10"/>
  <c r="Z987" i="10"/>
  <c r="Z951" i="10"/>
  <c r="Z915" i="10"/>
  <c r="Z878" i="10"/>
  <c r="Z843" i="10"/>
  <c r="Z807" i="10"/>
  <c r="Z771" i="10"/>
  <c r="Z734" i="10"/>
  <c r="Z699" i="10"/>
  <c r="Z663" i="10"/>
  <c r="Z627" i="10"/>
  <c r="Z590" i="10"/>
  <c r="Z555" i="10"/>
  <c r="Z519" i="10"/>
  <c r="Z483" i="10"/>
  <c r="Z446" i="10"/>
  <c r="Z411" i="10"/>
  <c r="Z375" i="10"/>
  <c r="Z339" i="10"/>
  <c r="Z302" i="10"/>
  <c r="Z267" i="10"/>
  <c r="Z231" i="10"/>
  <c r="Z195" i="10"/>
  <c r="Z158" i="10"/>
  <c r="Z123" i="10"/>
  <c r="Z87" i="10"/>
  <c r="Z51" i="10"/>
  <c r="Z14" i="10"/>
  <c r="Z1017" i="10"/>
  <c r="Z986" i="10"/>
  <c r="Z943" i="10"/>
  <c r="Z910" i="10"/>
  <c r="Z873" i="10"/>
  <c r="Z842" i="10"/>
  <c r="Z799" i="10"/>
  <c r="Z766" i="10"/>
  <c r="Z729" i="10"/>
  <c r="Z698" i="10"/>
  <c r="Z655" i="10"/>
  <c r="Z622" i="10"/>
  <c r="Z585" i="10"/>
  <c r="Z554" i="10"/>
  <c r="Z511" i="10"/>
  <c r="Z478" i="10"/>
  <c r="Z441" i="10"/>
  <c r="Z410" i="10"/>
  <c r="Z367" i="10"/>
  <c r="Z334" i="10"/>
  <c r="Z297" i="10"/>
  <c r="Z266" i="10"/>
  <c r="Z223" i="10"/>
  <c r="Z190" i="10"/>
  <c r="Z153" i="10"/>
  <c r="Z122" i="10"/>
  <c r="Z79" i="10"/>
  <c r="Z46" i="10"/>
  <c r="Z9" i="10"/>
  <c r="Z1015" i="10"/>
  <c r="Z980" i="10"/>
  <c r="Z942" i="10"/>
  <c r="Z908" i="10"/>
  <c r="Z871" i="10"/>
  <c r="Z836" i="10"/>
  <c r="Z798" i="10"/>
  <c r="Z764" i="10"/>
  <c r="Z727" i="10"/>
  <c r="Z692" i="10"/>
  <c r="Z654" i="10"/>
  <c r="Z620" i="10"/>
  <c r="Z583" i="10"/>
  <c r="Z548" i="10"/>
  <c r="Z510" i="10"/>
  <c r="Z476" i="10"/>
  <c r="Z439" i="10"/>
  <c r="Z404" i="10"/>
  <c r="Z366" i="10"/>
  <c r="Z332" i="10"/>
  <c r="Z295" i="10"/>
  <c r="Z260" i="10"/>
  <c r="Z222" i="10"/>
  <c r="Z188" i="10"/>
  <c r="Z151" i="10"/>
  <c r="Z116" i="10"/>
  <c r="Z78" i="10"/>
  <c r="Z44" i="10"/>
  <c r="Z7" i="10"/>
  <c r="Z1050" i="10"/>
  <c r="Z1013" i="10"/>
  <c r="Z975" i="10"/>
  <c r="Z941" i="10"/>
  <c r="Z906" i="10"/>
  <c r="Z869" i="10"/>
  <c r="Z831" i="10"/>
  <c r="Z797" i="10"/>
  <c r="Z762" i="10"/>
  <c r="Z725" i="10"/>
  <c r="Z687" i="10"/>
  <c r="Z653" i="10"/>
  <c r="Z618" i="10"/>
  <c r="Z581" i="10"/>
  <c r="Z543" i="10"/>
  <c r="Z509" i="10"/>
  <c r="Z474" i="10"/>
  <c r="Z437" i="10"/>
  <c r="Z399" i="10"/>
  <c r="Z365" i="10"/>
  <c r="Z330" i="10"/>
  <c r="Z293" i="10"/>
  <c r="Z255" i="10"/>
  <c r="Z221" i="10"/>
  <c r="Z186" i="10"/>
  <c r="Z149" i="10"/>
  <c r="Z111" i="10"/>
  <c r="Z77" i="10"/>
  <c r="Z42" i="10"/>
  <c r="Z1039" i="10"/>
  <c r="Z1006" i="10"/>
  <c r="Z969" i="10"/>
  <c r="Z938" i="10"/>
  <c r="Z895" i="10"/>
  <c r="Z862" i="10"/>
  <c r="Z825" i="10"/>
  <c r="Z794" i="10"/>
  <c r="Z751" i="10"/>
  <c r="Z718" i="10"/>
  <c r="Z681" i="10"/>
  <c r="Z650" i="10"/>
  <c r="Z607" i="10"/>
  <c r="Z574" i="10"/>
  <c r="Z537" i="10"/>
  <c r="Z506" i="10"/>
  <c r="Z463" i="10"/>
  <c r="Z430" i="10"/>
  <c r="Z393" i="10"/>
  <c r="Z362" i="10"/>
  <c r="Z319" i="10"/>
  <c r="Z286" i="10"/>
  <c r="Z249" i="10"/>
  <c r="Z218" i="10"/>
  <c r="Z175" i="10"/>
  <c r="Z142" i="10"/>
  <c r="Z105" i="10"/>
  <c r="Z74" i="10"/>
  <c r="Z31" i="10"/>
  <c r="Z1038" i="10"/>
  <c r="Z1004" i="10"/>
  <c r="Z967" i="10"/>
  <c r="Z932" i="10"/>
  <c r="Z894" i="10"/>
  <c r="Z860" i="10"/>
  <c r="Z823" i="10"/>
  <c r="Z788" i="10"/>
  <c r="Z750" i="10"/>
  <c r="Z716" i="10"/>
  <c r="Z679" i="10"/>
  <c r="Z644" i="10"/>
  <c r="Z606" i="10"/>
  <c r="Z572" i="10"/>
  <c r="Z535" i="10"/>
  <c r="Z500" i="10"/>
  <c r="Z462" i="10"/>
  <c r="Z428" i="10"/>
  <c r="Z391" i="10"/>
  <c r="Z356" i="10"/>
  <c r="Z318" i="10"/>
  <c r="Z284" i="10"/>
  <c r="Z247" i="10"/>
  <c r="Z212" i="10"/>
  <c r="Z174" i="10"/>
  <c r="Z140" i="10"/>
  <c r="Z103" i="10"/>
  <c r="Z68" i="10"/>
  <c r="Z30" i="10"/>
  <c r="Z1047" i="10"/>
  <c r="Z1011" i="10"/>
  <c r="Z974" i="10"/>
  <c r="Z939" i="10"/>
  <c r="Z903" i="10"/>
  <c r="Z867" i="10"/>
  <c r="Z830" i="10"/>
  <c r="Z795" i="10"/>
  <c r="Z759" i="10"/>
  <c r="Z723" i="10"/>
  <c r="Z686" i="10"/>
  <c r="Z651" i="10"/>
  <c r="Z615" i="10"/>
  <c r="Z579" i="10"/>
  <c r="Z542" i="10"/>
  <c r="Z507" i="10"/>
  <c r="Z471" i="10"/>
  <c r="Z435" i="10"/>
  <c r="Z398" i="10"/>
  <c r="Z363" i="10"/>
  <c r="Z327" i="10"/>
  <c r="Z291" i="10"/>
  <c r="Z254" i="10"/>
  <c r="Z219" i="10"/>
  <c r="Z183" i="10"/>
  <c r="Z147" i="10"/>
  <c r="Z110" i="10"/>
  <c r="Z75" i="10"/>
  <c r="Z39" i="10"/>
  <c r="Z991" i="10"/>
  <c r="Z847" i="10"/>
  <c r="Z703" i="10"/>
  <c r="Z559" i="10"/>
  <c r="Z415" i="10"/>
  <c r="Z271" i="10"/>
  <c r="Z127" i="10"/>
  <c r="Z965" i="10"/>
  <c r="Z821" i="10"/>
  <c r="Z677" i="10"/>
  <c r="Z533" i="10"/>
  <c r="Z389" i="10"/>
  <c r="Z245" i="10"/>
  <c r="Z101" i="10"/>
  <c r="Z963" i="10"/>
  <c r="Z819" i="10"/>
  <c r="Z675" i="10"/>
  <c r="Z531" i="10"/>
  <c r="Z387" i="10"/>
  <c r="Z243" i="10"/>
  <c r="Z99" i="10"/>
  <c r="Z777" i="10"/>
  <c r="Z489" i="10"/>
  <c r="Z201" i="10"/>
  <c r="Z893" i="10"/>
  <c r="Z29" i="10"/>
  <c r="Z891" i="10"/>
  <c r="Z27" i="10"/>
  <c r="Z602" i="10"/>
  <c r="Z26" i="10"/>
  <c r="Z858" i="10"/>
  <c r="Z570" i="10"/>
  <c r="Z282" i="10"/>
  <c r="Z958" i="10"/>
  <c r="Z814" i="10"/>
  <c r="Z670" i="10"/>
  <c r="Z526" i="10"/>
  <c r="Z382" i="10"/>
  <c r="Z238" i="10"/>
  <c r="Z94" i="10"/>
  <c r="Z927" i="10"/>
  <c r="Z783" i="10"/>
  <c r="Z639" i="10"/>
  <c r="Z495" i="10"/>
  <c r="Z351" i="10"/>
  <c r="Z207" i="10"/>
  <c r="Z63" i="10"/>
  <c r="Z926" i="10"/>
  <c r="Z782" i="10"/>
  <c r="Z638" i="10"/>
  <c r="Z494" i="10"/>
  <c r="Z350" i="10"/>
  <c r="Z206" i="10"/>
  <c r="Z62" i="10"/>
  <c r="Z921" i="10"/>
  <c r="Z633" i="10"/>
  <c r="Z345" i="10"/>
  <c r="Z57" i="10"/>
  <c r="Z1037" i="10"/>
  <c r="Z749" i="10"/>
  <c r="Z605" i="10"/>
  <c r="Z461" i="10"/>
  <c r="Z317" i="10"/>
  <c r="Z173" i="10"/>
  <c r="Z1035" i="10"/>
  <c r="Z747" i="10"/>
  <c r="Z603" i="10"/>
  <c r="Z459" i="10"/>
  <c r="Z315" i="10"/>
  <c r="Z171" i="10"/>
  <c r="Z1034" i="10"/>
  <c r="Z890" i="10"/>
  <c r="Z746" i="10"/>
  <c r="Z458" i="10"/>
  <c r="Z314" i="10"/>
  <c r="Z170" i="10"/>
  <c r="Z1002" i="10"/>
  <c r="Z714" i="10"/>
  <c r="Z426" i="10"/>
  <c r="Z138" i="10"/>
  <c r="Z999" i="10"/>
  <c r="Z567" i="10"/>
  <c r="Z423" i="10"/>
  <c r="Z135" i="10"/>
  <c r="Z711" i="10"/>
  <c r="Z855" i="10"/>
  <c r="Z279" i="10"/>
  <c r="AI115" i="10"/>
  <c r="AI103" i="10"/>
  <c r="AI91" i="10"/>
  <c r="AI79" i="10"/>
  <c r="AI67" i="10"/>
  <c r="AI55" i="10"/>
  <c r="AI43" i="10"/>
  <c r="AI31" i="10"/>
  <c r="AI19" i="10"/>
  <c r="AI7" i="10"/>
  <c r="AI125" i="10"/>
  <c r="AI113" i="10"/>
  <c r="AI101" i="10"/>
  <c r="AI89" i="10"/>
  <c r="AI77" i="10"/>
  <c r="AI65" i="10"/>
  <c r="AI53" i="10"/>
  <c r="AI41" i="10"/>
  <c r="AI29" i="10"/>
  <c r="AI17" i="10"/>
  <c r="AI124" i="10"/>
  <c r="AI112" i="10"/>
  <c r="AI100" i="10"/>
  <c r="AI88" i="10"/>
  <c r="AI76" i="10"/>
  <c r="AI64" i="10"/>
  <c r="AI52" i="10"/>
  <c r="AI40" i="10"/>
  <c r="AI28" i="10"/>
  <c r="AI16" i="10"/>
  <c r="AI122" i="10"/>
  <c r="AI110" i="10"/>
  <c r="AI98" i="10"/>
  <c r="AI86" i="10"/>
  <c r="AI74" i="10"/>
  <c r="AI62" i="10"/>
  <c r="AI50" i="10"/>
  <c r="AI38" i="10"/>
  <c r="AI26" i="10"/>
  <c r="AI14" i="10"/>
  <c r="AI114" i="10"/>
  <c r="AI95" i="10"/>
  <c r="AI78" i="10"/>
  <c r="AI59" i="10"/>
  <c r="AI42" i="10"/>
  <c r="AI23" i="10"/>
  <c r="AI109" i="10"/>
  <c r="AI93" i="10"/>
  <c r="AI73" i="10"/>
  <c r="AI57" i="10"/>
  <c r="AI37" i="10"/>
  <c r="AI21" i="10"/>
  <c r="AI123" i="10"/>
  <c r="AI106" i="10"/>
  <c r="AI87" i="10"/>
  <c r="AI70" i="10"/>
  <c r="AI51" i="10"/>
  <c r="AI34" i="10"/>
  <c r="AI15" i="10"/>
  <c r="AI121" i="10"/>
  <c r="AI105" i="10"/>
  <c r="AI85" i="10"/>
  <c r="AI69" i="10"/>
  <c r="AI49" i="10"/>
  <c r="AI33" i="10"/>
  <c r="AI13" i="10"/>
  <c r="AI119" i="10"/>
  <c r="AI94" i="10"/>
  <c r="AI66" i="10"/>
  <c r="AI39" i="10"/>
  <c r="AI11" i="10"/>
  <c r="AI117" i="10"/>
  <c r="AI90" i="10"/>
  <c r="AI61" i="10"/>
  <c r="AI35" i="10"/>
  <c r="AI9" i="10"/>
  <c r="AI108" i="10"/>
  <c r="AI82" i="10"/>
  <c r="AI56" i="10"/>
  <c r="AI27" i="10"/>
  <c r="AI107" i="10"/>
  <c r="AI81" i="10"/>
  <c r="AI54" i="10"/>
  <c r="AI25" i="10"/>
  <c r="AI102" i="10"/>
  <c r="AI63" i="10"/>
  <c r="AI22" i="10"/>
  <c r="AI97" i="10"/>
  <c r="AI58" i="10"/>
  <c r="AI18" i="10"/>
  <c r="AI84" i="10"/>
  <c r="AI46" i="10"/>
  <c r="AI8" i="10"/>
  <c r="AI126" i="10"/>
  <c r="AI83" i="10"/>
  <c r="AI45" i="10"/>
  <c r="AI99" i="10"/>
  <c r="AI36" i="10"/>
  <c r="AI96" i="10"/>
  <c r="AI32" i="10"/>
  <c r="AI92" i="10"/>
  <c r="AI30" i="10"/>
  <c r="AI80" i="10"/>
  <c r="AI24" i="10"/>
  <c r="AI75" i="10"/>
  <c r="AI20" i="10"/>
  <c r="AI72" i="10"/>
  <c r="AI12" i="10"/>
  <c r="AI120" i="10"/>
  <c r="AI68" i="10"/>
  <c r="AI118" i="10"/>
  <c r="AI60" i="10"/>
  <c r="AI71" i="10"/>
  <c r="AI10" i="10"/>
  <c r="AI116" i="10"/>
  <c r="AI111" i="10"/>
  <c r="AI104" i="10"/>
  <c r="AI48" i="10"/>
  <c r="AI47" i="10"/>
  <c r="AI44" i="10"/>
  <c r="AD119" i="10"/>
  <c r="AD107" i="10"/>
  <c r="AD95" i="10"/>
  <c r="AD83" i="10"/>
  <c r="AD71" i="10"/>
  <c r="AD59" i="10"/>
  <c r="AD47" i="10"/>
  <c r="AD35" i="10"/>
  <c r="AD23" i="10"/>
  <c r="AD11" i="10"/>
  <c r="AD117" i="10"/>
  <c r="AD105" i="10"/>
  <c r="AD93" i="10"/>
  <c r="AD81" i="10"/>
  <c r="AD69" i="10"/>
  <c r="AD57" i="10"/>
  <c r="AD45" i="10"/>
  <c r="AD33" i="10"/>
  <c r="AD21" i="10"/>
  <c r="AD9" i="10"/>
  <c r="AD116" i="10"/>
  <c r="AD104" i="10"/>
  <c r="AD92" i="10"/>
  <c r="AD80" i="10"/>
  <c r="AD68" i="10"/>
  <c r="AD56" i="10"/>
  <c r="AD44" i="10"/>
  <c r="AD32" i="10"/>
  <c r="AD20" i="10"/>
  <c r="AD8" i="10"/>
  <c r="AD126" i="10"/>
  <c r="AD114" i="10"/>
  <c r="AD102" i="10"/>
  <c r="AD90" i="10"/>
  <c r="AD78" i="10"/>
  <c r="AD66" i="10"/>
  <c r="AD54" i="10"/>
  <c r="AD42" i="10"/>
  <c r="AD30" i="10"/>
  <c r="AD18" i="10"/>
  <c r="AD123" i="10"/>
  <c r="AD106" i="10"/>
  <c r="AD87" i="10"/>
  <c r="AD70" i="10"/>
  <c r="AD51" i="10"/>
  <c r="AD34" i="10"/>
  <c r="AD15" i="10"/>
  <c r="AD121" i="10"/>
  <c r="AD101" i="10"/>
  <c r="AD85" i="10"/>
  <c r="AD65" i="10"/>
  <c r="AD49" i="10"/>
  <c r="AD29" i="10"/>
  <c r="AD13" i="10"/>
  <c r="AD115" i="10"/>
  <c r="AD98" i="10"/>
  <c r="AD79" i="10"/>
  <c r="AD62" i="10"/>
  <c r="AD43" i="10"/>
  <c r="AD26" i="10"/>
  <c r="AD7" i="10"/>
  <c r="AD113" i="10"/>
  <c r="AD97" i="10"/>
  <c r="AD77" i="10"/>
  <c r="AD61" i="10"/>
  <c r="AD41" i="10"/>
  <c r="AD25" i="10"/>
  <c r="AD111" i="10"/>
  <c r="AD86" i="10"/>
  <c r="AD58" i="10"/>
  <c r="AD31" i="10"/>
  <c r="AD109" i="10"/>
  <c r="AD82" i="10"/>
  <c r="AD53" i="10"/>
  <c r="AD27" i="10"/>
  <c r="AD100" i="10"/>
  <c r="AD74" i="10"/>
  <c r="AD48" i="10"/>
  <c r="AD19" i="10"/>
  <c r="AD125" i="10"/>
  <c r="AD99" i="10"/>
  <c r="AD73" i="10"/>
  <c r="AD46" i="10"/>
  <c r="AD17" i="10"/>
  <c r="AD94" i="10"/>
  <c r="AD55" i="10"/>
  <c r="AD14" i="10"/>
  <c r="AD89" i="10"/>
  <c r="AD50" i="10"/>
  <c r="AD10" i="10"/>
  <c r="AD120" i="10"/>
  <c r="AD76" i="10"/>
  <c r="AD38" i="10"/>
  <c r="AD118" i="10"/>
  <c r="AD75" i="10"/>
  <c r="AD37" i="10"/>
  <c r="AD67" i="10"/>
  <c r="AD12" i="10"/>
  <c r="AD124" i="10"/>
  <c r="AD64" i="10"/>
  <c r="AD122" i="10"/>
  <c r="AD63" i="10"/>
  <c r="AD112" i="10"/>
  <c r="AD60" i="10"/>
  <c r="AD110" i="10"/>
  <c r="AD52" i="10"/>
  <c r="AD108" i="10"/>
  <c r="AD40" i="10"/>
  <c r="AD96" i="10"/>
  <c r="AD36" i="10"/>
  <c r="AD91" i="10"/>
  <c r="AD28" i="10"/>
  <c r="AD103" i="10"/>
  <c r="AD39" i="10"/>
  <c r="AD72" i="10"/>
  <c r="AD24" i="10"/>
  <c r="AD22" i="10"/>
  <c r="AD88" i="10"/>
  <c r="AD16" i="10"/>
  <c r="AD84" i="10"/>
  <c r="AE119" i="10"/>
  <c r="AE107" i="10"/>
  <c r="AE95" i="10"/>
  <c r="AE83" i="10"/>
  <c r="AE71" i="10"/>
  <c r="AE59" i="10"/>
  <c r="AE47" i="10"/>
  <c r="AE35" i="10"/>
  <c r="AE23" i="10"/>
  <c r="AE11" i="10"/>
  <c r="AE117" i="10"/>
  <c r="AE105" i="10"/>
  <c r="AE93" i="10"/>
  <c r="AE81" i="10"/>
  <c r="AE69" i="10"/>
  <c r="AE57" i="10"/>
  <c r="AE45" i="10"/>
  <c r="AE33" i="10"/>
  <c r="AE21" i="10"/>
  <c r="AE9" i="10"/>
  <c r="AE116" i="10"/>
  <c r="AE104" i="10"/>
  <c r="AE92" i="10"/>
  <c r="AE80" i="10"/>
  <c r="AE68" i="10"/>
  <c r="AE56" i="10"/>
  <c r="AE44" i="10"/>
  <c r="AE32" i="10"/>
  <c r="AE20" i="10"/>
  <c r="AE8" i="10"/>
  <c r="AE126" i="10"/>
  <c r="AE114" i="10"/>
  <c r="AE102" i="10"/>
  <c r="AE90" i="10"/>
  <c r="AE78" i="10"/>
  <c r="AE66" i="10"/>
  <c r="AE54" i="10"/>
  <c r="AE42" i="10"/>
  <c r="AE30" i="10"/>
  <c r="AE18" i="10"/>
  <c r="AE111" i="10"/>
  <c r="AE94" i="10"/>
  <c r="AE75" i="10"/>
  <c r="AE58" i="10"/>
  <c r="AE39" i="10"/>
  <c r="AE22" i="10"/>
  <c r="AE125" i="10"/>
  <c r="AE109" i="10"/>
  <c r="AE89" i="10"/>
  <c r="AE73" i="10"/>
  <c r="AE53" i="10"/>
  <c r="AE37" i="10"/>
  <c r="AE17" i="10"/>
  <c r="AE122" i="10"/>
  <c r="AE103" i="10"/>
  <c r="AE86" i="10"/>
  <c r="AE67" i="10"/>
  <c r="AE50" i="10"/>
  <c r="AE31" i="10"/>
  <c r="AE14" i="10"/>
  <c r="AE121" i="10"/>
  <c r="AE101" i="10"/>
  <c r="AE85" i="10"/>
  <c r="AE65" i="10"/>
  <c r="AE49" i="10"/>
  <c r="AE29" i="10"/>
  <c r="AE13" i="10"/>
  <c r="AE118" i="10"/>
  <c r="AE91" i="10"/>
  <c r="AE63" i="10"/>
  <c r="AE38" i="10"/>
  <c r="AE10" i="10"/>
  <c r="AE113" i="10"/>
  <c r="AE87" i="10"/>
  <c r="AE61" i="10"/>
  <c r="AE34" i="10"/>
  <c r="AE108" i="10"/>
  <c r="AE79" i="10"/>
  <c r="AE52" i="10"/>
  <c r="AE26" i="10"/>
  <c r="AE106" i="10"/>
  <c r="AE77" i="10"/>
  <c r="AE51" i="10"/>
  <c r="AE25" i="10"/>
  <c r="AE99" i="10"/>
  <c r="AE62" i="10"/>
  <c r="AE19" i="10"/>
  <c r="AE97" i="10"/>
  <c r="AE55" i="10"/>
  <c r="AE15" i="10"/>
  <c r="AE124" i="10"/>
  <c r="AE84" i="10"/>
  <c r="AE43" i="10"/>
  <c r="AE123" i="10"/>
  <c r="AE82" i="10"/>
  <c r="AE41" i="10"/>
  <c r="AE98" i="10"/>
  <c r="AE36" i="10"/>
  <c r="AE96" i="10"/>
  <c r="AE28" i="10"/>
  <c r="AE88" i="10"/>
  <c r="AE27" i="10"/>
  <c r="AE76" i="10"/>
  <c r="AE24" i="10"/>
  <c r="AE74" i="10"/>
  <c r="AE16" i="10"/>
  <c r="AE72" i="10"/>
  <c r="AE12" i="10"/>
  <c r="AE120" i="10"/>
  <c r="AE64" i="10"/>
  <c r="AE115" i="10"/>
  <c r="AE60" i="10"/>
  <c r="AE70" i="10"/>
  <c r="AE7" i="10"/>
  <c r="AE112" i="10"/>
  <c r="AE110" i="10"/>
  <c r="AE100" i="10"/>
  <c r="AE48" i="10"/>
  <c r="AE46" i="10"/>
  <c r="AE40" i="10"/>
  <c r="AG117" i="10"/>
  <c r="AG105" i="10"/>
  <c r="AG93" i="10"/>
  <c r="AG81" i="10"/>
  <c r="AG69" i="10"/>
  <c r="AG57" i="10"/>
  <c r="AG45" i="10"/>
  <c r="AG33" i="10"/>
  <c r="AG21" i="10"/>
  <c r="AG9" i="10"/>
  <c r="AG115" i="10"/>
  <c r="AG103" i="10"/>
  <c r="AG91" i="10"/>
  <c r="AG79" i="10"/>
  <c r="AG67" i="10"/>
  <c r="AG55" i="10"/>
  <c r="AG43" i="10"/>
  <c r="AG31" i="10"/>
  <c r="AG19" i="10"/>
  <c r="AG7" i="10"/>
  <c r="AG126" i="10"/>
  <c r="AG114" i="10"/>
  <c r="AG102" i="10"/>
  <c r="AG90" i="10"/>
  <c r="AG78" i="10"/>
  <c r="AG66" i="10"/>
  <c r="AG54" i="10"/>
  <c r="AG42" i="10"/>
  <c r="AG30" i="10"/>
  <c r="AG18" i="10"/>
  <c r="AG124" i="10"/>
  <c r="AG112" i="10"/>
  <c r="AG100" i="10"/>
  <c r="AG88" i="10"/>
  <c r="AG76" i="10"/>
  <c r="AG64" i="10"/>
  <c r="AG52" i="10"/>
  <c r="AG40" i="10"/>
  <c r="AG28" i="10"/>
  <c r="AG16" i="10"/>
  <c r="AG121" i="10"/>
  <c r="AG104" i="10"/>
  <c r="AG85" i="10"/>
  <c r="AG68" i="10"/>
  <c r="AG49" i="10"/>
  <c r="AG32" i="10"/>
  <c r="AG13" i="10"/>
  <c r="AG119" i="10"/>
  <c r="AG99" i="10"/>
  <c r="AG83" i="10"/>
  <c r="AG63" i="10"/>
  <c r="AG47" i="10"/>
  <c r="AG27" i="10"/>
  <c r="AG11" i="10"/>
  <c r="AG113" i="10"/>
  <c r="AG96" i="10"/>
  <c r="AG77" i="10"/>
  <c r="AG60" i="10"/>
  <c r="AG41" i="10"/>
  <c r="AG24" i="10"/>
  <c r="AG111" i="10"/>
  <c r="AG95" i="10"/>
  <c r="AG75" i="10"/>
  <c r="AG59" i="10"/>
  <c r="AG39" i="10"/>
  <c r="AG23" i="10"/>
  <c r="AG120" i="10"/>
  <c r="AG92" i="10"/>
  <c r="AG65" i="10"/>
  <c r="AG37" i="10"/>
  <c r="AG12" i="10"/>
  <c r="AG116" i="10"/>
  <c r="AG87" i="10"/>
  <c r="AG61" i="10"/>
  <c r="AG35" i="10"/>
  <c r="AG8" i="10"/>
  <c r="AG108" i="10"/>
  <c r="AG82" i="10"/>
  <c r="AG53" i="10"/>
  <c r="AG26" i="10"/>
  <c r="AG107" i="10"/>
  <c r="AG80" i="10"/>
  <c r="AG51" i="10"/>
  <c r="AG25" i="10"/>
  <c r="AG101" i="10"/>
  <c r="AG62" i="10"/>
  <c r="AG20" i="10"/>
  <c r="AG97" i="10"/>
  <c r="AG56" i="10"/>
  <c r="AG15" i="10"/>
  <c r="AG125" i="10"/>
  <c r="AG86" i="10"/>
  <c r="AG46" i="10"/>
  <c r="AG123" i="10"/>
  <c r="AG84" i="10"/>
  <c r="AG44" i="10"/>
  <c r="AG98" i="10"/>
  <c r="AG36" i="10"/>
  <c r="AG94" i="10"/>
  <c r="AG34" i="10"/>
  <c r="AG89" i="10"/>
  <c r="AG29" i="10"/>
  <c r="AG74" i="10"/>
  <c r="AG22" i="10"/>
  <c r="AG73" i="10"/>
  <c r="AG17" i="10"/>
  <c r="AG72" i="10"/>
  <c r="AG14" i="10"/>
  <c r="AG122" i="10"/>
  <c r="AG70" i="10"/>
  <c r="AG118" i="10"/>
  <c r="AG58" i="10"/>
  <c r="AG71" i="10"/>
  <c r="AG10" i="10"/>
  <c r="AG110" i="10"/>
  <c r="AG109" i="10"/>
  <c r="AG38" i="10"/>
  <c r="AG106" i="10"/>
  <c r="AG50" i="10"/>
  <c r="AG48" i="10"/>
  <c r="AH116" i="10"/>
  <c r="AH104" i="10"/>
  <c r="AH92" i="10"/>
  <c r="AH80" i="10"/>
  <c r="AH68" i="10"/>
  <c r="AH56" i="10"/>
  <c r="AH44" i="10"/>
  <c r="AH32" i="10"/>
  <c r="AH20" i="10"/>
  <c r="AH8" i="10"/>
  <c r="AH126" i="10"/>
  <c r="AH114" i="10"/>
  <c r="AH102" i="10"/>
  <c r="AH90" i="10"/>
  <c r="AH78" i="10"/>
  <c r="AH66" i="10"/>
  <c r="AH54" i="10"/>
  <c r="AH42" i="10"/>
  <c r="AH30" i="10"/>
  <c r="AH18" i="10"/>
  <c r="AH125" i="10"/>
  <c r="AH113" i="10"/>
  <c r="AH101" i="10"/>
  <c r="AH89" i="10"/>
  <c r="AH77" i="10"/>
  <c r="AH65" i="10"/>
  <c r="AH53" i="10"/>
  <c r="AH41" i="10"/>
  <c r="AH29" i="10"/>
  <c r="AH17" i="10"/>
  <c r="AH123" i="10"/>
  <c r="AH111" i="10"/>
  <c r="AH99" i="10"/>
  <c r="AH87" i="10"/>
  <c r="AH75" i="10"/>
  <c r="AH63" i="10"/>
  <c r="AH51" i="10"/>
  <c r="AH39" i="10"/>
  <c r="AH27" i="10"/>
  <c r="AH15" i="10"/>
  <c r="AH108" i="10"/>
  <c r="AH91" i="10"/>
  <c r="AH72" i="10"/>
  <c r="AH55" i="10"/>
  <c r="AH36" i="10"/>
  <c r="AH19" i="10"/>
  <c r="AH122" i="10"/>
  <c r="AH106" i="10"/>
  <c r="AH86" i="10"/>
  <c r="AH70" i="10"/>
  <c r="AH50" i="10"/>
  <c r="AH34" i="10"/>
  <c r="AH14" i="10"/>
  <c r="AH119" i="10"/>
  <c r="AH100" i="10"/>
  <c r="AH83" i="10"/>
  <c r="AH64" i="10"/>
  <c r="AH47" i="10"/>
  <c r="AH28" i="10"/>
  <c r="AH11" i="10"/>
  <c r="AH118" i="10"/>
  <c r="AH98" i="10"/>
  <c r="AH82" i="10"/>
  <c r="AH62" i="10"/>
  <c r="AH46" i="10"/>
  <c r="AH26" i="10"/>
  <c r="AH10" i="10"/>
  <c r="AH107" i="10"/>
  <c r="AH79" i="10"/>
  <c r="AH52" i="10"/>
  <c r="AH24" i="10"/>
  <c r="AH103" i="10"/>
  <c r="AH74" i="10"/>
  <c r="AH48" i="10"/>
  <c r="AH22" i="10"/>
  <c r="AH121" i="10"/>
  <c r="AH95" i="10"/>
  <c r="AH69" i="10"/>
  <c r="AH40" i="10"/>
  <c r="AH13" i="10"/>
  <c r="AH120" i="10"/>
  <c r="AH94" i="10"/>
  <c r="AH67" i="10"/>
  <c r="AH38" i="10"/>
  <c r="AH12" i="10"/>
  <c r="AH105" i="10"/>
  <c r="AH60" i="10"/>
  <c r="AH23" i="10"/>
  <c r="AH96" i="10"/>
  <c r="AH58" i="10"/>
  <c r="AH16" i="10"/>
  <c r="AH85" i="10"/>
  <c r="AH45" i="10"/>
  <c r="AH124" i="10"/>
  <c r="AH84" i="10"/>
  <c r="AH43" i="10"/>
  <c r="AH97" i="10"/>
  <c r="AH35" i="10"/>
  <c r="AH93" i="10"/>
  <c r="AH33" i="10"/>
  <c r="AH88" i="10"/>
  <c r="AH31" i="10"/>
  <c r="AH81" i="10"/>
  <c r="AH25" i="10"/>
  <c r="AH76" i="10"/>
  <c r="AH21" i="10"/>
  <c r="AH73" i="10"/>
  <c r="AH9" i="10"/>
  <c r="AH117" i="10"/>
  <c r="AH61" i="10"/>
  <c r="AH115" i="10"/>
  <c r="AH59" i="10"/>
  <c r="AH71" i="10"/>
  <c r="AH7" i="10"/>
  <c r="AH37" i="10"/>
  <c r="AH112" i="10"/>
  <c r="AH110" i="10"/>
  <c r="AH109" i="10"/>
  <c r="AH57" i="10"/>
  <c r="AH49" i="10"/>
  <c r="AJ126" i="10"/>
  <c r="AJ114" i="10"/>
  <c r="AJ102" i="10"/>
  <c r="AJ90" i="10"/>
  <c r="AJ78" i="10"/>
  <c r="AJ66" i="10"/>
  <c r="AJ54" i="10"/>
  <c r="AJ42" i="10"/>
  <c r="AJ30" i="10"/>
  <c r="AJ18" i="10"/>
  <c r="AJ124" i="10"/>
  <c r="AJ112" i="10"/>
  <c r="AJ100" i="10"/>
  <c r="AJ88" i="10"/>
  <c r="AJ76" i="10"/>
  <c r="AJ64" i="10"/>
  <c r="AJ52" i="10"/>
  <c r="AJ40" i="10"/>
  <c r="AJ28" i="10"/>
  <c r="AJ16" i="10"/>
  <c r="AJ123" i="10"/>
  <c r="AJ111" i="10"/>
  <c r="AJ99" i="10"/>
  <c r="AJ87" i="10"/>
  <c r="AJ75" i="10"/>
  <c r="AJ63" i="10"/>
  <c r="AJ51" i="10"/>
  <c r="AJ39" i="10"/>
  <c r="AJ27" i="10"/>
  <c r="AJ15" i="10"/>
  <c r="AJ121" i="10"/>
  <c r="AJ109" i="10"/>
  <c r="AJ97" i="10"/>
  <c r="AJ85" i="10"/>
  <c r="AJ73" i="10"/>
  <c r="AJ61" i="10"/>
  <c r="AJ49" i="10"/>
  <c r="AJ37" i="10"/>
  <c r="AJ25" i="10"/>
  <c r="AJ13" i="10"/>
  <c r="AJ118" i="10"/>
  <c r="AJ101" i="10"/>
  <c r="AJ82" i="10"/>
  <c r="AJ65" i="10"/>
  <c r="AJ46" i="10"/>
  <c r="AJ29" i="10"/>
  <c r="AJ10" i="10"/>
  <c r="AJ116" i="10"/>
  <c r="AJ96" i="10"/>
  <c r="AJ80" i="10"/>
  <c r="AJ60" i="10"/>
  <c r="AJ44" i="10"/>
  <c r="AJ24" i="10"/>
  <c r="AJ8" i="10"/>
  <c r="AJ110" i="10"/>
  <c r="AJ93" i="10"/>
  <c r="AJ74" i="10"/>
  <c r="AJ57" i="10"/>
  <c r="AJ38" i="10"/>
  <c r="AJ21" i="10"/>
  <c r="AJ108" i="10"/>
  <c r="AJ92" i="10"/>
  <c r="AJ72" i="10"/>
  <c r="AJ56" i="10"/>
  <c r="AJ36" i="10"/>
  <c r="AJ20" i="10"/>
  <c r="AJ106" i="10"/>
  <c r="AJ81" i="10"/>
  <c r="AJ53" i="10"/>
  <c r="AJ26" i="10"/>
  <c r="AJ104" i="10"/>
  <c r="AJ77" i="10"/>
  <c r="AJ48" i="10"/>
  <c r="AJ22" i="10"/>
  <c r="AJ122" i="10"/>
  <c r="AJ95" i="10"/>
  <c r="AJ69" i="10"/>
  <c r="AJ43" i="10"/>
  <c r="AJ14" i="10"/>
  <c r="AJ120" i="10"/>
  <c r="AJ94" i="10"/>
  <c r="AJ68" i="10"/>
  <c r="AJ41" i="10"/>
  <c r="AJ12" i="10"/>
  <c r="AJ105" i="10"/>
  <c r="AJ62" i="10"/>
  <c r="AJ23" i="10"/>
  <c r="AJ98" i="10"/>
  <c r="AJ58" i="10"/>
  <c r="AJ17" i="10"/>
  <c r="AJ86" i="10"/>
  <c r="AJ47" i="10"/>
  <c r="AJ7" i="10"/>
  <c r="AJ125" i="10"/>
  <c r="AJ84" i="10"/>
  <c r="AJ45" i="10"/>
  <c r="AJ103" i="10"/>
  <c r="AJ34" i="10"/>
  <c r="AJ91" i="10"/>
  <c r="AJ33" i="10"/>
  <c r="AJ89" i="10"/>
  <c r="AJ32" i="10"/>
  <c r="AJ83" i="10"/>
  <c r="AJ31" i="10"/>
  <c r="AJ79" i="10"/>
  <c r="AJ19" i="10"/>
  <c r="AJ71" i="10"/>
  <c r="AJ11" i="10"/>
  <c r="AJ119" i="10"/>
  <c r="AJ67" i="10"/>
  <c r="AJ117" i="10"/>
  <c r="AJ59" i="10"/>
  <c r="AJ70" i="10"/>
  <c r="AJ9" i="10"/>
  <c r="AJ35" i="10"/>
  <c r="AJ115" i="10"/>
  <c r="AJ113" i="10"/>
  <c r="AJ107" i="10"/>
  <c r="AJ55" i="10"/>
  <c r="AJ50" i="10"/>
  <c r="Y7" i="17"/>
  <c r="F18" i="17"/>
  <c r="P7" i="17"/>
  <c r="Q7" i="17"/>
  <c r="Z8" i="17"/>
  <c r="AB14" i="17"/>
  <c r="Z14" i="17"/>
  <c r="X18" i="17"/>
  <c r="X19" i="17"/>
  <c r="AB5" i="17"/>
  <c r="Z5" i="17"/>
  <c r="S8" i="17"/>
  <c r="T8" i="17" s="1"/>
  <c r="O5" i="17"/>
  <c r="Z7" i="17"/>
  <c r="G18" i="17"/>
  <c r="J19" i="17"/>
  <c r="K19" i="17" s="1"/>
  <c r="H19" i="17"/>
  <c r="Q5" i="17"/>
  <c r="S5" i="17"/>
  <c r="F5" i="17"/>
  <c r="F7" i="17"/>
  <c r="AB7" i="17"/>
  <c r="AC7" i="17" s="1"/>
  <c r="O8" i="17"/>
  <c r="Y18" i="17"/>
  <c r="Y19" i="17"/>
  <c r="G14" i="17"/>
  <c r="J14" i="17"/>
  <c r="H14" i="17"/>
  <c r="X14" i="17"/>
  <c r="Y14" i="17"/>
  <c r="P8" i="17"/>
  <c r="O14" i="17"/>
  <c r="AB18" i="17"/>
  <c r="Z18" i="17"/>
  <c r="AB19" i="17"/>
  <c r="AC19" i="17" s="1"/>
  <c r="Z19" i="17"/>
  <c r="J25" i="17"/>
  <c r="X7" i="17"/>
  <c r="G19" i="17"/>
  <c r="P5" i="17"/>
  <c r="O7" i="17"/>
  <c r="X8" i="17"/>
  <c r="Y8" i="17"/>
  <c r="G7" i="17"/>
  <c r="H5" i="17"/>
  <c r="J5" i="17" s="1"/>
  <c r="H7" i="17"/>
  <c r="Q8" i="17"/>
  <c r="P14" i="17"/>
  <c r="S7" i="17"/>
  <c r="T7" i="17" s="1"/>
  <c r="S14" i="17"/>
  <c r="Q14" i="17"/>
  <c r="S25" i="17"/>
  <c r="G8" i="17"/>
  <c r="P18" i="17"/>
  <c r="P19" i="17"/>
  <c r="J7" i="17"/>
  <c r="K7" i="17" s="1"/>
  <c r="F19" i="17"/>
  <c r="J8" i="17"/>
  <c r="K8" i="17" s="1"/>
  <c r="J18" i="17"/>
  <c r="H18" i="17"/>
  <c r="G5" i="17"/>
  <c r="F8" i="17"/>
  <c r="AB8" i="17"/>
  <c r="AC8" i="17" s="1"/>
  <c r="O18" i="17"/>
  <c r="O19" i="17"/>
  <c r="X5" i="17"/>
  <c r="Y5" i="17"/>
  <c r="H8" i="17"/>
  <c r="F14" i="17"/>
  <c r="Q18" i="17"/>
  <c r="S18" i="17"/>
  <c r="Q19" i="17"/>
  <c r="S19" i="17"/>
  <c r="T19" i="17" s="1"/>
  <c r="AB25" i="17"/>
  <c r="BB8" i="10" l="1"/>
  <c r="BB7" i="10" s="1"/>
  <c r="BB6" i="10" s="1"/>
  <c r="BB5" i="10" s="1"/>
  <c r="BB4" i="10" s="1"/>
  <c r="BB3" i="10" s="1"/>
  <c r="BB2" i="10" s="1"/>
  <c r="T5" i="17"/>
  <c r="K5" i="17"/>
  <c r="K18" i="12"/>
  <c r="K14" i="12"/>
  <c r="R21" i="17"/>
  <c r="R22" i="17"/>
  <c r="T14" i="17"/>
  <c r="I16" i="12"/>
  <c r="J16" i="12" s="1"/>
  <c r="D16" i="12"/>
  <c r="G16" i="12" s="1"/>
  <c r="E16" i="12"/>
  <c r="H16" i="12" s="1"/>
  <c r="C16" i="12"/>
  <c r="F16" i="12" s="1"/>
  <c r="AA16" i="17"/>
  <c r="AB16" i="17" s="1"/>
  <c r="U16" i="17"/>
  <c r="X16" i="17" s="1"/>
  <c r="V16" i="17"/>
  <c r="Y16" i="17" s="1"/>
  <c r="W16" i="17"/>
  <c r="Z16" i="17" s="1"/>
  <c r="T18" i="17"/>
  <c r="S30" i="17"/>
  <c r="K18" i="17"/>
  <c r="K30" i="17" s="1"/>
  <c r="J30" i="17"/>
  <c r="AA22" i="17"/>
  <c r="I22" i="17"/>
  <c r="AA21" i="17"/>
  <c r="I21" i="17"/>
  <c r="E16" i="17"/>
  <c r="H16" i="17" s="1"/>
  <c r="I16" i="17"/>
  <c r="J16" i="17" s="1"/>
  <c r="D16" i="17"/>
  <c r="G16" i="17" s="1"/>
  <c r="C16" i="17"/>
  <c r="F16" i="17" s="1"/>
  <c r="R16" i="17"/>
  <c r="S16" i="17" s="1"/>
  <c r="N16" i="17"/>
  <c r="Q16" i="17" s="1"/>
  <c r="M16" i="17"/>
  <c r="P16" i="17" s="1"/>
  <c r="L16" i="17"/>
  <c r="O16" i="17" s="1"/>
  <c r="AC5" i="17"/>
  <c r="M16" i="12"/>
  <c r="P16" i="12" s="1"/>
  <c r="R16" i="12"/>
  <c r="S16" i="12" s="1"/>
  <c r="N16" i="12"/>
  <c r="Q16" i="12" s="1"/>
  <c r="L16" i="12"/>
  <c r="O16" i="12" s="1"/>
  <c r="AC18" i="17"/>
  <c r="AB30" i="17"/>
  <c r="W16" i="12"/>
  <c r="Z16" i="12" s="1"/>
  <c r="AA16" i="12"/>
  <c r="AB16" i="12" s="1"/>
  <c r="V16" i="12"/>
  <c r="Y16" i="12" s="1"/>
  <c r="U16" i="12"/>
  <c r="X16" i="12" s="1"/>
  <c r="AC14" i="17"/>
  <c r="K14" i="17"/>
  <c r="P261" i="10"/>
  <c r="P260" i="10" s="1"/>
  <c r="P259" i="10" s="1"/>
  <c r="P258" i="10" s="1"/>
  <c r="P257" i="10" s="1"/>
  <c r="P256" i="10" s="1"/>
  <c r="P255" i="10" s="1"/>
  <c r="P254" i="10" s="1"/>
  <c r="P253" i="10" s="1"/>
  <c r="P252" i="10" s="1"/>
  <c r="P251" i="10" s="1"/>
  <c r="P250" i="10" s="1"/>
  <c r="P249" i="10" s="1"/>
  <c r="P248" i="10" s="1"/>
  <c r="P247" i="10" s="1"/>
  <c r="P246" i="10" s="1"/>
  <c r="P245" i="10" s="1"/>
  <c r="P244" i="10" s="1"/>
  <c r="P243" i="10" s="1"/>
  <c r="P242" i="10" s="1"/>
  <c r="P241" i="10" s="1"/>
  <c r="P240" i="10" s="1"/>
  <c r="P239" i="10" s="1"/>
  <c r="P238" i="10" s="1"/>
  <c r="P237" i="10" s="1"/>
  <c r="P236" i="10" s="1"/>
  <c r="P235" i="10" s="1"/>
  <c r="P234" i="10" s="1"/>
  <c r="P233" i="10" s="1"/>
  <c r="P232" i="10" s="1"/>
  <c r="P231" i="10" s="1"/>
  <c r="P230" i="10" s="1"/>
  <c r="P229" i="10" s="1"/>
  <c r="P228" i="10" s="1"/>
  <c r="P227" i="10" s="1"/>
  <c r="P226" i="10" s="1"/>
  <c r="P225" i="10" s="1"/>
  <c r="P224" i="10" s="1"/>
  <c r="P223" i="10" s="1"/>
  <c r="P222" i="10" s="1"/>
  <c r="P221" i="10" s="1"/>
  <c r="P220" i="10" s="1"/>
  <c r="P219" i="10" s="1"/>
  <c r="P218" i="10" s="1"/>
  <c r="P217" i="10" s="1"/>
  <c r="P216" i="10" s="1"/>
  <c r="P215" i="10" s="1"/>
  <c r="P214" i="10" s="1"/>
  <c r="P213" i="10" s="1"/>
  <c r="P212" i="10" s="1"/>
  <c r="P211" i="10" s="1"/>
  <c r="P210" i="10" s="1"/>
  <c r="P209" i="10" s="1"/>
  <c r="P208" i="10" s="1"/>
  <c r="P207" i="10" s="1"/>
  <c r="P206" i="10" s="1"/>
  <c r="P205" i="10" s="1"/>
  <c r="P204" i="10" s="1"/>
  <c r="P203" i="10" s="1"/>
  <c r="P202" i="10" s="1"/>
  <c r="P201" i="10" s="1"/>
  <c r="P200" i="10" s="1"/>
  <c r="P199" i="10" s="1"/>
  <c r="P198" i="10" s="1"/>
  <c r="P197" i="10" s="1"/>
  <c r="P196" i="10" s="1"/>
  <c r="P195" i="10" s="1"/>
  <c r="P194" i="10" s="1"/>
  <c r="P193" i="10" s="1"/>
  <c r="P192" i="10" s="1"/>
  <c r="P191" i="10" s="1"/>
  <c r="P190" i="10" s="1"/>
  <c r="P189" i="10" s="1"/>
  <c r="P188" i="10" s="1"/>
  <c r="P187" i="10" s="1"/>
  <c r="P186" i="10" s="1"/>
  <c r="P185" i="10" s="1"/>
  <c r="P184" i="10" s="1"/>
  <c r="P183" i="10" s="1"/>
  <c r="P182" i="10" s="1"/>
  <c r="P181" i="10" s="1"/>
  <c r="P180" i="10" s="1"/>
  <c r="P179" i="10" s="1"/>
  <c r="P178" i="10" s="1"/>
  <c r="P177" i="10" s="1"/>
  <c r="P176" i="10" s="1"/>
  <c r="P175" i="10" s="1"/>
  <c r="P174" i="10" s="1"/>
  <c r="P173" i="10" s="1"/>
  <c r="P172" i="10" s="1"/>
  <c r="P171" i="10" s="1"/>
  <c r="P170" i="10" s="1"/>
  <c r="P169" i="10" s="1"/>
  <c r="P168" i="10" s="1"/>
  <c r="P167" i="10" s="1"/>
  <c r="P166" i="10" s="1"/>
  <c r="P165" i="10" s="1"/>
  <c r="P164" i="10" s="1"/>
  <c r="P163" i="10" s="1"/>
  <c r="P162" i="10" s="1"/>
  <c r="P161" i="10" s="1"/>
  <c r="P160" i="10" s="1"/>
  <c r="P159" i="10" s="1"/>
  <c r="P158" i="10" s="1"/>
  <c r="P157" i="10" s="1"/>
  <c r="P156" i="10" s="1"/>
  <c r="P155" i="10" s="1"/>
  <c r="P154" i="10" s="1"/>
  <c r="P153" i="10" s="1"/>
  <c r="P152" i="10" s="1"/>
  <c r="P151" i="10" s="1"/>
  <c r="P150" i="10" s="1"/>
  <c r="P149" i="10" s="1"/>
  <c r="P148" i="10" s="1"/>
  <c r="P147" i="10" s="1"/>
  <c r="P146" i="10" s="1"/>
  <c r="P145" i="10" s="1"/>
  <c r="P144" i="10" s="1"/>
  <c r="P143" i="10" s="1"/>
  <c r="P142" i="10" s="1"/>
  <c r="P141" i="10" s="1"/>
  <c r="P140" i="10" s="1"/>
  <c r="P139" i="10" s="1"/>
  <c r="P138" i="10" s="1"/>
  <c r="P137" i="10" s="1"/>
  <c r="P136" i="10" s="1"/>
  <c r="P135" i="10" s="1"/>
  <c r="P134" i="10" s="1"/>
  <c r="P133" i="10" s="1"/>
  <c r="P132" i="10" s="1"/>
  <c r="P131" i="10" s="1"/>
  <c r="P130" i="10" s="1"/>
  <c r="P129" i="10" s="1"/>
  <c r="P128" i="10" s="1"/>
  <c r="P127" i="10" s="1"/>
  <c r="P126" i="10" s="1"/>
  <c r="P125" i="10" s="1"/>
  <c r="P124" i="10" s="1"/>
  <c r="P123" i="10" s="1"/>
  <c r="P122" i="10" s="1"/>
  <c r="P121" i="10" s="1"/>
  <c r="P120" i="10" s="1"/>
  <c r="P119" i="10" s="1"/>
  <c r="P118" i="10" s="1"/>
  <c r="P117" i="10" s="1"/>
  <c r="P116" i="10" s="1"/>
  <c r="P115" i="10" s="1"/>
  <c r="P114" i="10" s="1"/>
  <c r="P113" i="10" s="1"/>
  <c r="P112" i="10" s="1"/>
  <c r="P111" i="10" s="1"/>
  <c r="P110" i="10" s="1"/>
  <c r="P109" i="10" s="1"/>
  <c r="P108" i="10" s="1"/>
  <c r="P107" i="10" s="1"/>
  <c r="P106" i="10" s="1"/>
  <c r="P105" i="10" s="1"/>
  <c r="P104" i="10" s="1"/>
  <c r="P103" i="10" s="1"/>
  <c r="P102" i="10" s="1"/>
  <c r="P101" i="10" s="1"/>
  <c r="P100" i="10" s="1"/>
  <c r="P99" i="10" s="1"/>
  <c r="P98" i="10" s="1"/>
  <c r="P97" i="10" s="1"/>
  <c r="P96" i="10" s="1"/>
  <c r="P95" i="10" s="1"/>
  <c r="P94" i="10" s="1"/>
  <c r="P93" i="10" s="1"/>
  <c r="P92" i="10" s="1"/>
  <c r="P91" i="10" s="1"/>
  <c r="P90" i="10" s="1"/>
  <c r="P89" i="10" s="1"/>
  <c r="P88" i="10" s="1"/>
  <c r="P87" i="10" s="1"/>
  <c r="P86" i="10" s="1"/>
  <c r="P85" i="10" s="1"/>
  <c r="P84" i="10" s="1"/>
  <c r="P83" i="10" s="1"/>
  <c r="P82" i="10" s="1"/>
  <c r="P81" i="10" s="1"/>
  <c r="P80" i="10" s="1"/>
  <c r="P79" i="10" s="1"/>
  <c r="P78" i="10" s="1"/>
  <c r="P77" i="10" s="1"/>
  <c r="P76" i="10" s="1"/>
  <c r="P75" i="10" s="1"/>
  <c r="P74" i="10" s="1"/>
  <c r="P73" i="10" s="1"/>
  <c r="P72" i="10" s="1"/>
  <c r="P71" i="10" s="1"/>
  <c r="P70" i="10" s="1"/>
  <c r="P69" i="10" s="1"/>
  <c r="P68" i="10" s="1"/>
  <c r="P67" i="10" s="1"/>
  <c r="P66" i="10" s="1"/>
  <c r="P65" i="10" s="1"/>
  <c r="P64" i="10" s="1"/>
  <c r="P63" i="10" s="1"/>
  <c r="P62" i="10" s="1"/>
  <c r="P61" i="10" s="1"/>
  <c r="P60" i="10" s="1"/>
  <c r="P59" i="10" s="1"/>
  <c r="P58" i="10" s="1"/>
  <c r="P57" i="10" s="1"/>
  <c r="P56" i="10" s="1"/>
  <c r="P55" i="10" s="1"/>
  <c r="P54" i="10" s="1"/>
  <c r="P53" i="10" s="1"/>
  <c r="P52" i="10" s="1"/>
  <c r="P51" i="10" s="1"/>
  <c r="P50" i="10" s="1"/>
  <c r="P49" i="10" s="1"/>
  <c r="P48" i="10" s="1"/>
  <c r="P47" i="10" s="1"/>
  <c r="P46" i="10" s="1"/>
  <c r="P45" i="10" s="1"/>
  <c r="P44" i="10" s="1"/>
  <c r="P43" i="10" s="1"/>
  <c r="P42" i="10" s="1"/>
  <c r="P41" i="10" s="1"/>
  <c r="P40" i="10" s="1"/>
  <c r="P39" i="10" s="1"/>
  <c r="P38" i="10" s="1"/>
  <c r="P37" i="10" s="1"/>
  <c r="P36" i="10" s="1"/>
  <c r="P35" i="10" s="1"/>
  <c r="P34" i="10" s="1"/>
  <c r="P33" i="10" s="1"/>
  <c r="P32" i="10" s="1"/>
  <c r="P31" i="10" s="1"/>
  <c r="P30" i="10" s="1"/>
  <c r="P29" i="10" s="1"/>
  <c r="P28" i="10" s="1"/>
  <c r="P27" i="10" s="1"/>
  <c r="P26" i="10" s="1"/>
  <c r="P25" i="10" s="1"/>
  <c r="P24" i="10" s="1"/>
  <c r="AB26" i="12"/>
  <c r="S26" i="12"/>
  <c r="V15" i="17" l="1"/>
  <c r="U15" i="17"/>
  <c r="W15" i="17"/>
  <c r="AC16" i="17"/>
  <c r="K16" i="17"/>
  <c r="K16" i="12"/>
  <c r="T16" i="12"/>
  <c r="T16" i="17"/>
  <c r="AC16" i="12"/>
  <c r="AB22" i="17"/>
  <c r="S22" i="17"/>
  <c r="J22" i="17"/>
  <c r="J21" i="17"/>
  <c r="AB21" i="17"/>
  <c r="S21" i="17"/>
  <c r="P23" i="10"/>
  <c r="P22" i="10" s="1"/>
  <c r="P21" i="10" s="1"/>
  <c r="P20" i="10" s="1"/>
  <c r="P19" i="10" s="1"/>
  <c r="P18" i="10" s="1"/>
  <c r="P17" i="10" s="1"/>
  <c r="P16" i="10" s="1"/>
  <c r="P15" i="10" s="1"/>
  <c r="P14" i="10" s="1"/>
  <c r="P13" i="10" s="1"/>
  <c r="P12" i="10" s="1"/>
  <c r="P11" i="10" s="1"/>
  <c r="P10" i="10" s="1"/>
  <c r="P9" i="10" s="1"/>
  <c r="P8" i="10" s="1"/>
  <c r="P7" i="10" s="1"/>
  <c r="X15" i="17"/>
  <c r="W15" i="12"/>
  <c r="V15" i="12"/>
  <c r="Y15" i="12" s="1"/>
  <c r="U15" i="12"/>
  <c r="X15" i="12" s="1"/>
  <c r="Y15" i="17"/>
  <c r="R22" i="12"/>
  <c r="S22" i="12" s="1"/>
  <c r="AA21" i="12"/>
  <c r="AB21" i="12" s="1"/>
  <c r="I22" i="12"/>
  <c r="J22" i="12" s="1"/>
  <c r="I21" i="12"/>
  <c r="J21" i="12" s="1"/>
  <c r="R21" i="12"/>
  <c r="S21" i="12" s="1"/>
  <c r="AA22" i="12"/>
  <c r="AB22" i="12" s="1"/>
  <c r="AB25" i="12"/>
  <c r="S25" i="12"/>
  <c r="L15" i="17" l="1"/>
  <c r="N15" i="17"/>
  <c r="M15" i="17"/>
  <c r="S32" i="17"/>
  <c r="AB32" i="17"/>
  <c r="J32" i="17"/>
  <c r="Z15" i="12"/>
  <c r="AB15" i="12"/>
  <c r="AB15" i="17"/>
  <c r="AB29" i="17" s="1"/>
  <c r="Z15" i="17"/>
  <c r="AB32" i="12"/>
  <c r="P6" i="10"/>
  <c r="P5" i="10" s="1"/>
  <c r="P4" i="10" s="1"/>
  <c r="P3" i="10" s="1"/>
  <c r="P2" i="10" s="1"/>
  <c r="N15" i="12"/>
  <c r="L15" i="12"/>
  <c r="O15" i="12" s="1"/>
  <c r="M15" i="12"/>
  <c r="P15" i="12" s="1"/>
  <c r="P15" i="17"/>
  <c r="O15" i="17"/>
  <c r="S32" i="12"/>
  <c r="J32" i="12"/>
  <c r="E15" i="17" l="1"/>
  <c r="D15" i="17"/>
  <c r="G15" i="17" s="1"/>
  <c r="C15" i="17"/>
  <c r="D15" i="12"/>
  <c r="G15" i="12" s="1"/>
  <c r="E15" i="12"/>
  <c r="J15" i="12" s="1"/>
  <c r="J29" i="12" s="1"/>
  <c r="F15" i="17"/>
  <c r="C15" i="12"/>
  <c r="F15" i="12" s="1"/>
  <c r="S15" i="12"/>
  <c r="T15" i="12" s="1"/>
  <c r="Q15" i="12"/>
  <c r="S15" i="17"/>
  <c r="S29" i="17" s="1"/>
  <c r="Q15" i="17"/>
  <c r="BB38" i="10"/>
  <c r="BB98" i="10"/>
  <c r="BB134" i="10"/>
  <c r="BB242" i="10"/>
  <c r="BB326" i="10"/>
  <c r="BB362" i="10"/>
  <c r="BB422" i="10"/>
  <c r="BB710" i="10"/>
  <c r="BB806" i="10"/>
  <c r="BB854" i="10"/>
  <c r="BB950" i="10"/>
  <c r="BB75" i="10"/>
  <c r="BB87" i="10"/>
  <c r="BB123" i="10"/>
  <c r="BB207" i="10"/>
  <c r="BB255" i="10"/>
  <c r="BB363" i="10"/>
  <c r="BB52" i="10"/>
  <c r="BB112" i="10"/>
  <c r="BB400" i="10"/>
  <c r="BB448" i="10"/>
  <c r="BB460" i="10"/>
  <c r="BB496" i="10"/>
  <c r="BB592" i="10"/>
  <c r="BB712" i="10"/>
  <c r="BB724" i="10"/>
  <c r="BB101" i="10"/>
  <c r="BB149" i="10"/>
  <c r="BB161" i="10"/>
  <c r="BB305" i="10"/>
  <c r="BB341" i="10"/>
  <c r="BB437" i="10"/>
  <c r="BB449" i="10"/>
  <c r="BB569" i="10"/>
  <c r="BB581" i="10"/>
  <c r="BB629" i="10"/>
  <c r="BB677" i="10"/>
  <c r="BB109" i="10"/>
  <c r="BB131" i="10"/>
  <c r="BB203" i="10"/>
  <c r="BB419" i="10"/>
  <c r="BB439" i="10"/>
  <c r="BB691" i="10"/>
  <c r="BB706" i="10"/>
  <c r="BB924" i="10"/>
  <c r="BB964" i="10"/>
  <c r="BB977" i="10"/>
  <c r="BB990" i="10"/>
  <c r="BB169" i="10"/>
  <c r="BB261" i="10"/>
  <c r="BB333" i="10"/>
  <c r="BB369" i="10"/>
  <c r="BB405" i="10"/>
  <c r="BB457" i="10"/>
  <c r="BB673" i="10"/>
  <c r="BB693" i="10"/>
  <c r="BB783" i="10"/>
  <c r="BB796" i="10"/>
  <c r="BB809" i="10"/>
  <c r="BB848" i="10"/>
  <c r="BB966" i="10"/>
  <c r="BB1005" i="10"/>
  <c r="BB836" i="10"/>
  <c r="BB1019" i="10"/>
  <c r="BB30" i="10"/>
  <c r="BB190" i="10"/>
  <c r="BB570" i="10"/>
  <c r="BB606" i="10"/>
  <c r="BB622" i="10"/>
  <c r="BB694" i="10"/>
  <c r="BB1006" i="10"/>
  <c r="BB104" i="10"/>
  <c r="BB296" i="10"/>
  <c r="BB720" i="10"/>
  <c r="BB12" i="10"/>
  <c r="BB42" i="10"/>
  <c r="BB271" i="10"/>
  <c r="BB323" i="10"/>
  <c r="BB379" i="10"/>
  <c r="BB487" i="10"/>
  <c r="BB584" i="10"/>
  <c r="BB703" i="10"/>
  <c r="BB744" i="10"/>
  <c r="BB763" i="10"/>
  <c r="BB905" i="10"/>
  <c r="BB921" i="10"/>
  <c r="BB300" i="10"/>
  <c r="BB610" i="10"/>
  <c r="BB853" i="10"/>
  <c r="BB1026" i="10"/>
  <c r="BB1044" i="10"/>
  <c r="BB141" i="10"/>
  <c r="BB19" i="10"/>
  <c r="BB49" i="10"/>
  <c r="BB440" i="10"/>
  <c r="BB492" i="10"/>
  <c r="BB730" i="10"/>
  <c r="BB767" i="10"/>
  <c r="BB787" i="10"/>
  <c r="BB925" i="10"/>
  <c r="BB840" i="10"/>
  <c r="BB981" i="10"/>
  <c r="BB22" i="10"/>
  <c r="BB200" i="10"/>
  <c r="BB284" i="10"/>
  <c r="BB20" i="10"/>
  <c r="BB227" i="10"/>
  <c r="BB283" i="10"/>
  <c r="BB522" i="10"/>
  <c r="BB541" i="10"/>
  <c r="BB666" i="10"/>
  <c r="BB804" i="10"/>
  <c r="BB824" i="10"/>
  <c r="BB857" i="10"/>
  <c r="BB416" i="10"/>
  <c r="BB344" i="10"/>
  <c r="BB396" i="10"/>
  <c r="BB670" i="10"/>
  <c r="BB867" i="10"/>
  <c r="BB634" i="10"/>
  <c r="BB310" i="10"/>
  <c r="BB798" i="10"/>
  <c r="BB285" i="10"/>
  <c r="BB394" i="10"/>
  <c r="BB103" i="10"/>
  <c r="BB178" i="10"/>
  <c r="BB409" i="10"/>
  <c r="BB717" i="10"/>
  <c r="BB753" i="10"/>
  <c r="BB813" i="10"/>
  <c r="BB34" i="10"/>
  <c r="BB963" i="10"/>
  <c r="BB212" i="10"/>
  <c r="BB337" i="10"/>
  <c r="BB501" i="10"/>
  <c r="BB976" i="10"/>
  <c r="BB503" i="10"/>
  <c r="BB952" i="10"/>
  <c r="BB476" i="10"/>
  <c r="BB880" i="10"/>
  <c r="BB910" i="10"/>
  <c r="BB995" i="10"/>
  <c r="BB68" i="10"/>
  <c r="BB737" i="10"/>
  <c r="BB948" i="10"/>
  <c r="BB1025" i="10"/>
  <c r="BB186" i="10"/>
  <c r="BB760" i="10"/>
  <c r="BB127" i="10"/>
  <c r="BB792" i="10"/>
  <c r="BB883" i="10"/>
  <c r="BB152" i="10"/>
  <c r="BB445" i="10"/>
  <c r="BB85" i="10"/>
  <c r="BB97" i="10"/>
  <c r="BB121" i="10"/>
  <c r="BB133" i="10"/>
  <c r="BB145" i="10"/>
  <c r="BB229" i="10"/>
  <c r="BB241" i="10"/>
  <c r="BB277" i="10"/>
  <c r="BB349" i="10"/>
  <c r="BB385" i="10"/>
  <c r="BB709" i="10"/>
  <c r="BB170" i="10"/>
  <c r="BB206" i="10"/>
  <c r="BB254" i="10"/>
  <c r="BB338" i="10"/>
  <c r="BB398" i="10"/>
  <c r="BB458" i="10"/>
  <c r="BB542" i="10"/>
  <c r="BB590" i="10"/>
  <c r="BB686" i="10"/>
  <c r="BB746" i="10"/>
  <c r="BB770" i="10"/>
  <c r="BB830" i="10"/>
  <c r="BB890" i="10"/>
  <c r="BB926" i="10"/>
  <c r="BB938" i="10"/>
  <c r="BB99" i="10"/>
  <c r="BB183" i="10"/>
  <c r="BB291" i="10"/>
  <c r="BB303" i="10"/>
  <c r="BB339" i="10"/>
  <c r="BB387" i="10"/>
  <c r="BB483" i="10"/>
  <c r="BB579" i="10"/>
  <c r="BB40" i="10"/>
  <c r="BB220" i="10"/>
  <c r="BB280" i="10"/>
  <c r="BB328" i="10"/>
  <c r="BB364" i="10"/>
  <c r="BB424" i="10"/>
  <c r="BB77" i="10"/>
  <c r="BB269" i="10"/>
  <c r="BB353" i="10"/>
  <c r="BB23" i="10"/>
  <c r="BB106" i="10"/>
  <c r="BB167" i="10"/>
  <c r="BB189" i="10"/>
  <c r="BB250" i="10"/>
  <c r="BB498" i="10"/>
  <c r="BB644" i="10"/>
  <c r="BB772" i="10"/>
  <c r="BB955" i="10"/>
  <c r="BB968" i="10"/>
  <c r="BB1007" i="10"/>
  <c r="BB1020" i="10"/>
  <c r="BB334" i="10"/>
  <c r="BB417" i="10"/>
  <c r="BB499" i="10"/>
  <c r="BB535" i="10"/>
  <c r="BB731" i="10"/>
  <c r="BB90" i="10"/>
  <c r="BB168" i="10"/>
  <c r="BB617" i="10"/>
  <c r="BB659" i="10"/>
  <c r="BB689" i="10"/>
  <c r="BB174" i="10"/>
  <c r="BB235" i="10"/>
  <c r="BB252" i="10"/>
  <c r="BB335" i="10"/>
  <c r="BB500" i="10"/>
  <c r="BB632" i="10"/>
  <c r="BB957" i="10"/>
  <c r="BB1009" i="10"/>
  <c r="BB275" i="10"/>
  <c r="BB319" i="10"/>
  <c r="BB521" i="10"/>
  <c r="BB705" i="10"/>
  <c r="BB827" i="10"/>
  <c r="BB906" i="10"/>
  <c r="BB919" i="10"/>
  <c r="BB984" i="10"/>
  <c r="BB1023" i="10"/>
  <c r="BB692" i="10"/>
  <c r="BB750" i="10"/>
  <c r="BB54" i="10"/>
  <c r="BB132" i="10"/>
  <c r="BB176" i="10"/>
  <c r="BB198" i="10"/>
  <c r="BB298" i="10"/>
  <c r="BB442" i="10"/>
  <c r="BB144" i="10"/>
  <c r="BB260" i="10"/>
  <c r="BB287" i="10"/>
  <c r="BB528" i="10"/>
  <c r="BB845" i="10"/>
  <c r="BB985" i="10"/>
  <c r="BB1003" i="10"/>
  <c r="BB810" i="10"/>
  <c r="BB899" i="10"/>
  <c r="BB988" i="10"/>
  <c r="BB162" i="10"/>
  <c r="BB510" i="10"/>
  <c r="BB118" i="10"/>
  <c r="BB288" i="10"/>
  <c r="BB533" i="10"/>
  <c r="BB668" i="10"/>
  <c r="BB917" i="10"/>
  <c r="BB1038" i="10"/>
  <c r="BB56" i="10"/>
  <c r="BB119" i="10"/>
  <c r="BB331" i="10"/>
  <c r="BB509" i="10"/>
  <c r="BB920" i="10"/>
  <c r="BB545" i="10"/>
  <c r="BB725" i="10"/>
  <c r="BB954" i="10"/>
  <c r="BB270" i="10"/>
  <c r="BB653" i="10"/>
  <c r="BB904" i="10"/>
  <c r="BB1041" i="10"/>
  <c r="BB138" i="10"/>
  <c r="BB687" i="10"/>
  <c r="BB993" i="10"/>
  <c r="BB871" i="10"/>
  <c r="BB1027" i="10"/>
  <c r="BB708" i="10"/>
  <c r="BB559" i="10"/>
  <c r="BB657" i="10"/>
  <c r="BB680" i="10"/>
  <c r="BB1013" i="10"/>
  <c r="BB78" i="10"/>
  <c r="BB729" i="10"/>
  <c r="BB891" i="10"/>
  <c r="BB321" i="10"/>
  <c r="BB781" i="10"/>
  <c r="BB1000" i="10"/>
  <c r="BB943" i="10"/>
  <c r="BB561" i="10"/>
  <c r="BB779" i="10"/>
  <c r="BB526" i="10"/>
  <c r="BB35" i="10"/>
  <c r="BB204" i="10"/>
  <c r="BB841" i="10"/>
  <c r="BB874" i="10"/>
  <c r="BB611" i="10"/>
  <c r="BB66" i="10"/>
  <c r="BB166" i="10"/>
  <c r="BB383" i="10"/>
  <c r="BB453" i="10"/>
  <c r="BB682" i="10"/>
  <c r="BB858" i="10"/>
  <c r="BB989" i="10"/>
  <c r="BB391" i="10"/>
  <c r="BB1017" i="10"/>
  <c r="BB931" i="10"/>
  <c r="BB823" i="10"/>
  <c r="BB811" i="10"/>
  <c r="BB909" i="10"/>
  <c r="BB869" i="10"/>
  <c r="BB856" i="10"/>
  <c r="BB780" i="10"/>
  <c r="BB986" i="10"/>
  <c r="BB960" i="10"/>
  <c r="BB934" i="10"/>
  <c r="BB908" i="10"/>
  <c r="BB894" i="10"/>
  <c r="BB855" i="10"/>
  <c r="BB829" i="10"/>
  <c r="BB803" i="10"/>
  <c r="BB743" i="10"/>
  <c r="BB719" i="10"/>
  <c r="BB683" i="10"/>
  <c r="BB671" i="10"/>
  <c r="BB599" i="10"/>
  <c r="BB587" i="10"/>
  <c r="BB491" i="10"/>
  <c r="BB443" i="10"/>
  <c r="BB431" i="10"/>
  <c r="BB1011" i="10"/>
  <c r="BB933" i="10"/>
  <c r="BB802" i="10"/>
  <c r="BB1036" i="10"/>
  <c r="BB1010" i="10"/>
  <c r="BB971" i="10"/>
  <c r="BB932" i="10"/>
  <c r="BB892" i="10"/>
  <c r="BB879" i="10"/>
  <c r="BB866" i="10"/>
  <c r="BB609" i="10"/>
  <c r="BB549" i="10"/>
  <c r="BB429" i="10"/>
  <c r="BB381" i="10"/>
  <c r="BB309" i="10"/>
  <c r="BB225" i="10"/>
  <c r="BB1035" i="10"/>
  <c r="BB1018" i="10"/>
  <c r="BB978" i="10"/>
  <c r="BB821" i="10"/>
  <c r="BB800" i="10"/>
  <c r="BB736" i="10"/>
  <c r="BB618" i="10"/>
  <c r="BB576" i="10"/>
  <c r="BB560" i="10"/>
  <c r="BB504" i="10"/>
  <c r="BB446" i="10"/>
  <c r="BB404" i="10"/>
  <c r="BB378" i="10"/>
  <c r="BB352" i="10"/>
  <c r="BB208" i="10"/>
  <c r="BB13" i="10"/>
  <c r="BB956" i="10"/>
  <c r="BB877" i="10"/>
  <c r="BB860" i="10"/>
  <c r="BB766" i="10"/>
  <c r="BB735" i="10"/>
  <c r="BB718" i="10"/>
  <c r="BB675" i="10"/>
  <c r="BB603" i="10"/>
  <c r="BB502" i="10"/>
  <c r="BB473" i="10"/>
  <c r="BB430" i="10"/>
  <c r="BB377" i="10"/>
  <c r="BB312" i="10"/>
  <c r="BB299" i="10"/>
  <c r="BB286" i="10"/>
  <c r="BB233" i="10"/>
  <c r="BB194" i="10"/>
  <c r="BB181" i="10"/>
  <c r="BB120" i="10"/>
  <c r="BB84" i="10"/>
  <c r="BB1033" i="10"/>
  <c r="BB937" i="10"/>
  <c r="BB915" i="10"/>
  <c r="BB876" i="10"/>
  <c r="BB819" i="10"/>
  <c r="BB630" i="10"/>
  <c r="BB616" i="10"/>
  <c r="BB486" i="10"/>
  <c r="BB472" i="10"/>
  <c r="BB444" i="10"/>
  <c r="BB428" i="10"/>
  <c r="BB311" i="10"/>
  <c r="BB193" i="10"/>
  <c r="BB180" i="10"/>
  <c r="BB95" i="10"/>
  <c r="BB47" i="10"/>
  <c r="BB1032" i="10"/>
  <c r="BB733" i="10"/>
  <c r="BB701" i="10"/>
  <c r="BB658" i="10"/>
  <c r="BB643" i="10"/>
  <c r="BB615" i="10"/>
  <c r="BB601" i="10"/>
  <c r="BB543" i="10"/>
  <c r="BB471" i="10"/>
  <c r="BB427" i="10"/>
  <c r="BB401" i="10"/>
  <c r="BB388" i="10"/>
  <c r="BB257" i="10"/>
  <c r="BB154" i="10"/>
  <c r="BB142" i="10"/>
  <c r="BB130" i="10"/>
  <c r="BB70" i="10"/>
  <c r="BB46" i="10"/>
  <c r="BB970" i="10"/>
  <c r="BB887" i="10"/>
  <c r="BB700" i="10"/>
  <c r="BB656" i="10"/>
  <c r="BB614" i="10"/>
  <c r="BB484" i="10"/>
  <c r="BB282" i="10"/>
  <c r="BB226" i="10"/>
  <c r="BB165" i="10"/>
  <c r="BB129" i="10"/>
  <c r="BB113" i="10"/>
  <c r="BB1030" i="10"/>
  <c r="BB942" i="10"/>
  <c r="BB912" i="10"/>
  <c r="BB825" i="10"/>
  <c r="BB679" i="10"/>
  <c r="BB613" i="10"/>
  <c r="BB399" i="10"/>
  <c r="BB342" i="10"/>
  <c r="BB320" i="10"/>
  <c r="BB185" i="10"/>
  <c r="BB164" i="10"/>
  <c r="BB60" i="10"/>
  <c r="BB1029" i="10"/>
  <c r="BB771" i="10"/>
  <c r="BB745" i="10"/>
  <c r="BB698" i="10"/>
  <c r="BB636" i="10"/>
  <c r="BB506" i="10"/>
  <c r="BB482" i="10"/>
  <c r="BB184" i="10"/>
  <c r="BB147" i="10"/>
  <c r="BB27" i="10"/>
  <c r="BB1001" i="10"/>
  <c r="BB722" i="10"/>
  <c r="BB697" i="10"/>
  <c r="BB567" i="10"/>
  <c r="BB505" i="10"/>
  <c r="BB397" i="10"/>
  <c r="BB318" i="10"/>
  <c r="BB262" i="10"/>
  <c r="BB240" i="10"/>
  <c r="BB222" i="10"/>
  <c r="BB26" i="10"/>
  <c r="BB865" i="10"/>
  <c r="BB740" i="10"/>
  <c r="BB512" i="10"/>
  <c r="BB356" i="10"/>
  <c r="BB295" i="10"/>
  <c r="BB153" i="10"/>
  <c r="BB24" i="10"/>
  <c r="BB951" i="10"/>
  <c r="BB903" i="10"/>
  <c r="BB864" i="10"/>
  <c r="BB812" i="10"/>
  <c r="BB739" i="10"/>
  <c r="BB641" i="10"/>
  <c r="BB511" i="10"/>
  <c r="BB478" i="10"/>
  <c r="BB412" i="10"/>
  <c r="BB211" i="10"/>
  <c r="BB124" i="10"/>
  <c r="BB100" i="10"/>
  <c r="BB69" i="10"/>
  <c r="BB1042" i="10"/>
  <c r="BB738" i="10"/>
  <c r="BB540" i="10"/>
  <c r="BB354" i="10"/>
  <c r="BB210" i="10"/>
  <c r="BB175" i="10"/>
  <c r="BB1021" i="10"/>
  <c r="BB665" i="10"/>
  <c r="BB598" i="10"/>
  <c r="BB565" i="10"/>
  <c r="BB435" i="10"/>
  <c r="BB408" i="10"/>
  <c r="BB347" i="10"/>
  <c r="BB39" i="10"/>
  <c r="BB983" i="10"/>
  <c r="BB685" i="10"/>
  <c r="BB628" i="10"/>
  <c r="BB307" i="10"/>
  <c r="BB256" i="10"/>
  <c r="BB173" i="10"/>
  <c r="BB196" i="10"/>
  <c r="BB626" i="10"/>
  <c r="BB434" i="10"/>
  <c r="BB306" i="10"/>
  <c r="BB171" i="10"/>
  <c r="BB135" i="10"/>
  <c r="BB191" i="10"/>
  <c r="BB490" i="10"/>
  <c r="BB965" i="10"/>
  <c r="BB774" i="10"/>
  <c r="BB714" i="10"/>
  <c r="BB624" i="10"/>
  <c r="BB426" i="10"/>
  <c r="BB384" i="10"/>
  <c r="BB81" i="10"/>
  <c r="BB1022" i="10"/>
  <c r="BB566" i="10"/>
  <c r="BB80" i="10"/>
  <c r="BB889" i="10"/>
  <c r="BB664" i="10"/>
  <c r="BB520" i="10"/>
  <c r="BB332" i="10"/>
  <c r="BB888" i="10"/>
  <c r="BB619" i="10"/>
  <c r="BB562" i="10"/>
  <c r="BB466" i="10"/>
  <c r="BB423" i="10"/>
  <c r="BB371" i="10"/>
  <c r="BB248" i="10"/>
  <c r="BB158" i="10"/>
  <c r="BB949" i="10"/>
  <c r="BB758" i="10"/>
  <c r="BB652" i="10"/>
  <c r="BB605" i="10"/>
  <c r="BB456" i="10"/>
  <c r="BB410" i="10"/>
  <c r="BB327" i="10"/>
  <c r="BB105" i="10"/>
  <c r="BB67" i="10"/>
  <c r="BB33" i="10"/>
  <c r="BB308" i="10"/>
  <c r="BB266" i="10"/>
  <c r="BB927" i="10"/>
  <c r="BB187" i="10"/>
  <c r="BB873" i="10"/>
  <c r="BB696" i="10"/>
  <c r="BB872" i="10"/>
  <c r="BB553" i="10"/>
  <c r="BB454" i="10"/>
  <c r="BB752" i="10"/>
  <c r="BB63" i="10"/>
  <c r="BB595" i="10"/>
  <c r="BB650" i="10"/>
  <c r="BB367" i="10"/>
  <c r="BB366" i="10"/>
  <c r="BB788" i="10"/>
  <c r="BB639" i="10"/>
  <c r="BB217" i="10"/>
  <c r="BB930" i="10"/>
  <c r="BB452" i="10"/>
  <c r="BB314" i="10"/>
  <c r="S261" i="10"/>
  <c r="S260" i="10" s="1"/>
  <c r="S259" i="10" s="1"/>
  <c r="S258" i="10" s="1"/>
  <c r="S257" i="10" s="1"/>
  <c r="S256" i="10" s="1"/>
  <c r="S255" i="10" s="1"/>
  <c r="S254" i="10" s="1"/>
  <c r="S253" i="10" s="1"/>
  <c r="S252" i="10" s="1"/>
  <c r="S251" i="10" s="1"/>
  <c r="S250" i="10" s="1"/>
  <c r="S249" i="10" s="1"/>
  <c r="S248" i="10" s="1"/>
  <c r="S247" i="10" s="1"/>
  <c r="K15" i="12" l="1"/>
  <c r="S246" i="10"/>
  <c r="S245" i="10" s="1"/>
  <c r="S244" i="10" s="1"/>
  <c r="S243" i="10" s="1"/>
  <c r="S242" i="10" s="1"/>
  <c r="S241" i="10" s="1"/>
  <c r="S240" i="10" s="1"/>
  <c r="S239" i="10" s="1"/>
  <c r="S238" i="10" s="1"/>
  <c r="S237" i="10" s="1"/>
  <c r="S236" i="10" s="1"/>
  <c r="S235" i="10" s="1"/>
  <c r="S234" i="10" s="1"/>
  <c r="S233" i="10" s="1"/>
  <c r="S232" i="10" s="1"/>
  <c r="S231" i="10" s="1"/>
  <c r="S230" i="10" s="1"/>
  <c r="S229" i="10" s="1"/>
  <c r="S228" i="10" s="1"/>
  <c r="S227" i="10" s="1"/>
  <c r="S226" i="10" s="1"/>
  <c r="S225" i="10" s="1"/>
  <c r="S224" i="10" s="1"/>
  <c r="S223" i="10" s="1"/>
  <c r="S222" i="10" s="1"/>
  <c r="S221" i="10" s="1"/>
  <c r="S220" i="10" s="1"/>
  <c r="S219" i="10" s="1"/>
  <c r="S218" i="10" s="1"/>
  <c r="S217" i="10" s="1"/>
  <c r="S216" i="10" s="1"/>
  <c r="S215" i="10" s="1"/>
  <c r="S214" i="10" s="1"/>
  <c r="S213" i="10" s="1"/>
  <c r="S212" i="10" s="1"/>
  <c r="S211" i="10" s="1"/>
  <c r="S210" i="10" s="1"/>
  <c r="S209" i="10" s="1"/>
  <c r="S208" i="10" s="1"/>
  <c r="S207" i="10" s="1"/>
  <c r="S206" i="10" s="1"/>
  <c r="S205" i="10" s="1"/>
  <c r="S204" i="10" s="1"/>
  <c r="S203" i="10" s="1"/>
  <c r="S202" i="10" s="1"/>
  <c r="S201" i="10" s="1"/>
  <c r="S200" i="10" s="1"/>
  <c r="S199" i="10" s="1"/>
  <c r="S198" i="10" s="1"/>
  <c r="S197" i="10" s="1"/>
  <c r="S196" i="10" s="1"/>
  <c r="S195" i="10" s="1"/>
  <c r="S194" i="10" s="1"/>
  <c r="S193" i="10" s="1"/>
  <c r="S192" i="10" s="1"/>
  <c r="S191" i="10" s="1"/>
  <c r="S190" i="10" s="1"/>
  <c r="S189" i="10" s="1"/>
  <c r="S188" i="10" s="1"/>
  <c r="S187" i="10" s="1"/>
  <c r="S186" i="10" s="1"/>
  <c r="S185" i="10" s="1"/>
  <c r="S184" i="10" s="1"/>
  <c r="S183" i="10" s="1"/>
  <c r="S182" i="10" s="1"/>
  <c r="S181" i="10" s="1"/>
  <c r="S180" i="10" s="1"/>
  <c r="S179" i="10" s="1"/>
  <c r="S178" i="10" s="1"/>
  <c r="S177" i="10" s="1"/>
  <c r="S176" i="10" s="1"/>
  <c r="S175" i="10" s="1"/>
  <c r="S174" i="10" s="1"/>
  <c r="S173" i="10" s="1"/>
  <c r="S172" i="10" s="1"/>
  <c r="S171" i="10" s="1"/>
  <c r="S170" i="10" s="1"/>
  <c r="S169" i="10" s="1"/>
  <c r="S168" i="10" s="1"/>
  <c r="S167" i="10" s="1"/>
  <c r="S166" i="10" s="1"/>
  <c r="S165" i="10" s="1"/>
  <c r="S164" i="10" s="1"/>
  <c r="S163" i="10" s="1"/>
  <c r="S162" i="10" s="1"/>
  <c r="S161" i="10" s="1"/>
  <c r="S160" i="10" s="1"/>
  <c r="S159" i="10" s="1"/>
  <c r="S158" i="10" s="1"/>
  <c r="S157" i="10" s="1"/>
  <c r="S156" i="10" s="1"/>
  <c r="S155" i="10" s="1"/>
  <c r="S154" i="10" s="1"/>
  <c r="S153" i="10" s="1"/>
  <c r="S152" i="10" s="1"/>
  <c r="S151" i="10" s="1"/>
  <c r="S150" i="10" s="1"/>
  <c r="S149" i="10" s="1"/>
  <c r="S148" i="10" s="1"/>
  <c r="S147" i="10" s="1"/>
  <c r="S146" i="10" s="1"/>
  <c r="S145" i="10" s="1"/>
  <c r="S144" i="10" s="1"/>
  <c r="S143" i="10" s="1"/>
  <c r="S142" i="10" s="1"/>
  <c r="S141" i="10" s="1"/>
  <c r="S140" i="10" s="1"/>
  <c r="S139" i="10" s="1"/>
  <c r="S138" i="10" s="1"/>
  <c r="S137" i="10" s="1"/>
  <c r="S136" i="10" s="1"/>
  <c r="S135" i="10" s="1"/>
  <c r="S134" i="10" s="1"/>
  <c r="S133" i="10" s="1"/>
  <c r="S132" i="10" s="1"/>
  <c r="S131" i="10" s="1"/>
  <c r="S130" i="10" s="1"/>
  <c r="S129" i="10" s="1"/>
  <c r="S128" i="10" s="1"/>
  <c r="S127" i="10" s="1"/>
  <c r="S126" i="10" s="1"/>
  <c r="S125" i="10" s="1"/>
  <c r="S124" i="10" s="1"/>
  <c r="S123" i="10" s="1"/>
  <c r="S122" i="10" s="1"/>
  <c r="S121" i="10" s="1"/>
  <c r="S120" i="10" s="1"/>
  <c r="S119" i="10" s="1"/>
  <c r="S118" i="10" s="1"/>
  <c r="S117" i="10" s="1"/>
  <c r="S116" i="10" s="1"/>
  <c r="S115" i="10" s="1"/>
  <c r="S114" i="10" s="1"/>
  <c r="S113" i="10" s="1"/>
  <c r="S112" i="10" s="1"/>
  <c r="S111" i="10" s="1"/>
  <c r="S110" i="10" s="1"/>
  <c r="S109" i="10" s="1"/>
  <c r="S108" i="10" s="1"/>
  <c r="S107" i="10" s="1"/>
  <c r="S106" i="10" s="1"/>
  <c r="S105" i="10" s="1"/>
  <c r="S104" i="10" s="1"/>
  <c r="S103" i="10" s="1"/>
  <c r="S102" i="10" s="1"/>
  <c r="S101" i="10" s="1"/>
  <c r="S100" i="10" s="1"/>
  <c r="S99" i="10" s="1"/>
  <c r="S98" i="10" s="1"/>
  <c r="S97" i="10" s="1"/>
  <c r="S96" i="10" s="1"/>
  <c r="S95" i="10" s="1"/>
  <c r="S94" i="10" s="1"/>
  <c r="S93" i="10" s="1"/>
  <c r="S92" i="10" s="1"/>
  <c r="S91" i="10" s="1"/>
  <c r="S90" i="10" s="1"/>
  <c r="S89" i="10" s="1"/>
  <c r="S88" i="10" s="1"/>
  <c r="S87" i="10" s="1"/>
  <c r="S86" i="10" s="1"/>
  <c r="S85" i="10" s="1"/>
  <c r="S84" i="10" s="1"/>
  <c r="S83" i="10" s="1"/>
  <c r="S82" i="10" s="1"/>
  <c r="S81" i="10" s="1"/>
  <c r="S80" i="10" s="1"/>
  <c r="S79" i="10" s="1"/>
  <c r="S78" i="10" s="1"/>
  <c r="S77" i="10" s="1"/>
  <c r="S76" i="10" s="1"/>
  <c r="S75" i="10" s="1"/>
  <c r="S74" i="10" s="1"/>
  <c r="S73" i="10" s="1"/>
  <c r="S72" i="10" s="1"/>
  <c r="S71" i="10" s="1"/>
  <c r="S70" i="10" s="1"/>
  <c r="S69" i="10" s="1"/>
  <c r="S68" i="10" s="1"/>
  <c r="S67" i="10" s="1"/>
  <c r="S66" i="10" s="1"/>
  <c r="S65" i="10" s="1"/>
  <c r="S64" i="10" s="1"/>
  <c r="S63" i="10" s="1"/>
  <c r="S62" i="10" s="1"/>
  <c r="S61" i="10" s="1"/>
  <c r="S60" i="10" s="1"/>
  <c r="S59" i="10" s="1"/>
  <c r="S58" i="10" s="1"/>
  <c r="S57" i="10" s="1"/>
  <c r="S56" i="10" s="1"/>
  <c r="S55" i="10" s="1"/>
  <c r="S54" i="10" s="1"/>
  <c r="S53" i="10" s="1"/>
  <c r="S52" i="10" s="1"/>
  <c r="S51" i="10" s="1"/>
  <c r="S50" i="10" s="1"/>
  <c r="S49" i="10" s="1"/>
  <c r="S48" i="10" s="1"/>
  <c r="S47" i="10" s="1"/>
  <c r="S46" i="10" s="1"/>
  <c r="S45" i="10" s="1"/>
  <c r="S44" i="10" s="1"/>
  <c r="S43" i="10" s="1"/>
  <c r="S42" i="10" s="1"/>
  <c r="S41" i="10" s="1"/>
  <c r="S40" i="10" s="1"/>
  <c r="S39" i="10" s="1"/>
  <c r="S38" i="10" s="1"/>
  <c r="S37" i="10" s="1"/>
  <c r="S36" i="10" s="1"/>
  <c r="S35" i="10" s="1"/>
  <c r="S34" i="10" s="1"/>
  <c r="S33" i="10" s="1"/>
  <c r="S32" i="10" s="1"/>
  <c r="S31" i="10" s="1"/>
  <c r="S30" i="10" s="1"/>
  <c r="S29" i="10" s="1"/>
  <c r="S28" i="10" s="1"/>
  <c r="S27" i="10" s="1"/>
  <c r="S26" i="10" s="1"/>
  <c r="S25" i="10" s="1"/>
  <c r="S24" i="10" s="1"/>
  <c r="T15" i="17"/>
  <c r="AA24" i="12"/>
  <c r="AB24" i="12" s="1"/>
  <c r="AA24" i="17"/>
  <c r="AB24" i="17" s="1"/>
  <c r="AB33" i="17" s="1"/>
  <c r="H15" i="12"/>
  <c r="H15" i="17"/>
  <c r="J15" i="17"/>
  <c r="BB348" i="10"/>
  <c r="BB655" i="10"/>
  <c r="BB17" i="10"/>
  <c r="BB316" i="10"/>
  <c r="BB177" i="10"/>
  <c r="BB654" i="10"/>
  <c r="BB1031" i="10"/>
  <c r="BB907" i="10"/>
  <c r="BB751" i="10"/>
  <c r="BB407" i="10"/>
  <c r="BB969" i="10"/>
  <c r="BB251" i="10"/>
  <c r="BB863" i="10"/>
  <c r="BB272" i="10"/>
  <c r="BB577" i="10"/>
  <c r="BB612" i="10"/>
  <c r="BB940" i="10"/>
  <c r="BB756" i="10"/>
  <c r="BB684" i="10"/>
  <c r="BB946" i="10"/>
  <c r="BB1028" i="10"/>
  <c r="BB96" i="10"/>
  <c r="BB627" i="10"/>
  <c r="BB238" i="10"/>
  <c r="BB868" i="10"/>
  <c r="BB831" i="10"/>
  <c r="BB642" i="10"/>
  <c r="BB935" i="10"/>
  <c r="BB420" i="10"/>
  <c r="BB573" i="10"/>
  <c r="BB336" i="10"/>
  <c r="BB996" i="10"/>
  <c r="BB786" i="10"/>
  <c r="BB234" i="10"/>
  <c r="BB799" i="10"/>
  <c r="BB519" i="10"/>
  <c r="BB962" i="10"/>
  <c r="BB818" i="10"/>
  <c r="BB674" i="10"/>
  <c r="BB421" i="10"/>
  <c r="BB797" i="10"/>
  <c r="BB1043" i="10"/>
  <c r="BB1004" i="10"/>
  <c r="BB881" i="10"/>
  <c r="BB893" i="10"/>
  <c r="BB557" i="10"/>
  <c r="BB462" i="10"/>
  <c r="BB747" i="10"/>
  <c r="BB773" i="10"/>
  <c r="BB837" i="10"/>
  <c r="BB672" i="10"/>
  <c r="BB485" i="10"/>
  <c r="BB197" i="10"/>
  <c r="BB64" i="10"/>
  <c r="BB662" i="10"/>
  <c r="BB518" i="10"/>
  <c r="BB997" i="10"/>
  <c r="BB1014" i="10"/>
  <c r="BB382" i="10"/>
  <c r="BB757" i="10"/>
  <c r="BB489" i="10"/>
  <c r="BB843" i="10"/>
  <c r="BB635" i="10"/>
  <c r="BB807" i="10"/>
  <c r="BB754" i="10"/>
  <c r="BB896" i="10"/>
  <c r="BB249" i="10"/>
  <c r="BB21" i="10"/>
  <c r="BB575" i="10"/>
  <c r="BB163" i="10"/>
  <c r="BB468" i="10"/>
  <c r="BB263" i="10"/>
  <c r="BB467" i="10"/>
  <c r="BB43" i="10"/>
  <c r="BB463" i="10"/>
  <c r="BB571" i="10"/>
  <c r="BB600" i="10"/>
  <c r="BB425" i="10"/>
  <c r="BB137" i="10"/>
  <c r="BB580" i="10"/>
  <c r="BB292" i="10"/>
  <c r="BB148" i="10"/>
  <c r="BB61" i="10"/>
  <c r="BB481" i="10"/>
  <c r="BB524" i="10"/>
  <c r="BB32" i="10"/>
  <c r="BB572" i="10"/>
  <c r="BB91" i="10"/>
  <c r="BB1002" i="10"/>
  <c r="BB143" i="10"/>
  <c r="BB390" i="10"/>
  <c r="BB273" i="10"/>
  <c r="BB102" i="10"/>
  <c r="BB115" i="10"/>
  <c r="BB832" i="10"/>
  <c r="BB475" i="10"/>
  <c r="BB346" i="10"/>
  <c r="BB48" i="10"/>
  <c r="BB775" i="10"/>
  <c r="BB202" i="10"/>
  <c r="BB438" i="10"/>
  <c r="BB699" i="10"/>
  <c r="BB11" i="10"/>
  <c r="BB155" i="10"/>
  <c r="BB246" i="10"/>
  <c r="BB403" i="10"/>
  <c r="BB574" i="10"/>
  <c r="BB418" i="10"/>
  <c r="BB769" i="10"/>
  <c r="BB455" i="10"/>
  <c r="BB317" i="10"/>
  <c r="BB315" i="10"/>
  <c r="BB406" i="10"/>
  <c r="BB150" i="10"/>
  <c r="BB159" i="10"/>
  <c r="BB374" i="10"/>
  <c r="BB86" i="10"/>
  <c r="BB625" i="10"/>
  <c r="BB290" i="10"/>
  <c r="BB411" i="10"/>
  <c r="BB239" i="10"/>
  <c r="BB608" i="10"/>
  <c r="BB461" i="10"/>
  <c r="BB223" i="10"/>
  <c r="BB723" i="10"/>
  <c r="BB224" i="10"/>
  <c r="BB14" i="10"/>
  <c r="BB464" i="10"/>
  <c r="BB10" i="10"/>
  <c r="BB324" i="10"/>
  <c r="BB660" i="10"/>
  <c r="BB108" i="10"/>
  <c r="BB259" i="10"/>
  <c r="BB589" i="10"/>
  <c r="BB274" i="10"/>
  <c r="BB432" i="10"/>
  <c r="BB604" i="10"/>
  <c r="BB784" i="10"/>
  <c r="BB297" i="10"/>
  <c r="BB441" i="10"/>
  <c r="BB585" i="10"/>
  <c r="BB755" i="10"/>
  <c r="BB732" i="10"/>
  <c r="BB882" i="10"/>
  <c r="BB1040" i="10"/>
  <c r="BB230" i="10"/>
  <c r="BB278" i="10"/>
  <c r="BB728" i="10"/>
  <c r="BB507" i="10"/>
  <c r="BB265" i="10"/>
  <c r="BB516" i="10"/>
  <c r="BB1034" i="10"/>
  <c r="BB465" i="10"/>
  <c r="BB959" i="10"/>
  <c r="BB967" i="10"/>
  <c r="BB649" i="10"/>
  <c r="BB368" i="10"/>
  <c r="BB870" i="10"/>
  <c r="BB555" i="10"/>
  <c r="BB663" i="10"/>
  <c r="BB372" i="10"/>
  <c r="BB122" i="10"/>
  <c r="BB667" i="10"/>
  <c r="BB214" i="10"/>
  <c r="BB785" i="10"/>
  <c r="BB16" i="10"/>
  <c r="BB534" i="10"/>
  <c r="BB436" i="10"/>
  <c r="BB373" i="10"/>
  <c r="BB761" i="10"/>
  <c r="BB151" i="10"/>
  <c r="BB607" i="10"/>
  <c r="BB330" i="10"/>
  <c r="BB279" i="10"/>
  <c r="BB523" i="10"/>
  <c r="BB793" i="10"/>
  <c r="BB57" i="10"/>
  <c r="BB794" i="10"/>
  <c r="BB281" i="10"/>
  <c r="BB795" i="10"/>
  <c r="BB62" i="10"/>
  <c r="BB192" i="10"/>
  <c r="BB514" i="10"/>
  <c r="BB897" i="10"/>
  <c r="BB59" i="10"/>
  <c r="BB530" i="10"/>
  <c r="BB702" i="10"/>
  <c r="BB459" i="10"/>
  <c r="BB631" i="10"/>
  <c r="BB820" i="10"/>
  <c r="BB157" i="10"/>
  <c r="BB313" i="10"/>
  <c r="BB474" i="10"/>
  <c r="BB648" i="10"/>
  <c r="BB839" i="10"/>
  <c r="BB477" i="10"/>
  <c r="BB621" i="10"/>
  <c r="BB765" i="10"/>
  <c r="BB918" i="10"/>
  <c r="BB815" i="10"/>
  <c r="BB972" i="10"/>
  <c r="BB647" i="10"/>
  <c r="BB791" i="10"/>
  <c r="BB947" i="10"/>
  <c r="BB768" i="10"/>
  <c r="BB922" i="10"/>
  <c r="BB835" i="10"/>
  <c r="BB979" i="10"/>
  <c r="BB79" i="10"/>
  <c r="BB15" i="10"/>
  <c r="BB216" i="10"/>
  <c r="BB992" i="10"/>
  <c r="BB678" i="10"/>
  <c r="BB247" i="10"/>
  <c r="BB742" i="10"/>
  <c r="BB597" i="10"/>
  <c r="BB741" i="10"/>
  <c r="BB790" i="10"/>
  <c r="BB479" i="10"/>
  <c r="BB623" i="10"/>
  <c r="BB495" i="10"/>
  <c r="BB55" i="10"/>
  <c r="BB289" i="10"/>
  <c r="BB395" i="10"/>
  <c r="BB41" i="10"/>
  <c r="BB264" i="10"/>
  <c r="BB44" i="10"/>
  <c r="BB508" i="10"/>
  <c r="BB179" i="10"/>
  <c r="BB875" i="10"/>
  <c r="BB350" i="10"/>
  <c r="BB898" i="10"/>
  <c r="BB805" i="10"/>
  <c r="BB538" i="10"/>
  <c r="BB370" i="10"/>
  <c r="BB711" i="10"/>
  <c r="BB253" i="10"/>
  <c r="BB53" i="10"/>
  <c r="BB65" i="10"/>
  <c r="BB268" i="10"/>
  <c r="BB74" i="10"/>
  <c r="BB301" i="10"/>
  <c r="BB822" i="10"/>
  <c r="BB548" i="10"/>
  <c r="BB550" i="10"/>
  <c r="BB304" i="10"/>
  <c r="BB826" i="10"/>
  <c r="BB205" i="10"/>
  <c r="BB529" i="10"/>
  <c r="BB71" i="10"/>
  <c r="BB219" i="10"/>
  <c r="BB376" i="10"/>
  <c r="BB544" i="10"/>
  <c r="BB156" i="10"/>
  <c r="BB646" i="10"/>
  <c r="BB25" i="10"/>
  <c r="BB488" i="10"/>
  <c r="BB861" i="10"/>
  <c r="BB201" i="10"/>
  <c r="BB345" i="10"/>
  <c r="BB633" i="10"/>
  <c r="BB777" i="10"/>
  <c r="BB828" i="10"/>
  <c r="BB515" i="10"/>
  <c r="BB847" i="10"/>
  <c r="BB991" i="10"/>
  <c r="BB651" i="10"/>
  <c r="BB862" i="10"/>
  <c r="BB139" i="10"/>
  <c r="BB447" i="10"/>
  <c r="BB36" i="10"/>
  <c r="BB209" i="10"/>
  <c r="BB923" i="10"/>
  <c r="BB18" i="10"/>
  <c r="BB536" i="10"/>
  <c r="BB88" i="10"/>
  <c r="BB846" i="10"/>
  <c r="BB578" i="10"/>
  <c r="BB294" i="10"/>
  <c r="BB51" i="10"/>
  <c r="BB778" i="10"/>
  <c r="BB849" i="10"/>
  <c r="BB568" i="10"/>
  <c r="BB850" i="10"/>
  <c r="BB92" i="10"/>
  <c r="BB851" i="10"/>
  <c r="BB93" i="10"/>
  <c r="BB322" i="10"/>
  <c r="BB852" i="10"/>
  <c r="BB218" i="10"/>
  <c r="BB375" i="10"/>
  <c r="BB715" i="10"/>
  <c r="BB936" i="10"/>
  <c r="BB83" i="10"/>
  <c r="BB232" i="10"/>
  <c r="BB389" i="10"/>
  <c r="BB558" i="10"/>
  <c r="BB734" i="10"/>
  <c r="BB325" i="10"/>
  <c r="BB661" i="10"/>
  <c r="BB37" i="10"/>
  <c r="BB182" i="10"/>
  <c r="BB676" i="10"/>
  <c r="BB878" i="10"/>
  <c r="BB213" i="10"/>
  <c r="BB357" i="10"/>
  <c r="BB645" i="10"/>
  <c r="BB789" i="10"/>
  <c r="BB945" i="10"/>
  <c r="BB998" i="10"/>
  <c r="BB527" i="10"/>
  <c r="BB816" i="10"/>
  <c r="BB973" i="10"/>
  <c r="BB859" i="10"/>
  <c r="BB928" i="10"/>
  <c r="BB45" i="10"/>
  <c r="BB28" i="10"/>
  <c r="BB243" i="10"/>
  <c r="BB726" i="10"/>
  <c r="BB688" i="10"/>
  <c r="BB31" i="10"/>
  <c r="BB844" i="10"/>
  <c r="BB582" i="10"/>
  <c r="BB493" i="10"/>
  <c r="BB547" i="10"/>
  <c r="BB302" i="10"/>
  <c r="BB76" i="10"/>
  <c r="BB552" i="10"/>
  <c r="BB58" i="10"/>
  <c r="BB914" i="10"/>
  <c r="BB716" i="10"/>
  <c r="BB838" i="10"/>
  <c r="BB808" i="10"/>
  <c r="BB451" i="10"/>
  <c r="BB276" i="10"/>
  <c r="BB114" i="10"/>
  <c r="BB117" i="10"/>
  <c r="BB713" i="10"/>
  <c r="BB834" i="10"/>
  <c r="BB980" i="10"/>
  <c r="BB583" i="10"/>
  <c r="BB116" i="10"/>
  <c r="BB469" i="10"/>
  <c r="BB236" i="10"/>
  <c r="BB329" i="10"/>
  <c r="BB72" i="10"/>
  <c r="BB413" i="10"/>
  <c r="BB110" i="10"/>
  <c r="BB340" i="10"/>
  <c r="BB591" i="10"/>
  <c r="BB884" i="10"/>
  <c r="BB111" i="10"/>
  <c r="BB885" i="10"/>
  <c r="BB593" i="10"/>
  <c r="BB886" i="10"/>
  <c r="BB343" i="10"/>
  <c r="BB594" i="10"/>
  <c r="BB82" i="10"/>
  <c r="BB231" i="10"/>
  <c r="BB953" i="10"/>
  <c r="BB245" i="10"/>
  <c r="BB402" i="10"/>
  <c r="BB749" i="10"/>
  <c r="BB195" i="10"/>
  <c r="BB690" i="10"/>
  <c r="BB900" i="10"/>
  <c r="BB513" i="10"/>
  <c r="BB801" i="10"/>
  <c r="BB958" i="10"/>
  <c r="BB539" i="10"/>
  <c r="BB961" i="10"/>
  <c r="BB1015" i="10"/>
  <c r="BB470" i="10"/>
  <c r="BB759" i="10"/>
  <c r="BB29" i="10"/>
  <c r="BB902" i="10"/>
  <c r="BB494" i="10"/>
  <c r="BB228" i="10"/>
  <c r="BB1008" i="10"/>
  <c r="BB596" i="10"/>
  <c r="BB564" i="10"/>
  <c r="BB160" i="10"/>
  <c r="BB762" i="10"/>
  <c r="BB901" i="10"/>
  <c r="BB392" i="10"/>
  <c r="BB1045" i="10"/>
  <c r="BB727" i="10"/>
  <c r="BB89" i="10"/>
  <c r="BB140" i="10"/>
  <c r="BB497" i="10"/>
  <c r="BB929" i="10"/>
  <c r="BB267" i="10"/>
  <c r="BB640" i="10"/>
  <c r="BB355" i="10"/>
  <c r="BB450" i="10"/>
  <c r="BB126" i="10"/>
  <c r="BB358" i="10"/>
  <c r="BB359" i="10"/>
  <c r="BB911" i="10"/>
  <c r="BB128" i="10"/>
  <c r="BB360" i="10"/>
  <c r="BB361" i="10"/>
  <c r="BB913" i="10"/>
  <c r="BB94" i="10"/>
  <c r="BB244" i="10"/>
  <c r="BB748" i="10"/>
  <c r="BB975" i="10"/>
  <c r="BB107" i="10"/>
  <c r="BB258" i="10"/>
  <c r="BB415" i="10"/>
  <c r="BB588" i="10"/>
  <c r="BB764" i="10"/>
  <c r="BB994" i="10"/>
  <c r="BB351" i="10"/>
  <c r="BB517" i="10"/>
  <c r="BB365" i="10"/>
  <c r="BB532" i="10"/>
  <c r="BB704" i="10"/>
  <c r="BB237" i="10"/>
  <c r="BB525" i="10"/>
  <c r="BB669" i="10"/>
  <c r="BB814" i="10"/>
  <c r="BB1024" i="10"/>
  <c r="BB551" i="10"/>
  <c r="BB695" i="10"/>
  <c r="BB842" i="10"/>
  <c r="BB999" i="10"/>
  <c r="BB817" i="10"/>
  <c r="BB974" i="10"/>
  <c r="BB554" i="10"/>
  <c r="BB188" i="10"/>
  <c r="BB556" i="10"/>
  <c r="BB620" i="10"/>
  <c r="BB199" i="10"/>
  <c r="BB833" i="10"/>
  <c r="BB433" i="10"/>
  <c r="BB215" i="10"/>
  <c r="BB136" i="10"/>
  <c r="BB172" i="10"/>
  <c r="BB982" i="10"/>
  <c r="BB293" i="10"/>
  <c r="BB50" i="10"/>
  <c r="BB386" i="10"/>
  <c r="BB776" i="10"/>
  <c r="BB125" i="10"/>
  <c r="BB480" i="10"/>
  <c r="BB146" i="10"/>
  <c r="BB380" i="10"/>
  <c r="BB941" i="10"/>
  <c r="BB637" i="10"/>
  <c r="BB638" i="10"/>
  <c r="BB944" i="10"/>
  <c r="BB414" i="10"/>
  <c r="BB586" i="10"/>
  <c r="BB602" i="10"/>
  <c r="BB782" i="10"/>
  <c r="BB1016" i="10"/>
  <c r="BB531" i="10"/>
  <c r="BB916" i="10"/>
  <c r="BB73" i="10"/>
  <c r="BB221" i="10"/>
  <c r="BB546" i="10"/>
  <c r="BB721" i="10"/>
  <c r="BB939" i="10"/>
  <c r="BB393" i="10"/>
  <c r="BB537" i="10"/>
  <c r="BB681" i="10"/>
  <c r="BB1037" i="10"/>
  <c r="BB563" i="10"/>
  <c r="BB707" i="10"/>
  <c r="BB1012" i="10"/>
  <c r="BB987" i="10"/>
  <c r="BB895" i="10"/>
  <c r="BB1039" i="10"/>
  <c r="I24" i="17" l="1"/>
  <c r="J24" i="17" s="1"/>
  <c r="J33" i="17" s="1"/>
  <c r="R24" i="12"/>
  <c r="S24" i="12" s="1"/>
  <c r="S33" i="12" s="1"/>
  <c r="I24" i="12"/>
  <c r="J24" i="12" s="1"/>
  <c r="J33" i="12" s="1"/>
  <c r="R24" i="17"/>
  <c r="S24" i="17" s="1"/>
  <c r="S33" i="17" s="1"/>
  <c r="K15" i="17"/>
  <c r="V12" i="17"/>
  <c r="Y12" i="17" s="1"/>
  <c r="W12" i="17"/>
  <c r="Z12" i="17" s="1"/>
  <c r="S23" i="10"/>
  <c r="S22" i="10" s="1"/>
  <c r="S21" i="10" s="1"/>
  <c r="S20" i="10" s="1"/>
  <c r="S19" i="10" s="1"/>
  <c r="S18" i="10" s="1"/>
  <c r="S17" i="10" s="1"/>
  <c r="S16" i="10" s="1"/>
  <c r="S15" i="10" s="1"/>
  <c r="S14" i="10" s="1"/>
  <c r="S13" i="10" s="1"/>
  <c r="S12" i="10" s="1"/>
  <c r="S11" i="10" s="1"/>
  <c r="S10" i="10" s="1"/>
  <c r="S9" i="10" s="1"/>
  <c r="S8" i="10" s="1"/>
  <c r="S7" i="10" s="1"/>
  <c r="U12" i="17"/>
  <c r="X12" i="17" s="1"/>
  <c r="AB33" i="12"/>
  <c r="S6" i="10" l="1"/>
  <c r="S5" i="10" s="1"/>
  <c r="S4" i="10" s="1"/>
  <c r="S3" i="10" s="1"/>
  <c r="S2" i="10" s="1"/>
  <c r="M12" i="17"/>
  <c r="P12" i="17" s="1"/>
  <c r="L12" i="17"/>
  <c r="O12" i="17" s="1"/>
  <c r="N12" i="17"/>
  <c r="Q12" i="17" l="1"/>
  <c r="S12" i="17"/>
  <c r="T12" i="17" s="1"/>
  <c r="E12" i="17"/>
  <c r="D12" i="17"/>
  <c r="G12" i="17" s="1"/>
  <c r="C12" i="17"/>
  <c r="F12" i="17" s="1"/>
  <c r="H12" i="17" l="1"/>
  <c r="J12" i="17" s="1"/>
  <c r="K12" i="17" s="1"/>
  <c r="AS7" i="10" l="1"/>
  <c r="AS59" i="10"/>
  <c r="AS62" i="10"/>
  <c r="AS65" i="10"/>
  <c r="AS15" i="10"/>
  <c r="AS11" i="10"/>
  <c r="AS12" i="10"/>
  <c r="AS24" i="10"/>
  <c r="AS36" i="10"/>
  <c r="AS58" i="10"/>
  <c r="AS61" i="10"/>
  <c r="AS64" i="10"/>
  <c r="AS67" i="10"/>
  <c r="AS70" i="10"/>
  <c r="AS73" i="10"/>
  <c r="AS10" i="10"/>
  <c r="AS14" i="10"/>
  <c r="AS38" i="10"/>
  <c r="AS51" i="10"/>
  <c r="AS9" i="10"/>
  <c r="AS13" i="10"/>
  <c r="AS39" i="10"/>
  <c r="AS45" i="10"/>
  <c r="AS69" i="10"/>
  <c r="AS21" i="10"/>
  <c r="AS20" i="10"/>
  <c r="AS22" i="10"/>
  <c r="AS23" i="10"/>
  <c r="AS8" i="10"/>
  <c r="AS19" i="10"/>
  <c r="AS25" i="10"/>
  <c r="AS27" i="10"/>
  <c r="AS46" i="10"/>
  <c r="AS60" i="10"/>
  <c r="AS40" i="10"/>
  <c r="AS47" i="10"/>
  <c r="AS72" i="10"/>
  <c r="AS96" i="10"/>
  <c r="AS106" i="10"/>
  <c r="AS108" i="10"/>
  <c r="AS34" i="10"/>
  <c r="AS54" i="10"/>
  <c r="AS55" i="10"/>
  <c r="AS63" i="10"/>
  <c r="AS78" i="10"/>
  <c r="AS86" i="10"/>
  <c r="AS91" i="10"/>
  <c r="AS30" i="10"/>
  <c r="AS81" i="10"/>
  <c r="AS33" i="10"/>
  <c r="AS53" i="10"/>
  <c r="AS66" i="10"/>
  <c r="AS89" i="10"/>
  <c r="AS94" i="10"/>
  <c r="AS17" i="10"/>
  <c r="AS74" i="10"/>
  <c r="AS84" i="10"/>
  <c r="AS101" i="10"/>
  <c r="AS79" i="10"/>
  <c r="AS85" i="10"/>
  <c r="AS90" i="10"/>
  <c r="AS95" i="10"/>
  <c r="AS68" i="10"/>
  <c r="AS83" i="10"/>
  <c r="AS88" i="10"/>
  <c r="AS92" i="10"/>
  <c r="AS37" i="10"/>
  <c r="AS29" i="10"/>
  <c r="AS31" i="10"/>
  <c r="AS42" i="10"/>
  <c r="AS44" i="10"/>
  <c r="AS52" i="10"/>
  <c r="AS75" i="10"/>
  <c r="AS48" i="10"/>
  <c r="AS50" i="10"/>
  <c r="AS18" i="10"/>
  <c r="AS32" i="10"/>
  <c r="AS56" i="10"/>
  <c r="AS82" i="10"/>
  <c r="AS87" i="10"/>
  <c r="AS93" i="10"/>
  <c r="AS71" i="10"/>
  <c r="AS99" i="10"/>
  <c r="AS57" i="10"/>
  <c r="AS104" i="10"/>
  <c r="AS43" i="10"/>
  <c r="AS102" i="10"/>
  <c r="AS109" i="10"/>
  <c r="AS76" i="10"/>
  <c r="AS105" i="10"/>
  <c r="AS80" i="10"/>
  <c r="AS26" i="10"/>
  <c r="AS97" i="10"/>
  <c r="AS107" i="10"/>
  <c r="AS100" i="10"/>
  <c r="AS41" i="10"/>
  <c r="AS77" i="10"/>
  <c r="AS28" i="10"/>
  <c r="AS35" i="10"/>
  <c r="AS16" i="10"/>
  <c r="AS49" i="10"/>
  <c r="AS98" i="10"/>
  <c r="AS103" i="10"/>
  <c r="AR15" i="10"/>
  <c r="AR27" i="10"/>
  <c r="AR38" i="10"/>
  <c r="AR43" i="10"/>
  <c r="AR51" i="10"/>
  <c r="AR56" i="10"/>
  <c r="AR11" i="10"/>
  <c r="AR19" i="10"/>
  <c r="AR12" i="10"/>
  <c r="AR8" i="10"/>
  <c r="AR16" i="10"/>
  <c r="AR20" i="10"/>
  <c r="AR28" i="10"/>
  <c r="AR32" i="10"/>
  <c r="AR39" i="10"/>
  <c r="AR44" i="10"/>
  <c r="AR49" i="10"/>
  <c r="AR9" i="10"/>
  <c r="AR13" i="10"/>
  <c r="AR45" i="10"/>
  <c r="AR67" i="10"/>
  <c r="AR69" i="10"/>
  <c r="AR21" i="10"/>
  <c r="AR57" i="10"/>
  <c r="AR62" i="10"/>
  <c r="AR71" i="10"/>
  <c r="AR78" i="10"/>
  <c r="AR22" i="10"/>
  <c r="AR23" i="10"/>
  <c r="AR24" i="10"/>
  <c r="AR25" i="10"/>
  <c r="AR18" i="10"/>
  <c r="AR26" i="10"/>
  <c r="AR40" i="10"/>
  <c r="AR47" i="10"/>
  <c r="AR53" i="10"/>
  <c r="AR14" i="10"/>
  <c r="AR34" i="10"/>
  <c r="AR54" i="10"/>
  <c r="AR55" i="10"/>
  <c r="AR59" i="10"/>
  <c r="AR61" i="10"/>
  <c r="AR63" i="10"/>
  <c r="AR86" i="10"/>
  <c r="AR91" i="10"/>
  <c r="AR89" i="10"/>
  <c r="AR99" i="10"/>
  <c r="AR30" i="10"/>
  <c r="AR73" i="10"/>
  <c r="AR81" i="10"/>
  <c r="AR33" i="10"/>
  <c r="AR46" i="10"/>
  <c r="AR64" i="10"/>
  <c r="AR65" i="10"/>
  <c r="AR66" i="10"/>
  <c r="AR94" i="10"/>
  <c r="AR10" i="10"/>
  <c r="AR17" i="10"/>
  <c r="AR74" i="10"/>
  <c r="AR84" i="10"/>
  <c r="AR52" i="10"/>
  <c r="AR68" i="10"/>
  <c r="AR75" i="10"/>
  <c r="AR79" i="10"/>
  <c r="AR92" i="10"/>
  <c r="AR97" i="10"/>
  <c r="AR103" i="10"/>
  <c r="AR105" i="10"/>
  <c r="AR29" i="10"/>
  <c r="AR31" i="10"/>
  <c r="AR36" i="10"/>
  <c r="AR42" i="10"/>
  <c r="AR58" i="10"/>
  <c r="AR88" i="10"/>
  <c r="AR93" i="10"/>
  <c r="AR41" i="10"/>
  <c r="AR82" i="10"/>
  <c r="AR48" i="10"/>
  <c r="AR50" i="10"/>
  <c r="AR72" i="10"/>
  <c r="AR7" i="10"/>
  <c r="AR83" i="10"/>
  <c r="AR87" i="10"/>
  <c r="AR37" i="10"/>
  <c r="AR101" i="10"/>
  <c r="AR90" i="10"/>
  <c r="AR108" i="10"/>
  <c r="AR76" i="10"/>
  <c r="AR85" i="10"/>
  <c r="AR102" i="10"/>
  <c r="AR109" i="10"/>
  <c r="AR107" i="10"/>
  <c r="AR80" i="10"/>
  <c r="AR98" i="10"/>
  <c r="AR70" i="10"/>
  <c r="AR96" i="10"/>
  <c r="AR100" i="10"/>
  <c r="AR95" i="10"/>
  <c r="AR60" i="10"/>
  <c r="AR35" i="10"/>
  <c r="AR104" i="10"/>
  <c r="AR77" i="10"/>
  <c r="AR106" i="10"/>
  <c r="AQ10" i="10"/>
  <c r="AQ13" i="10"/>
  <c r="AQ16" i="10"/>
  <c r="AQ19" i="10"/>
  <c r="AQ22" i="10"/>
  <c r="AQ25" i="10"/>
  <c r="AQ28" i="10"/>
  <c r="AQ31" i="10"/>
  <c r="AQ34" i="10"/>
  <c r="AQ9" i="10"/>
  <c r="AQ12" i="10"/>
  <c r="AQ15" i="10"/>
  <c r="AQ18" i="10"/>
  <c r="AQ21" i="10"/>
  <c r="AQ24" i="10"/>
  <c r="AQ27" i="10"/>
  <c r="AQ30" i="10"/>
  <c r="AQ33" i="10"/>
  <c r="AQ36" i="10"/>
  <c r="AQ39" i="10"/>
  <c r="AQ42" i="10"/>
  <c r="AQ45" i="10"/>
  <c r="AQ48" i="10"/>
  <c r="AQ51" i="10"/>
  <c r="AQ54" i="10"/>
  <c r="AQ11" i="10"/>
  <c r="AQ23" i="10"/>
  <c r="AQ35" i="10"/>
  <c r="AQ8" i="10"/>
  <c r="AQ57" i="10"/>
  <c r="AQ62" i="10"/>
  <c r="AQ71" i="10"/>
  <c r="AQ78" i="10"/>
  <c r="AQ81" i="10"/>
  <c r="AQ84" i="10"/>
  <c r="AQ87" i="10"/>
  <c r="AQ90" i="10"/>
  <c r="AQ93" i="10"/>
  <c r="AQ96" i="10"/>
  <c r="AQ99" i="10"/>
  <c r="AQ102" i="10"/>
  <c r="AQ105" i="10"/>
  <c r="AQ108" i="10"/>
  <c r="AQ52" i="10"/>
  <c r="AQ73" i="10"/>
  <c r="AQ75" i="10"/>
  <c r="AQ20" i="10"/>
  <c r="AQ26" i="10"/>
  <c r="AQ17" i="10"/>
  <c r="AQ29" i="10"/>
  <c r="AQ41" i="10"/>
  <c r="AQ63" i="10"/>
  <c r="AQ77" i="10"/>
  <c r="AQ80" i="10"/>
  <c r="AQ83" i="10"/>
  <c r="AQ86" i="10"/>
  <c r="AQ89" i="10"/>
  <c r="AQ92" i="10"/>
  <c r="AQ95" i="10"/>
  <c r="AQ98" i="10"/>
  <c r="AQ101" i="10"/>
  <c r="AQ46" i="10"/>
  <c r="AQ64" i="10"/>
  <c r="AQ65" i="10"/>
  <c r="AQ66" i="10"/>
  <c r="AQ94" i="10"/>
  <c r="AQ53" i="10"/>
  <c r="AQ74" i="10"/>
  <c r="AQ38" i="10"/>
  <c r="AQ67" i="10"/>
  <c r="AQ68" i="10"/>
  <c r="AQ79" i="10"/>
  <c r="AQ37" i="10"/>
  <c r="AQ107" i="10"/>
  <c r="AQ44" i="10"/>
  <c r="AQ50" i="10"/>
  <c r="AQ59" i="10"/>
  <c r="AQ69" i="10"/>
  <c r="AQ7" i="10"/>
  <c r="AQ40" i="10"/>
  <c r="AQ72" i="10"/>
  <c r="AQ14" i="10"/>
  <c r="AQ32" i="10"/>
  <c r="AQ56" i="10"/>
  <c r="AQ61" i="10"/>
  <c r="AQ58" i="10"/>
  <c r="AQ82" i="10"/>
  <c r="AQ88" i="10"/>
  <c r="AQ43" i="10"/>
  <c r="AQ55" i="10"/>
  <c r="AQ76" i="10"/>
  <c r="AQ109" i="10"/>
  <c r="AQ91" i="10"/>
  <c r="AQ49" i="10"/>
  <c r="AQ103" i="10"/>
  <c r="AQ60" i="10"/>
  <c r="AQ106" i="10"/>
  <c r="AQ70" i="10"/>
  <c r="AQ85" i="10"/>
  <c r="AQ100" i="10"/>
  <c r="AQ47" i="10"/>
  <c r="AQ97" i="10"/>
  <c r="AQ104" i="10"/>
  <c r="AO7" i="10"/>
  <c r="AO58" i="10"/>
  <c r="AO61" i="10"/>
  <c r="AO64" i="10"/>
  <c r="AO67" i="10"/>
  <c r="AO8" i="10"/>
  <c r="AO20" i="10"/>
  <c r="AO12" i="10"/>
  <c r="AO17" i="10"/>
  <c r="AO29" i="10"/>
  <c r="AO57" i="10"/>
  <c r="AO60" i="10"/>
  <c r="AO63" i="10"/>
  <c r="AO66" i="10"/>
  <c r="AO69" i="10"/>
  <c r="AO72" i="10"/>
  <c r="AO75" i="10"/>
  <c r="AO21" i="10"/>
  <c r="AO22" i="10"/>
  <c r="AO23" i="10"/>
  <c r="AO39" i="10"/>
  <c r="AO52" i="10"/>
  <c r="AO65" i="10"/>
  <c r="AO24" i="10"/>
  <c r="AO25" i="10"/>
  <c r="AO26" i="10"/>
  <c r="AO40" i="10"/>
  <c r="AO46" i="10"/>
  <c r="AO53" i="10"/>
  <c r="AO18" i="10"/>
  <c r="AO19" i="10"/>
  <c r="AO27" i="10"/>
  <c r="AO28" i="10"/>
  <c r="AO30" i="10"/>
  <c r="AO32" i="10"/>
  <c r="AO54" i="10"/>
  <c r="AO70" i="10"/>
  <c r="AO73" i="10"/>
  <c r="AO74" i="10"/>
  <c r="AO89" i="10"/>
  <c r="AO99" i="10"/>
  <c r="AO101" i="10"/>
  <c r="AO103" i="10"/>
  <c r="AO92" i="10"/>
  <c r="AO105" i="10"/>
  <c r="AO107" i="10"/>
  <c r="AO10" i="10"/>
  <c r="AO33" i="10"/>
  <c r="AO38" i="10"/>
  <c r="AO79" i="10"/>
  <c r="AO84" i="10"/>
  <c r="AO97" i="10"/>
  <c r="AO37" i="10"/>
  <c r="AO68" i="10"/>
  <c r="AO44" i="10"/>
  <c r="AO45" i="10"/>
  <c r="AO82" i="10"/>
  <c r="AO87" i="10"/>
  <c r="AO13" i="10"/>
  <c r="AO15" i="10"/>
  <c r="AO76" i="10"/>
  <c r="AO95" i="10"/>
  <c r="AO100" i="10"/>
  <c r="AO104" i="10"/>
  <c r="AO14" i="10"/>
  <c r="AO48" i="10"/>
  <c r="AO56" i="10"/>
  <c r="AO11" i="10"/>
  <c r="AO34" i="10"/>
  <c r="AO83" i="10"/>
  <c r="AO88" i="10"/>
  <c r="AO94" i="10"/>
  <c r="AO71" i="10"/>
  <c r="AO93" i="10"/>
  <c r="AO43" i="10"/>
  <c r="AO77" i="10"/>
  <c r="AO78" i="10"/>
  <c r="AO98" i="10"/>
  <c r="AO35" i="10"/>
  <c r="AO41" i="10"/>
  <c r="AO49" i="10"/>
  <c r="AO102" i="10"/>
  <c r="AO51" i="10"/>
  <c r="AO59" i="10"/>
  <c r="AO81" i="10"/>
  <c r="AO90" i="10"/>
  <c r="AO108" i="10"/>
  <c r="AO96" i="10"/>
  <c r="AO106" i="10"/>
  <c r="AO80" i="10"/>
  <c r="AO16" i="10"/>
  <c r="AO62" i="10"/>
  <c r="AO50" i="10"/>
  <c r="AO42" i="10"/>
  <c r="AO86" i="10"/>
  <c r="AO55" i="10"/>
  <c r="AO9" i="10"/>
  <c r="AO36" i="10"/>
  <c r="AO31" i="10"/>
  <c r="AO47" i="10"/>
  <c r="AO85" i="10"/>
  <c r="AO91" i="10"/>
  <c r="AO109" i="10"/>
  <c r="AU10" i="10"/>
  <c r="AU16" i="10"/>
  <c r="AU46" i="10"/>
  <c r="AU15" i="10"/>
  <c r="AU85" i="10"/>
  <c r="AU44" i="10"/>
  <c r="AU84" i="10"/>
  <c r="AU104" i="10"/>
  <c r="AU54" i="10"/>
  <c r="AU72" i="10"/>
  <c r="AU63" i="10"/>
  <c r="AU33" i="10"/>
  <c r="AU98" i="10"/>
  <c r="AU74" i="10"/>
  <c r="AU41" i="10"/>
  <c r="AV10" i="10"/>
  <c r="AV22" i="10"/>
  <c r="AV34" i="10"/>
  <c r="AV40" i="10"/>
  <c r="AV45" i="10"/>
  <c r="AV50" i="10"/>
  <c r="AV14" i="10"/>
  <c r="AV18" i="10"/>
  <c r="AV7" i="10"/>
  <c r="AV11" i="10"/>
  <c r="AV15" i="10"/>
  <c r="AV23" i="10"/>
  <c r="AV27" i="10"/>
  <c r="AV35" i="10"/>
  <c r="AV38" i="10"/>
  <c r="AV46" i="10"/>
  <c r="AV51" i="10"/>
  <c r="AV56" i="10"/>
  <c r="AV37" i="10"/>
  <c r="AV74" i="10"/>
  <c r="AV64" i="10"/>
  <c r="AV76" i="10"/>
  <c r="AV13" i="10"/>
  <c r="AV9" i="10"/>
  <c r="AV39" i="10"/>
  <c r="AV52" i="10"/>
  <c r="AV62" i="10"/>
  <c r="AV69" i="10"/>
  <c r="AV20" i="10"/>
  <c r="AV31" i="10"/>
  <c r="AV41" i="10"/>
  <c r="AV57" i="10"/>
  <c r="AV71" i="10"/>
  <c r="AV80" i="10"/>
  <c r="AV93" i="10"/>
  <c r="AV98" i="10"/>
  <c r="AV100" i="10"/>
  <c r="AV102" i="10"/>
  <c r="AV96" i="10"/>
  <c r="AV48" i="10"/>
  <c r="AV58" i="10"/>
  <c r="AV59" i="10"/>
  <c r="AV77" i="10"/>
  <c r="AV88" i="10"/>
  <c r="AV83" i="10"/>
  <c r="AV104" i="10"/>
  <c r="AV55" i="10"/>
  <c r="AV60" i="10"/>
  <c r="AV106" i="10"/>
  <c r="AV8" i="10"/>
  <c r="AV47" i="10"/>
  <c r="AV54" i="10"/>
  <c r="AV61" i="10"/>
  <c r="AV72" i="10"/>
  <c r="AV73" i="10"/>
  <c r="AV78" i="10"/>
  <c r="AV91" i="10"/>
  <c r="AV24" i="10"/>
  <c r="AV30" i="10"/>
  <c r="AV63" i="10"/>
  <c r="AV65" i="10"/>
  <c r="AV81" i="10"/>
  <c r="AV86" i="10"/>
  <c r="AV17" i="10"/>
  <c r="AV26" i="10"/>
  <c r="AV107" i="10"/>
  <c r="AV109" i="10"/>
  <c r="AV70" i="10"/>
  <c r="AV19" i="10"/>
  <c r="AV44" i="10"/>
  <c r="AV79" i="10"/>
  <c r="AV84" i="10"/>
  <c r="AV85" i="10"/>
  <c r="AV90" i="10"/>
  <c r="AV21" i="10"/>
  <c r="AV29" i="10"/>
  <c r="AV36" i="10"/>
  <c r="AV75" i="10"/>
  <c r="AV89" i="10"/>
  <c r="AV94" i="10"/>
  <c r="AV95" i="10"/>
  <c r="AV42" i="10"/>
  <c r="AV66" i="10"/>
  <c r="AV32" i="10"/>
  <c r="AV25" i="10"/>
  <c r="AV67" i="10"/>
  <c r="AV105" i="10"/>
  <c r="AV103" i="10"/>
  <c r="AV108" i="10"/>
  <c r="AV28" i="10"/>
  <c r="AV33" i="10"/>
  <c r="AV87" i="10"/>
  <c r="AV43" i="10"/>
  <c r="AV97" i="10"/>
  <c r="AV92" i="10"/>
  <c r="AV68" i="10"/>
  <c r="AV101" i="10"/>
  <c r="AV12" i="10"/>
  <c r="AV99" i="10"/>
  <c r="AV82" i="10"/>
  <c r="AV53" i="10"/>
  <c r="AV16" i="10"/>
  <c r="AV49" i="10"/>
  <c r="AP9" i="10"/>
  <c r="AP12" i="10"/>
  <c r="AP15" i="10"/>
  <c r="AP18" i="10"/>
  <c r="AP21" i="10"/>
  <c r="AP24" i="10"/>
  <c r="AP27" i="10"/>
  <c r="AP30" i="10"/>
  <c r="AP33" i="10"/>
  <c r="AP36" i="10"/>
  <c r="AP39" i="10"/>
  <c r="AP42" i="10"/>
  <c r="AP45" i="10"/>
  <c r="AP48" i="10"/>
  <c r="AP51" i="10"/>
  <c r="AP54" i="10"/>
  <c r="AP19" i="10"/>
  <c r="AP31" i="10"/>
  <c r="AP41" i="10"/>
  <c r="AP46" i="10"/>
  <c r="AP8" i="10"/>
  <c r="AP16" i="10"/>
  <c r="AP47" i="10"/>
  <c r="AP52" i="10"/>
  <c r="AP73" i="10"/>
  <c r="AP75" i="10"/>
  <c r="AP20" i="10"/>
  <c r="AP22" i="10"/>
  <c r="AP23" i="10"/>
  <c r="AP60" i="10"/>
  <c r="AP65" i="10"/>
  <c r="AP25" i="10"/>
  <c r="AP26" i="10"/>
  <c r="AP7" i="10"/>
  <c r="AP17" i="10"/>
  <c r="AP29" i="10"/>
  <c r="AP28" i="10"/>
  <c r="AP58" i="10"/>
  <c r="AP68" i="10"/>
  <c r="AP62" i="10"/>
  <c r="AP64" i="10"/>
  <c r="AP66" i="10"/>
  <c r="AP78" i="10"/>
  <c r="AP81" i="10"/>
  <c r="AP94" i="10"/>
  <c r="AP101" i="10"/>
  <c r="AP97" i="10"/>
  <c r="AP103" i="10"/>
  <c r="AP53" i="10"/>
  <c r="AP74" i="10"/>
  <c r="AP89" i="10"/>
  <c r="AP99" i="10"/>
  <c r="AP10" i="10"/>
  <c r="AP38" i="10"/>
  <c r="AP67" i="10"/>
  <c r="AP79" i="10"/>
  <c r="AP84" i="10"/>
  <c r="AP37" i="10"/>
  <c r="AP92" i="10"/>
  <c r="AP44" i="10"/>
  <c r="AP82" i="10"/>
  <c r="AP87" i="10"/>
  <c r="AP109" i="10"/>
  <c r="AP50" i="10"/>
  <c r="AP59" i="10"/>
  <c r="AP69" i="10"/>
  <c r="AP71" i="10"/>
  <c r="AP98" i="10"/>
  <c r="AP35" i="10"/>
  <c r="AP40" i="10"/>
  <c r="AP72" i="10"/>
  <c r="AP63" i="10"/>
  <c r="AP77" i="10"/>
  <c r="AP14" i="10"/>
  <c r="AP32" i="10"/>
  <c r="AP56" i="10"/>
  <c r="AP61" i="10"/>
  <c r="AP100" i="10"/>
  <c r="AP11" i="10"/>
  <c r="AP34" i="10"/>
  <c r="AP83" i="10"/>
  <c r="AP88" i="10"/>
  <c r="AP93" i="10"/>
  <c r="AP43" i="10"/>
  <c r="AP49" i="10"/>
  <c r="AP90" i="10"/>
  <c r="AP108" i="10"/>
  <c r="AP106" i="10"/>
  <c r="AP104" i="10"/>
  <c r="AP57" i="10"/>
  <c r="AP91" i="10"/>
  <c r="AP70" i="10"/>
  <c r="AP80" i="10"/>
  <c r="AP105" i="10"/>
  <c r="AP55" i="10"/>
  <c r="AP96" i="10"/>
  <c r="AP86" i="10"/>
  <c r="AP76" i="10"/>
  <c r="AP85" i="10"/>
  <c r="AP13" i="10"/>
  <c r="AP102" i="10"/>
  <c r="AP107" i="10"/>
  <c r="AP95" i="10"/>
  <c r="AT10" i="10"/>
  <c r="AT13" i="10"/>
  <c r="AT16" i="10"/>
  <c r="AT19" i="10"/>
  <c r="AT22" i="10"/>
  <c r="AT25" i="10"/>
  <c r="AT28" i="10"/>
  <c r="AT31" i="10"/>
  <c r="AT34" i="10"/>
  <c r="AT37" i="10"/>
  <c r="AT40" i="10"/>
  <c r="AT43" i="10"/>
  <c r="AT46" i="10"/>
  <c r="AT49" i="10"/>
  <c r="AT52" i="10"/>
  <c r="AT55" i="10"/>
  <c r="AT14" i="10"/>
  <c r="AT26" i="10"/>
  <c r="AT48" i="10"/>
  <c r="AT53" i="10"/>
  <c r="AT7" i="10"/>
  <c r="AT11" i="10"/>
  <c r="AT41" i="10"/>
  <c r="AT54" i="10"/>
  <c r="AT44" i="10"/>
  <c r="AT50" i="10"/>
  <c r="AT59" i="10"/>
  <c r="AT38" i="10"/>
  <c r="AT51" i="10"/>
  <c r="AT67" i="10"/>
  <c r="AT9" i="10"/>
  <c r="AT12" i="10"/>
  <c r="AT21" i="10"/>
  <c r="AT24" i="10"/>
  <c r="AT20" i="10"/>
  <c r="AT23" i="10"/>
  <c r="AT65" i="10"/>
  <c r="AT75" i="10"/>
  <c r="AT56" i="10"/>
  <c r="AT60" i="10"/>
  <c r="AT83" i="10"/>
  <c r="AT88" i="10"/>
  <c r="AT104" i="10"/>
  <c r="AT96" i="10"/>
  <c r="AT86" i="10"/>
  <c r="AT91" i="10"/>
  <c r="AT27" i="10"/>
  <c r="AT39" i="10"/>
  <c r="AT47" i="10"/>
  <c r="AT61" i="10"/>
  <c r="AT62" i="10"/>
  <c r="AT72" i="10"/>
  <c r="AT106" i="10"/>
  <c r="AT108" i="10"/>
  <c r="AT8" i="10"/>
  <c r="AT63" i="10"/>
  <c r="AT73" i="10"/>
  <c r="AT78" i="10"/>
  <c r="AT30" i="10"/>
  <c r="AT64" i="10"/>
  <c r="AT81" i="10"/>
  <c r="AT33" i="10"/>
  <c r="AT45" i="10"/>
  <c r="AT66" i="10"/>
  <c r="AT89" i="10"/>
  <c r="AT94" i="10"/>
  <c r="AT99" i="10"/>
  <c r="AT76" i="10"/>
  <c r="AT80" i="10"/>
  <c r="AT79" i="10"/>
  <c r="AT85" i="10"/>
  <c r="AT90" i="10"/>
  <c r="AT95" i="10"/>
  <c r="AT74" i="10"/>
  <c r="AT36" i="10"/>
  <c r="AT84" i="10"/>
  <c r="AT29" i="10"/>
  <c r="AT42" i="10"/>
  <c r="AT69" i="10"/>
  <c r="AT18" i="10"/>
  <c r="AT32" i="10"/>
  <c r="AT15" i="10"/>
  <c r="AT58" i="10"/>
  <c r="AT68" i="10"/>
  <c r="AT17" i="10"/>
  <c r="AT87" i="10"/>
  <c r="AT103" i="10"/>
  <c r="AT71" i="10"/>
  <c r="AT93" i="10"/>
  <c r="AT101" i="10"/>
  <c r="AT107" i="10"/>
  <c r="AT35" i="10"/>
  <c r="AT92" i="10"/>
  <c r="AT77" i="10"/>
  <c r="AT100" i="10"/>
  <c r="AT70" i="10"/>
  <c r="AT82" i="10"/>
  <c r="AT97" i="10"/>
  <c r="AT57" i="10"/>
  <c r="AT102" i="10"/>
  <c r="AT109" i="10"/>
  <c r="AT105" i="10"/>
  <c r="AT98" i="10"/>
  <c r="AN21" i="10"/>
  <c r="AN60" i="10"/>
  <c r="AN74" i="10"/>
  <c r="AN87" i="10"/>
  <c r="AN109" i="10"/>
  <c r="AN52" i="10"/>
  <c r="AN90" i="10"/>
  <c r="AN14" i="10"/>
  <c r="AN101" i="10"/>
  <c r="AN34" i="10"/>
  <c r="AN63" i="10"/>
  <c r="AN98" i="10"/>
  <c r="AN91" i="10"/>
  <c r="AN23" i="10"/>
  <c r="AN108" i="10"/>
  <c r="AN81" i="10"/>
  <c r="AB745" i="10"/>
  <c r="AB25" i="10"/>
  <c r="AB538" i="10"/>
  <c r="AB378" i="10"/>
  <c r="AB892" i="10"/>
  <c r="AB1036" i="10"/>
  <c r="AB968" i="10"/>
  <c r="AB588" i="10"/>
  <c r="AB267" i="10"/>
  <c r="AB1008" i="10"/>
  <c r="AB746" i="10"/>
  <c r="AB279" i="10"/>
  <c r="AB562" i="10"/>
  <c r="AB341" i="10"/>
  <c r="AB1048" i="10"/>
  <c r="AB627" i="10"/>
  <c r="AB387" i="10"/>
  <c r="AB19" i="10"/>
  <c r="AB690" i="10"/>
  <c r="AB436" i="10"/>
  <c r="AB714" i="10"/>
  <c r="AB495" i="10"/>
  <c r="AB290" i="10"/>
  <c r="AB117" i="10"/>
  <c r="AB102" i="10"/>
  <c r="AB814" i="10"/>
  <c r="AB935" i="10"/>
  <c r="AB42" i="10"/>
  <c r="AB933" i="10"/>
  <c r="AB69" i="10"/>
  <c r="AB570" i="10"/>
  <c r="AB126" i="10"/>
  <c r="AB612" i="10"/>
  <c r="AB681" i="10"/>
  <c r="AB114" i="10"/>
  <c r="AB113" i="10"/>
  <c r="AB173" i="10"/>
  <c r="AB111" i="10"/>
  <c r="AB110" i="10"/>
  <c r="AB775" i="10"/>
  <c r="AB513" i="10"/>
  <c r="AB203" i="10"/>
  <c r="AB26" i="10"/>
  <c r="F5" i="12"/>
  <c r="G5" i="12"/>
  <c r="H5" i="12"/>
  <c r="J5" i="12" s="1"/>
  <c r="K5" i="12" l="1"/>
  <c r="AB465" i="10"/>
  <c r="AB82" i="10"/>
  <c r="AB209" i="10"/>
  <c r="AB778" i="10"/>
  <c r="AB250" i="10"/>
  <c r="AB614" i="10"/>
  <c r="AB941" i="10"/>
  <c r="AB320" i="10"/>
  <c r="AB817" i="10"/>
  <c r="AB475" i="10"/>
  <c r="AB419" i="10"/>
  <c r="AB184" i="10"/>
  <c r="AB917" i="10"/>
  <c r="AB522" i="10"/>
  <c r="AB66" i="10"/>
  <c r="AB1011" i="10"/>
  <c r="AB812" i="10"/>
  <c r="AB564" i="10"/>
  <c r="AB90" i="10"/>
  <c r="AB247" i="10"/>
  <c r="AB567" i="10"/>
  <c r="AB739" i="10"/>
  <c r="AB584" i="10"/>
  <c r="AB193" i="10"/>
  <c r="AB983" i="10"/>
  <c r="AB619" i="10"/>
  <c r="AB533" i="10"/>
  <c r="AB821" i="10"/>
  <c r="AB330" i="10"/>
  <c r="AB408" i="10"/>
  <c r="AB285" i="10"/>
  <c r="AB758" i="10"/>
  <c r="AB662" i="10"/>
  <c r="AB850" i="10"/>
  <c r="AB282" i="10"/>
  <c r="AB426" i="10"/>
  <c r="AB115" i="10"/>
  <c r="AB508" i="10"/>
  <c r="AB511" i="10"/>
  <c r="AB452" i="10"/>
  <c r="AB364" i="10"/>
  <c r="AB791" i="10"/>
  <c r="AB717" i="10"/>
  <c r="AB646" i="10"/>
  <c r="AB430" i="10"/>
  <c r="AB965" i="10"/>
  <c r="AB796" i="10"/>
  <c r="AB270" i="10"/>
  <c r="AB399" i="10"/>
  <c r="AB414" i="10"/>
  <c r="AB179" i="10"/>
  <c r="AB91" i="10"/>
  <c r="AB296" i="10"/>
  <c r="AB501" i="10"/>
  <c r="AB286" i="10"/>
  <c r="AB623" i="10"/>
  <c r="AB345" i="10"/>
  <c r="AB675" i="10"/>
  <c r="AB875" i="10"/>
  <c r="AB1020" i="10"/>
  <c r="AB979" i="10"/>
  <c r="AB87" i="10"/>
  <c r="AB527" i="10"/>
  <c r="AB762" i="10"/>
  <c r="AB244" i="10"/>
  <c r="AB851" i="10"/>
  <c r="AB482" i="10"/>
  <c r="AB406" i="10"/>
  <c r="AB440" i="10"/>
  <c r="AB780" i="10"/>
  <c r="AB708" i="10"/>
  <c r="AB64" i="10"/>
  <c r="AB894" i="10"/>
  <c r="AB560" i="10"/>
  <c r="AB1013" i="10"/>
  <c r="AB911" i="10"/>
  <c r="AB912" i="10"/>
  <c r="AB313" i="10"/>
  <c r="AB601" i="10"/>
  <c r="AB900" i="10"/>
  <c r="AB770" i="10"/>
  <c r="AB914" i="10"/>
  <c r="AB729" i="10"/>
  <c r="AB412" i="10"/>
  <c r="AB789" i="10"/>
  <c r="AB701" i="10"/>
  <c r="AB70" i="10"/>
  <c r="AB381" i="10"/>
  <c r="AB321" i="10"/>
  <c r="AB537" i="10"/>
  <c r="AB819" i="10"/>
  <c r="AB89" i="10"/>
  <c r="AB47" i="10"/>
  <c r="AB230" i="10"/>
  <c r="AB670" i="10"/>
  <c r="AB372" i="10"/>
  <c r="AB444" i="10"/>
  <c r="AB700" i="10"/>
  <c r="AB293" i="10"/>
  <c r="AB450" i="10"/>
  <c r="AB792" i="10"/>
  <c r="AB691" i="10"/>
  <c r="AB466" i="10"/>
  <c r="AB635" i="10"/>
  <c r="AB1038" i="10"/>
  <c r="AB404" i="10"/>
  <c r="AB882" i="10"/>
  <c r="AB1039" i="10"/>
  <c r="AB937" i="10"/>
  <c r="AB49" i="10"/>
  <c r="AB337" i="10"/>
  <c r="AB481" i="10"/>
  <c r="AB769" i="10"/>
  <c r="AB794" i="10"/>
  <c r="AB938" i="10"/>
  <c r="AB303" i="10"/>
  <c r="AB220" i="10"/>
  <c r="AB351" i="10"/>
  <c r="AB104" i="10"/>
  <c r="AB245" i="10"/>
  <c r="AB392" i="10"/>
  <c r="AB362" i="10"/>
  <c r="AB314" i="10"/>
  <c r="AB251" i="10"/>
  <c r="AB702" i="10"/>
  <c r="AB615" i="10"/>
  <c r="AB16" i="10"/>
  <c r="AB382" i="10"/>
  <c r="AB164" i="10"/>
  <c r="AB870" i="10"/>
  <c r="AB307" i="10"/>
  <c r="AB261" i="10"/>
  <c r="AB459" i="10"/>
  <c r="AB34" i="10"/>
  <c r="AB215" i="10"/>
  <c r="AB153" i="10"/>
  <c r="AB94" i="10"/>
  <c r="AB281" i="10"/>
  <c r="AB484" i="10"/>
  <c r="AB162" i="10"/>
  <c r="AB824" i="10"/>
  <c r="AB906" i="10"/>
  <c r="AB492" i="10"/>
  <c r="AB664" i="10"/>
  <c r="AB844" i="10"/>
  <c r="AB428" i="10"/>
  <c r="AB766" i="10"/>
  <c r="AB273" i="10"/>
  <c r="AB595" i="10"/>
  <c r="AB768" i="10"/>
  <c r="AB980" i="10"/>
  <c r="AB752" i="10"/>
  <c r="AB949" i="10"/>
  <c r="AB964" i="10"/>
  <c r="AB73" i="10"/>
  <c r="AB361" i="10"/>
  <c r="AB649" i="10"/>
  <c r="AB953" i="10"/>
  <c r="AB600" i="10"/>
  <c r="AB903" i="10"/>
  <c r="AB820" i="10"/>
  <c r="AB477" i="10"/>
  <c r="AB48" i="10"/>
  <c r="AB231" i="10"/>
  <c r="AB170" i="10"/>
  <c r="AB357" i="10"/>
  <c r="AB108" i="10"/>
  <c r="AB175" i="10"/>
  <c r="AB332" i="10"/>
  <c r="AB928" i="10"/>
  <c r="AB506" i="10"/>
  <c r="AB859" i="10"/>
  <c r="AB441" i="10"/>
  <c r="AB764" i="10"/>
  <c r="AB921" i="10"/>
  <c r="AB977" i="10"/>
  <c r="AB229" i="10"/>
  <c r="AB517" i="10"/>
  <c r="AB809" i="10"/>
  <c r="AB269" i="10"/>
  <c r="AB86" i="10"/>
  <c r="AB112" i="10"/>
  <c r="AB187" i="10"/>
  <c r="AB318" i="10"/>
  <c r="AB257" i="10"/>
  <c r="AB713" i="10"/>
  <c r="AB60" i="10"/>
  <c r="AB152" i="10"/>
  <c r="AB218" i="10"/>
  <c r="AB606" i="10"/>
  <c r="AB535" i="10"/>
  <c r="AB711" i="10"/>
  <c r="AB638" i="10"/>
  <c r="AB235" i="10"/>
  <c r="AB237" i="10"/>
  <c r="AB238" i="10"/>
  <c r="AB15" i="10"/>
  <c r="AB730" i="10"/>
  <c r="AB885" i="10"/>
  <c r="AB425" i="10"/>
  <c r="AB431" i="10"/>
  <c r="AB857" i="10"/>
  <c r="AB283" i="10"/>
  <c r="AB658" i="10"/>
  <c r="AB573" i="10"/>
  <c r="AB100" i="10"/>
  <c r="AB490" i="10"/>
  <c r="AB44" i="10"/>
  <c r="AB368" i="10"/>
  <c r="AB738" i="10"/>
  <c r="AB252" i="10"/>
  <c r="AB150" i="10"/>
  <c r="AB374" i="10"/>
  <c r="AB124" i="10"/>
  <c r="AB502" i="10"/>
  <c r="AB299" i="10"/>
  <c r="AB456" i="10"/>
  <c r="AB934" i="10"/>
  <c r="AW74" i="10"/>
  <c r="AW98" i="10"/>
  <c r="AW63" i="10"/>
  <c r="AN53" i="10"/>
  <c r="AU92" i="10"/>
  <c r="AU82" i="10"/>
  <c r="AU7" i="10"/>
  <c r="AB742" i="10"/>
  <c r="AB122" i="10"/>
  <c r="AB930" i="10"/>
  <c r="AN70" i="10"/>
  <c r="AN102" i="10"/>
  <c r="AN82" i="10"/>
  <c r="AN66" i="10"/>
  <c r="AN46" i="10"/>
  <c r="AW46" i="10" s="1"/>
  <c r="AU62" i="10"/>
  <c r="AU78" i="10"/>
  <c r="AU40" i="10"/>
  <c r="AU35" i="10"/>
  <c r="AN41" i="10"/>
  <c r="AW41" i="10" s="1"/>
  <c r="AN45" i="10"/>
  <c r="AN48" i="10"/>
  <c r="AN40" i="10"/>
  <c r="AU69" i="10"/>
  <c r="AU73" i="10"/>
  <c r="AU37" i="10"/>
  <c r="AB335" i="10"/>
  <c r="AB1006" i="10"/>
  <c r="AB566" i="10"/>
  <c r="AB476" i="10"/>
  <c r="AB720" i="10"/>
  <c r="AB972" i="10"/>
  <c r="AB116" i="10"/>
  <c r="AB608" i="10"/>
  <c r="AB908" i="10"/>
  <c r="AB217" i="10"/>
  <c r="AB505" i="10"/>
  <c r="AN86" i="10"/>
  <c r="AN78" i="10"/>
  <c r="AN69" i="10"/>
  <c r="AN103" i="10"/>
  <c r="AN26" i="10"/>
  <c r="AN16" i="10"/>
  <c r="AW16" i="10" s="1"/>
  <c r="AU105" i="10"/>
  <c r="AU66" i="10"/>
  <c r="AU102" i="10"/>
  <c r="AU71" i="10"/>
  <c r="AU109" i="10"/>
  <c r="AW109" i="10" s="1"/>
  <c r="AU64" i="10"/>
  <c r="AU29" i="10"/>
  <c r="AB429" i="10"/>
  <c r="AB344" i="10"/>
  <c r="AB134" i="10"/>
  <c r="AB671" i="10"/>
  <c r="AB660" i="10"/>
  <c r="AB839" i="10"/>
  <c r="AB888" i="10"/>
  <c r="AB607" i="10"/>
  <c r="AB129" i="10"/>
  <c r="AB963" i="10"/>
  <c r="AB85" i="10"/>
  <c r="AB830" i="10"/>
  <c r="AB974" i="10"/>
  <c r="AN58" i="10"/>
  <c r="AN43" i="10"/>
  <c r="AN97" i="10"/>
  <c r="AN30" i="10"/>
  <c r="AN24" i="10"/>
  <c r="AN12" i="10"/>
  <c r="AU51" i="10"/>
  <c r="AU42" i="10"/>
  <c r="AU70" i="10"/>
  <c r="AU47" i="10"/>
  <c r="AU77" i="10"/>
  <c r="AU57" i="10"/>
  <c r="AU106" i="10"/>
  <c r="AU56" i="10"/>
  <c r="AU31" i="10"/>
  <c r="AU26" i="10"/>
  <c r="AB838" i="10"/>
  <c r="AB503" i="10"/>
  <c r="AB504" i="10"/>
  <c r="AB376" i="10"/>
  <c r="AB315" i="10"/>
  <c r="AB705" i="10"/>
  <c r="AB532" i="10"/>
  <c r="AB383" i="10"/>
  <c r="AB338" i="10"/>
  <c r="AB292" i="10"/>
  <c r="AB498" i="10"/>
  <c r="AB63" i="10"/>
  <c r="AB439" i="10"/>
  <c r="AB609" i="10"/>
  <c r="AB311" i="10"/>
  <c r="AB525" i="10"/>
  <c r="AB802" i="10"/>
  <c r="AB749" i="10"/>
  <c r="AB520" i="10"/>
  <c r="AB454" i="10"/>
  <c r="AB632" i="10"/>
  <c r="AB976" i="10"/>
  <c r="AB529" i="10"/>
  <c r="AB673" i="10"/>
  <c r="AN93" i="10"/>
  <c r="AN36" i="10"/>
  <c r="AN107" i="10"/>
  <c r="AN84" i="10"/>
  <c r="AW84" i="10" s="1"/>
  <c r="AN27" i="10"/>
  <c r="AN55" i="10"/>
  <c r="AN54" i="10"/>
  <c r="AW54" i="10" s="1"/>
  <c r="AU107" i="10"/>
  <c r="AU95" i="10"/>
  <c r="AU39" i="10"/>
  <c r="AU58" i="10"/>
  <c r="AU24" i="10"/>
  <c r="AU103" i="10"/>
  <c r="AU28" i="10"/>
  <c r="AU23" i="10"/>
  <c r="AW23" i="10" s="1"/>
  <c r="AN28" i="10"/>
  <c r="AN104" i="10"/>
  <c r="AW104" i="10" s="1"/>
  <c r="AN94" i="10"/>
  <c r="AN29" i="10"/>
  <c r="AW29" i="10" s="1"/>
  <c r="AN105" i="10"/>
  <c r="AN79" i="10"/>
  <c r="AN19" i="10"/>
  <c r="AN50" i="10"/>
  <c r="AN49" i="10"/>
  <c r="AU89" i="10"/>
  <c r="AU67" i="10"/>
  <c r="AU27" i="10"/>
  <c r="AU48" i="10"/>
  <c r="AU21" i="10"/>
  <c r="AW21" i="10" s="1"/>
  <c r="AU100" i="10"/>
  <c r="AU30" i="10"/>
  <c r="AU25" i="10"/>
  <c r="AU20" i="10"/>
  <c r="AB81" i="10"/>
  <c r="AB684" i="10"/>
  <c r="AB618" i="10"/>
  <c r="AN73" i="10"/>
  <c r="AN96" i="10"/>
  <c r="AN88" i="10"/>
  <c r="AN11" i="10"/>
  <c r="AN92" i="10"/>
  <c r="AN65" i="10"/>
  <c r="AN18" i="10"/>
  <c r="AN42" i="10"/>
  <c r="AN44" i="10"/>
  <c r="AW44" i="10" s="1"/>
  <c r="AU99" i="10"/>
  <c r="AU75" i="10"/>
  <c r="AU53" i="10"/>
  <c r="AU96" i="10"/>
  <c r="AU12" i="10"/>
  <c r="AU97" i="10"/>
  <c r="AU18" i="10"/>
  <c r="AU22" i="10"/>
  <c r="AU17" i="10"/>
  <c r="AN106" i="10"/>
  <c r="AN83" i="10"/>
  <c r="AN95" i="10"/>
  <c r="AW95" i="10" s="1"/>
  <c r="AN68" i="10"/>
  <c r="AN39" i="10"/>
  <c r="AW39" i="10" s="1"/>
  <c r="AN17" i="10"/>
  <c r="AN37" i="10"/>
  <c r="AN32" i="10"/>
  <c r="AU101" i="10"/>
  <c r="AW101" i="10" s="1"/>
  <c r="AU36" i="10"/>
  <c r="AU38" i="10"/>
  <c r="AU83" i="10"/>
  <c r="AU93" i="10"/>
  <c r="AU9" i="10"/>
  <c r="AU94" i="10"/>
  <c r="AU55" i="10"/>
  <c r="AU19" i="10"/>
  <c r="AU14" i="10"/>
  <c r="AW14" i="10" s="1"/>
  <c r="AN62" i="10"/>
  <c r="AN51" i="10"/>
  <c r="AN89" i="10"/>
  <c r="AN64" i="10"/>
  <c r="AN76" i="10"/>
  <c r="AN67" i="10"/>
  <c r="AN38" i="10"/>
  <c r="AN77" i="10"/>
  <c r="AW77" i="10" s="1"/>
  <c r="AN33" i="10"/>
  <c r="AW33" i="10" s="1"/>
  <c r="AN20" i="10"/>
  <c r="AW20" i="10" s="1"/>
  <c r="AU80" i="10"/>
  <c r="AU86" i="10"/>
  <c r="AU60" i="10"/>
  <c r="AW60" i="10" s="1"/>
  <c r="AU90" i="10"/>
  <c r="AW90" i="10" s="1"/>
  <c r="AU59" i="10"/>
  <c r="AU91" i="10"/>
  <c r="AW91" i="10" s="1"/>
  <c r="AU52" i="10"/>
  <c r="AW52" i="10" s="1"/>
  <c r="AU11" i="10"/>
  <c r="AN59" i="10"/>
  <c r="AN71" i="10"/>
  <c r="AN15" i="10"/>
  <c r="AW15" i="10" s="1"/>
  <c r="AN72" i="10"/>
  <c r="AW72" i="10" s="1"/>
  <c r="AN13" i="10"/>
  <c r="AW13" i="10" s="1"/>
  <c r="AU81" i="10"/>
  <c r="AW81" i="10" s="1"/>
  <c r="AU43" i="10"/>
  <c r="AB210" i="10"/>
  <c r="AB605" i="10"/>
  <c r="AB310" i="10"/>
  <c r="AB873" i="10"/>
  <c r="AB728" i="10"/>
  <c r="AN9" i="10"/>
  <c r="AU79" i="10"/>
  <c r="AN99" i="10"/>
  <c r="AN85" i="10"/>
  <c r="AW85" i="10" s="1"/>
  <c r="AN7" i="10"/>
  <c r="AU68" i="10"/>
  <c r="AU61" i="10"/>
  <c r="AU76" i="10"/>
  <c r="AU32" i="10"/>
  <c r="AB599" i="10"/>
  <c r="AB893" i="10"/>
  <c r="AB580" i="10"/>
  <c r="AB76" i="10"/>
  <c r="AB403" i="10"/>
  <c r="AB748" i="10"/>
  <c r="AB872" i="10"/>
  <c r="AN57" i="10"/>
  <c r="AW57" i="10" s="1"/>
  <c r="AN35" i="10"/>
  <c r="AW35" i="10" s="1"/>
  <c r="AN31" i="10"/>
  <c r="AU34" i="10"/>
  <c r="AW34" i="10" s="1"/>
  <c r="AN80" i="10"/>
  <c r="AN100" i="10"/>
  <c r="AN61" i="10"/>
  <c r="AN56" i="10"/>
  <c r="AN75" i="10"/>
  <c r="AN22" i="10"/>
  <c r="AW22" i="10" s="1"/>
  <c r="AN10" i="10"/>
  <c r="AW10" i="10" s="1"/>
  <c r="AN47" i="10"/>
  <c r="AW47" i="10" s="1"/>
  <c r="AN25" i="10"/>
  <c r="AW25" i="10" s="1"/>
  <c r="AN8" i="10"/>
  <c r="AU45" i="10"/>
  <c r="AU65" i="10"/>
  <c r="AU108" i="10"/>
  <c r="AW108" i="10" s="1"/>
  <c r="AU87" i="10"/>
  <c r="AW87" i="10" s="1"/>
  <c r="AU50" i="10"/>
  <c r="AU88" i="10"/>
  <c r="AU49" i="10"/>
  <c r="AU13" i="10"/>
  <c r="AU8" i="10"/>
  <c r="AB27" i="10"/>
  <c r="AB448" i="10"/>
  <c r="AB14" i="10"/>
  <c r="AB380" i="10"/>
  <c r="AB198" i="10"/>
  <c r="AB957" i="10"/>
  <c r="AB93" i="10"/>
  <c r="AB36" i="10"/>
  <c r="AB654" i="10"/>
  <c r="AB424" i="10"/>
  <c r="AB761" i="10"/>
  <c r="AB841" i="10"/>
  <c r="AB995" i="10"/>
  <c r="AB58" i="10"/>
  <c r="AB189" i="10"/>
  <c r="AB127" i="10"/>
  <c r="AB275" i="10"/>
  <c r="AB249" i="10"/>
  <c r="AB136" i="10"/>
  <c r="AB641" i="10"/>
  <c r="AB333" i="10"/>
  <c r="AB804" i="10"/>
  <c r="AB530" i="10"/>
  <c r="AB451" i="10"/>
  <c r="AB942" i="10"/>
  <c r="AB852" i="10"/>
  <c r="AB319" i="10"/>
  <c r="AB962" i="10"/>
  <c r="AB546" i="10"/>
  <c r="AB396" i="10"/>
  <c r="AB160" i="10"/>
  <c r="AB586" i="10"/>
  <c r="AB489" i="10"/>
  <c r="AB266" i="10"/>
  <c r="AB236" i="10"/>
  <c r="AB239" i="10"/>
  <c r="AB528" i="10"/>
  <c r="AB449" i="10"/>
  <c r="AB132" i="10"/>
  <c r="AB801" i="10"/>
  <c r="AB617" i="10"/>
  <c r="AB737" i="10"/>
  <c r="AB141" i="10"/>
  <c r="AB334" i="10"/>
  <c r="AB360" i="10"/>
  <c r="AB363" i="10"/>
  <c r="AB366" i="10"/>
  <c r="AB190" i="10"/>
  <c r="AB128" i="10"/>
  <c r="AB71" i="10"/>
  <c r="AB353" i="10"/>
  <c r="AB118" i="10"/>
  <c r="AB515" i="10"/>
  <c r="AB648" i="10"/>
  <c r="AB342" i="10"/>
  <c r="AB593" i="10"/>
  <c r="AB818" i="10"/>
  <c r="AB551" i="10"/>
  <c r="AB432" i="10"/>
  <c r="AB975" i="10"/>
  <c r="AB755" i="10"/>
  <c r="AB1032" i="10"/>
  <c r="AB322" i="10"/>
  <c r="AB539" i="10"/>
  <c r="AB276" i="10"/>
  <c r="AB743" i="10"/>
  <c r="AB1049" i="10"/>
  <c r="AB661" i="10"/>
  <c r="AB774" i="10"/>
  <c r="AB222" i="10"/>
  <c r="AB420" i="10"/>
  <c r="AB883" i="10"/>
  <c r="AB221" i="10"/>
  <c r="AB704" i="10"/>
  <c r="AB856" i="10"/>
  <c r="AB169" i="10"/>
  <c r="AB457" i="10"/>
  <c r="AB143" i="10"/>
  <c r="AB434" i="10"/>
  <c r="AB734" i="10"/>
  <c r="AB471" i="10"/>
  <c r="AB84" i="10"/>
  <c r="AB146" i="10"/>
  <c r="AB147" i="10"/>
  <c r="AB172" i="10"/>
  <c r="AB174" i="10"/>
  <c r="AB176" i="10"/>
  <c r="AB177" i="10"/>
  <c r="AB219" i="10"/>
  <c r="AB655" i="10"/>
  <c r="AB158" i="10"/>
  <c r="AB98" i="10"/>
  <c r="AB487" i="10"/>
  <c r="AB1025" i="10"/>
  <c r="AB350" i="10"/>
  <c r="AB867" i="10"/>
  <c r="AB288" i="10"/>
  <c r="AB760" i="10"/>
  <c r="AB305" i="10"/>
  <c r="AB514" i="10"/>
  <c r="AB75" i="10"/>
  <c r="AB259" i="10"/>
  <c r="AB458" i="10"/>
  <c r="AB715" i="10"/>
  <c r="AB33" i="10"/>
  <c r="AB213" i="10"/>
  <c r="AB402" i="10"/>
  <c r="AB647" i="10"/>
  <c r="AB1001" i="10"/>
  <c r="AB167" i="10"/>
  <c r="AB356" i="10"/>
  <c r="AB585" i="10"/>
  <c r="AB881" i="10"/>
  <c r="AB107" i="10"/>
  <c r="AB295" i="10"/>
  <c r="AB500" i="10"/>
  <c r="AB773" i="10"/>
  <c r="AB52" i="10"/>
  <c r="AB233" i="10"/>
  <c r="AB423" i="10"/>
  <c r="AB674" i="10"/>
  <c r="AB123" i="10"/>
  <c r="AB280" i="10"/>
  <c r="AB437" i="10"/>
  <c r="AB603" i="10"/>
  <c r="AB776" i="10"/>
  <c r="AB988" i="10"/>
  <c r="AB677" i="10"/>
  <c r="AB858" i="10"/>
  <c r="AB453" i="10"/>
  <c r="AB621" i="10"/>
  <c r="AB797" i="10"/>
  <c r="AB1019" i="10"/>
  <c r="AB550" i="10"/>
  <c r="AB723" i="10"/>
  <c r="AB909" i="10"/>
  <c r="AB77" i="10"/>
  <c r="AB234" i="10"/>
  <c r="AB391" i="10"/>
  <c r="AB552" i="10"/>
  <c r="AB725" i="10"/>
  <c r="AB915" i="10"/>
  <c r="AB572" i="10"/>
  <c r="AB716" i="10"/>
  <c r="AB869" i="10"/>
  <c r="AB1026" i="10"/>
  <c r="AB924" i="10"/>
  <c r="AB925" i="10"/>
  <c r="AB37" i="10"/>
  <c r="AB181" i="10"/>
  <c r="AB325" i="10"/>
  <c r="AB469" i="10"/>
  <c r="AB613" i="10"/>
  <c r="AB757" i="10"/>
  <c r="AB913" i="10"/>
  <c r="AB782" i="10"/>
  <c r="AB926" i="10"/>
  <c r="AB932" i="10"/>
  <c r="AB939" i="10"/>
  <c r="AB625" i="10"/>
  <c r="AB927" i="10"/>
  <c r="AB468" i="10"/>
  <c r="AB897" i="10"/>
  <c r="AB204" i="10"/>
  <c r="AB207" i="10"/>
  <c r="AB394" i="10"/>
  <c r="AB271" i="10"/>
  <c r="AB272" i="10"/>
  <c r="AB297" i="10"/>
  <c r="AB298" i="10"/>
  <c r="AB300" i="10"/>
  <c r="AB302" i="10"/>
  <c r="AB834" i="10"/>
  <c r="AB753" i="10"/>
  <c r="AB657" i="10"/>
  <c r="AB159" i="10"/>
  <c r="AB571" i="10"/>
  <c r="AB99" i="10"/>
  <c r="AB488" i="10"/>
  <c r="AB43" i="10"/>
  <c r="AB413" i="10"/>
  <c r="AB1027" i="10"/>
  <c r="AB868" i="10"/>
  <c r="AB148" i="10"/>
  <c r="AB336" i="10"/>
  <c r="AB557" i="10"/>
  <c r="AB846" i="10"/>
  <c r="AB291" i="10"/>
  <c r="AB497" i="10"/>
  <c r="AB767" i="10"/>
  <c r="AB62" i="10"/>
  <c r="AB438" i="10"/>
  <c r="AB695" i="10"/>
  <c r="AB20" i="10"/>
  <c r="AB199" i="10"/>
  <c r="AB388" i="10"/>
  <c r="AB628" i="10"/>
  <c r="AB958" i="10"/>
  <c r="AB138" i="10"/>
  <c r="AB327" i="10"/>
  <c r="AB543" i="10"/>
  <c r="AB825" i="10"/>
  <c r="AB80" i="10"/>
  <c r="AB264" i="10"/>
  <c r="AB462" i="10"/>
  <c r="AB726" i="10"/>
  <c r="AB149" i="10"/>
  <c r="AB306" i="10"/>
  <c r="AB463" i="10"/>
  <c r="AB631" i="10"/>
  <c r="AB808" i="10"/>
  <c r="AB1035" i="10"/>
  <c r="AB706" i="10"/>
  <c r="AB889" i="10"/>
  <c r="AB479" i="10"/>
  <c r="AB650" i="10"/>
  <c r="AB827" i="10"/>
  <c r="AB415" i="10"/>
  <c r="AB579" i="10"/>
  <c r="AB751" i="10"/>
  <c r="AB954" i="10"/>
  <c r="AB103" i="10"/>
  <c r="AB260" i="10"/>
  <c r="AB417" i="10"/>
  <c r="AB581" i="10"/>
  <c r="AB754" i="10"/>
  <c r="AB956" i="10"/>
  <c r="AB596" i="10"/>
  <c r="AB740" i="10"/>
  <c r="AB895" i="10"/>
  <c r="AB936" i="10"/>
  <c r="AB951" i="10"/>
  <c r="AB952" i="10"/>
  <c r="AB61" i="10"/>
  <c r="AB205" i="10"/>
  <c r="AB349" i="10"/>
  <c r="AB493" i="10"/>
  <c r="AB637" i="10"/>
  <c r="AB783" i="10"/>
  <c r="AB940" i="10"/>
  <c r="AB806" i="10"/>
  <c r="AB950" i="10"/>
  <c r="AB144" i="10"/>
  <c r="AB464" i="10"/>
  <c r="AB472" i="10"/>
  <c r="AB473" i="10"/>
  <c r="AB510" i="10"/>
  <c r="AB920" i="10"/>
  <c r="AB805" i="10"/>
  <c r="AB191" i="10"/>
  <c r="AB616" i="10"/>
  <c r="AB130" i="10"/>
  <c r="AB72" i="10"/>
  <c r="AB17" i="10"/>
  <c r="AB196" i="10"/>
  <c r="AB943" i="10"/>
  <c r="AB558" i="10"/>
  <c r="AB849" i="10"/>
  <c r="AB105" i="10"/>
  <c r="AB771" i="10"/>
  <c r="AB246" i="10"/>
  <c r="AB698" i="10"/>
  <c r="AB185" i="10"/>
  <c r="AB918" i="10"/>
  <c r="AB188" i="10"/>
  <c r="AB855" i="10"/>
  <c r="AB905" i="10"/>
  <c r="AB946" i="10"/>
  <c r="AB693" i="10"/>
  <c r="AB622" i="10"/>
  <c r="AB798" i="10"/>
  <c r="AB142" i="10"/>
  <c r="AB624" i="10"/>
  <c r="AB800" i="10"/>
  <c r="AB777" i="10"/>
  <c r="AB990" i="10"/>
  <c r="AB991" i="10"/>
  <c r="AB241" i="10"/>
  <c r="AB385" i="10"/>
  <c r="AB822" i="10"/>
  <c r="AB842" i="10"/>
  <c r="AB986" i="10"/>
  <c r="AB304" i="10"/>
  <c r="AB640" i="10"/>
  <c r="AB178" i="10"/>
  <c r="AB83" i="10"/>
  <c r="AB268" i="10"/>
  <c r="AB555" i="10"/>
  <c r="AB556" i="10"/>
  <c r="AB590" i="10"/>
  <c r="AB591" i="10"/>
  <c r="AB594" i="10"/>
  <c r="AB597" i="10"/>
  <c r="AB598" i="10"/>
  <c r="AB39" i="10"/>
  <c r="AB407" i="10"/>
  <c r="AB1009" i="10"/>
  <c r="AB346" i="10"/>
  <c r="AB862" i="10"/>
  <c r="AB284" i="10"/>
  <c r="AB756" i="10"/>
  <c r="AB223" i="10"/>
  <c r="AB659" i="10"/>
  <c r="AB161" i="10"/>
  <c r="AB575" i="10"/>
  <c r="AB101" i="10"/>
  <c r="AB491" i="10"/>
  <c r="AB31" i="10"/>
  <c r="AB211" i="10"/>
  <c r="AB400" i="10"/>
  <c r="AB643" i="10"/>
  <c r="AB985" i="10"/>
  <c r="AB165" i="10"/>
  <c r="AB354" i="10"/>
  <c r="AB582" i="10"/>
  <c r="AB877" i="10"/>
  <c r="AB119" i="10"/>
  <c r="AB308" i="10"/>
  <c r="AB518" i="10"/>
  <c r="AB793" i="10"/>
  <c r="AB78" i="10"/>
  <c r="AB262" i="10"/>
  <c r="AB460" i="10"/>
  <c r="AB719" i="10"/>
  <c r="AB21" i="10"/>
  <c r="AB200" i="10"/>
  <c r="AB389" i="10"/>
  <c r="AB629" i="10"/>
  <c r="AB959" i="10"/>
  <c r="AB139" i="10"/>
  <c r="AB328" i="10"/>
  <c r="AB544" i="10"/>
  <c r="AB831" i="10"/>
  <c r="AB201" i="10"/>
  <c r="AB358" i="10"/>
  <c r="AB516" i="10"/>
  <c r="AB689" i="10"/>
  <c r="AB871" i="10"/>
  <c r="AB923" i="10"/>
  <c r="AB763" i="10"/>
  <c r="AB970" i="10"/>
  <c r="AB534" i="10"/>
  <c r="AB707" i="10"/>
  <c r="AB891" i="10"/>
  <c r="AB467" i="10"/>
  <c r="AB636" i="10"/>
  <c r="AB813" i="10"/>
  <c r="AB1040" i="10"/>
  <c r="AB155" i="10"/>
  <c r="AB312" i="10"/>
  <c r="AB470" i="10"/>
  <c r="AB639" i="10"/>
  <c r="AB815" i="10"/>
  <c r="AB1047" i="10"/>
  <c r="AB644" i="10"/>
  <c r="AB790" i="10"/>
  <c r="AB947" i="10"/>
  <c r="AB989" i="10"/>
  <c r="AB1003" i="10"/>
  <c r="AB1004" i="10"/>
  <c r="AB109" i="10"/>
  <c r="AB253" i="10"/>
  <c r="AB397" i="10"/>
  <c r="AB541" i="10"/>
  <c r="AB685" i="10"/>
  <c r="AB835" i="10"/>
  <c r="AB992" i="10"/>
  <c r="AB854" i="10"/>
  <c r="AB998" i="10"/>
  <c r="AB329" i="10"/>
  <c r="AB731" i="10"/>
  <c r="AB242" i="10"/>
  <c r="AB395" i="10"/>
  <c r="AB642" i="10"/>
  <c r="AB676" i="10"/>
  <c r="AB683" i="10"/>
  <c r="AB686" i="10"/>
  <c r="AB687" i="10"/>
  <c r="AB727" i="10"/>
  <c r="AB67" i="10"/>
  <c r="AB446" i="10"/>
  <c r="AB10" i="10"/>
  <c r="AB377" i="10"/>
  <c r="AB931" i="10"/>
  <c r="AB316" i="10"/>
  <c r="AB807" i="10"/>
  <c r="AB255" i="10"/>
  <c r="AB710" i="10"/>
  <c r="AB192" i="10"/>
  <c r="AB131" i="10"/>
  <c r="AB45" i="10"/>
  <c r="AB226" i="10"/>
  <c r="AB416" i="10"/>
  <c r="AB666" i="10"/>
  <c r="AB1033" i="10"/>
  <c r="AB180" i="10"/>
  <c r="AB369" i="10"/>
  <c r="AB602" i="10"/>
  <c r="AB910" i="10"/>
  <c r="AB135" i="10"/>
  <c r="AB323" i="10"/>
  <c r="AB540" i="10"/>
  <c r="AB92" i="10"/>
  <c r="AB278" i="10"/>
  <c r="AB478" i="10"/>
  <c r="AB744" i="10"/>
  <c r="AB35" i="10"/>
  <c r="AB216" i="10"/>
  <c r="AB405" i="10"/>
  <c r="AB652" i="10"/>
  <c r="AB1007" i="10"/>
  <c r="AB154" i="10"/>
  <c r="AB343" i="10"/>
  <c r="AB568" i="10"/>
  <c r="AB853" i="10"/>
  <c r="AB214" i="10"/>
  <c r="AB371" i="10"/>
  <c r="AB531" i="10"/>
  <c r="AB703" i="10"/>
  <c r="AB886" i="10"/>
  <c r="AB945" i="10"/>
  <c r="AB779" i="10"/>
  <c r="AB994" i="10"/>
  <c r="AB549" i="10"/>
  <c r="AB722" i="10"/>
  <c r="AB907" i="10"/>
  <c r="AB480" i="10"/>
  <c r="AB651" i="10"/>
  <c r="AB828" i="10"/>
  <c r="AB11" i="10"/>
  <c r="AB168" i="10"/>
  <c r="AB326" i="10"/>
  <c r="AB483" i="10"/>
  <c r="AB653" i="10"/>
  <c r="AB832" i="10"/>
  <c r="AB512" i="10"/>
  <c r="AB656" i="10"/>
  <c r="AB803" i="10"/>
  <c r="AB960" i="10"/>
  <c r="AB1002" i="10"/>
  <c r="AB1016" i="10"/>
  <c r="AB1017" i="10"/>
  <c r="AB121" i="10"/>
  <c r="AB265" i="10"/>
  <c r="AB409" i="10"/>
  <c r="AB553" i="10"/>
  <c r="AB697" i="10"/>
  <c r="AB848" i="10"/>
  <c r="AB1005" i="10"/>
  <c r="AB866" i="10"/>
  <c r="AB1010" i="10"/>
  <c r="AB28" i="10"/>
  <c r="AB206" i="10"/>
  <c r="AB393" i="10"/>
  <c r="AB633" i="10"/>
  <c r="AB784" i="10"/>
  <c r="AB786" i="10"/>
  <c r="AB787" i="10"/>
  <c r="AB788" i="10"/>
  <c r="AB833" i="10"/>
  <c r="AB836" i="10"/>
  <c r="AB837" i="10"/>
  <c r="AB95" i="10"/>
  <c r="AB485" i="10"/>
  <c r="AB40" i="10"/>
  <c r="AB1021" i="10"/>
  <c r="AB347" i="10"/>
  <c r="AB864" i="10"/>
  <c r="AB224" i="10"/>
  <c r="AB163" i="10"/>
  <c r="AB576" i="10"/>
  <c r="AB59" i="10"/>
  <c r="AB243" i="10"/>
  <c r="AB435" i="10"/>
  <c r="AB688" i="10"/>
  <c r="AB18" i="10"/>
  <c r="AB197" i="10"/>
  <c r="AB386" i="10"/>
  <c r="AB626" i="10"/>
  <c r="AB955" i="10"/>
  <c r="AB151" i="10"/>
  <c r="AB340" i="10"/>
  <c r="AB561" i="10"/>
  <c r="AB106" i="10"/>
  <c r="AB294" i="10"/>
  <c r="AB499" i="10"/>
  <c r="AB772" i="10"/>
  <c r="AB50" i="10"/>
  <c r="AB232" i="10"/>
  <c r="AB422" i="10"/>
  <c r="AB672" i="10"/>
  <c r="AB1050" i="10"/>
  <c r="AB171" i="10"/>
  <c r="AB359" i="10"/>
  <c r="AB587" i="10"/>
  <c r="AB884" i="10"/>
  <c r="AB227" i="10"/>
  <c r="AB384" i="10"/>
  <c r="AB545" i="10"/>
  <c r="AB718" i="10"/>
  <c r="AB904" i="10"/>
  <c r="AB969" i="10"/>
  <c r="AB795" i="10"/>
  <c r="AB1014" i="10"/>
  <c r="AB563" i="10"/>
  <c r="AB736" i="10"/>
  <c r="AB929" i="10"/>
  <c r="AB494" i="10"/>
  <c r="AB665" i="10"/>
  <c r="AB845" i="10"/>
  <c r="AB24" i="10"/>
  <c r="AB182" i="10"/>
  <c r="AB339" i="10"/>
  <c r="AB496" i="10"/>
  <c r="AB667" i="10"/>
  <c r="AB847" i="10"/>
  <c r="AB524" i="10"/>
  <c r="AB668" i="10"/>
  <c r="AB816" i="10"/>
  <c r="AB973" i="10"/>
  <c r="AB1015" i="10"/>
  <c r="AB1029" i="10"/>
  <c r="AB1030" i="10"/>
  <c r="AB133" i="10"/>
  <c r="AB277" i="10"/>
  <c r="AB421" i="10"/>
  <c r="AB565" i="10"/>
  <c r="AB709" i="10"/>
  <c r="AB861" i="10"/>
  <c r="AB1018" i="10"/>
  <c r="AB878" i="10"/>
  <c r="AB1022" i="10"/>
  <c r="AB1023" i="10"/>
  <c r="AB23" i="10"/>
  <c r="AB367" i="10"/>
  <c r="AB554" i="10"/>
  <c r="AB896" i="10"/>
  <c r="AB898" i="10"/>
  <c r="AB901" i="10"/>
  <c r="AB967" i="10"/>
  <c r="AB981" i="10"/>
  <c r="AB982" i="10"/>
  <c r="AB984" i="10"/>
  <c r="AB125" i="10"/>
  <c r="AB526" i="10"/>
  <c r="AB68" i="10"/>
  <c r="AB447" i="10"/>
  <c r="AB379" i="10"/>
  <c r="AB317" i="10"/>
  <c r="AB810" i="10"/>
  <c r="AB256" i="10"/>
  <c r="AB712" i="10"/>
  <c r="AB194" i="10"/>
  <c r="AB74" i="10"/>
  <c r="AB258" i="10"/>
  <c r="AB455" i="10"/>
  <c r="AB32" i="10"/>
  <c r="AB212" i="10"/>
  <c r="AB401" i="10"/>
  <c r="AB645" i="10"/>
  <c r="AB997" i="10"/>
  <c r="AB166" i="10"/>
  <c r="AB355" i="10"/>
  <c r="AB583" i="10"/>
  <c r="AB880" i="10"/>
  <c r="AB120" i="10"/>
  <c r="AB309" i="10"/>
  <c r="AB519" i="10"/>
  <c r="AB799" i="10"/>
  <c r="AB65" i="10"/>
  <c r="AB248" i="10"/>
  <c r="AB442" i="10"/>
  <c r="AB699" i="10"/>
  <c r="AB8" i="10"/>
  <c r="AB7" i="10" s="1"/>
  <c r="AB186" i="10"/>
  <c r="AB375" i="10"/>
  <c r="AB611" i="10"/>
  <c r="AB919" i="10"/>
  <c r="AB240" i="10"/>
  <c r="AB398" i="10"/>
  <c r="AB559" i="10"/>
  <c r="AB732" i="10"/>
  <c r="AB922" i="10"/>
  <c r="AB993" i="10"/>
  <c r="AB811" i="10"/>
  <c r="AB1037" i="10"/>
  <c r="AB578" i="10"/>
  <c r="AB750" i="10"/>
  <c r="AB948" i="10"/>
  <c r="AB507" i="10"/>
  <c r="AB679" i="10"/>
  <c r="AB860" i="10"/>
  <c r="AB38" i="10"/>
  <c r="AB195" i="10"/>
  <c r="AB352" i="10"/>
  <c r="AB509" i="10"/>
  <c r="AB682" i="10"/>
  <c r="AB863" i="10"/>
  <c r="AB536" i="10"/>
  <c r="AB680" i="10"/>
  <c r="AB829" i="10"/>
  <c r="AB987" i="10"/>
  <c r="AB1028" i="10"/>
  <c r="AB1042" i="10"/>
  <c r="AB1043" i="10"/>
  <c r="AB145" i="10"/>
  <c r="AB289" i="10"/>
  <c r="AB433" i="10"/>
  <c r="AB577" i="10"/>
  <c r="AB721" i="10"/>
  <c r="AB874" i="10"/>
  <c r="AB1031" i="10"/>
  <c r="AB890" i="10"/>
  <c r="AB1034" i="10"/>
  <c r="AB735" i="10"/>
  <c r="AB678" i="10"/>
  <c r="AB781" i="10"/>
  <c r="AB996" i="10"/>
  <c r="AB443" i="10"/>
  <c r="AB610" i="10"/>
  <c r="AB785" i="10"/>
  <c r="AB999" i="10"/>
  <c r="AB620" i="10"/>
  <c r="AB978" i="10"/>
  <c r="AB373" i="10"/>
  <c r="AB966" i="10"/>
  <c r="AB9" i="10"/>
  <c r="AB97" i="10"/>
  <c r="AB12" i="10"/>
  <c r="AB140" i="10"/>
  <c r="AB331" i="10"/>
  <c r="AB547" i="10"/>
  <c r="AB840" i="10"/>
  <c r="AB29" i="10"/>
  <c r="AB30" i="10"/>
  <c r="AB53" i="10"/>
  <c r="AB54" i="10"/>
  <c r="AB55" i="10"/>
  <c r="AB56" i="10"/>
  <c r="AB57" i="10"/>
  <c r="AB634" i="10"/>
  <c r="AB156" i="10"/>
  <c r="AB569" i="10"/>
  <c r="AB96" i="10"/>
  <c r="AB486" i="10"/>
  <c r="AB41" i="10"/>
  <c r="AB410" i="10"/>
  <c r="AB1024" i="10"/>
  <c r="AB348" i="10"/>
  <c r="AB865" i="10"/>
  <c r="AB287" i="10"/>
  <c r="AB759" i="10"/>
  <c r="AB225" i="10"/>
  <c r="AB663" i="10"/>
  <c r="AB88" i="10"/>
  <c r="AB274" i="10"/>
  <c r="AB474" i="10"/>
  <c r="AB741" i="10"/>
  <c r="AB46" i="10"/>
  <c r="AB228" i="10"/>
  <c r="AB418" i="10"/>
  <c r="AB669" i="10"/>
  <c r="AB1045" i="10"/>
  <c r="AB183" i="10"/>
  <c r="AB370" i="10"/>
  <c r="AB604" i="10"/>
  <c r="AB916" i="10"/>
  <c r="AB137" i="10"/>
  <c r="AB324" i="10"/>
  <c r="AB542" i="10"/>
  <c r="AB823" i="10"/>
  <c r="AB79" i="10"/>
  <c r="AB263" i="10"/>
  <c r="AB461" i="10"/>
  <c r="AB724" i="10"/>
  <c r="AB22" i="10"/>
  <c r="AB202" i="10"/>
  <c r="AB390" i="10"/>
  <c r="AB630" i="10"/>
  <c r="AB961" i="10"/>
  <c r="AB254" i="10"/>
  <c r="AB411" i="10"/>
  <c r="AB574" i="10"/>
  <c r="AB747" i="10"/>
  <c r="AB944" i="10"/>
  <c r="AB1012" i="10"/>
  <c r="AB826" i="10"/>
  <c r="AB427" i="10"/>
  <c r="AB592" i="10"/>
  <c r="AB765" i="10"/>
  <c r="AB971" i="10"/>
  <c r="AB521" i="10"/>
  <c r="AB694" i="10"/>
  <c r="AB876" i="10"/>
  <c r="AB51" i="10"/>
  <c r="AB208" i="10"/>
  <c r="AB365" i="10"/>
  <c r="AB523" i="10"/>
  <c r="AB696" i="10"/>
  <c r="AB879" i="10"/>
  <c r="AB548" i="10"/>
  <c r="AB692" i="10"/>
  <c r="AB843" i="10"/>
  <c r="AB1000" i="10"/>
  <c r="AB1041" i="10"/>
  <c r="AB899" i="10"/>
  <c r="AB13" i="10"/>
  <c r="AB157" i="10"/>
  <c r="AB301" i="10"/>
  <c r="AB445" i="10"/>
  <c r="AB589" i="10"/>
  <c r="AB733" i="10"/>
  <c r="AB887" i="10"/>
  <c r="AB1044" i="10"/>
  <c r="AB902" i="10"/>
  <c r="AB1046" i="10"/>
  <c r="O5" i="12"/>
  <c r="P5" i="12"/>
  <c r="Q5" i="12"/>
  <c r="S5" i="12" s="1"/>
  <c r="AW50" i="10" l="1"/>
  <c r="AW83" i="10"/>
  <c r="AW102" i="10"/>
  <c r="T5" i="12"/>
  <c r="AW45" i="10"/>
  <c r="AW38" i="10"/>
  <c r="AW28" i="10"/>
  <c r="AW99" i="10"/>
  <c r="AW100" i="10"/>
  <c r="AW64" i="10"/>
  <c r="AW11" i="10"/>
  <c r="AW40" i="10"/>
  <c r="AW70" i="10"/>
  <c r="AW92" i="10"/>
  <c r="AW107" i="10"/>
  <c r="AW7" i="10"/>
  <c r="AW80" i="10"/>
  <c r="AW88" i="10"/>
  <c r="AW51" i="10"/>
  <c r="AW12" i="10"/>
  <c r="AW31" i="10"/>
  <c r="AW62" i="10"/>
  <c r="AW37" i="10"/>
  <c r="AW73" i="10"/>
  <c r="AW93" i="10"/>
  <c r="AW24" i="10"/>
  <c r="AW8" i="10"/>
  <c r="AW17" i="10"/>
  <c r="AW49" i="10"/>
  <c r="AW30" i="10"/>
  <c r="AW89" i="10"/>
  <c r="AW32" i="10"/>
  <c r="AW96" i="10"/>
  <c r="AW36" i="10"/>
  <c r="AW48" i="10"/>
  <c r="AW68" i="10"/>
  <c r="AW19" i="10"/>
  <c r="AW97" i="10"/>
  <c r="AW26" i="10"/>
  <c r="AW79" i="10"/>
  <c r="AW43" i="10"/>
  <c r="AW103" i="10"/>
  <c r="AW71" i="10"/>
  <c r="AW42" i="10"/>
  <c r="AW105" i="10"/>
  <c r="AW58" i="10"/>
  <c r="AW69" i="10"/>
  <c r="AW53" i="10"/>
  <c r="AW75" i="10"/>
  <c r="AW9" i="10"/>
  <c r="AW59" i="10"/>
  <c r="AW106" i="10"/>
  <c r="AW18" i="10"/>
  <c r="AW78" i="10"/>
  <c r="AW56" i="10"/>
  <c r="AW67" i="10"/>
  <c r="AW65" i="10"/>
  <c r="AW94" i="10"/>
  <c r="AW55" i="10"/>
  <c r="AW86" i="10"/>
  <c r="AW66" i="10"/>
  <c r="AW61" i="10"/>
  <c r="AW76" i="10"/>
  <c r="AW27" i="10"/>
  <c r="AW82" i="10"/>
  <c r="X5" i="12"/>
  <c r="Y5" i="12"/>
  <c r="Z5" i="12"/>
  <c r="AB5" i="12" s="1"/>
  <c r="AC5" i="12" l="1"/>
  <c r="F6" i="12"/>
  <c r="G6" i="12"/>
  <c r="H6" i="12"/>
  <c r="J6" i="12" s="1"/>
  <c r="K6" i="12" l="1"/>
  <c r="O6" i="12"/>
  <c r="P6" i="12"/>
  <c r="Q6" i="12"/>
  <c r="S6" i="12" s="1"/>
  <c r="X6" i="12"/>
  <c r="Y6" i="12"/>
  <c r="Z6" i="12"/>
  <c r="AB6" i="12" s="1"/>
  <c r="AC6" i="12" l="1"/>
  <c r="T6" i="12"/>
  <c r="F8" i="12" l="1"/>
  <c r="G8" i="12"/>
  <c r="H8" i="12"/>
  <c r="O8" i="12" l="1"/>
  <c r="P8" i="12"/>
  <c r="Q8" i="12"/>
  <c r="T8" i="12" l="1"/>
  <c r="X8" i="12"/>
  <c r="Y8" i="12"/>
  <c r="Z8" i="12"/>
  <c r="AC8" i="12" l="1"/>
  <c r="F9" i="12"/>
  <c r="G9" i="12"/>
  <c r="H9" i="12"/>
  <c r="O9" i="12" l="1"/>
  <c r="P9" i="12"/>
  <c r="Q9" i="12"/>
  <c r="T9" i="12" l="1"/>
  <c r="X9" i="12" l="1"/>
  <c r="Y9" i="12"/>
  <c r="Z9" i="12"/>
  <c r="AC9" i="12" l="1"/>
  <c r="F14" i="12"/>
  <c r="G14" i="12"/>
  <c r="H14" i="12"/>
  <c r="O14" i="12" l="1"/>
  <c r="P14" i="12"/>
  <c r="Q14" i="12"/>
  <c r="S14" i="12"/>
  <c r="T14" i="12" l="1"/>
  <c r="X14" i="12"/>
  <c r="Y14" i="12"/>
  <c r="Z14" i="12"/>
  <c r="AB14" i="12"/>
  <c r="AC14" i="12" l="1"/>
  <c r="F18" i="12"/>
  <c r="G18" i="12"/>
  <c r="H18" i="12"/>
  <c r="O18" i="12" l="1"/>
  <c r="P18" i="12"/>
  <c r="Q18" i="12"/>
  <c r="S18" i="12"/>
  <c r="X18" i="12"/>
  <c r="Y18" i="12"/>
  <c r="Z18" i="12"/>
  <c r="AB18" i="12"/>
  <c r="T18" i="12" l="1"/>
  <c r="AC18" i="12"/>
  <c r="F19" i="12"/>
  <c r="G19" i="12"/>
  <c r="H19" i="12"/>
  <c r="O19" i="12" l="1"/>
  <c r="P19" i="12"/>
  <c r="Q19" i="12"/>
  <c r="S19" i="12"/>
  <c r="S30" i="12" s="1"/>
  <c r="X19" i="12"/>
  <c r="Y19" i="12"/>
  <c r="Z19" i="12"/>
  <c r="AB19" i="12"/>
  <c r="AB30" i="12" s="1"/>
  <c r="AC19" i="12" l="1"/>
  <c r="T19" i="12"/>
  <c r="R261" i="10"/>
  <c r="R260" i="10" s="1"/>
  <c r="Q261" i="10"/>
  <c r="Q260" i="10" s="1"/>
  <c r="Q259" i="10" s="1"/>
  <c r="Q258" i="10" s="1"/>
  <c r="Q257" i="10" s="1"/>
  <c r="Q256" i="10" s="1"/>
  <c r="Q255" i="10" s="1"/>
  <c r="Q254" i="10" s="1"/>
  <c r="Q253" i="10" s="1"/>
  <c r="Q252" i="10" s="1"/>
  <c r="Q251" i="10" s="1"/>
  <c r="Q250" i="10" s="1"/>
  <c r="K1499" i="10"/>
  <c r="K1498" i="10" s="1"/>
  <c r="K1497" i="10" s="1"/>
  <c r="K1496" i="10" s="1"/>
  <c r="K1495" i="10" s="1"/>
  <c r="K1494" i="10" s="1"/>
  <c r="K1493" i="10" s="1"/>
  <c r="K1492" i="10" s="1"/>
  <c r="K1491" i="10" s="1"/>
  <c r="K1490" i="10" s="1"/>
  <c r="K1489" i="10" s="1"/>
  <c r="R259" i="10" l="1"/>
  <c r="R258" i="10" s="1"/>
  <c r="R257" i="10" s="1"/>
  <c r="R256" i="10" s="1"/>
  <c r="R255" i="10" s="1"/>
  <c r="R254" i="10" s="1"/>
  <c r="R253" i="10" s="1"/>
  <c r="R252" i="10" s="1"/>
  <c r="R251" i="10" s="1"/>
  <c r="R250" i="10" s="1"/>
  <c r="R249" i="10" s="1"/>
  <c r="R248" i="10" s="1"/>
  <c r="R247" i="10" s="1"/>
  <c r="R246" i="10" s="1"/>
  <c r="R245" i="10" s="1"/>
  <c r="R244" i="10" s="1"/>
  <c r="R243" i="10" s="1"/>
  <c r="R242" i="10" s="1"/>
  <c r="R241" i="10" s="1"/>
  <c r="R240" i="10" s="1"/>
  <c r="R239" i="10" s="1"/>
  <c r="R238" i="10" s="1"/>
  <c r="R237" i="10" s="1"/>
  <c r="R236" i="10" s="1"/>
  <c r="R235" i="10" s="1"/>
  <c r="R234" i="10" s="1"/>
  <c r="R233" i="10" s="1"/>
  <c r="R232" i="10" s="1"/>
  <c r="R231" i="10" s="1"/>
  <c r="R230" i="10" s="1"/>
  <c r="R229" i="10" s="1"/>
  <c r="R228" i="10" s="1"/>
  <c r="R227" i="10" s="1"/>
  <c r="R226" i="10" s="1"/>
  <c r="R225" i="10" s="1"/>
  <c r="R224" i="10" s="1"/>
  <c r="R223" i="10" s="1"/>
  <c r="R222" i="10" s="1"/>
  <c r="R221" i="10" s="1"/>
  <c r="R220" i="10" s="1"/>
  <c r="R219" i="10" s="1"/>
  <c r="R218" i="10" s="1"/>
  <c r="R217" i="10" s="1"/>
  <c r="R216" i="10" s="1"/>
  <c r="R215" i="10" s="1"/>
  <c r="R214" i="10" s="1"/>
  <c r="R213" i="10" s="1"/>
  <c r="R212" i="10" s="1"/>
  <c r="R211" i="10" s="1"/>
  <c r="R210" i="10" s="1"/>
  <c r="R209" i="10" s="1"/>
  <c r="R208" i="10" s="1"/>
  <c r="R207" i="10" s="1"/>
  <c r="R206" i="10" s="1"/>
  <c r="R205" i="10" s="1"/>
  <c r="R204" i="10" s="1"/>
  <c r="R203" i="10" s="1"/>
  <c r="R202" i="10" s="1"/>
  <c r="R201" i="10" s="1"/>
  <c r="R200" i="10" s="1"/>
  <c r="R199" i="10" s="1"/>
  <c r="R198" i="10" s="1"/>
  <c r="R197" i="10" s="1"/>
  <c r="R196" i="10" s="1"/>
  <c r="R195" i="10" s="1"/>
  <c r="R194" i="10" s="1"/>
  <c r="R193" i="10" s="1"/>
  <c r="R192" i="10" s="1"/>
  <c r="R191" i="10" s="1"/>
  <c r="R190" i="10" s="1"/>
  <c r="R189" i="10" s="1"/>
  <c r="R188" i="10" s="1"/>
  <c r="R187" i="10" s="1"/>
  <c r="R186" i="10" s="1"/>
  <c r="R185" i="10" s="1"/>
  <c r="R184" i="10" s="1"/>
  <c r="R183" i="10" s="1"/>
  <c r="R182" i="10" s="1"/>
  <c r="R181" i="10" s="1"/>
  <c r="R180" i="10" s="1"/>
  <c r="R179" i="10" s="1"/>
  <c r="R178" i="10" s="1"/>
  <c r="R177" i="10" s="1"/>
  <c r="R176" i="10" s="1"/>
  <c r="R175" i="10" s="1"/>
  <c r="R174" i="10" s="1"/>
  <c r="R173" i="10" s="1"/>
  <c r="R172" i="10" s="1"/>
  <c r="R171" i="10" s="1"/>
  <c r="R170" i="10" s="1"/>
  <c r="R169" i="10" s="1"/>
  <c r="R168" i="10" s="1"/>
  <c r="R167" i="10" s="1"/>
  <c r="R166" i="10" s="1"/>
  <c r="R165" i="10" s="1"/>
  <c r="R164" i="10" s="1"/>
  <c r="R163" i="10" s="1"/>
  <c r="R162" i="10" s="1"/>
  <c r="R161" i="10" s="1"/>
  <c r="R160" i="10" s="1"/>
  <c r="R159" i="10" s="1"/>
  <c r="R158" i="10" s="1"/>
  <c r="R157" i="10" s="1"/>
  <c r="R156" i="10" s="1"/>
  <c r="R155" i="10" s="1"/>
  <c r="R154" i="10" s="1"/>
  <c r="R153" i="10" s="1"/>
  <c r="R152" i="10" s="1"/>
  <c r="R151" i="10" s="1"/>
  <c r="R150" i="10" s="1"/>
  <c r="R149" i="10" s="1"/>
  <c r="R148" i="10" s="1"/>
  <c r="R147" i="10" s="1"/>
  <c r="R146" i="10" s="1"/>
  <c r="R145" i="10" s="1"/>
  <c r="R144" i="10" s="1"/>
  <c r="R143" i="10" s="1"/>
  <c r="R142" i="10" s="1"/>
  <c r="R141" i="10" s="1"/>
  <c r="R140" i="10" s="1"/>
  <c r="R139" i="10" s="1"/>
  <c r="R138" i="10" s="1"/>
  <c r="R137" i="10" s="1"/>
  <c r="R136" i="10" s="1"/>
  <c r="R135" i="10" s="1"/>
  <c r="R134" i="10" s="1"/>
  <c r="R133" i="10" s="1"/>
  <c r="R132" i="10" s="1"/>
  <c r="R131" i="10" s="1"/>
  <c r="R130" i="10" s="1"/>
  <c r="R129" i="10" s="1"/>
  <c r="R128" i="10" s="1"/>
  <c r="R127" i="10" s="1"/>
  <c r="R126" i="10" s="1"/>
  <c r="R125" i="10" s="1"/>
  <c r="R124" i="10" s="1"/>
  <c r="R123" i="10" s="1"/>
  <c r="R122" i="10" s="1"/>
  <c r="R121" i="10" s="1"/>
  <c r="R120" i="10" s="1"/>
  <c r="R119" i="10" s="1"/>
  <c r="R118" i="10" s="1"/>
  <c r="R117" i="10" s="1"/>
  <c r="R116" i="10" s="1"/>
  <c r="R115" i="10" s="1"/>
  <c r="R114" i="10" s="1"/>
  <c r="R113" i="10" s="1"/>
  <c r="R112" i="10" s="1"/>
  <c r="R111" i="10" s="1"/>
  <c r="R110" i="10" s="1"/>
  <c r="R109" i="10" s="1"/>
  <c r="R108" i="10" s="1"/>
  <c r="R107" i="10" s="1"/>
  <c r="R106" i="10" s="1"/>
  <c r="R105" i="10" s="1"/>
  <c r="R104" i="10" s="1"/>
  <c r="R103" i="10" s="1"/>
  <c r="R102" i="10" s="1"/>
  <c r="R101" i="10" s="1"/>
  <c r="R100" i="10" s="1"/>
  <c r="R99" i="10" s="1"/>
  <c r="R98" i="10" s="1"/>
  <c r="R97" i="10" s="1"/>
  <c r="R96" i="10" s="1"/>
  <c r="R95" i="10" s="1"/>
  <c r="R94" i="10" s="1"/>
  <c r="R93" i="10" s="1"/>
  <c r="R92" i="10" s="1"/>
  <c r="R91" i="10" s="1"/>
  <c r="R90" i="10" s="1"/>
  <c r="R89" i="10" s="1"/>
  <c r="R88" i="10" s="1"/>
  <c r="R87" i="10" s="1"/>
  <c r="R86" i="10" s="1"/>
  <c r="R85" i="10" s="1"/>
  <c r="R84" i="10" s="1"/>
  <c r="R83" i="10" s="1"/>
  <c r="R82" i="10" s="1"/>
  <c r="R81" i="10" s="1"/>
  <c r="R80" i="10" s="1"/>
  <c r="R79" i="10" s="1"/>
  <c r="R78" i="10" s="1"/>
  <c r="R77" i="10" s="1"/>
  <c r="R76" i="10" s="1"/>
  <c r="R75" i="10" s="1"/>
  <c r="R74" i="10" s="1"/>
  <c r="R73" i="10" s="1"/>
  <c r="R72" i="10" s="1"/>
  <c r="R71" i="10" s="1"/>
  <c r="R70" i="10" s="1"/>
  <c r="R69" i="10" s="1"/>
  <c r="R68" i="10" s="1"/>
  <c r="R67" i="10" s="1"/>
  <c r="R66" i="10" s="1"/>
  <c r="R65" i="10" s="1"/>
  <c r="R64" i="10" s="1"/>
  <c r="R63" i="10" s="1"/>
  <c r="R62" i="10" s="1"/>
  <c r="R61" i="10" s="1"/>
  <c r="R60" i="10" s="1"/>
  <c r="R59" i="10" s="1"/>
  <c r="R58" i="10" s="1"/>
  <c r="R57" i="10" s="1"/>
  <c r="R56" i="10" s="1"/>
  <c r="R55" i="10" s="1"/>
  <c r="R54" i="10" s="1"/>
  <c r="R53" i="10" s="1"/>
  <c r="R52" i="10" s="1"/>
  <c r="R51" i="10" s="1"/>
  <c r="R50" i="10" s="1"/>
  <c r="R49" i="10" s="1"/>
  <c r="R48" i="10" s="1"/>
  <c r="R47" i="10" s="1"/>
  <c r="R46" i="10" s="1"/>
  <c r="R45" i="10" s="1"/>
  <c r="R44" i="10" s="1"/>
  <c r="R43" i="10" s="1"/>
  <c r="R42" i="10" s="1"/>
  <c r="R41" i="10" s="1"/>
  <c r="R40" i="10" s="1"/>
  <c r="R39" i="10" s="1"/>
  <c r="R38" i="10" s="1"/>
  <c r="R37" i="10" s="1"/>
  <c r="R36" i="10" s="1"/>
  <c r="R35" i="10" s="1"/>
  <c r="R34" i="10" s="1"/>
  <c r="R33" i="10" s="1"/>
  <c r="R32" i="10" s="1"/>
  <c r="R31" i="10" s="1"/>
  <c r="R30" i="10" s="1"/>
  <c r="R29" i="10" s="1"/>
  <c r="R28" i="10" s="1"/>
  <c r="R27" i="10" s="1"/>
  <c r="R26" i="10" s="1"/>
  <c r="R25" i="10" s="1"/>
  <c r="R24" i="10" s="1"/>
  <c r="Q249" i="10"/>
  <c r="Q248" i="10" s="1"/>
  <c r="Q247" i="10" s="1"/>
  <c r="Q246" i="10" s="1"/>
  <c r="Q245" i="10" s="1"/>
  <c r="Q244" i="10" s="1"/>
  <c r="Q243" i="10" s="1"/>
  <c r="Q242" i="10" s="1"/>
  <c r="Q241" i="10" s="1"/>
  <c r="Q240" i="10" s="1"/>
  <c r="Q239" i="10" s="1"/>
  <c r="Q238" i="10" s="1"/>
  <c r="Q237" i="10" s="1"/>
  <c r="Q236" i="10" s="1"/>
  <c r="Q235" i="10" s="1"/>
  <c r="Q234" i="10" s="1"/>
  <c r="Q233" i="10" s="1"/>
  <c r="Q232" i="10" s="1"/>
  <c r="Q231" i="10" s="1"/>
  <c r="Q230" i="10" s="1"/>
  <c r="Q229" i="10" s="1"/>
  <c r="Q228" i="10" s="1"/>
  <c r="Q227" i="10" s="1"/>
  <c r="Q226" i="10" s="1"/>
  <c r="Q225" i="10" s="1"/>
  <c r="Q224" i="10" s="1"/>
  <c r="Q223" i="10" s="1"/>
  <c r="Q222" i="10" s="1"/>
  <c r="Q221" i="10" s="1"/>
  <c r="Q220" i="10" s="1"/>
  <c r="Q219" i="10" s="1"/>
  <c r="Q218" i="10" s="1"/>
  <c r="Q217" i="10" s="1"/>
  <c r="Q216" i="10" s="1"/>
  <c r="Q215" i="10" s="1"/>
  <c r="Q214" i="10" s="1"/>
  <c r="Q213" i="10" s="1"/>
  <c r="Q212" i="10" s="1"/>
  <c r="Q211" i="10" s="1"/>
  <c r="Q210" i="10" s="1"/>
  <c r="Q209" i="10" s="1"/>
  <c r="Q208" i="10" s="1"/>
  <c r="Q207" i="10" s="1"/>
  <c r="Q206" i="10" s="1"/>
  <c r="Q205" i="10" s="1"/>
  <c r="Q204" i="10" s="1"/>
  <c r="Q203" i="10" s="1"/>
  <c r="Q202" i="10" s="1"/>
  <c r="Q201" i="10" s="1"/>
  <c r="Q200" i="10" s="1"/>
  <c r="Q199" i="10" s="1"/>
  <c r="Q198" i="10" s="1"/>
  <c r="Q197" i="10" s="1"/>
  <c r="Q196" i="10" s="1"/>
  <c r="Q195" i="10" s="1"/>
  <c r="Q194" i="10" s="1"/>
  <c r="Q193" i="10" s="1"/>
  <c r="Q192" i="10" s="1"/>
  <c r="Q191" i="10" s="1"/>
  <c r="Q190" i="10" s="1"/>
  <c r="Q189" i="10" s="1"/>
  <c r="Q188" i="10" s="1"/>
  <c r="Q187" i="10" s="1"/>
  <c r="Q186" i="10" s="1"/>
  <c r="Q185" i="10" s="1"/>
  <c r="Q184" i="10" s="1"/>
  <c r="Q183" i="10" s="1"/>
  <c r="Q182" i="10" s="1"/>
  <c r="Q181" i="10" s="1"/>
  <c r="Q180" i="10" s="1"/>
  <c r="Q179" i="10" s="1"/>
  <c r="Q178" i="10" s="1"/>
  <c r="Q177" i="10" s="1"/>
  <c r="Q176" i="10" s="1"/>
  <c r="Q175" i="10" s="1"/>
  <c r="Q174" i="10" s="1"/>
  <c r="Q173" i="10" s="1"/>
  <c r="Q172" i="10" s="1"/>
  <c r="Q171" i="10" s="1"/>
  <c r="Q170" i="10" s="1"/>
  <c r="Q169" i="10" s="1"/>
  <c r="Q168" i="10" s="1"/>
  <c r="Q167" i="10" s="1"/>
  <c r="Q166" i="10" s="1"/>
  <c r="Q165" i="10" s="1"/>
  <c r="Q164" i="10" s="1"/>
  <c r="Q163" i="10" s="1"/>
  <c r="Q162" i="10" s="1"/>
  <c r="Q161" i="10" s="1"/>
  <c r="Q160" i="10" s="1"/>
  <c r="Q159" i="10" s="1"/>
  <c r="Q158" i="10" s="1"/>
  <c r="Q157" i="10" s="1"/>
  <c r="Q156" i="10" s="1"/>
  <c r="Q155" i="10" s="1"/>
  <c r="Q154" i="10" s="1"/>
  <c r="Q153" i="10" s="1"/>
  <c r="Q152" i="10" s="1"/>
  <c r="Q151" i="10" s="1"/>
  <c r="Q150" i="10" s="1"/>
  <c r="Q149" i="10" s="1"/>
  <c r="Q148" i="10" s="1"/>
  <c r="Q147" i="10" s="1"/>
  <c r="Q146" i="10" s="1"/>
  <c r="Q145" i="10" s="1"/>
  <c r="Q144" i="10" s="1"/>
  <c r="Q143" i="10" s="1"/>
  <c r="Q142" i="10" s="1"/>
  <c r="Q141" i="10" s="1"/>
  <c r="Q140" i="10" s="1"/>
  <c r="Q139" i="10" s="1"/>
  <c r="Q138" i="10" s="1"/>
  <c r="Q137" i="10" s="1"/>
  <c r="Q136" i="10" s="1"/>
  <c r="Q135" i="10" s="1"/>
  <c r="Q134" i="10" s="1"/>
  <c r="Q133" i="10" s="1"/>
  <c r="Q132" i="10" s="1"/>
  <c r="Q131" i="10" s="1"/>
  <c r="Q130" i="10" s="1"/>
  <c r="Q129" i="10" s="1"/>
  <c r="Q128" i="10" s="1"/>
  <c r="Q127" i="10" s="1"/>
  <c r="Q126" i="10" s="1"/>
  <c r="Q125" i="10" s="1"/>
  <c r="Q124" i="10" s="1"/>
  <c r="Q123" i="10" s="1"/>
  <c r="Q122" i="10" s="1"/>
  <c r="Q121" i="10" s="1"/>
  <c r="Q120" i="10" s="1"/>
  <c r="Q119" i="10" s="1"/>
  <c r="Q118" i="10" s="1"/>
  <c r="Q117" i="10" s="1"/>
  <c r="Q116" i="10" s="1"/>
  <c r="Q115" i="10" s="1"/>
  <c r="Q114" i="10" s="1"/>
  <c r="Q113" i="10" s="1"/>
  <c r="Q112" i="10" s="1"/>
  <c r="Q111" i="10" s="1"/>
  <c r="Q110" i="10" s="1"/>
  <c r="Q109" i="10" s="1"/>
  <c r="Q108" i="10" s="1"/>
  <c r="Q107" i="10" s="1"/>
  <c r="Q106" i="10" s="1"/>
  <c r="Q105" i="10" s="1"/>
  <c r="Q104" i="10" s="1"/>
  <c r="Q103" i="10" s="1"/>
  <c r="Q102" i="10" s="1"/>
  <c r="Q101" i="10" s="1"/>
  <c r="Q100" i="10" s="1"/>
  <c r="Q99" i="10" s="1"/>
  <c r="Q98" i="10" s="1"/>
  <c r="Q97" i="10" s="1"/>
  <c r="Q96" i="10" s="1"/>
  <c r="Q95" i="10" s="1"/>
  <c r="Q94" i="10" s="1"/>
  <c r="Q93" i="10" s="1"/>
  <c r="Q92" i="10" s="1"/>
  <c r="Q91" i="10" s="1"/>
  <c r="Q90" i="10" s="1"/>
  <c r="Q89" i="10" s="1"/>
  <c r="Q88" i="10" s="1"/>
  <c r="Q87" i="10" s="1"/>
  <c r="Q86" i="10" s="1"/>
  <c r="Q85" i="10" s="1"/>
  <c r="Q84" i="10" s="1"/>
  <c r="Q83" i="10" s="1"/>
  <c r="Q82" i="10" s="1"/>
  <c r="Q81" i="10" s="1"/>
  <c r="Q80" i="10" s="1"/>
  <c r="Q79" i="10" s="1"/>
  <c r="Q78" i="10" s="1"/>
  <c r="Q77" i="10" s="1"/>
  <c r="Q76" i="10" s="1"/>
  <c r="Q75" i="10" s="1"/>
  <c r="Q74" i="10" s="1"/>
  <c r="Q73" i="10" s="1"/>
  <c r="Q72" i="10" s="1"/>
  <c r="Q71" i="10" s="1"/>
  <c r="Q70" i="10" s="1"/>
  <c r="Q69" i="10" s="1"/>
  <c r="Q68" i="10" s="1"/>
  <c r="Q67" i="10" s="1"/>
  <c r="Q66" i="10" s="1"/>
  <c r="Q65" i="10" s="1"/>
  <c r="Q64" i="10" s="1"/>
  <c r="Q63" i="10" s="1"/>
  <c r="Q62" i="10" s="1"/>
  <c r="Q61" i="10" s="1"/>
  <c r="Q60" i="10" s="1"/>
  <c r="Q59" i="10" s="1"/>
  <c r="Q58" i="10" s="1"/>
  <c r="Q57" i="10" s="1"/>
  <c r="Q56" i="10" s="1"/>
  <c r="Q55" i="10" s="1"/>
  <c r="Q54" i="10" s="1"/>
  <c r="Q53" i="10" s="1"/>
  <c r="Q52" i="10" s="1"/>
  <c r="Q51" i="10" s="1"/>
  <c r="Q50" i="10" s="1"/>
  <c r="Q49" i="10" s="1"/>
  <c r="Q48" i="10" s="1"/>
  <c r="Q47" i="10" s="1"/>
  <c r="Q46" i="10" s="1"/>
  <c r="Q45" i="10" s="1"/>
  <c r="Q44" i="10" s="1"/>
  <c r="Q43" i="10" s="1"/>
  <c r="Q42" i="10" s="1"/>
  <c r="Q41" i="10" s="1"/>
  <c r="Q40" i="10" s="1"/>
  <c r="Q39" i="10" s="1"/>
  <c r="Q38" i="10" s="1"/>
  <c r="Q37" i="10" s="1"/>
  <c r="Q36" i="10" s="1"/>
  <c r="Q35" i="10" s="1"/>
  <c r="Q34" i="10" s="1"/>
  <c r="Q33" i="10" s="1"/>
  <c r="Q32" i="10" s="1"/>
  <c r="Q31" i="10" s="1"/>
  <c r="Q30" i="10" s="1"/>
  <c r="Q29" i="10" s="1"/>
  <c r="Q28" i="10" s="1"/>
  <c r="Q27" i="10" s="1"/>
  <c r="Q26" i="10" s="1"/>
  <c r="Q25" i="10" s="1"/>
  <c r="Q24" i="10" s="1"/>
  <c r="K1488" i="10"/>
  <c r="K1487" i="10" s="1"/>
  <c r="K1486" i="10" s="1"/>
  <c r="K1485" i="10" s="1"/>
  <c r="K1484" i="10" s="1"/>
  <c r="K1483" i="10" s="1"/>
  <c r="K1482" i="10" s="1"/>
  <c r="K1481" i="10" s="1"/>
  <c r="K1480" i="10" s="1"/>
  <c r="K1479" i="10" s="1"/>
  <c r="K1478" i="10" s="1"/>
  <c r="K1477" i="10" s="1"/>
  <c r="K1476" i="10" s="1"/>
  <c r="K1475" i="10" s="1"/>
  <c r="K1474" i="10" s="1"/>
  <c r="K1473" i="10" s="1"/>
  <c r="K1472" i="10" s="1"/>
  <c r="K1471" i="10" s="1"/>
  <c r="K1470" i="10" s="1"/>
  <c r="K1469" i="10" s="1"/>
  <c r="K1468" i="10" s="1"/>
  <c r="K1467" i="10" s="1"/>
  <c r="K1466" i="10" s="1"/>
  <c r="K1465" i="10" s="1"/>
  <c r="K1464" i="10" s="1"/>
  <c r="K1463" i="10" s="1"/>
  <c r="K1462" i="10" s="1"/>
  <c r="K1461" i="10" s="1"/>
  <c r="K1460" i="10" s="1"/>
  <c r="K1459" i="10" s="1"/>
  <c r="K1458" i="10" s="1"/>
  <c r="K1457" i="10" s="1"/>
  <c r="K1456" i="10" s="1"/>
  <c r="K1455" i="10" s="1"/>
  <c r="K1454" i="10" s="1"/>
  <c r="K1453" i="10" s="1"/>
  <c r="K1452" i="10" s="1"/>
  <c r="K1451" i="10" s="1"/>
  <c r="K1450" i="10" s="1"/>
  <c r="K1449" i="10" s="1"/>
  <c r="K1448" i="10" s="1"/>
  <c r="K1447" i="10" s="1"/>
  <c r="K1446" i="10" s="1"/>
  <c r="K1445" i="10" s="1"/>
  <c r="K1444" i="10" s="1"/>
  <c r="K1443" i="10" s="1"/>
  <c r="K1442" i="10" s="1"/>
  <c r="K1441" i="10" s="1"/>
  <c r="K1440" i="10" s="1"/>
  <c r="K1439" i="10" s="1"/>
  <c r="K1438" i="10" s="1"/>
  <c r="K1437" i="10" s="1"/>
  <c r="K1436" i="10" s="1"/>
  <c r="K1435" i="10" s="1"/>
  <c r="K1434" i="10" s="1"/>
  <c r="K1433" i="10" s="1"/>
  <c r="K1432" i="10" s="1"/>
  <c r="K1431" i="10" s="1"/>
  <c r="K1430" i="10" s="1"/>
  <c r="K1429" i="10" s="1"/>
  <c r="K1428" i="10" s="1"/>
  <c r="K1427" i="10" s="1"/>
  <c r="K1426" i="10" s="1"/>
  <c r="K1425" i="10" s="1"/>
  <c r="K1424" i="10" s="1"/>
  <c r="K1423" i="10" s="1"/>
  <c r="K1422" i="10" s="1"/>
  <c r="K1421" i="10" s="1"/>
  <c r="K1420" i="10" s="1"/>
  <c r="K1419" i="10" s="1"/>
  <c r="K1418" i="10" s="1"/>
  <c r="K1417" i="10" s="1"/>
  <c r="K1416" i="10" s="1"/>
  <c r="K1415" i="10" s="1"/>
  <c r="K1414" i="10" s="1"/>
  <c r="K1413" i="10" s="1"/>
  <c r="K1412" i="10" s="1"/>
  <c r="K1411" i="10" s="1"/>
  <c r="K1410" i="10" s="1"/>
  <c r="K1409" i="10" s="1"/>
  <c r="K1408" i="10" s="1"/>
  <c r="K1407" i="10" s="1"/>
  <c r="K1406" i="10" s="1"/>
  <c r="K1405" i="10" s="1"/>
  <c r="K1404" i="10" s="1"/>
  <c r="K1403" i="10" s="1"/>
  <c r="K1402" i="10" s="1"/>
  <c r="K1401" i="10" s="1"/>
  <c r="K1400" i="10" s="1"/>
  <c r="K1399" i="10" s="1"/>
  <c r="K1398" i="10" s="1"/>
  <c r="K1397" i="10" s="1"/>
  <c r="K1396" i="10" s="1"/>
  <c r="K1395" i="10" s="1"/>
  <c r="K1394" i="10" s="1"/>
  <c r="K1393" i="10" s="1"/>
  <c r="K1392" i="10" s="1"/>
  <c r="K1391" i="10" s="1"/>
  <c r="K1390" i="10" s="1"/>
  <c r="K1389" i="10" s="1"/>
  <c r="K1388" i="10" s="1"/>
  <c r="K1387" i="10" s="1"/>
  <c r="K1386" i="10" s="1"/>
  <c r="K1385" i="10" s="1"/>
  <c r="K1384" i="10" s="1"/>
  <c r="K1383" i="10" s="1"/>
  <c r="K1382" i="10" s="1"/>
  <c r="K1381" i="10" s="1"/>
  <c r="K1380" i="10" s="1"/>
  <c r="K1379" i="10" s="1"/>
  <c r="K1378" i="10" s="1"/>
  <c r="K1377" i="10" s="1"/>
  <c r="K1376" i="10" s="1"/>
  <c r="K1375" i="10" s="1"/>
  <c r="K1374" i="10" s="1"/>
  <c r="K1373" i="10" s="1"/>
  <c r="K1372" i="10" s="1"/>
  <c r="K1371" i="10" s="1"/>
  <c r="K1370" i="10" s="1"/>
  <c r="K1369" i="10" s="1"/>
  <c r="K1368" i="10" s="1"/>
  <c r="K1367" i="10" s="1"/>
  <c r="K1366" i="10" s="1"/>
  <c r="K1365" i="10" s="1"/>
  <c r="K1364" i="10" s="1"/>
  <c r="K1363" i="10" s="1"/>
  <c r="K1362" i="10" s="1"/>
  <c r="K1361" i="10" s="1"/>
  <c r="K1360" i="10" s="1"/>
  <c r="K1359" i="10" s="1"/>
  <c r="K1358" i="10" s="1"/>
  <c r="K1357" i="10" s="1"/>
  <c r="K1356" i="10" s="1"/>
  <c r="K1355" i="10" s="1"/>
  <c r="K1354" i="10" s="1"/>
  <c r="K1353" i="10" s="1"/>
  <c r="K1352" i="10" s="1"/>
  <c r="K1351" i="10" s="1"/>
  <c r="K1350" i="10" s="1"/>
  <c r="K1349" i="10" s="1"/>
  <c r="K1348" i="10" s="1"/>
  <c r="K1347" i="10" s="1"/>
  <c r="K1346" i="10" s="1"/>
  <c r="K1345" i="10" s="1"/>
  <c r="K1344" i="10" s="1"/>
  <c r="K1343" i="10" s="1"/>
  <c r="K1342" i="10" s="1"/>
  <c r="K1341" i="10" s="1"/>
  <c r="K1340" i="10" s="1"/>
  <c r="K1339" i="10" s="1"/>
  <c r="K1338" i="10" s="1"/>
  <c r="K1337" i="10" s="1"/>
  <c r="K1336" i="10" s="1"/>
  <c r="K1335" i="10" s="1"/>
  <c r="K1334" i="10" s="1"/>
  <c r="K1333" i="10" s="1"/>
  <c r="K1332" i="10" s="1"/>
  <c r="K1331" i="10" s="1"/>
  <c r="K1330" i="10" s="1"/>
  <c r="K1329" i="10" s="1"/>
  <c r="K1328" i="10" s="1"/>
  <c r="K1327" i="10" s="1"/>
  <c r="K1326" i="10" s="1"/>
  <c r="K1325" i="10" s="1"/>
  <c r="K1324" i="10" s="1"/>
  <c r="K1323" i="10" s="1"/>
  <c r="K1322" i="10" s="1"/>
  <c r="K1321" i="10" s="1"/>
  <c r="K1320" i="10" s="1"/>
  <c r="K1319" i="10" s="1"/>
  <c r="K1318" i="10" s="1"/>
  <c r="K1317" i="10" s="1"/>
  <c r="K1316" i="10" s="1"/>
  <c r="K1315" i="10" s="1"/>
  <c r="K1314" i="10" s="1"/>
  <c r="K1313" i="10" s="1"/>
  <c r="K1312" i="10" s="1"/>
  <c r="K1311" i="10" s="1"/>
  <c r="K1310" i="10" s="1"/>
  <c r="K1309" i="10" s="1"/>
  <c r="K1308" i="10" s="1"/>
  <c r="K1307" i="10" s="1"/>
  <c r="K1306" i="10" s="1"/>
  <c r="K1305" i="10" s="1"/>
  <c r="K1304" i="10" s="1"/>
  <c r="K1303" i="10" s="1"/>
  <c r="K1302" i="10" s="1"/>
  <c r="K1301" i="10" s="1"/>
  <c r="K1300" i="10" s="1"/>
  <c r="K1299" i="10" s="1"/>
  <c r="K1298" i="10" s="1"/>
  <c r="K1297" i="10" s="1"/>
  <c r="K1296" i="10" s="1"/>
  <c r="K1295" i="10" s="1"/>
  <c r="K1294" i="10" s="1"/>
  <c r="K1293" i="10" s="1"/>
  <c r="K1292" i="10" s="1"/>
  <c r="K1291" i="10" s="1"/>
  <c r="K1290" i="10" s="1"/>
  <c r="K1289" i="10" s="1"/>
  <c r="K1288" i="10" s="1"/>
  <c r="K1287" i="10" s="1"/>
  <c r="K1286" i="10" s="1"/>
  <c r="K1285" i="10" s="1"/>
  <c r="K1284" i="10" s="1"/>
  <c r="K1283" i="10" s="1"/>
  <c r="K1282" i="10" s="1"/>
  <c r="K1281" i="10" s="1"/>
  <c r="K1280" i="10" s="1"/>
  <c r="K1279" i="10" s="1"/>
  <c r="K1278" i="10" s="1"/>
  <c r="K1277" i="10" s="1"/>
  <c r="K1276" i="10" s="1"/>
  <c r="K1275" i="10" s="1"/>
  <c r="K1274" i="10" s="1"/>
  <c r="K1273" i="10" s="1"/>
  <c r="K1272" i="10" s="1"/>
  <c r="K1271" i="10" s="1"/>
  <c r="K1270" i="10" s="1"/>
  <c r="K1269" i="10" s="1"/>
  <c r="K1268" i="10" s="1"/>
  <c r="K1267" i="10" s="1"/>
  <c r="K1266" i="10" s="1"/>
  <c r="K1265" i="10" s="1"/>
  <c r="K1264" i="10" s="1"/>
  <c r="K1263" i="10" s="1"/>
  <c r="K1262" i="10" s="1"/>
  <c r="K1261" i="10" s="1"/>
  <c r="K1260" i="10" s="1"/>
  <c r="K1259" i="10" s="1"/>
  <c r="K1258" i="10" s="1"/>
  <c r="K1257" i="10" s="1"/>
  <c r="K1256" i="10" s="1"/>
  <c r="K1255" i="10" s="1"/>
  <c r="K1254" i="10" s="1"/>
  <c r="K1253" i="10" s="1"/>
  <c r="K1252" i="10" s="1"/>
  <c r="K1251" i="10" s="1"/>
  <c r="K1250" i="10" s="1"/>
  <c r="K1249" i="10" s="1"/>
  <c r="K1248" i="10" s="1"/>
  <c r="K1247" i="10" s="1"/>
  <c r="K1246" i="10" s="1"/>
  <c r="K1245" i="10" s="1"/>
  <c r="K1244" i="10" s="1"/>
  <c r="K1243" i="10" s="1"/>
  <c r="K1242" i="10" s="1"/>
  <c r="K1241" i="10" s="1"/>
  <c r="K1240" i="10" s="1"/>
  <c r="K1239" i="10" s="1"/>
  <c r="K1238" i="10" s="1"/>
  <c r="K1237" i="10" s="1"/>
  <c r="K1236" i="10" s="1"/>
  <c r="K1235" i="10" s="1"/>
  <c r="K1234" i="10" s="1"/>
  <c r="K1233" i="10" s="1"/>
  <c r="K1232" i="10" s="1"/>
  <c r="K1231" i="10" s="1"/>
  <c r="K1230" i="10" s="1"/>
  <c r="K1229" i="10" s="1"/>
  <c r="K1228" i="10" s="1"/>
  <c r="K1227" i="10" s="1"/>
  <c r="K1226" i="10" s="1"/>
  <c r="K1225" i="10" s="1"/>
  <c r="K1224" i="10" s="1"/>
  <c r="K1223" i="10" s="1"/>
  <c r="K1222" i="10" s="1"/>
  <c r="K1221" i="10" s="1"/>
  <c r="K1220" i="10" s="1"/>
  <c r="K1219" i="10" s="1"/>
  <c r="K1218" i="10" s="1"/>
  <c r="K1217" i="10" s="1"/>
  <c r="K1216" i="10" s="1"/>
  <c r="K1215" i="10" s="1"/>
  <c r="K1214" i="10" s="1"/>
  <c r="K1213" i="10" s="1"/>
  <c r="K1212" i="10" s="1"/>
  <c r="K1211" i="10" s="1"/>
  <c r="K1210" i="10" s="1"/>
  <c r="K1209" i="10" s="1"/>
  <c r="K1208" i="10" s="1"/>
  <c r="K1207" i="10" s="1"/>
  <c r="K1206" i="10" s="1"/>
  <c r="K1205" i="10" s="1"/>
  <c r="K1204" i="10" s="1"/>
  <c r="K1203" i="10" s="1"/>
  <c r="K1202" i="10" s="1"/>
  <c r="K1201" i="10" s="1"/>
  <c r="K1200" i="10" s="1"/>
  <c r="K1199" i="10" s="1"/>
  <c r="K1198" i="10" s="1"/>
  <c r="K1197" i="10" s="1"/>
  <c r="K1196" i="10" s="1"/>
  <c r="K1195" i="10" s="1"/>
  <c r="K1194" i="10" s="1"/>
  <c r="K1193" i="10" s="1"/>
  <c r="K1192" i="10" s="1"/>
  <c r="K1191" i="10" s="1"/>
  <c r="K1190" i="10" s="1"/>
  <c r="K1189" i="10" s="1"/>
  <c r="K1188" i="10" s="1"/>
  <c r="K1187" i="10" s="1"/>
  <c r="K1186" i="10" s="1"/>
  <c r="K1185" i="10" s="1"/>
  <c r="K1184" i="10" s="1"/>
  <c r="K1183" i="10" s="1"/>
  <c r="K1182" i="10" s="1"/>
  <c r="K1181" i="10" s="1"/>
  <c r="K1180" i="10" s="1"/>
  <c r="K1179" i="10" s="1"/>
  <c r="K1178" i="10" s="1"/>
  <c r="K1177" i="10" s="1"/>
  <c r="K1176" i="10" s="1"/>
  <c r="K1175" i="10" s="1"/>
  <c r="K1174" i="10" s="1"/>
  <c r="K1173" i="10" s="1"/>
  <c r="K1172" i="10" s="1"/>
  <c r="K1171" i="10" s="1"/>
  <c r="K1170" i="10" s="1"/>
  <c r="K1169" i="10" s="1"/>
  <c r="K1168" i="10" s="1"/>
  <c r="K1167" i="10" s="1"/>
  <c r="K1166" i="10" s="1"/>
  <c r="K1165" i="10" s="1"/>
  <c r="K1164" i="10" s="1"/>
  <c r="K1163" i="10" s="1"/>
  <c r="K1162" i="10" s="1"/>
  <c r="K1161" i="10" s="1"/>
  <c r="K1160" i="10" s="1"/>
  <c r="K1159" i="10" s="1"/>
  <c r="K1158" i="10" s="1"/>
  <c r="K1157" i="10" s="1"/>
  <c r="K1156" i="10" s="1"/>
  <c r="K1155" i="10" s="1"/>
  <c r="K1154" i="10" s="1"/>
  <c r="K1153" i="10" s="1"/>
  <c r="K1152" i="10" s="1"/>
  <c r="K1151" i="10" s="1"/>
  <c r="K1150" i="10" s="1"/>
  <c r="K1149" i="10" s="1"/>
  <c r="K1148" i="10" s="1"/>
  <c r="K1147" i="10" s="1"/>
  <c r="K1146" i="10" s="1"/>
  <c r="K1145" i="10" s="1"/>
  <c r="K1144" i="10" s="1"/>
  <c r="K1143" i="10" s="1"/>
  <c r="K1142" i="10" s="1"/>
  <c r="K1141" i="10" s="1"/>
  <c r="K1140" i="10" s="1"/>
  <c r="K1139" i="10" s="1"/>
  <c r="K1138" i="10" s="1"/>
  <c r="K1137" i="10" s="1"/>
  <c r="K1136" i="10" s="1"/>
  <c r="K1135" i="10" s="1"/>
  <c r="K1134" i="10" s="1"/>
  <c r="K1133" i="10" s="1"/>
  <c r="K1132" i="10" s="1"/>
  <c r="K1131" i="10" s="1"/>
  <c r="K1130" i="10" s="1"/>
  <c r="K1129" i="10" s="1"/>
  <c r="K1128" i="10" s="1"/>
  <c r="K1127" i="10" s="1"/>
  <c r="K1126" i="10" s="1"/>
  <c r="K1125" i="10" s="1"/>
  <c r="K1124" i="10" s="1"/>
  <c r="K1123" i="10" s="1"/>
  <c r="K1122" i="10" s="1"/>
  <c r="K1121" i="10" s="1"/>
  <c r="K1120" i="10" s="1"/>
  <c r="K1119" i="10" s="1"/>
  <c r="K1118" i="10" s="1"/>
  <c r="K1117" i="10" s="1"/>
  <c r="K1116" i="10" s="1"/>
  <c r="K1115" i="10" s="1"/>
  <c r="K1114" i="10" s="1"/>
  <c r="K1113" i="10" s="1"/>
  <c r="K1112" i="10" s="1"/>
  <c r="K1111" i="10" s="1"/>
  <c r="K1110" i="10" s="1"/>
  <c r="K1109" i="10" s="1"/>
  <c r="K1108" i="10" s="1"/>
  <c r="K1107" i="10" s="1"/>
  <c r="K1106" i="10" s="1"/>
  <c r="K1105" i="10" s="1"/>
  <c r="K1104" i="10" s="1"/>
  <c r="K1103" i="10" s="1"/>
  <c r="K1102" i="10" s="1"/>
  <c r="K1101" i="10" s="1"/>
  <c r="K1100" i="10" s="1"/>
  <c r="K1099" i="10" s="1"/>
  <c r="K1098" i="10" s="1"/>
  <c r="K1097" i="10" s="1"/>
  <c r="K1096" i="10" s="1"/>
  <c r="K1095" i="10" s="1"/>
  <c r="K1094" i="10" s="1"/>
  <c r="K1093" i="10" s="1"/>
  <c r="K1092" i="10" s="1"/>
  <c r="K1091" i="10" s="1"/>
  <c r="K1090" i="10" s="1"/>
  <c r="K1089" i="10" s="1"/>
  <c r="K1088" i="10" s="1"/>
  <c r="K1087" i="10" s="1"/>
  <c r="K1086" i="10" s="1"/>
  <c r="K1085" i="10" s="1"/>
  <c r="K1084" i="10" s="1"/>
  <c r="K1083" i="10" s="1"/>
  <c r="K1082" i="10" s="1"/>
  <c r="K1081" i="10" s="1"/>
  <c r="K1080" i="10" s="1"/>
  <c r="K1079" i="10" s="1"/>
  <c r="K1078" i="10" s="1"/>
  <c r="K1077" i="10" s="1"/>
  <c r="K1076" i="10" s="1"/>
  <c r="K1075" i="10" s="1"/>
  <c r="K1074" i="10" s="1"/>
  <c r="K1073" i="10" s="1"/>
  <c r="K1072" i="10" s="1"/>
  <c r="K1071" i="10" s="1"/>
  <c r="K1070" i="10" s="1"/>
  <c r="K1069" i="10" s="1"/>
  <c r="K1068" i="10" s="1"/>
  <c r="K1067" i="10" s="1"/>
  <c r="K1066" i="10" s="1"/>
  <c r="K1065" i="10" s="1"/>
  <c r="K1064" i="10" s="1"/>
  <c r="K1063" i="10" s="1"/>
  <c r="K1062" i="10" s="1"/>
  <c r="K1061" i="10" s="1"/>
  <c r="K1060" i="10" s="1"/>
  <c r="K1059" i="10" s="1"/>
  <c r="K1058" i="10" s="1"/>
  <c r="K1057" i="10" s="1"/>
  <c r="K1056" i="10" s="1"/>
  <c r="K1055" i="10" s="1"/>
  <c r="K1054" i="10" s="1"/>
  <c r="K1053" i="10" s="1"/>
  <c r="K1052" i="10" s="1"/>
  <c r="K1051" i="10" s="1"/>
  <c r="K1050" i="10" s="1"/>
  <c r="K1049" i="10" s="1"/>
  <c r="K1048" i="10" s="1"/>
  <c r="K1047" i="10" s="1"/>
  <c r="K1046" i="10" s="1"/>
  <c r="K1045" i="10" s="1"/>
  <c r="K1044" i="10" s="1"/>
  <c r="K1043" i="10" s="1"/>
  <c r="K1042" i="10" s="1"/>
  <c r="K1041" i="10" s="1"/>
  <c r="K1040" i="10" s="1"/>
  <c r="K1039" i="10" s="1"/>
  <c r="K1038" i="10" s="1"/>
  <c r="K1037" i="10" s="1"/>
  <c r="K1036" i="10" s="1"/>
  <c r="K1035" i="10" s="1"/>
  <c r="K1034" i="10" s="1"/>
  <c r="K1033" i="10" s="1"/>
  <c r="K1032" i="10" s="1"/>
  <c r="K1031" i="10" s="1"/>
  <c r="K1030" i="10" s="1"/>
  <c r="K1029" i="10" s="1"/>
  <c r="K1028" i="10" s="1"/>
  <c r="K1027" i="10" s="1"/>
  <c r="K1026" i="10" s="1"/>
  <c r="K1025" i="10" s="1"/>
  <c r="K1024" i="10" s="1"/>
  <c r="K1023" i="10" s="1"/>
  <c r="K1022" i="10" s="1"/>
  <c r="K1021" i="10" s="1"/>
  <c r="K1020" i="10" s="1"/>
  <c r="K1019" i="10" s="1"/>
  <c r="K1018" i="10" s="1"/>
  <c r="K1017" i="10" s="1"/>
  <c r="K1016" i="10" s="1"/>
  <c r="K1015" i="10" s="1"/>
  <c r="K1014" i="10" s="1"/>
  <c r="K1013" i="10" s="1"/>
  <c r="K1012" i="10" s="1"/>
  <c r="K1011" i="10" s="1"/>
  <c r="K1010" i="10" s="1"/>
  <c r="K1009" i="10" s="1"/>
  <c r="K1008" i="10" s="1"/>
  <c r="K1007" i="10" s="1"/>
  <c r="K1006" i="10" s="1"/>
  <c r="K1005" i="10" s="1"/>
  <c r="K1004" i="10" s="1"/>
  <c r="K1003" i="10" s="1"/>
  <c r="K1002" i="10" s="1"/>
  <c r="K1001" i="10" s="1"/>
  <c r="K1000" i="10" s="1"/>
  <c r="K999" i="10" s="1"/>
  <c r="K998" i="10" s="1"/>
  <c r="K997" i="10" s="1"/>
  <c r="K996" i="10" s="1"/>
  <c r="K995" i="10" s="1"/>
  <c r="K994" i="10" s="1"/>
  <c r="K993" i="10" s="1"/>
  <c r="K992" i="10" s="1"/>
  <c r="K991" i="10" s="1"/>
  <c r="K990" i="10" s="1"/>
  <c r="K989" i="10" s="1"/>
  <c r="K988" i="10" s="1"/>
  <c r="K987" i="10" s="1"/>
  <c r="K986" i="10" s="1"/>
  <c r="K985" i="10" s="1"/>
  <c r="K984" i="10" s="1"/>
  <c r="K983" i="10" s="1"/>
  <c r="K982" i="10" s="1"/>
  <c r="K981" i="10" s="1"/>
  <c r="K980" i="10" s="1"/>
  <c r="K979" i="10" s="1"/>
  <c r="K978" i="10" s="1"/>
  <c r="K977" i="10" s="1"/>
  <c r="K976" i="10" s="1"/>
  <c r="K975" i="10" s="1"/>
  <c r="K974" i="10" s="1"/>
  <c r="K973" i="10" s="1"/>
  <c r="K972" i="10" s="1"/>
  <c r="K971" i="10" s="1"/>
  <c r="K970" i="10" s="1"/>
  <c r="K969" i="10" s="1"/>
  <c r="K968" i="10" s="1"/>
  <c r="K967" i="10" s="1"/>
  <c r="K966" i="10" s="1"/>
  <c r="K965" i="10" s="1"/>
  <c r="K964" i="10" s="1"/>
  <c r="K963" i="10" s="1"/>
  <c r="K962" i="10" s="1"/>
  <c r="K961" i="10" s="1"/>
  <c r="K960" i="10" s="1"/>
  <c r="K959" i="10" s="1"/>
  <c r="K958" i="10" s="1"/>
  <c r="K957" i="10" s="1"/>
  <c r="K956" i="10" s="1"/>
  <c r="K955" i="10" s="1"/>
  <c r="K954" i="10" s="1"/>
  <c r="K953" i="10" s="1"/>
  <c r="K952" i="10" s="1"/>
  <c r="K951" i="10" s="1"/>
  <c r="K950" i="10" s="1"/>
  <c r="K949" i="10" s="1"/>
  <c r="K948" i="10" s="1"/>
  <c r="K947" i="10" s="1"/>
  <c r="K946" i="10" s="1"/>
  <c r="K945" i="10" s="1"/>
  <c r="K944" i="10" s="1"/>
  <c r="K943" i="10" s="1"/>
  <c r="K942" i="10" s="1"/>
  <c r="K941" i="10" s="1"/>
  <c r="K940" i="10" s="1"/>
  <c r="K939" i="10" s="1"/>
  <c r="K938" i="10" s="1"/>
  <c r="K937" i="10" s="1"/>
  <c r="K936" i="10" s="1"/>
  <c r="K935" i="10" s="1"/>
  <c r="K934" i="10" s="1"/>
  <c r="K933" i="10" s="1"/>
  <c r="K932" i="10" s="1"/>
  <c r="K931" i="10" s="1"/>
  <c r="K930" i="10" s="1"/>
  <c r="K929" i="10" s="1"/>
  <c r="K928" i="10" s="1"/>
  <c r="K927" i="10" s="1"/>
  <c r="K926" i="10" s="1"/>
  <c r="K925" i="10" s="1"/>
  <c r="K924" i="10" s="1"/>
  <c r="K923" i="10" s="1"/>
  <c r="K922" i="10" s="1"/>
  <c r="K921" i="10" s="1"/>
  <c r="K920" i="10" s="1"/>
  <c r="K919" i="10" s="1"/>
  <c r="K918" i="10" s="1"/>
  <c r="K917" i="10" s="1"/>
  <c r="K916" i="10" s="1"/>
  <c r="K915" i="10" s="1"/>
  <c r="K914" i="10" s="1"/>
  <c r="K913" i="10" s="1"/>
  <c r="K912" i="10" s="1"/>
  <c r="K911" i="10" s="1"/>
  <c r="K910" i="10" s="1"/>
  <c r="K909" i="10" s="1"/>
  <c r="K908" i="10" s="1"/>
  <c r="K907" i="10" s="1"/>
  <c r="K906" i="10" s="1"/>
  <c r="K905" i="10" s="1"/>
  <c r="K904" i="10" s="1"/>
  <c r="K903" i="10" s="1"/>
  <c r="K902" i="10" s="1"/>
  <c r="K901" i="10" s="1"/>
  <c r="K900" i="10" s="1"/>
  <c r="K899" i="10" s="1"/>
  <c r="K898" i="10" s="1"/>
  <c r="K897" i="10" s="1"/>
  <c r="K896" i="10" s="1"/>
  <c r="K895" i="10" s="1"/>
  <c r="K894" i="10" s="1"/>
  <c r="K893" i="10" s="1"/>
  <c r="K892" i="10" s="1"/>
  <c r="K891" i="10" s="1"/>
  <c r="K890" i="10" s="1"/>
  <c r="K889" i="10" s="1"/>
  <c r="K888" i="10" s="1"/>
  <c r="K887" i="10" s="1"/>
  <c r="K886" i="10" s="1"/>
  <c r="K885" i="10" s="1"/>
  <c r="K884" i="10" s="1"/>
  <c r="K883" i="10" s="1"/>
  <c r="K882" i="10" s="1"/>
  <c r="K881" i="10" s="1"/>
  <c r="K880" i="10" s="1"/>
  <c r="K879" i="10" s="1"/>
  <c r="K878" i="10" s="1"/>
  <c r="K877" i="10" s="1"/>
  <c r="K876" i="10" s="1"/>
  <c r="K875" i="10" s="1"/>
  <c r="K874" i="10" s="1"/>
  <c r="K873" i="10" s="1"/>
  <c r="K872" i="10" s="1"/>
  <c r="K871" i="10" s="1"/>
  <c r="K870" i="10" s="1"/>
  <c r="K869" i="10" s="1"/>
  <c r="K868" i="10" s="1"/>
  <c r="K867" i="10" s="1"/>
  <c r="K866" i="10" s="1"/>
  <c r="K865" i="10" s="1"/>
  <c r="K864" i="10" s="1"/>
  <c r="K863" i="10" s="1"/>
  <c r="K862" i="10" s="1"/>
  <c r="K861" i="10" s="1"/>
  <c r="K860" i="10" s="1"/>
  <c r="K859" i="10" s="1"/>
  <c r="K858" i="10" s="1"/>
  <c r="K857" i="10" s="1"/>
  <c r="K856" i="10" s="1"/>
  <c r="K855" i="10" s="1"/>
  <c r="K854" i="10" s="1"/>
  <c r="K853" i="10" s="1"/>
  <c r="K852" i="10" s="1"/>
  <c r="K851" i="10" s="1"/>
  <c r="K850" i="10" s="1"/>
  <c r="K849" i="10" s="1"/>
  <c r="K848" i="10" s="1"/>
  <c r="K847" i="10" s="1"/>
  <c r="K846" i="10" s="1"/>
  <c r="K845" i="10" s="1"/>
  <c r="K844" i="10" s="1"/>
  <c r="K843" i="10" s="1"/>
  <c r="K842" i="10" s="1"/>
  <c r="K841" i="10" s="1"/>
  <c r="K840" i="10" s="1"/>
  <c r="K839" i="10" s="1"/>
  <c r="K838" i="10" s="1"/>
  <c r="K837" i="10" s="1"/>
  <c r="K836" i="10" s="1"/>
  <c r="K835" i="10" s="1"/>
  <c r="K834" i="10" s="1"/>
  <c r="K833" i="10" s="1"/>
  <c r="K832" i="10" s="1"/>
  <c r="K831" i="10" s="1"/>
  <c r="K830" i="10" s="1"/>
  <c r="K829" i="10" s="1"/>
  <c r="K828" i="10" s="1"/>
  <c r="K827" i="10" s="1"/>
  <c r="K826" i="10" s="1"/>
  <c r="K825" i="10" s="1"/>
  <c r="K824" i="10" s="1"/>
  <c r="K823" i="10" s="1"/>
  <c r="K822" i="10" s="1"/>
  <c r="K821" i="10" s="1"/>
  <c r="K820" i="10" s="1"/>
  <c r="K819" i="10" s="1"/>
  <c r="K818" i="10" s="1"/>
  <c r="K817" i="10" s="1"/>
  <c r="K816" i="10" s="1"/>
  <c r="K815" i="10" s="1"/>
  <c r="K814" i="10" s="1"/>
  <c r="K813" i="10" s="1"/>
  <c r="K812" i="10" s="1"/>
  <c r="K811" i="10" s="1"/>
  <c r="K810" i="10" s="1"/>
  <c r="K809" i="10" s="1"/>
  <c r="K808" i="10" s="1"/>
  <c r="K807" i="10" s="1"/>
  <c r="K806" i="10" s="1"/>
  <c r="K805" i="10" s="1"/>
  <c r="K804" i="10" s="1"/>
  <c r="K803" i="10" s="1"/>
  <c r="K802" i="10" s="1"/>
  <c r="K801" i="10" s="1"/>
  <c r="K800" i="10" s="1"/>
  <c r="K799" i="10" s="1"/>
  <c r="K798" i="10" s="1"/>
  <c r="K797" i="10" s="1"/>
  <c r="K796" i="10" s="1"/>
  <c r="K795" i="10" s="1"/>
  <c r="K794" i="10" s="1"/>
  <c r="K793" i="10" s="1"/>
  <c r="K792" i="10" s="1"/>
  <c r="K791" i="10" s="1"/>
  <c r="K790" i="10" s="1"/>
  <c r="K789" i="10" s="1"/>
  <c r="K788" i="10" s="1"/>
  <c r="K787" i="10" s="1"/>
  <c r="K786" i="10" s="1"/>
  <c r="K785" i="10" s="1"/>
  <c r="K784" i="10" s="1"/>
  <c r="K783" i="10" s="1"/>
  <c r="K782" i="10" s="1"/>
  <c r="K781" i="10" s="1"/>
  <c r="K780" i="10" s="1"/>
  <c r="K779" i="10" s="1"/>
  <c r="K778" i="10" s="1"/>
  <c r="K777" i="10" s="1"/>
  <c r="K776" i="10" s="1"/>
  <c r="K775" i="10" s="1"/>
  <c r="K774" i="10" s="1"/>
  <c r="K773" i="10" s="1"/>
  <c r="K772" i="10" s="1"/>
  <c r="K771" i="10" s="1"/>
  <c r="K770" i="10" s="1"/>
  <c r="K769" i="10" s="1"/>
  <c r="K768" i="10" s="1"/>
  <c r="K767" i="10" s="1"/>
  <c r="K766" i="10" s="1"/>
  <c r="K765" i="10" s="1"/>
  <c r="K764" i="10" s="1"/>
  <c r="K763" i="10" s="1"/>
  <c r="K762" i="10" s="1"/>
  <c r="K761" i="10" s="1"/>
  <c r="K760" i="10" s="1"/>
  <c r="K759" i="10" s="1"/>
  <c r="K758" i="10" s="1"/>
  <c r="K757" i="10" s="1"/>
  <c r="K756" i="10" s="1"/>
  <c r="K755" i="10" s="1"/>
  <c r="K754" i="10" s="1"/>
  <c r="K753" i="10" s="1"/>
  <c r="K752" i="10" s="1"/>
  <c r="K751" i="10" s="1"/>
  <c r="K750" i="10" s="1"/>
  <c r="K749" i="10" s="1"/>
  <c r="K748" i="10" s="1"/>
  <c r="K747" i="10" s="1"/>
  <c r="K746" i="10" s="1"/>
  <c r="K745" i="10" s="1"/>
  <c r="K744" i="10" s="1"/>
  <c r="K743" i="10" s="1"/>
  <c r="K742" i="10" s="1"/>
  <c r="K741" i="10" s="1"/>
  <c r="K740" i="10" s="1"/>
  <c r="K739" i="10" s="1"/>
  <c r="K738" i="10" s="1"/>
  <c r="K737" i="10" s="1"/>
  <c r="K736" i="10" s="1"/>
  <c r="K735" i="10" s="1"/>
  <c r="K734" i="10" s="1"/>
  <c r="K733" i="10" s="1"/>
  <c r="K732" i="10" s="1"/>
  <c r="K731" i="10" s="1"/>
  <c r="K730" i="10" s="1"/>
  <c r="K729" i="10" s="1"/>
  <c r="K728" i="10" s="1"/>
  <c r="K727" i="10" s="1"/>
  <c r="K726" i="10" s="1"/>
  <c r="K725" i="10" s="1"/>
  <c r="K724" i="10" s="1"/>
  <c r="K723" i="10" s="1"/>
  <c r="K722" i="10" s="1"/>
  <c r="K721" i="10" s="1"/>
  <c r="K720" i="10" s="1"/>
  <c r="K719" i="10" s="1"/>
  <c r="K718" i="10" s="1"/>
  <c r="K717" i="10" s="1"/>
  <c r="K716" i="10" s="1"/>
  <c r="K715" i="10" s="1"/>
  <c r="K714" i="10" s="1"/>
  <c r="K713" i="10" s="1"/>
  <c r="K712" i="10" s="1"/>
  <c r="K711" i="10" s="1"/>
  <c r="K710" i="10" s="1"/>
  <c r="K709" i="10" s="1"/>
  <c r="K708" i="10" s="1"/>
  <c r="K707" i="10" s="1"/>
  <c r="K706" i="10" s="1"/>
  <c r="K705" i="10" s="1"/>
  <c r="K704" i="10" s="1"/>
  <c r="K703" i="10" s="1"/>
  <c r="K702" i="10" s="1"/>
  <c r="K701" i="10" s="1"/>
  <c r="K700" i="10" s="1"/>
  <c r="K699" i="10" s="1"/>
  <c r="K698" i="10" s="1"/>
  <c r="K697" i="10" s="1"/>
  <c r="K696" i="10" s="1"/>
  <c r="K695" i="10" s="1"/>
  <c r="K694" i="10" s="1"/>
  <c r="K693" i="10" s="1"/>
  <c r="K692" i="10" s="1"/>
  <c r="K691" i="10" s="1"/>
  <c r="K690" i="10" s="1"/>
  <c r="K689" i="10" s="1"/>
  <c r="K688" i="10" s="1"/>
  <c r="K687" i="10" s="1"/>
  <c r="K686" i="10" s="1"/>
  <c r="K685" i="10" s="1"/>
  <c r="K684" i="10" s="1"/>
  <c r="K683" i="10" s="1"/>
  <c r="K682" i="10" s="1"/>
  <c r="K681" i="10" s="1"/>
  <c r="K680" i="10" s="1"/>
  <c r="K679" i="10" s="1"/>
  <c r="K678" i="10" s="1"/>
  <c r="K677" i="10" s="1"/>
  <c r="K676" i="10" s="1"/>
  <c r="K675" i="10" s="1"/>
  <c r="K674" i="10" s="1"/>
  <c r="K673" i="10" s="1"/>
  <c r="K672" i="10" s="1"/>
  <c r="K671" i="10" s="1"/>
  <c r="K670" i="10" s="1"/>
  <c r="K669" i="10" s="1"/>
  <c r="K668" i="10" s="1"/>
  <c r="K667" i="10" s="1"/>
  <c r="K666" i="10" s="1"/>
  <c r="K665" i="10" s="1"/>
  <c r="K664" i="10" s="1"/>
  <c r="K663" i="10" s="1"/>
  <c r="K662" i="10" s="1"/>
  <c r="K661" i="10" s="1"/>
  <c r="K660" i="10" s="1"/>
  <c r="K659" i="10" s="1"/>
  <c r="K658" i="10" s="1"/>
  <c r="K657" i="10" s="1"/>
  <c r="K656" i="10" s="1"/>
  <c r="K655" i="10" s="1"/>
  <c r="K654" i="10" s="1"/>
  <c r="K653" i="10" s="1"/>
  <c r="K652" i="10" s="1"/>
  <c r="K651" i="10" s="1"/>
  <c r="K650" i="10" s="1"/>
  <c r="K649" i="10" s="1"/>
  <c r="K648" i="10" s="1"/>
  <c r="K647" i="10" s="1"/>
  <c r="K646" i="10" s="1"/>
  <c r="K645" i="10" s="1"/>
  <c r="K644" i="10" s="1"/>
  <c r="K643" i="10" s="1"/>
  <c r="K642" i="10" s="1"/>
  <c r="K641" i="10" s="1"/>
  <c r="K640" i="10" s="1"/>
  <c r="K639" i="10" s="1"/>
  <c r="K638" i="10" s="1"/>
  <c r="K637" i="10" s="1"/>
  <c r="K636" i="10" s="1"/>
  <c r="K635" i="10" s="1"/>
  <c r="K634" i="10" s="1"/>
  <c r="K633" i="10" s="1"/>
  <c r="K632" i="10" s="1"/>
  <c r="K631" i="10" s="1"/>
  <c r="K630" i="10" s="1"/>
  <c r="K629" i="10" s="1"/>
  <c r="K628" i="10" s="1"/>
  <c r="K627" i="10" s="1"/>
  <c r="K626" i="10" s="1"/>
  <c r="K625" i="10" s="1"/>
  <c r="K624" i="10" s="1"/>
  <c r="K623" i="10" s="1"/>
  <c r="K622" i="10" s="1"/>
  <c r="K621" i="10" s="1"/>
  <c r="K620" i="10" s="1"/>
  <c r="K619" i="10" s="1"/>
  <c r="K618" i="10" s="1"/>
  <c r="K617" i="10" s="1"/>
  <c r="K616" i="10" s="1"/>
  <c r="K615" i="10" s="1"/>
  <c r="K614" i="10" s="1"/>
  <c r="K613" i="10" s="1"/>
  <c r="K612" i="10" s="1"/>
  <c r="K611" i="10" s="1"/>
  <c r="K610" i="10" s="1"/>
  <c r="K609" i="10" s="1"/>
  <c r="K608" i="10" s="1"/>
  <c r="K607" i="10" s="1"/>
  <c r="K606" i="10" s="1"/>
  <c r="K605" i="10" s="1"/>
  <c r="K604" i="10" s="1"/>
  <c r="K603" i="10" s="1"/>
  <c r="K602" i="10" s="1"/>
  <c r="K601" i="10" s="1"/>
  <c r="K600" i="10" s="1"/>
  <c r="K599" i="10" s="1"/>
  <c r="K598" i="10" s="1"/>
  <c r="K597" i="10" s="1"/>
  <c r="K596" i="10" s="1"/>
  <c r="K595" i="10" s="1"/>
  <c r="K594" i="10" s="1"/>
  <c r="K593" i="10" s="1"/>
  <c r="K592" i="10" s="1"/>
  <c r="K591" i="10" s="1"/>
  <c r="K590" i="10" s="1"/>
  <c r="K589" i="10" s="1"/>
  <c r="K588" i="10" s="1"/>
  <c r="K587" i="10" s="1"/>
  <c r="K586" i="10" s="1"/>
  <c r="K585" i="10" s="1"/>
  <c r="K584" i="10" s="1"/>
  <c r="K583" i="10" s="1"/>
  <c r="K582" i="10" s="1"/>
  <c r="K581" i="10" s="1"/>
  <c r="K580" i="10" s="1"/>
  <c r="K579" i="10" s="1"/>
  <c r="K578" i="10" s="1"/>
  <c r="K577" i="10" s="1"/>
  <c r="K576" i="10" s="1"/>
  <c r="K575" i="10" s="1"/>
  <c r="K574" i="10" s="1"/>
  <c r="K573" i="10" s="1"/>
  <c r="K572" i="10" s="1"/>
  <c r="K571" i="10" s="1"/>
  <c r="K570" i="10" s="1"/>
  <c r="K569" i="10" s="1"/>
  <c r="K568" i="10" s="1"/>
  <c r="K567" i="10" s="1"/>
  <c r="K566" i="10" s="1"/>
  <c r="K565" i="10" s="1"/>
  <c r="K564" i="10" s="1"/>
  <c r="K563" i="10" s="1"/>
  <c r="K562" i="10" s="1"/>
  <c r="K561" i="10" s="1"/>
  <c r="K560" i="10" s="1"/>
  <c r="K559" i="10" s="1"/>
  <c r="K558" i="10" s="1"/>
  <c r="K557" i="10" s="1"/>
  <c r="K556" i="10" s="1"/>
  <c r="K555" i="10" s="1"/>
  <c r="K554" i="10" s="1"/>
  <c r="K553" i="10" s="1"/>
  <c r="K552" i="10" s="1"/>
  <c r="K551" i="10" s="1"/>
  <c r="K550" i="10" s="1"/>
  <c r="K549" i="10" s="1"/>
  <c r="K548" i="10" s="1"/>
  <c r="K547" i="10" s="1"/>
  <c r="K546" i="10" s="1"/>
  <c r="K545" i="10" s="1"/>
  <c r="K544" i="10" s="1"/>
  <c r="K543" i="10" s="1"/>
  <c r="K542" i="10" s="1"/>
  <c r="K541" i="10" s="1"/>
  <c r="K540" i="10" s="1"/>
  <c r="K539" i="10" s="1"/>
  <c r="K538" i="10" s="1"/>
  <c r="K537" i="10" s="1"/>
  <c r="K536" i="10" s="1"/>
  <c r="K535" i="10" s="1"/>
  <c r="K534" i="10" s="1"/>
  <c r="K533" i="10" s="1"/>
  <c r="K532" i="10" s="1"/>
  <c r="K531" i="10" s="1"/>
  <c r="K530" i="10" s="1"/>
  <c r="K529" i="10" s="1"/>
  <c r="K528" i="10" s="1"/>
  <c r="K527" i="10" s="1"/>
  <c r="K526" i="10" s="1"/>
  <c r="K525" i="10" s="1"/>
  <c r="K524" i="10" s="1"/>
  <c r="K523" i="10" s="1"/>
  <c r="K522" i="10" s="1"/>
  <c r="K521" i="10" s="1"/>
  <c r="K520" i="10" s="1"/>
  <c r="K519" i="10" s="1"/>
  <c r="K518" i="10" s="1"/>
  <c r="K517" i="10" s="1"/>
  <c r="K516" i="10" s="1"/>
  <c r="K515" i="10" s="1"/>
  <c r="K514" i="10" s="1"/>
  <c r="K513" i="10" s="1"/>
  <c r="K512" i="10" s="1"/>
  <c r="K511" i="10" s="1"/>
  <c r="K510" i="10" s="1"/>
  <c r="K509" i="10" s="1"/>
  <c r="K508" i="10" s="1"/>
  <c r="K507" i="10" s="1"/>
  <c r="K506" i="10" s="1"/>
  <c r="K505" i="10" s="1"/>
  <c r="K504" i="10" s="1"/>
  <c r="K503" i="10" s="1"/>
  <c r="K502" i="10" s="1"/>
  <c r="K501" i="10" s="1"/>
  <c r="K500" i="10" s="1"/>
  <c r="K499" i="10" s="1"/>
  <c r="K498" i="10" s="1"/>
  <c r="K497" i="10" s="1"/>
  <c r="K496" i="10" s="1"/>
  <c r="K495" i="10" s="1"/>
  <c r="K494" i="10" s="1"/>
  <c r="K493" i="10" s="1"/>
  <c r="K492" i="10" s="1"/>
  <c r="K491" i="10" s="1"/>
  <c r="K490" i="10" s="1"/>
  <c r="K489" i="10" s="1"/>
  <c r="K488" i="10" s="1"/>
  <c r="K487" i="10" s="1"/>
  <c r="K486" i="10" s="1"/>
  <c r="K485" i="10" s="1"/>
  <c r="K484" i="10" s="1"/>
  <c r="K483" i="10" s="1"/>
  <c r="K482" i="10" s="1"/>
  <c r="K481" i="10" s="1"/>
  <c r="K480" i="10" s="1"/>
  <c r="K479" i="10" s="1"/>
  <c r="K478" i="10" s="1"/>
  <c r="K477" i="10" s="1"/>
  <c r="K476" i="10" s="1"/>
  <c r="K475" i="10" s="1"/>
  <c r="K474" i="10" s="1"/>
  <c r="K473" i="10" s="1"/>
  <c r="K472" i="10" s="1"/>
  <c r="K471" i="10" s="1"/>
  <c r="K470" i="10" s="1"/>
  <c r="K469" i="10" s="1"/>
  <c r="K468" i="10" s="1"/>
  <c r="K467" i="10" s="1"/>
  <c r="K466" i="10" s="1"/>
  <c r="K465" i="10" s="1"/>
  <c r="K464" i="10" s="1"/>
  <c r="K463" i="10" s="1"/>
  <c r="K462" i="10" s="1"/>
  <c r="K461" i="10" s="1"/>
  <c r="K460" i="10" s="1"/>
  <c r="K459" i="10" s="1"/>
  <c r="K458" i="10" s="1"/>
  <c r="K457" i="10" s="1"/>
  <c r="K456" i="10" s="1"/>
  <c r="K455" i="10" s="1"/>
  <c r="K454" i="10" s="1"/>
  <c r="K453" i="10" s="1"/>
  <c r="K452" i="10" s="1"/>
  <c r="K451" i="10" s="1"/>
  <c r="K450" i="10" s="1"/>
  <c r="K449" i="10" s="1"/>
  <c r="K448" i="10" s="1"/>
  <c r="K447" i="10" s="1"/>
  <c r="K446" i="10" s="1"/>
  <c r="K445" i="10" s="1"/>
  <c r="K444" i="10" s="1"/>
  <c r="K443" i="10" s="1"/>
  <c r="K442" i="10" s="1"/>
  <c r="K441" i="10" s="1"/>
  <c r="K440" i="10" s="1"/>
  <c r="K439" i="10" s="1"/>
  <c r="K438" i="10" s="1"/>
  <c r="K437" i="10" s="1"/>
  <c r="K436" i="10" s="1"/>
  <c r="K435" i="10" s="1"/>
  <c r="K434" i="10" s="1"/>
  <c r="K433" i="10" s="1"/>
  <c r="K432" i="10" s="1"/>
  <c r="K431" i="10" s="1"/>
  <c r="K430" i="10" s="1"/>
  <c r="K429" i="10" s="1"/>
  <c r="K428" i="10" s="1"/>
  <c r="K427" i="10" s="1"/>
  <c r="K426" i="10" s="1"/>
  <c r="K425" i="10" s="1"/>
  <c r="K424" i="10" s="1"/>
  <c r="K423" i="10" s="1"/>
  <c r="K422" i="10" s="1"/>
  <c r="K421" i="10" s="1"/>
  <c r="K420" i="10" s="1"/>
  <c r="K419" i="10" s="1"/>
  <c r="K418" i="10" s="1"/>
  <c r="K417" i="10" s="1"/>
  <c r="K416" i="10" s="1"/>
  <c r="K415" i="10" s="1"/>
  <c r="K414" i="10" s="1"/>
  <c r="K413" i="10" s="1"/>
  <c r="K412" i="10" s="1"/>
  <c r="K411" i="10" s="1"/>
  <c r="K410" i="10" s="1"/>
  <c r="K409" i="10" s="1"/>
  <c r="K408" i="10" s="1"/>
  <c r="K407" i="10" s="1"/>
  <c r="K406" i="10" s="1"/>
  <c r="K405" i="10" s="1"/>
  <c r="K404" i="10" s="1"/>
  <c r="K403" i="10" s="1"/>
  <c r="K402" i="10" s="1"/>
  <c r="K401" i="10" s="1"/>
  <c r="K400" i="10" s="1"/>
  <c r="K399" i="10" s="1"/>
  <c r="K398" i="10" s="1"/>
  <c r="K397" i="10" s="1"/>
  <c r="K396" i="10" s="1"/>
  <c r="K395" i="10" s="1"/>
  <c r="K394" i="10" s="1"/>
  <c r="K393" i="10" s="1"/>
  <c r="K392" i="10" s="1"/>
  <c r="K391" i="10" s="1"/>
  <c r="K390" i="10" s="1"/>
  <c r="K389" i="10" s="1"/>
  <c r="K388" i="10" s="1"/>
  <c r="K387" i="10" s="1"/>
  <c r="K386" i="10" s="1"/>
  <c r="K385" i="10" s="1"/>
  <c r="K384" i="10" s="1"/>
  <c r="K383" i="10" s="1"/>
  <c r="K382" i="10" s="1"/>
  <c r="K381" i="10" s="1"/>
  <c r="K380" i="10" s="1"/>
  <c r="K379" i="10" s="1"/>
  <c r="K378" i="10" s="1"/>
  <c r="K377" i="10" s="1"/>
  <c r="K376" i="10" s="1"/>
  <c r="K375" i="10" s="1"/>
  <c r="K374" i="10" s="1"/>
  <c r="K373" i="10" s="1"/>
  <c r="K372" i="10" s="1"/>
  <c r="K371" i="10" s="1"/>
  <c r="K370" i="10" s="1"/>
  <c r="K369" i="10" s="1"/>
  <c r="K368" i="10" s="1"/>
  <c r="K367" i="10" s="1"/>
  <c r="K366" i="10" s="1"/>
  <c r="K365" i="10" s="1"/>
  <c r="K364" i="10" s="1"/>
  <c r="K363" i="10" s="1"/>
  <c r="K362" i="10" s="1"/>
  <c r="K361" i="10" s="1"/>
  <c r="K360" i="10" s="1"/>
  <c r="K359" i="10" s="1"/>
  <c r="K358" i="10" s="1"/>
  <c r="K357" i="10" s="1"/>
  <c r="K356" i="10" s="1"/>
  <c r="K355" i="10" s="1"/>
  <c r="K354" i="10" s="1"/>
  <c r="K353" i="10" s="1"/>
  <c r="K352" i="10" s="1"/>
  <c r="K351" i="10" s="1"/>
  <c r="K350" i="10" s="1"/>
  <c r="K349" i="10" s="1"/>
  <c r="K348" i="10" s="1"/>
  <c r="K347" i="10" s="1"/>
  <c r="K346" i="10" s="1"/>
  <c r="K345" i="10" s="1"/>
  <c r="K344" i="10" s="1"/>
  <c r="K343" i="10" s="1"/>
  <c r="K342" i="10" s="1"/>
  <c r="K341" i="10" s="1"/>
  <c r="K340" i="10" s="1"/>
  <c r="K339" i="10" s="1"/>
  <c r="K338" i="10" s="1"/>
  <c r="K337" i="10" s="1"/>
  <c r="K336" i="10" s="1"/>
  <c r="K335" i="10" s="1"/>
  <c r="K334" i="10" s="1"/>
  <c r="K333" i="10" s="1"/>
  <c r="K332" i="10" s="1"/>
  <c r="K331" i="10" s="1"/>
  <c r="K330" i="10" s="1"/>
  <c r="K329" i="10" s="1"/>
  <c r="K328" i="10" s="1"/>
  <c r="K327" i="10" s="1"/>
  <c r="K326" i="10" s="1"/>
  <c r="K325" i="10" s="1"/>
  <c r="K324" i="10" s="1"/>
  <c r="K323" i="10" s="1"/>
  <c r="K322" i="10" s="1"/>
  <c r="K321" i="10" s="1"/>
  <c r="K320" i="10" s="1"/>
  <c r="K319" i="10" s="1"/>
  <c r="K318" i="10" s="1"/>
  <c r="K317" i="10" s="1"/>
  <c r="K316" i="10" s="1"/>
  <c r="K315" i="10" s="1"/>
  <c r="K314" i="10" s="1"/>
  <c r="K313" i="10" s="1"/>
  <c r="K312" i="10" s="1"/>
  <c r="K311" i="10" s="1"/>
  <c r="K310" i="10" s="1"/>
  <c r="K309" i="10" s="1"/>
  <c r="K308" i="10" s="1"/>
  <c r="K307" i="10" s="1"/>
  <c r="K306" i="10" s="1"/>
  <c r="K305" i="10" s="1"/>
  <c r="K304" i="10" s="1"/>
  <c r="K303" i="10" s="1"/>
  <c r="K302" i="10" s="1"/>
  <c r="K301" i="10" s="1"/>
  <c r="K300" i="10" s="1"/>
  <c r="K299" i="10" s="1"/>
  <c r="K298" i="10" s="1"/>
  <c r="K297" i="10" s="1"/>
  <c r="K296" i="10" s="1"/>
  <c r="K295" i="10" s="1"/>
  <c r="K294" i="10" s="1"/>
  <c r="K293" i="10" s="1"/>
  <c r="K292" i="10" s="1"/>
  <c r="K291" i="10" s="1"/>
  <c r="K290" i="10" s="1"/>
  <c r="K289" i="10" s="1"/>
  <c r="K288" i="10" s="1"/>
  <c r="K287" i="10" s="1"/>
  <c r="K286" i="10" s="1"/>
  <c r="K285" i="10" s="1"/>
  <c r="K284" i="10" s="1"/>
  <c r="K283" i="10" s="1"/>
  <c r="K282" i="10" s="1"/>
  <c r="K281" i="10" s="1"/>
  <c r="K280" i="10" s="1"/>
  <c r="K279" i="10" s="1"/>
  <c r="K278" i="10" s="1"/>
  <c r="K277" i="10" s="1"/>
  <c r="K276" i="10" s="1"/>
  <c r="K275" i="10" s="1"/>
  <c r="K274" i="10" s="1"/>
  <c r="K273" i="10" s="1"/>
  <c r="K272" i="10" s="1"/>
  <c r="K271" i="10" s="1"/>
  <c r="K270" i="10" s="1"/>
  <c r="K269" i="10" s="1"/>
  <c r="K268" i="10" s="1"/>
  <c r="K267" i="10" s="1"/>
  <c r="K266" i="10" s="1"/>
  <c r="K265" i="10" s="1"/>
  <c r="K264" i="10" s="1"/>
  <c r="K263" i="10" s="1"/>
  <c r="K262" i="10" s="1"/>
  <c r="K261" i="10" s="1"/>
  <c r="K260" i="10" s="1"/>
  <c r="K259" i="10" s="1"/>
  <c r="K258" i="10" s="1"/>
  <c r="K257" i="10" s="1"/>
  <c r="K256" i="10" s="1"/>
  <c r="K255" i="10" s="1"/>
  <c r="K254" i="10" s="1"/>
  <c r="K253" i="10" s="1"/>
  <c r="K252" i="10" s="1"/>
  <c r="K251" i="10" s="1"/>
  <c r="K250" i="10" s="1"/>
  <c r="K249" i="10" s="1"/>
  <c r="K248" i="10" s="1"/>
  <c r="K247" i="10" s="1"/>
  <c r="K246" i="10" s="1"/>
  <c r="K245" i="10" s="1"/>
  <c r="K244" i="10" s="1"/>
  <c r="K243" i="10" s="1"/>
  <c r="K242" i="10" s="1"/>
  <c r="K241" i="10" s="1"/>
  <c r="K240" i="10" s="1"/>
  <c r="K239" i="10" s="1"/>
  <c r="K238" i="10" s="1"/>
  <c r="K237" i="10" s="1"/>
  <c r="K236" i="10" s="1"/>
  <c r="K235" i="10" s="1"/>
  <c r="K234" i="10" s="1"/>
  <c r="K233" i="10" s="1"/>
  <c r="K232" i="10" s="1"/>
  <c r="K231" i="10" s="1"/>
  <c r="K230" i="10" s="1"/>
  <c r="K229" i="10" s="1"/>
  <c r="K228" i="10" s="1"/>
  <c r="K227" i="10" s="1"/>
  <c r="K226" i="10" s="1"/>
  <c r="K225" i="10" s="1"/>
  <c r="K224" i="10" s="1"/>
  <c r="K223" i="10" s="1"/>
  <c r="K222" i="10" s="1"/>
  <c r="K221" i="10" s="1"/>
  <c r="K220" i="10" s="1"/>
  <c r="K219" i="10" s="1"/>
  <c r="K218" i="10" s="1"/>
  <c r="K217" i="10" s="1"/>
  <c r="K216" i="10" s="1"/>
  <c r="K215" i="10" s="1"/>
  <c r="K214" i="10" s="1"/>
  <c r="K213" i="10" s="1"/>
  <c r="K212" i="10" s="1"/>
  <c r="K211" i="10" s="1"/>
  <c r="K210" i="10" s="1"/>
  <c r="K209" i="10" s="1"/>
  <c r="K208" i="10" s="1"/>
  <c r="K207" i="10" s="1"/>
  <c r="K206" i="10" s="1"/>
  <c r="K205" i="10" s="1"/>
  <c r="K204" i="10" s="1"/>
  <c r="K203" i="10" s="1"/>
  <c r="K202" i="10" s="1"/>
  <c r="K201" i="10" s="1"/>
  <c r="K200" i="10" s="1"/>
  <c r="K199" i="10" s="1"/>
  <c r="K198" i="10" s="1"/>
  <c r="K197" i="10" s="1"/>
  <c r="K196" i="10" s="1"/>
  <c r="K195" i="10" s="1"/>
  <c r="K194" i="10" s="1"/>
  <c r="K193" i="10" s="1"/>
  <c r="K192" i="10" s="1"/>
  <c r="K191" i="10" s="1"/>
  <c r="K190" i="10" s="1"/>
  <c r="K189" i="10" s="1"/>
  <c r="K188" i="10" s="1"/>
  <c r="K187" i="10" s="1"/>
  <c r="K186" i="10" s="1"/>
  <c r="K185" i="10" s="1"/>
  <c r="K184" i="10" s="1"/>
  <c r="K183" i="10" s="1"/>
  <c r="K182" i="10" s="1"/>
  <c r="K181" i="10" s="1"/>
  <c r="K180" i="10" s="1"/>
  <c r="K179" i="10" s="1"/>
  <c r="K178" i="10" s="1"/>
  <c r="K177" i="10" s="1"/>
  <c r="K176" i="10" s="1"/>
  <c r="K175" i="10" s="1"/>
  <c r="K174" i="10" s="1"/>
  <c r="K173" i="10" s="1"/>
  <c r="K172" i="10" s="1"/>
  <c r="K171" i="10" s="1"/>
  <c r="K170" i="10" s="1"/>
  <c r="K169" i="10" s="1"/>
  <c r="K168" i="10" s="1"/>
  <c r="K167" i="10" s="1"/>
  <c r="K166" i="10" s="1"/>
  <c r="K165" i="10" s="1"/>
  <c r="K164" i="10" s="1"/>
  <c r="K163" i="10" s="1"/>
  <c r="K162" i="10" s="1"/>
  <c r="K161" i="10" s="1"/>
  <c r="K160" i="10" s="1"/>
  <c r="K159" i="10" s="1"/>
  <c r="K158" i="10" s="1"/>
  <c r="K157" i="10" s="1"/>
  <c r="K156" i="10" s="1"/>
  <c r="K155" i="10" s="1"/>
  <c r="K154" i="10" s="1"/>
  <c r="K153" i="10" s="1"/>
  <c r="K152" i="10" s="1"/>
  <c r="K151" i="10" s="1"/>
  <c r="K150" i="10" s="1"/>
  <c r="K149" i="10" s="1"/>
  <c r="K148" i="10" s="1"/>
  <c r="K147" i="10" s="1"/>
  <c r="K146" i="10" s="1"/>
  <c r="K145" i="10" s="1"/>
  <c r="K144" i="10" s="1"/>
  <c r="K143" i="10" s="1"/>
  <c r="K142" i="10" s="1"/>
  <c r="K141" i="10" s="1"/>
  <c r="K140" i="10" s="1"/>
  <c r="K139" i="10" s="1"/>
  <c r="K138" i="10" s="1"/>
  <c r="K137" i="10" s="1"/>
  <c r="K136" i="10" s="1"/>
  <c r="K135" i="10" s="1"/>
  <c r="K134" i="10" s="1"/>
  <c r="K133" i="10" s="1"/>
  <c r="K132" i="10" s="1"/>
  <c r="K131" i="10" s="1"/>
  <c r="K130" i="10" s="1"/>
  <c r="K129" i="10" s="1"/>
  <c r="K128" i="10" s="1"/>
  <c r="K127" i="10" s="1"/>
  <c r="K126" i="10" s="1"/>
  <c r="K125" i="10" s="1"/>
  <c r="K124" i="10" s="1"/>
  <c r="K123" i="10" s="1"/>
  <c r="K122" i="10" s="1"/>
  <c r="K121" i="10" s="1"/>
  <c r="K120" i="10" s="1"/>
  <c r="K119" i="10" s="1"/>
  <c r="K118" i="10" s="1"/>
  <c r="K117" i="10" s="1"/>
  <c r="K116" i="10" s="1"/>
  <c r="K115" i="10" s="1"/>
  <c r="K114" i="10" s="1"/>
  <c r="K113" i="10" s="1"/>
  <c r="K112" i="10" s="1"/>
  <c r="K111" i="10" s="1"/>
  <c r="K110" i="10" s="1"/>
  <c r="K109" i="10" s="1"/>
  <c r="K108" i="10" s="1"/>
  <c r="K107" i="10" s="1"/>
  <c r="K106" i="10" s="1"/>
  <c r="K105" i="10" s="1"/>
  <c r="K104" i="10" s="1"/>
  <c r="K103" i="10" s="1"/>
  <c r="K102" i="10" s="1"/>
  <c r="K101" i="10" s="1"/>
  <c r="K100" i="10" s="1"/>
  <c r="K99" i="10" s="1"/>
  <c r="K98" i="10" s="1"/>
  <c r="K97" i="10" s="1"/>
  <c r="K96" i="10" s="1"/>
  <c r="K95" i="10" s="1"/>
  <c r="K94" i="10" s="1"/>
  <c r="K93" i="10" s="1"/>
  <c r="K92" i="10" s="1"/>
  <c r="K91" i="10" s="1"/>
  <c r="K90" i="10" s="1"/>
  <c r="K89" i="10" s="1"/>
  <c r="K88" i="10" s="1"/>
  <c r="K87" i="10" s="1"/>
  <c r="K86" i="10" s="1"/>
  <c r="K85" i="10" s="1"/>
  <c r="K84" i="10" s="1"/>
  <c r="K83" i="10" s="1"/>
  <c r="K82" i="10" s="1"/>
  <c r="K81" i="10" s="1"/>
  <c r="K80" i="10" s="1"/>
  <c r="K79" i="10" s="1"/>
  <c r="K78" i="10" s="1"/>
  <c r="K77" i="10" s="1"/>
  <c r="K76" i="10" s="1"/>
  <c r="K75" i="10" s="1"/>
  <c r="K74" i="10" s="1"/>
  <c r="K73" i="10" s="1"/>
  <c r="K72" i="10" s="1"/>
  <c r="K71" i="10" s="1"/>
  <c r="K70" i="10" s="1"/>
  <c r="K69" i="10" s="1"/>
  <c r="K68" i="10" s="1"/>
  <c r="K67" i="10" s="1"/>
  <c r="K66" i="10" s="1"/>
  <c r="K65" i="10" s="1"/>
  <c r="K64" i="10" s="1"/>
  <c r="K63" i="10" s="1"/>
  <c r="K62" i="10" s="1"/>
  <c r="K61" i="10" s="1"/>
  <c r="K60" i="10" s="1"/>
  <c r="K59" i="10" s="1"/>
  <c r="K58" i="10" s="1"/>
  <c r="K57" i="10" s="1"/>
  <c r="K56" i="10" s="1"/>
  <c r="K55" i="10" s="1"/>
  <c r="K54" i="10" s="1"/>
  <c r="K53" i="10" s="1"/>
  <c r="K52" i="10" s="1"/>
  <c r="K51" i="10" s="1"/>
  <c r="K50" i="10" s="1"/>
  <c r="K49" i="10" s="1"/>
  <c r="K48" i="10" s="1"/>
  <c r="K47" i="10" s="1"/>
  <c r="K46" i="10" s="1"/>
  <c r="K45" i="10" s="1"/>
  <c r="K44" i="10" s="1"/>
  <c r="K43" i="10" s="1"/>
  <c r="K42" i="10" s="1"/>
  <c r="K41" i="10" s="1"/>
  <c r="K40" i="10" s="1"/>
  <c r="K39" i="10" s="1"/>
  <c r="K38" i="10" s="1"/>
  <c r="K37" i="10" s="1"/>
  <c r="K36" i="10" s="1"/>
  <c r="K35" i="10" s="1"/>
  <c r="K34" i="10" s="1"/>
  <c r="K33" i="10" s="1"/>
  <c r="K32" i="10" s="1"/>
  <c r="K31" i="10" s="1"/>
  <c r="K30" i="10" s="1"/>
  <c r="K29" i="10" s="1"/>
  <c r="K28" i="10" s="1"/>
  <c r="K27" i="10" s="1"/>
  <c r="K26" i="10" s="1"/>
  <c r="K25" i="10" s="1"/>
  <c r="K24" i="10" s="1"/>
  <c r="J29" i="17"/>
  <c r="I1499" i="10"/>
  <c r="I1498" i="10" s="1"/>
  <c r="I1497" i="10" s="1"/>
  <c r="I1496" i="10" s="1"/>
  <c r="I1495" i="10" s="1"/>
  <c r="I1494" i="10" s="1"/>
  <c r="I1493" i="10" s="1"/>
  <c r="I1492" i="10" s="1"/>
  <c r="I1491" i="10" s="1"/>
  <c r="I1490" i="10" s="1"/>
  <c r="I1489" i="10" s="1"/>
  <c r="I1488" i="10" s="1"/>
  <c r="I1487" i="10" s="1"/>
  <c r="I1486" i="10" s="1"/>
  <c r="I1485" i="10" s="1"/>
  <c r="I1484" i="10" s="1"/>
  <c r="I1483" i="10" s="1"/>
  <c r="I1482" i="10" s="1"/>
  <c r="I1481" i="10" s="1"/>
  <c r="I1480" i="10" s="1"/>
  <c r="I1479" i="10" s="1"/>
  <c r="I1478" i="10" s="1"/>
  <c r="I1477" i="10" s="1"/>
  <c r="I1476" i="10" s="1"/>
  <c r="I1475" i="10" s="1"/>
  <c r="I1474" i="10" s="1"/>
  <c r="I1473" i="10" s="1"/>
  <c r="I1472" i="10" s="1"/>
  <c r="I1471" i="10" s="1"/>
  <c r="I1470" i="10" s="1"/>
  <c r="I1469" i="10" s="1"/>
  <c r="I1468" i="10" s="1"/>
  <c r="I1467" i="10" s="1"/>
  <c r="I1466" i="10" s="1"/>
  <c r="I1465" i="10" s="1"/>
  <c r="I1464" i="10" s="1"/>
  <c r="I1463" i="10" s="1"/>
  <c r="I1462" i="10" s="1"/>
  <c r="I1461" i="10" s="1"/>
  <c r="I1460" i="10" s="1"/>
  <c r="I1459" i="10" s="1"/>
  <c r="I1458" i="10" s="1"/>
  <c r="I1457" i="10" s="1"/>
  <c r="I1456" i="10" s="1"/>
  <c r="I1455" i="10" s="1"/>
  <c r="I1454" i="10" s="1"/>
  <c r="I1453" i="10" s="1"/>
  <c r="I1452" i="10" s="1"/>
  <c r="I1451" i="10" s="1"/>
  <c r="I1450" i="10" s="1"/>
  <c r="I1449" i="10" s="1"/>
  <c r="I1448" i="10" s="1"/>
  <c r="I1447" i="10" s="1"/>
  <c r="I1446" i="10" s="1"/>
  <c r="I1445" i="10" s="1"/>
  <c r="I1444" i="10" s="1"/>
  <c r="I1443" i="10" s="1"/>
  <c r="I1442" i="10" s="1"/>
  <c r="I1441" i="10" s="1"/>
  <c r="I1440" i="10" s="1"/>
  <c r="I1439" i="10" s="1"/>
  <c r="I1438" i="10" s="1"/>
  <c r="I1437" i="10" s="1"/>
  <c r="I1436" i="10" s="1"/>
  <c r="I1435" i="10" s="1"/>
  <c r="I1434" i="10" s="1"/>
  <c r="I1433" i="10" s="1"/>
  <c r="I1432" i="10" s="1"/>
  <c r="I1431" i="10" s="1"/>
  <c r="I1430" i="10" s="1"/>
  <c r="I1429" i="10" s="1"/>
  <c r="I1428" i="10" s="1"/>
  <c r="I1427" i="10" s="1"/>
  <c r="I1426" i="10" s="1"/>
  <c r="I1425" i="10" s="1"/>
  <c r="I1424" i="10" s="1"/>
  <c r="I1423" i="10" s="1"/>
  <c r="I1422" i="10" s="1"/>
  <c r="I1421" i="10" s="1"/>
  <c r="I1420" i="10" s="1"/>
  <c r="I1419" i="10" s="1"/>
  <c r="I1418" i="10" s="1"/>
  <c r="I1417" i="10" s="1"/>
  <c r="I1416" i="10" s="1"/>
  <c r="I1415" i="10" s="1"/>
  <c r="I1414" i="10" s="1"/>
  <c r="I1413" i="10" s="1"/>
  <c r="I1412" i="10" s="1"/>
  <c r="I1411" i="10" s="1"/>
  <c r="I1410" i="10" s="1"/>
  <c r="I1409" i="10" s="1"/>
  <c r="I1408" i="10" s="1"/>
  <c r="I1407" i="10" s="1"/>
  <c r="I1406" i="10" s="1"/>
  <c r="I1405" i="10" s="1"/>
  <c r="I1404" i="10" s="1"/>
  <c r="I1403" i="10" s="1"/>
  <c r="I1402" i="10" s="1"/>
  <c r="I1401" i="10" s="1"/>
  <c r="I1400" i="10" s="1"/>
  <c r="I1399" i="10" s="1"/>
  <c r="I1398" i="10" s="1"/>
  <c r="I1397" i="10" s="1"/>
  <c r="I1396" i="10" s="1"/>
  <c r="I1395" i="10" s="1"/>
  <c r="I1394" i="10" s="1"/>
  <c r="I1393" i="10" s="1"/>
  <c r="I1392" i="10" s="1"/>
  <c r="I1391" i="10" s="1"/>
  <c r="I1390" i="10" s="1"/>
  <c r="I1389" i="10" s="1"/>
  <c r="I1388" i="10" s="1"/>
  <c r="I1387" i="10" s="1"/>
  <c r="I1386" i="10" s="1"/>
  <c r="I1385" i="10" s="1"/>
  <c r="I1384" i="10" s="1"/>
  <c r="I1383" i="10" s="1"/>
  <c r="I1382" i="10" s="1"/>
  <c r="I1381" i="10" s="1"/>
  <c r="I1380" i="10" s="1"/>
  <c r="I1379" i="10" s="1"/>
  <c r="I1378" i="10" s="1"/>
  <c r="I1377" i="10" s="1"/>
  <c r="I1376" i="10" s="1"/>
  <c r="I1375" i="10" s="1"/>
  <c r="I1374" i="10" s="1"/>
  <c r="I1373" i="10" s="1"/>
  <c r="I1372" i="10" s="1"/>
  <c r="I1371" i="10" s="1"/>
  <c r="I1370" i="10" s="1"/>
  <c r="I1369" i="10" s="1"/>
  <c r="I1368" i="10" s="1"/>
  <c r="I1367" i="10" s="1"/>
  <c r="I1366" i="10" s="1"/>
  <c r="I1365" i="10" s="1"/>
  <c r="I1364" i="10" s="1"/>
  <c r="I1363" i="10" s="1"/>
  <c r="I1362" i="10" s="1"/>
  <c r="I1361" i="10" s="1"/>
  <c r="I1360" i="10" s="1"/>
  <c r="I1359" i="10" s="1"/>
  <c r="I1358" i="10" s="1"/>
  <c r="I1357" i="10" s="1"/>
  <c r="I1356" i="10" s="1"/>
  <c r="I1355" i="10" s="1"/>
  <c r="I1354" i="10" s="1"/>
  <c r="I1353" i="10" s="1"/>
  <c r="I1352" i="10" s="1"/>
  <c r="I1351" i="10" s="1"/>
  <c r="I1350" i="10" s="1"/>
  <c r="I1349" i="10" s="1"/>
  <c r="I1348" i="10" s="1"/>
  <c r="I1347" i="10" s="1"/>
  <c r="I1346" i="10" s="1"/>
  <c r="I1345" i="10" s="1"/>
  <c r="I1344" i="10" s="1"/>
  <c r="I1343" i="10" s="1"/>
  <c r="I1342" i="10" s="1"/>
  <c r="I1341" i="10" s="1"/>
  <c r="I1340" i="10" s="1"/>
  <c r="I1339" i="10" s="1"/>
  <c r="I1338" i="10" s="1"/>
  <c r="I1337" i="10" s="1"/>
  <c r="I1336" i="10" s="1"/>
  <c r="I1335" i="10" s="1"/>
  <c r="I1334" i="10" s="1"/>
  <c r="I1333" i="10" s="1"/>
  <c r="I1332" i="10" s="1"/>
  <c r="I1331" i="10" s="1"/>
  <c r="I1330" i="10" s="1"/>
  <c r="I1329" i="10" s="1"/>
  <c r="I1328" i="10" s="1"/>
  <c r="I1327" i="10" s="1"/>
  <c r="I1326" i="10" s="1"/>
  <c r="I1325" i="10" s="1"/>
  <c r="I1324" i="10" s="1"/>
  <c r="I1323" i="10" s="1"/>
  <c r="I1322" i="10" s="1"/>
  <c r="I1321" i="10" s="1"/>
  <c r="I1320" i="10" s="1"/>
  <c r="I1319" i="10" s="1"/>
  <c r="I1318" i="10" s="1"/>
  <c r="I1317" i="10" s="1"/>
  <c r="I1316" i="10" s="1"/>
  <c r="I1315" i="10" s="1"/>
  <c r="I1314" i="10" s="1"/>
  <c r="I1313" i="10" s="1"/>
  <c r="I1312" i="10" s="1"/>
  <c r="I1311" i="10" s="1"/>
  <c r="I1310" i="10" s="1"/>
  <c r="I1309" i="10" s="1"/>
  <c r="I1308" i="10" s="1"/>
  <c r="I1307" i="10" s="1"/>
  <c r="I1306" i="10" s="1"/>
  <c r="I1305" i="10" s="1"/>
  <c r="I1304" i="10" s="1"/>
  <c r="I1303" i="10" s="1"/>
  <c r="I1302" i="10" s="1"/>
  <c r="I1301" i="10" s="1"/>
  <c r="I1300" i="10" s="1"/>
  <c r="I1299" i="10" s="1"/>
  <c r="I1298" i="10" s="1"/>
  <c r="I1297" i="10" s="1"/>
  <c r="I1296" i="10" s="1"/>
  <c r="I1295" i="10" s="1"/>
  <c r="I1294" i="10" s="1"/>
  <c r="I1293" i="10" s="1"/>
  <c r="I1292" i="10" s="1"/>
  <c r="I1291" i="10" s="1"/>
  <c r="I1290" i="10" s="1"/>
  <c r="I1289" i="10" s="1"/>
  <c r="I1288" i="10" s="1"/>
  <c r="I1287" i="10" s="1"/>
  <c r="I1286" i="10" s="1"/>
  <c r="I1285" i="10" s="1"/>
  <c r="I1284" i="10" s="1"/>
  <c r="I1283" i="10" s="1"/>
  <c r="I1282" i="10" s="1"/>
  <c r="I1281" i="10" s="1"/>
  <c r="I1280" i="10" s="1"/>
  <c r="I1279" i="10" s="1"/>
  <c r="I1278" i="10" s="1"/>
  <c r="I1277" i="10" s="1"/>
  <c r="I1276" i="10" s="1"/>
  <c r="I1275" i="10" s="1"/>
  <c r="I1274" i="10" s="1"/>
  <c r="I1273" i="10" s="1"/>
  <c r="I1272" i="10" s="1"/>
  <c r="I1271" i="10" s="1"/>
  <c r="I1270" i="10" s="1"/>
  <c r="I1269" i="10" s="1"/>
  <c r="I1268" i="10" s="1"/>
  <c r="I1267" i="10" s="1"/>
  <c r="I1266" i="10" s="1"/>
  <c r="I1265" i="10" s="1"/>
  <c r="I1264" i="10" s="1"/>
  <c r="I1263" i="10" s="1"/>
  <c r="I1262" i="10" s="1"/>
  <c r="I1261" i="10" s="1"/>
  <c r="I1260" i="10" s="1"/>
  <c r="I1259" i="10" s="1"/>
  <c r="I1258" i="10" s="1"/>
  <c r="I1257" i="10" s="1"/>
  <c r="I1256" i="10" s="1"/>
  <c r="I1255" i="10" s="1"/>
  <c r="I1254" i="10" s="1"/>
  <c r="I1253" i="10" s="1"/>
  <c r="I1252" i="10" s="1"/>
  <c r="I1251" i="10" s="1"/>
  <c r="I1250" i="10" s="1"/>
  <c r="I1249" i="10" s="1"/>
  <c r="I1248" i="10" s="1"/>
  <c r="I1247" i="10" s="1"/>
  <c r="I1246" i="10" s="1"/>
  <c r="I1245" i="10" s="1"/>
  <c r="I1244" i="10" s="1"/>
  <c r="I1243" i="10" s="1"/>
  <c r="I1242" i="10" s="1"/>
  <c r="I1241" i="10" s="1"/>
  <c r="I1240" i="10" s="1"/>
  <c r="I1239" i="10" s="1"/>
  <c r="I1238" i="10" s="1"/>
  <c r="I1237" i="10" s="1"/>
  <c r="I1236" i="10" s="1"/>
  <c r="I1235" i="10" s="1"/>
  <c r="I1234" i="10" s="1"/>
  <c r="I1233" i="10" s="1"/>
  <c r="I1232" i="10" s="1"/>
  <c r="I1231" i="10" s="1"/>
  <c r="I1230" i="10" s="1"/>
  <c r="I1229" i="10" s="1"/>
  <c r="I1228" i="10" s="1"/>
  <c r="I1227" i="10" s="1"/>
  <c r="I1226" i="10" s="1"/>
  <c r="I1225" i="10" s="1"/>
  <c r="I1224" i="10" s="1"/>
  <c r="I1223" i="10" s="1"/>
  <c r="I1222" i="10" s="1"/>
  <c r="I1221" i="10" s="1"/>
  <c r="I1220" i="10" s="1"/>
  <c r="I1219" i="10" s="1"/>
  <c r="I1218" i="10" s="1"/>
  <c r="I1217" i="10" s="1"/>
  <c r="I1216" i="10" s="1"/>
  <c r="I1215" i="10" s="1"/>
  <c r="I1214" i="10" s="1"/>
  <c r="I1213" i="10" s="1"/>
  <c r="I1212" i="10" s="1"/>
  <c r="I1211" i="10" s="1"/>
  <c r="I1210" i="10" s="1"/>
  <c r="I1209" i="10" s="1"/>
  <c r="I1208" i="10" s="1"/>
  <c r="I1207" i="10" s="1"/>
  <c r="I1206" i="10" s="1"/>
  <c r="I1205" i="10" s="1"/>
  <c r="I1204" i="10" s="1"/>
  <c r="I1203" i="10" s="1"/>
  <c r="I1202" i="10" s="1"/>
  <c r="I1201" i="10" s="1"/>
  <c r="I1200" i="10" s="1"/>
  <c r="I1199" i="10" s="1"/>
  <c r="I1198" i="10" s="1"/>
  <c r="I1197" i="10" s="1"/>
  <c r="I1196" i="10" s="1"/>
  <c r="I1195" i="10" s="1"/>
  <c r="I1194" i="10" s="1"/>
  <c r="I1193" i="10" s="1"/>
  <c r="I1192" i="10" s="1"/>
  <c r="I1191" i="10" s="1"/>
  <c r="I1190" i="10" s="1"/>
  <c r="I1189" i="10" s="1"/>
  <c r="I1188" i="10" s="1"/>
  <c r="I1187" i="10" s="1"/>
  <c r="I1186" i="10" s="1"/>
  <c r="I1185" i="10" s="1"/>
  <c r="I1184" i="10" s="1"/>
  <c r="I1183" i="10" s="1"/>
  <c r="I1182" i="10" s="1"/>
  <c r="I1181" i="10" s="1"/>
  <c r="I1180" i="10" s="1"/>
  <c r="I1179" i="10" s="1"/>
  <c r="I1178" i="10" s="1"/>
  <c r="I1177" i="10" s="1"/>
  <c r="I1176" i="10" s="1"/>
  <c r="I1175" i="10" s="1"/>
  <c r="I1174" i="10" s="1"/>
  <c r="I1173" i="10" s="1"/>
  <c r="I1172" i="10" s="1"/>
  <c r="I1171" i="10" s="1"/>
  <c r="I1170" i="10" s="1"/>
  <c r="I1169" i="10" s="1"/>
  <c r="I1168" i="10" s="1"/>
  <c r="I1167" i="10" s="1"/>
  <c r="I1166" i="10" s="1"/>
  <c r="I1165" i="10" s="1"/>
  <c r="I1164" i="10" s="1"/>
  <c r="I1163" i="10" s="1"/>
  <c r="I1162" i="10" s="1"/>
  <c r="I1161" i="10" s="1"/>
  <c r="I1160" i="10" s="1"/>
  <c r="I1159" i="10" s="1"/>
  <c r="I1158" i="10" s="1"/>
  <c r="I1157" i="10" s="1"/>
  <c r="I1156" i="10" s="1"/>
  <c r="I1155" i="10" s="1"/>
  <c r="I1154" i="10" s="1"/>
  <c r="I1153" i="10" s="1"/>
  <c r="I1152" i="10" s="1"/>
  <c r="I1151" i="10" s="1"/>
  <c r="I1150" i="10" s="1"/>
  <c r="I1149" i="10" s="1"/>
  <c r="I1148" i="10" s="1"/>
  <c r="I1147" i="10" s="1"/>
  <c r="I1146" i="10" s="1"/>
  <c r="I1145" i="10" s="1"/>
  <c r="I1144" i="10" s="1"/>
  <c r="I1143" i="10" s="1"/>
  <c r="I1142" i="10" s="1"/>
  <c r="I1141" i="10" s="1"/>
  <c r="I1140" i="10" s="1"/>
  <c r="I1139" i="10" s="1"/>
  <c r="I1138" i="10" s="1"/>
  <c r="I1137" i="10" s="1"/>
  <c r="I1136" i="10" s="1"/>
  <c r="I1135" i="10" s="1"/>
  <c r="I1134" i="10" s="1"/>
  <c r="I1133" i="10" s="1"/>
  <c r="I1132" i="10" s="1"/>
  <c r="I1131" i="10" s="1"/>
  <c r="I1130" i="10" s="1"/>
  <c r="I1129" i="10" s="1"/>
  <c r="I1128" i="10" s="1"/>
  <c r="I1127" i="10" s="1"/>
  <c r="I1126" i="10" s="1"/>
  <c r="I1125" i="10" s="1"/>
  <c r="I1124" i="10" s="1"/>
  <c r="I1123" i="10" s="1"/>
  <c r="I1122" i="10" s="1"/>
  <c r="I1121" i="10" s="1"/>
  <c r="I1120" i="10" s="1"/>
  <c r="I1119" i="10" s="1"/>
  <c r="I1118" i="10" s="1"/>
  <c r="I1117" i="10" s="1"/>
  <c r="I1116" i="10" s="1"/>
  <c r="I1115" i="10" s="1"/>
  <c r="I1114" i="10" s="1"/>
  <c r="I1113" i="10" s="1"/>
  <c r="I1112" i="10" s="1"/>
  <c r="I1111" i="10" s="1"/>
  <c r="I1110" i="10" s="1"/>
  <c r="I1109" i="10" s="1"/>
  <c r="I1108" i="10" s="1"/>
  <c r="I1107" i="10" s="1"/>
  <c r="I1106" i="10" s="1"/>
  <c r="I1105" i="10" s="1"/>
  <c r="I1104" i="10" s="1"/>
  <c r="I1103" i="10" s="1"/>
  <c r="I1102" i="10" s="1"/>
  <c r="I1101" i="10" s="1"/>
  <c r="I1100" i="10" s="1"/>
  <c r="I1099" i="10" s="1"/>
  <c r="I1098" i="10" s="1"/>
  <c r="I1097" i="10" s="1"/>
  <c r="I1096" i="10" s="1"/>
  <c r="I1095" i="10" s="1"/>
  <c r="I1094" i="10" s="1"/>
  <c r="I1093" i="10" s="1"/>
  <c r="I1092" i="10" s="1"/>
  <c r="I1091" i="10" s="1"/>
  <c r="I1090" i="10" s="1"/>
  <c r="I1089" i="10" s="1"/>
  <c r="I1088" i="10" s="1"/>
  <c r="I1087" i="10" s="1"/>
  <c r="I1086" i="10" s="1"/>
  <c r="I1085" i="10" s="1"/>
  <c r="I1084" i="10" s="1"/>
  <c r="I1083" i="10" s="1"/>
  <c r="I1082" i="10" s="1"/>
  <c r="I1081" i="10" s="1"/>
  <c r="I1080" i="10" s="1"/>
  <c r="I1079" i="10" s="1"/>
  <c r="I1078" i="10" s="1"/>
  <c r="I1077" i="10" s="1"/>
  <c r="I1076" i="10" s="1"/>
  <c r="I1075" i="10" s="1"/>
  <c r="I1074" i="10" s="1"/>
  <c r="I1073" i="10" s="1"/>
  <c r="I1072" i="10" s="1"/>
  <c r="I1071" i="10" s="1"/>
  <c r="I1070" i="10" s="1"/>
  <c r="I1069" i="10" s="1"/>
  <c r="I1068" i="10" s="1"/>
  <c r="I1067" i="10" s="1"/>
  <c r="I1066" i="10" s="1"/>
  <c r="I1065" i="10" s="1"/>
  <c r="I1064" i="10" s="1"/>
  <c r="I1063" i="10" s="1"/>
  <c r="I1062" i="10" s="1"/>
  <c r="I1061" i="10" s="1"/>
  <c r="I1060" i="10" s="1"/>
  <c r="I1059" i="10" s="1"/>
  <c r="I1058" i="10" s="1"/>
  <c r="I1057" i="10" s="1"/>
  <c r="I1056" i="10" s="1"/>
  <c r="I1055" i="10" s="1"/>
  <c r="I1054" i="10" s="1"/>
  <c r="I1053" i="10" s="1"/>
  <c r="I1052" i="10" s="1"/>
  <c r="I1051" i="10" s="1"/>
  <c r="I1050" i="10" s="1"/>
  <c r="I1049" i="10" s="1"/>
  <c r="I1048" i="10" s="1"/>
  <c r="I1047" i="10" s="1"/>
  <c r="I1046" i="10" s="1"/>
  <c r="I1045" i="10" s="1"/>
  <c r="I1044" i="10" s="1"/>
  <c r="I1043" i="10" s="1"/>
  <c r="I1042" i="10" s="1"/>
  <c r="I1041" i="10" s="1"/>
  <c r="I1040" i="10" s="1"/>
  <c r="I1039" i="10" s="1"/>
  <c r="I1038" i="10" s="1"/>
  <c r="I1037" i="10" s="1"/>
  <c r="I1036" i="10" s="1"/>
  <c r="I1035" i="10" s="1"/>
  <c r="I1034" i="10" s="1"/>
  <c r="I1033" i="10" s="1"/>
  <c r="I1032" i="10" s="1"/>
  <c r="I1031" i="10" s="1"/>
  <c r="I1030" i="10" s="1"/>
  <c r="I1029" i="10" s="1"/>
  <c r="I1028" i="10" s="1"/>
  <c r="I1027" i="10" s="1"/>
  <c r="I1026" i="10" s="1"/>
  <c r="I1025" i="10" s="1"/>
  <c r="I1024" i="10" s="1"/>
  <c r="I1023" i="10" s="1"/>
  <c r="I1022" i="10" s="1"/>
  <c r="I1021" i="10" s="1"/>
  <c r="I1020" i="10" s="1"/>
  <c r="I1019" i="10" s="1"/>
  <c r="I1018" i="10" s="1"/>
  <c r="I1017" i="10" s="1"/>
  <c r="I1016" i="10" s="1"/>
  <c r="I1015" i="10" s="1"/>
  <c r="I1014" i="10" s="1"/>
  <c r="I1013" i="10" s="1"/>
  <c r="I1012" i="10" s="1"/>
  <c r="I1011" i="10" s="1"/>
  <c r="I1010" i="10" s="1"/>
  <c r="I1009" i="10" s="1"/>
  <c r="I1008" i="10" s="1"/>
  <c r="I1007" i="10" s="1"/>
  <c r="I1006" i="10" s="1"/>
  <c r="I1005" i="10" s="1"/>
  <c r="I1004" i="10" s="1"/>
  <c r="I1003" i="10" s="1"/>
  <c r="I1002" i="10" s="1"/>
  <c r="I1001" i="10" s="1"/>
  <c r="I1000" i="10" s="1"/>
  <c r="I999" i="10" s="1"/>
  <c r="I998" i="10" s="1"/>
  <c r="I997" i="10" s="1"/>
  <c r="I996" i="10" s="1"/>
  <c r="I995" i="10" s="1"/>
  <c r="I994" i="10" s="1"/>
  <c r="I993" i="10" s="1"/>
  <c r="I992" i="10" s="1"/>
  <c r="I991" i="10" s="1"/>
  <c r="I990" i="10" s="1"/>
  <c r="I989" i="10" s="1"/>
  <c r="I988" i="10" s="1"/>
  <c r="I987" i="10" s="1"/>
  <c r="I986" i="10" s="1"/>
  <c r="I985" i="10" s="1"/>
  <c r="I984" i="10" s="1"/>
  <c r="I983" i="10" s="1"/>
  <c r="I982" i="10" s="1"/>
  <c r="I981" i="10" s="1"/>
  <c r="I980" i="10" s="1"/>
  <c r="I979" i="10" s="1"/>
  <c r="I978" i="10" s="1"/>
  <c r="I977" i="10" s="1"/>
  <c r="I976" i="10" s="1"/>
  <c r="I975" i="10" s="1"/>
  <c r="I974" i="10" s="1"/>
  <c r="I973" i="10" s="1"/>
  <c r="I972" i="10" s="1"/>
  <c r="I971" i="10" s="1"/>
  <c r="I970" i="10" s="1"/>
  <c r="I969" i="10" s="1"/>
  <c r="I968" i="10" s="1"/>
  <c r="I967" i="10" s="1"/>
  <c r="I966" i="10" s="1"/>
  <c r="I965" i="10" s="1"/>
  <c r="I964" i="10" s="1"/>
  <c r="I963" i="10" s="1"/>
  <c r="I962" i="10" s="1"/>
  <c r="I961" i="10" s="1"/>
  <c r="I960" i="10" s="1"/>
  <c r="I959" i="10" s="1"/>
  <c r="I958" i="10" s="1"/>
  <c r="I957" i="10" s="1"/>
  <c r="I956" i="10" s="1"/>
  <c r="I955" i="10" s="1"/>
  <c r="I954" i="10" s="1"/>
  <c r="I953" i="10" s="1"/>
  <c r="I952" i="10" s="1"/>
  <c r="I951" i="10" s="1"/>
  <c r="I950" i="10" s="1"/>
  <c r="I949" i="10" s="1"/>
  <c r="I948" i="10" s="1"/>
  <c r="I947" i="10" s="1"/>
  <c r="I946" i="10" s="1"/>
  <c r="I945" i="10" s="1"/>
  <c r="I944" i="10" s="1"/>
  <c r="I943" i="10" s="1"/>
  <c r="I942" i="10" s="1"/>
  <c r="I941" i="10" s="1"/>
  <c r="I940" i="10" s="1"/>
  <c r="I939" i="10" s="1"/>
  <c r="I938" i="10" s="1"/>
  <c r="I937" i="10" s="1"/>
  <c r="I936" i="10" s="1"/>
  <c r="I935" i="10" s="1"/>
  <c r="I934" i="10" s="1"/>
  <c r="I933" i="10" s="1"/>
  <c r="I932" i="10" s="1"/>
  <c r="I931" i="10" s="1"/>
  <c r="I930" i="10" s="1"/>
  <c r="I929" i="10" s="1"/>
  <c r="I928" i="10" s="1"/>
  <c r="I927" i="10" s="1"/>
  <c r="I926" i="10" s="1"/>
  <c r="I925" i="10" s="1"/>
  <c r="I924" i="10" s="1"/>
  <c r="I923" i="10" s="1"/>
  <c r="I922" i="10" s="1"/>
  <c r="I921" i="10" s="1"/>
  <c r="I920" i="10" s="1"/>
  <c r="I919" i="10" s="1"/>
  <c r="I918" i="10" s="1"/>
  <c r="I917" i="10" s="1"/>
  <c r="I916" i="10" s="1"/>
  <c r="I915" i="10" s="1"/>
  <c r="I914" i="10" s="1"/>
  <c r="I913" i="10" s="1"/>
  <c r="I912" i="10" s="1"/>
  <c r="I911" i="10" s="1"/>
  <c r="I910" i="10" s="1"/>
  <c r="I909" i="10" s="1"/>
  <c r="I908" i="10" s="1"/>
  <c r="I907" i="10" s="1"/>
  <c r="I906" i="10" s="1"/>
  <c r="I905" i="10" s="1"/>
  <c r="I904" i="10" s="1"/>
  <c r="I903" i="10" s="1"/>
  <c r="I902" i="10" s="1"/>
  <c r="I901" i="10" s="1"/>
  <c r="I900" i="10" s="1"/>
  <c r="I899" i="10" s="1"/>
  <c r="I898" i="10" s="1"/>
  <c r="I897" i="10" s="1"/>
  <c r="I896" i="10" s="1"/>
  <c r="I895" i="10" s="1"/>
  <c r="I894" i="10" s="1"/>
  <c r="I893" i="10" s="1"/>
  <c r="I892" i="10" s="1"/>
  <c r="I891" i="10" s="1"/>
  <c r="I890" i="10" s="1"/>
  <c r="I889" i="10" s="1"/>
  <c r="I888" i="10" s="1"/>
  <c r="I887" i="10" s="1"/>
  <c r="I886" i="10" s="1"/>
  <c r="I885" i="10" s="1"/>
  <c r="I884" i="10" s="1"/>
  <c r="I883" i="10" s="1"/>
  <c r="I882" i="10" s="1"/>
  <c r="I881" i="10" s="1"/>
  <c r="I880" i="10" s="1"/>
  <c r="I879" i="10" s="1"/>
  <c r="I878" i="10" s="1"/>
  <c r="I877" i="10" s="1"/>
  <c r="I876" i="10" s="1"/>
  <c r="I875" i="10" s="1"/>
  <c r="I874" i="10" s="1"/>
  <c r="I873" i="10" s="1"/>
  <c r="I872" i="10" s="1"/>
  <c r="I871" i="10" s="1"/>
  <c r="I870" i="10" s="1"/>
  <c r="I869" i="10" s="1"/>
  <c r="I868" i="10" s="1"/>
  <c r="I867" i="10" s="1"/>
  <c r="I866" i="10" s="1"/>
  <c r="I865" i="10" s="1"/>
  <c r="I864" i="10" s="1"/>
  <c r="I863" i="10" s="1"/>
  <c r="I862" i="10" s="1"/>
  <c r="I861" i="10" s="1"/>
  <c r="I860" i="10" s="1"/>
  <c r="I859" i="10" s="1"/>
  <c r="I858" i="10" s="1"/>
  <c r="I857" i="10" s="1"/>
  <c r="I856" i="10" s="1"/>
  <c r="I855" i="10" s="1"/>
  <c r="I854" i="10" s="1"/>
  <c r="I853" i="10" s="1"/>
  <c r="I852" i="10" s="1"/>
  <c r="I851" i="10" s="1"/>
  <c r="I850" i="10" s="1"/>
  <c r="I849" i="10" s="1"/>
  <c r="I848" i="10" s="1"/>
  <c r="I847" i="10" s="1"/>
  <c r="I846" i="10" s="1"/>
  <c r="I845" i="10" s="1"/>
  <c r="I844" i="10" s="1"/>
  <c r="I843" i="10" s="1"/>
  <c r="I842" i="10" s="1"/>
  <c r="I841" i="10" s="1"/>
  <c r="I840" i="10" s="1"/>
  <c r="I839" i="10" s="1"/>
  <c r="I838" i="10" s="1"/>
  <c r="I837" i="10" s="1"/>
  <c r="I836" i="10" s="1"/>
  <c r="I835" i="10" s="1"/>
  <c r="I834" i="10" s="1"/>
  <c r="I833" i="10" s="1"/>
  <c r="I832" i="10" s="1"/>
  <c r="I831" i="10" s="1"/>
  <c r="I830" i="10" s="1"/>
  <c r="I829" i="10" s="1"/>
  <c r="I828" i="10" s="1"/>
  <c r="I827" i="10" s="1"/>
  <c r="I826" i="10" s="1"/>
  <c r="I825" i="10" s="1"/>
  <c r="I824" i="10" s="1"/>
  <c r="I823" i="10" s="1"/>
  <c r="I822" i="10" s="1"/>
  <c r="I821" i="10" s="1"/>
  <c r="I820" i="10" s="1"/>
  <c r="I819" i="10" s="1"/>
  <c r="I818" i="10" s="1"/>
  <c r="I817" i="10" s="1"/>
  <c r="I816" i="10" s="1"/>
  <c r="I815" i="10" s="1"/>
  <c r="I814" i="10" s="1"/>
  <c r="I813" i="10" s="1"/>
  <c r="I812" i="10" s="1"/>
  <c r="I811" i="10" s="1"/>
  <c r="I810" i="10" s="1"/>
  <c r="I809" i="10" s="1"/>
  <c r="I808" i="10" s="1"/>
  <c r="I807" i="10" s="1"/>
  <c r="I806" i="10" s="1"/>
  <c r="I805" i="10" s="1"/>
  <c r="I804" i="10" s="1"/>
  <c r="I803" i="10" s="1"/>
  <c r="I802" i="10" s="1"/>
  <c r="I801" i="10" s="1"/>
  <c r="I800" i="10" s="1"/>
  <c r="I799" i="10" s="1"/>
  <c r="I798" i="10" s="1"/>
  <c r="I797" i="10" s="1"/>
  <c r="I796" i="10" s="1"/>
  <c r="I795" i="10" s="1"/>
  <c r="I794" i="10" s="1"/>
  <c r="I793" i="10" s="1"/>
  <c r="I792" i="10" s="1"/>
  <c r="I791" i="10" s="1"/>
  <c r="I790" i="10" s="1"/>
  <c r="I789" i="10" s="1"/>
  <c r="I788" i="10" s="1"/>
  <c r="I787" i="10" s="1"/>
  <c r="I786" i="10" s="1"/>
  <c r="I785" i="10" s="1"/>
  <c r="I784" i="10" s="1"/>
  <c r="I783" i="10" s="1"/>
  <c r="I782" i="10" s="1"/>
  <c r="I781" i="10" s="1"/>
  <c r="I780" i="10" s="1"/>
  <c r="I779" i="10" s="1"/>
  <c r="I778" i="10" s="1"/>
  <c r="I777" i="10" s="1"/>
  <c r="I776" i="10" s="1"/>
  <c r="I775" i="10" s="1"/>
  <c r="I774" i="10" s="1"/>
  <c r="I773" i="10" s="1"/>
  <c r="I772" i="10" s="1"/>
  <c r="I771" i="10" s="1"/>
  <c r="I770" i="10" s="1"/>
  <c r="I769" i="10" s="1"/>
  <c r="I768" i="10" s="1"/>
  <c r="I767" i="10" s="1"/>
  <c r="I766" i="10" s="1"/>
  <c r="I765" i="10" s="1"/>
  <c r="I764" i="10" s="1"/>
  <c r="I763" i="10" s="1"/>
  <c r="I762" i="10" s="1"/>
  <c r="I761" i="10" s="1"/>
  <c r="I760" i="10" s="1"/>
  <c r="I759" i="10" s="1"/>
  <c r="I758" i="10" s="1"/>
  <c r="I757" i="10" s="1"/>
  <c r="I756" i="10" s="1"/>
  <c r="I755" i="10" s="1"/>
  <c r="I754" i="10" s="1"/>
  <c r="I753" i="10" s="1"/>
  <c r="I752" i="10" s="1"/>
  <c r="I751" i="10" s="1"/>
  <c r="I750" i="10" s="1"/>
  <c r="I749" i="10" s="1"/>
  <c r="I748" i="10" s="1"/>
  <c r="I747" i="10" s="1"/>
  <c r="I746" i="10" s="1"/>
  <c r="I745" i="10" s="1"/>
  <c r="I744" i="10" s="1"/>
  <c r="I743" i="10" s="1"/>
  <c r="I742" i="10" s="1"/>
  <c r="I741" i="10" s="1"/>
  <c r="I740" i="10" s="1"/>
  <c r="I739" i="10" s="1"/>
  <c r="I738" i="10" s="1"/>
  <c r="I737" i="10" s="1"/>
  <c r="I736" i="10" s="1"/>
  <c r="I735" i="10" s="1"/>
  <c r="I734" i="10" s="1"/>
  <c r="I733" i="10" s="1"/>
  <c r="I732" i="10" s="1"/>
  <c r="I731" i="10" s="1"/>
  <c r="I730" i="10" s="1"/>
  <c r="I729" i="10" s="1"/>
  <c r="I728" i="10" s="1"/>
  <c r="I727" i="10" s="1"/>
  <c r="I726" i="10" s="1"/>
  <c r="I725" i="10" s="1"/>
  <c r="I724" i="10" s="1"/>
  <c r="I723" i="10" s="1"/>
  <c r="I722" i="10" s="1"/>
  <c r="I721" i="10" s="1"/>
  <c r="I720" i="10" s="1"/>
  <c r="I719" i="10" s="1"/>
  <c r="I718" i="10" s="1"/>
  <c r="I717" i="10" s="1"/>
  <c r="I716" i="10" s="1"/>
  <c r="I715" i="10" s="1"/>
  <c r="I714" i="10" s="1"/>
  <c r="I713" i="10" s="1"/>
  <c r="I712" i="10" s="1"/>
  <c r="I711" i="10" s="1"/>
  <c r="I710" i="10" s="1"/>
  <c r="I709" i="10" s="1"/>
  <c r="I708" i="10" s="1"/>
  <c r="I707" i="10" s="1"/>
  <c r="I706" i="10" s="1"/>
  <c r="I705" i="10" s="1"/>
  <c r="I704" i="10" s="1"/>
  <c r="I703" i="10" s="1"/>
  <c r="I702" i="10" s="1"/>
  <c r="I701" i="10" s="1"/>
  <c r="I700" i="10" s="1"/>
  <c r="I699" i="10" s="1"/>
  <c r="I698" i="10" s="1"/>
  <c r="I697" i="10" s="1"/>
  <c r="I696" i="10" s="1"/>
  <c r="I695" i="10" s="1"/>
  <c r="I694" i="10" s="1"/>
  <c r="I693" i="10" s="1"/>
  <c r="I692" i="10" s="1"/>
  <c r="I691" i="10" s="1"/>
  <c r="I690" i="10" s="1"/>
  <c r="I689" i="10" s="1"/>
  <c r="I688" i="10" s="1"/>
  <c r="I687" i="10" s="1"/>
  <c r="I686" i="10" s="1"/>
  <c r="I685" i="10" s="1"/>
  <c r="I684" i="10" s="1"/>
  <c r="I683" i="10" s="1"/>
  <c r="I682" i="10" s="1"/>
  <c r="I681" i="10" s="1"/>
  <c r="I680" i="10" s="1"/>
  <c r="I679" i="10" s="1"/>
  <c r="I678" i="10" s="1"/>
  <c r="I677" i="10" s="1"/>
  <c r="I676" i="10" s="1"/>
  <c r="I675" i="10" s="1"/>
  <c r="I674" i="10" s="1"/>
  <c r="I673" i="10" s="1"/>
  <c r="I672" i="10" s="1"/>
  <c r="I671" i="10" s="1"/>
  <c r="I670" i="10" s="1"/>
  <c r="I669" i="10" s="1"/>
  <c r="I668" i="10" s="1"/>
  <c r="I667" i="10" s="1"/>
  <c r="I666" i="10" s="1"/>
  <c r="I665" i="10" s="1"/>
  <c r="I664" i="10" s="1"/>
  <c r="I663" i="10" s="1"/>
  <c r="I662" i="10" s="1"/>
  <c r="I661" i="10" s="1"/>
  <c r="I660" i="10" s="1"/>
  <c r="I659" i="10" s="1"/>
  <c r="I658" i="10" s="1"/>
  <c r="I657" i="10" s="1"/>
  <c r="I656" i="10" s="1"/>
  <c r="I655" i="10" s="1"/>
  <c r="I654" i="10" s="1"/>
  <c r="I653" i="10" s="1"/>
  <c r="I652" i="10" s="1"/>
  <c r="I651" i="10" s="1"/>
  <c r="I650" i="10" s="1"/>
  <c r="I649" i="10" s="1"/>
  <c r="I648" i="10" s="1"/>
  <c r="I647" i="10" s="1"/>
  <c r="I646" i="10" s="1"/>
  <c r="I645" i="10" s="1"/>
  <c r="I644" i="10" s="1"/>
  <c r="I643" i="10" s="1"/>
  <c r="I642" i="10" s="1"/>
  <c r="I641" i="10" s="1"/>
  <c r="I640" i="10" s="1"/>
  <c r="I639" i="10" s="1"/>
  <c r="I638" i="10" s="1"/>
  <c r="I637" i="10" s="1"/>
  <c r="I636" i="10" s="1"/>
  <c r="I635" i="10" s="1"/>
  <c r="I634" i="10" s="1"/>
  <c r="I633" i="10" s="1"/>
  <c r="I632" i="10" s="1"/>
  <c r="I631" i="10" s="1"/>
  <c r="I630" i="10" s="1"/>
  <c r="I629" i="10" s="1"/>
  <c r="I628" i="10" s="1"/>
  <c r="I627" i="10" s="1"/>
  <c r="I626" i="10" s="1"/>
  <c r="I625" i="10" s="1"/>
  <c r="I624" i="10" s="1"/>
  <c r="I623" i="10" s="1"/>
  <c r="I622" i="10" s="1"/>
  <c r="I621" i="10" s="1"/>
  <c r="I620" i="10" s="1"/>
  <c r="I619" i="10" s="1"/>
  <c r="I618" i="10" s="1"/>
  <c r="I617" i="10" s="1"/>
  <c r="I616" i="10" s="1"/>
  <c r="I615" i="10" s="1"/>
  <c r="I614" i="10" s="1"/>
  <c r="I613" i="10" s="1"/>
  <c r="I612" i="10" s="1"/>
  <c r="I611" i="10" s="1"/>
  <c r="I610" i="10" s="1"/>
  <c r="I609" i="10" s="1"/>
  <c r="I608" i="10" s="1"/>
  <c r="I607" i="10" s="1"/>
  <c r="I606" i="10" s="1"/>
  <c r="I605" i="10" s="1"/>
  <c r="I604" i="10" s="1"/>
  <c r="I603" i="10" s="1"/>
  <c r="I602" i="10" s="1"/>
  <c r="I601" i="10" s="1"/>
  <c r="I600" i="10" s="1"/>
  <c r="I599" i="10" s="1"/>
  <c r="I598" i="10" s="1"/>
  <c r="I597" i="10" s="1"/>
  <c r="I596" i="10" s="1"/>
  <c r="I595" i="10" s="1"/>
  <c r="I594" i="10" s="1"/>
  <c r="I593" i="10" s="1"/>
  <c r="I592" i="10" s="1"/>
  <c r="I591" i="10" s="1"/>
  <c r="I590" i="10" s="1"/>
  <c r="I589" i="10" s="1"/>
  <c r="I588" i="10" s="1"/>
  <c r="I587" i="10" s="1"/>
  <c r="I586" i="10" s="1"/>
  <c r="I585" i="10" s="1"/>
  <c r="I584" i="10" s="1"/>
  <c r="I583" i="10" s="1"/>
  <c r="I582" i="10" s="1"/>
  <c r="I581" i="10" s="1"/>
  <c r="I580" i="10" s="1"/>
  <c r="I579" i="10" s="1"/>
  <c r="I578" i="10" s="1"/>
  <c r="I577" i="10" s="1"/>
  <c r="I576" i="10" s="1"/>
  <c r="I575" i="10" s="1"/>
  <c r="I574" i="10" s="1"/>
  <c r="I573" i="10" s="1"/>
  <c r="I572" i="10" s="1"/>
  <c r="I571" i="10" s="1"/>
  <c r="I570" i="10" s="1"/>
  <c r="I569" i="10" s="1"/>
  <c r="I568" i="10" s="1"/>
  <c r="I567" i="10" s="1"/>
  <c r="I566" i="10" s="1"/>
  <c r="I565" i="10" s="1"/>
  <c r="I564" i="10" s="1"/>
  <c r="I563" i="10" s="1"/>
  <c r="I562" i="10" s="1"/>
  <c r="I561" i="10" s="1"/>
  <c r="I560" i="10" s="1"/>
  <c r="I559" i="10" s="1"/>
  <c r="I558" i="10" s="1"/>
  <c r="I557" i="10" s="1"/>
  <c r="I556" i="10" s="1"/>
  <c r="I555" i="10" s="1"/>
  <c r="I554" i="10" s="1"/>
  <c r="I553" i="10" s="1"/>
  <c r="I552" i="10" s="1"/>
  <c r="I551" i="10" s="1"/>
  <c r="I550" i="10" s="1"/>
  <c r="I549" i="10" s="1"/>
  <c r="I548" i="10" s="1"/>
  <c r="I547" i="10" s="1"/>
  <c r="I546" i="10" s="1"/>
  <c r="I545" i="10" s="1"/>
  <c r="I544" i="10" s="1"/>
  <c r="I543" i="10" s="1"/>
  <c r="I542" i="10" s="1"/>
  <c r="I541" i="10" s="1"/>
  <c r="I540" i="10" s="1"/>
  <c r="I539" i="10" s="1"/>
  <c r="I538" i="10" s="1"/>
  <c r="I537" i="10" s="1"/>
  <c r="I536" i="10" s="1"/>
  <c r="I535" i="10" s="1"/>
  <c r="I534" i="10" s="1"/>
  <c r="I533" i="10" s="1"/>
  <c r="I532" i="10" s="1"/>
  <c r="I531" i="10" s="1"/>
  <c r="I530" i="10" s="1"/>
  <c r="I529" i="10" s="1"/>
  <c r="I528" i="10" s="1"/>
  <c r="I527" i="10" s="1"/>
  <c r="I526" i="10" s="1"/>
  <c r="I525" i="10" s="1"/>
  <c r="I524" i="10" s="1"/>
  <c r="I523" i="10" s="1"/>
  <c r="I522" i="10" s="1"/>
  <c r="I521" i="10" s="1"/>
  <c r="I520" i="10" s="1"/>
  <c r="I519" i="10" s="1"/>
  <c r="I518" i="10" s="1"/>
  <c r="I517" i="10" s="1"/>
  <c r="I516" i="10" s="1"/>
  <c r="I515" i="10" s="1"/>
  <c r="I514" i="10" s="1"/>
  <c r="I513" i="10" s="1"/>
  <c r="I512" i="10" s="1"/>
  <c r="I511" i="10" s="1"/>
  <c r="I510" i="10" s="1"/>
  <c r="I509" i="10" s="1"/>
  <c r="I508" i="10" s="1"/>
  <c r="I507" i="10" s="1"/>
  <c r="I506" i="10" s="1"/>
  <c r="I505" i="10" s="1"/>
  <c r="I504" i="10" s="1"/>
  <c r="I503" i="10" s="1"/>
  <c r="I502" i="10" s="1"/>
  <c r="I501" i="10" s="1"/>
  <c r="I500" i="10" s="1"/>
  <c r="I499" i="10" s="1"/>
  <c r="I498" i="10" s="1"/>
  <c r="I497" i="10" s="1"/>
  <c r="I496" i="10" s="1"/>
  <c r="I495" i="10" s="1"/>
  <c r="I494" i="10" s="1"/>
  <c r="I493" i="10" s="1"/>
  <c r="I492" i="10" s="1"/>
  <c r="I491" i="10" s="1"/>
  <c r="I490" i="10" s="1"/>
  <c r="I489" i="10" s="1"/>
  <c r="I488" i="10" s="1"/>
  <c r="I487" i="10" s="1"/>
  <c r="I486" i="10" s="1"/>
  <c r="I485" i="10" s="1"/>
  <c r="I484" i="10" s="1"/>
  <c r="I483" i="10" s="1"/>
  <c r="I482" i="10" s="1"/>
  <c r="I481" i="10" s="1"/>
  <c r="I480" i="10" s="1"/>
  <c r="I479" i="10" s="1"/>
  <c r="I478" i="10" s="1"/>
  <c r="I477" i="10" s="1"/>
  <c r="I476" i="10" s="1"/>
  <c r="I475" i="10" s="1"/>
  <c r="I474" i="10" s="1"/>
  <c r="I473" i="10" s="1"/>
  <c r="I472" i="10" s="1"/>
  <c r="I471" i="10" s="1"/>
  <c r="I470" i="10" s="1"/>
  <c r="I469" i="10" s="1"/>
  <c r="I468" i="10" s="1"/>
  <c r="I467" i="10" s="1"/>
  <c r="I466" i="10" s="1"/>
  <c r="I465" i="10" s="1"/>
  <c r="I464" i="10" s="1"/>
  <c r="I463" i="10" s="1"/>
  <c r="I462" i="10" s="1"/>
  <c r="I461" i="10" s="1"/>
  <c r="I460" i="10" s="1"/>
  <c r="I459" i="10" s="1"/>
  <c r="I458" i="10" s="1"/>
  <c r="I457" i="10" s="1"/>
  <c r="I456" i="10" s="1"/>
  <c r="I455" i="10" s="1"/>
  <c r="I454" i="10" s="1"/>
  <c r="I453" i="10" s="1"/>
  <c r="I452" i="10" s="1"/>
  <c r="I451" i="10" s="1"/>
  <c r="I450" i="10" s="1"/>
  <c r="I449" i="10" s="1"/>
  <c r="I448" i="10" s="1"/>
  <c r="I447" i="10" s="1"/>
  <c r="I446" i="10" s="1"/>
  <c r="I445" i="10" s="1"/>
  <c r="I444" i="10" s="1"/>
  <c r="I443" i="10" s="1"/>
  <c r="I442" i="10" s="1"/>
  <c r="I441" i="10" s="1"/>
  <c r="I440" i="10" s="1"/>
  <c r="I439" i="10" s="1"/>
  <c r="I438" i="10" s="1"/>
  <c r="I437" i="10" s="1"/>
  <c r="I436" i="10" s="1"/>
  <c r="I435" i="10" s="1"/>
  <c r="I434" i="10" s="1"/>
  <c r="I433" i="10" s="1"/>
  <c r="I432" i="10" s="1"/>
  <c r="I431" i="10" s="1"/>
  <c r="I430" i="10" s="1"/>
  <c r="I429" i="10" s="1"/>
  <c r="I428" i="10" s="1"/>
  <c r="I427" i="10" s="1"/>
  <c r="I426" i="10" s="1"/>
  <c r="I425" i="10" s="1"/>
  <c r="I424" i="10" s="1"/>
  <c r="I423" i="10" s="1"/>
  <c r="I422" i="10" s="1"/>
  <c r="I421" i="10" s="1"/>
  <c r="I420" i="10" s="1"/>
  <c r="I419" i="10" s="1"/>
  <c r="I418" i="10" s="1"/>
  <c r="I417" i="10" s="1"/>
  <c r="I416" i="10" s="1"/>
  <c r="I415" i="10" s="1"/>
  <c r="I414" i="10" s="1"/>
  <c r="I413" i="10" s="1"/>
  <c r="I412" i="10" s="1"/>
  <c r="I411" i="10" s="1"/>
  <c r="I410" i="10" s="1"/>
  <c r="I409" i="10" s="1"/>
  <c r="I408" i="10" s="1"/>
  <c r="I407" i="10" s="1"/>
  <c r="I406" i="10" s="1"/>
  <c r="I405" i="10" s="1"/>
  <c r="I404" i="10" s="1"/>
  <c r="I403" i="10" s="1"/>
  <c r="I402" i="10" s="1"/>
  <c r="I401" i="10" s="1"/>
  <c r="I400" i="10" s="1"/>
  <c r="I399" i="10" s="1"/>
  <c r="I398" i="10" s="1"/>
  <c r="I397" i="10" s="1"/>
  <c r="I396" i="10" s="1"/>
  <c r="I395" i="10" s="1"/>
  <c r="I394" i="10" s="1"/>
  <c r="I393" i="10" s="1"/>
  <c r="I392" i="10" s="1"/>
  <c r="I391" i="10" s="1"/>
  <c r="I390" i="10" s="1"/>
  <c r="I389" i="10" s="1"/>
  <c r="I388" i="10" s="1"/>
  <c r="I387" i="10" s="1"/>
  <c r="I386" i="10" s="1"/>
  <c r="I385" i="10" s="1"/>
  <c r="I384" i="10" s="1"/>
  <c r="I383" i="10" s="1"/>
  <c r="I382" i="10" s="1"/>
  <c r="I381" i="10" s="1"/>
  <c r="I380" i="10" s="1"/>
  <c r="I379" i="10" s="1"/>
  <c r="I378" i="10" s="1"/>
  <c r="I377" i="10" s="1"/>
  <c r="I376" i="10" s="1"/>
  <c r="I375" i="10" s="1"/>
  <c r="I374" i="10" s="1"/>
  <c r="I373" i="10" s="1"/>
  <c r="I372" i="10" s="1"/>
  <c r="I371" i="10" s="1"/>
  <c r="I370" i="10" s="1"/>
  <c r="I369" i="10" s="1"/>
  <c r="I368" i="10" s="1"/>
  <c r="I367" i="10" s="1"/>
  <c r="I366" i="10" s="1"/>
  <c r="I365" i="10" s="1"/>
  <c r="I364" i="10" s="1"/>
  <c r="I363" i="10" s="1"/>
  <c r="I362" i="10" s="1"/>
  <c r="I361" i="10" s="1"/>
  <c r="I360" i="10" s="1"/>
  <c r="I359" i="10" s="1"/>
  <c r="I358" i="10" s="1"/>
  <c r="I357" i="10" s="1"/>
  <c r="I356" i="10" s="1"/>
  <c r="I355" i="10" s="1"/>
  <c r="I354" i="10" s="1"/>
  <c r="I353" i="10" s="1"/>
  <c r="I352" i="10" s="1"/>
  <c r="I351" i="10" s="1"/>
  <c r="I350" i="10" s="1"/>
  <c r="I349" i="10" s="1"/>
  <c r="I348" i="10" s="1"/>
  <c r="I347" i="10" s="1"/>
  <c r="I346" i="10" s="1"/>
  <c r="I345" i="10" s="1"/>
  <c r="I344" i="10" s="1"/>
  <c r="I343" i="10" s="1"/>
  <c r="I342" i="10" s="1"/>
  <c r="I341" i="10" s="1"/>
  <c r="I340" i="10" s="1"/>
  <c r="I339" i="10" s="1"/>
  <c r="I338" i="10" s="1"/>
  <c r="I337" i="10" s="1"/>
  <c r="I336" i="10" s="1"/>
  <c r="I335" i="10" s="1"/>
  <c r="I334" i="10" s="1"/>
  <c r="I333" i="10" s="1"/>
  <c r="I332" i="10" s="1"/>
  <c r="I331" i="10" s="1"/>
  <c r="I330" i="10" s="1"/>
  <c r="I329" i="10" s="1"/>
  <c r="I328" i="10" s="1"/>
  <c r="I327" i="10" s="1"/>
  <c r="I326" i="10" s="1"/>
  <c r="I325" i="10" s="1"/>
  <c r="I324" i="10" s="1"/>
  <c r="I323" i="10" s="1"/>
  <c r="I322" i="10" s="1"/>
  <c r="I321" i="10" s="1"/>
  <c r="I320" i="10" s="1"/>
  <c r="I319" i="10" s="1"/>
  <c r="I318" i="10" s="1"/>
  <c r="I317" i="10" s="1"/>
  <c r="I316" i="10" s="1"/>
  <c r="I315" i="10" s="1"/>
  <c r="I314" i="10" s="1"/>
  <c r="I313" i="10" s="1"/>
  <c r="I312" i="10" s="1"/>
  <c r="I311" i="10" s="1"/>
  <c r="I310" i="10" s="1"/>
  <c r="I309" i="10" s="1"/>
  <c r="I308" i="10" s="1"/>
  <c r="I307" i="10" s="1"/>
  <c r="I306" i="10" s="1"/>
  <c r="I305" i="10" s="1"/>
  <c r="I304" i="10" s="1"/>
  <c r="I303" i="10" s="1"/>
  <c r="I302" i="10" s="1"/>
  <c r="I301" i="10" s="1"/>
  <c r="I300" i="10" s="1"/>
  <c r="I299" i="10" s="1"/>
  <c r="I298" i="10" s="1"/>
  <c r="I297" i="10" s="1"/>
  <c r="I296" i="10" s="1"/>
  <c r="I295" i="10" s="1"/>
  <c r="I294" i="10" s="1"/>
  <c r="I293" i="10" s="1"/>
  <c r="I292" i="10" s="1"/>
  <c r="I291" i="10" s="1"/>
  <c r="I290" i="10" s="1"/>
  <c r="I289" i="10" s="1"/>
  <c r="I288" i="10" s="1"/>
  <c r="I287" i="10" s="1"/>
  <c r="I286" i="10" s="1"/>
  <c r="I285" i="10" s="1"/>
  <c r="I284" i="10" s="1"/>
  <c r="I283" i="10" s="1"/>
  <c r="I282" i="10" s="1"/>
  <c r="I281" i="10" s="1"/>
  <c r="I280" i="10" s="1"/>
  <c r="I279" i="10" s="1"/>
  <c r="I278" i="10" s="1"/>
  <c r="I277" i="10" s="1"/>
  <c r="I276" i="10" s="1"/>
  <c r="I275" i="10" s="1"/>
  <c r="I274" i="10" s="1"/>
  <c r="I273" i="10" s="1"/>
  <c r="I272" i="10" s="1"/>
  <c r="I271" i="10" s="1"/>
  <c r="I270" i="10" s="1"/>
  <c r="I269" i="10" s="1"/>
  <c r="I268" i="10" s="1"/>
  <c r="I267" i="10" s="1"/>
  <c r="I266" i="10" s="1"/>
  <c r="I265" i="10" s="1"/>
  <c r="I264" i="10" s="1"/>
  <c r="I263" i="10" s="1"/>
  <c r="I262" i="10" s="1"/>
  <c r="I261" i="10" s="1"/>
  <c r="I260" i="10" s="1"/>
  <c r="I259" i="10" s="1"/>
  <c r="I258" i="10" s="1"/>
  <c r="I257" i="10" s="1"/>
  <c r="I256" i="10" s="1"/>
  <c r="I255" i="10" s="1"/>
  <c r="I254" i="10" s="1"/>
  <c r="I253" i="10" s="1"/>
  <c r="I252" i="10" s="1"/>
  <c r="I251" i="10" s="1"/>
  <c r="I250" i="10" s="1"/>
  <c r="I249" i="10" s="1"/>
  <c r="I248" i="10" s="1"/>
  <c r="I247" i="10" s="1"/>
  <c r="I246" i="10" s="1"/>
  <c r="I245" i="10" s="1"/>
  <c r="I244" i="10" s="1"/>
  <c r="I243" i="10" s="1"/>
  <c r="I242" i="10" s="1"/>
  <c r="I241" i="10" s="1"/>
  <c r="I240" i="10" s="1"/>
  <c r="I239" i="10" s="1"/>
  <c r="I238" i="10" s="1"/>
  <c r="I237" i="10" s="1"/>
  <c r="I236" i="10" s="1"/>
  <c r="I235" i="10" s="1"/>
  <c r="I234" i="10" s="1"/>
  <c r="I233" i="10" s="1"/>
  <c r="I232" i="10" s="1"/>
  <c r="I231" i="10" s="1"/>
  <c r="I230" i="10" s="1"/>
  <c r="I229" i="10" s="1"/>
  <c r="I228" i="10" s="1"/>
  <c r="I227" i="10" s="1"/>
  <c r="I226" i="10" s="1"/>
  <c r="I225" i="10" s="1"/>
  <c r="I224" i="10" s="1"/>
  <c r="I223" i="10" s="1"/>
  <c r="I222" i="10" s="1"/>
  <c r="I221" i="10" s="1"/>
  <c r="I220" i="10" s="1"/>
  <c r="I219" i="10" s="1"/>
  <c r="I218" i="10" s="1"/>
  <c r="I217" i="10" s="1"/>
  <c r="I216" i="10" s="1"/>
  <c r="I215" i="10" s="1"/>
  <c r="I214" i="10" s="1"/>
  <c r="I213" i="10" s="1"/>
  <c r="I212" i="10" s="1"/>
  <c r="I211" i="10" s="1"/>
  <c r="I210" i="10" s="1"/>
  <c r="I209" i="10" s="1"/>
  <c r="I208" i="10" s="1"/>
  <c r="I207" i="10" s="1"/>
  <c r="I206" i="10" s="1"/>
  <c r="I205" i="10" s="1"/>
  <c r="I204" i="10" s="1"/>
  <c r="I203" i="10" s="1"/>
  <c r="I202" i="10" s="1"/>
  <c r="I201" i="10" s="1"/>
  <c r="I200" i="10" s="1"/>
  <c r="I199" i="10" s="1"/>
  <c r="I198" i="10" s="1"/>
  <c r="I197" i="10" s="1"/>
  <c r="I196" i="10" s="1"/>
  <c r="I195" i="10" s="1"/>
  <c r="I194" i="10" s="1"/>
  <c r="I193" i="10" s="1"/>
  <c r="I192" i="10" s="1"/>
  <c r="I191" i="10" s="1"/>
  <c r="I190" i="10" s="1"/>
  <c r="I189" i="10" s="1"/>
  <c r="I188" i="10" s="1"/>
  <c r="I187" i="10" s="1"/>
  <c r="I186" i="10" s="1"/>
  <c r="I185" i="10" s="1"/>
  <c r="I184" i="10" s="1"/>
  <c r="I183" i="10" s="1"/>
  <c r="I182" i="10" s="1"/>
  <c r="I181" i="10" s="1"/>
  <c r="I180" i="10" s="1"/>
  <c r="I179" i="10" s="1"/>
  <c r="I178" i="10" s="1"/>
  <c r="I177" i="10" s="1"/>
  <c r="I176" i="10" s="1"/>
  <c r="I175" i="10" s="1"/>
  <c r="I174" i="10" s="1"/>
  <c r="I173" i="10" s="1"/>
  <c r="I172" i="10" s="1"/>
  <c r="I171" i="10" s="1"/>
  <c r="I170" i="10" s="1"/>
  <c r="I169" i="10" s="1"/>
  <c r="I168" i="10" s="1"/>
  <c r="I167" i="10" s="1"/>
  <c r="I166" i="10" s="1"/>
  <c r="I165" i="10" s="1"/>
  <c r="I164" i="10" s="1"/>
  <c r="I163" i="10" s="1"/>
  <c r="I162" i="10" s="1"/>
  <c r="I161" i="10" s="1"/>
  <c r="I160" i="10" s="1"/>
  <c r="I159" i="10" s="1"/>
  <c r="I158" i="10" s="1"/>
  <c r="I157" i="10" s="1"/>
  <c r="I156" i="10" s="1"/>
  <c r="I155" i="10" s="1"/>
  <c r="I154" i="10" s="1"/>
  <c r="I153" i="10" s="1"/>
  <c r="I152" i="10" s="1"/>
  <c r="I151" i="10" s="1"/>
  <c r="I150" i="10" s="1"/>
  <c r="I149" i="10" s="1"/>
  <c r="I148" i="10" s="1"/>
  <c r="I147" i="10" s="1"/>
  <c r="I146" i="10" s="1"/>
  <c r="I145" i="10" s="1"/>
  <c r="I144" i="10" s="1"/>
  <c r="I143" i="10" s="1"/>
  <c r="I142" i="10" s="1"/>
  <c r="I141" i="10" s="1"/>
  <c r="I140" i="10" s="1"/>
  <c r="I139" i="10" s="1"/>
  <c r="I138" i="10" s="1"/>
  <c r="I137" i="10" s="1"/>
  <c r="I136" i="10" s="1"/>
  <c r="I135" i="10" s="1"/>
  <c r="I134" i="10" s="1"/>
  <c r="I133" i="10" s="1"/>
  <c r="I132" i="10" s="1"/>
  <c r="I131" i="10" s="1"/>
  <c r="I130" i="10" s="1"/>
  <c r="I129" i="10" s="1"/>
  <c r="I128" i="10" s="1"/>
  <c r="I127" i="10" s="1"/>
  <c r="I126" i="10" s="1"/>
  <c r="I125" i="10" s="1"/>
  <c r="I124" i="10" s="1"/>
  <c r="I123" i="10" s="1"/>
  <c r="I122" i="10" s="1"/>
  <c r="I121" i="10" s="1"/>
  <c r="I120" i="10" s="1"/>
  <c r="I119" i="10" s="1"/>
  <c r="I118" i="10" s="1"/>
  <c r="I117" i="10" s="1"/>
  <c r="I116" i="10" s="1"/>
  <c r="I115" i="10" s="1"/>
  <c r="I114" i="10" s="1"/>
  <c r="I113" i="10" s="1"/>
  <c r="I112" i="10" s="1"/>
  <c r="I111" i="10" s="1"/>
  <c r="I110" i="10" s="1"/>
  <c r="I109" i="10" s="1"/>
  <c r="I108" i="10" s="1"/>
  <c r="I107" i="10" s="1"/>
  <c r="I106" i="10" s="1"/>
  <c r="I105" i="10" s="1"/>
  <c r="I104" i="10" s="1"/>
  <c r="I103" i="10" s="1"/>
  <c r="I102" i="10" s="1"/>
  <c r="I101" i="10" s="1"/>
  <c r="I100" i="10" s="1"/>
  <c r="I99" i="10" s="1"/>
  <c r="I98" i="10" s="1"/>
  <c r="I97" i="10" s="1"/>
  <c r="I96" i="10" s="1"/>
  <c r="I95" i="10" s="1"/>
  <c r="I94" i="10" s="1"/>
  <c r="I93" i="10" s="1"/>
  <c r="I92" i="10" s="1"/>
  <c r="I91" i="10" s="1"/>
  <c r="I90" i="10" s="1"/>
  <c r="I89" i="10" s="1"/>
  <c r="I88" i="10" s="1"/>
  <c r="I87" i="10" s="1"/>
  <c r="I86" i="10" s="1"/>
  <c r="I85" i="10" s="1"/>
  <c r="I84" i="10" s="1"/>
  <c r="I83" i="10" s="1"/>
  <c r="I82" i="10" s="1"/>
  <c r="I81" i="10" s="1"/>
  <c r="I80" i="10" s="1"/>
  <c r="I79" i="10" s="1"/>
  <c r="I78" i="10" s="1"/>
  <c r="I77" i="10" s="1"/>
  <c r="I76" i="10" s="1"/>
  <c r="I75" i="10" s="1"/>
  <c r="I74" i="10" s="1"/>
  <c r="I73" i="10" s="1"/>
  <c r="I72" i="10" s="1"/>
  <c r="I71" i="10" s="1"/>
  <c r="I70" i="10" s="1"/>
  <c r="I69" i="10" s="1"/>
  <c r="I68" i="10" s="1"/>
  <c r="I67" i="10" s="1"/>
  <c r="I66" i="10" s="1"/>
  <c r="I65" i="10" s="1"/>
  <c r="I64" i="10" s="1"/>
  <c r="I63" i="10" s="1"/>
  <c r="I62" i="10" s="1"/>
  <c r="I61" i="10" s="1"/>
  <c r="I60" i="10" s="1"/>
  <c r="I59" i="10" s="1"/>
  <c r="I58" i="10" s="1"/>
  <c r="I57" i="10" s="1"/>
  <c r="I56" i="10" s="1"/>
  <c r="I55" i="10" s="1"/>
  <c r="I54" i="10" s="1"/>
  <c r="I53" i="10" s="1"/>
  <c r="I52" i="10" s="1"/>
  <c r="I51" i="10" s="1"/>
  <c r="I50" i="10" s="1"/>
  <c r="I49" i="10" s="1"/>
  <c r="I48" i="10" s="1"/>
  <c r="I47" i="10" s="1"/>
  <c r="I46" i="10" s="1"/>
  <c r="I45" i="10" s="1"/>
  <c r="I44" i="10" s="1"/>
  <c r="I43" i="10" s="1"/>
  <c r="I42" i="10" s="1"/>
  <c r="I41" i="10" s="1"/>
  <c r="I40" i="10" s="1"/>
  <c r="I39" i="10" s="1"/>
  <c r="I38" i="10" s="1"/>
  <c r="I37" i="10" s="1"/>
  <c r="I36" i="10" s="1"/>
  <c r="I35" i="10" s="1"/>
  <c r="I34" i="10" s="1"/>
  <c r="I33" i="10" s="1"/>
  <c r="I32" i="10" s="1"/>
  <c r="I31" i="10" s="1"/>
  <c r="I30" i="10" s="1"/>
  <c r="I29" i="10" s="1"/>
  <c r="I28" i="10" s="1"/>
  <c r="I27" i="10" s="1"/>
  <c r="I26" i="10" s="1"/>
  <c r="I25" i="10" s="1"/>
  <c r="I24" i="10" s="1"/>
  <c r="J1499" i="10"/>
  <c r="J1498" i="10" s="1"/>
  <c r="J1497" i="10" s="1"/>
  <c r="J1496" i="10" s="1"/>
  <c r="J1495" i="10" s="1"/>
  <c r="J1494" i="10" s="1"/>
  <c r="J1493" i="10" s="1"/>
  <c r="J1492" i="10" s="1"/>
  <c r="J1491" i="10" s="1"/>
  <c r="J1490" i="10" s="1"/>
  <c r="J1489" i="10" s="1"/>
  <c r="J1488" i="10" s="1"/>
  <c r="J1487" i="10" s="1"/>
  <c r="J1486" i="10" s="1"/>
  <c r="J1485" i="10" s="1"/>
  <c r="J1484" i="10" s="1"/>
  <c r="J1483" i="10" s="1"/>
  <c r="J1482" i="10" s="1"/>
  <c r="J1481" i="10" s="1"/>
  <c r="J1480" i="10" s="1"/>
  <c r="J1479" i="10" s="1"/>
  <c r="J1478" i="10" s="1"/>
  <c r="J1477" i="10" s="1"/>
  <c r="J1476" i="10" s="1"/>
  <c r="J1475" i="10" s="1"/>
  <c r="J1474" i="10" s="1"/>
  <c r="J1473" i="10" s="1"/>
  <c r="J1472" i="10" s="1"/>
  <c r="J1471" i="10" s="1"/>
  <c r="J1470" i="10" s="1"/>
  <c r="J1469" i="10" s="1"/>
  <c r="J1468" i="10" s="1"/>
  <c r="J1467" i="10" s="1"/>
  <c r="J1466" i="10" s="1"/>
  <c r="J1465" i="10" s="1"/>
  <c r="J1464" i="10" s="1"/>
  <c r="J1463" i="10" s="1"/>
  <c r="J1462" i="10" s="1"/>
  <c r="J1461" i="10" s="1"/>
  <c r="J1460" i="10" s="1"/>
  <c r="J1459" i="10" s="1"/>
  <c r="J1458" i="10" s="1"/>
  <c r="J1457" i="10" s="1"/>
  <c r="J1456" i="10" s="1"/>
  <c r="J1455" i="10" s="1"/>
  <c r="J1454" i="10" s="1"/>
  <c r="J1453" i="10" s="1"/>
  <c r="J1452" i="10" s="1"/>
  <c r="J1451" i="10" s="1"/>
  <c r="J1450" i="10" s="1"/>
  <c r="J1449" i="10" s="1"/>
  <c r="J1448" i="10" s="1"/>
  <c r="J1447" i="10" s="1"/>
  <c r="J1446" i="10" s="1"/>
  <c r="J1445" i="10" s="1"/>
  <c r="J1444" i="10" s="1"/>
  <c r="J1443" i="10" s="1"/>
  <c r="J1442" i="10" s="1"/>
  <c r="J1441" i="10" s="1"/>
  <c r="J1440" i="10" s="1"/>
  <c r="J1439" i="10" s="1"/>
  <c r="J1438" i="10" s="1"/>
  <c r="J1437" i="10" s="1"/>
  <c r="J1436" i="10" s="1"/>
  <c r="J1435" i="10" s="1"/>
  <c r="J1434" i="10" s="1"/>
  <c r="J1433" i="10" s="1"/>
  <c r="J1432" i="10" s="1"/>
  <c r="J1431" i="10" s="1"/>
  <c r="J1430" i="10" s="1"/>
  <c r="J1429" i="10" s="1"/>
  <c r="J1428" i="10" s="1"/>
  <c r="J1427" i="10" s="1"/>
  <c r="J1426" i="10" s="1"/>
  <c r="J1425" i="10" s="1"/>
  <c r="J1424" i="10" s="1"/>
  <c r="J1423" i="10" s="1"/>
  <c r="J1422" i="10" s="1"/>
  <c r="J1421" i="10" s="1"/>
  <c r="J1420" i="10" s="1"/>
  <c r="J1419" i="10" s="1"/>
  <c r="J1418" i="10" s="1"/>
  <c r="J1417" i="10" s="1"/>
  <c r="J1416" i="10" s="1"/>
  <c r="J1415" i="10" s="1"/>
  <c r="J1414" i="10" s="1"/>
  <c r="J1413" i="10" s="1"/>
  <c r="J1412" i="10" s="1"/>
  <c r="J1411" i="10" s="1"/>
  <c r="J1410" i="10" s="1"/>
  <c r="J1409" i="10" s="1"/>
  <c r="J1408" i="10" s="1"/>
  <c r="J1407" i="10" s="1"/>
  <c r="J1406" i="10" s="1"/>
  <c r="J1405" i="10" s="1"/>
  <c r="J1404" i="10" s="1"/>
  <c r="J1403" i="10" s="1"/>
  <c r="J1402" i="10" s="1"/>
  <c r="J1401" i="10" s="1"/>
  <c r="J1400" i="10" s="1"/>
  <c r="J1399" i="10" s="1"/>
  <c r="J1398" i="10" s="1"/>
  <c r="J1397" i="10" s="1"/>
  <c r="J1396" i="10" s="1"/>
  <c r="J1395" i="10" s="1"/>
  <c r="J1394" i="10" s="1"/>
  <c r="J1393" i="10" s="1"/>
  <c r="J1392" i="10" s="1"/>
  <c r="J1391" i="10" s="1"/>
  <c r="J1390" i="10" s="1"/>
  <c r="J1389" i="10" s="1"/>
  <c r="J1388" i="10" s="1"/>
  <c r="J1387" i="10" s="1"/>
  <c r="J1386" i="10" s="1"/>
  <c r="J1385" i="10" s="1"/>
  <c r="J1384" i="10" s="1"/>
  <c r="J1383" i="10" s="1"/>
  <c r="J1382" i="10" s="1"/>
  <c r="J1381" i="10" s="1"/>
  <c r="J1380" i="10" s="1"/>
  <c r="J1379" i="10" s="1"/>
  <c r="J1378" i="10" s="1"/>
  <c r="J1377" i="10" s="1"/>
  <c r="J1376" i="10" s="1"/>
  <c r="J1375" i="10" s="1"/>
  <c r="J1374" i="10" s="1"/>
  <c r="J1373" i="10" s="1"/>
  <c r="J1372" i="10" s="1"/>
  <c r="J1371" i="10" s="1"/>
  <c r="J1370" i="10" s="1"/>
  <c r="J1369" i="10" s="1"/>
  <c r="J1368" i="10" s="1"/>
  <c r="J1367" i="10" s="1"/>
  <c r="J1366" i="10" s="1"/>
  <c r="J1365" i="10" s="1"/>
  <c r="J1364" i="10" s="1"/>
  <c r="J1363" i="10" s="1"/>
  <c r="J1362" i="10" s="1"/>
  <c r="J1361" i="10" s="1"/>
  <c r="J1360" i="10" s="1"/>
  <c r="J1359" i="10" s="1"/>
  <c r="J1358" i="10" s="1"/>
  <c r="J1357" i="10" s="1"/>
  <c r="J1356" i="10" s="1"/>
  <c r="J1355" i="10" s="1"/>
  <c r="J1354" i="10" s="1"/>
  <c r="J1353" i="10" s="1"/>
  <c r="J1352" i="10" s="1"/>
  <c r="J1351" i="10" s="1"/>
  <c r="J1350" i="10" s="1"/>
  <c r="J1349" i="10" s="1"/>
  <c r="J1348" i="10" s="1"/>
  <c r="J1347" i="10" s="1"/>
  <c r="J1346" i="10" s="1"/>
  <c r="J1345" i="10" s="1"/>
  <c r="J1344" i="10" s="1"/>
  <c r="J1343" i="10" s="1"/>
  <c r="J1342" i="10" s="1"/>
  <c r="J1341" i="10" s="1"/>
  <c r="J1340" i="10" s="1"/>
  <c r="J1339" i="10" s="1"/>
  <c r="J1338" i="10" s="1"/>
  <c r="J1337" i="10" s="1"/>
  <c r="J1336" i="10" s="1"/>
  <c r="J1335" i="10" s="1"/>
  <c r="J1334" i="10" s="1"/>
  <c r="J1333" i="10" s="1"/>
  <c r="J1332" i="10" s="1"/>
  <c r="J1331" i="10" s="1"/>
  <c r="J1330" i="10" s="1"/>
  <c r="J1329" i="10" s="1"/>
  <c r="J1328" i="10" s="1"/>
  <c r="J1327" i="10" s="1"/>
  <c r="J1326" i="10" s="1"/>
  <c r="J1325" i="10" s="1"/>
  <c r="J1324" i="10" s="1"/>
  <c r="J1323" i="10" s="1"/>
  <c r="J1322" i="10" s="1"/>
  <c r="J1321" i="10" s="1"/>
  <c r="J1320" i="10" s="1"/>
  <c r="J1319" i="10" s="1"/>
  <c r="J1318" i="10" s="1"/>
  <c r="J1317" i="10" s="1"/>
  <c r="J1316" i="10" s="1"/>
  <c r="J1315" i="10" s="1"/>
  <c r="J1314" i="10" s="1"/>
  <c r="J1313" i="10" s="1"/>
  <c r="J1312" i="10" s="1"/>
  <c r="J1311" i="10" s="1"/>
  <c r="J1310" i="10" s="1"/>
  <c r="J1309" i="10" s="1"/>
  <c r="J1308" i="10" s="1"/>
  <c r="J1307" i="10" s="1"/>
  <c r="J1306" i="10" s="1"/>
  <c r="J1305" i="10" s="1"/>
  <c r="J1304" i="10" s="1"/>
  <c r="J1303" i="10" s="1"/>
  <c r="J1302" i="10" s="1"/>
  <c r="J1301" i="10" s="1"/>
  <c r="J1300" i="10" s="1"/>
  <c r="J1299" i="10" s="1"/>
  <c r="J1298" i="10" s="1"/>
  <c r="J1297" i="10" s="1"/>
  <c r="J1296" i="10" s="1"/>
  <c r="J1295" i="10" s="1"/>
  <c r="J1294" i="10" s="1"/>
  <c r="J1293" i="10" s="1"/>
  <c r="J1292" i="10" s="1"/>
  <c r="J1291" i="10" s="1"/>
  <c r="J1290" i="10" s="1"/>
  <c r="J1289" i="10" s="1"/>
  <c r="J1288" i="10" s="1"/>
  <c r="J1287" i="10" s="1"/>
  <c r="J1286" i="10" s="1"/>
  <c r="J1285" i="10" s="1"/>
  <c r="J1284" i="10" s="1"/>
  <c r="J1283" i="10" s="1"/>
  <c r="J1282" i="10" s="1"/>
  <c r="J1281" i="10" s="1"/>
  <c r="J1280" i="10" s="1"/>
  <c r="J1279" i="10" s="1"/>
  <c r="J1278" i="10" s="1"/>
  <c r="J1277" i="10" s="1"/>
  <c r="J1276" i="10" s="1"/>
  <c r="J1275" i="10" s="1"/>
  <c r="J1274" i="10" s="1"/>
  <c r="J1273" i="10" s="1"/>
  <c r="J1272" i="10" s="1"/>
  <c r="J1271" i="10" s="1"/>
  <c r="J1270" i="10" s="1"/>
  <c r="J1269" i="10" s="1"/>
  <c r="J1268" i="10" s="1"/>
  <c r="J1267" i="10" s="1"/>
  <c r="J1266" i="10" s="1"/>
  <c r="J1265" i="10" s="1"/>
  <c r="J1264" i="10" s="1"/>
  <c r="J1263" i="10" s="1"/>
  <c r="J1262" i="10" s="1"/>
  <c r="J1261" i="10" s="1"/>
  <c r="J1260" i="10" s="1"/>
  <c r="J1259" i="10" s="1"/>
  <c r="J1258" i="10" s="1"/>
  <c r="J1257" i="10" s="1"/>
  <c r="J1256" i="10" s="1"/>
  <c r="J1255" i="10" s="1"/>
  <c r="J1254" i="10" s="1"/>
  <c r="J1253" i="10" s="1"/>
  <c r="J1252" i="10" s="1"/>
  <c r="J1251" i="10" s="1"/>
  <c r="J1250" i="10" s="1"/>
  <c r="J1249" i="10" s="1"/>
  <c r="J1248" i="10" s="1"/>
  <c r="J1247" i="10" s="1"/>
  <c r="J1246" i="10" s="1"/>
  <c r="J1245" i="10" s="1"/>
  <c r="J1244" i="10" s="1"/>
  <c r="J1243" i="10" s="1"/>
  <c r="J1242" i="10" s="1"/>
  <c r="J1241" i="10" s="1"/>
  <c r="J1240" i="10" s="1"/>
  <c r="J1239" i="10" s="1"/>
  <c r="J1238" i="10" s="1"/>
  <c r="J1237" i="10" s="1"/>
  <c r="J1236" i="10" s="1"/>
  <c r="J1235" i="10" s="1"/>
  <c r="J1234" i="10" s="1"/>
  <c r="J1233" i="10" s="1"/>
  <c r="J1232" i="10" s="1"/>
  <c r="J1231" i="10" s="1"/>
  <c r="J1230" i="10" s="1"/>
  <c r="J1229" i="10" s="1"/>
  <c r="J1228" i="10" s="1"/>
  <c r="J1227" i="10" s="1"/>
  <c r="J1226" i="10" s="1"/>
  <c r="J1225" i="10" s="1"/>
  <c r="J1224" i="10" s="1"/>
  <c r="J1223" i="10" s="1"/>
  <c r="J1222" i="10" s="1"/>
  <c r="J1221" i="10" s="1"/>
  <c r="J1220" i="10" s="1"/>
  <c r="J1219" i="10" s="1"/>
  <c r="J1218" i="10" s="1"/>
  <c r="J1217" i="10" s="1"/>
  <c r="J1216" i="10" s="1"/>
  <c r="J1215" i="10" s="1"/>
  <c r="J1214" i="10" s="1"/>
  <c r="J1213" i="10" s="1"/>
  <c r="J1212" i="10" s="1"/>
  <c r="J1211" i="10" s="1"/>
  <c r="J1210" i="10" s="1"/>
  <c r="J1209" i="10" s="1"/>
  <c r="J1208" i="10" s="1"/>
  <c r="J1207" i="10" s="1"/>
  <c r="J1206" i="10" s="1"/>
  <c r="J1205" i="10" s="1"/>
  <c r="J1204" i="10" s="1"/>
  <c r="J1203" i="10" s="1"/>
  <c r="J1202" i="10" s="1"/>
  <c r="J1201" i="10" s="1"/>
  <c r="J1200" i="10" s="1"/>
  <c r="J1199" i="10" s="1"/>
  <c r="J1198" i="10" s="1"/>
  <c r="J1197" i="10" s="1"/>
  <c r="J1196" i="10" s="1"/>
  <c r="J1195" i="10" s="1"/>
  <c r="J1194" i="10" s="1"/>
  <c r="J1193" i="10" s="1"/>
  <c r="J1192" i="10" s="1"/>
  <c r="J1191" i="10" s="1"/>
  <c r="J1190" i="10" s="1"/>
  <c r="J1189" i="10" s="1"/>
  <c r="J1188" i="10" s="1"/>
  <c r="J1187" i="10" s="1"/>
  <c r="J1186" i="10" s="1"/>
  <c r="J1185" i="10" s="1"/>
  <c r="J1184" i="10" s="1"/>
  <c r="J1183" i="10" s="1"/>
  <c r="J1182" i="10" s="1"/>
  <c r="J1181" i="10" s="1"/>
  <c r="J1180" i="10" s="1"/>
  <c r="J1179" i="10" s="1"/>
  <c r="J1178" i="10" s="1"/>
  <c r="J1177" i="10" s="1"/>
  <c r="J1176" i="10" s="1"/>
  <c r="J1175" i="10" s="1"/>
  <c r="J1174" i="10" s="1"/>
  <c r="J1173" i="10" s="1"/>
  <c r="J1172" i="10" s="1"/>
  <c r="J1171" i="10" s="1"/>
  <c r="J1170" i="10" s="1"/>
  <c r="J1169" i="10" s="1"/>
  <c r="J1168" i="10" s="1"/>
  <c r="J1167" i="10" s="1"/>
  <c r="J1166" i="10" s="1"/>
  <c r="J1165" i="10" s="1"/>
  <c r="J1164" i="10" s="1"/>
  <c r="J1163" i="10" s="1"/>
  <c r="J1162" i="10" s="1"/>
  <c r="J1161" i="10" s="1"/>
  <c r="J1160" i="10" s="1"/>
  <c r="J1159" i="10" s="1"/>
  <c r="J1158" i="10" s="1"/>
  <c r="J1157" i="10" s="1"/>
  <c r="J1156" i="10" s="1"/>
  <c r="J1155" i="10" s="1"/>
  <c r="J1154" i="10" s="1"/>
  <c r="J1153" i="10" s="1"/>
  <c r="J1152" i="10" s="1"/>
  <c r="J1151" i="10" s="1"/>
  <c r="J1150" i="10" s="1"/>
  <c r="J1149" i="10" s="1"/>
  <c r="J1148" i="10" s="1"/>
  <c r="J1147" i="10" s="1"/>
  <c r="J1146" i="10" s="1"/>
  <c r="J1145" i="10" s="1"/>
  <c r="J1144" i="10" s="1"/>
  <c r="J1143" i="10" s="1"/>
  <c r="J1142" i="10" s="1"/>
  <c r="J1141" i="10" s="1"/>
  <c r="J1140" i="10" s="1"/>
  <c r="J1139" i="10" s="1"/>
  <c r="J1138" i="10" s="1"/>
  <c r="J1137" i="10" s="1"/>
  <c r="J1136" i="10" s="1"/>
  <c r="J1135" i="10" s="1"/>
  <c r="J1134" i="10" s="1"/>
  <c r="J1133" i="10" s="1"/>
  <c r="J1132" i="10" s="1"/>
  <c r="J1131" i="10" s="1"/>
  <c r="J1130" i="10" s="1"/>
  <c r="J1129" i="10" s="1"/>
  <c r="J1128" i="10" s="1"/>
  <c r="J1127" i="10" s="1"/>
  <c r="J1126" i="10" s="1"/>
  <c r="J1125" i="10" s="1"/>
  <c r="J1124" i="10" s="1"/>
  <c r="J1123" i="10" s="1"/>
  <c r="J1122" i="10" s="1"/>
  <c r="J1121" i="10" s="1"/>
  <c r="J1120" i="10" s="1"/>
  <c r="J1119" i="10" s="1"/>
  <c r="J1118" i="10" s="1"/>
  <c r="J1117" i="10" s="1"/>
  <c r="J1116" i="10" s="1"/>
  <c r="J1115" i="10" s="1"/>
  <c r="J1114" i="10" s="1"/>
  <c r="J1113" i="10" s="1"/>
  <c r="J1112" i="10" s="1"/>
  <c r="J1111" i="10" s="1"/>
  <c r="J1110" i="10" s="1"/>
  <c r="J1109" i="10" s="1"/>
  <c r="J1108" i="10" s="1"/>
  <c r="J1107" i="10" s="1"/>
  <c r="J1106" i="10" s="1"/>
  <c r="J1105" i="10" s="1"/>
  <c r="J1104" i="10" s="1"/>
  <c r="J1103" i="10" s="1"/>
  <c r="J1102" i="10" s="1"/>
  <c r="J1101" i="10" s="1"/>
  <c r="J1100" i="10" s="1"/>
  <c r="J1099" i="10" s="1"/>
  <c r="J1098" i="10" s="1"/>
  <c r="J1097" i="10" s="1"/>
  <c r="J1096" i="10" s="1"/>
  <c r="J1095" i="10" s="1"/>
  <c r="J1094" i="10" s="1"/>
  <c r="J1093" i="10" s="1"/>
  <c r="J1092" i="10" s="1"/>
  <c r="J1091" i="10" s="1"/>
  <c r="J1090" i="10" s="1"/>
  <c r="J1089" i="10" s="1"/>
  <c r="J1088" i="10" s="1"/>
  <c r="J1087" i="10" s="1"/>
  <c r="J1086" i="10" s="1"/>
  <c r="J1085" i="10" s="1"/>
  <c r="J1084" i="10" s="1"/>
  <c r="J1083" i="10" s="1"/>
  <c r="J1082" i="10" s="1"/>
  <c r="J1081" i="10" s="1"/>
  <c r="J1080" i="10" s="1"/>
  <c r="J1079" i="10" s="1"/>
  <c r="J1078" i="10" s="1"/>
  <c r="J1077" i="10" s="1"/>
  <c r="J1076" i="10" s="1"/>
  <c r="J1075" i="10" s="1"/>
  <c r="J1074" i="10" s="1"/>
  <c r="J1073" i="10" s="1"/>
  <c r="J1072" i="10" s="1"/>
  <c r="J1071" i="10" s="1"/>
  <c r="J1070" i="10" s="1"/>
  <c r="J1069" i="10" s="1"/>
  <c r="J1068" i="10" s="1"/>
  <c r="J1067" i="10" s="1"/>
  <c r="J1066" i="10" s="1"/>
  <c r="J1065" i="10" s="1"/>
  <c r="J1064" i="10" s="1"/>
  <c r="J1063" i="10" s="1"/>
  <c r="J1062" i="10" s="1"/>
  <c r="J1061" i="10" s="1"/>
  <c r="J1060" i="10" s="1"/>
  <c r="J1059" i="10" s="1"/>
  <c r="J1058" i="10" s="1"/>
  <c r="J1057" i="10" s="1"/>
  <c r="J1056" i="10" s="1"/>
  <c r="J1055" i="10" s="1"/>
  <c r="J1054" i="10" s="1"/>
  <c r="J1053" i="10" s="1"/>
  <c r="J1052" i="10" s="1"/>
  <c r="J1051" i="10" s="1"/>
  <c r="J1050" i="10" s="1"/>
  <c r="J1049" i="10" s="1"/>
  <c r="J1048" i="10" s="1"/>
  <c r="J1047" i="10" s="1"/>
  <c r="J1046" i="10" s="1"/>
  <c r="J1045" i="10" s="1"/>
  <c r="J1044" i="10" s="1"/>
  <c r="J1043" i="10" s="1"/>
  <c r="J1042" i="10" s="1"/>
  <c r="J1041" i="10" s="1"/>
  <c r="J1040" i="10" s="1"/>
  <c r="J1039" i="10" s="1"/>
  <c r="J1038" i="10" s="1"/>
  <c r="J1037" i="10" s="1"/>
  <c r="J1036" i="10" s="1"/>
  <c r="J1035" i="10" s="1"/>
  <c r="J1034" i="10" s="1"/>
  <c r="J1033" i="10" s="1"/>
  <c r="J1032" i="10" s="1"/>
  <c r="J1031" i="10" s="1"/>
  <c r="J1030" i="10" s="1"/>
  <c r="J1029" i="10" s="1"/>
  <c r="J1028" i="10" s="1"/>
  <c r="J1027" i="10" s="1"/>
  <c r="J1026" i="10" s="1"/>
  <c r="J1025" i="10" s="1"/>
  <c r="J1024" i="10" s="1"/>
  <c r="J1023" i="10" s="1"/>
  <c r="J1022" i="10" s="1"/>
  <c r="J1021" i="10" s="1"/>
  <c r="J1020" i="10" s="1"/>
  <c r="J1019" i="10" s="1"/>
  <c r="J1018" i="10" s="1"/>
  <c r="J1017" i="10" s="1"/>
  <c r="J1016" i="10" s="1"/>
  <c r="J1015" i="10" s="1"/>
  <c r="J1014" i="10" s="1"/>
  <c r="J1013" i="10" s="1"/>
  <c r="J1012" i="10" s="1"/>
  <c r="J1011" i="10" s="1"/>
  <c r="J1010" i="10" s="1"/>
  <c r="J1009" i="10" s="1"/>
  <c r="J1008" i="10" s="1"/>
  <c r="J1007" i="10" s="1"/>
  <c r="J1006" i="10" s="1"/>
  <c r="J1005" i="10" s="1"/>
  <c r="J1004" i="10" s="1"/>
  <c r="J1003" i="10" s="1"/>
  <c r="J1002" i="10" s="1"/>
  <c r="J1001" i="10" s="1"/>
  <c r="J1000" i="10" s="1"/>
  <c r="J999" i="10" s="1"/>
  <c r="J998" i="10" s="1"/>
  <c r="J997" i="10" s="1"/>
  <c r="J996" i="10" s="1"/>
  <c r="J995" i="10" s="1"/>
  <c r="J994" i="10" s="1"/>
  <c r="J993" i="10" s="1"/>
  <c r="J992" i="10" s="1"/>
  <c r="J991" i="10" s="1"/>
  <c r="J990" i="10" s="1"/>
  <c r="J989" i="10" s="1"/>
  <c r="J988" i="10" s="1"/>
  <c r="J987" i="10" s="1"/>
  <c r="J986" i="10" s="1"/>
  <c r="J985" i="10" s="1"/>
  <c r="J984" i="10" s="1"/>
  <c r="J983" i="10" s="1"/>
  <c r="J982" i="10" s="1"/>
  <c r="J981" i="10" s="1"/>
  <c r="J980" i="10" s="1"/>
  <c r="J979" i="10" s="1"/>
  <c r="J978" i="10" s="1"/>
  <c r="J977" i="10" s="1"/>
  <c r="J976" i="10" s="1"/>
  <c r="J975" i="10" s="1"/>
  <c r="J974" i="10" s="1"/>
  <c r="J973" i="10" s="1"/>
  <c r="J972" i="10" s="1"/>
  <c r="J971" i="10" s="1"/>
  <c r="J970" i="10" s="1"/>
  <c r="J969" i="10" s="1"/>
  <c r="J968" i="10" s="1"/>
  <c r="J967" i="10" s="1"/>
  <c r="J966" i="10" s="1"/>
  <c r="J965" i="10" s="1"/>
  <c r="J964" i="10" s="1"/>
  <c r="J963" i="10" s="1"/>
  <c r="J962" i="10" s="1"/>
  <c r="J961" i="10" s="1"/>
  <c r="J960" i="10" s="1"/>
  <c r="J959" i="10" s="1"/>
  <c r="J958" i="10" s="1"/>
  <c r="J957" i="10" s="1"/>
  <c r="J956" i="10" s="1"/>
  <c r="J955" i="10" s="1"/>
  <c r="J954" i="10" s="1"/>
  <c r="J953" i="10" s="1"/>
  <c r="J952" i="10" s="1"/>
  <c r="J951" i="10" s="1"/>
  <c r="J950" i="10" s="1"/>
  <c r="J949" i="10" s="1"/>
  <c r="J948" i="10" s="1"/>
  <c r="J947" i="10" s="1"/>
  <c r="J946" i="10" s="1"/>
  <c r="J945" i="10" s="1"/>
  <c r="J944" i="10" s="1"/>
  <c r="J943" i="10" s="1"/>
  <c r="J942" i="10" s="1"/>
  <c r="J941" i="10" s="1"/>
  <c r="J940" i="10" s="1"/>
  <c r="J939" i="10" s="1"/>
  <c r="J938" i="10" s="1"/>
  <c r="J937" i="10" s="1"/>
  <c r="J936" i="10" s="1"/>
  <c r="J935" i="10" s="1"/>
  <c r="J934" i="10" s="1"/>
  <c r="J933" i="10" s="1"/>
  <c r="J932" i="10" s="1"/>
  <c r="J931" i="10" s="1"/>
  <c r="J930" i="10" s="1"/>
  <c r="J929" i="10" s="1"/>
  <c r="J928" i="10" s="1"/>
  <c r="J927" i="10" s="1"/>
  <c r="J926" i="10" s="1"/>
  <c r="J925" i="10" s="1"/>
  <c r="J924" i="10" s="1"/>
  <c r="J923" i="10" s="1"/>
  <c r="J922" i="10" s="1"/>
  <c r="J921" i="10" s="1"/>
  <c r="J920" i="10" s="1"/>
  <c r="J919" i="10" s="1"/>
  <c r="J918" i="10" s="1"/>
  <c r="J917" i="10" s="1"/>
  <c r="J916" i="10" s="1"/>
  <c r="J915" i="10" s="1"/>
  <c r="J914" i="10" s="1"/>
  <c r="J913" i="10" s="1"/>
  <c r="J912" i="10" s="1"/>
  <c r="J911" i="10" s="1"/>
  <c r="J910" i="10" s="1"/>
  <c r="J909" i="10" s="1"/>
  <c r="J908" i="10" s="1"/>
  <c r="J907" i="10" s="1"/>
  <c r="J906" i="10" s="1"/>
  <c r="J905" i="10" s="1"/>
  <c r="J904" i="10" s="1"/>
  <c r="J903" i="10" s="1"/>
  <c r="J902" i="10" s="1"/>
  <c r="J901" i="10" s="1"/>
  <c r="J900" i="10" s="1"/>
  <c r="J899" i="10" s="1"/>
  <c r="J898" i="10" s="1"/>
  <c r="J897" i="10" s="1"/>
  <c r="J896" i="10" s="1"/>
  <c r="J895" i="10" s="1"/>
  <c r="J894" i="10" s="1"/>
  <c r="J893" i="10" s="1"/>
  <c r="J892" i="10" s="1"/>
  <c r="J891" i="10" s="1"/>
  <c r="J890" i="10" s="1"/>
  <c r="J889" i="10" s="1"/>
  <c r="J888" i="10" s="1"/>
  <c r="J887" i="10" s="1"/>
  <c r="J886" i="10" s="1"/>
  <c r="J885" i="10" s="1"/>
  <c r="J884" i="10" s="1"/>
  <c r="J883" i="10" s="1"/>
  <c r="J882" i="10" s="1"/>
  <c r="J881" i="10" s="1"/>
  <c r="J880" i="10" s="1"/>
  <c r="J879" i="10" s="1"/>
  <c r="J878" i="10" s="1"/>
  <c r="J877" i="10" s="1"/>
  <c r="J876" i="10" s="1"/>
  <c r="J875" i="10" s="1"/>
  <c r="J874" i="10" s="1"/>
  <c r="J873" i="10" s="1"/>
  <c r="J872" i="10" s="1"/>
  <c r="J871" i="10" s="1"/>
  <c r="J870" i="10" s="1"/>
  <c r="J869" i="10" s="1"/>
  <c r="J868" i="10" s="1"/>
  <c r="J867" i="10" s="1"/>
  <c r="J866" i="10" s="1"/>
  <c r="J865" i="10" s="1"/>
  <c r="J864" i="10" s="1"/>
  <c r="J863" i="10" s="1"/>
  <c r="J862" i="10" s="1"/>
  <c r="J861" i="10" s="1"/>
  <c r="J860" i="10" s="1"/>
  <c r="J859" i="10" s="1"/>
  <c r="J858" i="10" s="1"/>
  <c r="J857" i="10" s="1"/>
  <c r="J856" i="10" s="1"/>
  <c r="J855" i="10" s="1"/>
  <c r="J854" i="10" s="1"/>
  <c r="J853" i="10" s="1"/>
  <c r="J852" i="10" s="1"/>
  <c r="J851" i="10" s="1"/>
  <c r="J850" i="10" s="1"/>
  <c r="J849" i="10" s="1"/>
  <c r="J848" i="10" s="1"/>
  <c r="J847" i="10" s="1"/>
  <c r="J846" i="10" s="1"/>
  <c r="J845" i="10" s="1"/>
  <c r="J844" i="10" s="1"/>
  <c r="J843" i="10" s="1"/>
  <c r="J842" i="10" s="1"/>
  <c r="J841" i="10" s="1"/>
  <c r="J840" i="10" s="1"/>
  <c r="J839" i="10" s="1"/>
  <c r="J838" i="10" s="1"/>
  <c r="J837" i="10" s="1"/>
  <c r="J836" i="10" s="1"/>
  <c r="J835" i="10" s="1"/>
  <c r="J834" i="10" s="1"/>
  <c r="J833" i="10" s="1"/>
  <c r="J832" i="10" s="1"/>
  <c r="J831" i="10" s="1"/>
  <c r="J830" i="10" s="1"/>
  <c r="J829" i="10" s="1"/>
  <c r="J828" i="10" s="1"/>
  <c r="J827" i="10" s="1"/>
  <c r="J826" i="10" s="1"/>
  <c r="J825" i="10" s="1"/>
  <c r="J824" i="10" s="1"/>
  <c r="J823" i="10" s="1"/>
  <c r="J822" i="10" s="1"/>
  <c r="J821" i="10" s="1"/>
  <c r="J820" i="10" s="1"/>
  <c r="J819" i="10" s="1"/>
  <c r="J818" i="10" s="1"/>
  <c r="J817" i="10" s="1"/>
  <c r="J816" i="10" s="1"/>
  <c r="J815" i="10" s="1"/>
  <c r="J814" i="10" s="1"/>
  <c r="J813" i="10" s="1"/>
  <c r="J812" i="10" s="1"/>
  <c r="J811" i="10" s="1"/>
  <c r="J810" i="10" s="1"/>
  <c r="J809" i="10" s="1"/>
  <c r="J808" i="10" s="1"/>
  <c r="J807" i="10" s="1"/>
  <c r="J806" i="10" s="1"/>
  <c r="J805" i="10" s="1"/>
  <c r="J804" i="10" s="1"/>
  <c r="J803" i="10" s="1"/>
  <c r="J802" i="10" s="1"/>
  <c r="J801" i="10" s="1"/>
  <c r="J800" i="10" s="1"/>
  <c r="J799" i="10" s="1"/>
  <c r="J798" i="10" s="1"/>
  <c r="J797" i="10" s="1"/>
  <c r="J796" i="10" s="1"/>
  <c r="J795" i="10" s="1"/>
  <c r="J794" i="10" s="1"/>
  <c r="J793" i="10" s="1"/>
  <c r="J792" i="10" s="1"/>
  <c r="J791" i="10" s="1"/>
  <c r="J790" i="10" s="1"/>
  <c r="J789" i="10" s="1"/>
  <c r="J788" i="10" s="1"/>
  <c r="J787" i="10" s="1"/>
  <c r="J786" i="10" s="1"/>
  <c r="J785" i="10" s="1"/>
  <c r="J784" i="10" s="1"/>
  <c r="J783" i="10" s="1"/>
  <c r="J782" i="10" s="1"/>
  <c r="J781" i="10" s="1"/>
  <c r="J780" i="10" s="1"/>
  <c r="J779" i="10" s="1"/>
  <c r="J778" i="10" s="1"/>
  <c r="J777" i="10" s="1"/>
  <c r="J776" i="10" s="1"/>
  <c r="J775" i="10" s="1"/>
  <c r="J774" i="10" s="1"/>
  <c r="J773" i="10" s="1"/>
  <c r="J772" i="10" s="1"/>
  <c r="J771" i="10" s="1"/>
  <c r="J770" i="10" s="1"/>
  <c r="J769" i="10" s="1"/>
  <c r="J768" i="10" s="1"/>
  <c r="J767" i="10" s="1"/>
  <c r="J766" i="10" s="1"/>
  <c r="J765" i="10" s="1"/>
  <c r="J764" i="10" s="1"/>
  <c r="J763" i="10" s="1"/>
  <c r="J762" i="10" s="1"/>
  <c r="J761" i="10" s="1"/>
  <c r="J760" i="10" s="1"/>
  <c r="J759" i="10" s="1"/>
  <c r="J758" i="10" s="1"/>
  <c r="J757" i="10" s="1"/>
  <c r="J756" i="10" s="1"/>
  <c r="J755" i="10" s="1"/>
  <c r="J754" i="10" s="1"/>
  <c r="J753" i="10" s="1"/>
  <c r="J752" i="10" s="1"/>
  <c r="J751" i="10" s="1"/>
  <c r="J750" i="10" s="1"/>
  <c r="J749" i="10" s="1"/>
  <c r="J748" i="10" s="1"/>
  <c r="J747" i="10" s="1"/>
  <c r="J746" i="10" s="1"/>
  <c r="J745" i="10" s="1"/>
  <c r="J744" i="10" s="1"/>
  <c r="J743" i="10" s="1"/>
  <c r="J742" i="10" s="1"/>
  <c r="J741" i="10" s="1"/>
  <c r="J740" i="10" s="1"/>
  <c r="J739" i="10" s="1"/>
  <c r="J738" i="10" s="1"/>
  <c r="J737" i="10" s="1"/>
  <c r="J736" i="10" s="1"/>
  <c r="J735" i="10" s="1"/>
  <c r="J734" i="10" s="1"/>
  <c r="J733" i="10" s="1"/>
  <c r="J732" i="10" s="1"/>
  <c r="J731" i="10" s="1"/>
  <c r="J730" i="10" s="1"/>
  <c r="J729" i="10" s="1"/>
  <c r="J728" i="10" s="1"/>
  <c r="J727" i="10" s="1"/>
  <c r="J726" i="10" s="1"/>
  <c r="J725" i="10" s="1"/>
  <c r="J724" i="10" s="1"/>
  <c r="J723" i="10" s="1"/>
  <c r="J722" i="10" s="1"/>
  <c r="J721" i="10" s="1"/>
  <c r="J720" i="10" s="1"/>
  <c r="J719" i="10" s="1"/>
  <c r="J718" i="10" s="1"/>
  <c r="J717" i="10" s="1"/>
  <c r="J716" i="10" s="1"/>
  <c r="J715" i="10" s="1"/>
  <c r="J714" i="10" s="1"/>
  <c r="J713" i="10" s="1"/>
  <c r="J712" i="10" s="1"/>
  <c r="J711" i="10" s="1"/>
  <c r="J710" i="10" s="1"/>
  <c r="J709" i="10" s="1"/>
  <c r="J708" i="10" s="1"/>
  <c r="J707" i="10" s="1"/>
  <c r="J706" i="10" s="1"/>
  <c r="J705" i="10" s="1"/>
  <c r="J704" i="10" s="1"/>
  <c r="J703" i="10" s="1"/>
  <c r="J702" i="10" s="1"/>
  <c r="J701" i="10" s="1"/>
  <c r="J700" i="10" s="1"/>
  <c r="J699" i="10" s="1"/>
  <c r="J698" i="10" s="1"/>
  <c r="J697" i="10" s="1"/>
  <c r="J696" i="10" s="1"/>
  <c r="J695" i="10" s="1"/>
  <c r="J694" i="10" s="1"/>
  <c r="J693" i="10" s="1"/>
  <c r="J692" i="10" s="1"/>
  <c r="J691" i="10" s="1"/>
  <c r="J690" i="10" s="1"/>
  <c r="J689" i="10" s="1"/>
  <c r="J688" i="10" s="1"/>
  <c r="J687" i="10" s="1"/>
  <c r="J686" i="10" s="1"/>
  <c r="J685" i="10" s="1"/>
  <c r="J684" i="10" s="1"/>
  <c r="J683" i="10" s="1"/>
  <c r="J682" i="10" s="1"/>
  <c r="J681" i="10" s="1"/>
  <c r="J680" i="10" s="1"/>
  <c r="J679" i="10" s="1"/>
  <c r="J678" i="10" s="1"/>
  <c r="J677" i="10" s="1"/>
  <c r="J676" i="10" s="1"/>
  <c r="J675" i="10" s="1"/>
  <c r="J674" i="10" s="1"/>
  <c r="J673" i="10" s="1"/>
  <c r="J672" i="10" s="1"/>
  <c r="J671" i="10" s="1"/>
  <c r="J670" i="10" s="1"/>
  <c r="J669" i="10" s="1"/>
  <c r="J668" i="10" s="1"/>
  <c r="J667" i="10" s="1"/>
  <c r="J666" i="10" s="1"/>
  <c r="J665" i="10" s="1"/>
  <c r="J664" i="10" s="1"/>
  <c r="J663" i="10" s="1"/>
  <c r="J662" i="10" s="1"/>
  <c r="J661" i="10" s="1"/>
  <c r="J660" i="10" s="1"/>
  <c r="J659" i="10" s="1"/>
  <c r="J658" i="10" s="1"/>
  <c r="J657" i="10" s="1"/>
  <c r="J656" i="10" s="1"/>
  <c r="J655" i="10" s="1"/>
  <c r="J654" i="10" s="1"/>
  <c r="J653" i="10" s="1"/>
  <c r="J652" i="10" s="1"/>
  <c r="J651" i="10" s="1"/>
  <c r="J650" i="10" s="1"/>
  <c r="J649" i="10" s="1"/>
  <c r="J648" i="10" s="1"/>
  <c r="J647" i="10" s="1"/>
  <c r="J646" i="10" s="1"/>
  <c r="J645" i="10" s="1"/>
  <c r="J644" i="10" s="1"/>
  <c r="J643" i="10" s="1"/>
  <c r="J642" i="10" s="1"/>
  <c r="J641" i="10" s="1"/>
  <c r="J640" i="10" s="1"/>
  <c r="J639" i="10" s="1"/>
  <c r="J638" i="10" s="1"/>
  <c r="J637" i="10" s="1"/>
  <c r="J636" i="10" s="1"/>
  <c r="J635" i="10" s="1"/>
  <c r="J634" i="10" s="1"/>
  <c r="J633" i="10" s="1"/>
  <c r="J632" i="10" s="1"/>
  <c r="J631" i="10" s="1"/>
  <c r="J630" i="10" s="1"/>
  <c r="J629" i="10" s="1"/>
  <c r="J628" i="10" s="1"/>
  <c r="J627" i="10" s="1"/>
  <c r="J626" i="10" s="1"/>
  <c r="J625" i="10" s="1"/>
  <c r="J624" i="10" s="1"/>
  <c r="J623" i="10" s="1"/>
  <c r="J622" i="10" s="1"/>
  <c r="J621" i="10" s="1"/>
  <c r="J620" i="10" s="1"/>
  <c r="J619" i="10" s="1"/>
  <c r="J618" i="10" s="1"/>
  <c r="J617" i="10" s="1"/>
  <c r="J616" i="10" s="1"/>
  <c r="J615" i="10" s="1"/>
  <c r="J614" i="10" s="1"/>
  <c r="J613" i="10" s="1"/>
  <c r="J612" i="10" s="1"/>
  <c r="J611" i="10" s="1"/>
  <c r="J610" i="10" s="1"/>
  <c r="J609" i="10" s="1"/>
  <c r="J608" i="10" s="1"/>
  <c r="J607" i="10" s="1"/>
  <c r="J606" i="10" s="1"/>
  <c r="J605" i="10" s="1"/>
  <c r="J604" i="10" s="1"/>
  <c r="J603" i="10" s="1"/>
  <c r="J602" i="10" s="1"/>
  <c r="J601" i="10" s="1"/>
  <c r="J600" i="10" s="1"/>
  <c r="J599" i="10" s="1"/>
  <c r="J598" i="10" s="1"/>
  <c r="J597" i="10" s="1"/>
  <c r="J596" i="10" s="1"/>
  <c r="J595" i="10" s="1"/>
  <c r="J594" i="10" s="1"/>
  <c r="J593" i="10" s="1"/>
  <c r="J592" i="10" s="1"/>
  <c r="J591" i="10" s="1"/>
  <c r="J590" i="10" s="1"/>
  <c r="J589" i="10" s="1"/>
  <c r="J588" i="10" s="1"/>
  <c r="J587" i="10" s="1"/>
  <c r="J586" i="10" s="1"/>
  <c r="J585" i="10" s="1"/>
  <c r="J584" i="10" s="1"/>
  <c r="J583" i="10" s="1"/>
  <c r="J582" i="10" s="1"/>
  <c r="J581" i="10" s="1"/>
  <c r="J580" i="10" s="1"/>
  <c r="J579" i="10" s="1"/>
  <c r="J578" i="10" s="1"/>
  <c r="J577" i="10" s="1"/>
  <c r="J576" i="10" s="1"/>
  <c r="J575" i="10" s="1"/>
  <c r="J574" i="10" s="1"/>
  <c r="J573" i="10" s="1"/>
  <c r="J572" i="10" s="1"/>
  <c r="J571" i="10" s="1"/>
  <c r="J570" i="10" s="1"/>
  <c r="J569" i="10" s="1"/>
  <c r="J568" i="10" s="1"/>
  <c r="J567" i="10" s="1"/>
  <c r="J566" i="10" s="1"/>
  <c r="J565" i="10" s="1"/>
  <c r="J564" i="10" s="1"/>
  <c r="J563" i="10" s="1"/>
  <c r="J562" i="10" s="1"/>
  <c r="J561" i="10" s="1"/>
  <c r="J560" i="10" s="1"/>
  <c r="J559" i="10" s="1"/>
  <c r="J558" i="10" s="1"/>
  <c r="J557" i="10" s="1"/>
  <c r="J556" i="10" s="1"/>
  <c r="J555" i="10" s="1"/>
  <c r="J554" i="10" s="1"/>
  <c r="J553" i="10" s="1"/>
  <c r="J552" i="10" s="1"/>
  <c r="J551" i="10" s="1"/>
  <c r="J550" i="10" s="1"/>
  <c r="J549" i="10" s="1"/>
  <c r="J548" i="10" s="1"/>
  <c r="J547" i="10" s="1"/>
  <c r="J546" i="10" s="1"/>
  <c r="J545" i="10" s="1"/>
  <c r="J544" i="10" s="1"/>
  <c r="J543" i="10" s="1"/>
  <c r="J542" i="10" s="1"/>
  <c r="J541" i="10" s="1"/>
  <c r="J540" i="10" s="1"/>
  <c r="J539" i="10" s="1"/>
  <c r="J538" i="10" s="1"/>
  <c r="J537" i="10" s="1"/>
  <c r="J536" i="10" s="1"/>
  <c r="J535" i="10" s="1"/>
  <c r="J534" i="10" s="1"/>
  <c r="J533" i="10" s="1"/>
  <c r="J532" i="10" s="1"/>
  <c r="J531" i="10" s="1"/>
  <c r="J530" i="10" s="1"/>
  <c r="J529" i="10" s="1"/>
  <c r="J528" i="10" s="1"/>
  <c r="J527" i="10" s="1"/>
  <c r="J526" i="10" s="1"/>
  <c r="J525" i="10" s="1"/>
  <c r="J524" i="10" s="1"/>
  <c r="J523" i="10" s="1"/>
  <c r="J522" i="10" s="1"/>
  <c r="J521" i="10" s="1"/>
  <c r="J520" i="10" s="1"/>
  <c r="J519" i="10" s="1"/>
  <c r="J518" i="10" s="1"/>
  <c r="J517" i="10" s="1"/>
  <c r="J516" i="10" s="1"/>
  <c r="J515" i="10" s="1"/>
  <c r="J514" i="10" s="1"/>
  <c r="J513" i="10" s="1"/>
  <c r="J512" i="10" s="1"/>
  <c r="J511" i="10" s="1"/>
  <c r="J510" i="10" s="1"/>
  <c r="J509" i="10" s="1"/>
  <c r="J508" i="10" s="1"/>
  <c r="J507" i="10" s="1"/>
  <c r="J506" i="10" s="1"/>
  <c r="J505" i="10" s="1"/>
  <c r="J504" i="10" s="1"/>
  <c r="J503" i="10" s="1"/>
  <c r="J502" i="10" s="1"/>
  <c r="J501" i="10" s="1"/>
  <c r="J500" i="10" s="1"/>
  <c r="J499" i="10" s="1"/>
  <c r="J498" i="10" s="1"/>
  <c r="J497" i="10" s="1"/>
  <c r="J496" i="10" s="1"/>
  <c r="J495" i="10" s="1"/>
  <c r="J494" i="10" s="1"/>
  <c r="J493" i="10" s="1"/>
  <c r="J492" i="10" s="1"/>
  <c r="J491" i="10" s="1"/>
  <c r="J490" i="10" s="1"/>
  <c r="J489" i="10" s="1"/>
  <c r="J488" i="10" s="1"/>
  <c r="J487" i="10" s="1"/>
  <c r="J486" i="10" s="1"/>
  <c r="J485" i="10" s="1"/>
  <c r="J484" i="10" s="1"/>
  <c r="J483" i="10" s="1"/>
  <c r="J482" i="10" s="1"/>
  <c r="J481" i="10" s="1"/>
  <c r="J480" i="10" s="1"/>
  <c r="J479" i="10" s="1"/>
  <c r="J478" i="10" s="1"/>
  <c r="J477" i="10" s="1"/>
  <c r="J476" i="10" s="1"/>
  <c r="J475" i="10" s="1"/>
  <c r="J474" i="10" s="1"/>
  <c r="J473" i="10" s="1"/>
  <c r="J472" i="10" s="1"/>
  <c r="J471" i="10" s="1"/>
  <c r="J470" i="10" s="1"/>
  <c r="J469" i="10" s="1"/>
  <c r="J468" i="10" s="1"/>
  <c r="J467" i="10" s="1"/>
  <c r="J466" i="10" s="1"/>
  <c r="J465" i="10" s="1"/>
  <c r="J464" i="10" s="1"/>
  <c r="J463" i="10" s="1"/>
  <c r="J462" i="10" s="1"/>
  <c r="J461" i="10" s="1"/>
  <c r="J460" i="10" s="1"/>
  <c r="J459" i="10" s="1"/>
  <c r="J458" i="10" s="1"/>
  <c r="J457" i="10" s="1"/>
  <c r="J456" i="10" s="1"/>
  <c r="J455" i="10" s="1"/>
  <c r="J454" i="10" s="1"/>
  <c r="J453" i="10" s="1"/>
  <c r="J452" i="10" s="1"/>
  <c r="J451" i="10" s="1"/>
  <c r="J450" i="10" s="1"/>
  <c r="J449" i="10" s="1"/>
  <c r="J448" i="10" s="1"/>
  <c r="J447" i="10" s="1"/>
  <c r="J446" i="10" s="1"/>
  <c r="J445" i="10" s="1"/>
  <c r="J444" i="10" s="1"/>
  <c r="J443" i="10" s="1"/>
  <c r="J442" i="10" s="1"/>
  <c r="J441" i="10" s="1"/>
  <c r="J440" i="10" s="1"/>
  <c r="J439" i="10" s="1"/>
  <c r="J438" i="10" s="1"/>
  <c r="J437" i="10" s="1"/>
  <c r="J436" i="10" s="1"/>
  <c r="J435" i="10" s="1"/>
  <c r="J434" i="10" s="1"/>
  <c r="J433" i="10" s="1"/>
  <c r="J432" i="10" s="1"/>
  <c r="J431" i="10" s="1"/>
  <c r="J430" i="10" s="1"/>
  <c r="J429" i="10" s="1"/>
  <c r="J428" i="10" s="1"/>
  <c r="J427" i="10" s="1"/>
  <c r="J426" i="10" s="1"/>
  <c r="J425" i="10" s="1"/>
  <c r="J424" i="10" s="1"/>
  <c r="J423" i="10" s="1"/>
  <c r="J422" i="10" s="1"/>
  <c r="J421" i="10" s="1"/>
  <c r="J420" i="10" s="1"/>
  <c r="J419" i="10" s="1"/>
  <c r="J418" i="10" s="1"/>
  <c r="J417" i="10" s="1"/>
  <c r="J416" i="10" s="1"/>
  <c r="J415" i="10" s="1"/>
  <c r="J414" i="10" s="1"/>
  <c r="J413" i="10" s="1"/>
  <c r="J412" i="10" s="1"/>
  <c r="J411" i="10" s="1"/>
  <c r="J410" i="10" s="1"/>
  <c r="J409" i="10" s="1"/>
  <c r="J408" i="10" s="1"/>
  <c r="J407" i="10" s="1"/>
  <c r="J406" i="10" s="1"/>
  <c r="J405" i="10" s="1"/>
  <c r="J404" i="10" s="1"/>
  <c r="J403" i="10" s="1"/>
  <c r="J402" i="10" s="1"/>
  <c r="J401" i="10" s="1"/>
  <c r="J400" i="10" s="1"/>
  <c r="J399" i="10" s="1"/>
  <c r="J398" i="10" s="1"/>
  <c r="J397" i="10" s="1"/>
  <c r="J396" i="10" s="1"/>
  <c r="J395" i="10" s="1"/>
  <c r="J394" i="10" s="1"/>
  <c r="J393" i="10" s="1"/>
  <c r="J392" i="10" s="1"/>
  <c r="J391" i="10" s="1"/>
  <c r="J390" i="10" s="1"/>
  <c r="J389" i="10" s="1"/>
  <c r="J388" i="10" s="1"/>
  <c r="J387" i="10" s="1"/>
  <c r="J386" i="10" s="1"/>
  <c r="J385" i="10" s="1"/>
  <c r="J384" i="10" s="1"/>
  <c r="J383" i="10" s="1"/>
  <c r="J382" i="10" s="1"/>
  <c r="J381" i="10" s="1"/>
  <c r="J380" i="10" s="1"/>
  <c r="J379" i="10" s="1"/>
  <c r="J378" i="10" s="1"/>
  <c r="J377" i="10" s="1"/>
  <c r="J376" i="10" s="1"/>
  <c r="J375" i="10" s="1"/>
  <c r="J374" i="10" s="1"/>
  <c r="J373" i="10" s="1"/>
  <c r="J372" i="10" s="1"/>
  <c r="J371" i="10" s="1"/>
  <c r="J370" i="10" s="1"/>
  <c r="J369" i="10" s="1"/>
  <c r="J368" i="10" s="1"/>
  <c r="J367" i="10" s="1"/>
  <c r="J366" i="10" s="1"/>
  <c r="J365" i="10" s="1"/>
  <c r="J364" i="10" s="1"/>
  <c r="J363" i="10" s="1"/>
  <c r="J362" i="10" s="1"/>
  <c r="J361" i="10" s="1"/>
  <c r="J360" i="10" s="1"/>
  <c r="J359" i="10" s="1"/>
  <c r="J358" i="10" s="1"/>
  <c r="J357" i="10" s="1"/>
  <c r="J356" i="10" s="1"/>
  <c r="J355" i="10" s="1"/>
  <c r="J354" i="10" s="1"/>
  <c r="J353" i="10" s="1"/>
  <c r="J352" i="10" s="1"/>
  <c r="J351" i="10" s="1"/>
  <c r="J350" i="10" s="1"/>
  <c r="J349" i="10" s="1"/>
  <c r="J348" i="10" s="1"/>
  <c r="J347" i="10" s="1"/>
  <c r="J346" i="10" s="1"/>
  <c r="J345" i="10" s="1"/>
  <c r="J344" i="10" s="1"/>
  <c r="J343" i="10" s="1"/>
  <c r="J342" i="10" s="1"/>
  <c r="J341" i="10" s="1"/>
  <c r="J340" i="10" s="1"/>
  <c r="J339" i="10" s="1"/>
  <c r="J338" i="10" s="1"/>
  <c r="J337" i="10" s="1"/>
  <c r="J336" i="10" s="1"/>
  <c r="J335" i="10" s="1"/>
  <c r="J334" i="10" s="1"/>
  <c r="J333" i="10" s="1"/>
  <c r="J332" i="10" s="1"/>
  <c r="J331" i="10" s="1"/>
  <c r="J330" i="10" s="1"/>
  <c r="J329" i="10" s="1"/>
  <c r="J328" i="10" s="1"/>
  <c r="J327" i="10" s="1"/>
  <c r="J326" i="10" s="1"/>
  <c r="J325" i="10" s="1"/>
  <c r="J324" i="10" s="1"/>
  <c r="J323" i="10" s="1"/>
  <c r="J322" i="10" s="1"/>
  <c r="J321" i="10" s="1"/>
  <c r="J320" i="10" s="1"/>
  <c r="J319" i="10" s="1"/>
  <c r="J318" i="10" s="1"/>
  <c r="J317" i="10" s="1"/>
  <c r="J316" i="10" s="1"/>
  <c r="J315" i="10" s="1"/>
  <c r="J314" i="10" s="1"/>
  <c r="J313" i="10" s="1"/>
  <c r="J312" i="10" s="1"/>
  <c r="J311" i="10" s="1"/>
  <c r="J310" i="10" s="1"/>
  <c r="J309" i="10" s="1"/>
  <c r="J308" i="10" s="1"/>
  <c r="J307" i="10" s="1"/>
  <c r="J306" i="10" s="1"/>
  <c r="J305" i="10" s="1"/>
  <c r="J304" i="10" s="1"/>
  <c r="J303" i="10" s="1"/>
  <c r="J302" i="10" s="1"/>
  <c r="J301" i="10" s="1"/>
  <c r="J300" i="10" s="1"/>
  <c r="J299" i="10" s="1"/>
  <c r="J298" i="10" s="1"/>
  <c r="J297" i="10" s="1"/>
  <c r="J296" i="10" s="1"/>
  <c r="J295" i="10" s="1"/>
  <c r="J294" i="10" s="1"/>
  <c r="J293" i="10" s="1"/>
  <c r="J292" i="10" s="1"/>
  <c r="J291" i="10" s="1"/>
  <c r="J290" i="10" s="1"/>
  <c r="J289" i="10" s="1"/>
  <c r="J288" i="10" s="1"/>
  <c r="J287" i="10" s="1"/>
  <c r="J286" i="10" s="1"/>
  <c r="J285" i="10" s="1"/>
  <c r="J284" i="10" s="1"/>
  <c r="J283" i="10" s="1"/>
  <c r="J282" i="10" s="1"/>
  <c r="J281" i="10" s="1"/>
  <c r="J280" i="10" s="1"/>
  <c r="J279" i="10" s="1"/>
  <c r="J278" i="10" s="1"/>
  <c r="J277" i="10" s="1"/>
  <c r="J276" i="10" s="1"/>
  <c r="J275" i="10" s="1"/>
  <c r="J274" i="10" s="1"/>
  <c r="J273" i="10" s="1"/>
  <c r="J272" i="10" s="1"/>
  <c r="J271" i="10" s="1"/>
  <c r="J270" i="10" s="1"/>
  <c r="J269" i="10" s="1"/>
  <c r="J268" i="10" s="1"/>
  <c r="J267" i="10" s="1"/>
  <c r="J266" i="10" s="1"/>
  <c r="J265" i="10" s="1"/>
  <c r="J264" i="10" s="1"/>
  <c r="J263" i="10" s="1"/>
  <c r="J262" i="10" s="1"/>
  <c r="J261" i="10" s="1"/>
  <c r="J260" i="10" s="1"/>
  <c r="J259" i="10" s="1"/>
  <c r="J258" i="10" s="1"/>
  <c r="J257" i="10" s="1"/>
  <c r="J256" i="10" s="1"/>
  <c r="J255" i="10" s="1"/>
  <c r="J254" i="10" s="1"/>
  <c r="J253" i="10" s="1"/>
  <c r="J252" i="10" s="1"/>
  <c r="J251" i="10" s="1"/>
  <c r="J250" i="10" s="1"/>
  <c r="J249" i="10" s="1"/>
  <c r="J248" i="10" s="1"/>
  <c r="J247" i="10" s="1"/>
  <c r="J246" i="10" s="1"/>
  <c r="J245" i="10" s="1"/>
  <c r="J244" i="10" s="1"/>
  <c r="J243" i="10" s="1"/>
  <c r="J242" i="10" s="1"/>
  <c r="J241" i="10" s="1"/>
  <c r="J240" i="10" s="1"/>
  <c r="J239" i="10" s="1"/>
  <c r="J238" i="10" s="1"/>
  <c r="J237" i="10" s="1"/>
  <c r="J236" i="10" s="1"/>
  <c r="J235" i="10" s="1"/>
  <c r="J234" i="10" s="1"/>
  <c r="J233" i="10" s="1"/>
  <c r="J232" i="10" s="1"/>
  <c r="J231" i="10" s="1"/>
  <c r="J230" i="10" s="1"/>
  <c r="J229" i="10" s="1"/>
  <c r="J228" i="10" s="1"/>
  <c r="J227" i="10" s="1"/>
  <c r="J226" i="10" s="1"/>
  <c r="J225" i="10" s="1"/>
  <c r="J224" i="10" s="1"/>
  <c r="J223" i="10" s="1"/>
  <c r="J222" i="10" s="1"/>
  <c r="J221" i="10" s="1"/>
  <c r="J220" i="10" s="1"/>
  <c r="J219" i="10" s="1"/>
  <c r="J218" i="10" s="1"/>
  <c r="J217" i="10" s="1"/>
  <c r="J216" i="10" s="1"/>
  <c r="J215" i="10" s="1"/>
  <c r="J214" i="10" s="1"/>
  <c r="J213" i="10" s="1"/>
  <c r="J212" i="10" s="1"/>
  <c r="J211" i="10" s="1"/>
  <c r="J210" i="10" s="1"/>
  <c r="J209" i="10" s="1"/>
  <c r="J208" i="10" s="1"/>
  <c r="J207" i="10" s="1"/>
  <c r="J206" i="10" s="1"/>
  <c r="J205" i="10" s="1"/>
  <c r="J204" i="10" s="1"/>
  <c r="J203" i="10" s="1"/>
  <c r="J202" i="10" s="1"/>
  <c r="J201" i="10" s="1"/>
  <c r="J200" i="10" s="1"/>
  <c r="J199" i="10" s="1"/>
  <c r="J198" i="10" s="1"/>
  <c r="J197" i="10" s="1"/>
  <c r="J196" i="10" s="1"/>
  <c r="J195" i="10" s="1"/>
  <c r="J194" i="10" s="1"/>
  <c r="J193" i="10" s="1"/>
  <c r="J192" i="10" s="1"/>
  <c r="J191" i="10" s="1"/>
  <c r="J190" i="10" s="1"/>
  <c r="J189" i="10" s="1"/>
  <c r="J188" i="10" s="1"/>
  <c r="J187" i="10" s="1"/>
  <c r="J186" i="10" s="1"/>
  <c r="J185" i="10" s="1"/>
  <c r="J184" i="10" s="1"/>
  <c r="J183" i="10" s="1"/>
  <c r="J182" i="10" s="1"/>
  <c r="J181" i="10" s="1"/>
  <c r="J180" i="10" s="1"/>
  <c r="J179" i="10" s="1"/>
  <c r="J178" i="10" s="1"/>
  <c r="J177" i="10" s="1"/>
  <c r="J176" i="10" s="1"/>
  <c r="J175" i="10" s="1"/>
  <c r="J174" i="10" s="1"/>
  <c r="J173" i="10" s="1"/>
  <c r="J172" i="10" s="1"/>
  <c r="J171" i="10" s="1"/>
  <c r="J170" i="10" s="1"/>
  <c r="J169" i="10" s="1"/>
  <c r="J168" i="10" s="1"/>
  <c r="J167" i="10" s="1"/>
  <c r="J166" i="10" s="1"/>
  <c r="J165" i="10" s="1"/>
  <c r="J164" i="10" s="1"/>
  <c r="J163" i="10" s="1"/>
  <c r="J162" i="10" s="1"/>
  <c r="J161" i="10" s="1"/>
  <c r="J160" i="10" s="1"/>
  <c r="J159" i="10" s="1"/>
  <c r="J158" i="10" s="1"/>
  <c r="J157" i="10" s="1"/>
  <c r="J156" i="10" s="1"/>
  <c r="J155" i="10" s="1"/>
  <c r="J154" i="10" s="1"/>
  <c r="J153" i="10" s="1"/>
  <c r="J152" i="10" s="1"/>
  <c r="J151" i="10" s="1"/>
  <c r="J150" i="10" s="1"/>
  <c r="J149" i="10" s="1"/>
  <c r="J148" i="10" s="1"/>
  <c r="J147" i="10" s="1"/>
  <c r="J146" i="10" s="1"/>
  <c r="J145" i="10" s="1"/>
  <c r="J144" i="10" s="1"/>
  <c r="J143" i="10" s="1"/>
  <c r="J142" i="10" s="1"/>
  <c r="J141" i="10" s="1"/>
  <c r="J140" i="10" s="1"/>
  <c r="J139" i="10" s="1"/>
  <c r="J138" i="10" s="1"/>
  <c r="J137" i="10" s="1"/>
  <c r="J136" i="10" s="1"/>
  <c r="J135" i="10" s="1"/>
  <c r="J134" i="10" s="1"/>
  <c r="J133" i="10" s="1"/>
  <c r="J132" i="10" s="1"/>
  <c r="J131" i="10" s="1"/>
  <c r="J130" i="10" s="1"/>
  <c r="J129" i="10" s="1"/>
  <c r="J128" i="10" s="1"/>
  <c r="J127" i="10" s="1"/>
  <c r="J126" i="10" s="1"/>
  <c r="J125" i="10" s="1"/>
  <c r="J124" i="10" s="1"/>
  <c r="J123" i="10" s="1"/>
  <c r="J122" i="10" s="1"/>
  <c r="J121" i="10" s="1"/>
  <c r="J120" i="10" s="1"/>
  <c r="J119" i="10" s="1"/>
  <c r="J118" i="10" s="1"/>
  <c r="J117" i="10" s="1"/>
  <c r="J116" i="10" s="1"/>
  <c r="J115" i="10" s="1"/>
  <c r="J114" i="10" s="1"/>
  <c r="J113" i="10" s="1"/>
  <c r="J112" i="10" s="1"/>
  <c r="J111" i="10" s="1"/>
  <c r="J110" i="10" s="1"/>
  <c r="J109" i="10" s="1"/>
  <c r="J108" i="10" s="1"/>
  <c r="J107" i="10" s="1"/>
  <c r="J106" i="10" s="1"/>
  <c r="J105" i="10" s="1"/>
  <c r="J104" i="10" s="1"/>
  <c r="J103" i="10" s="1"/>
  <c r="J102" i="10" s="1"/>
  <c r="J101" i="10" s="1"/>
  <c r="J100" i="10" s="1"/>
  <c r="J99" i="10" s="1"/>
  <c r="J98" i="10" s="1"/>
  <c r="J97" i="10" s="1"/>
  <c r="J96" i="10" s="1"/>
  <c r="J95" i="10" s="1"/>
  <c r="J94" i="10" s="1"/>
  <c r="J93" i="10" s="1"/>
  <c r="J92" i="10" s="1"/>
  <c r="J91" i="10" s="1"/>
  <c r="J90" i="10" s="1"/>
  <c r="J89" i="10" s="1"/>
  <c r="J88" i="10" s="1"/>
  <c r="J87" i="10" s="1"/>
  <c r="J86" i="10" s="1"/>
  <c r="J85" i="10" s="1"/>
  <c r="J84" i="10" s="1"/>
  <c r="J83" i="10" s="1"/>
  <c r="J82" i="10" s="1"/>
  <c r="J81" i="10" s="1"/>
  <c r="J80" i="10" s="1"/>
  <c r="J79" i="10" s="1"/>
  <c r="J78" i="10" s="1"/>
  <c r="J77" i="10" s="1"/>
  <c r="J76" i="10" s="1"/>
  <c r="J75" i="10" s="1"/>
  <c r="J74" i="10" s="1"/>
  <c r="J73" i="10" s="1"/>
  <c r="J72" i="10" s="1"/>
  <c r="J71" i="10" s="1"/>
  <c r="J70" i="10" s="1"/>
  <c r="J69" i="10" s="1"/>
  <c r="J68" i="10" s="1"/>
  <c r="J67" i="10" s="1"/>
  <c r="J66" i="10" s="1"/>
  <c r="J65" i="10" s="1"/>
  <c r="J64" i="10" s="1"/>
  <c r="J63" i="10" s="1"/>
  <c r="J62" i="10" s="1"/>
  <c r="J61" i="10" s="1"/>
  <c r="J60" i="10" s="1"/>
  <c r="J59" i="10" s="1"/>
  <c r="J58" i="10" s="1"/>
  <c r="J57" i="10" s="1"/>
  <c r="J56" i="10" s="1"/>
  <c r="J55" i="10" s="1"/>
  <c r="J54" i="10" s="1"/>
  <c r="J53" i="10" s="1"/>
  <c r="J52" i="10" s="1"/>
  <c r="J51" i="10" s="1"/>
  <c r="J50" i="10" s="1"/>
  <c r="J49" i="10" s="1"/>
  <c r="J48" i="10" s="1"/>
  <c r="J47" i="10" s="1"/>
  <c r="J46" i="10" s="1"/>
  <c r="J45" i="10" s="1"/>
  <c r="J44" i="10" s="1"/>
  <c r="J43" i="10" s="1"/>
  <c r="J42" i="10" s="1"/>
  <c r="J41" i="10" s="1"/>
  <c r="J40" i="10" s="1"/>
  <c r="J39" i="10" s="1"/>
  <c r="J38" i="10" s="1"/>
  <c r="J37" i="10" s="1"/>
  <c r="J36" i="10" s="1"/>
  <c r="J35" i="10" s="1"/>
  <c r="J34" i="10" s="1"/>
  <c r="J33" i="10" s="1"/>
  <c r="J32" i="10" s="1"/>
  <c r="J31" i="10" s="1"/>
  <c r="J30" i="10" s="1"/>
  <c r="J29" i="10" s="1"/>
  <c r="J28" i="10" s="1"/>
  <c r="J27" i="10" s="1"/>
  <c r="J26" i="10" s="1"/>
  <c r="J25" i="10" s="1"/>
  <c r="J24" i="10" s="1"/>
  <c r="H1499" i="10"/>
  <c r="H1498" i="10" s="1"/>
  <c r="H1497" i="10" s="1"/>
  <c r="H1496" i="10" s="1"/>
  <c r="H1495" i="10" s="1"/>
  <c r="H1494" i="10" s="1"/>
  <c r="H1493" i="10" s="1"/>
  <c r="H1492" i="10" s="1"/>
  <c r="H1491" i="10" s="1"/>
  <c r="H1490" i="10" s="1"/>
  <c r="H1489" i="10" s="1"/>
  <c r="H1488" i="10" s="1"/>
  <c r="H1487" i="10" s="1"/>
  <c r="H1486" i="10" s="1"/>
  <c r="H1485" i="10" s="1"/>
  <c r="H1484" i="10" s="1"/>
  <c r="H1483" i="10" s="1"/>
  <c r="H1482" i="10" s="1"/>
  <c r="H1481" i="10" s="1"/>
  <c r="H1480" i="10" s="1"/>
  <c r="H1479" i="10" s="1"/>
  <c r="H1478" i="10" s="1"/>
  <c r="H1477" i="10" s="1"/>
  <c r="H1476" i="10" s="1"/>
  <c r="H1475" i="10" s="1"/>
  <c r="H1474" i="10" s="1"/>
  <c r="H1473" i="10" s="1"/>
  <c r="H1472" i="10" s="1"/>
  <c r="H1471" i="10" s="1"/>
  <c r="H1470" i="10" s="1"/>
  <c r="H1469" i="10" s="1"/>
  <c r="H1468" i="10" s="1"/>
  <c r="H1467" i="10" s="1"/>
  <c r="H1466" i="10" s="1"/>
  <c r="H1465" i="10" s="1"/>
  <c r="H1464" i="10" s="1"/>
  <c r="H1463" i="10" s="1"/>
  <c r="H1462" i="10" s="1"/>
  <c r="H1461" i="10" s="1"/>
  <c r="H1460" i="10" s="1"/>
  <c r="H1459" i="10" s="1"/>
  <c r="H1458" i="10" s="1"/>
  <c r="H1457" i="10" s="1"/>
  <c r="H1456" i="10" s="1"/>
  <c r="H1455" i="10" s="1"/>
  <c r="H1454" i="10" s="1"/>
  <c r="H1453" i="10" s="1"/>
  <c r="H1452" i="10" s="1"/>
  <c r="H1451" i="10" s="1"/>
  <c r="H1450" i="10" s="1"/>
  <c r="H1449" i="10" s="1"/>
  <c r="H1448" i="10" s="1"/>
  <c r="H1447" i="10" s="1"/>
  <c r="H1446" i="10" s="1"/>
  <c r="H1445" i="10" s="1"/>
  <c r="H1444" i="10" s="1"/>
  <c r="H1443" i="10" s="1"/>
  <c r="H1442" i="10" s="1"/>
  <c r="H1441" i="10" s="1"/>
  <c r="H1440" i="10" s="1"/>
  <c r="H1439" i="10" s="1"/>
  <c r="H1438" i="10" s="1"/>
  <c r="H1437" i="10" s="1"/>
  <c r="H1436" i="10" s="1"/>
  <c r="H1435" i="10" s="1"/>
  <c r="H1434" i="10" s="1"/>
  <c r="H1433" i="10" s="1"/>
  <c r="H1432" i="10" s="1"/>
  <c r="H1431" i="10" s="1"/>
  <c r="H1430" i="10" s="1"/>
  <c r="H1429" i="10" s="1"/>
  <c r="H1428" i="10" s="1"/>
  <c r="H1427" i="10" s="1"/>
  <c r="H1426" i="10" s="1"/>
  <c r="H1425" i="10" s="1"/>
  <c r="H1424" i="10" s="1"/>
  <c r="H1423" i="10" s="1"/>
  <c r="H1422" i="10" s="1"/>
  <c r="H1421" i="10" s="1"/>
  <c r="H1420" i="10" s="1"/>
  <c r="H1419" i="10" s="1"/>
  <c r="H1418" i="10" s="1"/>
  <c r="H1417" i="10" s="1"/>
  <c r="H1416" i="10" s="1"/>
  <c r="H1415" i="10" s="1"/>
  <c r="H1414" i="10" s="1"/>
  <c r="H1413" i="10" s="1"/>
  <c r="H1412" i="10" s="1"/>
  <c r="H1411" i="10" s="1"/>
  <c r="H1410" i="10" s="1"/>
  <c r="H1409" i="10" s="1"/>
  <c r="H1408" i="10" s="1"/>
  <c r="H1407" i="10" s="1"/>
  <c r="H1406" i="10" s="1"/>
  <c r="H1405" i="10" s="1"/>
  <c r="H1404" i="10" s="1"/>
  <c r="H1403" i="10" s="1"/>
  <c r="H1402" i="10" s="1"/>
  <c r="H1401" i="10" s="1"/>
  <c r="H1400" i="10" s="1"/>
  <c r="H1399" i="10" s="1"/>
  <c r="H1398" i="10" s="1"/>
  <c r="H1397" i="10" s="1"/>
  <c r="H1396" i="10" s="1"/>
  <c r="H1395" i="10" s="1"/>
  <c r="H1394" i="10" s="1"/>
  <c r="H1393" i="10" s="1"/>
  <c r="H1392" i="10" s="1"/>
  <c r="H1391" i="10" s="1"/>
  <c r="H1390" i="10" s="1"/>
  <c r="H1389" i="10" s="1"/>
  <c r="H1388" i="10" s="1"/>
  <c r="H1387" i="10" s="1"/>
  <c r="H1386" i="10" s="1"/>
  <c r="H1385" i="10" s="1"/>
  <c r="H1384" i="10" s="1"/>
  <c r="H1383" i="10" s="1"/>
  <c r="H1382" i="10" s="1"/>
  <c r="H1381" i="10" s="1"/>
  <c r="H1380" i="10" s="1"/>
  <c r="H1379" i="10" s="1"/>
  <c r="H1378" i="10" s="1"/>
  <c r="H1377" i="10" s="1"/>
  <c r="H1376" i="10" s="1"/>
  <c r="H1375" i="10" s="1"/>
  <c r="H1374" i="10" s="1"/>
  <c r="H1373" i="10" s="1"/>
  <c r="H1372" i="10" s="1"/>
  <c r="H1371" i="10" s="1"/>
  <c r="H1370" i="10" s="1"/>
  <c r="H1369" i="10" s="1"/>
  <c r="H1368" i="10" s="1"/>
  <c r="H1367" i="10" s="1"/>
  <c r="H1366" i="10" s="1"/>
  <c r="H1365" i="10" s="1"/>
  <c r="H1364" i="10" s="1"/>
  <c r="H1363" i="10" s="1"/>
  <c r="H1362" i="10" s="1"/>
  <c r="H1361" i="10" s="1"/>
  <c r="H1360" i="10" s="1"/>
  <c r="H1359" i="10" s="1"/>
  <c r="H1358" i="10" s="1"/>
  <c r="H1357" i="10" s="1"/>
  <c r="H1356" i="10" s="1"/>
  <c r="H1355" i="10" s="1"/>
  <c r="H1354" i="10" s="1"/>
  <c r="H1353" i="10" s="1"/>
  <c r="H1352" i="10" s="1"/>
  <c r="H1351" i="10" s="1"/>
  <c r="H1350" i="10" s="1"/>
  <c r="H1349" i="10" s="1"/>
  <c r="H1348" i="10" s="1"/>
  <c r="H1347" i="10" s="1"/>
  <c r="H1346" i="10" s="1"/>
  <c r="H1345" i="10" s="1"/>
  <c r="H1344" i="10" s="1"/>
  <c r="H1343" i="10" s="1"/>
  <c r="H1342" i="10" s="1"/>
  <c r="H1341" i="10" s="1"/>
  <c r="H1340" i="10" s="1"/>
  <c r="H1339" i="10" s="1"/>
  <c r="H1338" i="10" s="1"/>
  <c r="H1337" i="10" s="1"/>
  <c r="H1336" i="10" s="1"/>
  <c r="H1335" i="10" s="1"/>
  <c r="H1334" i="10" s="1"/>
  <c r="H1333" i="10" s="1"/>
  <c r="H1332" i="10" s="1"/>
  <c r="H1331" i="10" s="1"/>
  <c r="H1330" i="10" s="1"/>
  <c r="H1329" i="10" s="1"/>
  <c r="H1328" i="10" s="1"/>
  <c r="H1327" i="10" s="1"/>
  <c r="H1326" i="10" s="1"/>
  <c r="H1325" i="10" s="1"/>
  <c r="H1324" i="10" s="1"/>
  <c r="H1323" i="10" s="1"/>
  <c r="H1322" i="10" s="1"/>
  <c r="H1321" i="10" s="1"/>
  <c r="H1320" i="10" s="1"/>
  <c r="H1319" i="10" s="1"/>
  <c r="H1318" i="10" s="1"/>
  <c r="H1317" i="10" s="1"/>
  <c r="H1316" i="10" s="1"/>
  <c r="H1315" i="10" s="1"/>
  <c r="H1314" i="10" s="1"/>
  <c r="H1313" i="10" s="1"/>
  <c r="H1312" i="10" s="1"/>
  <c r="H1311" i="10" s="1"/>
  <c r="H1310" i="10" s="1"/>
  <c r="H1309" i="10" s="1"/>
  <c r="H1308" i="10" s="1"/>
  <c r="H1307" i="10" s="1"/>
  <c r="H1306" i="10" s="1"/>
  <c r="H1305" i="10" s="1"/>
  <c r="H1304" i="10" s="1"/>
  <c r="H1303" i="10" s="1"/>
  <c r="H1302" i="10" s="1"/>
  <c r="H1301" i="10" s="1"/>
  <c r="H1300" i="10" s="1"/>
  <c r="H1299" i="10" s="1"/>
  <c r="H1298" i="10" s="1"/>
  <c r="H1297" i="10" s="1"/>
  <c r="H1296" i="10" s="1"/>
  <c r="H1295" i="10" s="1"/>
  <c r="H1294" i="10" s="1"/>
  <c r="H1293" i="10" s="1"/>
  <c r="H1292" i="10" s="1"/>
  <c r="H1291" i="10" s="1"/>
  <c r="H1290" i="10" s="1"/>
  <c r="H1289" i="10" s="1"/>
  <c r="H1288" i="10" s="1"/>
  <c r="H1287" i="10" s="1"/>
  <c r="H1286" i="10" s="1"/>
  <c r="H1285" i="10" s="1"/>
  <c r="H1284" i="10" s="1"/>
  <c r="H1283" i="10" s="1"/>
  <c r="H1282" i="10" s="1"/>
  <c r="H1281" i="10" s="1"/>
  <c r="H1280" i="10" s="1"/>
  <c r="H1279" i="10" s="1"/>
  <c r="H1278" i="10" s="1"/>
  <c r="H1277" i="10" s="1"/>
  <c r="H1276" i="10" s="1"/>
  <c r="H1275" i="10" s="1"/>
  <c r="H1274" i="10" s="1"/>
  <c r="H1273" i="10" s="1"/>
  <c r="H1272" i="10" s="1"/>
  <c r="H1271" i="10" s="1"/>
  <c r="H1270" i="10" s="1"/>
  <c r="H1269" i="10" s="1"/>
  <c r="H1268" i="10" s="1"/>
  <c r="H1267" i="10" s="1"/>
  <c r="H1266" i="10" s="1"/>
  <c r="H1265" i="10" s="1"/>
  <c r="H1264" i="10" s="1"/>
  <c r="H1263" i="10" s="1"/>
  <c r="H1262" i="10" s="1"/>
  <c r="H1261" i="10" s="1"/>
  <c r="H1260" i="10" s="1"/>
  <c r="H1259" i="10" s="1"/>
  <c r="H1258" i="10" s="1"/>
  <c r="H1257" i="10" s="1"/>
  <c r="H1256" i="10" s="1"/>
  <c r="H1255" i="10" s="1"/>
  <c r="H1254" i="10" s="1"/>
  <c r="H1253" i="10" s="1"/>
  <c r="H1252" i="10" s="1"/>
  <c r="H1251" i="10" s="1"/>
  <c r="H1250" i="10" s="1"/>
  <c r="H1249" i="10" s="1"/>
  <c r="H1248" i="10" s="1"/>
  <c r="H1247" i="10" s="1"/>
  <c r="H1246" i="10" s="1"/>
  <c r="H1245" i="10" s="1"/>
  <c r="H1244" i="10" s="1"/>
  <c r="H1243" i="10" s="1"/>
  <c r="H1242" i="10" s="1"/>
  <c r="H1241" i="10" s="1"/>
  <c r="H1240" i="10" s="1"/>
  <c r="H1239" i="10" s="1"/>
  <c r="H1238" i="10" s="1"/>
  <c r="H1237" i="10" s="1"/>
  <c r="H1236" i="10" s="1"/>
  <c r="H1235" i="10" s="1"/>
  <c r="H1234" i="10" s="1"/>
  <c r="H1233" i="10" s="1"/>
  <c r="H1232" i="10" s="1"/>
  <c r="H1231" i="10" s="1"/>
  <c r="H1230" i="10" s="1"/>
  <c r="H1229" i="10" s="1"/>
  <c r="H1228" i="10" s="1"/>
  <c r="H1227" i="10" s="1"/>
  <c r="H1226" i="10" s="1"/>
  <c r="H1225" i="10" s="1"/>
  <c r="H1224" i="10" s="1"/>
  <c r="H1223" i="10" s="1"/>
  <c r="H1222" i="10" s="1"/>
  <c r="H1221" i="10" s="1"/>
  <c r="H1220" i="10" s="1"/>
  <c r="H1219" i="10" s="1"/>
  <c r="H1218" i="10" s="1"/>
  <c r="H1217" i="10" s="1"/>
  <c r="H1216" i="10" s="1"/>
  <c r="H1215" i="10" s="1"/>
  <c r="H1214" i="10" s="1"/>
  <c r="H1213" i="10" s="1"/>
  <c r="H1212" i="10" s="1"/>
  <c r="H1211" i="10" s="1"/>
  <c r="H1210" i="10" s="1"/>
  <c r="H1209" i="10" s="1"/>
  <c r="H1208" i="10" s="1"/>
  <c r="H1207" i="10" s="1"/>
  <c r="H1206" i="10" s="1"/>
  <c r="H1205" i="10" s="1"/>
  <c r="H1204" i="10" s="1"/>
  <c r="H1203" i="10" s="1"/>
  <c r="H1202" i="10" s="1"/>
  <c r="H1201" i="10" s="1"/>
  <c r="H1200" i="10" s="1"/>
  <c r="H1199" i="10" s="1"/>
  <c r="H1198" i="10" s="1"/>
  <c r="H1197" i="10" s="1"/>
  <c r="H1196" i="10" s="1"/>
  <c r="H1195" i="10" s="1"/>
  <c r="H1194" i="10" s="1"/>
  <c r="H1193" i="10" s="1"/>
  <c r="H1192" i="10" s="1"/>
  <c r="H1191" i="10" s="1"/>
  <c r="H1190" i="10" s="1"/>
  <c r="H1189" i="10" s="1"/>
  <c r="H1188" i="10" s="1"/>
  <c r="H1187" i="10" s="1"/>
  <c r="H1186" i="10" s="1"/>
  <c r="H1185" i="10" s="1"/>
  <c r="H1184" i="10" s="1"/>
  <c r="H1183" i="10" s="1"/>
  <c r="H1182" i="10" s="1"/>
  <c r="H1181" i="10" s="1"/>
  <c r="H1180" i="10" s="1"/>
  <c r="H1179" i="10" s="1"/>
  <c r="H1178" i="10" s="1"/>
  <c r="H1177" i="10" s="1"/>
  <c r="H1176" i="10" s="1"/>
  <c r="H1175" i="10" s="1"/>
  <c r="H1174" i="10" s="1"/>
  <c r="H1173" i="10" s="1"/>
  <c r="H1172" i="10" s="1"/>
  <c r="H1171" i="10" s="1"/>
  <c r="H1170" i="10" s="1"/>
  <c r="H1169" i="10" s="1"/>
  <c r="H1168" i="10" s="1"/>
  <c r="H1167" i="10" s="1"/>
  <c r="H1166" i="10" s="1"/>
  <c r="H1165" i="10" s="1"/>
  <c r="H1164" i="10" s="1"/>
  <c r="H1163" i="10" s="1"/>
  <c r="H1162" i="10" s="1"/>
  <c r="H1161" i="10" s="1"/>
  <c r="H1160" i="10" s="1"/>
  <c r="H1159" i="10" s="1"/>
  <c r="H1158" i="10" s="1"/>
  <c r="H1157" i="10" s="1"/>
  <c r="H1156" i="10" s="1"/>
  <c r="H1155" i="10" s="1"/>
  <c r="H1154" i="10" s="1"/>
  <c r="H1153" i="10" s="1"/>
  <c r="H1152" i="10" s="1"/>
  <c r="H1151" i="10" s="1"/>
  <c r="H1150" i="10" s="1"/>
  <c r="H1149" i="10" s="1"/>
  <c r="H1148" i="10" s="1"/>
  <c r="H1147" i="10" s="1"/>
  <c r="H1146" i="10" s="1"/>
  <c r="H1145" i="10" s="1"/>
  <c r="H1144" i="10" s="1"/>
  <c r="H1143" i="10" s="1"/>
  <c r="H1142" i="10" s="1"/>
  <c r="H1141" i="10" s="1"/>
  <c r="H1140" i="10" s="1"/>
  <c r="H1139" i="10" s="1"/>
  <c r="H1138" i="10" s="1"/>
  <c r="H1137" i="10" s="1"/>
  <c r="H1136" i="10" s="1"/>
  <c r="H1135" i="10" s="1"/>
  <c r="H1134" i="10" s="1"/>
  <c r="H1133" i="10" s="1"/>
  <c r="H1132" i="10" s="1"/>
  <c r="H1131" i="10" s="1"/>
  <c r="H1130" i="10" s="1"/>
  <c r="H1129" i="10" s="1"/>
  <c r="H1128" i="10" s="1"/>
  <c r="H1127" i="10" s="1"/>
  <c r="H1126" i="10" s="1"/>
  <c r="H1125" i="10" s="1"/>
  <c r="H1124" i="10" s="1"/>
  <c r="H1123" i="10" s="1"/>
  <c r="H1122" i="10" s="1"/>
  <c r="H1121" i="10" s="1"/>
  <c r="H1120" i="10" s="1"/>
  <c r="H1119" i="10" s="1"/>
  <c r="H1118" i="10" s="1"/>
  <c r="H1117" i="10" s="1"/>
  <c r="H1116" i="10" s="1"/>
  <c r="H1115" i="10" s="1"/>
  <c r="H1114" i="10" s="1"/>
  <c r="H1113" i="10" s="1"/>
  <c r="H1112" i="10" s="1"/>
  <c r="H1111" i="10" s="1"/>
  <c r="H1110" i="10" s="1"/>
  <c r="H1109" i="10" s="1"/>
  <c r="H1108" i="10" s="1"/>
  <c r="H1107" i="10" s="1"/>
  <c r="H1106" i="10" s="1"/>
  <c r="H1105" i="10" s="1"/>
  <c r="H1104" i="10" s="1"/>
  <c r="H1103" i="10" s="1"/>
  <c r="H1102" i="10" s="1"/>
  <c r="H1101" i="10" s="1"/>
  <c r="H1100" i="10" s="1"/>
  <c r="H1099" i="10" s="1"/>
  <c r="H1098" i="10" s="1"/>
  <c r="H1097" i="10" s="1"/>
  <c r="H1096" i="10" s="1"/>
  <c r="H1095" i="10" s="1"/>
  <c r="H1094" i="10" s="1"/>
  <c r="H1093" i="10" s="1"/>
  <c r="H1092" i="10" s="1"/>
  <c r="H1091" i="10" s="1"/>
  <c r="H1090" i="10" s="1"/>
  <c r="H1089" i="10" s="1"/>
  <c r="H1088" i="10" s="1"/>
  <c r="H1087" i="10" s="1"/>
  <c r="H1086" i="10" s="1"/>
  <c r="H1085" i="10" s="1"/>
  <c r="H1084" i="10" s="1"/>
  <c r="H1083" i="10" s="1"/>
  <c r="H1082" i="10" s="1"/>
  <c r="H1081" i="10" s="1"/>
  <c r="H1080" i="10" s="1"/>
  <c r="H1079" i="10" s="1"/>
  <c r="H1078" i="10" s="1"/>
  <c r="H1077" i="10" s="1"/>
  <c r="H1076" i="10" s="1"/>
  <c r="H1075" i="10" s="1"/>
  <c r="H1074" i="10" s="1"/>
  <c r="H1073" i="10" s="1"/>
  <c r="H1072" i="10" s="1"/>
  <c r="H1071" i="10" s="1"/>
  <c r="H1070" i="10" s="1"/>
  <c r="H1069" i="10" s="1"/>
  <c r="H1068" i="10" s="1"/>
  <c r="H1067" i="10" s="1"/>
  <c r="H1066" i="10" s="1"/>
  <c r="H1065" i="10" s="1"/>
  <c r="H1064" i="10" s="1"/>
  <c r="H1063" i="10" s="1"/>
  <c r="H1062" i="10" s="1"/>
  <c r="H1061" i="10" s="1"/>
  <c r="H1060" i="10" s="1"/>
  <c r="H1059" i="10" s="1"/>
  <c r="H1058" i="10" s="1"/>
  <c r="H1057" i="10" s="1"/>
  <c r="H1056" i="10" s="1"/>
  <c r="H1055" i="10" s="1"/>
  <c r="H1054" i="10" s="1"/>
  <c r="H1053" i="10" s="1"/>
  <c r="H1052" i="10" s="1"/>
  <c r="H1051" i="10" s="1"/>
  <c r="H1050" i="10" s="1"/>
  <c r="H1049" i="10" s="1"/>
  <c r="H1048" i="10" s="1"/>
  <c r="H1047" i="10" s="1"/>
  <c r="H1046" i="10" s="1"/>
  <c r="H1045" i="10" s="1"/>
  <c r="H1044" i="10" s="1"/>
  <c r="H1043" i="10" s="1"/>
  <c r="H1042" i="10" s="1"/>
  <c r="H1041" i="10" s="1"/>
  <c r="H1040" i="10" s="1"/>
  <c r="H1039" i="10" s="1"/>
  <c r="H1038" i="10" s="1"/>
  <c r="H1037" i="10" s="1"/>
  <c r="H1036" i="10" s="1"/>
  <c r="H1035" i="10" s="1"/>
  <c r="H1034" i="10" s="1"/>
  <c r="H1033" i="10" s="1"/>
  <c r="H1032" i="10" s="1"/>
  <c r="H1031" i="10" s="1"/>
  <c r="H1030" i="10" s="1"/>
  <c r="H1029" i="10" s="1"/>
  <c r="H1028" i="10" s="1"/>
  <c r="H1027" i="10" s="1"/>
  <c r="H1026" i="10" s="1"/>
  <c r="H1025" i="10" s="1"/>
  <c r="H1024" i="10" s="1"/>
  <c r="H1023" i="10" s="1"/>
  <c r="H1022" i="10" s="1"/>
  <c r="H1021" i="10" s="1"/>
  <c r="H1020" i="10" s="1"/>
  <c r="H1019" i="10" s="1"/>
  <c r="H1018" i="10" s="1"/>
  <c r="H1017" i="10" s="1"/>
  <c r="H1016" i="10" s="1"/>
  <c r="H1015" i="10" s="1"/>
  <c r="H1014" i="10" s="1"/>
  <c r="H1013" i="10" s="1"/>
  <c r="H1012" i="10" s="1"/>
  <c r="H1011" i="10" s="1"/>
  <c r="H1010" i="10" s="1"/>
  <c r="H1009" i="10" s="1"/>
  <c r="H1008" i="10" s="1"/>
  <c r="H1007" i="10" s="1"/>
  <c r="H1006" i="10" s="1"/>
  <c r="H1005" i="10" s="1"/>
  <c r="H1004" i="10" s="1"/>
  <c r="H1003" i="10" s="1"/>
  <c r="H1002" i="10" s="1"/>
  <c r="H1001" i="10" s="1"/>
  <c r="H1000" i="10" s="1"/>
  <c r="H999" i="10" s="1"/>
  <c r="H998" i="10" s="1"/>
  <c r="H997" i="10" s="1"/>
  <c r="H996" i="10" s="1"/>
  <c r="H995" i="10" s="1"/>
  <c r="H994" i="10" s="1"/>
  <c r="H993" i="10" s="1"/>
  <c r="H992" i="10" s="1"/>
  <c r="H991" i="10" s="1"/>
  <c r="H990" i="10" s="1"/>
  <c r="H989" i="10" s="1"/>
  <c r="H988" i="10" s="1"/>
  <c r="H987" i="10" s="1"/>
  <c r="H986" i="10" s="1"/>
  <c r="H985" i="10" s="1"/>
  <c r="H984" i="10" s="1"/>
  <c r="H983" i="10" s="1"/>
  <c r="H982" i="10" s="1"/>
  <c r="H981" i="10" s="1"/>
  <c r="H980" i="10" s="1"/>
  <c r="H979" i="10" s="1"/>
  <c r="H978" i="10" s="1"/>
  <c r="H977" i="10" s="1"/>
  <c r="H976" i="10" s="1"/>
  <c r="H975" i="10" s="1"/>
  <c r="H974" i="10" s="1"/>
  <c r="H973" i="10" s="1"/>
  <c r="H972" i="10" s="1"/>
  <c r="H971" i="10" s="1"/>
  <c r="H970" i="10" s="1"/>
  <c r="H969" i="10" s="1"/>
  <c r="H968" i="10" s="1"/>
  <c r="H967" i="10" s="1"/>
  <c r="H966" i="10" s="1"/>
  <c r="H965" i="10" s="1"/>
  <c r="H964" i="10" s="1"/>
  <c r="H963" i="10" s="1"/>
  <c r="H962" i="10" s="1"/>
  <c r="H961" i="10" s="1"/>
  <c r="H960" i="10" s="1"/>
  <c r="H959" i="10" s="1"/>
  <c r="H958" i="10" s="1"/>
  <c r="H957" i="10" s="1"/>
  <c r="H956" i="10" s="1"/>
  <c r="H955" i="10" s="1"/>
  <c r="H954" i="10" s="1"/>
  <c r="H953" i="10" s="1"/>
  <c r="H952" i="10" s="1"/>
  <c r="H951" i="10" s="1"/>
  <c r="H950" i="10" s="1"/>
  <c r="H949" i="10" s="1"/>
  <c r="H948" i="10" s="1"/>
  <c r="H947" i="10" s="1"/>
  <c r="H946" i="10" s="1"/>
  <c r="H945" i="10" s="1"/>
  <c r="H944" i="10" s="1"/>
  <c r="H943" i="10" s="1"/>
  <c r="H942" i="10" s="1"/>
  <c r="H941" i="10" s="1"/>
  <c r="H940" i="10" s="1"/>
  <c r="H939" i="10" s="1"/>
  <c r="H938" i="10" s="1"/>
  <c r="H937" i="10" s="1"/>
  <c r="H936" i="10" s="1"/>
  <c r="H935" i="10" s="1"/>
  <c r="H934" i="10" s="1"/>
  <c r="H933" i="10" s="1"/>
  <c r="H932" i="10" s="1"/>
  <c r="H931" i="10" s="1"/>
  <c r="H930" i="10" s="1"/>
  <c r="H929" i="10" s="1"/>
  <c r="H928" i="10" s="1"/>
  <c r="H927" i="10" s="1"/>
  <c r="H926" i="10" s="1"/>
  <c r="H925" i="10" s="1"/>
  <c r="H924" i="10" s="1"/>
  <c r="H923" i="10" s="1"/>
  <c r="H922" i="10" s="1"/>
  <c r="H921" i="10" s="1"/>
  <c r="H920" i="10" s="1"/>
  <c r="H919" i="10" s="1"/>
  <c r="H918" i="10" s="1"/>
  <c r="H917" i="10" s="1"/>
  <c r="H916" i="10" s="1"/>
  <c r="H915" i="10" s="1"/>
  <c r="H914" i="10" s="1"/>
  <c r="H913" i="10" s="1"/>
  <c r="H912" i="10" s="1"/>
  <c r="H911" i="10" s="1"/>
  <c r="H910" i="10" s="1"/>
  <c r="H909" i="10" s="1"/>
  <c r="H908" i="10" s="1"/>
  <c r="H907" i="10" s="1"/>
  <c r="H906" i="10" s="1"/>
  <c r="H905" i="10" s="1"/>
  <c r="H904" i="10" s="1"/>
  <c r="H903" i="10" s="1"/>
  <c r="H902" i="10" s="1"/>
  <c r="H901" i="10" s="1"/>
  <c r="H900" i="10" s="1"/>
  <c r="H899" i="10" s="1"/>
  <c r="H898" i="10" s="1"/>
  <c r="H897" i="10" s="1"/>
  <c r="H896" i="10" s="1"/>
  <c r="H895" i="10" s="1"/>
  <c r="H894" i="10" s="1"/>
  <c r="H893" i="10" s="1"/>
  <c r="H892" i="10" s="1"/>
  <c r="H891" i="10" s="1"/>
  <c r="H890" i="10" s="1"/>
  <c r="H889" i="10" s="1"/>
  <c r="H888" i="10" s="1"/>
  <c r="H887" i="10" s="1"/>
  <c r="H886" i="10" s="1"/>
  <c r="H885" i="10" s="1"/>
  <c r="H884" i="10" s="1"/>
  <c r="H883" i="10" s="1"/>
  <c r="H882" i="10" s="1"/>
  <c r="H881" i="10" s="1"/>
  <c r="H880" i="10" s="1"/>
  <c r="H879" i="10" s="1"/>
  <c r="H878" i="10" s="1"/>
  <c r="H877" i="10" s="1"/>
  <c r="H876" i="10" s="1"/>
  <c r="H875" i="10" s="1"/>
  <c r="H874" i="10" s="1"/>
  <c r="H873" i="10" s="1"/>
  <c r="H872" i="10" s="1"/>
  <c r="H871" i="10" s="1"/>
  <c r="H870" i="10" s="1"/>
  <c r="H869" i="10" s="1"/>
  <c r="H868" i="10" s="1"/>
  <c r="H867" i="10" s="1"/>
  <c r="H866" i="10" s="1"/>
  <c r="H865" i="10" s="1"/>
  <c r="H864" i="10" s="1"/>
  <c r="H863" i="10" s="1"/>
  <c r="H862" i="10" s="1"/>
  <c r="H861" i="10" s="1"/>
  <c r="H860" i="10" s="1"/>
  <c r="H859" i="10" s="1"/>
  <c r="H858" i="10" s="1"/>
  <c r="H857" i="10" s="1"/>
  <c r="H856" i="10" s="1"/>
  <c r="H855" i="10" s="1"/>
  <c r="H854" i="10" s="1"/>
  <c r="H853" i="10" s="1"/>
  <c r="H852" i="10" s="1"/>
  <c r="H851" i="10" s="1"/>
  <c r="H850" i="10" s="1"/>
  <c r="H849" i="10" s="1"/>
  <c r="H848" i="10" s="1"/>
  <c r="H847" i="10" s="1"/>
  <c r="H846" i="10" s="1"/>
  <c r="H845" i="10" s="1"/>
  <c r="H844" i="10" s="1"/>
  <c r="H843" i="10" s="1"/>
  <c r="H842" i="10" s="1"/>
  <c r="H841" i="10" s="1"/>
  <c r="H840" i="10" s="1"/>
  <c r="H839" i="10" s="1"/>
  <c r="H838" i="10" s="1"/>
  <c r="H837" i="10" s="1"/>
  <c r="H836" i="10" s="1"/>
  <c r="H835" i="10" s="1"/>
  <c r="H834" i="10" s="1"/>
  <c r="H833" i="10" s="1"/>
  <c r="H832" i="10" s="1"/>
  <c r="H831" i="10" s="1"/>
  <c r="H830" i="10" s="1"/>
  <c r="H829" i="10" s="1"/>
  <c r="H828" i="10" s="1"/>
  <c r="H827" i="10" s="1"/>
  <c r="H826" i="10" s="1"/>
  <c r="H825" i="10" s="1"/>
  <c r="H824" i="10" s="1"/>
  <c r="H823" i="10" s="1"/>
  <c r="H822" i="10" s="1"/>
  <c r="H821" i="10" s="1"/>
  <c r="H820" i="10" s="1"/>
  <c r="H819" i="10" s="1"/>
  <c r="H818" i="10" s="1"/>
  <c r="H817" i="10" s="1"/>
  <c r="H816" i="10" s="1"/>
  <c r="H815" i="10" s="1"/>
  <c r="H814" i="10" s="1"/>
  <c r="H813" i="10" s="1"/>
  <c r="H812" i="10" s="1"/>
  <c r="H811" i="10" s="1"/>
  <c r="H810" i="10" s="1"/>
  <c r="H809" i="10" s="1"/>
  <c r="H808" i="10" s="1"/>
  <c r="H807" i="10" s="1"/>
  <c r="H806" i="10" s="1"/>
  <c r="H805" i="10" s="1"/>
  <c r="H804" i="10" s="1"/>
  <c r="H803" i="10" s="1"/>
  <c r="H802" i="10" s="1"/>
  <c r="H801" i="10" s="1"/>
  <c r="H800" i="10" s="1"/>
  <c r="H799" i="10" s="1"/>
  <c r="H798" i="10" s="1"/>
  <c r="H797" i="10" s="1"/>
  <c r="H796" i="10" s="1"/>
  <c r="H795" i="10" s="1"/>
  <c r="H794" i="10" s="1"/>
  <c r="H793" i="10" s="1"/>
  <c r="H792" i="10" s="1"/>
  <c r="H791" i="10" s="1"/>
  <c r="H790" i="10" s="1"/>
  <c r="H789" i="10" s="1"/>
  <c r="H788" i="10" s="1"/>
  <c r="H787" i="10" s="1"/>
  <c r="H786" i="10" s="1"/>
  <c r="H785" i="10" s="1"/>
  <c r="H784" i="10" s="1"/>
  <c r="H783" i="10" s="1"/>
  <c r="H782" i="10" s="1"/>
  <c r="H781" i="10" s="1"/>
  <c r="H780" i="10" s="1"/>
  <c r="H779" i="10" s="1"/>
  <c r="H778" i="10" s="1"/>
  <c r="H777" i="10" s="1"/>
  <c r="H776" i="10" s="1"/>
  <c r="H775" i="10" s="1"/>
  <c r="H774" i="10" s="1"/>
  <c r="H773" i="10" s="1"/>
  <c r="H772" i="10" s="1"/>
  <c r="H771" i="10" s="1"/>
  <c r="H770" i="10" s="1"/>
  <c r="H769" i="10" s="1"/>
  <c r="H768" i="10" s="1"/>
  <c r="H767" i="10" s="1"/>
  <c r="H766" i="10" s="1"/>
  <c r="H765" i="10" s="1"/>
  <c r="H764" i="10" s="1"/>
  <c r="H763" i="10" s="1"/>
  <c r="H762" i="10" s="1"/>
  <c r="H761" i="10" s="1"/>
  <c r="H760" i="10" s="1"/>
  <c r="H759" i="10" s="1"/>
  <c r="H758" i="10" s="1"/>
  <c r="H757" i="10" s="1"/>
  <c r="H756" i="10" s="1"/>
  <c r="H755" i="10" s="1"/>
  <c r="H754" i="10" s="1"/>
  <c r="H753" i="10" s="1"/>
  <c r="H752" i="10" s="1"/>
  <c r="H751" i="10" s="1"/>
  <c r="H750" i="10" s="1"/>
  <c r="H749" i="10" s="1"/>
  <c r="H748" i="10" s="1"/>
  <c r="H747" i="10" s="1"/>
  <c r="H746" i="10" s="1"/>
  <c r="H745" i="10" s="1"/>
  <c r="H744" i="10" s="1"/>
  <c r="H743" i="10" s="1"/>
  <c r="H742" i="10" s="1"/>
  <c r="H741" i="10" s="1"/>
  <c r="H740" i="10" s="1"/>
  <c r="H739" i="10" s="1"/>
  <c r="H738" i="10" s="1"/>
  <c r="H737" i="10" s="1"/>
  <c r="H736" i="10" s="1"/>
  <c r="H735" i="10" s="1"/>
  <c r="H734" i="10" s="1"/>
  <c r="H733" i="10" s="1"/>
  <c r="H732" i="10" s="1"/>
  <c r="H731" i="10" s="1"/>
  <c r="H730" i="10" s="1"/>
  <c r="H729" i="10" s="1"/>
  <c r="H728" i="10" s="1"/>
  <c r="H727" i="10" s="1"/>
  <c r="H726" i="10" s="1"/>
  <c r="H725" i="10" s="1"/>
  <c r="H724" i="10" s="1"/>
  <c r="H723" i="10" s="1"/>
  <c r="H722" i="10" s="1"/>
  <c r="H721" i="10" s="1"/>
  <c r="H720" i="10" s="1"/>
  <c r="H719" i="10" s="1"/>
  <c r="H718" i="10" s="1"/>
  <c r="H717" i="10" s="1"/>
  <c r="H716" i="10" s="1"/>
  <c r="H715" i="10" s="1"/>
  <c r="H714" i="10" s="1"/>
  <c r="H713" i="10" s="1"/>
  <c r="H712" i="10" s="1"/>
  <c r="H711" i="10" s="1"/>
  <c r="H710" i="10" s="1"/>
  <c r="H709" i="10" s="1"/>
  <c r="H708" i="10" s="1"/>
  <c r="H707" i="10" s="1"/>
  <c r="H706" i="10" s="1"/>
  <c r="H705" i="10" s="1"/>
  <c r="H704" i="10" s="1"/>
  <c r="H703" i="10" s="1"/>
  <c r="H702" i="10" s="1"/>
  <c r="H701" i="10" s="1"/>
  <c r="H700" i="10" s="1"/>
  <c r="H699" i="10" s="1"/>
  <c r="H698" i="10" s="1"/>
  <c r="H697" i="10" s="1"/>
  <c r="H696" i="10" s="1"/>
  <c r="H695" i="10" s="1"/>
  <c r="H694" i="10" s="1"/>
  <c r="H693" i="10" s="1"/>
  <c r="H692" i="10" s="1"/>
  <c r="H691" i="10" s="1"/>
  <c r="H690" i="10" s="1"/>
  <c r="H689" i="10" s="1"/>
  <c r="H688" i="10" s="1"/>
  <c r="H687" i="10" s="1"/>
  <c r="H686" i="10" s="1"/>
  <c r="H685" i="10" s="1"/>
  <c r="H684" i="10" s="1"/>
  <c r="H683" i="10" s="1"/>
  <c r="H682" i="10" s="1"/>
  <c r="H681" i="10" s="1"/>
  <c r="H680" i="10" s="1"/>
  <c r="H679" i="10" s="1"/>
  <c r="H678" i="10" s="1"/>
  <c r="H677" i="10" s="1"/>
  <c r="H676" i="10" s="1"/>
  <c r="H675" i="10" s="1"/>
  <c r="H674" i="10" s="1"/>
  <c r="H673" i="10" s="1"/>
  <c r="H672" i="10" s="1"/>
  <c r="H671" i="10" s="1"/>
  <c r="H670" i="10" s="1"/>
  <c r="H669" i="10" s="1"/>
  <c r="H668" i="10" s="1"/>
  <c r="H667" i="10" s="1"/>
  <c r="H666" i="10" s="1"/>
  <c r="H665" i="10" s="1"/>
  <c r="H664" i="10" s="1"/>
  <c r="H663" i="10" s="1"/>
  <c r="H662" i="10" s="1"/>
  <c r="H661" i="10" s="1"/>
  <c r="H660" i="10" s="1"/>
  <c r="H659" i="10" s="1"/>
  <c r="H658" i="10" s="1"/>
  <c r="H657" i="10" s="1"/>
  <c r="H656" i="10" s="1"/>
  <c r="H655" i="10" s="1"/>
  <c r="H654" i="10" s="1"/>
  <c r="H653" i="10" s="1"/>
  <c r="H652" i="10" s="1"/>
  <c r="H651" i="10" s="1"/>
  <c r="H650" i="10" s="1"/>
  <c r="H649" i="10" s="1"/>
  <c r="H648" i="10" s="1"/>
  <c r="H647" i="10" s="1"/>
  <c r="H646" i="10" s="1"/>
  <c r="H645" i="10" s="1"/>
  <c r="H644" i="10" s="1"/>
  <c r="H643" i="10" s="1"/>
  <c r="H642" i="10" s="1"/>
  <c r="H641" i="10" s="1"/>
  <c r="H640" i="10" s="1"/>
  <c r="H639" i="10" s="1"/>
  <c r="H638" i="10" s="1"/>
  <c r="H637" i="10" s="1"/>
  <c r="H636" i="10" s="1"/>
  <c r="H635" i="10" s="1"/>
  <c r="H634" i="10" s="1"/>
  <c r="H633" i="10" s="1"/>
  <c r="H632" i="10" s="1"/>
  <c r="H631" i="10" s="1"/>
  <c r="H630" i="10" s="1"/>
  <c r="H629" i="10" s="1"/>
  <c r="H628" i="10" s="1"/>
  <c r="H627" i="10" s="1"/>
  <c r="H626" i="10" s="1"/>
  <c r="H625" i="10" s="1"/>
  <c r="H624" i="10" s="1"/>
  <c r="H623" i="10" s="1"/>
  <c r="H622" i="10" s="1"/>
  <c r="H621" i="10" s="1"/>
  <c r="H620" i="10" s="1"/>
  <c r="H619" i="10" s="1"/>
  <c r="H618" i="10" s="1"/>
  <c r="H617" i="10" s="1"/>
  <c r="H616" i="10" s="1"/>
  <c r="H615" i="10" s="1"/>
  <c r="H614" i="10" s="1"/>
  <c r="H613" i="10" s="1"/>
  <c r="H612" i="10" s="1"/>
  <c r="H611" i="10" s="1"/>
  <c r="H610" i="10" s="1"/>
  <c r="H609" i="10" s="1"/>
  <c r="H608" i="10" s="1"/>
  <c r="H607" i="10" s="1"/>
  <c r="H606" i="10" s="1"/>
  <c r="H605" i="10" s="1"/>
  <c r="H604" i="10" s="1"/>
  <c r="H603" i="10" s="1"/>
  <c r="H602" i="10" s="1"/>
  <c r="H601" i="10" s="1"/>
  <c r="H600" i="10" s="1"/>
  <c r="H599" i="10" s="1"/>
  <c r="H598" i="10" s="1"/>
  <c r="H597" i="10" s="1"/>
  <c r="H596" i="10" s="1"/>
  <c r="H595" i="10" s="1"/>
  <c r="H594" i="10" s="1"/>
  <c r="H593" i="10" s="1"/>
  <c r="H592" i="10" s="1"/>
  <c r="H591" i="10" s="1"/>
  <c r="H590" i="10" s="1"/>
  <c r="H589" i="10" s="1"/>
  <c r="H588" i="10" s="1"/>
  <c r="H587" i="10" s="1"/>
  <c r="H586" i="10" s="1"/>
  <c r="H585" i="10" s="1"/>
  <c r="H584" i="10" s="1"/>
  <c r="H583" i="10" s="1"/>
  <c r="H582" i="10" s="1"/>
  <c r="H581" i="10" s="1"/>
  <c r="H580" i="10" s="1"/>
  <c r="H579" i="10" s="1"/>
  <c r="H578" i="10" s="1"/>
  <c r="H577" i="10" s="1"/>
  <c r="H576" i="10" s="1"/>
  <c r="H575" i="10" s="1"/>
  <c r="H574" i="10" s="1"/>
  <c r="H573" i="10" s="1"/>
  <c r="H572" i="10" s="1"/>
  <c r="H571" i="10" s="1"/>
  <c r="H570" i="10" s="1"/>
  <c r="H569" i="10" s="1"/>
  <c r="H568" i="10" s="1"/>
  <c r="H567" i="10" s="1"/>
  <c r="H566" i="10" s="1"/>
  <c r="H565" i="10" s="1"/>
  <c r="H564" i="10" s="1"/>
  <c r="H563" i="10" s="1"/>
  <c r="H562" i="10" s="1"/>
  <c r="H561" i="10" s="1"/>
  <c r="H560" i="10" s="1"/>
  <c r="H559" i="10" s="1"/>
  <c r="H558" i="10" s="1"/>
  <c r="H557" i="10" s="1"/>
  <c r="H556" i="10" s="1"/>
  <c r="H555" i="10" s="1"/>
  <c r="H554" i="10" s="1"/>
  <c r="H553" i="10" s="1"/>
  <c r="H552" i="10" s="1"/>
  <c r="H551" i="10" s="1"/>
  <c r="H550" i="10" s="1"/>
  <c r="H549" i="10" s="1"/>
  <c r="H548" i="10" s="1"/>
  <c r="H547" i="10" s="1"/>
  <c r="H546" i="10" s="1"/>
  <c r="H545" i="10" s="1"/>
  <c r="H544" i="10" s="1"/>
  <c r="H543" i="10" s="1"/>
  <c r="H542" i="10" s="1"/>
  <c r="H541" i="10" s="1"/>
  <c r="H540" i="10" s="1"/>
  <c r="H539" i="10" s="1"/>
  <c r="H538" i="10" s="1"/>
  <c r="H537" i="10" s="1"/>
  <c r="H536" i="10" s="1"/>
  <c r="H535" i="10" s="1"/>
  <c r="H534" i="10" s="1"/>
  <c r="H533" i="10" s="1"/>
  <c r="H532" i="10" s="1"/>
  <c r="H531" i="10" s="1"/>
  <c r="H530" i="10" s="1"/>
  <c r="H529" i="10" s="1"/>
  <c r="H528" i="10" s="1"/>
  <c r="H527" i="10" s="1"/>
  <c r="H526" i="10" s="1"/>
  <c r="H525" i="10" s="1"/>
  <c r="H524" i="10" s="1"/>
  <c r="H523" i="10" s="1"/>
  <c r="H522" i="10" s="1"/>
  <c r="H521" i="10" s="1"/>
  <c r="H520" i="10" s="1"/>
  <c r="H519" i="10" s="1"/>
  <c r="H518" i="10" s="1"/>
  <c r="H517" i="10" s="1"/>
  <c r="H516" i="10" s="1"/>
  <c r="H515" i="10" s="1"/>
  <c r="H514" i="10" s="1"/>
  <c r="H513" i="10" s="1"/>
  <c r="H512" i="10" s="1"/>
  <c r="H511" i="10" s="1"/>
  <c r="H510" i="10" s="1"/>
  <c r="H509" i="10" s="1"/>
  <c r="H508" i="10" s="1"/>
  <c r="H507" i="10" s="1"/>
  <c r="H506" i="10" s="1"/>
  <c r="H505" i="10" s="1"/>
  <c r="H504" i="10" s="1"/>
  <c r="H503" i="10" s="1"/>
  <c r="H502" i="10" s="1"/>
  <c r="H501" i="10" s="1"/>
  <c r="H500" i="10" s="1"/>
  <c r="H499" i="10" s="1"/>
  <c r="H498" i="10" s="1"/>
  <c r="H497" i="10" s="1"/>
  <c r="H496" i="10" s="1"/>
  <c r="H495" i="10" s="1"/>
  <c r="H494" i="10" s="1"/>
  <c r="H493" i="10" s="1"/>
  <c r="H492" i="10" s="1"/>
  <c r="H491" i="10" s="1"/>
  <c r="H490" i="10" s="1"/>
  <c r="H489" i="10" s="1"/>
  <c r="H488" i="10" s="1"/>
  <c r="H487" i="10" s="1"/>
  <c r="H486" i="10" s="1"/>
  <c r="H485" i="10" s="1"/>
  <c r="H484" i="10" s="1"/>
  <c r="H483" i="10" s="1"/>
  <c r="H482" i="10" s="1"/>
  <c r="H481" i="10" s="1"/>
  <c r="H480" i="10" s="1"/>
  <c r="H479" i="10" s="1"/>
  <c r="H478" i="10" s="1"/>
  <c r="H477" i="10" s="1"/>
  <c r="H476" i="10" s="1"/>
  <c r="H475" i="10" s="1"/>
  <c r="H474" i="10" s="1"/>
  <c r="H473" i="10" s="1"/>
  <c r="H472" i="10" s="1"/>
  <c r="H471" i="10" s="1"/>
  <c r="H470" i="10" s="1"/>
  <c r="H469" i="10" s="1"/>
  <c r="H468" i="10" s="1"/>
  <c r="H467" i="10" s="1"/>
  <c r="H466" i="10" s="1"/>
  <c r="H465" i="10" s="1"/>
  <c r="H464" i="10" s="1"/>
  <c r="H463" i="10" s="1"/>
  <c r="H462" i="10" s="1"/>
  <c r="H461" i="10" s="1"/>
  <c r="H460" i="10" s="1"/>
  <c r="H459" i="10" s="1"/>
  <c r="H458" i="10" s="1"/>
  <c r="H457" i="10" s="1"/>
  <c r="H456" i="10" s="1"/>
  <c r="H455" i="10" s="1"/>
  <c r="H454" i="10" s="1"/>
  <c r="H453" i="10" s="1"/>
  <c r="H452" i="10" s="1"/>
  <c r="H451" i="10" s="1"/>
  <c r="H450" i="10" s="1"/>
  <c r="H449" i="10" s="1"/>
  <c r="H448" i="10" s="1"/>
  <c r="H447" i="10" s="1"/>
  <c r="H446" i="10" s="1"/>
  <c r="H445" i="10" s="1"/>
  <c r="H444" i="10" s="1"/>
  <c r="H443" i="10" s="1"/>
  <c r="H442" i="10" s="1"/>
  <c r="H441" i="10" s="1"/>
  <c r="H440" i="10" s="1"/>
  <c r="H439" i="10" s="1"/>
  <c r="H438" i="10" s="1"/>
  <c r="H437" i="10" s="1"/>
  <c r="H436" i="10" s="1"/>
  <c r="H435" i="10" s="1"/>
  <c r="H434" i="10" s="1"/>
  <c r="H433" i="10" s="1"/>
  <c r="H432" i="10" s="1"/>
  <c r="H431" i="10" s="1"/>
  <c r="H430" i="10" s="1"/>
  <c r="H429" i="10" s="1"/>
  <c r="H428" i="10" s="1"/>
  <c r="H427" i="10" s="1"/>
  <c r="H426" i="10" s="1"/>
  <c r="H425" i="10" s="1"/>
  <c r="H424" i="10" s="1"/>
  <c r="H423" i="10" s="1"/>
  <c r="H422" i="10" s="1"/>
  <c r="H421" i="10" s="1"/>
  <c r="H420" i="10" s="1"/>
  <c r="H419" i="10" s="1"/>
  <c r="H418" i="10" s="1"/>
  <c r="H417" i="10" s="1"/>
  <c r="H416" i="10" s="1"/>
  <c r="H415" i="10" s="1"/>
  <c r="H414" i="10" s="1"/>
  <c r="H413" i="10" s="1"/>
  <c r="H412" i="10" s="1"/>
  <c r="H411" i="10" s="1"/>
  <c r="H410" i="10" s="1"/>
  <c r="H409" i="10" s="1"/>
  <c r="H408" i="10" s="1"/>
  <c r="H407" i="10" s="1"/>
  <c r="H406" i="10" s="1"/>
  <c r="H405" i="10" s="1"/>
  <c r="H404" i="10" s="1"/>
  <c r="H403" i="10" s="1"/>
  <c r="H402" i="10" s="1"/>
  <c r="H401" i="10" s="1"/>
  <c r="H400" i="10" s="1"/>
  <c r="H399" i="10" s="1"/>
  <c r="H398" i="10" s="1"/>
  <c r="H397" i="10" s="1"/>
  <c r="H396" i="10" s="1"/>
  <c r="H395" i="10" s="1"/>
  <c r="H394" i="10" s="1"/>
  <c r="H393" i="10" s="1"/>
  <c r="H392" i="10" s="1"/>
  <c r="H391" i="10" s="1"/>
  <c r="H390" i="10" s="1"/>
  <c r="H389" i="10" s="1"/>
  <c r="H388" i="10" s="1"/>
  <c r="H387" i="10" s="1"/>
  <c r="H386" i="10" s="1"/>
  <c r="H385" i="10" s="1"/>
  <c r="H384" i="10" s="1"/>
  <c r="H383" i="10" s="1"/>
  <c r="H382" i="10" s="1"/>
  <c r="H381" i="10" s="1"/>
  <c r="H380" i="10" s="1"/>
  <c r="H379" i="10" s="1"/>
  <c r="H378" i="10" s="1"/>
  <c r="H377" i="10" s="1"/>
  <c r="H376" i="10" s="1"/>
  <c r="H375" i="10" s="1"/>
  <c r="H374" i="10" s="1"/>
  <c r="H373" i="10" s="1"/>
  <c r="H372" i="10" s="1"/>
  <c r="H371" i="10" s="1"/>
  <c r="H370" i="10" s="1"/>
  <c r="H369" i="10" s="1"/>
  <c r="H368" i="10" s="1"/>
  <c r="H367" i="10" s="1"/>
  <c r="H366" i="10" s="1"/>
  <c r="H365" i="10" s="1"/>
  <c r="H364" i="10" s="1"/>
  <c r="H363" i="10" s="1"/>
  <c r="H362" i="10" s="1"/>
  <c r="H361" i="10" s="1"/>
  <c r="H360" i="10" s="1"/>
  <c r="H359" i="10" s="1"/>
  <c r="H358" i="10" s="1"/>
  <c r="H357" i="10" s="1"/>
  <c r="H356" i="10" s="1"/>
  <c r="H355" i="10" s="1"/>
  <c r="H354" i="10" s="1"/>
  <c r="H353" i="10" s="1"/>
  <c r="H352" i="10" s="1"/>
  <c r="H351" i="10" s="1"/>
  <c r="H350" i="10" s="1"/>
  <c r="H349" i="10" s="1"/>
  <c r="H348" i="10" s="1"/>
  <c r="H347" i="10" s="1"/>
  <c r="H346" i="10" s="1"/>
  <c r="H345" i="10" s="1"/>
  <c r="H344" i="10" s="1"/>
  <c r="H343" i="10" s="1"/>
  <c r="H342" i="10" s="1"/>
  <c r="H341" i="10" s="1"/>
  <c r="H340" i="10" s="1"/>
  <c r="H339" i="10" s="1"/>
  <c r="H338" i="10" s="1"/>
  <c r="H337" i="10" s="1"/>
  <c r="H336" i="10" s="1"/>
  <c r="H335" i="10" s="1"/>
  <c r="H334" i="10" s="1"/>
  <c r="H333" i="10" s="1"/>
  <c r="H332" i="10" s="1"/>
  <c r="H331" i="10" s="1"/>
  <c r="H330" i="10" s="1"/>
  <c r="H329" i="10" s="1"/>
  <c r="H328" i="10" s="1"/>
  <c r="H327" i="10" s="1"/>
  <c r="H326" i="10" s="1"/>
  <c r="H325" i="10" s="1"/>
  <c r="H324" i="10" s="1"/>
  <c r="H323" i="10" s="1"/>
  <c r="H322" i="10" s="1"/>
  <c r="H321" i="10" s="1"/>
  <c r="H320" i="10" s="1"/>
  <c r="H319" i="10" s="1"/>
  <c r="H318" i="10" s="1"/>
  <c r="H317" i="10" s="1"/>
  <c r="H316" i="10" s="1"/>
  <c r="H315" i="10" s="1"/>
  <c r="H314" i="10" s="1"/>
  <c r="H313" i="10" s="1"/>
  <c r="H312" i="10" s="1"/>
  <c r="H311" i="10" s="1"/>
  <c r="H310" i="10" s="1"/>
  <c r="H309" i="10" s="1"/>
  <c r="H308" i="10" s="1"/>
  <c r="H307" i="10" s="1"/>
  <c r="H306" i="10" s="1"/>
  <c r="H305" i="10" s="1"/>
  <c r="H304" i="10" s="1"/>
  <c r="H303" i="10" s="1"/>
  <c r="H302" i="10" s="1"/>
  <c r="H301" i="10" s="1"/>
  <c r="H300" i="10" s="1"/>
  <c r="H299" i="10" s="1"/>
  <c r="H298" i="10" s="1"/>
  <c r="H297" i="10" s="1"/>
  <c r="H296" i="10" s="1"/>
  <c r="H295" i="10" s="1"/>
  <c r="H294" i="10" s="1"/>
  <c r="H293" i="10" s="1"/>
  <c r="H292" i="10" s="1"/>
  <c r="H291" i="10" s="1"/>
  <c r="H290" i="10" s="1"/>
  <c r="H289" i="10" s="1"/>
  <c r="H288" i="10" s="1"/>
  <c r="H287" i="10" s="1"/>
  <c r="H286" i="10" s="1"/>
  <c r="H285" i="10" s="1"/>
  <c r="H284" i="10" s="1"/>
  <c r="H283" i="10" s="1"/>
  <c r="H282" i="10" s="1"/>
  <c r="H281" i="10" s="1"/>
  <c r="H280" i="10" s="1"/>
  <c r="H279" i="10" s="1"/>
  <c r="H278" i="10" s="1"/>
  <c r="H277" i="10" s="1"/>
  <c r="H276" i="10" s="1"/>
  <c r="H275" i="10" s="1"/>
  <c r="H274" i="10" s="1"/>
  <c r="H273" i="10" s="1"/>
  <c r="H272" i="10" s="1"/>
  <c r="H271" i="10" s="1"/>
  <c r="H270" i="10" s="1"/>
  <c r="H269" i="10" s="1"/>
  <c r="H268" i="10" s="1"/>
  <c r="H267" i="10" s="1"/>
  <c r="H266" i="10" s="1"/>
  <c r="H265" i="10" s="1"/>
  <c r="H264" i="10" s="1"/>
  <c r="H263" i="10" s="1"/>
  <c r="H262" i="10" s="1"/>
  <c r="H261" i="10" s="1"/>
  <c r="H260" i="10" s="1"/>
  <c r="H259" i="10" s="1"/>
  <c r="H258" i="10" s="1"/>
  <c r="H257" i="10" s="1"/>
  <c r="H256" i="10" s="1"/>
  <c r="H255" i="10" s="1"/>
  <c r="H254" i="10" s="1"/>
  <c r="H253" i="10" s="1"/>
  <c r="H252" i="10" s="1"/>
  <c r="H251" i="10" s="1"/>
  <c r="H250" i="10" s="1"/>
  <c r="H249" i="10" s="1"/>
  <c r="H248" i="10" s="1"/>
  <c r="H247" i="10" s="1"/>
  <c r="H246" i="10" s="1"/>
  <c r="H245" i="10" s="1"/>
  <c r="H244" i="10" s="1"/>
  <c r="H243" i="10" s="1"/>
  <c r="H242" i="10" s="1"/>
  <c r="H241" i="10" s="1"/>
  <c r="H240" i="10" s="1"/>
  <c r="H239" i="10" s="1"/>
  <c r="H238" i="10" s="1"/>
  <c r="H237" i="10" s="1"/>
  <c r="H236" i="10" s="1"/>
  <c r="H235" i="10" s="1"/>
  <c r="H234" i="10" s="1"/>
  <c r="H233" i="10" s="1"/>
  <c r="H232" i="10" s="1"/>
  <c r="H231" i="10" s="1"/>
  <c r="H230" i="10" s="1"/>
  <c r="H229" i="10" s="1"/>
  <c r="H228" i="10" s="1"/>
  <c r="H227" i="10" s="1"/>
  <c r="H226" i="10" s="1"/>
  <c r="H225" i="10" s="1"/>
  <c r="H224" i="10" s="1"/>
  <c r="H223" i="10" s="1"/>
  <c r="H222" i="10" s="1"/>
  <c r="H221" i="10" s="1"/>
  <c r="H220" i="10" s="1"/>
  <c r="H219" i="10" s="1"/>
  <c r="H218" i="10" s="1"/>
  <c r="H217" i="10" s="1"/>
  <c r="H216" i="10" s="1"/>
  <c r="H215" i="10" s="1"/>
  <c r="H214" i="10" s="1"/>
  <c r="H213" i="10" s="1"/>
  <c r="H212" i="10" s="1"/>
  <c r="H211" i="10" s="1"/>
  <c r="H210" i="10" s="1"/>
  <c r="H209" i="10" s="1"/>
  <c r="H208" i="10" s="1"/>
  <c r="H207" i="10" s="1"/>
  <c r="H206" i="10" s="1"/>
  <c r="H205" i="10" s="1"/>
  <c r="H204" i="10" s="1"/>
  <c r="H203" i="10" s="1"/>
  <c r="H202" i="10" s="1"/>
  <c r="H201" i="10" s="1"/>
  <c r="H200" i="10" s="1"/>
  <c r="H199" i="10" s="1"/>
  <c r="H198" i="10" s="1"/>
  <c r="H197" i="10" s="1"/>
  <c r="H196" i="10" s="1"/>
  <c r="H195" i="10" s="1"/>
  <c r="H194" i="10" s="1"/>
  <c r="H193" i="10" s="1"/>
  <c r="H192" i="10" s="1"/>
  <c r="H191" i="10" s="1"/>
  <c r="H190" i="10" s="1"/>
  <c r="H189" i="10" s="1"/>
  <c r="H188" i="10" s="1"/>
  <c r="H187" i="10" s="1"/>
  <c r="H186" i="10" s="1"/>
  <c r="H185" i="10" s="1"/>
  <c r="H184" i="10" s="1"/>
  <c r="H183" i="10" s="1"/>
  <c r="H182" i="10" s="1"/>
  <c r="H181" i="10" s="1"/>
  <c r="H180" i="10" s="1"/>
  <c r="H179" i="10" s="1"/>
  <c r="H178" i="10" s="1"/>
  <c r="H177" i="10" s="1"/>
  <c r="H176" i="10" s="1"/>
  <c r="H175" i="10" s="1"/>
  <c r="H174" i="10" s="1"/>
  <c r="H173" i="10" s="1"/>
  <c r="H172" i="10" s="1"/>
  <c r="H171" i="10" s="1"/>
  <c r="H170" i="10" s="1"/>
  <c r="H169" i="10" s="1"/>
  <c r="H168" i="10" s="1"/>
  <c r="H167" i="10" s="1"/>
  <c r="H166" i="10" s="1"/>
  <c r="H165" i="10" s="1"/>
  <c r="H164" i="10" s="1"/>
  <c r="H163" i="10" s="1"/>
  <c r="H162" i="10" s="1"/>
  <c r="H161" i="10" s="1"/>
  <c r="H160" i="10" s="1"/>
  <c r="H159" i="10" s="1"/>
  <c r="H158" i="10" s="1"/>
  <c r="H157" i="10" s="1"/>
  <c r="H156" i="10" s="1"/>
  <c r="H155" i="10" s="1"/>
  <c r="H154" i="10" s="1"/>
  <c r="H153" i="10" s="1"/>
  <c r="H152" i="10" s="1"/>
  <c r="H151" i="10" s="1"/>
  <c r="H150" i="10" s="1"/>
  <c r="H149" i="10" s="1"/>
  <c r="H148" i="10" s="1"/>
  <c r="H147" i="10" s="1"/>
  <c r="H146" i="10" s="1"/>
  <c r="H145" i="10" s="1"/>
  <c r="H144" i="10" s="1"/>
  <c r="H143" i="10" s="1"/>
  <c r="H142" i="10" s="1"/>
  <c r="H141" i="10" s="1"/>
  <c r="H140" i="10" s="1"/>
  <c r="H139" i="10" s="1"/>
  <c r="H138" i="10" s="1"/>
  <c r="H137" i="10" s="1"/>
  <c r="H136" i="10" s="1"/>
  <c r="H135" i="10" s="1"/>
  <c r="H134" i="10" s="1"/>
  <c r="H133" i="10" s="1"/>
  <c r="H132" i="10" s="1"/>
  <c r="H131" i="10" s="1"/>
  <c r="H130" i="10" s="1"/>
  <c r="H129" i="10" s="1"/>
  <c r="H128" i="10" s="1"/>
  <c r="H127" i="10" s="1"/>
  <c r="H126" i="10" s="1"/>
  <c r="H125" i="10" s="1"/>
  <c r="H124" i="10" s="1"/>
  <c r="H123" i="10" s="1"/>
  <c r="H122" i="10" s="1"/>
  <c r="H121" i="10" s="1"/>
  <c r="H120" i="10" s="1"/>
  <c r="H119" i="10" s="1"/>
  <c r="H118" i="10" s="1"/>
  <c r="H117" i="10" s="1"/>
  <c r="H116" i="10" s="1"/>
  <c r="H115" i="10" s="1"/>
  <c r="H114" i="10" s="1"/>
  <c r="H113" i="10" s="1"/>
  <c r="H112" i="10" s="1"/>
  <c r="H111" i="10" s="1"/>
  <c r="H110" i="10" s="1"/>
  <c r="H109" i="10" s="1"/>
  <c r="H108" i="10" s="1"/>
  <c r="H107" i="10" s="1"/>
  <c r="H106" i="10" s="1"/>
  <c r="H105" i="10" s="1"/>
  <c r="H104" i="10" s="1"/>
  <c r="H103" i="10" s="1"/>
  <c r="H102" i="10" s="1"/>
  <c r="H101" i="10" s="1"/>
  <c r="H100" i="10" s="1"/>
  <c r="H99" i="10" s="1"/>
  <c r="H98" i="10" s="1"/>
  <c r="H97" i="10" s="1"/>
  <c r="H96" i="10" s="1"/>
  <c r="H95" i="10" s="1"/>
  <c r="H94" i="10" s="1"/>
  <c r="H93" i="10" s="1"/>
  <c r="H92" i="10" s="1"/>
  <c r="H91" i="10" s="1"/>
  <c r="H90" i="10" s="1"/>
  <c r="H89" i="10" s="1"/>
  <c r="H88" i="10" s="1"/>
  <c r="H87" i="10" s="1"/>
  <c r="H86" i="10" s="1"/>
  <c r="H85" i="10" s="1"/>
  <c r="H84" i="10" s="1"/>
  <c r="H83" i="10" s="1"/>
  <c r="H82" i="10" s="1"/>
  <c r="H81" i="10" s="1"/>
  <c r="H80" i="10" s="1"/>
  <c r="H79" i="10" s="1"/>
  <c r="H78" i="10" s="1"/>
  <c r="H77" i="10" s="1"/>
  <c r="H76" i="10" s="1"/>
  <c r="H75" i="10" s="1"/>
  <c r="H74" i="10" s="1"/>
  <c r="H73" i="10" s="1"/>
  <c r="H72" i="10" s="1"/>
  <c r="H71" i="10" s="1"/>
  <c r="H70" i="10" s="1"/>
  <c r="H69" i="10" s="1"/>
  <c r="H68" i="10" s="1"/>
  <c r="H67" i="10" s="1"/>
  <c r="H66" i="10" s="1"/>
  <c r="H65" i="10" s="1"/>
  <c r="H64" i="10" s="1"/>
  <c r="H63" i="10" s="1"/>
  <c r="H62" i="10" s="1"/>
  <c r="H61" i="10" s="1"/>
  <c r="H60" i="10" s="1"/>
  <c r="H59" i="10" s="1"/>
  <c r="H58" i="10" s="1"/>
  <c r="H57" i="10" s="1"/>
  <c r="H56" i="10" s="1"/>
  <c r="H55" i="10" s="1"/>
  <c r="H54" i="10" s="1"/>
  <c r="H53" i="10" s="1"/>
  <c r="H52" i="10" s="1"/>
  <c r="H51" i="10" s="1"/>
  <c r="H50" i="10" s="1"/>
  <c r="H49" i="10" s="1"/>
  <c r="H48" i="10" s="1"/>
  <c r="H47" i="10" s="1"/>
  <c r="H46" i="10" s="1"/>
  <c r="H45" i="10" s="1"/>
  <c r="H44" i="10" s="1"/>
  <c r="H43" i="10" s="1"/>
  <c r="H42" i="10" s="1"/>
  <c r="H41" i="10" s="1"/>
  <c r="H40" i="10" s="1"/>
  <c r="H39" i="10" s="1"/>
  <c r="H38" i="10" s="1"/>
  <c r="H37" i="10" s="1"/>
  <c r="H36" i="10" s="1"/>
  <c r="H35" i="10" s="1"/>
  <c r="H34" i="10" s="1"/>
  <c r="H33" i="10" s="1"/>
  <c r="H32" i="10" s="1"/>
  <c r="H31" i="10" s="1"/>
  <c r="H30" i="10" s="1"/>
  <c r="H29" i="10" s="1"/>
  <c r="H28" i="10" s="1"/>
  <c r="H27" i="10" s="1"/>
  <c r="H26" i="10" s="1"/>
  <c r="H25" i="10" s="1"/>
  <c r="Q23" i="10" l="1"/>
  <c r="Q22" i="10" s="1"/>
  <c r="Q21" i="10" s="1"/>
  <c r="Q20" i="10" s="1"/>
  <c r="Q19" i="10" s="1"/>
  <c r="Q18" i="10" s="1"/>
  <c r="Q17" i="10" s="1"/>
  <c r="Q16" i="10" s="1"/>
  <c r="Q15" i="10" s="1"/>
  <c r="Q14" i="10" s="1"/>
  <c r="Q13" i="10" s="1"/>
  <c r="Q12" i="10" s="1"/>
  <c r="Q11" i="10" s="1"/>
  <c r="Q10" i="10" s="1"/>
  <c r="Q9" i="10" s="1"/>
  <c r="Q8" i="10" s="1"/>
  <c r="Q7" i="10" s="1"/>
  <c r="V11" i="17"/>
  <c r="Y11" i="17" s="1"/>
  <c r="U11" i="17"/>
  <c r="X11" i="17" s="1"/>
  <c r="W11" i="17"/>
  <c r="Z11" i="17" s="1"/>
  <c r="U10" i="17"/>
  <c r="X10" i="17" s="1"/>
  <c r="V10" i="17"/>
  <c r="Y10" i="17" s="1"/>
  <c r="R23" i="10"/>
  <c r="R22" i="10" s="1"/>
  <c r="R21" i="10" s="1"/>
  <c r="R20" i="10" s="1"/>
  <c r="R19" i="10" s="1"/>
  <c r="R18" i="10" s="1"/>
  <c r="R17" i="10" s="1"/>
  <c r="R16" i="10" s="1"/>
  <c r="R15" i="10" s="1"/>
  <c r="R14" i="10" s="1"/>
  <c r="R13" i="10" s="1"/>
  <c r="R12" i="10" s="1"/>
  <c r="R11" i="10" s="1"/>
  <c r="R10" i="10" s="1"/>
  <c r="R9" i="10" s="1"/>
  <c r="R8" i="10" s="1"/>
  <c r="R7" i="10" s="1"/>
  <c r="W10" i="17"/>
  <c r="K23" i="10"/>
  <c r="K22" i="10" s="1"/>
  <c r="K21" i="10" s="1"/>
  <c r="K20" i="10" s="1"/>
  <c r="K19" i="10" s="1"/>
  <c r="K18" i="10" s="1"/>
  <c r="K17" i="10" s="1"/>
  <c r="K16" i="10" s="1"/>
  <c r="K15" i="10" s="1"/>
  <c r="K14" i="10" s="1"/>
  <c r="K13" i="10" s="1"/>
  <c r="K12" i="10" s="1"/>
  <c r="K11" i="10" s="1"/>
  <c r="K10" i="10" s="1"/>
  <c r="K9" i="10" s="1"/>
  <c r="K8" i="10" s="1"/>
  <c r="K7" i="10" s="1"/>
  <c r="N7" i="12" s="1"/>
  <c r="V6" i="17"/>
  <c r="Y6" i="17" s="1"/>
  <c r="U6" i="17"/>
  <c r="X6" i="17" s="1"/>
  <c r="W6" i="17"/>
  <c r="V7" i="12"/>
  <c r="Y7" i="12" s="1"/>
  <c r="K29" i="17"/>
  <c r="U7" i="12"/>
  <c r="X7" i="12" s="1"/>
  <c r="W7" i="12"/>
  <c r="S29" i="12"/>
  <c r="I23" i="10"/>
  <c r="I22" i="10" s="1"/>
  <c r="I21" i="10" s="1"/>
  <c r="I20" i="10" s="1"/>
  <c r="I19" i="10" s="1"/>
  <c r="I18" i="10" s="1"/>
  <c r="I17" i="10" s="1"/>
  <c r="I16" i="10" s="1"/>
  <c r="I15" i="10" s="1"/>
  <c r="I14" i="10" s="1"/>
  <c r="I13" i="10" s="1"/>
  <c r="I12" i="10" s="1"/>
  <c r="I11" i="10" s="1"/>
  <c r="I10" i="10" s="1"/>
  <c r="I9" i="10" s="1"/>
  <c r="I8" i="10" s="1"/>
  <c r="I7" i="10" s="1"/>
  <c r="AB29" i="12"/>
  <c r="J23" i="10"/>
  <c r="J22" i="10" s="1"/>
  <c r="J21" i="10" s="1"/>
  <c r="J20" i="10" s="1"/>
  <c r="J19" i="10" s="1"/>
  <c r="J18" i="10" s="1"/>
  <c r="J17" i="10" s="1"/>
  <c r="J16" i="10" s="1"/>
  <c r="J15" i="10" s="1"/>
  <c r="J14" i="10" s="1"/>
  <c r="J13" i="10" s="1"/>
  <c r="J12" i="10" s="1"/>
  <c r="J11" i="10" s="1"/>
  <c r="J10" i="10" s="1"/>
  <c r="J9" i="10" s="1"/>
  <c r="J8" i="10" s="1"/>
  <c r="J7" i="10" s="1"/>
  <c r="W12" i="12"/>
  <c r="V12" i="12"/>
  <c r="Y12" i="12" s="1"/>
  <c r="U12" i="12"/>
  <c r="X12" i="12" s="1"/>
  <c r="H24" i="10"/>
  <c r="U10" i="12"/>
  <c r="X10" i="12" s="1"/>
  <c r="V10" i="12"/>
  <c r="Y10" i="12" s="1"/>
  <c r="W10" i="12"/>
  <c r="M7" i="12" l="1"/>
  <c r="P7" i="12" s="1"/>
  <c r="K6" i="10"/>
  <c r="K5" i="10" s="1"/>
  <c r="K4" i="10" s="1"/>
  <c r="K3" i="10" s="1"/>
  <c r="K2" i="10" s="1"/>
  <c r="D6" i="17" s="1"/>
  <c r="G6" i="17" s="1"/>
  <c r="L7" i="12"/>
  <c r="O7" i="12" s="1"/>
  <c r="R6" i="10"/>
  <c r="R5" i="10" s="1"/>
  <c r="R4" i="10" s="1"/>
  <c r="R3" i="10" s="1"/>
  <c r="R2" i="10" s="1"/>
  <c r="M10" i="17"/>
  <c r="P10" i="17" s="1"/>
  <c r="N10" i="17"/>
  <c r="L10" i="17"/>
  <c r="O10" i="17" s="1"/>
  <c r="Q6" i="10"/>
  <c r="Q5" i="10" s="1"/>
  <c r="Q4" i="10" s="1"/>
  <c r="Q3" i="10" s="1"/>
  <c r="Q2" i="10" s="1"/>
  <c r="L11" i="17"/>
  <c r="O11" i="17" s="1"/>
  <c r="N11" i="17"/>
  <c r="M11" i="17"/>
  <c r="P11" i="17" s="1"/>
  <c r="E6" i="17"/>
  <c r="AB6" i="17"/>
  <c r="Z6" i="17"/>
  <c r="N6" i="17"/>
  <c r="M6" i="17"/>
  <c r="P6" i="17" s="1"/>
  <c r="L6" i="17"/>
  <c r="O6" i="17" s="1"/>
  <c r="Q7" i="12"/>
  <c r="S7" i="12" s="1"/>
  <c r="T7" i="12" s="1"/>
  <c r="Z7" i="12"/>
  <c r="AB7" i="12" s="1"/>
  <c r="AC7" i="12" s="1"/>
  <c r="C7" i="12"/>
  <c r="F7" i="12" s="1"/>
  <c r="I6" i="10"/>
  <c r="I5" i="10" s="1"/>
  <c r="I4" i="10" s="1"/>
  <c r="I3" i="10" s="1"/>
  <c r="I2" i="10" s="1"/>
  <c r="AB10" i="17"/>
  <c r="AC10" i="17" s="1"/>
  <c r="Z10" i="17"/>
  <c r="H23" i="10"/>
  <c r="H22" i="10" s="1"/>
  <c r="H21" i="10" s="1"/>
  <c r="H20" i="10" s="1"/>
  <c r="H19" i="10" s="1"/>
  <c r="H18" i="10" s="1"/>
  <c r="H17" i="10" s="1"/>
  <c r="H16" i="10" s="1"/>
  <c r="H15" i="10" s="1"/>
  <c r="H14" i="10" s="1"/>
  <c r="H13" i="10" s="1"/>
  <c r="H12" i="10" s="1"/>
  <c r="H11" i="10" s="1"/>
  <c r="H10" i="10" s="1"/>
  <c r="H9" i="10" s="1"/>
  <c r="H8" i="10" s="1"/>
  <c r="H7" i="10" s="1"/>
  <c r="U11" i="12"/>
  <c r="X11" i="12" s="1"/>
  <c r="AB12" i="17"/>
  <c r="J6" i="10"/>
  <c r="J5" i="10" s="1"/>
  <c r="J4" i="10" s="1"/>
  <c r="J3" i="10" s="1"/>
  <c r="J2" i="10" s="1"/>
  <c r="M12" i="12"/>
  <c r="P12" i="12" s="1"/>
  <c r="L12" i="12"/>
  <c r="O12" i="12" s="1"/>
  <c r="N12" i="12"/>
  <c r="V11" i="12"/>
  <c r="Y11" i="12" s="1"/>
  <c r="W11" i="12"/>
  <c r="Z12" i="12"/>
  <c r="AB12" i="12" s="1"/>
  <c r="L10" i="12"/>
  <c r="O10" i="12" s="1"/>
  <c r="M10" i="12"/>
  <c r="P10" i="12" s="1"/>
  <c r="N10" i="12"/>
  <c r="Z10" i="12"/>
  <c r="AB10" i="12" s="1"/>
  <c r="D7" i="12" l="1"/>
  <c r="G7" i="12" s="1"/>
  <c r="C6" i="17"/>
  <c r="F6" i="17" s="1"/>
  <c r="E7" i="12"/>
  <c r="H7" i="12" s="1"/>
  <c r="J7" i="12" s="1"/>
  <c r="E11" i="17"/>
  <c r="D11" i="17"/>
  <c r="G11" i="17" s="1"/>
  <c r="C11" i="17"/>
  <c r="F11" i="17" s="1"/>
  <c r="AC6" i="17"/>
  <c r="AC28" i="17" s="1"/>
  <c r="S11" i="17"/>
  <c r="T11" i="17" s="1"/>
  <c r="Q11" i="17"/>
  <c r="D10" i="17"/>
  <c r="G10" i="17" s="1"/>
  <c r="E10" i="17"/>
  <c r="H10" i="17" s="1"/>
  <c r="J10" i="17" s="1"/>
  <c r="C10" i="17"/>
  <c r="F10" i="17" s="1"/>
  <c r="S6" i="17"/>
  <c r="Q6" i="17"/>
  <c r="H6" i="17"/>
  <c r="J6" i="17" s="1"/>
  <c r="H6" i="10"/>
  <c r="H5" i="10" s="1"/>
  <c r="H4" i="10" s="1"/>
  <c r="H3" i="10" s="1"/>
  <c r="H2" i="10" s="1"/>
  <c r="AB11" i="17"/>
  <c r="AC11" i="17" s="1"/>
  <c r="S10" i="17"/>
  <c r="T10" i="17" s="1"/>
  <c r="Q10" i="17"/>
  <c r="N11" i="12"/>
  <c r="Z11" i="12"/>
  <c r="AB11" i="12" s="1"/>
  <c r="AC11" i="12" s="1"/>
  <c r="M11" i="12"/>
  <c r="P11" i="12" s="1"/>
  <c r="L11" i="12"/>
  <c r="O11" i="12" s="1"/>
  <c r="E12" i="12"/>
  <c r="D12" i="12"/>
  <c r="G12" i="12" s="1"/>
  <c r="C12" i="12"/>
  <c r="F12" i="12" s="1"/>
  <c r="Q12" i="12"/>
  <c r="S12" i="12" s="1"/>
  <c r="Q10" i="12"/>
  <c r="S10" i="12" s="1"/>
  <c r="AC10" i="12"/>
  <c r="C10" i="12"/>
  <c r="F10" i="12" s="1"/>
  <c r="D10" i="12"/>
  <c r="G10" i="12" s="1"/>
  <c r="E10" i="12"/>
  <c r="K10" i="17" l="1"/>
  <c r="K6" i="17"/>
  <c r="S28" i="17"/>
  <c r="S31" i="17" s="1"/>
  <c r="S35" i="17" s="1"/>
  <c r="AB28" i="17"/>
  <c r="AB31" i="17" s="1"/>
  <c r="AB35" i="17" s="1"/>
  <c r="AB28" i="12"/>
  <c r="AB31" i="12" s="1"/>
  <c r="AB35" i="12" s="1"/>
  <c r="K7" i="12"/>
  <c r="H11" i="17"/>
  <c r="J11" i="17" s="1"/>
  <c r="K11" i="17" s="1"/>
  <c r="T6" i="17"/>
  <c r="T28" i="17" s="1"/>
  <c r="AC28" i="12"/>
  <c r="E11" i="12"/>
  <c r="Q11" i="12"/>
  <c r="S11" i="12" s="1"/>
  <c r="S28" i="12" s="1"/>
  <c r="S31" i="12" s="1"/>
  <c r="S35" i="12" s="1"/>
  <c r="T12" i="12"/>
  <c r="D11" i="12"/>
  <c r="G11" i="12" s="1"/>
  <c r="C11" i="12"/>
  <c r="F11" i="12" s="1"/>
  <c r="H12" i="12"/>
  <c r="J12" i="12" s="1"/>
  <c r="K12" i="12" s="1"/>
  <c r="H10" i="12"/>
  <c r="J10" i="12" s="1"/>
  <c r="K10" i="12" s="1"/>
  <c r="T10" i="12"/>
  <c r="T11" i="12" l="1"/>
  <c r="K28" i="17"/>
  <c r="K31" i="17" s="1"/>
  <c r="K35" i="17" s="1"/>
  <c r="J28" i="17"/>
  <c r="J31" i="17" s="1"/>
  <c r="J35" i="17" s="1"/>
  <c r="H11" i="12"/>
  <c r="J11" i="12" s="1"/>
  <c r="T28" i="12"/>
  <c r="K11" i="12" l="1"/>
  <c r="K28" i="12" s="1"/>
  <c r="J28" i="12"/>
  <c r="J31" i="12" s="1"/>
  <c r="J35" i="12" s="1"/>
  <c r="K29" i="12"/>
  <c r="K30" i="12"/>
  <c r="K31" i="12" l="1"/>
  <c r="K35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RIZAEL</author>
  </authors>
  <commentList>
    <comment ref="A1" authorId="0" shapeId="0" xr:uid="{CF0F00CD-DF33-4D6B-9711-34C48BC0FAE3}">
      <text>
        <r>
          <rPr>
            <b/>
            <sz val="9"/>
            <color indexed="81"/>
            <rFont val="Tahoma"/>
            <charset val="1"/>
          </rPr>
          <t>&lt;?xml version="1.0" encoding="utf-8"?&gt;&lt;Schema xmlns:xsd="http://www.w3.org/2001/XMLSchema" xmlns:xsi="http://www.w3.org/2001/XMLSchema-instance" Version="2" Timestamp="1725004657"&gt;&lt;FQL&gt;&lt;Q&gt;SP50^FMA_PE(NTMA,44845,,,"PORTAGG","MEANR")&lt;/Q&gt;&lt;R&gt;1&lt;/R&gt;&lt;C&gt;1&lt;/C&gt;&lt;D xsi:type="xsd:double"&gt;15.4389502133986&lt;/D&gt;&lt;/FQL&gt;&lt;FQL&gt;&lt;Q&gt;QQQ^FG_PRICE(44845,,,USD)/MAX(FG_PRICE(44845,44562,,USD))&lt;/Q&gt;&lt;R&gt;1&lt;/R&gt;&lt;C&gt;1&lt;/C&gt;&lt;D xsi:type="xsd:double"&gt;0.65412766381199&lt;/D&gt;&lt;/FQL&gt;&lt;FQL&gt;&lt;Q&gt;SPY-US^FMA_PCT_BELOW_MAVG(200,NOW,,,,"PORTAGG")&lt;/Q&gt;&lt;R&gt;1&lt;/R&gt;&lt;C&gt;1&lt;/C&gt;&lt;D xsi:type="xsd:double"&gt;29.1417165668663&lt;/D&gt;&lt;/FQL&gt;&lt;FQL&gt;&lt;Q&gt;QQQ^FMA_PE(NTMA,43458,,,"PORTAGG","MEANR")&lt;/Q&gt;&lt;R&gt;1&lt;/R&gt;&lt;C&gt;1&lt;/C&gt;&lt;D xsi:type="xsd:double"&gt;16.0673731877615&lt;/D&gt;&lt;/FQL&gt;&lt;FQL&gt;&lt;Q&gt;SP50^FMA_PE(LTMA,43458,,,"PORTAGG","MEANR")&lt;/Q&gt;&lt;R&gt;1&lt;/R&gt;&lt;C&gt;1&lt;/C&gt;&lt;D xsi:type="xsd:double"&gt;14.9325482824627&lt;/D&gt;&lt;/FQL&gt;&lt;FQL&gt;&lt;Q&gt;SP50^FG_PRICE(43458,,,USD)/MAX(FG_PRICE(43458,43101,,USD))&lt;/Q&gt;&lt;R&gt;1&lt;/R&gt;&lt;C&gt;1&lt;/C&gt;&lt;D xsi:type="xsd:double"&gt;0.802217862321931&lt;/D&gt;&lt;/FQL&gt;&lt;FQL&gt;&lt;Q&gt;QQQ^FMA_PE(NTMA,44845,,,"PORTAGG","MEANR")&lt;/Q&gt;&lt;R&gt;1&lt;/R&gt;&lt;C&gt;1&lt;/C&gt;&lt;D xsi:type="xsd:double"&gt;19.2327791922207&lt;/D&gt;&lt;/FQL&gt;&lt;FQL&gt;&lt;Q&gt;SP50^FMA_PE(LTMA,44845,,,"PORTAGG","MEANR")&lt;/Q&gt;&lt;R&gt;1&lt;/R&gt;&lt;C&gt;1&lt;/C&gt;&lt;D xsi:type="xsd:double"&gt;17.5575466663009&lt;/D&gt;&lt;/FQL&gt;&lt;FQL&gt;&lt;Q&gt;SP50^FG_PRICE(44845,,,USD)/MAX(FG_PRICE(44845,44562,,USD))&lt;/Q&gt;&lt;R&gt;1&lt;/R&gt;&lt;C&gt;1&lt;/C&gt;&lt;D xsi:type="xsd:double"&gt;0.748211218039595&lt;/D&gt;&lt;/FQL&gt;&lt;FQL&gt;&lt;Q&gt;SP50^FMA_PE(NTMA,NOW,,,"PORTAGG","MEANR")&lt;/Q&gt;&lt;R&gt;1&lt;/R&gt;&lt;C&gt;1&lt;/C&gt;&lt;D xsi:type="xsd:double"&gt;21.3368922193108&lt;/D&gt;&lt;/FQL&gt;&lt;FQL&gt;&lt;Q&gt;SP50^FG_PRICE_RSI(43458,,,,14)&lt;/Q&gt;&lt;R&gt;1&lt;/R&gt;&lt;C&gt;1&lt;/C&gt;&lt;D xsi:type="xsd:double"&gt;4.9449983&lt;/D&gt;&lt;/FQL&gt;&lt;FQL&gt;&lt;Q&gt;QQQ^FMA_PE(NTMA,43913,,,"PORTAGG","MEANR")&lt;/Q&gt;&lt;R&gt;1&lt;/R&gt;&lt;C&gt;1&lt;/C&gt;&lt;D xsi:type="xsd:double"&gt;18.1582575964706&lt;/D&gt;&lt;/FQL&gt;&lt;FQL&gt;&lt;Q&gt;SP50^FG_PRICE_RSI(44845,,,,14)&lt;/Q&gt;&lt;R&gt;1&lt;/R&gt;&lt;C&gt;1&lt;/C&gt;&lt;D xsi:type="xsd:double"&gt;36.686485&lt;/D&gt;&lt;/FQL&gt;&lt;FQL&gt;&lt;Q&gt;VIX^FG_PRICE(NOW,,,USD)&lt;/Q&gt;&lt;R&gt;1&lt;/R&gt;&lt;C&gt;1&lt;/C&gt;&lt;D xsi:type="xsd:double"&gt;15.88&lt;/D&gt;&lt;/FQL&gt;&lt;FQL&gt;&lt;Q&gt;SP50^AVG(1/FMA_PE(NTMA,0,-10AY,M,"PORTAGG","MEANR"))&lt;/Q&gt;&lt;R&gt;1&lt;/R&gt;&lt;C&gt;1&lt;/C&gt;&lt;D xsi:type="xsd:double"&gt;0.0556366182252434&lt;/D&gt;&lt;/FQL&gt;&lt;FQL&gt;&lt;Q&gt;QQQ^FMA_PE(LTMA,44845,,,"PORTAGG","MEANR")&lt;/Q&gt;&lt;R&gt;1&lt;/R&gt;&lt;C&gt;1&lt;/C&gt;&lt;D xsi:type="xsd:double"&gt;22.3183325225666&lt;/D&gt;&lt;/FQL&gt;&lt;FQL&gt;&lt;Q&gt;SPY-US^FMA_PCT_BELOW_MAVG(200,44845,,,,"PORTAGG")&lt;/Q&gt;&lt;R&gt;1&lt;/R&gt;&lt;C&gt;1&lt;/C&gt;&lt;D xsi:type="xsd:double"&gt;83.7301587301587&lt;/D&gt;&lt;/FQL&gt;&lt;FQL&gt;&lt;Q&gt;SP50^FMA_PE(LTMA,NOW,,,"PORTAGG","MEANR")&lt;/Q&gt;&lt;R&gt;1&lt;/R&gt;&lt;C&gt;1&lt;/C&gt;&lt;D xsi:type="xsd:double"&gt;23.3305460997342&lt;/D&gt;&lt;/FQL&gt;&lt;FQL&gt;&lt;Q&gt;QQQ^FG_PRICE(43913,,,USD)/MAX(FG_PRICE(43913,43831,,USD))&lt;/Q&gt;&lt;R&gt;1&lt;/R&gt;&lt;C&gt;1&lt;/C&gt;&lt;D xsi:type="xsd:double"&gt;0.719301206852899&lt;/D&gt;&lt;/FQL&gt;&lt;FQL&gt;&lt;Q&gt;QQQ^FMA_PE(LTMA,43913,,,"PORTAGG","MEANR")&lt;/Q&gt;&lt;R&gt;1&lt;/R&gt;&lt;C&gt;1&lt;/C&gt;&lt;D xsi:type="xsd:double"&gt;22.9598958696263&lt;/D&gt;&lt;/FQL&gt;&lt;FQL&gt;&lt;Q&gt;VIX^FG_PRICE(43458,,,USD)&lt;/Q&gt;&lt;R&gt;1&lt;/R&gt;&lt;C&gt;1&lt;/C&gt;&lt;D xsi:type="xsd:double"&gt;36.07&lt;/D&gt;&lt;/FQL&gt;&lt;FQL&gt;&lt;Q&gt;SP50^FMA_PE(NTMA,43458,,,"PORTAGG","MEANR")&lt;/Q&gt;&lt;R&gt;1&lt;/R&gt;&lt;C&gt;1&lt;/C&gt;&lt;D xsi:type="xsd:double"&gt;13.7615306594873&lt;/D&gt;&lt;/FQL&gt;&lt;FQL&gt;&lt;Q&gt;VIX^AVG(FG_PRICE(NOW,-10AY,,USD))&lt;/Q&gt;&lt;R&gt;1&lt;/R&gt;&lt;C&gt;1&lt;/C&gt;&lt;D xsi:type="xsd:double"&gt;18.1570739180391&lt;/D&gt;&lt;/FQL&gt;&lt;FQL&gt;&lt;Q&gt;SP50^FMA_PE(NTMA,43913,,,"PORTAGG","MEANR")&lt;/Q&gt;&lt;R&gt;1&lt;/R&gt;&lt;C&gt;1&lt;/C&gt;&lt;D xsi:type="xsd:double"&gt;13.518566751419&lt;/D&gt;&lt;/FQL&gt;&lt;FQL&gt;&lt;Q&gt;SP50^AVG(FG_PRICE_RSI(NOW,-10AY,,,14))&lt;/Q&gt;&lt;R&gt;1&lt;/R&gt;&lt;C&gt;1&lt;/C&gt;&lt;D xsi:type="xsd:double"&gt;55.6948549168902&lt;/D&gt;&lt;/FQL&gt;&lt;FQL&gt;&lt;Q&gt;QQQ^FMA_PE(LTMA,43458,,,"PORTAGG","MEANR")&lt;/Q&gt;&lt;R&gt;1&lt;/R&gt;&lt;C&gt;1&lt;/C&gt;&lt;D xsi:type="xsd:double"&gt;17.5878499227695&lt;/D&gt;&lt;/FQL&gt;&lt;FQL&gt;&lt;Q&gt;QQQ^FMA_PE(NTMA,NOW,,,"PORTAGG","MEANR")&lt;/Q&gt;&lt;R&gt;1&lt;/R&gt;&lt;C&gt;1&lt;/C&gt;&lt;D xsi:type="xsd:double"&gt;26.7601505060213&lt;/D&gt;&lt;/FQL&gt;&lt;FQL&gt;&lt;Q&gt;SPY-US^FMA_PCT_BELOW_MAVG(200,43458,,,,"PORTAGG")&lt;/Q&gt;&lt;R&gt;1&lt;/R&gt;&lt;C&gt;1&lt;/C&gt;&lt;D xsi:type="xsd:double"&gt;90.5138339920949&lt;/D&gt;&lt;/FQL&gt;&lt;FQL&gt;&lt;Q&gt;QQQ^FMA_PE(LTMA,NOW,,,"PORTAGG","MEANR")&lt;/Q&gt;&lt;R&gt;1&lt;/R&gt;&lt;C&gt;1&lt;/C&gt;&lt;D xsi:type="xsd:double"&gt;30.512873857949&lt;/D&gt;&lt;/FQL&gt;&lt;FQL&gt;&lt;Q&gt;SPY-US^FMA_PCT_BELOW_MAVG(200,43913,,,,"PORTAGG")&lt;/Q&gt;&lt;R&gt;1&lt;/R&gt;&lt;C&gt;1&lt;/C&gt;&lt;D xsi:type="xsd:double"&gt;97.0355731225296&lt;/D&gt;&lt;/FQL&gt;&lt;FQL&gt;&lt;Q&gt;SP50^FG_PRICE_RSI(NOW,,,,14)&lt;/Q&gt;&lt;R&gt;1&lt;/R&gt;&lt;C&gt;1&lt;/C&gt;&lt;D xsi:type="xsd:double"&gt;59.712574&lt;/D&gt;&lt;/FQL&gt;&lt;FQL&gt;&lt;Q&gt;SP50^FG_PRICE_RSI(43913,,,,14)&lt;/Q&gt;&lt;R&gt;1&lt;/R&gt;&lt;C&gt;1&lt;/C&gt;&lt;D xsi:type="xsd:double"&gt;31.41093&lt;/D&gt;&lt;/FQL&gt;&lt;FQL&gt;&lt;Q&gt;SP50^FG_PRICE(NOW,,,USD)/MAX(FG_PRICE(NOW,-1AY,,USD))&lt;/Q&gt;&lt;R&gt;1&lt;/R&gt;&lt;C&gt;1&lt;/C&gt;&lt;D xsi:type="xsd:double"&gt;0.987634105025409&lt;/D&gt;&lt;/FQL&gt;&lt;FQL&gt;&lt;Q&gt;VIX^FG_PRICE(43913,,,USD)&lt;/Q&gt;&lt;R&gt;1&lt;/R&gt;&lt;C&gt;1&lt;/C&gt;&lt;D xsi:type="xsd:double"&gt;61.59&lt;/D&gt;&lt;/FQL&gt;&lt;FQL&gt;&lt;Q&gt;VIX^FG_PRICE(44845,,,USD)&lt;/Q&gt;&lt;R&gt;1&lt;/R&gt;&lt;C&gt;1&lt;/C&gt;&lt;D xsi:type="xsd:double"&gt;33.63&lt;/D&gt;&lt;/FQL&gt;&lt;FQL&gt;&lt;Q&gt;SP50^FMA_PE(LTMA,43913,,,"PORTAGG","MEANR")&lt;/Q&gt;&lt;R&gt;1&lt;/R&gt;&lt;C&gt;1&lt;/C&gt;&lt;D xsi:type="xsd:double"&gt;17.6955274159558&lt;/D&gt;&lt;/FQL&gt;&lt;FQL&gt;&lt;Q&gt;SP50^FG_PRICE(43913,,,USD)/MAX(FG_PRICE(43913,43831,,USD))&lt;/Q&gt;&lt;R&gt;1&lt;/R&gt;&lt;C&gt;1&lt;/C&gt;&lt;D xsi:type="xsd:double"&gt;0.660750409757394&lt;/D&gt;&lt;/FQL&gt;&lt;FQL&gt;&lt;Q&gt;QQQ^AVG(1/FMA_PE(LTMA,0,-10AY,M,"PORTAGG","MEANR"))&lt;/Q&gt;&lt;R&gt;1&lt;/R&gt;&lt;C&gt;1&lt;/C&gt;&lt;D xsi:type="xsd:double"&gt;0.0422681341671367&lt;/D&gt;&lt;/FQL&gt;&lt;FQL&gt;&lt;Q&gt;QQQ^FG_PRICE(43458,,,USD)/MAX(FG_PRICE(43458,43101,,USD))&lt;/Q&gt;&lt;R&gt;1&lt;/R&gt;&lt;C&gt;1&lt;/C&gt;&lt;D xsi:type="xsd:double"&gt;0.768448109671201&lt;/D&gt;&lt;/FQL&gt;&lt;FQL&gt;&lt;Q&gt;QQQ^AVG(1/FMA_PE(NTMA,0,-10AY,M,"PORTAGG","MEANR"))&lt;/Q&gt;&lt;R&gt;1&lt;/R&gt;&lt;C&gt;1&lt;/C&gt;&lt;D xsi:type="xsd:double"&gt;0.0464918619807969&lt;/D&gt;&lt;/FQL&gt;&lt;FQL&gt;&lt;Q&gt;SP50^AVG(1/FMA_PE(LTMA,0,-10AY,M,"PORTAGG","MEANR"))&lt;/Q&gt;&lt;R&gt;1&lt;/R&gt;&lt;C&gt;1&lt;/C&gt;&lt;D xsi:type="xsd:double"&gt;0.0510969307549468&lt;/D&gt;&lt;/FQL&gt;&lt;FQL&gt;&lt;Q&gt;SPY-US^AVG(FMA_PCT_BELOW_MAVG(200,NOW,-10AY,,,"PORTAGG"))&lt;/Q&gt;&lt;R&gt;1&lt;/R&gt;&lt;C&gt;1&lt;/C&gt;&lt;D xsi:type="xsd:double"&gt;40.0899098023424&lt;/D&gt;&lt;/FQL&gt;&lt;FQL&gt;&lt;Q&gt;^FDS_ECON_DATA('USSU2929307',0,-20AY,D,STEP,AVERAGENP,1)&lt;/Q&gt;&lt;R&gt;5218&lt;/R&gt;&lt;C&gt;1&lt;/C&gt;&lt;D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xsi:type="xsd:double"&gt;21.5&lt;/D&gt;&lt;D xsi:type="xsd:double"&gt;21.5&lt;/D&gt;&lt;D xsi:type="xsd:double"&gt;21.5&lt;/D&gt;&lt;D xsi:type="xsd:double"&gt;21.5&lt;/D&gt;&lt;D xsi:type="xsd:double"&gt;21.5&lt;/D&gt;&lt;D xsi:type="xsd:double"&gt;18.7&lt;/D&gt;&lt;D xsi:type="xsd:double"&gt;18.7&lt;/D&gt;&lt;D xsi:type="xsd:double"&gt;18.7&lt;/D&gt;&lt;D xsi:type="xsd:double"&gt;18.7&lt;/D&gt;&lt;D xsi:type="xsd:double"&gt;18.7&lt;/D&gt;&lt;D xsi:type="xsd:double"&gt;15.6&lt;/D&gt;&lt;D xsi:type="xsd:double"&gt;15.6&lt;/D&gt;&lt;D xsi:type="xsd:double"&gt;15.6&lt;/D&gt;&lt;D xsi:type="xsd:double"&gt;15.6&lt;/D&gt;&lt;D xsi:type="xsd:double"&gt;15.6&lt;/D&gt;&lt;D xsi:type="xsd:double"&gt;14.9&lt;/D&gt;&lt;D xsi:type="xsd:double"&gt;14.9&lt;/D&gt;&lt;D xsi:type="xsd:double"&gt;14.9&lt;/D&gt;&lt;D xsi:type="xsd:double"&gt;14.9&lt;/D&gt;&lt;D xsi:type="xsd:double"&gt;14.9&lt;/D&gt;&lt;D xsi:type="xsd:double"&gt;16.7&lt;/D&gt;&lt;D xsi:type="xsd:double"&gt;16.7&lt;/D&gt;&lt;D xsi:type="xsd:double"&gt;16.7&lt;/D&gt;&lt;D xsi:type="xsd:double"&gt;16.7&lt;/D&gt;&lt;D xsi:type="xsd:double"&gt;16.7&lt;/D&gt;&lt;D xsi:type="xsd:double"&gt;17.9&lt;/D&gt;&lt;D xsi:type="xsd:double"&gt;17.9&lt;/D&gt;&lt;D xsi:type="xsd:double"&gt;17.9&lt;/D&gt;&lt;D xsi:type="xsd:double"&gt;17.9&lt;/D&gt;&lt;D xsi:type="xsd:double"&gt;17.9&lt;/D&gt;&lt;D xsi:type="xsd:double"&gt;16.9&lt;/D&gt;&lt;D xsi:type="xsd:double"&gt;16.9&lt;/D&gt;&lt;D xsi:type="xsd:double"&gt;16.9&lt;/D&gt;&lt;D xsi:type="xsd:double"&gt;16.9&lt;/D&gt;&lt;D xsi:type="xsd:double"&gt;16.9&lt;/D&gt;&lt;D xsi:type="xsd:double"&gt;18.5&lt;/D&gt;&lt;D xsi:type="xsd:double"&gt;18.5&lt;/D&gt;&lt;D xsi:type="xsd:double"&gt;18.5&lt;/D&gt;&lt;D xsi:type="xsd:double"&gt;18.5&lt;/D&gt;&lt;D xsi:type="xsd:double"&gt;18.5&lt;/D&gt;&lt;D xsi:type="xsd:double"&gt;17.9&lt;/D&gt;&lt;D xsi:type="xsd:double"&gt;17.9&lt;/D&gt;&lt;D xsi:type="xsd:double"&gt;17.9&lt;/D&gt;&lt;D xsi:type="xsd:double"&gt;17.9&lt;/D&gt;&lt;D xsi:type="xsd:double"&gt;17.9&lt;/D&gt;&lt;D xsi:type="xsd:double"&gt;17.6&lt;/D&gt;&lt;D xsi:type="xsd:double"&gt;17.6&lt;/D&gt;&lt;D xsi:type="xsd:double"&gt;17.6&lt;/D&gt;&lt;D xsi:type="xsd:double"&gt;17.6&lt;/D&gt;&lt;D xsi:type="xsd:double"&gt;17.6&lt;/D&gt;&lt;D xsi:type="xsd:double"&gt;18.2&lt;/D&gt;&lt;D xsi:type="xsd:double"&gt;18.2&lt;/D&gt;&lt;D xsi:type="xsd:double"&gt;18.2&lt;/D&gt;&lt;D xsi:type="xsd:double"&gt;18.2&lt;/D&gt;&lt;D xsi:type="xsd:double"&gt;18.2&lt;/D&gt;&lt;D xsi:type="xsd:double"&gt;17.9&lt;/D&gt;&lt;D xsi:type="xsd:double"&gt;17.9&lt;/D&gt;&lt;D xsi:type="xsd:double"&gt;17.9&lt;/D&gt;&lt;D xsi:type="xsd:double"&gt;17.9&lt;/D&gt;&lt;D xsi:type="xsd:double"&gt;17.9&lt;/D&gt;&lt;D xsi:type="xsd:double"&gt;17.2&lt;/D&gt;&lt;D xsi:type="xsd:double"&gt;17.2&lt;/D&gt;&lt;D xsi:type="xsd:double"&gt;17.2&lt;/D&gt;&lt;D xsi:type="xsd:double"&gt;17.2&lt;/D&gt;&lt;D xsi:type="xsd:double"&gt;17.2&lt;/D&gt;&lt;D xsi:type="xsd:double"&gt;17.7&lt;/D&gt;&lt;D xsi:type="xsd:double"&gt;17.7&lt;/D&gt;&lt;D xsi:type="xsd:double"&gt;17.7&lt;/D&gt;&lt;D xsi:type="xsd:double"&gt;17.7&lt;/D&gt;&lt;D xsi:type="xsd:double"&gt;17.7&lt;/D&gt;&lt;D xsi:type="xsd:double"&gt;18.7&lt;/D&gt;&lt;D xsi:type="xsd:double"&gt;18.7&lt;/D&gt;&lt;D xsi:type="xsd:double"&gt;18.7&lt;/D&gt;&lt;D xsi:type="xsd:double"&gt;18.7&lt;/D&gt;&lt;D xsi:type="xsd:double"&gt;18.7&lt;/D&gt;&lt;D xsi:type="xsd:double"&gt;19.7&lt;/D&gt;&lt;D xsi:type="xsd:double"&gt;19.7&lt;/D&gt;&lt;D xsi:type="xsd:double"&gt;19.7&lt;/D&gt;&lt;D xsi:type="xsd:double"&gt;19.7&lt;/D&gt;&lt;D xsi:type="xsd:double"&gt;19.7&lt;/D&gt;&lt;D xsi:type="xsd:double"&gt;21.5&lt;/D&gt;&lt;D xsi:type="xsd:double"&gt;21.5&lt;/D&gt;&lt;D xsi:type="xsd:double"&gt;21.5&lt;/D&gt;&lt;D xsi:type="xsd:double"&gt;21.5&lt;/D&gt;&lt;D xsi:type="xsd:double"&gt;21.5&lt;/D&gt;&lt;D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xsi:type="xsd:double"&gt;14.1&lt;/D&gt;&lt;D xsi:type="xsd:double"&gt;14.1&lt;/D&gt;&lt;D xsi:type="xsd:double"&gt;14.1&lt;/D&gt;&lt;D xsi:type="xsd:double"&gt;14.1&lt;/D&gt;&lt;D xsi:type="xsd:double"&gt;14.1&lt;/D&gt;&lt;D xsi:type="xsd:double"&gt;15.2&lt;/D&gt;&lt;D xsi:type="xsd:double"&gt;15.2&lt;/D&gt;&lt;D xsi:type="xsd:double"&gt;15.2&lt;/D&gt;&lt;D xsi:type="xsd:double"&gt;15.2&lt;/D&gt;&lt;D xsi:type="xsd:double"&gt;15.2&lt;/D&gt;&lt;D xsi:type="xsd:double"&gt;14.7&lt;/D&gt;&lt;D xsi:type="xsd:double"&gt;14.7&lt;/D&gt;&lt;D xsi:type="xsd:double"&gt;14.7&lt;/D&gt;&lt;D xsi:type="xsd:double"&gt;14.7&lt;/D&gt;&lt;D xsi:type="xsd:double"&gt;14.7&lt;/D&gt;&lt;D xsi:type="xsd:double"&gt;14.5&lt;/D&gt;&lt;D xsi:type="xsd:double"&gt;14.5&lt;/D&gt;&lt;D xsi:type="xsd:double"&gt;14.5&lt;/D&gt;&lt;D xsi:type="xsd:double"&gt;14.5&lt;/D&gt;&lt;D xsi:type="xsd:double"&gt;14.5&lt;/D&gt;&lt;D xsi:type="xsd:double"&gt;16&lt;/D&gt;&lt;D xsi:type="xsd:double"&gt;16&lt;/D&gt;&lt;D xsi:type="xsd:double"&gt;16&lt;/D&gt;&lt;D xsi:type="xsd:double"&gt;16&lt;/D&gt;&lt;D xsi:type="xsd:double"&gt;16&lt;/D&gt;&lt;D xsi:type="xsd:double"&gt;16.7&lt;/D&gt;&lt;D xsi:type="xsd:double"&gt;16.7&lt;/D&gt;&lt;D xsi:type="xsd:double"&gt;16.7&lt;/D&gt;&lt;D xsi:type="xsd:double"&gt;16.7&lt;/D&gt;&lt;D xsi:type="xsd:double"&gt;16.7&lt;/D&gt;&lt;D xsi:type="xsd:double"&gt;16.2&lt;/D&gt;&lt;D xsi:type="xsd:double"&gt;16.2&lt;/D&gt;&lt;D xsi:type="xsd:double"&gt;16.2&lt;/D&gt;&lt;D xsi:type="xsd:double"&gt;16.2&lt;/D&gt;&lt;D xsi:type="xsd:double"&gt;16.2&lt;/D&gt;&lt;D xsi:type="xsd:double"&gt;17.7&lt;/D&gt;&lt;D xsi:type="xsd:double"&gt;17.7&lt;/D&gt;&lt;D xsi:type="xsd:double"&gt;17.7&lt;/D&gt;&lt;D xsi:type="xsd:double"&gt;17.7&lt;/D&gt;&lt;D xsi:type="xsd:double"&gt;17.7&lt;/D&gt;&lt;D xsi:type="xsd:double"&gt;17.1&lt;/D&gt;&lt;D xsi:type="xsd:double"&gt;17.1&lt;/D&gt;&lt;D xsi:type="xsd:double"&gt;17.1&lt;/D&gt;&lt;D xsi:type="xsd:double"&gt;17.1&lt;/D&gt;&lt;D xsi:type="xsd:double"&gt;17.1&lt;/D&gt;&lt;D xsi:type="xsd:double"&gt;16.9&lt;/D&gt;&lt;D xsi:type="xsd:double"&gt;16.9&lt;/D&gt;&lt;D xsi:type="xsd:double"&gt;16.9&lt;/D&gt;&lt;D xsi:type="xsd:double"&gt;16.9&lt;/D&gt;&lt;D xsi:type="xsd:double"&gt;16.9&lt;/D&gt;&lt;D xsi:type="xsd:double"&gt;17.1&lt;/D&gt;&lt;D xsi:type="xsd:double"&gt;17.1&lt;/D&gt;&lt;D xsi:type="xsd:double"&gt;17.1&lt;/D&gt;&lt;D xsi:type="xsd:double"&gt;17.1&lt;/D&gt;&lt;D xsi:type="xsd:double"&gt;17.1&lt;/D&gt;&lt;D xsi:type="xsd:double"&gt;19.1&lt;/D&gt;&lt;D xsi:type="xsd:double"&gt;19.1&lt;/D&gt;&lt;D xsi:type="xsd:double"&gt;19.1&lt;/D&gt;&lt;D xsi:type="xsd:double"&gt;19.1&lt;/D&gt;&lt;D xsi:type="xsd:double"&gt;19.1&lt;/D&gt;&lt;D xsi:type="xsd:double"&gt;17.7&lt;/D&gt;&lt;D xsi:type="xsd:double"&gt;17.7&lt;/D&gt;&lt;D xsi:type="xsd:double"&gt;17.7&lt;/D&gt;&lt;D xsi:type="xsd:double"&gt;17.7&lt;/D&gt;&lt;D xsi:type="xsd:double"&gt;17.7&lt;/D&gt;&lt;D xsi:type="xsd:double"&gt;17.2&lt;/D&gt;&lt;D xsi:type="xsd:double"&gt;17.2&lt;/D&gt;&lt;D xsi:type="xsd:double"&gt;17.2&lt;/D&gt;&lt;D xsi:type="xsd:double"&gt;17.2&lt;/D&gt;&lt;D xsi:type="xsd:double"&gt;17.2&lt;/D&gt;&lt;D xsi:type="xsd:string"&gt;@NA&lt;/D&gt;&lt;D xsi:type="xsd:string"&gt;@NA&lt;/D&gt;&lt;D xsi:type="xsd:string"&gt;@NA&lt;/D&gt;&lt;D xsi:type="xsd:string"&gt;@NA&lt;/D&gt;&lt;D xsi:type="xsd:string"&gt;@NA&lt;/D&gt;&lt;D xsi:type="xsd:double"&gt;18.1&lt;/D&gt;&lt;D xsi:type="xsd:double"&gt;18.1&lt;/D&gt;&lt;D xsi:type="xsd:double"&gt;18.1&lt;/D&gt;&lt;D xsi:type="xsd:double"&gt;18.1&lt;/D&gt;&lt;D xsi:type="xsd:double"&gt;18.1&lt;/D&gt;&lt;D xsi:type="xsd:double"&gt;19.4&lt;/D&gt;&lt;D xsi:type="xsd:double"&gt;19.4&lt;/D&gt;&lt;D xsi:type="xsd:double"&gt;19.4&lt;/D&gt;&lt;D xsi:type="xsd:double"&gt;19.4&lt;/D&gt;&lt;D xsi:type="xsd:double"&gt;19.4&lt;/D&gt;&lt;D xsi:type="xsd:double"&gt;21.7&lt;/D&gt;&lt;D xsi:type="xsd:double"&gt;21.7&lt;/D&gt;&lt;D xsi:type="xsd:double"&gt;21.7&lt;/D&gt;&lt;D xsi:type="xsd:double"&gt;21.7&lt;/D&gt;&lt;D xsi:type="xsd:double"&gt;21.7&lt;/D&gt;&lt;D xsi:type="xsd:double"&gt;21.4&lt;/D&gt;&lt;D xsi:type="xsd:double"&gt;21.4&lt;/D&gt;&lt;D xsi:type="xsd:double"&gt;21.4&lt;/D&gt;&lt;D xsi:type="xsd:double"&gt;21.4&lt;/D&gt;&lt;D xsi:type="xsd:double"&gt;21.4&lt;/D&gt;&lt;D xsi:type="xsd:double"&gt;22.4&lt;/D&gt;&lt;D xsi:type="xsd:double"&gt;22.4&lt;/D&gt;&lt;D xsi:type="xsd:double"&gt;22.4&lt;/D&gt;&lt;D xsi:type="xsd:double"&gt;22.4&lt;/D&gt;&lt;D xsi:type="xsd:double"&gt;22.4&lt;/D&gt;&lt;D xsi:type="xsd:double"&gt;23.2&lt;/D&gt;&lt;D xsi:type="xsd:double"&gt;23.2&lt;/D&gt;&lt;D xsi:type="xsd:double"&gt;23.2&lt;/D&gt;&lt;D xsi:type="xsd:double"&gt;23.2&lt;/D&gt;&lt;D xsi:type="xsd:double"&gt;23.2&lt;/D&gt;&lt;D xsi:type="xsd:double"&gt;23.9&lt;/D&gt;&lt;D xsi:type="xsd:double"&gt;23.9&lt;/D&gt;&lt;D xsi:type="xsd:double"&gt;23.9&lt;/D&gt;&lt;D xsi:type="xsd:double"&gt;23.9&lt;/D&gt;&lt;D xsi:type="xsd:double"&gt;23.9&lt;/D&gt;&lt;D xsi:type="xsd:double"&gt;25.7&lt;/D&gt;&lt;D xsi:type="xsd:double"&gt;25.7&lt;/D&gt;&lt;D xsi:type="xsd:double"&gt;25.7&lt;/D&gt;&lt;D xsi:type="xsd:double"&gt;25.7&lt;/D&gt;&lt;D xsi:type="xsd:double"&gt;25.7&lt;/D&gt;&lt;D xsi:type="xsd:double"&gt;24.3&lt;/D&gt;&lt;D xsi:type="xsd:double"&gt;24.3&lt;/D&gt;&lt;D xsi:type="xsd:double"&gt;24.3&lt;/D&gt;&lt;D xsi:type="xsd:double"&gt;24.3&lt;/D&gt;&lt;D xsi:type="xsd:double"&gt;24.3&lt;/D&gt;&lt;D xsi:type="xsd:double"&gt;22.2&lt;/D&gt;&lt;D xsi:type="xsd:double"&gt;22.2&lt;/D&gt;&lt;D xsi:type="xsd:double"&gt;22.2&lt;/D&gt;&lt;D xsi:type="xsd:double"&gt;22.2&lt;/D&gt;&lt;D xsi:type="xsd:double"&gt;22.2&lt;/D&gt;&lt;D xsi:type="xsd:double"&gt;22.8&lt;/D&gt;&lt;D xsi:type="xsd:double"&gt;22.8&lt;/D&gt;&lt;D xsi:type="xsd:double"&gt;22.8&lt;/D&gt;&lt;D xsi:type="xsd:double"&gt;22.8&lt;/D&gt;&lt;D xsi:type="xsd:double"&gt;22.8&lt;/D&gt;&lt;D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xsi:type="xsd:double"&gt;22.8&lt;/D&gt;&lt;D xsi:type="xsd:double"&gt;22.8&lt;/D&gt;&lt;D xsi:type="xsd:double"&gt;22.8&lt;/D&gt;&lt;D xsi:type="xsd:double"&gt;22.8&lt;/D&gt;&lt;D xsi:type="xsd:double"&gt;22.8&lt;/D&gt;&lt;D xsi:type="xsd:double"&gt;22.5&lt;/D&gt;&lt;D xsi:type="xsd:double"&gt;22.5&lt;/D&gt;&lt;D xsi:type="xsd:double"&gt;22.5&lt;/D&gt;&lt;D xsi:type="xsd:double"&gt;22.5&lt;/D&gt;&lt;D xsi:type="xsd:double"&gt;22.5&lt;/D&gt;&lt;D xsi:type="xsd:double"&gt;21.9&lt;/D&gt;&lt;D xsi:type="xsd:double"&gt;21.9&lt;/D&gt;&lt;D xsi:type="xsd:double"&gt;21.9&lt;/D&gt;&lt;D xsi:type="xsd:double"&gt;21.9&lt;/D&gt;&lt;D xsi:type="xsd:double"&gt;21.9&lt;/D&gt;&lt;D xsi:type="xsd:double"&gt;20.8&lt;/D&gt;&lt;D xsi:type="xsd:double"&gt;20.8&lt;/D&gt;&lt;D xsi:type="xsd:double"&gt;20.8&lt;/D&gt;&lt;D xsi:type="xsd:double"&gt;20.8&lt;/D&gt;&lt;D xsi:type="xsd:double"&gt;20.8&lt;/D&gt;&lt;D xsi:type="xsd:double"&gt;18.6&lt;/D&gt;&lt;D xsi:type="xsd:double"&gt;18.6&lt;/D&gt;&lt;D xsi:type="xsd:double"&gt;18.6&lt;/D&gt;&lt;D xsi:type="xsd:double"&gt;18.6&lt;/D&gt;&lt;D xsi:type="xsd:double"&gt;18.6&lt;/D&gt;&lt;D xsi:type="xsd:double"&gt;20&lt;/D&gt;&lt;D xsi:type="xsd:double"&gt;20&lt;/D&gt;&lt;D xsi:type="xsd:double"&gt;20&lt;/D&gt;&lt;D xsi:type="xsd:double"&gt;20&lt;/D&gt;&lt;D xsi:type="xsd:double"&gt;20&lt;/D&gt;&lt;D xsi:type="xsd:double"&gt;19.4&lt;/D&gt;&lt;D xsi:type="xsd:double"&gt;19.4&lt;/D&gt;&lt;D xsi:type="xsd:double"&gt;19.4&lt;/D&gt;&lt;D xsi:type="xsd:double"&gt;19.4&lt;/D&gt;&lt;D xsi:type="xsd:double"&gt;19.4&lt;/D&gt;&lt;D xsi:type="xsd:double"&gt;18.6&lt;/D&gt;&lt;D xsi:type="xsd:double"&gt;18.6&lt;/D&gt;&lt;D xsi:type="xsd:double"&gt;18.6&lt;/D&gt;&lt;D xsi:type="xsd:double"&gt;18.6&lt;/D&gt;&lt;D xsi:type="xsd:double"&gt;18.6&lt;/D&gt;&lt;D xsi:type="xsd:double"&gt;19.4&lt;/D&gt;&lt;D xsi:type="xsd:double"&gt;19.4&lt;/D&gt;&lt;D xsi:type="xsd:double"&gt;19.4&lt;/D&gt;&lt;D xsi:type="xsd:double"&gt;19.4&lt;/D&gt;&lt;D xsi:type="xsd:double"&gt;19.4&lt;/D&gt;&lt;D xsi:type="xsd:double"&gt;18&lt;/D&gt;&lt;D xsi:type="xsd:double"&gt;18&lt;/D&gt;&lt;D xsi:type="xsd:double"&gt;18&lt;/D&gt;&lt;D xsi:type="xsd:double"&gt;18&lt;/D&gt;&lt;D xsi:type="xsd:double"&gt;18&lt;/D&gt;&lt;D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xsi:type="xsd:double"&gt;18.6&lt;/D&gt;&lt;D xsi:type="xsd:double"&gt;18.6&lt;/D&gt;&lt;D xsi:type="xsd:double"&gt;18.6&lt;/D&gt;&lt;D xsi:type="xsd:double"&gt;18.6&lt;/D&gt;&lt;D xsi:type="xsd:double"&gt;18.6&lt;/D&gt;&lt;D xsi:type="xsd:double"&gt;20&lt;/D&gt;&lt;D xsi:type="xsd:double"&gt;20&lt;/D&gt;&lt;D xsi:type="xsd:double"&gt;20&lt;/D&gt;&lt;D xsi:type="xsd:double"&gt;20&lt;/D&gt;&lt;D xsi:type="xsd:double"&gt;20&lt;/D&gt;&lt;D xsi:type="xsd:double"&gt;20.6&lt;/D&gt;&lt;D xsi:type="xsd:double"&gt;20.6&lt;/D&gt;&lt;D xsi:type="xsd:double"&gt;20.6&lt;/D&gt;&lt;D xsi:type="xsd:double"&gt;20.6&lt;/D&gt;&lt;D xsi:type="xsd:double"&gt;20.6&lt;/D&gt;&lt;D xsi:type="xsd:double"&gt;21.6&lt;/D&gt;&lt;D xsi:type="xsd:double"&gt;21.6&lt;/D&gt;&lt;D xsi:type="xsd:double"&gt;21.6&lt;/D&gt;&lt;D xsi:type="xsd:double"&gt;21.6&lt;/D&gt;&lt;D xsi:type="xsd:double"&gt;21.6&lt;/D&gt;&lt;D xsi:type="xsd:double"&gt;23.3&lt;/D&gt;&lt;D xsi:type="xsd:double"&gt;23.3&lt;/D&gt;&lt;D xsi:type="xsd:double"&gt;23.3&lt;/D&gt;&lt;D xsi:type="xsd:double"&gt;23.3&lt;/D&gt;&lt;D xsi:type="xsd:double"&gt;23.3&lt;/D&gt;&lt;D xsi:type="xsd:double"&gt;23.9&lt;/D&gt;&lt;D xsi:type="xsd:double"&gt;23.9&lt;/D&gt;&lt;D xsi:type="xsd:double"&gt;23.9&lt;/D&gt;&lt;D xsi:type="xsd:double"&gt;23.9&lt;/D&gt;&lt;D xsi:type="xsd:double"&gt;23.9&lt;/D&gt;&lt;D xsi:type="xsd:double"&gt;24.7&lt;/D&gt;&lt;D xsi:type="xsd:double"&gt;24.7&lt;/D&gt;&lt;D xsi:type="xsd:double"&gt;24.7&lt;/D&gt;&lt;D xsi:type="xsd:double"&gt;24.7&lt;/D&gt;&lt;D xsi:type="xsd:double"&gt;24.7&lt;/D&gt;&lt;D xsi:type="xsd:double"&gt;24.3&lt;/D&gt;&lt;D xsi:type="xsd:double"&gt;24.3&lt;/D&gt;&lt;D xsi:type="xsd:double"&gt;24.3&lt;/D&gt;&lt;D xsi:type="xsd:double"&gt;24.3&lt;/D&gt;&lt;D xsi:type="xsd:double"&gt;24.3&lt;/D&gt;&lt;D xsi:type="xsd:double"&gt;23.6&lt;/D&gt;&lt;D xsi:type="xsd:double"&gt;23.6&lt;/D&gt;&lt;D xsi:type="xsd:double"&gt;23.6&lt;/D&gt;&lt;D xsi:type="xsd:double"&gt;23.6&lt;/D&gt;&lt;D xsi:type="xsd:double"&gt;23.6&lt;/D&gt;&lt;D xsi:type="xsd:double"&gt;25&lt;/D&gt;&lt;D xsi:type="xsd:double"&gt;25&lt;/D&gt;&lt;D xsi:type="xsd:double"&gt;25&lt;/D&gt;&lt;D xsi:type="xsd:double"&gt;25&lt;/D&gt;&lt;D xsi:type="xsd:double"&gt;25&lt;/D&gt;&lt;D xsi:type="xsd:double"&gt;24&lt;/D&gt;&lt;D xsi:type="xsd:double"&gt;24&lt;/D&gt;&lt;D xsi:type="xsd:double"&gt;24&lt;/D&gt;&lt;D xsi:type="xsd:double"&gt;24&lt;/D&gt;&lt;D xsi:type="xsd:double"&gt;24&lt;/D&gt;&lt;D xsi:type="xsd:double"&gt;24.3&lt;/D&gt;&lt;D xsi:type="xsd:double"&gt;24.3&lt;/D&gt;&lt;D xsi:type="xsd:double"&gt;24.3&lt;/D&gt;&lt;D xsi:type="xsd:double"&gt;24.3&lt;/D&gt;&lt;D xsi:type="xsd:double"&gt;24.3&lt;/D&gt;&lt;D xsi:type="xsd:double"&gt;25&lt;/D&gt;&lt;D xsi:type="xsd:double"&gt;25&lt;/D&gt;&lt;D xsi:type="xsd:double"&gt;25&lt;/D&gt;&lt;D xsi:type="xsd:double"&gt;25&lt;/D&gt;&lt;D xsi:type="xsd:double"&gt;25&lt;/D&gt;&lt;D xsi:type="xsd:double"&gt;26.8&lt;/D&gt;&lt;D xsi:type="xsd:double"&gt;26.8&lt;/D&gt;&lt;D xsi:type="xsd:double"&gt;26.8&lt;/D&gt;&lt;D xsi:type="xsd:double"&gt;26.8&lt;/D&gt;&lt;D xsi:type="xsd:double"&gt;26.8&lt;/D&gt;&lt;D xsi:type="xsd:double"&gt;28.8&lt;/D&gt;&lt;D xsi:type="xsd:double"&gt;28.8&lt;/D&gt;&lt;D xsi:type="xsd:double"&gt;28.8&lt;/D&gt;&lt;D xsi:type="xsd:double"&gt;28.8&lt;/D&gt;&lt;D xsi:type="xsd:double"&gt;28.8&lt;/D&gt;&lt;D xsi:type="xsd:double"&gt;27.8&lt;/D&gt;&lt;D xsi:type="xsd:double"&gt;27.8&lt;/D&gt;&lt;D xsi:type="xsd:double"&gt;27.8&lt;/D&gt;&lt;D xsi:type="xsd:double"&gt;27.8&lt;/D&gt;&lt;D xsi:type="xsd:double"&gt;27.8&lt;/D&gt;&lt;D xsi:type="xsd:double"&gt;24.7&lt;/D&gt;&lt;D xsi:type="xsd:double"&gt;24.7&lt;/D&gt;&lt;D xsi:type="xsd:double"&gt;24.7&lt;/D&gt;&lt;D xsi:type="xsd:double"&gt;24.7&lt;/D&gt;&lt;D xsi:type="xsd:double"&gt;24.7&lt;/D&gt;&lt;D xsi:type="xsd:double"&gt;28.8&lt;/D&gt;&lt;D xsi:type="xsd:double"&gt;28.8&lt;/D&gt;&lt;D xsi:type="xsd:double"&gt;28.8&lt;/D&gt;&lt;D xsi:type="xsd:double"&gt;28.8&lt;/D&gt;&lt;D xsi:type="xsd:double"&gt;28.8&lt;/D&gt;&lt;D xsi:type="xsd:double"&gt;26.4&lt;/D&gt;&lt;D xsi:type="xsd:double"&gt;26.4&lt;/D&gt;&lt;D xsi:type="xsd:double"&gt;26.4&lt;/D&gt;&lt;D xsi:type="xsd:double"&gt;26.4&lt;/D&gt;&lt;D xsi:type="xsd:double"&gt;26.4&lt;/D&gt;&lt;D xsi:type="xsd:double"&gt;26.8&lt;/D&gt;&lt;D xsi:type="xsd:double"&gt;26.8&lt;/D&gt;&lt;D xsi:type="xsd:double"&gt;26.8&lt;/D&gt;&lt;D xsi:type="xsd:double"&gt;26.8&lt;/D&gt;&lt;D xsi:type="xsd:double"&gt;26.8&lt;/D&gt;&lt;D xsi:type="xsd:double"&gt;25.7&lt;/D&gt;&lt;D xsi:type="xsd:double"&gt;25.7&lt;/D&gt;&lt;D xsi:type="xsd:double"&gt;25.7&lt;/D&gt;&lt;D xsi:type="xsd:double"&gt;25.7&lt;/D&gt;&lt;D xsi:type="xsd:double"&gt;25.7&lt;/D&gt;&lt;D xsi:type="xsd:double"&gt;27.2&lt;/D&gt;&lt;D xsi:type="xsd:double"&gt;27.2&lt;/D&gt;&lt;D xsi:type="xsd:double"&gt;27.2&lt;/D&gt;&lt;D xsi:type="xsd:double"&gt;27.2&lt;/D&gt;&lt;D xsi:type="xsd:double"&gt;27.2&lt;/D&gt;&lt;D xsi:type="xsd:double"&gt;28.2&lt;/D&gt;&lt;D xsi:type="xsd:double"&gt;28.2&lt;/D&gt;&lt;D xsi:type="xsd:double"&gt;28.2&lt;/D&gt;&lt;D xsi:type="xsd:double"&gt;28.2&lt;/D&gt;&lt;D xsi:type="xsd:double"&gt;28.2&lt;/D&gt;&lt;D xsi:type="xsd:double"&gt;29.6&lt;/D&gt;&lt;D xsi:type="xsd:double"&gt;29.6&lt;/D&gt;&lt;D xsi:type="xsd:double"&gt;29.6&lt;/D&gt;&lt;D xsi:type="xsd:double"&gt;29.6&lt;/D&gt;&lt;D xsi:type="xsd:double"&gt;29.6&lt;/D&gt;&lt;D xsi:type="xsd:double"&gt;32.9&lt;/D&gt;&lt;D xsi:type="xsd:double"&gt;32.9&lt;/D&gt;&lt;D xsi:type="xsd:double"&gt;32.9&lt;/D&gt;&lt;D xsi:type="xsd:double"&gt;32.9&lt;/D&gt;&lt;D xsi:type="xsd:double"&gt;32.9&lt;/D&gt;&lt;D xsi:type="xsd:double"&gt;33.8&lt;/D&gt;&lt;D xsi:type="xsd:double"&gt;33.8&lt;/D&gt;&lt;D xsi:type="xsd:double"&gt;33.8&lt;/D&gt;&lt;D xsi:type="xsd:double"&gt;33.8&lt;/D&gt;&lt;D xsi:type="xsd:double"&gt;33.8&lt;/D&gt;&lt;D xsi:type="xsd:string"&gt;@NA&lt;/D&gt;&lt;D xsi:type="xsd:string"&gt;@NA&lt;/D&gt;&lt;D xsi:type="xsd:string"&gt;@NA&lt;/D&gt;&lt;D xsi:type="xsd:string"&gt;@NA&lt;/D&gt;&lt;D xsi:type="xsd:string"&gt;@NA&lt;/D&gt;&lt;D xsi:type="xsd:double"&gt;33.3&lt;/D&gt;&lt;D xsi:type="xsd:double"&gt;33.3&lt;/D&gt;&lt;D xsi:type="xsd:double"&gt;33.3&lt;/D&gt;&lt;D xsi:type="xsd:double"&gt;33.3&lt;/D&gt;&lt;D xsi:type="xsd:double"&gt;33.3&lt;/D&gt;&lt;D xsi:type="xsd:double"&gt;31.4&lt;/D&gt;&lt;D xsi:type="xsd:double"&gt;31.4&lt;/D&gt;&lt;D xsi:type="xsd:double"&gt;31.4&lt;/D&gt;&lt;D xsi:type="xsd:double"&gt;31.4&lt;/D&gt;&lt;D xsi:type="xsd:double"&gt;31.4&lt;/D&gt;&lt;D xsi:type="xsd:double"&gt;32.4&lt;/D&gt;&lt;D xsi:type="xsd:double"&gt;32.4&lt;/D&gt;&lt;D xsi:type="xsd:double"&gt;32.4&lt;/D&gt;&lt;D xsi:type="xsd:double"&gt;32.4&lt;/D&gt;&lt;D xsi:type="xsd:double"&gt;32.4&lt;/D&gt;&lt;D xsi:type="xsd:double"&gt;31.5&lt;/D&gt;&lt;D xsi:type="xsd:double"&gt;31.5&lt;/D&gt;&lt;D xsi:type="xsd:double"&gt;31.5&lt;/D&gt;&lt;D xsi:type="xsd:double"&gt;31.5&lt;/D&gt;&lt;D xsi:type="xsd:double"&gt;31.5&lt;/D&gt;&lt;D xsi:type="xsd:double"&gt;30.5&lt;/D&gt;&lt;D xsi:type="xsd:double"&gt;30.5&lt;/D&gt;&lt;D xsi:type="xsd:double"&gt;30.5&lt;/D&gt;&lt;D xsi:type="xsd:double"&gt;30.5&lt;/D&gt;&lt;D xsi:type="xsd:double"&gt;30.5&lt;/D&gt;&lt;D xsi:type="xsd:double"&gt;32.8&lt;/D&gt;&lt;D xsi:type="xsd:double"&gt;32.8&lt;/D&gt;&lt;D xsi:type="xsd:double"&gt;32.8&lt;/D&gt;&lt;D xsi:type="xsd:double"&gt;32.8&lt;/D&gt;&lt;D xsi:type="xsd:double"&gt;32.8&lt;/D&gt;&lt;D xsi:type="xsd:double"&gt;36.6&lt;/D&gt;&lt;D xsi:type="xsd:double"&gt;36.6&lt;/D&gt;&lt;D xsi:type="xsd:double"&gt;36.6&lt;/D&gt;&lt;D xsi:type="xsd:double"&gt;36.6&lt;/D&gt;&lt;D xsi:type="xsd:double"&gt;36.6&lt;/D&gt;&lt;D xsi:type="xsd:double"&gt;37.3&lt;/D&gt;&lt;D xsi:type="xsd:double"&gt;37.3&lt;/D&gt;&lt;D xsi:type="xsd:double"&gt;37.3&lt;/D&gt;&lt;D xsi:type="xsd:double"&gt;37.3&lt;/D&gt;&lt;D xsi:type="xsd:double"&gt;37.3&lt;/D&gt;&lt;D xsi:type="xsd:double"&gt;38.5&lt;/D&gt;&lt;D xsi:type="xsd:double"&gt;38.5&lt;/D&gt;&lt;D xsi:type="xsd:double"&gt;38.5&lt;/D&gt;&lt;D xsi:type="xsd:double"&gt;38.5&lt;/D&gt;&lt;D xsi:type="xsd:double"&gt;38.5&lt;/D&gt;&lt;D xsi:type="xsd:double"&gt;40.3&lt;/D&gt;&lt;D xsi:type="xsd:double"&gt;40.3&lt;/D&gt;&lt;D xsi:type="xsd:double"&gt;40.3&lt;/D&gt;&lt;D xsi:type="xsd:double"&gt;40.3&lt;/D&gt;&lt;D xsi:type="xsd:double"&gt;40.3&lt;/D&gt;&lt;D xsi:type="xsd:double"&gt;44.1&lt;/D&gt;&lt;D xsi:type="xsd:double"&gt;44.1&lt;/D&gt;&lt;D xsi:type="xsd:double"&gt;44.1&lt;/D&gt;&lt;D xsi:type="xsd:double"&gt;44.1&lt;/D&gt;&lt;D xsi:type="xsd:double"&gt;44.1&lt;/D&gt;&lt;D xsi:type="xsd:double"&gt;41.8&lt;/D&gt;&lt;D xsi:type="xsd:double"&gt;41.8&lt;/D&gt;&lt;D xsi:type="xsd:double"&gt;41.8&lt;/D&gt;&lt;D xsi:type="xsd:double"&gt;41.8&lt;/D&gt;&lt;D xsi:type="xsd:double"&gt;41.8&lt;/D&gt;&lt;D xsi:type="xsd:double"&gt;34.3&lt;/D&gt;&lt;D xsi:type="xsd:double"&gt;34.3&lt;/D&gt;&lt;D xsi:type="xsd:double"&gt;34.3&lt;/D&gt;&lt;D xsi:type="xsd:double"&gt;34.3&lt;/D&gt;&lt;D xsi:type="xsd:double"&gt;34.3&lt;/D&gt;&lt;D xsi:type="xsd:double"&gt;31.4&lt;/D&gt;&lt;D xsi:type="xsd:double"&gt;31.4&lt;/D&gt;&lt;D xsi:type="xsd:double"&gt;31.4&lt;/D&gt;&lt;D xsi:type="xsd:double"&gt;31.4&lt;/D&gt;&lt;D xsi:type="xsd:double"&gt;31.4&lt;/D&gt;&lt;D xsi:type="xsd:double"&gt;28.2&lt;/D&gt;&lt;D xsi:type="xsd:double"&gt;28.2&lt;/D&gt;&lt;D xsi:type="xsd:double"&gt;28.2&lt;/D&gt;&lt;D xsi:type="xsd:double"&gt;28.2&lt;/D&gt;&lt;D xsi:type="xsd:double"&gt;28.2&lt;/D&gt;&lt;D xsi:type="xsd:double"&gt;29.7&lt;/D&gt;&lt;D xsi:type="xsd:double"&gt;29.7&lt;/D&gt;&lt;D xsi:type="xsd:double"&gt;29.7&lt;/D&gt;&lt;D xsi:type="xsd:double"&gt;29.7&lt;/D&gt;&lt;D xsi:type="xsd:double"&gt;29.7&lt;/D&gt;&lt;D xsi:type="xsd:double"&gt;30.1&lt;/D&gt;&lt;D xsi:type="xsd:double"&gt;30.1&lt;/D&gt;&lt;D xsi:type="xsd:double"&gt;30.1&lt;/D&gt;&lt;D xsi:type="xsd:double"&gt;30.1&lt;/D&gt;&lt;D xsi:type="xsd:double"&gt;30.1&lt;/D&gt;&lt;D xsi:type="xsd:double"&gt;29.6&lt;/D&gt;&lt;D xsi:type="xsd:double"&gt;29.6&lt;/D&gt;&lt;D xsi:type="xsd:double"&gt;29.6&lt;/D&gt;&lt;D xsi:type="xsd:double"&gt;29.6&lt;/D&gt;&lt;D xsi:type="xsd:double"&gt;29.6&lt;/D&gt;&lt;D xsi:type="xsd:double"&gt;27.5&lt;/D&gt;&lt;D xsi:type="xsd:double"&gt;27.5&lt;/D&gt;&lt;D xsi:type="xsd:double"&gt;27.5&lt;/D&gt;&lt;D xsi:type="xsd:double"&gt;27.5&lt;/D&gt;&lt;D xsi:type="xsd:double"&gt;27.5&lt;/D&gt;&lt;D xsi:type="xsd:double"&gt;27.8&lt;/D&gt;&lt;D xsi:type="xsd:double"&gt;27.8&lt;/D&gt;&lt;D xsi:type="xsd:double"&gt;27.8&lt;/D&gt;&lt;D xsi:type="xsd:double"&gt;27.8&lt;/D&gt;&lt;D xsi:type="xsd:double"&gt;27.8&lt;/D&gt;&lt;D xsi:type="xsd:double"&gt;30.1&lt;/D&gt;&lt;D xsi:type="xsd:double"&gt;30.1&lt;/D&gt;&lt;D xsi:type="xsd:double"&gt;30.1&lt;/D&gt;&lt;D xsi:type="xsd:double"&gt;30.1&lt;/D&gt;&lt;D xsi:type="xsd:double"&gt;30.1&lt;/D&gt;&lt;D xsi:type="xsd:double"&gt;33.3&lt;/D&gt;&lt;D xsi:type="xsd:double"&gt;33.3&lt;/D&gt;&lt;D xsi:type="xsd:double"&gt;33.3&lt;/D&gt;&lt;D xsi:type="xsd:double"&gt;33.3&lt;/D&gt;&lt;D xsi:type="xsd:double"&gt;33.3&lt;/D&gt;&lt;D xsi:type="xsd:double"&gt;35.2&lt;/D&gt;&lt;D xsi:type="xsd:double"&gt;35.2&lt;/D&gt;&lt;D xsi:type="xsd:double"&gt;35.2&lt;/D&gt;&lt;D xsi:type="xsd:double"&gt;35.2&lt;/D&gt;&lt;D xsi:type="xsd:double"&gt;35.2&lt;/D&gt;&lt;D xsi:type="xsd:double"&gt;36.6&lt;/D&gt;&lt;D xsi:type="xsd:double"&gt;36.6&lt;/D&gt;&lt;D xsi:type="xsd:double"&gt;36.6&lt;/D&gt;&lt;D xsi:type="xsd:double"&gt;36.6&lt;/D&gt;&lt;D xsi:type="xsd:double"&gt;36.6&lt;/D&gt;&lt;D xsi:type="xsd:double"&gt;40.3&lt;/D&gt;&lt;D xsi:type="xsd:double"&gt;40.3&lt;/D&gt;&lt;D xsi:type="xsd:double"&gt;40.3&lt;/D&gt;&lt;D xsi:type="xsd:double"&gt;40.3&lt;/D&gt;&lt;D xsi:type="xsd:double"&gt;40.3&lt;/D&gt;&lt;D xsi:type="xsd:double"&gt;40&lt;/D&gt;&lt;D xsi:type="xsd:double"&gt;40&lt;/D&gt;&lt;D xsi:type="xsd:double"&gt;40&lt;/D&gt;&lt;D xsi:type="xsd:double"&gt;40&lt;/D&gt;&lt;D xsi:type="xsd:double"&gt;40&lt;/D&gt;&lt;D xsi:type="xsd:double"&gt;44.1&lt;/D&gt;&lt;D xsi:type="xsd:double"&gt;44.1&lt;/D&gt;&lt;D xsi:type="xsd:double"&gt;44.1&lt;/D&gt;&lt;D xsi:type="xsd:double"&gt;44.1&lt;/D&gt;&lt;D xsi:type="xsd:double"&gt;44.1&lt;/D&gt;&lt;D xsi:type="xsd:double"&gt;42.7&lt;/D&gt;&lt;D xsi:type="xsd:double"&gt;42.7&lt;/D&gt;&lt;D xsi:type="xsd:double"&gt;42.7&lt;/D&gt;&lt;D xsi:type="xsd:double"&gt;42.7&lt;/D&gt;&lt;D xsi:type="xsd:double"&gt;42.7&lt;/D&gt;&lt;D xsi:type="xsd:double"&gt;40&lt;/D&gt;&lt;D xsi:type="xsd:double"&gt;40&lt;/D&gt;&lt;D xsi:type="xsd:double"&gt;40&lt;/D&gt;&lt;D xsi:type="xsd:double"&gt;40&lt;/D&gt;&lt;D xsi:type="xsd:double"&gt;40&lt;/D&gt;&lt;D xsi:type="xsd:double"&gt;38&lt;/D&gt;&lt;D xsi:type="xsd:double"&gt;38&lt;/D&gt;&lt;D xsi:type="xsd:double"&gt;38&lt;/D&gt;&lt;D xsi:type="xsd:double"&gt;38&lt;/D&gt;&lt;D xsi:type="xsd:double"&gt;38&lt;/D&gt;&lt;D xsi:type="xsd:double"&gt;40.8&lt;/D&gt;&lt;D xsi:type="xsd:double"&gt;40.8&lt;/D&gt;&lt;D xsi:type="xsd:double"&gt;40.8&lt;/D&gt;&lt;D xsi:type="xsd:double"&gt;40.8&lt;/D&gt;&lt;D xsi:type="xsd:double"&gt;40.8&lt;/D&gt;&lt;D xsi:type="xsd:double"&gt;43&lt;/D&gt;&lt;D xsi:type="xsd:double"&gt;43&lt;/D&gt;&lt;D xsi:type="xsd:double"&gt;43&lt;/D&gt;&lt;D xsi:type="xsd:double"&gt;43&lt;/D&gt;&lt;D xsi:type="xsd:double"&gt;43&lt;/D&gt;&lt;D xsi:type="xsd:double"&gt;40.8&lt;/D&gt;&lt;D xsi:type="xsd:double"&gt;40.8&lt;/D&gt;&lt;D xsi:type="xsd:double"&gt;40.8&lt;/D&gt;&lt;D xsi:type="xsd:double"&gt;40.8&lt;/D&gt;&lt;D xsi:type="xsd:double"&gt;40.8&lt;/D&gt;&lt;D xsi:type="xsd:double"&gt;39.3&lt;/D&gt;&lt;D xsi:type="xsd:double"&gt;39.3&lt;/D&gt;&lt;D xsi:type="xsd:double"&gt;39.3&lt;/D&gt;&lt;D xsi:type="xsd:double"&gt;39.3&lt;/D&gt;&lt;D xsi:type="xsd:double"&gt;39.3&lt;/D&gt;&lt;D xsi:type="xsd:double"&gt;32.9&lt;/D&gt;&lt;D xsi:type="xsd:double"&gt;32.9&lt;/D&gt;&lt;D xsi:type="xsd:double"&gt;32.9&lt;/D&gt;&lt;D xsi:type="xsd:double"&gt;32.9&lt;/D&gt;&lt;D xsi:type="xsd:double"&gt;32.9&lt;/D&gt;&lt;D xsi:type="xsd:double"&gt;33.3&lt;/D&gt;&lt;D xsi:type="xsd:double"&gt;33.3&lt;/D&gt;&lt;D xsi:type="xsd:double"&gt;33.3&lt;/D&gt;&lt;D xsi:type="xsd:double"&gt;33.3&lt;/D&gt;&lt;D xsi:type="xsd:double"&gt;33.3&lt;/D&gt;&lt;D xsi:type="xsd:double"&gt;32.1&lt;/D&gt;&lt;D xsi:type="xsd:double"&gt;32.1&lt;/D&gt;&lt;D xsi:type="xsd:double"&gt;32.1&lt;/D&gt;&lt;D xsi:type="xsd:double"&gt;32.1&lt;/D&gt;&lt;D xsi:type="xsd:double"&gt;32.1&lt;/D&gt;&lt;D xsi:type="xsd:double"&gt;31&lt;/D&gt;&lt;D xsi:type="xsd:double"&gt;31&lt;/D&gt;&lt;D xsi:type="xsd:double"&gt;31&lt;/D&gt;&lt;D xsi:type="xsd:double"&gt;31&lt;/D&gt;&lt;D xsi:type="xsd:double"&gt;31&lt;/D&gt;&lt;D xsi:type="xsd:double"&gt;34.1&lt;/D&gt;&lt;D xsi:type="xsd:double"&gt;34.1&lt;/D&gt;&lt;D xsi:type="xsd:double"&gt;34.1&lt;/D&gt;&lt;D xsi:type="xsd:double"&gt;34.1&lt;/D&gt;&lt;D xsi:type="xsd:double"&gt;34.1&lt;/D&gt;&lt;D xsi:type="xsd:double"&gt;35.3&lt;/D&gt;&lt;D xsi:type="xsd:double"&gt;35.3&lt;/D&gt;&lt;D xsi:type="xsd:double"&gt;35.3&lt;/D&gt;&lt;D xsi:type="xsd:double"&gt;35.3&lt;/D&gt;&lt;D xsi:type="xsd:double"&gt;35.3&lt;/D&gt;&lt;D xsi:type="xsd:double"&gt;36.5&lt;/D&gt;&lt;D xsi:type="xsd:double"&gt;36.5&lt;/D&gt;&lt;D xsi:type="xsd:double"&gt;36.5&lt;/D&gt;&lt;D xsi:type="xsd:double"&gt;36.5&lt;/D&gt;&lt;D xsi:type="xsd:double"&gt;36.5&lt;/D&gt;&lt;D xsi:type="xsd:double"&gt;35.6&lt;/D&gt;&lt;D xsi:type="xsd:double"&gt;35.6&lt;/D&gt;&lt;D xsi:type="xsd:double"&gt;35.6&lt;/D&gt;&lt;D xsi:type="xsd:double"&gt;35.6&lt;/D&gt;&lt;D xsi:type="xsd:double"&gt;35.6&lt;/D&gt;&lt;D xsi:type="xsd:double"&gt;34.5&lt;/D&gt;&lt;D xsi:type="xsd:double"&gt;34.5&lt;/D&gt;&lt;D xsi:type="xsd:double"&gt;34.5&lt;/D&gt;&lt;D xsi:type="xsd:double"&gt;34.5&lt;/D&gt;&lt;D xsi:type="xsd:double"&gt;34.5&lt;/D&gt;&lt;D xsi:type="xsd:double"&gt;31&lt;/D&gt;&lt;D xsi:type="xsd:double"&gt;31&lt;/D&gt;&lt;D xsi:type="xsd:double"&gt;31&lt;/D&gt;&lt;D xsi:type="xsd:double"&gt;31&lt;/D&gt;&lt;D xsi:type="xsd:double"&gt;31&lt;/D&gt;&lt;D xsi:type="xsd:double"&gt;27.9&lt;/D&gt;&lt;D xsi:type="xsd:double"&gt;27.9&lt;/D&gt;&lt;D xsi:type="xsd:double"&gt;27.9&lt;/D&gt;&lt;D xsi:type="xsd:double"&gt;27.9&lt;/D&gt;&lt;D xsi:type="xsd:double"&gt;27.9&lt;/D&gt;&lt;D xsi:type="xsd:double"&gt;25.9&lt;/D&gt;&lt;D xsi:type="xsd:double"&gt;25.9&lt;/D&gt;&lt;D xsi:type="xsd:double"&gt;25.9&lt;/D&gt;&lt;D xsi:type="xsd:double"&gt;25.9&lt;/D&gt;&lt;D xsi:type="xsd:double"&gt;25.9&lt;/D&gt;&lt;D xsi:type="xsd:double"&gt;25&lt;/D&gt;&lt;D xsi:type="xsd:double"&gt;25&lt;/D&gt;&lt;D xsi:type="xsd:double"&gt;25&lt;/D&gt;&lt;D xsi:type="xsd:double"&gt;25&lt;/D&gt;&lt;D xsi:type="xsd:double"&gt;25&lt;/D&gt;&lt;D xsi:type="xsd:double"&gt;26.7&lt;/D&gt;&lt;D xsi:type="xsd:double"&gt;26.7&lt;/D&gt;&lt;D xsi:type="xsd:double"&gt;26.7&lt;/D&gt;&lt;D xsi:type="xsd:double"&gt;26.7&lt;/D&gt;&lt;D xsi:type="xsd:double"&gt;26.7&lt;/D&gt;&lt;D xsi:type="xsd:double"&gt;25&lt;/D&gt;&lt;D xsi:type="xsd:double"&gt;25&lt;/D&gt;&lt;D xsi:type="xsd:double"&gt;25&lt;/D&gt;&lt;D xsi:type="xsd:double"&gt;25&lt;/D&gt;&lt;D xsi:type="xsd:double"&gt;25&lt;/D&gt;&lt;D xsi:type="xsd:double"&gt;23&lt;/D&gt;&lt;D xsi:type="xsd:double"&gt;23&lt;/D&gt;&lt;D xsi:type="xsd:double"&gt;23&lt;/D&gt;&lt;D xsi:type="xsd:double"&gt;23&lt;/D&gt;&lt;D xsi:type="xsd:double"&gt;23&lt;/D&gt;&lt;D xsi:type="xsd:double"&gt;23.5&lt;/D&gt;&lt;D xsi:type="xsd:double"&gt;23.5&lt;/D&gt;&lt;D xsi:type="xsd:double"&gt;23.5&lt;/D&gt;&lt;D xsi:type="xsd:double"&gt;23.5&lt;/D&gt;&lt;D xsi:type="xsd:double"&gt;23.5&lt;/D&gt;&lt;D xsi:type="xsd:string"&gt;@NA&lt;/D&gt;&lt;D xsi:type="xsd:string"&gt;@NA&lt;/D&gt;&lt;D xsi:type="xsd:string"&gt;@NA&lt;/D&gt;&lt;D xsi:type="xsd:string"&gt;@NA&lt;/D&gt;&lt;D xsi:type="xsd:string"&gt;@NA&lt;/D&gt;&lt;D xsi:type="xsd:double"&gt;24.1&lt;/D&gt;&lt;D xsi:type="xsd:double"&gt;24.1&lt;/D&gt;&lt;D xsi:type="xsd:double"&gt;24.1&lt;/D&gt;&lt;D xsi:type="xsd:double"&gt;24.1&lt;/D&gt;&lt;D xsi:type="xsd:double"&gt;24.1&lt;/D&gt;&lt;D xsi:type="xsd:double"&gt;24.4&lt;/D&gt;&lt;D xsi:type="xsd:double"&gt;24.4&lt;/D&gt;&lt;D xsi:type="xsd:double"&gt;24.4&lt;/D&gt;&lt;D xsi:type="xsd:double"&gt;24.4&lt;/D&gt;&lt;D xsi:type="xsd:double"&gt;24.4&lt;/D&gt;&lt;D xsi:type="xsd:double"&gt;25.3&lt;/D&gt;&lt;D xsi:type="xsd:double"&gt;25.3&lt;/D&gt;&lt;D xsi:type="xsd:double"&gt;25.3&lt;/D&gt;&lt;D xsi:type="xsd:double"&gt;25.3&lt;/D&gt;&lt;D xsi:type="xsd:double"&gt;25.3&lt;/D&gt;&lt;D xsi:type="xsd:double"&gt;24.7&lt;/D&gt;&lt;D xsi:type="xsd:double"&gt;24.7&lt;/D&gt;&lt;D xsi:type="xsd:double"&gt;24.7&lt;/D&gt;&lt;D xsi:type="xsd:double"&gt;24.7&lt;/D&gt;&lt;D xsi:type="xsd:double"&gt;24.7&lt;/D&gt;&lt;D xsi:type="xsd:double"&gt;21.7&lt;/D&gt;&lt;D xsi:type="xsd:double"&gt;21.7&lt;/D&gt;&lt;D xsi:type="xsd:double"&gt;21.7&lt;/D&gt;&lt;D xsi:type="xsd:double"&gt;21.7&lt;/D&gt;&lt;D xsi:type="xsd:double"&gt;21.7&lt;/D&gt;&lt;D xsi:type="xsd:double"&gt;21.4&lt;/D&gt;&lt;D xsi:type="xsd:double"&gt;21.4&lt;/D&gt;&lt;D xsi:type="xsd:double"&gt;21.4&lt;/D&gt;&lt;D xsi:type="xsd:double"&gt;21.4&lt;/D&gt;&lt;D xsi:type="xsd:double"&gt;21.4&lt;/D&gt;&lt;D xsi:type="xsd:double"&gt;22.3&lt;/D&gt;&lt;D xsi:type="xsd:double"&gt;22.3&lt;/D&gt;&lt;D xsi:type="xsd:double"&gt;22.3&lt;/D&gt;&lt;D xsi:type="xsd:double"&gt;22.3&lt;/D&gt;&lt;D xsi:type="xsd:double"&gt;22.3&lt;/D&gt;&lt;D xsi:type="xsd:double"&gt;24.1&lt;/D&gt;&lt;D xsi:type="xsd:double"&gt;24.1&lt;/D&gt;&lt;D xsi:type="xsd:double"&gt;24.1&lt;/D&gt;&lt;D xsi:type="xsd:double"&gt;24.1&lt;/D&gt;&lt;D xsi:type="xsd:double"&gt;24.1&lt;/D&gt;&lt;D xsi:type="xsd:double"&gt;23.8&lt;/D&gt;&lt;D xsi:type="xsd:double"&gt;23.8&lt;/D&gt;&lt;D xsi:type="xsd:double"&gt;23.8&lt;/D&gt;&lt;D xsi:type="xsd:double"&gt;23.8&lt;/D&gt;&lt;D xsi:type="xsd:double"&gt;23.8&lt;/D&gt;&lt;D xsi:type="xsd:double"&gt;23.9&lt;/D&gt;&lt;D xsi:type="xsd:double"&gt;23.9&lt;/D&gt;&lt;D xsi:type="xsd:double"&gt;23.9&lt;/D&gt;&lt;D xsi:type="xsd:double"&gt;23.9&lt;/D&gt;&lt;D xsi:type="xsd:double"&gt;23.9&lt;/D&gt;&lt;D xsi:type="xsd:double"&gt;22.7&lt;/D&gt;&lt;D xsi:type="xsd:double"&gt;22.7&lt;/D&gt;&lt;D xsi:type="xsd:double"&gt;22.7&lt;/D&gt;&lt;D xsi:type="xsd:double"&gt;22.7&lt;/D&gt;&lt;D xsi:type="xsd:double"&gt;22.7&lt;/D&gt;&lt;D xsi:type="xsd:double"&gt;22.5&lt;/D&gt;&lt;D xsi:type="xsd:double"&gt;22.5&lt;/D&gt;&lt;D xsi:type="xsd:double"&gt;22.5&lt;/D&gt;&lt;D xsi:type="xsd:double"&gt;22.5&lt;/D&gt;&lt;D xsi:type="xsd:double"&gt;22.5&lt;/D&gt;&lt;D xsi:type="xsd:double"&gt;22.1&lt;/D&gt;&lt;D xsi:type="xsd:double"&gt;22.1&lt;/D&gt;&lt;D xsi:type="xsd:double"&gt;22.1&lt;/D&gt;&lt;D xsi:type="xsd:double"&gt;22.1&lt;/D&gt;&lt;D xsi:type="xsd:double"&gt;22.1&lt;/D&gt;&lt;D xsi:type="xsd:double"&gt;22.3&lt;/D&gt;&lt;D xsi:type="xsd:double"&gt;22.3&lt;/D&gt;&lt;D xsi:type="xsd:double"&gt;22.3&lt;/D&gt;&lt;D xsi:type="xsd:double"&gt;22.3&lt;/D&gt;&lt;D xsi:type="xsd:double"&gt;22.3&lt;/D&gt;&lt;D xsi:type="xsd:double"&gt;22.1&lt;/D&gt;&lt;D xsi:type="xsd:double"&gt;22.1&lt;/D&gt;&lt;D xsi:type="xsd:double"&gt;22.1&lt;/D&gt;&lt;D xsi:type="xsd:double"&gt;22.1&lt;/D&gt;&lt;D xsi:type="xsd:double"&gt;22.1&lt;/D&gt;&lt;D xsi:type="xsd:double"&gt;21.1&lt;/D&gt;&lt;D xsi:type="xsd:double"&gt;21.1&lt;/D&gt;&lt;D xsi:type="xsd:double"&gt;21.1&lt;/D&gt;&lt;D xsi:type="xsd:double"&gt;21.1&lt;/D&gt;&lt;D xsi:type="xsd:double"&gt;21.1&lt;/D&gt;&lt;D xsi:type="xsd:double"&gt;21.3&lt;/D&gt;&lt;D xsi:type="xsd:double"&gt;21.3&lt;/D&gt;&lt;D xsi:type="xsd:double"&gt;21.3&lt;/D&gt;&lt;D xsi:type="xsd:double"&gt;21.3&lt;/D&gt;&lt;D xsi:type="xsd:double"&gt;21.3&lt;/D&gt;&lt;D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xsi:type="xsd:double"&gt;15.9&lt;/D&gt;&lt;D xsi:type="xsd:double"&gt;15.9&lt;/D&gt;&lt;D xsi:type="xsd:double"&gt;15.9&lt;/D&gt;&lt;D xsi:type="xsd:double"&gt;15.9&lt;/D&gt;&lt;D xsi:type="xsd:double"&gt;15.9&lt;/D&gt;&lt;D xsi:type="xsd:double"&gt;16.3&lt;/D&gt;&lt;D xsi:type="xsd:double"&gt;16.3&lt;/D&gt;&lt;D xsi:type="xsd:double"&gt;16.3&lt;/D&gt;&lt;D xsi:type="xsd:double"&gt;16.3&lt;/D&gt;&lt;D xsi:type="xsd:double"&gt;16.3&lt;/D&gt;&lt;D xsi:type="xsd:double"&gt;16.5&lt;/D&gt;&lt;D xsi:type="xsd:double"&gt;16.5&lt;/D&gt;&lt;D xsi:type="xsd:double"&gt;16.5&lt;/D&gt;&lt;D xsi:type="xsd:double"&gt;16.5&lt;/D&gt;&lt;D xsi:type="xsd:double"&gt;16.5&lt;/D&gt;&lt;D xsi:type="xsd:double"&gt;16.7&lt;/D&gt;&lt;D xsi:type="xsd:double"&gt;16.7&lt;/D&gt;&lt;D xsi:type="xsd:double"&gt;16.7&lt;/D&gt;&lt;D xsi:type="xsd:double"&gt;16.7&lt;/D&gt;&lt;D xsi:type="xsd:double"&gt;16.7&lt;/D&gt;&lt;D xsi:type="xsd:double"&gt;15.3&lt;/D&gt;&lt;D xsi:type="xsd:double"&gt;15.3&lt;/D&gt;&lt;D xsi:type="xsd:double"&gt;15.3&lt;/D&gt;&lt;D xsi:type="xsd:double"&gt;15.3&lt;/D&gt;&lt;D xsi:type="xsd:double"&gt;15.3&lt;/D&gt;&lt;D xsi:type="xsd:double"&gt;15.5&lt;/D&gt;&lt;D xsi:type="xsd:double"&gt;15.5&lt;/D&gt;&lt;D xsi:type="xsd:double"&gt;15.5&lt;/D&gt;&lt;D xsi:type="xsd:double"&gt;15.5&lt;/D&gt;&lt;D xsi:type="xsd:double"&gt;15.5&lt;/D&gt;&lt;D xsi:type="xsd:double"&gt;16.2&lt;/D&gt;&lt;D xsi:type="xsd:double"&gt;16.2&lt;/D&gt;&lt;D xsi:type="xsd:double"&gt;16.2&lt;/D&gt;&lt;D xsi:type="xsd:double"&gt;16.2&lt;/D&gt;&lt;D xsi:type="xsd:double"&gt;16.2&lt;/D&gt;&lt;D xsi:type="xsd:double"&gt;15.8&lt;/D&gt;&lt;D xsi:type="xsd:double"&gt;15.8&lt;/D&gt;&lt;D xsi:type="xsd:double"&gt;15.8&lt;/D&gt;&lt;D xsi:type="xsd:double"&gt;15.8&lt;/D&gt;&lt;D xsi:type="xsd:double"&gt;15.8&lt;/D&gt;&lt;D xsi:type="xsd:double"&gt;16.3&lt;/D&gt;&lt;D xsi:type="xsd:double"&gt;16.3&lt;/D&gt;&lt;D xsi:type="xsd:double"&gt;16.3&lt;/D&gt;&lt;D xsi:type="xsd:double"&gt;16.3&lt;/D&gt;&lt;D xsi:type="xsd:doubl</t>
        </r>
      </text>
    </comment>
    <comment ref="A2" authorId="0" shapeId="0" xr:uid="{927CBD1B-5412-4B89-BA29-1F813CB91A0C}">
      <text>
        <r>
          <rPr>
            <b/>
            <sz val="9"/>
            <color indexed="81"/>
            <rFont val="Tahoma"/>
            <charset val="1"/>
          </rPr>
          <t>e"&gt;16.3&lt;/D&gt;&lt;D xsi:type="xsd:double"&gt;16.2&lt;/D&gt;&lt;D xsi:type="xsd:double"&gt;16.2&lt;/D&gt;&lt;D xsi:type="xsd:double"&gt;16.2&lt;/D&gt;&lt;D xsi:type="xsd:double"&gt;16.2&lt;/D&gt;&lt;D xsi:type="xsd:double"&gt;16.2&lt;/D&gt;&lt;D xsi:type="xsd:double"&gt;16.5&lt;/D&gt;&lt;D xsi:type="xsd:double"&gt;16.5&lt;/D&gt;&lt;D xsi:type="xsd:double"&gt;16.5&lt;/D&gt;&lt;D xsi:type="xsd:double"&gt;16.5&lt;/D&gt;&lt;D xsi:type="xsd:double"&gt;16.5&lt;/D&gt;&lt;D xsi:type="xsd:double"&gt;16.8&lt;/D&gt;&lt;D xsi:type="xsd:double"&gt;16.8&lt;/D&gt;&lt;D xsi:type="xsd:double"&gt;16.8&lt;/D&gt;&lt;D xsi:type="xsd:double"&gt;16.8&lt;/D&gt;&lt;D xsi:type="xsd:double"&gt;16.8&lt;/D&gt;&lt;D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xsi:type="xsd:double"&gt;16.8&lt;/D&gt;&lt;D xsi:type="xsd:double"&gt;16.8&lt;/D&gt;&lt;D xsi:type="xsd:double"&gt;16.8&lt;/D&gt;&lt;D xsi:type="xsd:double"&gt;16.8&lt;/D&gt;&lt;D xsi:type="xsd:double"&gt;16.8&lt;/D&gt;&lt;D xsi:type="xsd:double"&gt;16.5&lt;/D&gt;&lt;D xsi:type="xsd:double"&gt;16.5&lt;/D&gt;&lt;D xsi:type="xsd:double"&gt;16.5&lt;/D&gt;&lt;D xsi:type="xsd:double"&gt;16.5&lt;/D&gt;&lt;D xsi:type="xsd:double"&gt;16.5&lt;/D&gt;&lt;D xsi:type="xsd:double"&gt;16.7&lt;/D&gt;&lt;D xsi:type="xsd:double"&gt;16.7&lt;/D&gt;&lt;D xsi:type="xsd:double"&gt;16.7&lt;/D&gt;&lt;D xsi:type="xsd:double"&gt;16.7&lt;/D&gt;&lt;D xsi:type="xsd:double"&gt;16.7&lt;/D&gt;&lt;D xsi:type="xsd:double"&gt;16.8&lt;/D&gt;&lt;D xsi:type="xsd:double"&gt;16.8&lt;/D&gt;&lt;D xsi:type="xsd:double"&gt;16.8&lt;/D&gt;&lt;D xsi:type="xsd:double"&gt;16.8&lt;/D&gt;&lt;D xsi:type="xsd:double"&gt;16.8&lt;/D&gt;&lt;D xsi:type="xsd:double"&gt;16.7&lt;/D&gt;&lt;D xsi:type="xsd:double"&gt;16.7&lt;/D&gt;&lt;D xsi:type="xsd:double"&gt;16.7&lt;/D&gt;&lt;D xsi:type="xsd:double"&gt;16.7&lt;/D&gt;&lt;D xsi:type="xsd:double"&gt;16.7&lt;/D&gt;&lt;D xsi:type="xsd:double"&gt;17.5&lt;/D&gt;&lt;D xsi:type="xsd:double"&gt;17.5&lt;/D&gt;&lt;D xsi:type="xsd:double"&gt;17.5&lt;/D&gt;&lt;D xsi:type="xsd:double"&gt;17.5&lt;/D&gt;&lt;D xsi:type="xsd:double"&gt;17.5&lt;/D&gt;&lt;D xsi:type="xsd:double"&gt;18.8&lt;/D&gt;&lt;D xsi:type="xsd:double"&gt;18.8&lt;/D&gt;&lt;D xsi:type="xsd:double"&gt;18.8&lt;/D&gt;&lt;D xsi:type="xsd:double"&gt;18.8&lt;/D&gt;&lt;D xsi:type="xsd:double"&gt;18.8&lt;/D&gt;&lt;D xsi:type="xsd:double"&gt;19.6&lt;/D&gt;&lt;D xsi:type="xsd:double"&gt;19.6&lt;/D&gt;&lt;D xsi:type="xsd:double"&gt;19.6&lt;/D&gt;&lt;D xsi:type="xsd:double"&gt;19.6&lt;/D&gt;&lt;D xsi:type="xsd:double"&gt;19.6&lt;/D&gt;&lt;D xsi:type="xsd:double"&gt;20.6&lt;/D&gt;&lt;D xsi:type="xsd:double"&gt;20.6&lt;/D&gt;&lt;D xsi:type="xsd:double"&gt;20.6&lt;/D&gt;&lt;D xsi:type="xsd:double"&gt;20.6&lt;/D&gt;&lt;D xsi:type="xsd:double"&gt;20.6&lt;/D&gt;&lt;D xsi:type="xsd:double"&gt;18.6&lt;/D&gt;&lt;D xsi:type="xsd:double"&gt;18.6&lt;/D&gt;&lt;D xsi:type="xsd:double"&gt;18.6&lt;/D&gt;&lt;D xsi:type="xsd:double"&gt;18.6&lt;/D&gt;&lt;D xsi:type="xsd:double"&gt;18.6&lt;/D&gt;&lt;D xsi:type="xsd:double"&gt;18.5&lt;/D&gt;&lt;D xsi:type="xsd:double"&gt;18.5&lt;/D&gt;&lt;D xsi:type="xsd:double"&gt;18.5&lt;/D&gt;&lt;D xsi:type="xsd:double"&gt;18.5&lt;/D&gt;&lt;D xsi:type="xsd:double"&gt;18.5&lt;/D&gt;&lt;D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xsi:type="xsd:double"&gt;16.7&lt;/D&gt;&lt;D xsi:type="xsd:double"&gt;16.7&lt;/D&gt;&lt;D xsi:type="xsd:double"&gt;16.7&lt;/D&gt;&lt;D xsi:type="xsd:double"&gt;16.7&lt;/D&gt;&lt;D xsi:type="xsd:double"&gt;16.7&lt;/D&gt;&lt;D xsi:type="xsd:double"&gt;16.5&lt;/D&gt;&lt;D xsi:type="xsd:double"&gt;16.5&lt;/D&gt;&lt;D xsi:type="xsd:double"&gt;16.5&lt;/D&gt;&lt;D xsi:type="xsd:double"&gt;16.5&lt;/D&gt;&lt;D xsi:type="xsd:double"&gt;16.5&lt;/D&gt;&lt;D xsi:type="xsd:double"&gt;16.8&lt;/D&gt;&lt;D xsi:type="xsd:double"&gt;16.8&lt;/D&gt;&lt;D xsi:type="xsd:double"&gt;16.8&lt;/D&gt;&lt;D xsi:type="xsd:double"&gt;16.8&lt;/D&gt;&lt;D xsi:type="xsd:double"&gt;16.8&lt;/D&gt;&lt;D xsi:type="xsd:double"&gt;16.7&lt;/D&gt;&lt;D xsi:type="xsd:double"&gt;16.7&lt;/D&gt;&lt;D xsi:type="xsd:double"&gt;16.7&lt;/D&gt;&lt;D xsi:type="xsd:double"&gt;16.7&lt;/D&gt;&lt;D xsi:type="xsd:double"&gt;16.7&lt;/D&gt;&lt;D xsi:type="xsd:double"&gt;17.5&lt;/D&gt;&lt;D xsi:type="xsd:double"&gt;17.5&lt;/D&gt;&lt;D xsi:type="xsd:double"&gt;17.5&lt;/D&gt;&lt;D xsi:type="xsd:double"&gt;17.5&lt;/D&gt;&lt;D xsi:type="xsd:double"&gt;17.5&lt;/D&gt;&lt;D xsi:type="xsd:string"&gt;@NA&lt;/D&gt;&lt;D xsi:type="xsd:string"&gt;@NA&lt;/D&gt;&lt;D xsi:type="xsd:string"&gt;@NA&lt;/D&gt;&lt;D xsi:type="xsd:string"&gt;@NA&lt;/D&gt;&lt;D xsi:type="xsd:string"&gt;@NA&lt;/D&gt;&lt;D xsi:type="xsd:double"&gt;16.8&lt;/D&gt;&lt;D xsi:type="xsd:double"&gt;16.8&lt;/D&gt;&lt;D xsi:type="xsd:double"&gt;16.8&lt;/D&gt;&lt;D xsi:type="xsd:double"&gt;16.8&lt;/D&gt;&lt;D xsi:type="xsd:double"&gt;16.8&lt;/D&gt;&lt;D xsi:type="xsd:double"&gt;17.2&lt;/D&gt;&lt;D xsi:type="xsd:double"&gt;17.2&lt;/D&gt;&lt;D xsi:type="xsd:double"&gt;17.2&lt;/D&gt;&lt;D xsi:type="xsd:double"&gt;17.2&lt;/D&gt;&lt;D xsi:type="xsd:double"&gt;17.2&lt;/D&gt;&lt;D xsi:type="xsd:double"&gt;16.8&lt;/D&gt;&lt;D xsi:type="xsd:double"&gt;16.8&lt;/D&gt;&lt;D xsi:type="xsd:double"&gt;16.8&lt;/D&gt;&lt;D xsi:type="xsd:double"&gt;16.8&lt;/D&gt;&lt;D xsi:type="xsd:double"&gt;16.8&lt;/D&gt;&lt;D xsi:type="xsd:double"&gt;16.7&lt;/D&gt;&lt;D xsi:type="xsd:double"&gt;16.7&lt;/D&gt;&lt;D xsi:type="xsd:double"&gt;16.7&lt;/D&gt;&lt;D xsi:type="xsd:double"&gt;16.7&lt;/D&gt;&lt;D xsi:type="xsd:double"&gt;16.7&lt;/D&gt;&lt;D xsi:type="xsd:double"&gt;17.2&lt;/D&gt;&lt;D xsi:type="xsd:double"&gt;17.2&lt;/D&gt;&lt;D xsi:type="xsd:double"&gt;17.2&lt;/D&gt;&lt;D xsi:type="xsd:double"&gt;17.2&lt;/D&gt;&lt;D xsi:type="xsd:double"&gt;17.2&lt;/D&gt;&lt;D xsi:type="xsd:double"&gt;18.2&lt;/D&gt;&lt;D xsi:type="xsd:double"&gt;18.2&lt;/D&gt;&lt;D xsi:type="xsd:double"&gt;18.2&lt;/D&gt;&lt;D xsi:type="xsd:double"&gt;18.2&lt;/D&gt;&lt;D xsi:type="xsd:double"&gt;18.2&lt;/D&gt;&lt;D xsi:type="xsd:double"&gt;19.4&lt;/D&gt;&lt;D xsi:type="xsd:double"&gt;19.4&lt;/D&gt;&lt;D xsi:type="xsd:double"&gt;19.4&lt;/D&gt;&lt;D xsi:type="xsd:double"&gt;19.4&lt;/D&gt;&lt;D xsi:type="xsd:double"&gt;19.4&lt;/D&gt;&lt;D xsi:type="xsd:double"&gt;20.6&lt;/D&gt;&lt;D xsi:type="xsd:double"&gt;20.6&lt;/D&gt;&lt;D xsi:type="xsd:double"&gt;20.6&lt;/D&gt;&lt;D xsi:type="xsd:double"&gt;20.6&lt;/D&gt;&lt;D xsi:type="xsd:double"&gt;20.6&lt;/D&gt;&lt;D xsi:type="xsd:double"&gt;20.2&lt;/D&gt;&lt;D xsi:type="xsd:double"&gt;20.2&lt;/D&gt;&lt;D xsi:type="xsd:double"&gt;20.2&lt;/D&gt;&lt;D xsi:type="xsd:double"&gt;20.2&lt;/D&gt;&lt;D xsi:type="xsd:double"&gt;20.2&lt;/D&gt;&lt;D xsi:type="xsd:double"&gt;20.4&lt;/D&gt;&lt;D xsi:type="xsd:double"&gt;20.4&lt;/D&gt;&lt;D xsi:type="xsd:double"&gt;20.4&lt;/D&gt;&lt;D xsi:type="xsd:double"&gt;20.4&lt;/D&gt;&lt;D xsi:type="xsd:double"&gt;20.4&lt;/D&gt;&lt;D xsi:type="xsd:double"&gt;21.2&lt;/D&gt;&lt;D xsi:type="xsd:double"&gt;21.2&lt;/D&gt;&lt;D xsi:type="xsd:double"&gt;21.2&lt;/D&gt;&lt;D xsi:type="xsd:double"&gt;21.2&lt;/D&gt;&lt;D xsi:type="xsd:double"&gt;21.2&lt;/D&gt;&lt;D xsi:type="xsd:double"&gt;23.2&lt;/D&gt;&lt;D xsi:type="xsd:double"&gt;23.2&lt;/D&gt;&lt;D xsi:type="xsd:double"&gt;23.2&lt;/D&gt;&lt;D xsi:type="xsd:double"&gt;23.2&lt;/D&gt;&lt;D xsi:type="xsd:double"&gt;23.2&lt;/D&gt;&lt;D xsi:type="xsd:double"&gt;21.8&lt;/D&gt;&lt;D xsi:type="xsd:double"&gt;21.8&lt;/D&gt;&lt;D xsi:type="xsd:double"&gt;21.8&lt;/D&gt;&lt;D xsi:type="xsd:double"&gt;21.8&lt;/D&gt;&lt;D xsi:type="xsd:double"&gt;21.8&lt;/D&gt;&lt;D xsi:type="xsd:double"&gt;19.4&lt;/D&gt;&lt;D xsi:type="xsd:double"&gt;19.4&lt;/D&gt;&lt;D xsi:type="xsd:double"&gt;19.4&lt;/D&gt;&lt;D xsi:type="xsd:double"&gt;19.4&lt;/D&gt;&lt;D xsi:type="xsd:double"&gt;19.4&lt;/D&gt;&lt;D xsi:type="xsd:double"&gt;18.3&lt;/D&gt;&lt;D xsi:type="xsd:double"&gt;18.3&lt;/D&gt;&lt;D xsi:type="xsd:double"&gt;18.3&lt;/D&gt;&lt;D xsi:type="xsd:double"&gt;18.3&lt;/D&gt;&lt;D xsi:type="xsd:double"&gt;18.3&lt;/D&gt;&lt;D xsi:type="xsd:double"&gt;16.2&lt;/D&gt;&lt;D xsi:type="xsd:double"&gt;16.2&lt;/D&gt;&lt;D xsi:type="xsd:double"&gt;16.2&lt;/D&gt;&lt;D xsi:type="xsd:double"&gt;16.2&lt;/D&gt;&lt;D xsi:type="xsd:double"&gt;16.2&lt;/D&gt;&lt;D xsi:type="xsd:double"&gt;16.4&lt;/D&gt;&lt;D xsi:type="xsd:double"&gt;16.4&lt;/D&gt;&lt;D xsi:type="xsd:double"&gt;16.4&lt;/D&gt;&lt;D xsi:type="xsd:double"&gt;16.4&lt;/D&gt;&lt;D xsi:type="xsd:double"&gt;16.4&lt;/D&gt;&lt;D xsi:type="xsd:double"&gt;16.2&lt;/D&gt;&lt;D xsi:type="xsd:double"&gt;16.2&lt;/D&gt;&lt;D xsi:type="xsd:double"&gt;16.2&lt;/D&gt;&lt;D xsi:type="xsd:double"&gt;16.2&lt;/D&gt;&lt;D xsi:type="xsd:double"&gt;16.2&lt;/D&gt;&lt;D xsi:type="xsd:double"&gt;16.5&lt;/D&gt;&lt;D xsi:type="xsd:double"&gt;16.5&lt;/D&gt;&lt;D xsi:type="xsd:double"&gt;16.5&lt;/D&gt;&lt;D xsi:type="xsd:double"&gt;16.5&lt;/D&gt;&lt;D xsi:type="xsd:double"&gt;16.5&lt;/D&gt;&lt;D xsi:type="xsd:double"&gt;16.2&lt;/D&gt;&lt;D xsi:type="xsd:double"&gt;16.2&lt;/D&gt;&lt;D xsi:type="xsd:double"&gt;16.2&lt;/D&gt;&lt;D xsi:type="xsd:double"&gt;16.2&lt;/D&gt;&lt;D xsi:type="xsd:double"&gt;16.2&lt;/D&gt;&lt;D xsi:type="xsd:double"&gt;17.3&lt;/D&gt;&lt;D xsi:type="xsd:double"&gt;17.3&lt;/D&gt;&lt;D xsi:type="xsd:double"&gt;17.3&lt;/D&gt;&lt;D xsi:type="xsd:double"&gt;17.3&lt;/D&gt;&lt;D xsi:type="xsd:double"&gt;17.3&lt;/D&gt;&lt;D xsi:type="xsd:double"&gt;17.5&lt;/D&gt;&lt;D xsi:type="xsd:double"&gt;17.5&lt;/D&gt;&lt;D xsi:type="xsd:double"&gt;17.5&lt;/D&gt;&lt;D xsi:type="xsd:double"&gt;17.5&lt;/D&gt;&lt;D xsi:type="xsd:double"&gt;17.5&lt;/D&gt;&lt;D xsi:type="xsd:double"&gt;17.3&lt;/D&gt;&lt;D xsi:type="xsd:double"&gt;17.3&lt;/D&gt;&lt;D xsi:type="xsd:double"&gt;17.3&lt;/D&gt;&lt;D xsi:type="xsd:double"&gt;17.3&lt;/D&gt;&lt;D xsi:type="xsd:double"&gt;17.3&lt;/D&gt;&lt;D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xsi:type="xsd:double"&gt;19.8&lt;/D&gt;&lt;D xsi:type="xsd:double"&gt;19.8&lt;/D&gt;&lt;D xsi:type="xsd:double"&gt;19.8&lt;/D&gt;&lt;D xsi:type="xsd:double"&gt;19.8&lt;/D&gt;&lt;D xsi:type="xsd:double"&gt;19.8&lt;/D&gt;&lt;D xsi:type="xsd:double"&gt;18.4&lt;/D&gt;&lt;D xsi:type="xsd:double"&gt;18.4&lt;/D&gt;&lt;D xsi:type="xsd:double"&gt;18.4&lt;/D&gt;&lt;D xsi:type="xsd:double"&gt;18.4&lt;/D&gt;&lt;D xsi:type="xsd:double"&gt;18.4&lt;/D&gt;&lt;D xsi:type="xsd:double"&gt;18.6&lt;/D&gt;&lt;D xsi:type="xsd:double"&gt;18.6&lt;/D&gt;&lt;D xsi:type="xsd:double"&gt;18.6&lt;/D&gt;&lt;D xsi:type="xsd:double"&gt;18.6&lt;/D&gt;&lt;D xsi:type="xsd:double"&gt;18.6&lt;/D&gt;&lt;D xsi:type="xsd:double"&gt;20.6&lt;/D&gt;&lt;D xsi:type="xsd:double"&gt;20.6&lt;/D&gt;&lt;D xsi:type="xsd:double"&gt;20.6&lt;/D&gt;&lt;D xsi:type="xsd:double"&gt;20.6&lt;/D&gt;&lt;D xsi:type="xsd:double"&gt;20.6&lt;/D&gt;&lt;D xsi:type="xsd:double"&gt;23.7&lt;/D&gt;&lt;D xsi:type="xsd:double"&gt;23.7&lt;/D&gt;&lt;D xsi:type="xsd:double"&gt;23.7&lt;/D&gt;&lt;D xsi:type="xsd:double"&gt;23.7&lt;/D&gt;&lt;D xsi:type="xsd:double"&gt;23.7&lt;/D&gt;&lt;D xsi:type="xsd:double"&gt;23.8&lt;/D&gt;&lt;D xsi:type="xsd:double"&gt;23.8&lt;/D&gt;&lt;D xsi:type="xsd:double"&gt;23.8&lt;/D&gt;&lt;D xsi:type="xsd:double"&gt;23.8&lt;/D&gt;&lt;D xsi:type="xsd:double"&gt;23.8&lt;/D&gt;&lt;D xsi:type="xsd:double"&gt;24.1&lt;/D&gt;&lt;D xsi:type="xsd:double"&gt;24.1&lt;/D&gt;&lt;D xsi:type="xsd:double"&gt;24.1&lt;/D&gt;&lt;D xsi:type="xsd:double"&gt;24.1&lt;/D&gt;&lt;D xsi:type="xsd:double"&gt;24.1&lt;/D&gt;&lt;D xsi:type="xsd:double"&gt;26&lt;/D&gt;&lt;D xsi:type="xsd:double"&gt;26&lt;/D&gt;&lt;D xsi:type="xsd:double"&gt;26&lt;/D&gt;&lt;D xsi:type="xsd:double"&gt;26&lt;/D&gt;&lt;D xsi:type="xsd:double"&gt;26&lt;/D&gt;&lt;D xsi:type="xsd:double"&gt;26.9&lt;/D&gt;&lt;D xsi:type="xsd:double"&gt;26.9&lt;/D&gt;&lt;D xsi:type="xsd:double"&gt;26.9&lt;/D&gt;&lt;D xsi:type="xsd:double"&gt;26.9&lt;/D&gt;&lt;D xsi:type="xsd:double"&gt;26.9&lt;/D&gt;&lt;D xsi:type="xsd:double"&gt;29.1&lt;/D&gt;&lt;D xsi:type="xsd:double"&gt;29.1&lt;/D&gt;&lt;D xsi:type="xsd:double"&gt;29.1&lt;/D&gt;&lt;D xsi:type="xsd:double"&gt;29.1&lt;/D&gt;&lt;D xsi:type="xsd:double"&gt;29.1&lt;/D&gt;&lt;D xsi:type="xsd:double"&gt;30.8&lt;/D&gt;&lt;D xsi:type="xsd:double"&gt;30.8&lt;/D&gt;&lt;D xsi:type="xsd:double"&gt;30.8&lt;/D&gt;&lt;D xsi:type="xsd:double"&gt;30.8&lt;/D&gt;&lt;D xsi:type="xsd:double"&gt;30.8&lt;/D&gt;&lt;D xsi:type="xsd:double"&gt;32.4&lt;/D&gt;&lt;D xsi:type="xsd:double"&gt;32.4&lt;/D&gt;&lt;D xsi:type="xsd:double"&gt;32.4&lt;/D&gt;&lt;D xsi:type="xsd:double"&gt;32.4&lt;/D&gt;&lt;D xsi:type="xsd:double"&gt;32.4&lt;/D&gt;&lt;D xsi:type="xsd:double"&gt;36.2&lt;/D&gt;&lt;D xsi:type="xsd:double"&gt;36.2&lt;/D&gt;&lt;D xsi:type="xsd:double"&gt;36.2&lt;/D&gt;&lt;D xsi:type="xsd:double"&gt;36.2&lt;/D&gt;&lt;D xsi:type="xsd:double"&gt;36.2&lt;/D&gt;&lt;D xsi:type="xsd:double"&gt;36.3&lt;/D&gt;&lt;D xsi:type="xsd:double"&gt;36.3&lt;/D&gt;&lt;D xsi:type="xsd:double"&gt;36.3&lt;/D&gt;&lt;D xsi:type="xsd:double"&gt;36.3&lt;/D&gt;&lt;D xsi:type="xsd:double"&gt;36.3&lt;/D&gt;&lt;D xsi:type="xsd:double"&gt;41.7&lt;/D&gt;&lt;D xsi:type="xsd:double"&gt;41.7&lt;/D&gt;&lt;D xsi:type="xsd:double"&gt;41.7&lt;/D&gt;&lt;D xsi:type="xsd:double"&gt;41.7&lt;/D&gt;&lt;D xsi:type="xsd:double"&gt;41.7&lt;/D&gt;&lt;D xsi:type="xsd:double"&gt;32.7&lt;/D&gt;&lt;D xsi:type="xsd:double"&gt;32.7&lt;/D&gt;&lt;D xsi:type="xsd:double"&gt;32.7&lt;/D&gt;&lt;D xsi:type="xsd:double"&gt;32.7&lt;/D&gt;&lt;D xsi:type="xsd:double"&gt;32.7&lt;/D&gt;&lt;D xsi:type="xsd:double"&gt;22.9&lt;/D&gt;&lt;D xsi:type="xsd:double"&gt;22.9&lt;/D&gt;&lt;D xsi:type="xsd:double"&gt;22.9&lt;/D&gt;&lt;D xsi:type="xsd:double"&gt;22.9&lt;/D&gt;&lt;D xsi:type="xsd:double"&gt;22.9&lt;/D&gt;&lt;D xsi:type="xsd:double"&gt;20.4&lt;/D&gt;&lt;D xsi:type="xsd:double"&gt;20.4&lt;/D&gt;&lt;D xsi:type="xsd:double"&gt;20.4&lt;/D&gt;&lt;D xsi:type="xsd:double"&gt;20.4&lt;/D&gt;&lt;D xsi:type="xsd:double"&gt;20.4&lt;/D&gt;&lt;D xsi:type="xsd:double"&gt;19.2&lt;/D&gt;&lt;D xsi:type="xsd:double"&gt;19.2&lt;/D&gt;&lt;D xsi:type="xsd:double"&gt;19.2&lt;/D&gt;&lt;D xsi:type="xsd:double"&gt;19.2&lt;/D&gt;&lt;D xsi:type="xsd:double"&gt;19.2&lt;/D&gt;&lt;D xsi:type="xsd:double"&gt;18.9&lt;/D&gt;&lt;D xsi:type="xsd:double"&gt;18.9&lt;/D&gt;&lt;D xsi:type="xsd:double"&gt;18.9&lt;/D&gt;&lt;D xsi:type="xsd:double"&gt;18.9&lt;/D&gt;&lt;D xsi:type="xsd:double"&gt;18.9&lt;/D&gt;&lt;D xsi:type="xsd:double"&gt;19.2&lt;/D&gt;&lt;D xsi:type="xsd:double"&gt;19.2&lt;/D&gt;&lt;D xsi:type="xsd:double"&gt;19.2&lt;/D&gt;&lt;D xsi:type="xsd:double"&gt;19.2&lt;/D&gt;&lt;D xsi:type="xsd:double"&gt;19.2&lt;/D&gt;&lt;D xsi:type="xsd:double"&gt;19.1&lt;/D&gt;&lt;D xsi:type="xsd:double"&gt;19.1&lt;/D&gt;&lt;D xsi:type="xsd:double"&gt;19.1&lt;/D&gt;&lt;D xsi:type="xsd:double"&gt;19.1&lt;/D&gt;&lt;D xsi:type="xsd:double"&gt;19.1&lt;/D&gt;&lt;D xsi:type="xsd:double"&gt;18.9&lt;/D&gt;&lt;D xsi:type="xsd:double"&gt;18.9&lt;/D&gt;&lt;D xsi:type="xsd:double"&gt;18.9&lt;/D&gt;&lt;D xsi:type="xsd:double"&gt;18.9&lt;/D&gt;&lt;D xsi:type="xsd:double"&gt;18.9&lt;/D&gt;&lt;D xsi:type="xsd:double"&gt;17.9&lt;/D&gt;&lt;D xsi:type="xsd:double"&gt;17.9&lt;/D&gt;&lt;D xsi:type="xsd:double"&gt;17.9&lt;/D&gt;&lt;D xsi:type="xsd:double"&gt;17.9&lt;/D&gt;&lt;D xsi:type="xsd:double"&gt;17.9&lt;/D&gt;&lt;D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xsi:type="xsd:string"&gt;@NA&lt;/D&gt;&lt;D xsi:type="xsd:string"&gt;@NA&lt;/D&gt;&lt;D xsi:type="xsd:string"&gt;@NA&lt;/D&gt;&lt;D xsi:type="xsd:string"&gt;@NA&lt;/D&gt;&lt;D xsi:type="xsd:string"&gt;@NA&lt;/D&gt;&lt;D xsi:type="xsd:double"&gt;17.3&lt;/D&gt;&lt;D xsi:type="xsd:double"&gt;17.3&lt;/D&gt;&lt;D xsi:type="xsd:double"&gt;17.3&lt;/D&gt;&lt;D xsi:type="xsd:double"&gt;17.3&lt;/D&gt;&lt;D xsi:type="xsd:double"&gt;17.3&lt;/D&gt;&lt;D xsi:type="xsd:double"&gt;17.2&lt;/D&gt;&lt;D xsi:type="xsd:double"&gt;17.2&lt;/D&gt;&lt;D xsi:type="xsd:double"&gt;17.2&lt;/D&gt;&lt;D xsi:type="xsd:double"&gt;17.2&lt;/D&gt;&lt;D xsi:type="xsd:double"&gt;17.2&lt;/D&gt;&lt;D xsi:type="xsd:double"&gt;17.3&lt;/D&gt;&lt;D xsi:type="xsd:double"&gt;17.3&lt;/D&gt;&lt;D xsi:type="xsd:double"&gt;17.3&lt;/D&gt;&lt;D xsi:type="xsd:double"&gt;17.3&lt;/D&gt;&lt;D xsi:type="xsd:double"&gt;17.3&lt;/D&gt;&lt;D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xsi:type="xsd:double"&gt;17.9&lt;/D&gt;&lt;D xsi:type="xsd:double"&gt;17.9&lt;/D&gt;&lt;D xsi:type="xsd:double"&gt;17.9&lt;/D&gt;&lt;D xsi:type="xsd:double"&gt;17.9&lt;/D&gt;&lt;D xsi:type="xsd:double"&gt;17.9&lt;/D&gt;&lt;D xsi:type="xsd:double"&gt;18.1&lt;/D&gt;&lt;D xsi:type="xsd:double"&gt;18.1&lt;/D&gt;&lt;D xsi:type="xsd:double"&gt;18.1&lt;/D&gt;&lt;D xsi:type="xsd:double"&gt;18.1&lt;/D&gt;&lt;D xsi:type="xsd:double"&gt;18.1&lt;/D&gt;&lt;D xsi:type="xsd:double"&gt;17.8&lt;/D&gt;&lt;D xsi:type="xsd:double"&gt;17.8&lt;/D&gt;&lt;D xsi:type="xsd:double"&gt;17.8&lt;/D&gt;&lt;D xsi:type="xsd:double"&gt;17.8&lt;/D&gt;&lt;D xsi:type="xsd:double"&gt;17.8&lt;/D&gt;&lt;D xsi:type="xsd:double"&gt;17.9&lt;/D&gt;&lt;D xsi:type="xsd:double"&gt;17.9&lt;/D&gt;&lt;D xsi:type="xsd:double"&gt;17.9&lt;/D&gt;&lt;D xsi:type="xsd:double"&gt;17.9&lt;/D&gt;&lt;D xsi:type="xsd:double"&gt;17.9&lt;/D&gt;&lt;D xsi:type="xsd:double"&gt;17&lt;/D&gt;&lt;D xsi:type="xsd:double"&gt;17&lt;/D&gt;&lt;D xsi:type="xsd:double"&gt;17&lt;/D&gt;&lt;D xsi:type="xsd:double"&gt;17&lt;/D&gt;&lt;D xsi:type="xsd:double"&gt;17&lt;/D&gt;&lt;D xsi:type="xsd:double"&gt;17.2&lt;/D&gt;&lt;D xsi:type="xsd:double"&gt;17.2&lt;/D&gt;&lt;D xsi:type="xsd:double"&gt;17.2&lt;/D&gt;&lt;D xsi:type="xsd:double"&gt;17.2&lt;/D&gt;&lt;D xsi:type="xsd:double"&gt;17.2&lt;/D&gt;&lt;D xsi:type="xsd:double"&gt;17.1&lt;/D&gt;&lt;D xsi:type="xsd:double"&gt;17.1&lt;/D&gt;&lt;D xsi:type="xsd:double"&gt;17.1&lt;/D&gt;&lt;D xsi:type="xsd:double"&gt;17.1&lt;/D&gt;&lt;D xsi:type="xsd:double"&gt;17.1&lt;/D&gt;&lt;D xsi:type="xsd:double"&gt;16.8&lt;/D&gt;&lt;D xsi:type="xsd:double"&gt;16.8&lt;/D&gt;&lt;D xsi:type="xsd:double"&gt;16.8&lt;/D&gt;&lt;D xsi:type="xsd:double"&gt;16.8&lt;/D&gt;&lt;D xsi:type="xsd:double"&gt;16.8&lt;/D&gt;&lt;D xsi:type="xsd:double"&gt;17&lt;/D&gt;&lt;D xsi:type="xsd:double"&gt;17&lt;/D&gt;&lt;D xsi:type="xsd:double"&gt;17&lt;/D&gt;&lt;D xsi:type="xsd:double"&gt;17&lt;/D&gt;&lt;D xsi:type="xsd:double"&gt;17&lt;/D&gt;&lt;D xsi:type="xsd:double"&gt;17.9&lt;/D&gt;&lt;D xsi:type="xsd:double"&gt;17.9&lt;/D&gt;&lt;D xsi:type="xsd:double"&gt;17.9&lt;/D&gt;&lt;D xsi:type="xsd:double"&gt;17.9&lt;/D&gt;&lt;D xsi:type="xsd:double"&gt;17.9&lt;/D&gt;&lt;D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xsi:type="xsd:double"&gt;17.9&lt;/D&gt;&lt;D xsi:type="xsd:double"&gt;17.9&lt;/D&gt;&lt;D xsi:type="xsd:double"&gt;17.9&lt;/D&gt;&lt;D xsi:type="xsd:double"&gt;17.9&lt;/D&gt;&lt;D xsi:type="xsd:double"&gt;17.9&lt;/D&gt;&lt;D xsi:type="xsd:double"&gt;18.1&lt;/D&gt;&lt;D xsi:type="xsd:double"&gt;18.1&lt;/D&gt;&lt;D xsi:type="xsd:double"&gt;18.1&lt;/D&gt;&lt;D xsi:type="xsd:double"&gt;18.1&lt;/D&gt;&lt;D xsi:type="xsd:double"&gt;18.1&lt;/D&gt;&lt;D xsi:type="xsd:double"&gt;17.9&lt;/D&gt;&lt;D xsi:type="xsd:double"&gt;17.9&lt;/D&gt;&lt;D xsi:type="xsd:double"&gt;17.9&lt;/D&gt;&lt;D xsi:type="xsd:double"&gt;17.9&lt;/D&gt;&lt;D xsi:type="xsd:double"&gt;17.9&lt;/D&gt;&lt;D xsi:type="xsd:double"&gt;17.1&lt;/D&gt;&lt;D xsi:type="xsd:double"&gt;17.1&lt;/D&gt;&lt;D xsi:type="xsd:double"&gt;17.1&lt;/D&gt;&lt;D xsi:type="xsd:double"&gt;17.1&lt;/D&gt;&lt;D xsi:type="xsd:double"&gt;17.1&lt;/D&gt;&lt;D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xsi:type="xsd:double"&gt;18.3&lt;/D&gt;&lt;D xsi:type="xsd:double"&gt;18.3&lt;/D&gt;&lt;D xsi:type="xsd:double"&gt;18.3&lt;/D&gt;&lt;D xsi:type="xsd:double"&gt;18.3&lt;/D&gt;&lt;D xsi:type="xsd:double"&gt;18.3&lt;/D&gt;&lt;D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xsi:type="xsd:double"&gt;18.4&lt;/D&gt;&lt;D xsi:type="xsd:double"&gt;18.4&lt;/D&gt;&lt;D xsi:type="xsd:double"&gt;18.4&lt;/D&gt;&lt;D xsi:type="xsd:double"&gt;18.4&lt;/D&gt;&lt;D xsi:type="xsd:double"&gt;18.4&lt;/D&gt;&lt;D xsi:type="xsd:double"&gt;18.3&lt;/D&gt;&lt;D xsi:type="xsd:double"&gt;18.3&lt;/D&gt;&lt;D xsi:type="xsd:double"&gt;18.3&lt;/D&gt;&lt;D xsi:type="xsd:double"&gt;18.3&lt;/D&gt;&lt;D xsi:type="xsd:double"&gt;18.3&lt;/D&gt;&lt;D xsi:type="xsd:double"&gt;18.5&lt;/D&gt;&lt;D xsi:type="xsd:double"&gt;18.5&lt;/D&gt;&lt;D xsi:type="xsd:double"&gt;18.5&lt;/D&gt;&lt;D xsi:type="xsd:double"&gt;18.5&lt;/D&gt;&lt;D xsi:type="xsd:double"&gt;18.5&lt;/D&gt;&lt;D xsi:type="xsd:double"&gt;17.3&lt;/D&gt;&lt;D xsi:type="xsd:double"&gt;17.3&lt;/D&gt;&lt;D xsi:type="xsd:double"&gt;17.3&lt;/D&gt;&lt;D xsi:type="xsd:double"&gt;17.3&lt;/D&gt;&lt;D xsi:type="xsd:double"&gt;17.3&lt;/D&gt;&lt;D xsi:type="xsd:double"&gt;17.2&lt;/D&gt;&lt;D xsi:type="xsd:double"&gt;17.2&lt;/D&gt;&lt;D xsi:type="xsd:double"&gt;17.2&lt;/D&gt;&lt;D xsi:type="xsd:double"&gt;17.2&lt;/D&gt;&lt;D xsi:type="xsd:double"&gt;17.2&lt;/D&gt;&lt;D xsi:type="xsd:double"&gt;17.5&lt;/D&gt;&lt;D xsi:type="xsd:double"&gt;17.5&lt;/D&gt;&lt;D xsi:type="xsd:double"&gt;17.5&lt;/D&gt;&lt;D xsi:type="xsd:double"&gt;17.5&lt;/D&gt;&lt;D xsi:type="xsd:double"&gt;17.5&lt;/D&gt;&lt;D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xsi:type="xsd:double"&gt;18.4&lt;/D&gt;&lt;D xsi:type="xsd:double"&gt;18.4&lt;/D&gt;&lt;D xsi:type="xsd:double"&gt;18.4&lt;/D&gt;&lt;D xsi:type="xsd:double"&gt;18.4&lt;/D&gt;&lt;D xsi:type="xsd:double"&gt;18.4&lt;/D&gt;&lt;D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xsi:type="xsd:double"&gt;19.4&lt;/D&gt;&lt;D xsi:type="xsd:double"&gt;19.4&lt;/D&gt;&lt;D xsi:type="xsd:double"&gt;19.4&lt;/D&gt;&lt;D xsi:type="xsd:double"&gt;19.4&lt;/D&gt;&lt;D xsi:type="xsd:double"&gt;19.4&lt;/D&gt;&lt;D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xsi:type="xsd:double"&gt;21.4&lt;/D&gt;&lt;D xsi:type="xsd:double"&gt;21.4&lt;/D&gt;&lt;D xsi:type="xsd:double"&gt;21.4&lt;/D&gt;&lt;D xsi:type="xsd:double"&gt;21.4&lt;/D&gt;&lt;D xsi:type="xsd:double"&gt;21.4&lt;/D&gt;&lt;D xsi:type="xsd:double"&gt;20.6&lt;/D&gt;&lt;D xsi:type="xsd:double"&gt;20.6&lt;/D&gt;&lt;D xsi:type="xsd:double"&gt;20.6&lt;/D&gt;&lt;D xsi:type="xsd:double"&gt;20.6&lt;/D&gt;&lt;D xsi:type="xsd:double"&gt;20.6&lt;/D&gt;&lt;D xsi:type="xsd:double"&gt;20.4&lt;/D&gt;&lt;D xsi:type="xsd:double"&gt;20.4&lt;/D&gt;&lt;D xsi:type="xsd:double"&gt;20.4&lt;/D&gt;&lt;D xsi:type="xsd:double"&gt;20.4&lt;/D&gt;&lt;D xsi:type="xsd:double"&gt;20.4&lt;/D&gt;&lt;D xsi:type="xsd:double"&gt;20.7&lt;/D&gt;&lt;D xsi:type="xsd:double"&gt;20.7&lt;/D&gt;&lt;D xsi:type="xsd:double"&gt;20.7&lt;/D&gt;&lt;D xsi:type="xsd:double"&gt;20.7&lt;/D&gt;&lt;D xsi:type="xsd:double"&gt;20.7&lt;/D&gt;&lt;D xsi:type="xsd:double"&gt;21.5&lt;/D&gt;&lt;D xsi:type="xsd:double"&gt;21.5&lt;/D&gt;&lt;D xsi:type="xsd:double"&gt;21.5&lt;/D&gt;&lt;D xsi:type="xsd:double"&gt;21.5&lt;/D&gt;&lt;D xsi:type="xsd:double"&gt;21.5&lt;/D&gt;&lt;D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xsi:type="xsd:double"&gt;21.3&lt;/D&gt;&lt;D xsi:type="xsd:double"&gt;21.3&lt;/D&gt;&lt;D xsi:type="xsd:double"&gt;21.3&lt;/D&gt;&lt;D xsi:type="xsd:double"&gt;21.3&lt;/D&gt;&lt;D xsi:type="xsd:double"&gt;21.3&lt;/D&gt;&lt;D xsi:type="xsd:double"&gt;25.2&lt;/D&gt;&lt;D xsi:type="xsd:double"&gt;25.2&lt;/D&gt;&lt;D xsi:type="xsd:double"&gt;25.2&lt;/D&gt;&lt;D xsi:type="xsd:double"&gt;25.2&lt;/D&gt;&lt;D xsi:type="xsd:double"&gt;25.2&lt;/D&gt;&lt;D xsi:type="xsd:double"&gt;29.4&lt;/D&gt;&lt;D xsi:type="xsd:double"&gt;29.4&lt;/D&gt;&lt;D xsi:type="xsd:double"&gt;29.4&lt;/D&gt;&lt;D xsi:type="xsd:double"&gt;29.4&lt;/D&gt;&lt;D xsi:type="xsd:double"&gt;29.4&lt;/D&gt;&lt;D xsi:type="xsd:double"&gt;34.6&lt;/D&gt;&lt;D xsi:type="xsd:double"&gt;34.6&lt;/D&gt;&lt;D xsi:type="xsd:double"&gt;34.6&lt;/D&gt;&lt;D xsi:type="xsd:double"&gt;34.6&lt;/D&gt;&lt;D xsi:type="xsd:double"&gt;34.6&lt;/D&gt;&lt;D xsi:type="xsd:string"&gt;@NA&lt;/D&gt;&lt;D xsi:type="xsd:string"&gt;@NA&lt;/D&gt;&lt;D xsi:type="xsd:string"&gt;@NA&lt;/D&gt;&lt;D xsi:type="xsd:string"&gt;@NA&lt;/D&gt;&lt;D xsi:type="xsd:string"&gt;@NA&lt;/D&gt;&lt;D xsi:type="xsd:double"&gt;21.4&lt;/D&gt;&lt;D xsi:type="xsd:double"&gt;21.4&lt;/D&gt;&lt;D xsi:type="xsd:double"&gt;21.4&lt;/D&gt;&lt;D xsi:type="xsd:double"&gt;21.4&lt;/D&gt;&lt;D xsi:type="xsd:double"&gt;21.4&lt;/D&gt;&lt;D xsi:type="xsd:double"&gt;20.4&lt;/D&gt;&lt;D xsi:type="xsd:double"&gt;20.4&lt;/D&gt;&lt;D xsi:type="xsd:double"&gt;20.4&lt;/D&gt;&lt;D xsi:type="xsd:double"&gt;20.4&lt;/D&gt;&lt;D xsi:type="xsd:double"&gt;20.4&lt;/D&gt;&lt;D xsi:type="xsd:double"&gt;21.5&lt;/D&gt;&lt;D xsi:type="xsd:double"&gt;21.5&lt;/D&gt;&lt;D xsi:type="xsd:double"&gt;21.5&lt;/D&gt;&lt;D xsi:type="xsd:double"&gt;21.5&lt;/D&gt;&lt;D xsi:type="xsd:double"&gt;21.5&lt;/D&gt;&lt;D xsi:type="xsd:double"&gt;20.6&lt;/D&gt;&lt;D xsi:type="xsd:double"&gt;20.6&lt;/D&gt;&lt;D xsi:type="xsd:double"&gt;20.6&lt;/D&gt;&lt;D xsi:type="xsd:double"&gt;20.6&lt;/D&gt;&lt;D xsi:type="xsd:double"&gt;20.6&lt;/D&gt;&lt;D xsi:type="xsd:double"&gt;19.8&lt;/D&gt;&lt;D xsi:type="xsd:double"&gt;19.8&lt;/D&gt;&lt;D xsi:type="xsd:double"&gt;19.8&lt;/D&gt;&lt;D xsi:type="xsd:double"&gt;19.8&lt;/D&gt;&lt;D xsi:type="xsd:double"&gt;19.8&lt;/D&gt;&lt;D xsi:type="xsd:double"&gt;19&lt;/D&gt;&lt;D xsi:type="xsd:double"&gt;19&lt;/D&gt;&lt;D xsi:type="xsd:double"&gt;19&lt;/D&gt;&lt;D xsi:type="xsd:double"&gt;19&lt;/D&gt;&lt;D xsi:type="xsd:double"&gt;19&lt;/D&gt;&lt;D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xsi:type="xsd:double"&gt;19&lt;/D&gt;&lt;D xsi:type="xsd:double"&gt;19&lt;/D&gt;&lt;D xsi:type="xsd:double"&gt;19&lt;/D&gt;&lt;D xsi:type="xsd:double"&gt;19&lt;/D&gt;&lt;D xsi:type="xsd:double"&gt;19&lt;/D&gt;&lt;D xsi:type="xsd:double"&gt;18.3&lt;/D&gt;&lt;D xsi:type="xsd:double"&gt;18.3&lt;/D&gt;&lt;D xsi:type="xsd:double"&gt;18.3&lt;/D&gt;&lt;D xsi:type="xsd:double"&gt;18.3&lt;/D&gt;&lt;D xsi:type="xsd:double"&gt;18.3&lt;/D&gt;&lt;D xsi:type="xsd:double"&gt;18.5&lt;/D&gt;&lt;D xsi:type="xsd:double"&gt;18.5&lt;/D&gt;&lt;D xsi:type="xsd:double"&gt;18.5&lt;/D&gt;&lt;D xsi:type="xsd:double"&gt;18.5&lt;/D&gt;&lt;D xsi:type="xsd:double"&gt;18.5&lt;/D&gt;&lt;D xsi:type="xsd:double"&gt;18.6&lt;/D&gt;&lt;D xsi:type="xsd:double"&gt;18.6&lt;/D&gt;&lt;D xsi:type="xsd:double"&gt;18.6&lt;/D&gt;&lt;D xsi:type="xsd:double"&gt;18.6&lt;/D&gt;&lt;D xsi:type="xsd:double"&gt;18.6&lt;/D&gt;&lt;D xsi:type="xsd:double"&gt;18.3&lt;/D&gt;&lt;D xsi:type="xsd:double"&gt;18.3&lt;/D&gt;&lt;D xsi:type="xsd:double"&gt;18.3&lt;/D&gt;&lt;D xsi:type="xsd:double"&gt;18.3&lt;/D&gt;&lt;D xsi:type="xsd:double"&gt;18.3&lt;/D&gt;&lt;D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xsi:type="xsd:double"&gt;18.4&lt;/D&gt;&lt;D xsi:type="xsd:double"&gt;18.4&lt;/D&gt;&lt;D xsi:type="xsd:double"&gt;18.4&lt;/D&gt;&lt;D xsi:type="xsd:double"&gt;18.4&lt;/D&gt;&lt;D xsi:type="xsd:double"&gt;18.4&lt;/D&gt;&lt;D xsi:type="xsd:double"&gt;18.6&lt;/D&gt;&lt;D xsi:type="xsd:double"&gt;18.6&lt;/D&gt;&lt;D xsi:type="xsd:double"&gt;18.6&lt;/D&gt;&lt;D xsi:type="xsd:double"&gt;18.6&lt;/D&gt;&lt;D xsi:type="xsd:double"&gt;18.6&lt;/D&gt;&lt;D xsi:type="xsd:double"&gt;18.8&lt;/D&gt;&lt;D xsi:type="xsd:double"&gt;18.8&lt;/D&gt;&lt;D xsi:type="xsd:double"&gt;18.8&lt;/D&gt;&lt;D xsi:type="xsd:double"&gt;18.8&lt;/D&gt;&lt;D xsi:type="xsd:double"&gt;18.8&lt;/D&gt;&lt;D xsi:type="xsd:double"&gt;18.6&lt;/D&gt;&lt;D xsi:type="xsd:double"&gt;18.6&lt;/D&gt;&lt;D xsi:type="xsd:double"&gt;18.6&lt;/D&gt;&lt;D xsi:type="xsd:double"&gt;18.6&lt;/D&gt;&lt;D xsi:type="xsd:double"&gt;18.6&lt;/D&gt;&lt;D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xsi:type="xsd:double"&gt;18.6&lt;/D&gt;&lt;D xsi:type="xsd:double"&gt;18.6&lt;/D&gt;&lt;D xsi:type="xsd:double"&gt;18.6&lt;/D&gt;&lt;D xsi:type="xsd:double"&gt;18.6&lt;/D&gt;&lt;D xsi:type="xsd:double"&gt;18.6&lt;/D&gt;&lt;D xsi:type="xsd:double"&gt;18.4&lt;/D&gt;&lt;D xsi:type="xsd:double"&gt;18.4&lt;/D&gt;&lt;D xsi:type="xsd:double"&gt;18.4&lt;/D&gt;&lt;D xsi:type="xsd:double"&gt;18.4&lt;/D&gt;&lt;D xsi:type="xsd:double"&gt;18.4&lt;/D&gt;&lt;D xsi:type="xsd:double"&gt;17.6&lt;/D&gt;&lt;D xsi:type="xsd:double"&gt;17.6&lt;/D&gt;&lt;D xsi:type="xsd:double"&gt;17.6&lt;/D&gt;&lt;D xsi:type="xsd:double"&gt;17.6&lt;/D&gt;&lt;D xsi:type="xsd:double"&gt;17.6&lt;/D&gt;&lt;D xsi:type="xsd:double"&gt;17.8&lt;/D&gt;&lt;D xsi:type="xsd:double"&gt;17.8&lt;/D&gt;&lt;D xsi:type="xsd:double"&gt;17.8&lt;/D&gt;&lt;D xsi:type="xsd:double"&gt;17.8&lt;/D&gt;&lt;D xsi:type="xsd:double"&gt;17.8&lt;/D&gt;&lt;D xsi:type="xsd:double"&gt;17.7&lt;/D&gt;&lt;D xsi:type="xsd:double"&gt;17.7&lt;/D&gt;&lt;D xsi:type="xsd:double"&gt;17.7&lt;/D&gt;&lt;D xsi:type="xsd:double"&gt;17.7&lt;/D&gt;&lt;D xsi:type="xsd:double"&gt;17.7&lt;/D&gt;&lt;D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xsi:type="xsd:double"&gt;19.4&lt;/D&gt;&lt;D xsi:type="xsd:double"&gt;19.4&lt;/D&gt;&lt;D xsi:type="xsd:double"&gt;19.4&lt;/D&gt;&lt;D xsi:type="xsd:double"&gt;19.4&lt;/D&gt;&lt;D xsi:type="xsd:double"&gt;19.4&lt;/D&gt;&lt;D xsi:type="xsd:double"&gt;20.6&lt;/D&gt;&lt;D xsi:type="xsd:double"&gt;20.6&lt;/D&gt;&lt;D xsi:type="xsd:double"&gt;20.6&lt;/D&gt;&lt;D xsi:type="xsd:double"&gt;20.6&lt;/D&gt;&lt;D xsi:type="xsd:double"&gt;20.6&lt;/D&gt;&lt;D xsi:type="xsd:double"&gt;20.8&lt;/D&gt;&lt;D xsi:type="xsd:double"&gt;20.8&lt;/D&gt;&lt;D xsi:type="xsd:double"&gt;20.8&lt;/D&gt;&lt;D xsi:type="xsd:double"&gt;20.8&lt;/D&gt;&lt;D xsi:type="xsd:double"&gt;20.8&lt;/D&gt;&lt;D xsi:type="xsd:double"&gt;19.6&lt;/D&gt;&lt;D xsi:type="xsd:double"&gt;19.6&lt;/D&gt;&lt;D xsi:type="xsd:double"&gt;19.6&lt;/D&gt;&lt;D xsi:type="xsd:double"&gt;19.6&lt;/D&gt;&lt;D xsi:type="xsd:double"&gt;19.6&lt;/D&gt;&lt;D xsi:type="xsd:double"&gt;19.8&lt;/D&gt;&lt;D xsi:type="xsd:double"&gt;19.8&lt;/D&gt;&lt;D xsi:type="xsd:double"&gt;19.8&lt;/D&gt;&lt;D xsi:type="xsd:double"&gt;19.8&lt;/D&gt;&lt;D xsi:type="xsd:double"&gt;19.8&lt;/D&gt;&lt;D xsi:type="xsd:double"&gt;18.6&lt;/D&gt;&lt;D xsi:type="xsd:double"&gt;18.6&lt;/D&gt;&lt;D xsi:type="xsd:double"&gt;18.6&lt;/D&gt;&lt;D xsi:type="xsd:double"&gt;18.6&lt;/D&gt;&lt;D xsi:type="xsd:double"&gt;18.6&lt;/D&gt;&lt;D xsi:type="xsd:double"&gt;18.1&lt;/D&gt;&lt;D xsi:type="xsd:double"&gt;18.1&lt;/D&gt;&lt;D xsi:type="xsd:double"&gt;18.1&lt;/D&gt;&lt;D xsi:type="xsd:double"&gt;18.1&lt;/D&gt;&lt;D xsi:type="xsd:double"&gt;18.1&lt;/D&gt;&lt;D xsi:type="xsd:double"&gt;17.5&lt;/D&gt;&lt;D xsi:type="xsd:double"&gt;17.5&lt;/D&gt;&lt;D xsi:type="xsd:double"&gt;17.5&lt;/D&gt;&lt;D xsi:type="xsd:double"&gt;17.5&lt;/D&gt;&lt;D xsi:type="xsd:double"&gt;17.5&lt;/D&gt;&lt;D xsi:type="xsd:double"&gt;16.8&lt;/D&gt;&lt;D xsi:type="xsd:double"&gt;16.8&lt;/D&gt;&lt;D xsi:type="xsd:double"&gt;16.8&lt;/D&gt;&lt;D xsi:type="xsd:double"&gt;16.8&lt;/D&gt;&lt;D xsi:type="xsd:double"&gt;16.8&lt;/D&gt;&lt;D xsi:type="xsd:double"&gt;15.7&lt;/D&gt;&lt;D xsi:type="xsd:double"&gt;15.7&lt;/D&gt;&lt;D xsi:type="xsd:double"&gt;15.7&lt;/D&gt;&lt;D xsi:type="xsd:double"&gt;15.7&lt;/D&gt;&lt;D xsi:type="xsd:double"&gt;15.7&lt;/D&gt;&lt;D xsi:type="xsd:double"&gt;15.5&lt;/D&gt;&lt;D xsi:type="xsd:double"&gt;15.5&lt;/D&gt;&lt;D xsi:type="xsd:double"&gt;15.5&lt;/D&gt;&lt;D xsi:type="xsd:double"&gt;15.5&lt;/D&gt;&lt;D xsi:type="xsd:double"&gt;15.5&lt;/D&gt;&lt;D xsi:type="xsd:double"&gt;14.4&lt;/D&gt;&lt;D xsi:type="xsd:double"&gt;14.4&lt;/D&gt;&lt;D xsi:type="xsd:double"&gt;14.4&lt;/D&gt;&lt;D xsi:type="xsd:double"&gt;14.4&lt;/D&gt;&lt;D xsi:type="xsd:double"&gt;14.4&lt;/D&gt;&lt;D xsi:type="xsd:double"&gt;14.6&lt;/D&gt;&lt;D xsi:type="xsd:double"&gt;14.6&lt;/D&gt;&lt;D xsi:type="xsd:double"&gt;14.6&lt;/D&gt;&lt;D xsi:type="xsd:double"&gt;14.6&lt;/D&gt;&lt;D xsi:type="xsd:double"&gt;14.6&lt;/D&gt;&lt;D xsi:type="xsd:double"&gt;14.4&lt;/D&gt;&lt;D xsi:type="xsd:double"&gt;14.4&lt;/D&gt;&lt;D xsi:type="xsd:double"&gt;14.4&lt;/D&gt;&lt;D xsi:type="xsd:double"&gt;14.4&lt;/D&gt;&lt;D xsi:type="xsd:double"&gt;14.4&lt;/D&gt;&lt;D xsi:type="xsd:double"&gt;15.5&lt;/D&gt;&lt;D xsi:type="xsd:double"&gt;15.5&lt;/D&gt;&lt;D xsi:type="xsd:double"&gt;15.5&lt;/D&gt;&lt;D xsi:type="xsd:double"&gt;15.5&lt;/D&gt;&lt;D xsi:type="xsd:double"&gt;15.5&lt;/D&gt;&lt;D xsi:type="xsd:double"&gt;12.6&lt;/D&gt;&lt;D xsi:type="xsd:double"&gt;12.6&lt;/D&gt;&lt;D xsi:type="xsd:double"&gt;12.6&lt;/D&gt;&lt;D xsi:type="xsd:double"&gt;12.6&lt;/D&gt;&lt;D xsi:type="xsd:double"&gt;12.6&lt;/D&gt;&lt;D xsi:type="xsd:double"&gt;12.8&lt;/D&gt;&lt;D xsi:type="xsd:double"&gt;12.8&lt;/D&gt;&lt;D xsi:type="xsd:double"&gt;12.8&lt;/D&gt;&lt;D xsi:type="xsd:double"&gt;12.8&lt;/D&gt;&lt;D xsi:type="xsd:double"&gt;12.8&lt;/D&gt;&lt;D xsi:type="xsd:double"&gt;12.7&lt;/D&gt;&lt;D xsi:type="xsd:double"&gt;12.7&lt;/D&gt;&lt;D xsi:type="xsd:double"&gt;12.7&lt;/D&gt;&lt;D xsi:type="xsd:double"&gt;12.7&lt;/D&gt;&lt;D xsi:type="xsd:double"&gt;12.7&lt;/D&gt;&lt;D xsi:type="xsd:double"&gt;13.5&lt;/D&gt;&lt;D xsi:type="xsd:double"&gt;13.5&lt;/D&gt;&lt;D xsi:type="xsd:double"&gt;13.5&lt;/D&gt;&lt;D xsi:type="xsd:double"&gt;13.5&lt;/D&gt;&lt;D xsi:type="xsd:double"&gt;13.5&lt;/D&gt;&lt;D xsi:type="xsd:double"&gt;15.2&lt;/D&gt;&lt;D xsi:type="xsd:double"&gt;15.2&lt;/D&gt;&lt;D xsi:type="xsd:double"&gt;15.2&lt;/D&gt;&lt;D xsi:type="xsd:double"&gt;15.2&lt;/D&gt;&lt;D xsi:type="xsd:double"&gt;15.2&lt;/D&gt;&lt;D xsi:type="xsd:string"&gt;@NA&lt;/D&gt;&lt;D xsi:type="xsd:string"&gt;@NA&lt;/D&gt;&lt;D xsi:type="xsd:string"&gt;@NA&lt;/D&gt;&lt;D xsi:type="xsd:string"&gt;@NA&lt;/D&gt;&lt;D xsi:type="xsd:string"&gt;@NA&lt;/D&gt;&lt;D xsi:type="xsd:double"&gt;15.1&lt;/D&gt;&lt;D xsi:type="xsd:double"&gt;15.1&lt;/D&gt;&lt;D xsi:type="xsd:double"&gt;15.1&lt;/D&gt;&lt;D xsi:type="xsd:double"&gt;15.1&lt;/D&gt;&lt;D xsi:type="xsd:double"&gt;15.1&lt;/D&gt;&lt;D xsi:type="xsd:double"&gt;15.2&lt;/D&gt;&lt;D xsi:type="xsd:double"&gt;15.2&lt;/D&gt;&lt;D xsi:type="xsd:double"&gt;15.2&lt;/D&gt;&lt;D xsi:type="xsd:double"&gt;15.2&lt;/D&gt;&lt;D xsi:type="xsd:double"&gt;15.2&lt;/D&gt;&lt;D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xsi:type="xsd:double"&gt;15.1&lt;/D&gt;&lt;D xsi:type="xsd:double"&gt;15.1&lt;/D&gt;&lt;D xsi:type="xsd:double"&gt;15.1&lt;/D&gt;&lt;D xsi:type="xsd:double"&gt;15.1&lt;/D&gt;&lt;D xsi:type="xsd:double"&gt;15.1&lt;/D&gt;&lt;D xsi:type="xsd:double"&gt;15.2&lt;/D&gt;&lt;D xsi:type="xsd:double"&gt;15.2&lt;/D&gt;&lt;D xsi:type="xsd:double"&gt;15.2&lt;/D&gt;&lt;D xsi:type="xsd:double"&gt;15.2&lt;/D&gt;&lt;D xsi:type="xsd:double"&gt;15.2&lt;/D&gt;&lt;D xsi:type="xsd:double"&gt;15.1&lt;/D&gt;&lt;D xsi:type="xsd:double"&gt;15.1&lt;/D&gt;&lt;D xsi:type="xsd:double"&gt;15.1&lt;/D&gt;&lt;D xsi:type="xsd:double"&gt;15.1&lt;/D&gt;&lt;D xsi:type="xsd:double"&gt;15.1&lt;/D&gt;&lt;D xsi:type="xsd:double"&gt;17&lt;/D&gt;&lt;D xsi:type="xsd:double"&gt;17&lt;/D&gt;&lt;D xsi:type="xsd:double"&gt;17&lt;/D&gt;&lt;D xsi:type="xsd:double"&gt;17&lt;/D&gt;&lt;D xsi:type="xsd:double"&gt;17&lt;/D&gt;&lt;D xsi:type="xsd:double"&gt;17.1&lt;/D&gt;&lt;D xsi:type="xsd:double"&gt;17.1&lt;/D&gt;&lt;D xsi:type="xsd:double"&gt;17.1&lt;/D&gt;&lt;D xsi:type="xsd:double"&gt;17.1&lt;/D&gt;&lt;D xsi:type="xsd:double"&gt;17.1&lt;/D&gt;&lt;D xsi:type="xsd:double"&gt;19&lt;/D&gt;&lt;D xsi:type="xsd:double"&gt;19&lt;/D&gt;&lt;D xsi:type="xsd:double"&gt;19&lt;/D&gt;&lt;D xsi:type="xsd:double"&gt;19&lt;/D&gt;&lt;D xsi:type="xsd:double"&gt;19&lt;/D&gt;&lt;D xsi:type="xsd:double"&gt;20.2&lt;/D&gt;&lt;D xsi:type="xsd:double"&gt;20.2&lt;/D&gt;&lt;D xsi:type="xsd:double"&gt;20.2&lt;/D&gt;&lt;D xsi:type="xsd:double"&gt;20.2&lt;/D&gt;&lt;D xsi:type="xsd:double"&gt;20.2&lt;/D&gt;&lt;D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xsi:type="xsd:double"&gt;18.3&lt;/D&gt;&lt;D xsi:type="xsd:double"&gt;18.3&lt;/D&gt;&lt;D xsi:type="xsd:double"&gt;18.3&lt;/D&gt;&lt;D xsi:type="xsd:double"&gt;18.3&lt;/D&gt;&lt;D xsi:type="xsd:double"&gt;18.3&lt;/D&gt;&lt;D xsi:typ</t>
        </r>
      </text>
    </comment>
    <comment ref="A3" authorId="0" shapeId="0" xr:uid="{207C4F03-6A42-4169-8258-303DC344E8A2}">
      <text>
        <r>
          <rPr>
            <b/>
            <sz val="9"/>
            <color indexed="81"/>
            <rFont val="Tahoma"/>
            <charset val="1"/>
          </rPr>
          <t>e="xsd:double"&gt;18.1&lt;/D&gt;&lt;D xsi:type="xsd:double"&gt;18.1&lt;/D&gt;&lt;D xsi:type="xsd:double"&gt;18.1&lt;/D&gt;&lt;D xsi:type="xsd:double"&gt;18.1&lt;/D&gt;&lt;D xsi:type="xsd:double"&gt;18.1&lt;/D&gt;&lt;D xsi:type="xsd:double"&gt;17&lt;/D&gt;&lt;D xsi:type="xsd:double"&gt;17&lt;/D&gt;&lt;D xsi:type="xsd:double"&gt;17&lt;/D&gt;&lt;D xsi:type="xsd:double"&gt;17&lt;/D&gt;&lt;D xsi:type="xsd:double"&gt;17&lt;/D&gt;&lt;D xsi:type="xsd:double"&gt;16.2&lt;/D&gt;&lt;D xsi:type="xsd:double"&gt;16.2&lt;/D&gt;&lt;D xsi:type="xsd:double"&gt;16.2&lt;/D&gt;&lt;D xsi:type="xsd:double"&gt;16.2&lt;/D&gt;&lt;D xsi:type="xsd:double"&gt;16.2&lt;/D&gt;&lt;D xsi:type="xsd:double"&gt;16.5&lt;/D&gt;&lt;D xsi:type="xsd:double"&gt;16.5&lt;/D&gt;&lt;D xsi:type="xsd:double"&gt;16.5&lt;/D&gt;&lt;D xsi:type="xsd:double"&gt;16.5&lt;/D&gt;&lt;D xsi:type="xsd:double"&gt;16.5&lt;/D&gt;&lt;D xsi:type="xsd:double"&gt;16.7&lt;/D&gt;&lt;D xsi:type="xsd:double"&gt;16.7&lt;/D&gt;&lt;D xsi:type="xsd:double"&gt;16.7&lt;/D&gt;&lt;D xsi:type="xsd:double"&gt;16.7&lt;/D&gt;&lt;D xsi:type="xsd:double"&gt;16.7&lt;/D&gt;&lt;D xsi:type="xsd:double"&gt;18.6&lt;/D&gt;&lt;D xsi:type="xsd:double"&gt;18.6&lt;/D&gt;&lt;D xsi:type="xsd:double"&gt;18.6&lt;/D&gt;&lt;D xsi:type="xsd:double"&gt;18.6&lt;/D&gt;&lt;D xsi:type="xsd:double"&gt;18.6&lt;/D&gt;&lt;D xsi:type="xsd:double"&gt;18.8&lt;/D&gt;&lt;D xsi:type="xsd:double"&gt;18.8&lt;/D&gt;&lt;D xsi:type="xsd:double"&gt;18.8&lt;/D&gt;&lt;D xsi:type="xsd:double"&gt;18.8&lt;/D&gt;&lt;D xsi:type="xsd:double"&gt;18.8&lt;/D&gt;&lt;D xsi:type="xsd:double"&gt;18.6&lt;/D&gt;&lt;D xsi:type="xsd:double"&gt;18.6&lt;/D&gt;&lt;D xsi:type="xsd:double"&gt;18.6&lt;/D&gt;&lt;D xsi:type="xsd:double"&gt;18.6&lt;/D&gt;&lt;D xsi:type="xsd:double"&gt;18.6&lt;/D&gt;&lt;D xsi:type="xsd:double"&gt;19.4&lt;/D&gt;&lt;D xsi:type="xsd:double"&gt;19.4&lt;/D&gt;&lt;D xsi:type="xsd:double"&gt;19.4&lt;/D&gt;&lt;D xsi:type="xsd:double"&gt;19.4&lt;/D&gt;&lt;D xsi:type="xsd:double"&gt;19.4&lt;/D&gt;&lt;D xsi:type="xsd:double"&gt;18.6&lt;/D&gt;&lt;D xsi:type="xsd:double"&gt;18.6&lt;/D&gt;&lt;D xsi:type="xsd:double"&gt;18.6&lt;/D&gt;&lt;D xsi:type="xsd:double"&gt;18.6&lt;/D&gt;&lt;D xsi:type="xsd:double"&gt;18.6&lt;/D&gt;&lt;D xsi:type="xsd:double"&gt;18.3&lt;/D&gt;&lt;D xsi:type="xsd:double"&gt;18.3&lt;/D&gt;&lt;D xsi:type="xsd:double"&gt;18.3&lt;/D&gt;&lt;D xsi:type="xsd:double"&gt;18.3&lt;/D&gt;&lt;D xsi:type="xsd:double"&gt;18.3&lt;/D&gt;&lt;D xsi:type="xsd:double"&gt;19.2&lt;/D&gt;&lt;D xsi:type="xsd:double"&gt;19.2&lt;/D&gt;&lt;D xsi:type="xsd:double"&gt;19.2&lt;/D&gt;&lt;D xsi:type="xsd:double"&gt;19.2&lt;/D&gt;&lt;D xsi:type="xsd:double"&gt;19.2&lt;/D&gt;&lt;D xsi:type="xsd:double"&gt;18.3&lt;/D&gt;&lt;D xsi:type="xsd:double"&gt;18.3&lt;/D&gt;&lt;D xsi:type="xsd:double"&gt;18.3&lt;/D&gt;&lt;D xsi:type="xsd:double"&gt;18.3&lt;/D&gt;&lt;D xsi:type="xsd:double"&gt;18.3&lt;/D&gt;&lt;D xsi:type="xsd:double"&gt;17.1&lt;/D&gt;&lt;D xsi:type="xsd:double"&gt;17.1&lt;/D&gt;&lt;D xsi:type="xsd:double"&gt;17.1&lt;/D&gt;&lt;D xsi:type="xsd:double"&gt;17.1&lt;/D&gt;&lt;D xsi:type="xsd:double"&gt;17.1&lt;/D&gt;&lt;D xsi:type="xsd:double"&gt;17.3&lt;/D&gt;&lt;D xsi:type="xsd:double"&gt;17.3&lt;/D&gt;&lt;D xsi:type="xsd:double"&gt;17.3&lt;/D&gt;&lt;D xsi:type="xsd:double"&gt;17.3&lt;/D&gt;&lt;D xsi:type="xsd:double"&gt;17.3&lt;/D&gt;&lt;D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xsi:type="xsd:double"&gt;18.3&lt;/D&gt;&lt;D xsi:type="xsd:double"&gt;18.3&lt;/D&gt;&lt;D xsi:type="xsd:double"&gt;18.3&lt;/D&gt;&lt;D xsi:type="xsd:double"&gt;18.3&lt;/D&gt;&lt;D xsi:type="xsd:double"&gt;18.3&lt;/D&gt;&lt;D xsi:type="xsd:double"&gt;17.5&lt;/D&gt;&lt;D xsi:type="xsd:double"&gt;17.5&lt;/D&gt;&lt;D xsi:type="xsd:double"&gt;17.5&lt;/D&gt;&lt;D xsi:type="xsd:double"&gt;17.5&lt;/D&gt;&lt;D xsi:type="xsd:double"&gt;17.5&lt;/D&gt;&lt;D xsi:type="xsd:double"&gt;18.3&lt;/D&gt;&lt;D xsi:type="xsd:double"&gt;18.3&lt;/D&gt;&lt;D xsi:type="xsd:double"&gt;18.3&lt;/D&gt;&lt;D xsi:type="xsd:double"&gt;18.3&lt;/D&gt;&lt;D xsi:type="xsd:double"&gt;18.3&lt;/D&gt;&lt;D xsi:type="xsd:double"&gt;18.1&lt;/D&gt;&lt;D xsi:type="xsd:double"&gt;18.1&lt;/D&gt;&lt;D xsi:type="xsd:double"&gt;18.1&lt;/D&gt;&lt;D xsi:type="xsd:double"&gt;18.1&lt;/D&gt;&lt;D xsi:type="xsd:double"&gt;18.1&lt;/D&gt;&lt;D xsi:type="xsd:double"&gt;17.3&lt;/D&gt;&lt;D xsi:type="xsd:double"&gt;17.3&lt;/D&gt;&lt;D xsi:type="xsd:double"&gt;17.3&lt;/D&gt;&lt;D xsi:type="xsd:double"&gt;17.3&lt;/D&gt;&lt;D xsi:type="xsd:double"&gt;17.3&lt;/D&gt;&lt;D xsi:type="xsd:double"&gt;17.5&lt;/D&gt;&lt;D xsi:type="xsd:double"&gt;17.5&lt;/D&gt;&lt;D xsi:type="xsd:double"&gt;17.5&lt;/D&gt;&lt;D xsi:type="xsd:double"&gt;17.5&lt;/D&gt;&lt;D xsi:type="xsd:double"&gt;17.5&lt;/D&gt;&lt;D xsi:type="xsd:double"&gt;17.3&lt;/D&gt;&lt;D xsi:type="xsd:double"&gt;17.3&lt;/D&gt;&lt;D xsi:type="xsd:double"&gt;17.3&lt;/D&gt;&lt;D xsi:type="xsd:double"&gt;17.3&lt;/D&gt;&lt;D xsi:type="xsd:double"&gt;17.3&lt;/D&gt;&lt;D xsi:type="xsd:double"&gt;16.5&lt;/D&gt;&lt;D xsi:type="xsd:double"&gt;16.5&lt;/D&gt;&lt;D xsi:type="xsd:double"&gt;16.5&lt;/D&gt;&lt;D xsi:type="xsd:double"&gt;16.5&lt;/D&gt;&lt;D xsi:type="xsd:double"&gt;16.5&lt;/D&gt;&lt;D xsi:type="xsd:double"&gt;17.5&lt;/D&gt;&lt;D xsi:type="xsd:double"&gt;17.5&lt;/D&gt;&lt;D xsi:type="xsd:double"&gt;17.5&lt;/D&gt;&lt;D xsi:type="xsd:double"&gt;17.5&lt;/D&gt;&lt;D xsi:type="xsd:double"&gt;17.5&lt;/D&gt;&lt;D xsi:type="xsd:double"&gt;17.6&lt;/D&gt;&lt;D xsi:type="xsd:double"&gt;17.6&lt;/D&gt;&lt;D xsi:type="xsd:double"&gt;17.6&lt;/D&gt;&lt;D xsi:type="xsd:double"&gt;17.6&lt;/D&gt;&lt;D xsi:type="xsd:double"&gt;17.6&lt;/D&gt;&lt;D xsi:type="xsd:double"&gt;16.7&lt;/D&gt;&lt;D xsi:type="xsd:double"&gt;16.7&lt;/D&gt;&lt;D xsi:type="xsd:double"&gt;16.7&lt;/D&gt;&lt;D xsi:type="xsd:double"&gt;16.7&lt;/D&gt;&lt;D xsi:type="xsd:double"&gt;16.7&lt;/D&gt;&lt;D xsi:type="xsd:double"&gt;17.6&lt;/D&gt;&lt;D xsi:type="xsd:double"&gt;17.6&lt;/D&gt;&lt;D xsi:type="xsd:double"&gt;17.6&lt;/D&gt;&lt;D xsi:type="xsd:double"&gt;17.6&lt;/D&gt;&lt;D xsi:type="xsd:double"&gt;17.6&lt;/D&gt;&lt;D xsi:type="xsd:double"&gt;17.5&lt;/D&gt;&lt;D xsi:type="xsd:double"&gt;17.5&lt;/D&gt;&lt;D xsi:type="xsd:double"&gt;17.5&lt;/D&gt;&lt;D xsi:type="xsd:double"&gt;17.5&lt;/D&gt;&lt;D xsi:type="xsd:double"&gt;17.5&lt;/D&gt;&lt;D xsi:type="xsd:double"&gt;17.3&lt;/D&gt;&lt;D xsi:type="xsd:double"&gt;17.3&lt;/D&gt;&lt;D xsi:type="xsd:double"&gt;17.3&lt;/D&gt;&lt;D xsi:type="xsd:double"&gt;17.3&lt;/D&gt;&lt;D xsi:type="xsd:double"&gt;17.3&lt;/D&gt;&lt;D xsi:type="xsd:double"&gt;18.3&lt;/D&gt;&lt;D xsi:type="xsd:double"&gt;18.3&lt;/D&gt;&lt;D xsi:type="xsd:double"&gt;18.3&lt;/D&gt;&lt;D xsi:type="xsd:double"&gt;18.3&lt;/D&gt;&lt;D xsi:type="xsd:double"&gt;18.3&lt;/D&gt;&lt;D xsi:type="xsd:double"&gt;18.4&lt;/D&gt;&lt;D xsi:type="xsd:double"&gt;18.4&lt;/D&gt;&lt;D xsi:type="xsd:double"&gt;18.4&lt;/D&gt;&lt;D xsi:type="xsd:double"&gt;18.4&lt;/D&gt;&lt;D xsi:type="xsd:double"&gt;18.4&lt;/D&gt;&lt;D xsi:type="xsd:string"&gt;@NA&lt;/D&gt;&lt;D xsi:type="xsd:string"&gt;@NA&lt;/D&gt;&lt;D xsi:type="xsd:string"&gt;@NA&lt;/D&gt;&lt;D xsi:type="xsd:string"&gt;@NA&lt;/D&gt;&lt;D xsi:type="xsd:string"&gt;@NA&lt;/D&gt;&lt;D xsi:type="xsd:double"&gt;19.6&lt;/D&gt;&lt;D xsi:type="xsd:double"&gt;19.6&lt;/D&gt;&lt;D xsi:type="xsd:double"&gt;19.6&lt;/D&gt;&lt;D xsi:type="xsd:double"&gt;19.6&lt;/D&gt;&lt;D xsi:type="xsd:double"&gt;19.6&lt;/D&gt;&lt;D xsi:type="xsd:double"&gt;19.2&lt;/D&gt;&lt;D xsi:type="xsd:double"&gt;19.2&lt;/D&gt;&lt;D xsi:type="xsd:double"&gt;19.2&lt;/D&gt;&lt;D xsi:type="xsd:double"&gt;19.2&lt;/D&gt;&lt;D xsi:type="xsd:double"&gt;19.2&lt;/D&gt;&lt;D xsi:type="xsd:double"&gt;19.6&lt;/D&gt;&lt;D xsi:type="xsd:double"&gt;19.6&lt;/D&gt;&lt;D xsi:type="xsd:double"&gt;19.6&lt;/D&gt;&lt;D xsi:type="xsd:double"&gt;19.6&lt;/D&gt;&lt;D xsi:type="xsd:double"&gt;19.6&lt;/D&gt;&lt;D xsi:type="xsd:double"&gt;22.3&lt;/D&gt;&lt;D xsi:type="xsd:double"&gt;22.3&lt;/D&gt;&lt;D xsi:type="xsd:double"&gt;22.3&lt;/D&gt;&lt;D xsi:type="xsd:double"&gt;22.3&lt;/D&gt;&lt;D xsi:type="xsd:double"&gt;22.3&lt;/D&gt;&lt;D xsi:type="xsd:double"&gt;21.6&lt;/D&gt;&lt;D xsi:type="xsd:double"&gt;21.6&lt;/D&gt;&lt;D xsi:type="xsd:double"&gt;21.6&lt;/D&gt;&lt;D xsi:type="xsd:double"&gt;21.6&lt;/D&gt;&lt;D xsi:type="xsd:double"&gt;21.6&lt;/D&gt;&lt;D xsi:type="xsd:double"&gt;23.5&lt;/D&gt;&lt;D xsi:type="xsd:double"&gt;23.5&lt;/D&gt;&lt;D xsi:type="xsd:double"&gt;23.5&lt;/D&gt;&lt;D xsi:type="xsd:double"&gt;23.5&lt;/D&gt;&lt;D xsi:type="xsd:double"&gt;23.5&lt;/D&gt;&lt;D xsi:type="xsd:double"&gt;25.7&lt;/D&gt;&lt;D xsi:type="xsd:double"&gt;25.7&lt;/D&gt;&lt;D xsi:type="xsd:double"&gt;25.7&lt;/D&gt;&lt;D xsi:type="xsd:double"&gt;25.7&lt;/D&gt;&lt;D xsi:type="xsd:double"&gt;25.7&lt;/D&gt;&lt;D xsi:type="xsd:double"&gt;24.3&lt;/D&gt;&lt;D xsi:type="xsd:double"&gt;24.3&lt;/D&gt;&lt;D xsi:type="xsd:double"&gt;24.3&lt;/D&gt;&lt;D xsi:type="xsd:double"&gt;24.3&lt;/D&gt;&lt;D xsi:type="xsd:double"&gt;24.3&lt;/D&gt;&lt;D xsi:type="xsd:double"&gt;23.1&lt;/D&gt;&lt;D xsi:type="xsd:double"&gt;23.1&lt;/D&gt;&lt;D xsi:type="xsd:double"&gt;23.1&lt;/D&gt;&lt;D xsi:type="xsd:double"&gt;23.1&lt;/D&gt;&lt;D xsi:type="xsd:double"&gt;23.1&lt;/D&gt;&lt;D xsi:type="xsd:double"&gt;23.8&lt;/D&gt;&lt;D xsi:type="xsd:double"&gt;23.8&lt;/D&gt;&lt;D xsi:type="xsd:double"&gt;23.8&lt;/D&gt;&lt;D xsi:type="xsd:double"&gt;23.8&lt;/D&gt;&lt;D xsi:type="xsd:double"&gt;23.8&lt;/D&gt;&lt;D xsi:type="xsd:double"&gt;23.1&lt;/D&gt;&lt;D xsi:type="xsd:double"&gt;23.1&lt;/D&gt;&lt;D xsi:type="xsd:double"&gt;23.1&lt;/D&gt;&lt;D xsi:type="xsd:double"&gt;23.1&lt;/D&gt;&lt;D xsi:type="xsd:double"&gt;23.1&lt;/D&gt;&lt;D xsi:type="xsd:double"&gt;22.8&lt;/D&gt;&lt;D xsi:type="xsd:double"&gt;22.8&lt;/D&gt;&lt;D xsi:type="xsd:double"&gt;22.8&lt;/D&gt;&lt;D xsi:type="xsd:double"&gt;22.8&lt;/D&gt;&lt;D xsi:type="xsd:double"&gt;22.8&lt;/D&gt;&lt;D xsi:type="xsd:double"&gt;23.1&lt;/D&gt;&lt;D xsi:type="xsd:double"&gt;23.1&lt;/D&gt;&lt;D xsi:type="xsd:double"&gt;23.1&lt;/D&gt;&lt;D xsi:type="xsd:double"&gt;23.1&lt;/D&gt;&lt;D xsi:type="xsd:double"&gt;23.1&lt;/D&gt;&lt;D xsi:type="xsd:double"&gt;24.3&lt;/D&gt;&lt;D xsi:type="xsd:double"&gt;24.3&lt;/D&gt;&lt;D xsi:type="xsd:double"&gt;24.3&lt;/D&gt;&lt;D xsi:type="xsd:double"&gt;24.3&lt;/D&gt;&lt;D xsi:type="xsd:double"&gt;24.3&lt;/D&gt;&lt;D xsi:type="xsd:double"&gt;22.6&lt;/D&gt;&lt;D xsi:type="xsd:double"&gt;22.6&lt;/D&gt;&lt;D xsi:type="xsd:double"&gt;22.6&lt;/D&gt;&lt;D xsi:type="xsd:double"&gt;22.6&lt;/D&gt;&lt;D xsi:type="xsd:double"&gt;22.6&lt;/D&gt;&lt;D xsi:type="xsd:double"&gt;22.8&lt;/D&gt;&lt;D xsi:type="xsd:double"&gt;22.8&lt;/D&gt;&lt;D xsi:type="xsd:double"&gt;22.8&lt;/D&gt;&lt;D xsi:type="xsd:double"&gt;22.8&lt;/D&gt;&lt;D xsi:type="xsd:double"&gt;22.8&lt;/D&gt;&lt;D xsi:type="xsd:double"&gt;20.6&lt;/D&gt;&lt;D xsi:type="xsd:double"&gt;20.6&lt;/D&gt;&lt;D xsi:type="xsd:double"&gt;20.6&lt;/D&gt;&lt;D xsi:type="xsd:double"&gt;20.6&lt;/D&gt;&lt;D xsi:type="xsd:double"&gt;20.6&lt;/D&gt;&lt;D xsi:type="xsd:double"&gt;20.2&lt;/D&gt;&lt;D xsi:type="xsd:double"&gt;20.2&lt;/D&gt;&lt;D xsi:type="xsd:double"&gt;20.2&lt;/D&gt;&lt;D xsi:type="xsd:double"&gt;20.2&lt;/D&gt;&lt;D xsi:type="xsd:double"&gt;20.2&lt;/D&gt;&lt;D xsi:type="xsd:double"&gt;20&lt;/D&gt;&lt;D xsi:type="xsd:double"&gt;20&lt;/D&gt;&lt;D xsi:type="xsd:double"&gt;20&lt;/D&gt;&lt;D xsi:type="xsd:double"&gt;20&lt;/D&gt;&lt;D xsi:type="xsd:double"&gt;20&lt;/D&gt;&lt;D xsi:type="xsd:double"&gt;20.9&lt;/D&gt;&lt;D xsi:type="xsd:double"&gt;20.9&lt;/D&gt;&lt;D xsi:type="xsd:double"&gt;20.9&lt;/D&gt;&lt;D xsi:type="xsd:double"&gt;20.9&lt;/D&gt;&lt;D xsi:type="xsd:double"&gt;20.9&lt;/D&gt;&lt;D xsi:type="xsd:double"&gt;21.2&lt;/D&gt;&lt;D xsi:type="xsd:double"&gt;21.2&lt;/D&gt;&lt;D xsi:type="xsd:double"&gt;21.2&lt;/D&gt;&lt;D xsi:type="xsd:double"&gt;21.2&lt;/D&gt;&lt;D xsi:type="xsd:double"&gt;21.2&lt;/D&gt;&lt;D xsi:type="xsd:double"&gt;21.6&lt;/D&gt;&lt;D xsi:type="xsd:double"&gt;21.6&lt;/D&gt;&lt;D xsi:type="xsd:double"&gt;21.6&lt;/D&gt;&lt;D xsi:type="xsd:double"&gt;21.6&lt;/D&gt;&lt;D xsi:type="xsd:double"&gt;21.6&lt;/D&gt;&lt;D xsi:type="xsd:double"&gt;23.3&lt;/D&gt;&lt;D xsi:type="xsd:double"&gt;23.3&lt;/D&gt;&lt;D xsi:type="xsd:double"&gt;23.3&lt;/D&gt;&lt;D xsi:type="xsd:double"&gt;23.3&lt;/D&gt;&lt;D xsi:type="xsd:double"&gt;23.3&lt;/D&gt;&lt;D xsi:type="xsd:double"&gt;24.7&lt;/D&gt;&lt;D xsi:type="xsd:double"&gt;24.7&lt;/D&gt;&lt;D xsi:type="xsd:double"&gt;24.7&lt;/D&gt;&lt;D xsi:type="xsd:double"&gt;24.7&lt;/D&gt;&lt;D xsi:type="xsd:double"&gt;24.7&lt;/D&gt;&lt;D xsi:type="xsd:double"&gt;24.5&lt;/D&gt;&lt;D xsi:type="xsd:double"&gt;24.5&lt;/D&gt;&lt;D xsi:type="xsd:double"&gt;24.5&lt;/D&gt;&lt;D xsi:type="xsd:double"&gt;24.5&lt;/D&gt;&lt;D xsi:type="xsd:double"&gt;24.5&lt;/D&gt;&lt;D xsi:type="xsd:double"&gt;23.8&lt;/D&gt;&lt;D xsi:type="xsd:double"&gt;23.8&lt;/D&gt;&lt;D xsi:type="xsd:double"&gt;23.8&lt;/D&gt;&lt;D xsi:type="xsd:double"&gt;23.8&lt;/D&gt;&lt;D xsi:type="xsd:double"&gt;23.8&lt;/D&gt;&lt;D xsi:type="xsd:double"&gt;23.2&lt;/D&gt;&lt;D xsi:type="xsd:double"&gt;23.2&lt;/D&gt;&lt;D xsi:type="xsd:double"&gt;23.2&lt;/D&gt;&lt;D xsi:type="xsd:double"&gt;23.2&lt;/D&gt;&lt;D xsi:type="xsd:double"&gt;23.2&lt;/D&gt;&lt;D xsi:type="xsd:double"&gt;23.5&lt;/D&gt;&lt;D xsi:type="xsd:double"&gt;23.5&lt;/D&gt;&lt;D xsi:type="xsd:double"&gt;23.5&lt;/D&gt;&lt;D xsi:type="xsd:double"&gt;23.5&lt;/D&gt;&lt;D xsi:type="xsd:double"&gt;23.5&lt;/D&gt;&lt;D xsi:type="xsd:double"&gt;23.8&lt;/D&gt;&lt;D xsi:type="xsd:double"&gt;23.8&lt;/D&gt;&lt;D xsi:type="xsd:double"&gt;23.8&lt;/D&gt;&lt;D xsi:type="xsd:double"&gt;23.8&lt;/D&gt;&lt;D xsi:type="xsd:double"&gt;23.8&lt;/D&gt;&lt;D xsi:type="xsd:double"&gt;23.7&lt;/D&gt;&lt;D xsi:type="xsd:double"&gt;23.7&lt;/D&gt;&lt;D xsi:type="xsd:double"&gt;23.7&lt;/D&gt;&lt;D xsi:type="xsd:double"&gt;23.7&lt;/D&gt;&lt;D xsi:type="xsd:double"&gt;23.7&lt;/D&gt;&lt;D xsi:type="xsd:double"&gt;24&lt;/D&gt;&lt;D xsi:type="xsd:double"&gt;24&lt;/D&gt;&lt;D xsi:type="xsd:double"&gt;24&lt;/D&gt;&lt;D xsi:type="xsd:double"&gt;24&lt;/D&gt;&lt;D xsi:type="xsd:double"&gt;24&lt;/D&gt;&lt;D xsi:type="xsd:double"&gt;21.7&lt;/D&gt;&lt;D xsi:type="xsd:double"&gt;21.7&lt;/D&gt;&lt;D xsi:type="xsd:double"&gt;21.7&lt;/D&gt;&lt;D xsi:type="xsd:double"&gt;21.7&lt;/D&gt;&lt;D xsi:type="xsd:double"&gt;21.7&lt;/D&gt;&lt;D xsi:type="xsd:double"&gt;21.6&lt;/D&gt;&lt;D xsi:type="xsd:double"&gt;21.6&lt;/D&gt;&lt;D xsi:type="xsd:double"&gt;21.6&lt;/D&gt;&lt;D xsi:type="xsd:double"&gt;21.6&lt;/D&gt;&lt;D xsi:type="xsd:double"&gt;21.6&lt;/D&gt;&lt;D xsi:type="xsd:double"&gt;21.7&lt;/D&gt;&lt;D xsi:type="xsd:double"&gt;21.7&lt;/D&gt;&lt;D xsi:type="xsd:double"&gt;21.7&lt;/D&gt;&lt;D xsi:type="xsd:double"&gt;21.7&lt;/D&gt;&lt;D xsi:type="xsd:double"&gt;21.7&lt;/D&gt;&lt;D xsi:type="xsd:double"&gt;20.6&lt;/D&gt;&lt;D xsi:type="xsd:double"&gt;20.6&lt;/D&gt;&lt;D xsi:type="xsd:double"&gt;20.6&lt;/D&gt;&lt;D xsi:type="xsd:double"&gt;20.6&lt;/D&gt;&lt;D xsi:type="xsd:double"&gt;20.6&lt;/D&gt;&lt;D xsi:type="xsd:double"&gt;21.7&lt;/D&gt;&lt;D xsi:type="xsd:double"&gt;21.7&lt;/D&gt;&lt;D xsi:type="xsd:double"&gt;21.7&lt;/D&gt;&lt;D xsi:type="xsd:double"&gt;21.7&lt;/D&gt;&lt;D xsi:type="xsd:double"&gt;21.7&lt;/D&gt;&lt;D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xsi:type="xsd:double"&gt;28.9&lt;/D&gt;&lt;D xsi:type="xsd:double"&gt;28.9&lt;/D&gt;&lt;D xsi:type="xsd:double"&gt;28.9&lt;/D&gt;&lt;D xsi:type="xsd:double"&gt;28.9&lt;/D&gt;&lt;D xsi:type="xsd:double"&gt;28.9&lt;/D&gt;&lt;D xsi:type="xsd:double"&gt;27.8&lt;/D&gt;&lt;D xsi:type="xsd:double"&gt;27.8&lt;/D&gt;&lt;D xsi:type="xsd:double"&gt;27.8&lt;/D&gt;&lt;D xsi:type="xsd:double"&gt;27.8&lt;/D&gt;&lt;D xsi:type="xsd:double"&gt;27.8&lt;/D&gt;&lt;D xsi:type="xsd:double"&gt;30.3&lt;/D&gt;&lt;D xsi:type="xsd:double"&gt;30.3&lt;/D&gt;&lt;D xsi:type="xsd:double"&gt;30.3&lt;/D&gt;&lt;D xsi:type="xsd:double"&gt;30.3&lt;/D&gt;&lt;D xsi:type="xsd:double"&gt;30.3&lt;/D&gt;&lt;D xsi:type="xsd:double"&gt;35.4&lt;/D&gt;&lt;D xsi:type="xsd:double"&gt;35.4&lt;/D&gt;&lt;D xsi:type="xsd:double"&gt;35.4&lt;/D&gt;&lt;D xsi:type="xsd:double"&gt;35.4&lt;/D&gt;&lt;D xsi:type="xsd:double"&gt;35.4&lt;/D&gt;&lt;D xsi:type="xsd:double"&gt;34.3&lt;/D&gt;&lt;D xsi:type="xsd:double"&gt;34.3&lt;/D&gt;&lt;D xsi:type="xsd:double"&gt;34.3&lt;/D&gt;&lt;D xsi:type="xsd:double"&gt;34.3&lt;/D&gt;&lt;D xsi:type="xsd:double"&gt;34.3&lt;/D&gt;&lt;D xsi:type="xsd:double"&gt;35.7&lt;/D&gt;&lt;D xsi:type="xsd:double"&gt;35.7&lt;/D&gt;&lt;D xsi:type="xsd:double"&gt;35.7&lt;/D&gt;&lt;D xsi:type="xsd:double"&gt;35.7&lt;/D&gt;&lt;D xsi:type="xsd:double"&gt;35.7&lt;/D&gt;&lt;D xsi:type="xsd:double"&gt;39.8&lt;/D&gt;&lt;D xsi:type="xsd:double"&gt;39.8&lt;/D&gt;&lt;D xsi:type="xsd:double"&gt;39.8&lt;/D&gt;&lt;D xsi:type="xsd:double"&gt;39.8&lt;/D&gt;&lt;D xsi:type="xsd:double"&gt;39.8&lt;/D&gt;&lt;D xsi:type="xsd:double"&gt;39.2&lt;/D&gt;&lt;D xsi:type="xsd:double"&gt;39.2&lt;/D&gt;&lt;D xsi:type="xsd:double"&gt;39.2&lt;/D&gt;&lt;D xsi:type="xsd:double"&gt;39.2&lt;/D&gt;&lt;D xsi:type="xsd:double"&gt;39.2&lt;/D&gt;&lt;D xsi:type="xsd:double"&gt;38.1&lt;/D&gt;&lt;D xsi:type="xsd:double"&gt;38.1&lt;/D&gt;&lt;D xsi:type="xsd:double"&gt;38.1&lt;/D&gt;&lt;D xsi:type="xsd:double"&gt;38.1&lt;/D&gt;&lt;D xsi:type="xsd:double"&gt;38.1&lt;/D&gt;&lt;D xsi:type="xsd:double"&gt;35.4&lt;/D&gt;&lt;D xsi:type="xsd:double"&gt;35.4&lt;/D&gt;&lt;D xsi:type="xsd:double"&gt;35.4&lt;/D&gt;&lt;D xsi:type="xsd:double"&gt;35.4&lt;/D&gt;&lt;D xsi:type="xsd:double"&gt;35.4&lt;/D&gt;&lt;D xsi:type="xsd:double"&gt;36.1&lt;/D&gt;&lt;D xsi:type="xsd:double"&gt;36.1&lt;/D&gt;&lt;D xsi:type="xsd:double"&gt;36.1&lt;/D&gt;&lt;D xsi:type="xsd:double"&gt;36.1&lt;/D&gt;&lt;D xsi:type="xsd:double"&gt;36.1&lt;/D&gt;&lt;D xsi:type="xsd:double"&gt;35.7&lt;/D&gt;&lt;D xsi:type="xsd:double"&gt;35.7&lt;/D&gt;&lt;D xsi:type="xsd:double"&gt;35.7&lt;/D&gt;&lt;D xsi:type="xsd:double"&gt;35.7&lt;/D&gt;&lt;D xsi:type="xsd:double"&gt;35.7&lt;/D&gt;&lt;D xsi:type="xsd:double"&gt;31.6&lt;/D&gt;&lt;D xsi:type="xsd:double"&gt;31.6&lt;/D&gt;&lt;D xsi:type="xsd:double"&gt;31.6&lt;/D&gt;&lt;D xsi:type="xsd:double"&gt;31.6&lt;/D&gt;&lt;D xsi:type="xsd:double"&gt;31.6&lt;/D&gt;&lt;D xsi:type="xsd:string"&gt;@NA&lt;/D&gt;&lt;D xsi:type="xsd:string"&gt;@NA&lt;/D&gt;&lt;D xsi:type="xsd:string"&gt;@NA&lt;/D&gt;&lt;D xsi:type="xsd:string"&gt;@NA&lt;/D&gt;&lt;D xsi:type="xsd:string"&gt;@NA&lt;/D&gt;&lt;D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xsi:type="xsd:double"&gt;27.6&lt;/D&gt;&lt;D xsi:type="xsd:double"&gt;27.6&lt;/D&gt;&lt;D xsi:type="xsd:double"&gt;27.6&lt;/D&gt;&lt;D xsi:type="xsd:double"&gt;27.6&lt;/D&gt;&lt;D xsi:type="xsd:double"&gt;27.6&lt;/D&gt;&lt;D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xsi:type="xsd:double"&gt;28.9&lt;/D&gt;&lt;D xsi:type="xsd:double"&gt;28.9&lt;/D&gt;&lt;D xsi:type="xsd:double"&gt;28.9&lt;/D&gt;&lt;D xsi:type="xsd:double"&gt;28.9&lt;/D&gt;&lt;D xsi:type="xsd:double"&gt;28.9&lt;/D&gt;&lt;D xsi:type="xsd:double"&gt;28.1&lt;/D&gt;&lt;D xsi:type="xsd:double"&gt;28.1&lt;/D&gt;&lt;D xsi:type="xsd:double"&gt;28.1&lt;/D&gt;&lt;D xsi:type="xsd:double"&gt;28.1&lt;/D&gt;&lt;D xsi:type="xsd:double"&gt;28.1&lt;/D&gt;&lt;D xsi:type="xsd:double"&gt;29.2&lt;/D&gt;&lt;D xsi:type="xsd:double"&gt;29.2&lt;/D&gt;&lt;D xsi:type="xsd:double"&gt;29.2&lt;/D&gt;&lt;D xsi:type="xsd:double"&gt;29.2&lt;/D&gt;&lt;D xsi:type="xsd:double"&gt;29.2&lt;/D&gt;&lt;D xsi:type="xsd:double"&gt;31.3&lt;/D&gt;&lt;D xsi:type="xsd:double"&gt;31.3&lt;/D&gt;&lt;D xsi:type="xsd:double"&gt;31.3&lt;/D&gt;&lt;D xsi:type="xsd:double"&gt;31.3&lt;/D&gt;&lt;D xsi:type="xsd:double"&gt;31.3&lt;/D&gt;&lt;D xsi:type="xsd:double"&gt;31.2&lt;/D&gt;&lt;D xsi:type="xsd:double"&gt;31.2&lt;/D&gt;&lt;D xsi:type="xsd:double"&gt;31.2&lt;/D&gt;&lt;D xsi:type="xsd:double"&gt;31.2&lt;/D&gt;&lt;D xsi:type="xsd:double"&gt;31.2&lt;/D&gt;&lt;D xsi:type="xsd:double"&gt;34.4&lt;/D&gt;&lt;D xsi:type="xsd:double"&gt;34.4&lt;/D&gt;&lt;D xsi:type="xsd:double"&gt;34.4&lt;/D&gt;&lt;D xsi:type="xsd:double"&gt;34.4&lt;/D&gt;&lt;D xsi:type="xsd:double"&gt;34.4&lt;/D&gt;&lt;D xsi:type="xsd:double"&gt;35.1&lt;/D&gt;&lt;D xsi:type="xsd:double"&gt;35.1&lt;/D&gt;&lt;D xsi:type="xsd:double"&gt;35.1&lt;/D&gt;&lt;D xsi:type="xsd:double"&gt;35.1&lt;/D&gt;&lt;D xsi:type="xsd:double"&gt;35.1&lt;/D&gt;&lt;D xsi:type="xsd:double"&gt;30.2&lt;/D&gt;&lt;D xsi:type="xsd:double"&gt;30.2&lt;/D&gt;&lt;D xsi:type="xsd:double"&gt;30.2&lt;/D&gt;&lt;D xsi:type="xsd:double"&gt;30.2&lt;/D&gt;&lt;D xsi:type="xsd:double"&gt;30.2&lt;/D&gt;&lt;D xsi:type="xsd:double"&gt;26.8&lt;/D&gt;&lt;D xsi:type="xsd:double"&gt;26.8&lt;/D&gt;&lt;D xsi:type="xsd:double"&gt;26.8&lt;/D&gt;&lt;D xsi:type="xsd:double"&gt;26.8&lt;/D&gt;&lt;D xsi:type="xsd:double"&gt;26.8&lt;/D&gt;&lt;D xsi:type="xsd:double"&gt;27.9&lt;/D&gt;&lt;D xsi:type="xsd:double"&gt;27.9&lt;/D&gt;&lt;D xsi:type="xsd:double"&gt;27.9&lt;/D&gt;&lt;D xsi:type="xsd:double"&gt;27.9&lt;/D&gt;&lt;D xsi:type="xsd:double"&gt;27.9&lt;/D&gt;&lt;D xsi:type="xsd:double"&gt;26.8&lt;/D&gt;&lt;D xsi:type="xsd:double"&gt;26.8&lt;/D&gt;&lt;D xsi:type="xsd:double"&gt;26.8&lt;/D&gt;&lt;D xsi:type="xsd:double"&gt;26.8&lt;/D&gt;&lt;D xsi:type="xsd:double"&gt;26.8&lt;/D&gt;&lt;D xsi:type="xsd:double"&gt;22.5&lt;/D&gt;&lt;D xsi:type="xsd:double"&gt;22.5&lt;/D&gt;&lt;D xsi:type="xsd:double"&gt;22.5&lt;/D&gt;&lt;D xsi:type="xsd:double"&gt;22.5&lt;/D&gt;&lt;D xsi:type="xsd:double"&gt;22.5&lt;/D&gt;&lt;D xsi:type="xsd:double"&gt;18.4&lt;/D&gt;&lt;D xsi:type="xsd:double"&gt;18.4&lt;/D&gt;&lt;D xsi:type="xsd:double"&gt;18.4&lt;/D&gt;&lt;D xsi:type="xsd:double"&gt;18.4&lt;/D&gt;&lt;D xsi:type="xsd:double"&gt;18.4&lt;/D&gt;&lt;D xsi:type="xsd:double"&gt;18.6&lt;/D&gt;&lt;D xsi:type="xsd:double"&gt;18.6&lt;/D&gt;&lt;D xsi:type="xsd:double"&gt;18.6&lt;/D&gt;&lt;D xsi:type="xsd:double"&gt;18.6&lt;/D&gt;&lt;D xsi:type="xsd:double"&gt;18.6&lt;/D&gt;&lt;D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xsi:type="xsd:double"&gt;15.8&lt;/D&gt;&lt;D xsi:type="xsd:double"&gt;15.8&lt;/D&gt;&lt;D xsi:type="xsd:double"&gt;15.8&lt;/D&gt;&lt;D xsi:type="xsd:double"&gt;15.8&lt;/D&gt;&lt;D xsi:type="xsd:double"&gt;15.8&lt;/D&gt;&lt;D xsi:type="xsd:double"&gt;14.9&lt;/D&gt;&lt;D xsi:type="xsd:double"&gt;14.9&lt;/D&gt;&lt;D xsi:type="xsd:double"&gt;14.9&lt;/D&gt;&lt;D xsi:type="xsd:double"&gt;14.9&lt;/D&gt;&lt;D xsi:type="xsd:double"&gt;14.9&lt;/D&gt;&lt;D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xsi:type="xsd:double"&gt;15.2&lt;/D&gt;&lt;D xsi:type="xsd:double"&gt;15.2&lt;/D&gt;&lt;D xsi:type="xsd:double"&gt;15.2&lt;/D&gt;&lt;D xsi:type="xsd:double"&gt;15.2&lt;/D&gt;&lt;D xsi:type="xsd:double"&gt;15.2&lt;/D&gt;&lt;D xsi:type="xsd:double"&gt;13.9&lt;/D&gt;&lt;D xsi:type="xsd:double"&gt;13.9&lt;/D&gt;&lt;D xsi:type="xsd:double"&gt;13.9&lt;/D&gt;&lt;D xsi:type="xsd:double"&gt;13.9&lt;/D&gt;&lt;D xsi:type="xsd:double"&gt;13.9&lt;/D&gt;&lt;D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xsi:type="xsd:double"&gt;14.1&lt;/D&gt;&lt;D xsi:type="xsd:double"&gt;14.1&lt;/D&gt;&lt;D xsi:type="xsd:double"&gt;14.1&lt;/D&gt;&lt;D xsi:type="xsd:double"&gt;14.1&lt;/D&gt;&lt;D xsi:type="xsd:double"&gt;14.1&lt;/D&gt;&lt;D xsi:type="xsd:double"&gt;14.3&lt;/D&gt;&lt;D xsi:type="xsd:double"&gt;14.3&lt;/D&gt;&lt;D xsi:type="xsd:double"&gt;14.3&lt;/D&gt;&lt;D xsi:type="xsd:double"&gt;14.3&lt;/D&gt;&lt;D xsi:type="xsd:double"&gt;14.3&lt;/D&gt;&lt;D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xsi:type="xsd:double"&gt;15.2&lt;/D&gt;&lt;D xsi:type="xsd:double"&gt;15.2&lt;/D&gt;&lt;D xsi:type="xsd:double"&gt;15.2&lt;/D&gt;&lt;D xsi:type="xsd:double"&gt;15.2&lt;/D&gt;&lt;D xsi:type="xsd:double"&gt;15.2&lt;/D&gt;&lt;D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xsi:type="xsd:double"&gt;17.4&lt;/D&gt;&lt;D xsi:type="xsd:double"&gt;17.4&lt;/D&gt;&lt;D xsi:type="xsd:double"&gt;17.4&lt;/D&gt;&lt;D xsi:type="xsd:double"&gt;17.4&lt;/D&gt;&lt;D xsi:type="xsd:double"&gt;17.4&lt;/D&gt;&lt;D xsi:type="xsd:double"&gt;16.3&lt;/D&gt;&lt;D xsi:type="xsd:double"&gt;16.3&lt;/D&gt;&lt;D xsi:type="xsd:double"&gt;16.3&lt;/D&gt;&lt;D xsi:type="xsd:double"&gt;16.3&lt;/D&gt;&lt;D xsi:type="xsd:double"&gt;16.3&lt;/D&gt;&lt;D xsi:type="xsd:double"&gt;15.2&lt;/D&gt;&lt;D xsi:type="xsd:double"&gt;15.2&lt;/D&gt;&lt;D xsi:type="xsd:double"&gt;15.2&lt;/D&gt;&lt;D xsi:type="xsd:double"&gt;15.2&lt;/D&gt;&lt;D xsi:type="xsd:double"&gt;15.2&lt;/D&gt;&lt;D xsi:type="xsd:double"&gt;14.9&lt;/D&gt;&lt;D xsi:type="xsd:double"&gt;14.9&lt;/D&gt;&lt;D xsi:type="xsd:double"&gt;14.9&lt;/D&gt;&lt;D xsi:type="xsd:double"&gt;14.9&lt;/D&gt;&lt;D xsi:type="xsd:double"&gt;14.9&lt;/D&gt;&lt;D xsi:type="xsd:double"&gt;15.8&lt;/D&gt;&lt;D xsi:type="xsd:double"&gt;15.8&lt;/D&gt;&lt;D xsi:type="xsd:double"&gt;15.8&lt;/D&gt;&lt;D xsi:type="xsd:double"&gt;15.8&lt;/D&gt;&lt;D xsi:type="xsd:double"&gt;15.8&lt;/D&gt;&lt;D xsi:type="xsd:double"&gt;14.9&lt;/D&gt;&lt;D xsi:type="xsd:double"&gt;14.9&lt;/D&gt;&lt;D xsi:type="xsd:double"&gt;14.9&lt;/D&gt;&lt;D xsi:type="xsd:double"&gt;14.9&lt;/D&gt;&lt;D xsi:type="xsd:double"&gt;14.9&lt;/D&gt;&lt;D xsi:type="xsd:double"&gt;14.8&lt;/D&gt;&lt;D xsi:type="xsd:double"&gt;14.8&lt;/D&gt;&lt;D xsi:type="xsd:double"&gt;14.8&lt;/D&gt;&lt;D xsi:type="xsd:double"&gt;14.8&lt;/D&gt;&lt;D xsi:type="xsd:double"&gt;14.8&lt;/D&gt;&lt;D xsi:type="xsd:double"&gt;13.9&lt;/D&gt;&lt;D xsi:type="xsd:double"&gt;13.9&lt;/D&gt;&lt;D xsi:type="xsd:double"&gt;13.9&lt;/D&gt;&lt;D xsi:type="xsd:double"&gt;13.9&lt;/D&gt;&lt;D xsi:type="xsd:double"&gt;13.9&lt;/D&gt;&lt;D xsi:type="xsd:double"&gt;13.8&lt;/D&gt;&lt;D xsi:type="xsd:double"&gt;13.8&lt;/D&gt;&lt;D xsi:type="xsd:double"&gt;13.8&lt;/D&gt;&lt;D xsi:type="xsd:double"&gt;13.8&lt;/D&gt;&lt;D xsi:type="xsd:double"&gt;13.8&lt;/D&gt;&lt;D xsi:type="xsd:double"&gt;14.9&lt;/D&gt;&lt;D xsi:type="xsd:double"&gt;14.9&lt;/D&gt;&lt;D xsi:type="xsd:double"&gt;14.9&lt;/D&gt;&lt;D xsi:type="xsd:double"&gt;14.9&lt;/D&gt;&lt;D xsi:type="xsd:double"&gt;14.9&lt;/D&gt;&lt;D xsi:type="xsd:double"&gt;14.8&lt;/D&gt;&lt;D xsi:type="xsd:double"&gt;14.8&lt;/D&gt;&lt;D xsi:type="xsd:double"&gt;14.8&lt;/D&gt;&lt;D xsi:type="xsd:double"&gt;14.8&lt;/D&gt;&lt;D xsi:type="xsd:double"&gt;14.8&lt;/D&gt;&lt;D xsi:type="xsd:double"&gt;15.1&lt;/D&gt;&lt;D xsi:type="xsd:double"&gt;15.1&lt;/D&gt;&lt;D xsi:type="xsd:double"&gt;15.1&lt;/D&gt;&lt;D xsi:type="xsd:double"&gt;15.1&lt;/D&gt;&lt;D xsi:type="xsd:double"&gt;15.1&lt;/D&gt;&lt;D xsi:type="xsd:double"&gt;16.3&lt;/D&gt;&lt;D xsi:type="xsd:double"&gt;16.3&lt;/D&gt;&lt;D xsi:type="xsd:double"&gt;16.3&lt;/D&gt;&lt;D xsi:type="xsd:double"&gt;16.3&lt;/D&gt;&lt;D xsi:type="xsd:double"&gt;16.3&lt;/D&gt;&lt;D xsi:type="xsd:double"&gt;18.2&lt;/D&gt;&lt;D xsi:type="xsd:double"&gt;18.2&lt;/D&gt;&lt;D xsi:type="xsd:double"&gt;18.2&lt;/D&gt;&lt;D xsi:type="xsd:double"&gt;18.2&lt;/D&gt;&lt;D xsi:type="xsd:double"&gt;18.2&lt;/D&gt;&lt;D xsi:type="xsd:double"&gt;17.3&lt;/D&gt;&lt;D xsi:type="xsd:double"&gt;17.3&lt;/D&gt;&lt;D xsi:type="xsd:double"&gt;17.3&lt;/D&gt;&lt;D xsi:type="xsd:double"&gt;17.3&lt;/D&gt;&lt;D xsi:type="xsd:double"&gt;17.3&lt;/D&gt;&lt;D xsi:type="xsd:double"&gt;14.1&lt;/D&gt;&lt;D xsi:type="xsd:double"&gt;14.1&lt;/D&gt;&lt;D xsi:type="xsd:double"&gt;14.1&lt;/D&gt;&lt;D xsi:type="xsd:double"&gt;14.1&lt;/D&gt;&lt;D xsi:type="xsd:double"&gt;14.1&lt;/D&gt;&lt;D xsi:type="xsd:double"&gt;15.1&lt;/D&gt;&lt;D xsi:type="xsd:double"&gt;15.1&lt;/D&gt;&lt;D xsi:type="xsd:double"&gt;15.1&lt;/D&gt;&lt;D xsi:type="xsd:double"&gt;15.1&lt;/D&gt;&lt;D xsi:type="xsd:double"&gt;15.1&lt;/D&gt;&lt;D xsi:type="xsd:double"&gt;15.3&lt;/D&gt;&lt;D xsi:type="xsd:double"&gt;15.3&lt;/D&gt;&lt;D xsi:type="xsd:double"&gt;15.3&lt;/D&gt;&lt;D xsi:type="xsd:double"&gt;15.3&lt;/D&gt;&lt;D xsi:type="xsd:double"&gt;15.3&lt;/D&gt;&lt;D xsi:type="xsd:double"&gt;15.2&lt;/D&gt;&lt;D xsi:type="xsd:double"&gt;15.2&lt;/D&gt;&lt;D xsi:type="xsd:double"&gt;15.2&lt;/D&gt;&lt;D xsi:type="xsd:double"&gt;15.2&lt;/D&gt;&lt;D xsi:type="xsd:double"&gt;15.2&lt;/D&gt;&lt;D xsi:type="xsd:double"&gt;14.1&lt;/D&gt;&lt;D xsi:type="xsd:double"&gt;14.1&lt;/D&gt;&lt;D xsi:type="xsd:double"&gt;14.1&lt;/D&gt;&lt;D xsi:type="xsd:double"&gt;14.1&lt;/D&gt;&lt;D xsi:type="xsd:double"&gt;14.1&lt;/D&gt;&lt;D xsi:type="xsd:double"&gt;13.3&lt;/D&gt;&lt;D xsi:type="xsd:double"&gt;13.3&lt;/D&gt;&lt;D xsi:type="xsd:double"&gt;13.3&lt;/D&gt;&lt;D xsi:type="xsd:double"&gt;13.3&lt;/D&gt;&lt;D xsi:type="xsd:double"&gt;13.3&lt;/D&gt;&lt;D xsi:type="xsd:double"&gt;15.1&lt;/D&gt;&lt;D xsi:type="xsd:double"&gt;15.1&lt;/D&gt;&lt;D xsi:type="xsd:double"&gt;15.1&lt;/D&gt;&lt;D xsi:type="xsd:double"&gt;15.1&lt;/D&gt;&lt;D xsi:type="xsd:double"&gt;15.1&lt;/D&gt;&lt;D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xsi:type="xsd:double"&gt;17.1&lt;/D&gt;&lt;D xsi:type="xsd:double"&gt;17.1&lt;/D&gt;&lt;D xsi:type="xsd:double"&gt;17.1&lt;/D&gt;&lt;D xsi:type="xsd:double"&gt;17.1&lt;/D&gt;&lt;D xsi:type="xsd:double"&gt;17.1&lt;/D&gt;&lt;D xsi:type="xsd:double"&gt;16.2&lt;/D&gt;&lt;D xsi:type="xsd:double"&gt;16.2&lt;/D&gt;&lt;D xsi:type="xsd:double"&gt;16.2&lt;/D&gt;&lt;D xsi:type="xsd:double"&gt;16.2&lt;/D&gt;&lt;D xsi:type="xsd:double"&gt;16.2&lt;/D&gt;&lt;D xsi:type="xsd:double"&gt;17.2&lt;/D&gt;&lt;D xsi:type="xsd:double"&gt;17.2&lt;/D&gt;&lt;D xsi:type="xsd:double"&gt;17.2&lt;/D&gt;&lt;D xsi:type="xsd:double"&gt;17.2&lt;/D&gt;&lt;D xsi:type="xsd:double"&gt;17.2&lt;/D&gt;&lt;D xsi:type="xsd:double"&gt;15.1&lt;/D&gt;&lt;D xsi:type="xsd:double"&gt;15.1&lt;/D&gt;&lt;D xsi:type="xsd:double"&gt;15.1&lt;/D&gt;&lt;D xsi:type="xsd:double"&gt;15.1&lt;/D&gt;&lt;D xsi:type="xsd:double"&gt;15.1&lt;/D&gt;&lt;D xsi:type="xsd:double"&gt;15.2&lt;/D&gt;&lt;D xsi:type="xsd:double"&gt;15.2&lt;/D&gt;&lt;D xsi:type="xsd:double"&gt;15.2&lt;/D&gt;&lt;D xsi:type="xsd:double"&gt;15.2&lt;/D&gt;&lt;D xsi:type="xsd:double"&gt;15.2&lt;/D&gt;&lt;D xsi:type="xsd:double"&gt;16.1&lt;/D&gt;&lt;D xsi:type="xsd:double"&gt;16.1&lt;/D&gt;&lt;D xsi:type="xsd:double"&gt;16.1&lt;/D&gt;&lt;D xsi:type="xsd:double"&gt;16.1&lt;/D&gt;&lt;D xsi:type="xsd:double"&gt;16.1&lt;/D&gt;&lt;D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xsi:type="xsd:double"&gt;17.2&lt;/D&gt;&lt;D xsi:type="xsd:double"&gt;17.2&lt;/D&gt;&lt;D xsi:type="xsd:double"&gt;17.2&lt;/D&gt;&lt;D xsi:type="xsd:double"&gt;17.2&lt;/D&gt;&lt;D xsi:type="xsd:double"&gt;17.2&lt;/D&gt;&lt;D xsi:type="xsd:double"&gt;17.4&lt;/D&gt;&lt;D xsi:type="xsd:double"&gt;17.4&lt;/D&gt;&lt;D xsi:type="xsd:double"&gt;17.4&lt;/D&gt;&lt;D xsi:type="xsd:double"&gt;17.4&lt;/D&gt;&lt;D xsi:type="xsd:double"&gt;17.4&lt;/D&gt;&lt;D xsi:type="xsd:double"&gt;17.3&lt;/D&gt;&lt;D xsi:type="xsd:double"&gt;17.3&lt;/D&gt;&lt;D xsi:type="xsd:double"&gt;17.3&lt;/D&gt;&lt;D xsi:type="xsd:double"&gt;17.3&lt;/D&gt;&lt;D xsi:type="xsd:double"&gt;17.3&lt;/D&gt;&lt;D xsi:type="xsd:double"&gt;18.3&lt;/D&gt;&lt;D xsi:type="xsd:double"&gt;18.3&lt;/D&gt;&lt;D xsi:type="xsd:double"&gt;18.3&lt;/D&gt;&lt;D xsi:type="xsd:double"&gt;18.3&lt;/D&gt;&lt;D xsi:type="xsd:double"&gt;18.3&lt;/D&gt;&lt;D xsi:type="xsd:double"&gt;19.4&lt;/D&gt;&lt;D xsi:type="xsd:double"&gt;19.4&lt;/D&gt;&lt;D xsi:type="xsd:double"&gt;19.4&lt;/D&gt;&lt;D xsi:type="xsd:double"&gt;19.4&lt;/D&gt;&lt;D xsi:type="xsd:double"&gt;19.4&lt;/D&gt;&lt;D xsi:type="xsd:double"&gt;19.7&lt;/D&gt;&lt;D xsi:type="xsd:double"&gt;19.7&lt;/D&gt;&lt;D xsi:type="xsd:double"&gt;19.7&lt;/D&gt;&lt;D xsi:type="xsd:double"&gt;19.7&lt;/D&gt;&lt;D xsi:type="xsd:double"&gt;19.7&lt;/D&gt;&lt;D xsi:type="xsd:double"&gt;20.6&lt;/D&gt;&lt;D xsi:type="xsd:double"&gt;20.6&lt;/D&gt;&lt;D xsi:type="xsd:double"&gt;20.6&lt;/D&gt;&lt;D xsi:type="xsd:double"&gt;20.6&lt;/D&gt;&lt;D xsi:type="xsd:double"&gt;20.6&lt;/D&gt;&lt;D xsi:type="xsd:double"&gt;21.7&lt;/D&gt;&lt;D xsi:type="xsd:double"&gt;21.7&lt;/D&gt;&lt;D xsi:type="xsd:double"&gt;21.7&lt;/D&gt;&lt;D xsi:type="xsd:double"&gt;21.7&lt;/D&gt;&lt;D xsi:type="xsd:double"&gt;21.7&lt;/D&gt;&lt;D xsi:type="xsd:double"&gt;20.6&lt;/D&gt;&lt;D xsi:type="xsd:double"&gt;20.6&lt;/D&gt;&lt;D xsi:type="xsd:double"&gt;20.6&lt;/D&gt;&lt;D xsi:type="xsd:double"&gt;20.6&lt;/D&gt;&lt;D xsi:type="xsd:double"&gt;20.6&lt;/D&gt;&lt;D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xsi:type="xsd:double"&gt;17.5&lt;/D&gt;&lt;D xsi:type="xsd:double"&gt;17.5&lt;/D&gt;&lt;D xsi:type="xsd:double"&gt;17.5&lt;/D&gt;&lt;D xsi:type="xsd:double"&gt;17.5&lt;/D&gt;&lt;D xsi:type="xsd:double"&gt;17.5&lt;/D&gt;&lt;D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xsi:type="xsd:double"&gt;15.1&lt;/D&gt;&lt;D xsi:type="xsd:double"&gt;15.1&lt;/D&gt;&lt;D xsi:type="xsd:double"&gt;15.1&lt;/D&gt;&lt;D xsi:type="xsd:double"&gt;15.1&lt;/D&gt;&lt;D xsi:type="xsd:double"&gt;15.1&lt;/D&gt;&lt;D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xsi:type="xsd:double"&gt;15.3&lt;/D&gt;&lt;D xsi:type="xsd:double"&gt;15.3&lt;/D&gt;&lt;D xsi:type="xsd:double"&gt;15.3&lt;/D&gt;&lt;D xsi:type="xsd:double"&gt;15.3&lt;/D&gt;&lt;D xsi:type="xsd:double"&gt;15.3&lt;/D&gt;&lt;D xsi:type="xsd:double"&gt;15.1&lt;/D&gt;&lt;D xsi:type="xsd:double"&gt;15.1&lt;/D&gt;&lt;D xsi:type="xsd:double"&gt;15.1&lt;/D&gt;&lt;D xsi:type="xsd:double"&gt;15.1&lt;/D&gt;&lt;D xsi:type="xsd:double"&gt;15.1&lt;/D&gt;&lt;D xsi:type="xsd:double"&gt;15.3&lt;/D&gt;&lt;D xsi:type="xsd:double"&gt;15.3&lt;/D&gt;&lt;D xsi:type="xsd:double"&gt;15.3&lt;/D&gt;&lt;D xsi:type="xsd:double"&gt;15.3&lt;/D&gt;&lt;D xsi:type="xsd:double"&gt;15.3&lt;/D&gt;&lt;D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xsi:type="xsd:double"&gt;14.1&lt;/D&gt;&lt;D xsi:type="xsd:double"&gt;14.1&lt;/D&gt;&lt;D xsi:type="xsd:double"&gt;14.1&lt;/D&gt;&lt;D xsi:type="xsd:double"&gt;14.1&lt;/D&gt;&lt;D xsi:type="xsd:double"&gt;14.1&lt;/D&gt;&lt;D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xsi:type="xsd:double"&gt;14.4&lt;/D&gt;&lt;D xsi:type="xsd:double"&gt;14.4&lt;/D&gt;&lt;D xsi:type="xsd:double"&gt;14.4&lt;/D&gt;&lt;D xsi:type="xsd:double"&gt;14.4&lt;/D&gt;&lt;D xsi:type="xsd:double"&gt;14.4&lt;/D&gt;&lt;D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xsi:type="xsd:double"&gt;15.6&lt;/D&gt;&lt;D xsi:type="xsd:double"&gt;15.6&lt;/D&gt;&lt;D xsi:type="xsd:double"&gt;15.6&lt;/D&gt;&lt;D xsi:type="xsd:double"&gt;15.6&lt;/D&gt;&lt;D xsi:type="xsd:double"&gt;15.6&lt;/D&gt;&lt;D xsi:type="xsd:double"&gt;16.5&lt;/D&gt;&lt;D xsi:type="xsd:double"&gt;16.5&lt;/D&gt;&lt;D xsi:type="xsd:double"&gt;16.5&lt;/D&gt;&lt;D xsi:type="xsd:double"&gt;16.5&lt;/D&gt;&lt;D xsi:type="x</t>
        </r>
      </text>
    </comment>
    <comment ref="A4" authorId="0" shapeId="0" xr:uid="{87DB93A5-7852-472B-B288-4DFE843427C2}">
      <text>
        <r>
          <rPr>
            <b/>
            <sz val="9"/>
            <color indexed="81"/>
            <rFont val="Tahoma"/>
            <charset val="1"/>
          </rPr>
          <t>sd:double"&gt;16.5&lt;/D&gt;&lt;D xsi:type="xsd:double"&gt;18.5&lt;/D&gt;&lt;D xsi:type="xsd:double"&gt;18.5&lt;/D&gt;&lt;D xsi:type="xsd:double"&gt;18.5&lt;/D&gt;&lt;D xsi:type="xsd:double"&gt;18.5&lt;/D&gt;&lt;D xsi:type="xsd:double"&gt;18.5&lt;/D&gt;&lt;D xsi:type="xsd:double"&gt;21.6&lt;/D&gt;&lt;D xsi:type="xsd:double"&gt;21.6&lt;/D&gt;&lt;D xsi:type="xsd:double"&gt;21.6&lt;/D&gt;&lt;D xsi:type="xsd:double"&gt;21.6&lt;/D&gt;&lt;D xsi:type="xsd:double"&gt;21.6&lt;/D&gt;&lt;D xsi:type="xsd:double"&gt;20.6&lt;/D&gt;&lt;D xsi:type="xsd:double"&gt;20.6&lt;/D&gt;&lt;D xsi:type="xsd:double"&gt;20.6&lt;/D&gt;&lt;D xsi:type="xsd:double"&gt;20.6&lt;/D&gt;&lt;D xsi:type="xsd:double"&gt;20.6&lt;/D&gt;&lt;D xsi:type="xsd:double"&gt;18.6&lt;/D&gt;&lt;D xsi:type="xsd:double"&gt;18.6&lt;/D&gt;&lt;D xsi:type="xsd:double"&gt;18.6&lt;/D&gt;&lt;D xsi:type="xsd:double"&gt;18.6&lt;/D&gt;&lt;D xsi:type="xsd:double"&gt;18.6&lt;/D&gt;&lt;D xsi:type="xsd:double"&gt;20.6&lt;/D&gt;&lt;D xsi:type="xsd:double"&gt;20.6&lt;/D&gt;&lt;D xsi:type="xsd:double"&gt;20.6&lt;/D&gt;&lt;D xsi:type="xsd:double"&gt;20.6&lt;/D&gt;&lt;D xsi:type="xsd:double"&gt;20.6&lt;/D&gt;&lt;D xsi:type="xsd:double"&gt;21.6&lt;/D&gt;&lt;D xsi:type="xsd:double"&gt;21.6&lt;/D&gt;&lt;D xsi:type="xsd:double"&gt;21.6&lt;/D&gt;&lt;D xsi:type="xsd:double"&gt;21.6&lt;/D&gt;&lt;D xsi:type="xsd:double"&gt;21.6&lt;/D&gt;&lt;D xsi:type="xsd:double"&gt;22.7&lt;/D&gt;&lt;D xsi:type="xsd:double"&gt;22.7&lt;/D&gt;&lt;D xsi:type="xsd:double"&gt;22.7&lt;/D&gt;&lt;D xsi:type="xsd:double"&gt;22.7&lt;/D&gt;&lt;D xsi:type="xsd:double"&gt;22.7&lt;/D&gt;&lt;D xsi:type="xsd:double"&gt;23.7&lt;/D&gt;&lt;D xsi:type="xsd:double"&gt;23.7&lt;/D&gt;&lt;D xsi:type="xsd:double"&gt;23.7&lt;/D&gt;&lt;D xsi:type="xsd:double"&gt;23.7&lt;/D&gt;&lt;D xsi:type="xsd:double"&gt;23.7&lt;/D&gt;&lt;D xsi:type="xsd:double"&gt;23.8&lt;/D&gt;&lt;D xsi:type="xsd:double"&gt;23.8&lt;/D&gt;&lt;D xsi:type="xsd:double"&gt;23.8&lt;/D&gt;&lt;D xsi:type="xsd:double"&gt;23.8&lt;/D&gt;&lt;D xsi:type="xsd:double"&gt;23.8&lt;/D&gt;&lt;D xsi:type="xsd:double"&gt;21.6&lt;/D&gt;&lt;D xsi:type="xsd:double"&gt;21.6&lt;/D&gt;&lt;D xsi:type="xsd:double"&gt;21.6&lt;/D&gt;&lt;D xsi:type="xsd:double"&gt;21.6&lt;/D&gt;&lt;D xsi:type="xsd:double"&gt;21.6&lt;/D&gt;&lt;D xsi:type="xsd:double"&gt;20.6&lt;/D&gt;&lt;D xsi:type="xsd:double"&gt;20.6&lt;/D&gt;&lt;D xsi:type="xsd:double"&gt;20.6&lt;/D&gt;&lt;D xsi:type="xsd:double"&gt;20.6&lt;/D&gt;&lt;D xsi:type="xsd:double"&gt;20.6&lt;/D&gt;&lt;D xsi:type="xsd:double"&gt;18.5&lt;/D&gt;&lt;D xsi:type="xsd:double"&gt;18.5&lt;/D&gt;&lt;D xsi:type="xsd:double"&gt;18.5&lt;/D&gt;&lt;D xsi:type="xsd:double"&gt;18.5&lt;/D&gt;&lt;D xsi:type="xsd:double"&gt;18.5&lt;/D&gt;&lt;D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xsi:type="xsd:double"&gt;19.8&lt;/D&gt;&lt;D xsi:type="xsd:double"&gt;19.8&lt;/D&gt;&lt;D xsi:type="xsd:double"&gt;19.8&lt;/D&gt;&lt;D xsi:type="xsd:double"&gt;19.8&lt;/D&gt;&lt;D xsi:type="xsd:double"&gt;19.8&lt;/D&gt;&lt;D xsi:type="xsd:double"&gt;22.9&lt;/D&gt;&lt;D xsi:type="xsd:double"&gt;22.9&lt;/D&gt;&lt;D xsi:type="xsd:double"&gt;22.9&lt;/D&gt;&lt;D xsi:type="xsd:double"&gt;22.9&lt;/D&gt;&lt;D xsi:type="xsd:double"&gt;22.9&lt;/D&gt;&lt;D xsi:type="xsd:double"&gt;20.8&lt;/D&gt;&lt;D xsi:type="xsd:double"&gt;20.8&lt;/D&gt;&lt;D xsi:type="xsd:double"&gt;20.8&lt;/D&gt;&lt;D xsi:type="xsd:double"&gt;20.8&lt;/D&gt;&lt;D xsi:type="xsd:double"&gt;20.8&lt;/D&gt;&lt;D xsi:type="xsd:double"&gt;25&lt;/D&gt;&lt;D xsi:type="xsd:double"&gt;25&lt;/D&gt;&lt;D xsi:type="xsd:double"&gt;25&lt;/D&gt;&lt;D xsi:type="xsd:double"&gt;25&lt;/D&gt;&lt;D xsi:type="xsd:double"&gt;25&lt;/D&gt;&lt;D xsi:type="xsd:double"&gt;21.9&lt;/D&gt;&lt;D xsi:type="xsd:double"&gt;21.9&lt;/D&gt;&lt;D xsi:type="xsd:double"&gt;21.9&lt;/D&gt;&lt;D xsi:type="xsd:double"&gt;21.9&lt;/D&gt;&lt;D xsi:type="xsd:double"&gt;21.9&lt;/D&gt;&lt;D xsi:type="xsd:double"&gt;22.9&lt;/D&gt;&lt;D xsi:type="xsd:double"&gt;22.9&lt;/D&gt;&lt;D xsi:type="xsd:double"&gt;22.9&lt;/D&gt;&lt;D xsi:type="xsd:double"&gt;22.9&lt;/D&gt;&lt;D xsi:type="xsd:double"&gt;22.9&lt;/D&gt;&lt;D xsi:type="xsd:double"&gt;20.8&lt;/D&gt;&lt;D xsi:type="xsd:double"&gt;20.8&lt;/D&gt;&lt;D xsi:type="xsd:double"&gt;20.8&lt;/D&gt;&lt;D xsi:type="xsd:double"&gt;20.8&lt;/D&gt;&lt;D xsi:type="xsd:double"&gt;20.8&lt;/D&gt;&lt;D xsi:type="xsd:double"&gt;19.8&lt;/D&gt;&lt;D xsi:type="xsd:double"&gt;19.8&lt;/D&gt;&lt;D xsi:type="xsd:double"&gt;19.8&lt;/D&gt;&lt;D xsi:type="xsd:double"&gt;19.8&lt;/D&gt;&lt;D xsi:type="xsd:double"&gt;19.8&lt;/D&gt;&lt;D xsi:type="xsd:double"&gt;18.8&lt;/D&gt;&lt;D xsi:type="xsd:double"&gt;18.8&lt;/D&gt;&lt;D xsi:type="xsd:double"&gt;18.8&lt;/D&gt;&lt;D xsi:type="xsd:double"&gt;18.8&lt;/D&gt;&lt;D xsi:type="xsd:double"&gt;18.8&lt;/D&gt;&lt;D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xsi:type="xsd:double"&gt;18.8&lt;/D&gt;&lt;D xsi:type="xsd:double"&gt;18.8&lt;/D&gt;&lt;D xsi:type="xsd:double"&gt;18.8&lt;/D&gt;&lt;D xsi:type="xsd:double"&gt;18.8&lt;/D&gt;&lt;D xsi:type="xsd:double"&gt;18.8&lt;/D&gt;&lt;D xsi:type="xsd:double"&gt;19.6&lt;/D&gt;&lt;D xsi:type="xsd:double"&gt;19.6&lt;/D&gt;&lt;D xsi:type="xsd:double"&gt;19.6&lt;/D&gt;&lt;D xsi:type="xsd:double"&gt;19.6&lt;/D&gt;&lt;D xsi:type="xsd:double"&gt;19.6&lt;/D&gt;&lt;D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xsi:type="xsd:double"&gt;19.4&lt;/D&gt;&lt;D xsi:type="xsd:double"&gt;19.4&lt;/D&gt;&lt;D xsi:type="xsd:double"&gt;19.4&lt;/D&gt;&lt;D xsi:type="xsd:double"&gt;19.4&lt;/D&gt;&lt;D xsi:type="xsd:double"&gt;19.4&lt;/D&gt;&lt;D xsi:type="xsd:double"&gt;19.6&lt;/D&gt;&lt;D xsi:type="xsd:double"&gt;19.6&lt;/D&gt;&lt;D xsi:type="xsd:double"&gt;19.6&lt;/D&gt;&lt;D xsi:type="xsd:double"&gt;19.6&lt;/D&gt;&lt;D xsi:type="xsd:double"&gt;19.6&lt;/D&gt;&lt;D xsi:type="xsd:double"&gt;18.6&lt;/D&gt;&lt;D xsi:type="xsd:double"&gt;18.6&lt;/D&gt;&lt;D xsi:type="xsd:double"&gt;18.6&lt;/D&gt;&lt;D xsi:type="xsd:double"&gt;18.6&lt;/D&gt;&lt;D xsi:type="xsd:double"&gt;18.6&lt;/D&gt;&lt;D xsi:type="xsd:double"&gt;18.8&lt;/D&gt;&lt;D xsi:type="xsd:double"&gt;18.8&lt;/D&gt;&lt;D xsi:type="xsd:double"&gt;18.8&lt;/D&gt;&lt;D xsi:type="xsd:double"&gt;18.8&lt;/D&gt;&lt;D xsi:type="xsd:double"&gt;18.8&lt;/D&gt;&lt;D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xsi:type="xsd:double"&gt;22.1&lt;/D&gt;&lt;D xsi:type="xsd:double"&gt;22.1&lt;/D&gt;&lt;D xsi:type="xsd:double"&gt;22.1&lt;/D&gt;&lt;D xsi:type="xsd:double"&gt;22.1&lt;/D&gt;&lt;D xsi:type="xsd:double"&gt;22.1&lt;/D&gt;&lt;D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xsi:type="xsd:double"&gt;23.4&lt;/D&gt;&lt;D xsi:type="xsd:double"&gt;23.4&lt;/D&gt;&lt;D xsi:type="xsd:double"&gt;23.4&lt;/D&gt;&lt;D xsi:type="xsd:double"&gt;23.4&lt;/D&gt;&lt;D xsi:type="xsd:double"&gt;23.4&lt;/D&gt;&lt;D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xsi:type="xsd:double"&gt;23.4&lt;/D&gt;&lt;D xsi:type="xsd:double"&gt;23.4&lt;/D&gt;&lt;D xsi:type="xsd:double"&gt;23.4&lt;/D&gt;&lt;D xsi:type="xsd:double"&gt;23.4&lt;/D&gt;&lt;D xsi:type="xsd:double"&gt;23.4&lt;/D&gt;&lt;D xsi:type="xsd:double"&gt;25.5&lt;/D&gt;&lt;D xsi:type="xsd:double"&gt;25.5&lt;/D&gt;&lt;D xsi:type="xsd:double"&gt;25.5&lt;/D&gt;&lt;D xsi:type="xsd:double"&gt;25.5&lt;/D&gt;&lt;D xsi:type="xsd:double"&gt;25.5&lt;/D&gt;&lt;D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xsi:type="xsd:double"&gt;28.7&lt;/D&gt;&lt;D xsi:type="xsd:double"&gt;28.7&lt;/D&gt;&lt;D xsi:type="xsd:double"&gt;28.7&lt;/D&gt;&lt;D xsi:type="xsd:double"&gt;28.7&lt;/D&gt;&lt;D xsi:type="xsd:double"&gt;28.7&lt;/D&gt;&lt;D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xsi:type="xsd:double"&gt;26.6&lt;/D&gt;&lt;D xsi:type="xsd:double"&gt;26.6&lt;/D&gt;&lt;D xsi:type="xsd:double"&gt;26.6&lt;/D&gt;&lt;D xsi:type="xsd:double"&gt;26.6&lt;/D&gt;&lt;D xsi:type="xsd:double"&gt;26.6&lt;/D&gt;&lt;D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xsi:type="xsd:double"&gt;25.5&lt;/D&gt;&lt;D xsi:type="xsd:double"&gt;25.5&lt;/D&gt;&lt;D xsi:type="xsd:double"&gt;25.5&lt;/D&gt;&lt;D xsi:type="xsd:double"&gt;25.5&lt;/D&gt;&lt;D xsi:type="xsd:double"&gt;25.5&lt;/D&gt;&lt;D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xsi:type="xsd:double"&gt;24.7&lt;/D&gt;&lt;D xsi:type="xsd:double"&gt;24.7&lt;/D&gt;&lt;D xsi:type="xsd:double"&gt;24.7&lt;/D&gt;&lt;D xsi:type="xsd:double"&gt;24.7&lt;/D&gt;&lt;D xsi:type="xsd:double"&gt;24.7&lt;/D&gt;&lt;D xsi:type="xsd:double"&gt;26.6&lt;/D&gt;&lt;D xsi:type="xsd:double"&gt;26.6&lt;/D&gt;&lt;D xsi:type="xsd:double"&gt;26.6&lt;/D&gt;&lt;D xsi:type="xsd:double"&gt;26.6&lt;/D&gt;&lt;D xsi:type="xsd:double"&gt;26.6&lt;/D&gt;&lt;D xsi:type="xsd:double"&gt;25.5&lt;/D&gt;&lt;D xsi:type="xsd:double"&gt;25.5&lt;/D&gt;&lt;D xsi:type="xsd:double"&gt;25.5&lt;/D&gt;&lt;D xsi:type="xsd:double"&gt;25.5&lt;/D&gt;&lt;D xsi:type="xsd:double"&gt;25.5&lt;/D&gt;&lt;D xsi:type="xsd:double"&gt;27.7&lt;/D&gt;&lt;D xsi:type="xsd:double"&gt;27.7&lt;/D&gt;&lt;D xsi:type="xsd:double"&gt;27.7&lt;/D&gt;&lt;D xsi:type="xsd:double"&gt;27.7&lt;/D&gt;&lt;D xsi:type="xsd:double"&gt;27.7&lt;/D&gt;&lt;D xsi:type="xsd:double"&gt;26.6&lt;/D&gt;&lt;D xsi:type="xsd:double"&gt;26.6&lt;/D&gt;&lt;D xsi:type="xsd:double"&gt;26.6&lt;/D&gt;&lt;D xsi:type="xsd:double"&gt;26.6&lt;/D&gt;&lt;D xsi:type="xsd:double"&gt;26.6&lt;/D&gt;&lt;D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xsi:type="xsd:double"&gt;24.7&lt;/D&gt;&lt;D xsi:type="xsd:double"&gt;24.7&lt;/D&gt;&lt;D xsi:type="xsd:double"&gt;24.7&lt;/D&gt;&lt;D xsi:type="xsd:double"&gt;24.7&lt;/D&gt;&lt;D xsi:type="xsd:double"&gt;24.7&lt;/D&gt;&lt;D xsi:type="xsd:double"&gt;25.6&lt;/D&gt;&lt;D xsi:type="xsd:double"&gt;25.6&lt;/D&gt;&lt;D xsi:type="xsd:double"&gt;25.6&lt;/D&gt;&lt;D xsi:type="xsd:double"&gt;25.6&lt;/D&gt;&lt;D xsi:type="xsd:double"&gt;25.6&lt;/D&gt;&lt;D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xsi:type="xsd:double"&gt;24.5&lt;/D&gt;&lt;D xsi:type="xsd:double"&gt;24.5&lt;/D&gt;&lt;D xsi:type="xsd:double"&gt;24.5&lt;/D&gt;&lt;D xsi:type="xsd:double"&gt;24.5&lt;/D&gt;&lt;D xsi:type="xsd:double"&gt;24.5&lt;/D&gt;&lt;D xsi:type="xsd:double"&gt;26.6&lt;/D&gt;&lt;D xsi:type="xsd:double"&gt;26.6&lt;/D&gt;&lt;D xsi:type="xsd:double"&gt;26.6&lt;/D&gt;&lt;D xsi:type="xsd:double"&gt;26.6&lt;/D&gt;&lt;D xsi:type="xsd:double"&gt;26.6&lt;/D&gt;&lt;D xsi:type="xsd:double"&gt;22.3&lt;/D&gt;&lt;D xsi:type="xsd:double"&gt;22.3&lt;/D&gt;&lt;D xsi:type="xsd:double"&gt;22.3&lt;/D&gt;&lt;D xsi:type="xsd:double"&gt;22.3&lt;/D&gt;&lt;D xsi:type="xsd:double"&gt;22.3&lt;/D&gt;&lt;D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xsi:type="xsd:double"&gt;22.6&lt;/D&gt;&lt;D xsi:type="xsd:double"&gt;22.6&lt;/D&gt;&lt;D xsi:type="xsd:double"&gt;22.6&lt;/D&gt;&lt;D xsi:type="xsd:double"&gt;22.6&lt;/D&gt;&lt;D xsi:type="xsd:double"&gt;22.6&lt;/D&gt;&lt;D xsi:type="xsd:double"&gt;23.6&lt;/D&gt;&lt;D xsi:type="xsd:double"&gt;23.6&lt;/D&gt;&lt;D xsi:type="xsd:double"&gt;23.6&lt;/D&gt;&lt;D xsi:type="xsd:double"&gt;23.6&lt;/D&gt;&lt;D xsi:type="xsd:double"&gt;23.6&lt;/D&gt;&lt;D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xsi:type="xsd:double"&gt;25.5&lt;/D&gt;&lt;D xsi:type="xsd:double"&gt;25.5&lt;/D&gt;&lt;D xsi:type="xsd:double"&gt;25.5&lt;/D&gt;&lt;D xsi:type="xsd:double"&gt;25.5&lt;/D&gt;&lt;D xsi:type="xsd:double"&gt;25.5&lt;/D&gt;&lt;D xsi:type="xsd:double"&gt;26.6&lt;/D&gt;&lt;D xsi:type="xsd:double"&gt;26.6&lt;/D&gt;&lt;D xsi:type="xsd:double"&gt;26.6&lt;/D&gt;&lt;D xsi:type="xsd:double"&gt;26.6&lt;/D&gt;&lt;D xsi:type="xsd:double"&gt;26.6&lt;/D&gt;&lt;D xsi:type="xsd:double"&gt;25.8&lt;/D&gt;&lt;D xsi:type="xsd:double"&gt;25.8&lt;/D&gt;&lt;D xsi:type="xsd:double"&gt;25.8&lt;/D&gt;&lt;D xsi:type="xsd:double"&gt;25.8&lt;/D&gt;&lt;D xsi:type="xsd:double"&gt;25.8&lt;/D&gt;&lt;D xsi:type="xsd:double"&gt;28.7&lt;/D&gt;&lt;D xsi:type="xsd:double"&gt;28.7&lt;/D&gt;&lt;D xsi:type="xsd:double"&gt;28.7&lt;/D&gt;&lt;D xsi:type="xsd:double"&gt;28.7&lt;/D&gt;&lt;D xsi:type="xsd:double"&gt;28.7&lt;/D&gt;&lt;D xsi:type="xsd:double"&gt;29.8&lt;/D&gt;&lt;D xsi:type="xsd:double"&gt;29.8&lt;/D&gt;&lt;D xsi:type="xsd:double"&gt;29.8&lt;/D&gt;&lt;D xsi:type="xsd:double"&gt;29.8&lt;/D&gt;&lt;D xsi:type="xsd:double"&gt;29.8&lt;/D&gt;&lt;D xsi:type="xsd:double"&gt;28.7&lt;/D&gt;&lt;D xsi:type="xsd:double"&gt;28.7&lt;/D&gt;&lt;D xsi:type="xsd:double"&gt;28.7&lt;/D&gt;&lt;D xsi:type="xsd:double"&gt;28.7&lt;/D&gt;&lt;D xsi:type="xsd:double"&gt;28.7&lt;/D&gt;&lt;D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xsi:type="xsd:double"&gt;30.5&lt;/D&gt;&lt;D xsi:type="xsd:double"&gt;30.5&lt;/D&gt;&lt;D xsi:type="xsd:double"&gt;30.5&lt;/D&gt;&lt;D xsi:type="xsd:double"&gt;30.5&lt;/D&gt;&lt;D xsi:type="xsd:double"&gt;30.5&lt;/D&gt;&lt;D xsi:type="xsd:double"&gt;29.5&lt;/D&gt;&lt;D xsi:type="xsd:double"&gt;29.5&lt;/D&gt;&lt;D xsi:type="xsd:double"&gt;29.5&lt;/D&gt;&lt;D xsi:type="xsd:double"&gt;29.5&lt;/D&gt;&lt;D xsi:type="xsd:double"&gt;29.5&lt;/D&gt;&lt;D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xsi:type="xsd:double"&gt;29.5&lt;/D&gt;&lt;D xsi:type="xsd:double"&gt;29.5&lt;/D&gt;&lt;D xsi:type="xsd:double"&gt;29.5&lt;/D&gt;&lt;D xsi:type="xsd:double"&gt;29.5&lt;/D&gt;&lt;D xsi:type="xsd:double"&gt;29.5&lt;/D&gt;&lt;D xsi:type="xsd:double"&gt;30.5&lt;/D&gt;&lt;D xsi:type="xsd:double"&gt;30.5&lt;/D&gt;&lt;D xsi:type="xsd:double"&gt;30.5&lt;/D&gt;&lt;D xsi:type="xsd:double"&gt;30.5&lt;/D&gt;&lt;D xsi:type="xsd:double"&gt;30.5&lt;/D&gt;&lt;D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xsi:type="xsd:double"&gt;34.7&lt;/D&gt;&lt;D xsi:type="xsd:double"&gt;34.7&lt;/D&gt;&lt;D xsi:type="xsd:double"&gt;34.7&lt;/D&gt;&lt;D xsi:type="xsd:double"&gt;34.7&lt;/D&gt;&lt;D xsi:type="xsd:double"&gt;34.7&lt;/D&gt;&lt;D xsi:type="xsd:double"&gt;36.8&lt;/D&gt;&lt;D xsi:type="xsd:double"&gt;36.8&lt;/D&gt;&lt;D xsi:type="xsd:double"&gt;36.8&lt;/D&gt;&lt;D xsi:type="xsd:double"&gt;36.8&lt;/D&gt;&lt;D xsi:type="xsd:double"&gt;36.8&lt;/D&gt;&lt;D xsi:type="xsd:double"&gt;37.9&lt;/D&gt;&lt;D xsi:type="xsd:double"&gt;37.9&lt;/D&gt;&lt;D xsi:type="xsd:double"&gt;37.9&lt;/D&gt;&lt;D xsi:type="xsd:double"&gt;37.9&lt;/D&gt;&lt;D xsi:type="xsd:double"&gt;37.9&lt;/D&gt;&lt;D xsi:type="xsd:double"&gt;41&lt;/D&gt;&lt;D xsi:type="xsd:double"&gt;41&lt;/D&gt;&lt;D xsi:type="xsd:double"&gt;41&lt;/D&gt;&lt;D xsi:type="xsd:double"&gt;41&lt;/D&gt;&lt;D xsi:type="xsd:double"&gt;41&lt;/D&gt;&lt;D xsi:type="xsd:double"&gt;46.3&lt;/D&gt;&lt;D xsi:type="xsd:double"&gt;46.3&lt;/D&gt;&lt;D xsi:type="xsd:double"&gt;46.3&lt;/D&gt;&lt;D xsi:type="xsd:double"&gt;46.3&lt;/D&gt;&lt;D xsi:type="xsd:double"&gt;46.3&lt;/D&gt;&lt;D xsi:type="xsd:double"&gt;45.2&lt;/D&gt;&lt;D xsi:type="xsd:double"&gt;45.2&lt;/D&gt;&lt;D xsi:type="xsd:double"&gt;45.2&lt;/D&gt;&lt;D xsi:type="xsd:double"&gt;45.2&lt;/D&gt;&lt;D xsi:type="xsd:double"&gt;45.2&lt;/D&gt;&lt;D xsi:type="xsd:double"&gt;40.9&lt;/D&gt;&lt;D xsi:type="xsd:double"&gt;40.9&lt;/D&gt;&lt;D xsi:type="xsd:double"&gt;40.9&lt;/D&gt;&lt;D xsi:type="xsd:double"&gt;40.9&lt;/D&gt;&lt;D xsi:type="xsd:double"&gt;40.9&lt;/D&gt;&lt;D xsi:type="xsd:double"&gt;39.8&lt;/D&gt;&lt;D xsi:type="xsd:double"&gt;39.8&lt;/D&gt;&lt;D xsi:type="xsd:double"&gt;39.8&lt;/D&gt;&lt;D xsi:type="xsd:double"&gt;39.8&lt;/D&gt;&lt;D xsi:type="xsd:double"&gt;39.8&lt;/D&gt;&lt;D xsi:type="xsd:double"&gt;40.9&lt;/D&gt;&lt;D xsi:type="xsd:double"&gt;40.9&lt;/D&gt;&lt;D xsi:type="xsd:double"&gt;40.9&lt;/D&gt;&lt;D xsi:type="xsd:double"&gt;40.9&lt;/D&gt;&lt;D xsi:type="xsd:double"&gt;40.9&lt;/D&gt;&lt;D xsi:type="xsd:double"&gt;37.6&lt;/D&gt;&lt;D xsi:type="xsd:double"&gt;37.6&lt;/D&gt;&lt;D xsi:type="xsd:double"&gt;37.6&lt;/D&gt;&lt;D xsi:type="xsd:double"&gt;37.6&lt;/D&gt;&lt;D xsi:type="xsd:double"&gt;37.6&lt;/D&gt;&lt;D xsi:type="xsd:double"&gt;36.6&lt;/D&gt;&lt;D xsi:type="xsd:double"&gt;36.6&lt;/D&gt;&lt;D xsi:type="xsd:double"&gt;36.6&lt;/D&gt;&lt;D xsi:type="xsd:double"&gt;36.6&lt;/D&gt;&lt;D xsi:type="xsd:double"&gt;36.6&lt;/D&gt;&lt;D xsi:type="xsd:double"&gt;33.3&lt;/D&gt;&lt;D xsi:type="xsd:double"&gt;33.3&lt;/D&gt;&lt;D xsi:type="xsd:double"&gt;33.3&lt;/D&gt;&lt;D xsi:type="xsd:double"&gt;33.3&lt;/D&gt;&lt;D xsi:type="xsd:double"&gt;33.3&lt;/D&gt;&lt;D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xsi:type="xsd:double"&gt;24.7&lt;/D&gt;&lt;D xsi:type="xsd:double"&gt;24.7&lt;/D&gt;&lt;D xsi:type="xsd:double"&gt;24.7&lt;/D&gt;&lt;D xsi:type="xsd:double"&gt;24.7&lt;/D&gt;&lt;D xsi:type="xsd:double"&gt;24.7&lt;/D&gt;&lt;D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xsi:type="xsd:double"&gt;22.6&lt;/D&gt;&lt;D xsi:type="xsd:double"&gt;22.6&lt;/D&gt;&lt;D xsi:type="xsd:double"&gt;22.6&lt;/D&gt;&lt;D xsi:type="xsd:double"&gt;22.6&lt;/D&gt;&lt;D xsi:type="xsd:double"&gt;22.6&lt;/D&gt;&lt;D xsi:type="xsd:double"&gt;24.7&lt;/D&gt;&lt;D xsi:type="xsd:double"&gt;24.7&lt;/D&gt;&lt;D xsi:type="xsd:double"&gt;24.7&lt;/D&gt;&lt;D xsi:type="xsd:double"&gt;24.7&lt;/D&gt;&lt;D xsi:type="xsd:double"&gt;24.7&lt;/D&gt;&lt;D xsi:type="xsd:double"&gt;26.9&lt;/D&gt;&lt;D xsi:type="xsd:double"&gt;26.9&lt;/D&gt;&lt;D xsi:type="xsd:double"&gt;26.9&lt;/D&gt;&lt;D xsi:type="xsd:double"&gt;26.9&lt;/D&gt;&lt;D xsi:type="xsd:double"&gt;26.9&lt;/D&gt;&lt;D xsi:type="xsd:double"&gt;28&lt;/D&gt;&lt;D xsi:type="xsd:double"&gt;28&lt;/D&gt;&lt;D xsi:type="xsd:double"&gt;28&lt;/D&gt;&lt;D xsi:type="xsd:double"&gt;28&lt;/D&gt;&lt;D xsi:type="xsd:double"&gt;28&lt;/D&gt;&lt;D xsi:type="xsd:double"&gt;26&lt;/D&gt;&lt;D xsi:type="xsd:double"&gt;26&lt;/D&gt;&lt;D xsi:type="xsd:double"&gt;26&lt;/D&gt;&lt;D xsi:type="xsd:double"&gt;26&lt;/D&gt;&lt;D xsi:type="xsd:double"&gt;26&lt;/D&gt;&lt;D xsi:type="xsd:double"&gt;22.6&lt;/D&gt;&lt;D xsi:type="xsd:double"&gt;22.6&lt;/D&gt;&lt;D xsi:type="xsd:double"&gt;22.6&lt;/D&gt;&lt;D xsi:type="xsd:double"&gt;22.6&lt;/D&gt;&lt;D xsi:type="xsd:double"&gt;22.6&lt;/D&gt;&lt;D xsi:type="xsd:double"&gt;20.4&lt;/D&gt;&lt;D xsi:type="xsd:double"&gt;20.4&lt;/D&gt;&lt;D xsi:type="xsd:double"&gt;20.4&lt;/D&gt;&lt;D xsi:type="xsd:double"&gt;20.4&lt;/D&gt;&lt;D xsi:type="xsd:double"&gt;20.4&lt;/D&gt;&lt;D xsi:type="xsd:double"&gt;19.4&lt;/D&gt;&lt;D xsi:type="xsd:double"&gt;19.4&lt;/D&gt;&lt;D xsi:type="xsd:double"&gt;19.4&lt;/D&gt;&lt;D xsi:type="xsd:double"&gt;19.4&lt;/D&gt;&lt;D xsi:type="xsd:double"&gt;19.4&lt;/D&gt;&lt;D xsi:type="xsd:double"&gt;19.6&lt;/D&gt;&lt;D xsi:type="xsd:double"&gt;19.6&lt;/D&gt;&lt;D xsi:type="xsd:double"&gt;19.6&lt;/D&gt;&lt;D xsi:type="xsd:double"&gt;19.6&lt;/D&gt;&lt;D xsi:type="xsd:double"&gt;19.6&lt;/D&gt;&lt;D xsi:type="xsd:double"&gt;18.5&lt;/D&gt;&lt;D xsi:type="xsd:double"&gt;18.5&lt;/D&gt;&lt;D xsi:type="xsd:double"&gt;18.5&lt;/D&gt;&lt;D xsi:type="xsd:double"&gt;18.5&lt;/D&gt;&lt;D xsi:type="xsd:double"&gt;18.5&lt;/D&gt;&lt;D xsi:type="xsd:double"&gt;16.5&lt;/D&gt;&lt;D xsi:type="xsd:double"&gt;16.5&lt;/D&gt;&lt;D xsi:type="xsd:double"&gt;16.5&lt;/D&gt;&lt;D xsi:type="xsd:double"&gt;16.5&lt;/D&gt;&lt;D xsi:type="xsd:double"&gt;16.5&lt;/D&gt;&lt;D xsi:type="xsd:double"&gt;18.5&lt;/D&gt;&lt;D xsi:type="xsd:double"&gt;18.5&lt;/D&gt;&lt;D xsi:type="xsd:double"&gt;18.5&lt;/D&gt;&lt;D xsi:type="xsd:double"&gt;18.5&lt;/D&gt;&lt;D xsi:type="xsd:double"&gt;18.5&lt;/D&gt;&lt;D xsi:type="xsd:double"&gt;19.2&lt;/D&gt;&lt;D xsi:type="xsd:double"&gt;19.2&lt;/D&gt;&lt;D xsi:type="xsd:double"&gt;19.2&lt;/D&gt;&lt;D xsi:type="xsd:double"&gt;19.2&lt;/D&gt;&lt;D xsi:type="xsd:double"&gt;19.2&lt;/D&gt;&lt;D xsi:type="xsd:double"&gt;16.3&lt;/D&gt;&lt;D xsi:type="xsd:double"&gt;16.3&lt;/D&gt;&lt;D xsi:type="xsd:double"&gt;16.3&lt;/D&gt;&lt;D xsi:type="xsd:double"&gt;16.3&lt;/D&gt;&lt;D xsi:type="xsd:double"&gt;16.3&lt;/D&gt;&lt;D xsi:type="xsd:double"&gt;15.7&lt;/D&gt;&lt;D xsi:type="xsd:double"&gt;15.7&lt;/D&gt;&lt;D xsi:type="xsd:double"&gt;15.7&lt;/D&gt;&lt;D xsi:type="xsd:double"&gt;15.7&lt;/D&gt;&lt;D xsi:type="xsd:double"&gt;15.7&lt;/D&gt;&lt;D xsi:type="xsd:double"&gt;23.1&lt;/D&gt;&lt;D xsi:type="xsd:double"&gt;23.1&lt;/D&gt;&lt;D xsi:type="xsd:double"&gt;23.1&lt;/D&gt;&lt;D xsi:type="xsd:double"&gt;23.1&lt;/D&gt;&lt;D xsi:type="xsd:double"&gt;23.1&lt;/D&gt;&lt;D xsi:type="xsd:double"&gt;22.4&lt;/D&gt;&lt;D xsi:type="xsd:double"&gt;22.4&lt;/D&gt;&lt;D xsi:type="xsd:double"&gt;22.4&lt;/D&gt;&lt;D xsi:type="xsd:double"&gt;22.4&lt;/D&gt;&lt;D xsi:type="xsd:double"&gt;22.4&lt;/D&gt;&lt;D xsi:type="xsd:double"&gt;22.3&lt;/D&gt;&lt;D xsi:type="xsd:double"&gt;22.3&lt;/D&gt;&lt;D xsi:type="xsd:double"&gt;22.3&lt;/D&gt;&lt;D xsi:type="xsd:double"&gt;22.3&lt;/D&gt;&lt;D xsi:type="xsd:double"&gt;22.3&lt;/D&gt;&lt;D xsi:type="xsd:double"&gt;21.1&lt;/D&gt;&lt;D xsi:type="xsd:double"&gt;21.1&lt;/D&gt;&lt;D xsi:type="xsd:double"&gt;21.1&lt;/D&gt;&lt;D xsi:type="xsd:double"&gt;21.1&lt;/D&gt;&lt;D xsi:type="xsd:double"&gt;21.1&lt;/D&gt;&lt;D xsi:type="xsd:double"&gt;19.5&lt;/D&gt;&lt;D xsi:type="xsd:double"&gt;19.5&lt;/D&gt;&lt;D xsi:type="xsd:double"&gt;19.5&lt;/D&gt;&lt;D xsi:type="xsd:double"&gt;19.5&lt;/D&gt;&lt;D xsi:type="xsd:double"&gt;19.5&lt;/D&gt;&lt;D xsi:type="xsd:double"&gt;18.9&lt;/D&gt;&lt;D xsi:type="xsd:double"&gt;18.9&lt;/D&gt;&lt;D xsi:type="xsd:double"&gt;18.9&lt;/D&gt;&lt;D xsi:type="xsd:double"&gt;18.9&lt;/D&gt;&lt;D xsi:type="xsd:double"&gt;18.9&lt;/D&gt;&lt;D xsi:type="xsd:double"&gt;19.6&lt;/D&gt;&lt;D xsi:type="xsd:double"&gt;19.6&lt;/D&gt;&lt;D xsi:type="xsd:double"&gt;19.6&lt;/D&gt;&lt;D xsi:type="xsd:double"&gt;19.6&lt;/D&gt;&lt;D xsi:type="xsd:double"&gt;19.6&lt;/D&gt;&lt;D xsi:type="xsd:double"&gt;23.3&lt;/D&gt;&lt;D xsi:type="xsd:double"&gt;23.3&lt;/D&gt;&lt;D xsi:type="xsd:double"&gt;23.3&lt;/D&gt;&lt;D xsi:type="xsd:double"&gt;23.3&lt;/D&gt;&lt;D xsi:type="xsd:double"&gt;23.3&lt;/D&gt;&lt;D xsi:type="xsd:double"&gt;22&lt;/D&gt;&lt;D xsi:type="xsd:double"&gt;22&lt;/D&gt;&lt;D xsi:type="xsd:double"&gt;22&lt;/D&gt;&lt;D xsi:type="xsd:double"&gt;22&lt;/D&gt;&lt;D xsi:type="xsd:double"&gt;22&lt;/D&gt;&lt;D xsi:type="xsd:double"&gt;19.1&lt;/D&gt;&lt;D xsi:type="xsd:double"&gt;19.1&lt;/D&gt;&lt;D xsi:type="xsd:double"&gt;19.1&lt;/D&gt;&lt;D xsi:type="xsd:double"&gt;19.1&lt;/D&gt;&lt;D xsi:type="xsd:double"&gt;19.1&lt;/D&gt;&lt;D xsi:type="xsd:double"&gt;20.9&lt;/D&gt;&lt;D xsi:type="xsd:double"&gt;20.9&lt;/D&gt;&lt;D xsi:type="xsd:double"&gt;20.9&lt;/D&gt;&lt;D xsi:type="xsd:double"&gt;20.9&lt;/D&gt;&lt;D xsi:type="xsd:double"&gt;20.9&lt;/D&gt;&lt;D xsi:type="xsd:double"&gt;19.1&lt;/D&gt;&lt;D xsi:type="xsd:double"&gt;19.1&lt;/D&gt;&lt;D xsi:type="xsd:double"&gt;19.1&lt;/D&gt;&lt;D xsi:type="xsd:double"&gt;19.1&lt;/D&gt;&lt;D xsi:type="xsd:double"&gt;19.1&lt;/D&gt;&lt;D xsi:type="xsd:double"&gt;20.5&lt;/D&gt;&lt;D xsi:type="xsd:double"&gt;20.5&lt;/D&gt;&lt;D xsi:type="xsd:double"&gt;20.5&lt;/D&gt;&lt;D xsi:type="xsd:double"&gt;20.5&lt;/D&gt;&lt;D xsi:type="xsd:double"&gt;20.5&lt;/D&gt;&lt;D xsi:type="xsd:double"&gt;20&lt;/D&gt;&lt;D xsi:type="xsd:double"&gt;20&lt;/D&gt;&lt;D xsi:type="xsd:double"&gt;20&lt;/D&gt;&lt;D xsi:type="xsd:double"&gt;20&lt;/D&gt;&lt;D xsi:type="xsd:double"&gt;20&lt;/D&gt;&lt;D xsi:type="xsd:double"&gt;20.6&lt;/D&gt;&lt;D xsi:type="xsd:double"&gt;20.6&lt;/D&gt;&lt;D xsi:type="xsd:double"&gt;20.6&lt;/D&gt;&lt;D xsi:type="xsd:double"&gt;20.6&lt;/D&gt;&lt;D xsi:type="xsd:double"&gt;20.6&lt;/D&gt;&lt;D xsi:type="xsd:double"&gt;20.5&lt;/D&gt;&lt;D xsi:type="xsd:double"&gt;20.5&lt;/D&gt;&lt;D xsi:type="xsd:double"&gt;20.5&lt;/D&gt;&lt;D xsi:type="xsd:double"&gt;20.5&lt;/D&gt;&lt;D xsi:type="xsd:double"&gt;20.5&lt;/D&gt;&lt;D xsi:type="xsd:double"&gt;21.3&lt;/D&gt;&lt;D xsi:type="xsd:double"&gt;21.3&lt;/D&gt;&lt;D xsi:type="xsd:double"&gt;21.3&lt;/D&gt;&lt;D xsi:type="xsd:double"&gt;21.3&lt;/D&gt;&lt;D xsi:type="xsd:double"&gt;21.3&lt;/D&gt;&lt;D xsi:type="xsd:double"&gt;21.8&lt;/D&gt;&lt;D xsi:type="xsd:double"&gt;21.8&lt;/D&gt;&lt;D xsi:type="xsd:double"&gt;21.8&lt;/D&gt;&lt;D xsi:type="xsd:double"&gt;21.8&lt;/D&gt;&lt;D xsi:type="xsd:double"&gt;21.8&lt;/D&gt;&lt;D xsi:type="xsd:double"&gt;21.6&lt;/D&gt;&lt;D xsi:type="xsd:double"&gt;21.6&lt;/D&gt;&lt;D xsi:type="xsd:double"&gt;21.6&lt;/D&gt;&lt;D xsi:type="xsd:double"&gt;21.6&lt;/D&gt;&lt;D xsi:type="xsd:double"&gt;21.6&lt;/D&gt;&lt;D xsi:type="xsd:double"&gt;20.2&lt;/D&gt;&lt;D xsi:type="xsd:double"&gt;20.2&lt;/D&gt;&lt;D xsi:type="xsd:double"&gt;20.2&lt;/D&gt;&lt;D xsi:type="xsd:double"&gt;20.2&lt;/D&gt;&lt;D xsi:type="xsd:double"&gt;20.2&lt;/D&gt;&lt;D xsi:type="xsd:double"&gt;23.1&lt;/D&gt;&lt;D xsi:type="xsd:double"&gt;23.1&lt;/D&gt;&lt;D xsi:type="xsd:double"&gt;23.1&lt;/D&gt;&lt;D xsi:type="xsd:double"&gt;23.1&lt;/D&gt;&lt;D xsi:type="xsd:double"&gt;23.1&lt;/D&gt;&lt;D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xsi:type="xsd:double"&gt;22&lt;/D&gt;&lt;D xsi:type="xsd:double"&gt;22&lt;/D&gt;&lt;D xsi:type="xsd:double"&gt;22&lt;/D&gt;&lt;D xsi:type="xsd:double"&gt;22&lt;/D&gt;&lt;D xsi:type="xsd:double"&gt;22&lt;/D&gt;&lt;D xsi:type="xsd:double"&gt;24.7&lt;/D&gt;&lt;D xsi:type="xsd:double"&gt;24.7&lt;/D&gt;&lt;D xsi:type="xsd:double"&gt;24.7&lt;/D&gt;&lt;D xsi:type="xsd:double"&gt;24.7&lt;/D&gt;&lt;D xsi:type="xsd:double"&gt;24.7&lt;/D&gt;&lt;D xsi:type="xsd:double"&gt;28.3&lt;/D&gt;&lt;D xsi:type="xsd:double"&gt;28.3&lt;/D&gt;&lt;D xsi:type="xsd:double"&gt;28.3&lt;/D&gt;&lt;D xsi:type="xsd:double"&gt;28.3&lt;/D&gt;&lt;D xsi:type="xsd:double"&gt;28.3&lt;/D&gt;&lt;D xsi:type="xsd:double"&gt;27.8&lt;/D&gt;&lt;D xsi:type="xsd:double"&gt;27.8&lt;/D&gt;&lt;D xsi:type="xsd:double"&gt;27.8&lt;/D&gt;&lt;D xsi:type="xsd:double"&gt;27.8&lt;/D&gt;&lt;D xsi:type="xsd:double"&gt;27.8&lt;/D&gt;&lt;D xsi:type="xsd:double"&gt;29.3&lt;/D&gt;&lt;D xsi:type="xsd:double"&gt;29.3&lt;/D&gt;&lt;D xsi:type="xsd:double"&gt;29.3&lt;/D&gt;&lt;D xsi:type="xsd:double"&gt;29.3&lt;/D&gt;&lt;D xsi:type="xsd:double"&gt;29.3&lt;/D&gt;&lt;D xsi:type="xsd:double"&gt;31.1&lt;/D&gt;&lt;D xsi:type="xsd:double"&gt;31.1&lt;/D&gt;&lt;D xsi:type="xsd:double"&gt;31.1&lt;/D&gt;&lt;D xsi:type="xsd:double"&gt;31.1&lt;/D&gt;&lt;D xsi:type="xsd:double"&gt;31.1&lt;/D&gt;&lt;D xsi:type="xsd:double"&gt;32.2&lt;/D&gt;&lt;D xsi:type="xsd:double"&gt;32.2&lt;/D&gt;&lt;D xsi:type="xsd:double"&gt;32.2&lt;/D&gt;&lt;D xsi:type="xsd:double"&gt;32.2&lt;/D&gt;&lt;D xsi:type="xsd:double"&gt;32.2&lt;/D&gt;&lt;D xsi:type="xsd:double"&gt;37.7&lt;/D&gt;&lt;D xsi:type="xsd:double"&gt;37.7&lt;/D&gt;&lt;D xsi:type="xsd:double"&gt;37.7&lt;/D&gt;&lt;D xsi:type="xsd:double"&gt;37.7&lt;/D&gt;&lt;D xsi:type="xsd:double"&gt;37.7&lt;/D&gt;&lt;D xsi:type="xsd:double"&gt;31.2&lt;/D&gt;&lt;D xsi:type="xsd:double"&gt;31.2&lt;/D&gt;&lt;D xsi:type="xsd:double"&gt;31.2&lt;/D&gt;&lt;D xsi:type="xsd:double"&gt;31.2&lt;/D&gt;&lt;D xsi:type="xsd:double"&gt;31.2&lt;/D&gt;&lt;D xsi:type="xsd:double"&gt;31.1&lt;/D&gt;&lt;D xsi:type="xsd:double"&gt;31.1&lt;/D&gt;&lt;D xsi:type="xsd:double"&gt;31.1&lt;/D&gt;&lt;D xsi:type="xsd:double"&gt;31.1&lt;/D&gt;&lt;D xsi:type="xsd:double"&gt;31.1&lt;/D&gt;&lt;D xsi:type="xsd:double"&gt;27.5&lt;/D&gt;&lt;D xsi:type="xsd:double"&gt;27.5&lt;/D&gt;&lt;D xsi:type="xsd:double"&gt;27.5&lt;/D&gt;&lt;D xsi:type="xsd:double"&gt;27.5&lt;/D&gt;&lt;D xsi:type="xsd:double"&gt;27.5&lt;/D&gt;&lt;D xsi:type="xsd:double"&gt;33.3&lt;/D&gt;&lt;D xsi:type="xsd:double"&gt;33.3&lt;/D&gt;&lt;D xsi:type="xsd:double"&gt;33.3&lt;/D&gt;&lt;D xsi:type="xsd:double"&gt;33.3&lt;/D&gt;&lt;D xsi:type="xsd:double"&gt;33.3&lt;/D&gt;&lt;D xsi:type="xsd:double"&gt;34.9&lt;/D&gt;&lt;D xsi:type="xsd:double"&gt;34.9&lt;/D&gt;&lt;D xsi:type="xsd:double"&gt;34.9&lt;/D&gt;&lt;D xsi:type="xsd:double"&gt;34.9&lt;/D&gt;&lt;D xsi:type="xsd:double"&gt;34.9&lt;/D&gt;&lt;D xsi:type="xsd:double"&gt;35.6&lt;/D&gt;&lt;D xsi:type="xsd:double"&gt;35.6&lt;/D&gt;&lt;D xsi:type="xsd:double"&gt;35.6&lt;/D&gt;&lt;D xsi:type="xsd:double"&gt;35.6&lt;/D&gt;&lt;D xsi:type="xsd:double"&gt;35.6&lt;/D&gt;&lt;D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xsi:type="xsd:double"&gt;33.3&lt;/D&gt;&lt;D xsi:type="xsd:double"&gt;33.3&lt;/D&gt;&lt;D xsi:type="xsd:double"&gt;33.3&lt;/D&gt;&lt;D xsi:type="xsd:double"&gt;33.3&lt;/D&gt;&lt;D xsi:type="xsd:double"&gt;33.3&lt;/D&gt;&lt;D xsi:type="xsd:double"&gt;31.1&lt;/D&gt;&lt;D xsi:type="xsd:double"&gt;31.1&lt;/D&gt;&lt;D xsi:type="xsd:double"&gt;31.1&lt;/D&gt;&lt;D xsi:type="xsd:double"&gt;31.1&lt;/D&gt;&lt;D xsi:type="xsd:double"&gt;31.1&lt;/D&gt;&lt;D xsi:type="xsd:double"&gt;32.6&lt;/D&gt;&lt;D xsi:type="xsd:double"&gt;32.6&lt;/D&gt;&lt;D xsi:type="xsd:double"&gt;32.6&lt;/D&gt;&lt;D xsi:type="xsd:double"&gt;32.6&lt;/D&gt;&lt;D xsi:type="xsd:double"&gt;32.6&lt;/D&gt;&lt;D xsi:type="xsd:double"&gt;31.9&lt;/D&gt;&lt;D xsi:type="xsd:double"&gt;31.9&lt;/D&gt;&lt;D xsi:type="xsd:double"&gt;31.9&lt;/D&gt;&lt;D xsi:type="xsd:double"&gt;31.9&lt;/D&gt;&lt;D xsi:type="xsd:double"&gt;31.9&lt;/D&gt;&lt;D xsi:type="xsd:double"&gt;28.4&lt;/D&gt;&lt;D xsi:type="xsd:double"&gt;28.4&lt;/D&gt;&lt;D xsi:type="xsd:double"&gt;28.4&lt;/D&gt;&lt;D xsi:type="xsd:double"&gt;28.4&lt;/D&gt;&lt;D xsi:type="xsd:double"&gt;28.4&lt;/D&gt;&lt;D xsi:type="xsd:double"&gt;29.2&lt;/D&gt;&lt;D xsi:type="xsd:double"&gt;29.2&lt;/D&gt;&lt;D xsi:type="xsd:double"&gt;29.2&lt;/D&gt;&lt;D xsi:type="xsd:double"&gt;29.2&lt;/D&gt;&lt;D xsi:type="xsd:double"&gt;29.2&lt;/D&gt;&lt;D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xsi:type="xsd:double"&gt;18.7&lt;/D&gt;&lt;D xsi:type="xsd:double"&gt;18.7&lt;/D&gt;&lt;D xsi:type="xsd:double"&gt;18.7&lt;/D&gt;&lt;D xsi:type="xsd:double"&gt;18.7&lt;/D&gt;&lt;D xsi:type="xsd:double"&gt;18.7&lt;/D&gt;&lt;D xsi:type="xsd:double"&gt;18&lt;/D&gt;&lt;D xsi:type="xsd:double"&gt;18&lt;/D&gt;&lt;D xsi:type="xsd:double"&gt;18&lt;/D&gt;&lt;D xsi:type="xsd:double"&gt;18&lt;/D&gt;&lt;D xsi:type="xsd:double"&gt;18&lt;/D&gt;&lt;D xsi:type="xsd:double"&gt;17.4&lt;/D&gt;&lt;D xsi:type="xsd:double"&gt;17.4&lt;/D&gt;&lt;D xsi:type="xsd:double"&gt;17.4&lt;/D&gt;&lt;D xsi:type="xsd:double"&gt;17.4&lt;/D&gt;&lt;D xsi:type="xsd:double"&gt;17.4&lt;/D&gt;&lt;D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xsi:type="xsd:double"&gt;19.1&lt;/D&gt;&lt;D xsi:type="xsd:double"&gt;19.1&lt;/D&gt;&lt;D xsi:type="xsd:double"&gt;19.1&lt;/D&gt;&lt;D xsi:type="xsd:double"&gt;19.1&lt;/D&gt;&lt;D xsi:type="xsd:double"&gt;19.1&lt;/D&gt;&lt;D xsi:type="xsd:double"&gt;20.5&lt;/D&gt;&lt;D xsi:type="xsd:double"&gt;20.5&lt;/D&gt;&lt;D xsi:type="xsd:double"&gt;20.5&lt;/D&gt;&lt;D xsi:type="xsd:double"&gt;20.5&lt;/D&gt;&lt;D xsi:type="xsd:double"&gt;20.5&lt;/D&gt;&lt;D xsi:type="xsd:double"&gt;21.3&lt;/D&gt;&lt;D xsi:type="xsd:double"&gt;21.3&lt;/D&gt;&lt;D xsi:type="xsd:double"&gt;21.3&lt;/D&gt;&lt;D xsi:type="xsd:double"&gt;21.3&lt;/D&gt;&lt;D xsi:type="xsd:double"&gt;21.3&lt;/D&gt;&lt;D xsi:type="xsd:double"&gt;23.6&lt;/D&gt;&lt;D xsi:type="xsd:double"&gt;23.6&lt;/D&gt;&lt;D xsi:type="xsd:double"&gt;23.6&lt;/D&gt;&lt;D xsi:type="xsd:double"&gt;23.6&lt;/D&gt;&lt;D xsi:type="xsd:double"&gt;23.6&lt;/D&gt;&lt;D xsi:type="xsd:double"&gt;22.7&lt;/D&gt;&lt;D xsi:type="xsd:double"&gt;22.7&lt;/D&gt;&lt;D xsi:type="xsd:double"&gt;22.7&lt;/D&gt;&lt;D xsi:type="xsd:double"&gt;22.7&lt;/D&gt;&lt;D xsi:type="xsd:double"&gt;22.7&lt;/D&gt;&lt;D xsi:type="xsd:double"&gt;23.3&lt;/D&gt;&lt;D xsi:type="xsd:double"&gt;23.3&lt;/D&gt;&lt;D xsi:type="xsd:double"&gt;23.3&lt;/D&gt;&lt;D xsi:type="xsd:double"&gt;23.3&lt;/D&gt;&lt;D xsi:type="xsd:double"&gt;23.3&lt;/D&gt;&lt;D xsi:type="xsd:double"&gt;27.8&lt;/D&gt;&lt;D xsi:type="xsd:double"&gt;27.8&lt;/D&gt;&lt;D xsi:type="xsd:double"&gt;27.8&lt;/D&gt;&lt;D xsi:type="xsd:double"&gt;27.8&lt;/D&gt;&lt;D xsi:type="xsd:double"&gt;27.8&lt;/D&gt;&lt;D xsi:type="xsd:double"&gt;26.1&lt;/D&gt;&lt;D xsi:type="xsd:double"&gt;26.1&lt;/D&gt;&lt;D xsi:type="xsd:double"&gt;26.1&lt;/D&gt;&lt;D xsi:type="xsd:double"&gt;26.1&lt;/D&gt;&lt;D xsi:type="xsd:double"&gt;26.1&lt;/D&gt;&lt;D xsi:type="xsd:double"&gt;22.2&lt;/D&gt;&lt;D xsi:type="xsd:double"&gt;22.2&lt;/D&gt;&lt;D xsi:type="xsd:double"&gt;22.2&lt;/D&gt;&lt;D xsi:type="xsd:double"&gt;22.2&lt;/D&gt;&lt;D xsi:type="xsd:double"&gt;22.2&lt;/D&gt;&lt;D xsi:type="xsd:double"&gt;23.3&lt;/D&gt;&lt;D xsi:type="xsd:double"&gt;23.3&lt;/D&gt;&lt;D xsi:type="xsd:double"&gt;23.3&lt;/D&gt;&lt;D xsi:type="xsd:double"&gt;23.3&lt;/D&gt;&lt;D xsi:type="xsd:double"&gt;23.3&lt;/D&gt;&lt;D xsi:type="xsd:double"&gt;18.9&lt;/D&gt;&lt;D xsi:type="xsd:double"&gt;18.9&lt;/D&gt;&lt;D xsi:type="xsd:double"&gt;18.9&lt;/D&gt;&lt;D xsi:type="xsd:double"&gt;18.9&lt;/D&gt;&lt;D xsi:type="xsd:double"&gt;18.9&lt;/D&gt;&lt;D xsi:type="xsd:double"&gt;15.9&lt;/D&gt;&lt;D xsi:type="xsd:double"&gt;15.9&lt;/D&gt;&lt;D xsi:type="xsd:double"&gt;15.9&lt;/D&gt;&lt;D xsi:type="xsd:double"&gt;15.9&lt;/D&gt;&lt;D xsi:type="xsd:double"&gt;15.9&lt;/D&gt;&lt;D xsi:type="xsd:double"&gt;16.9&lt;/D&gt;&lt;D xsi:type="xsd:double"&gt;16.9&lt;/D&gt;&lt;D xsi:type="xsd:double"&gt;16.9&lt;/D&gt;&lt;D xsi:type="xsd:double"&gt;16.9&lt;/D&gt;&lt;D xsi:type="xsd:double"&gt;</t>
        </r>
      </text>
    </comment>
    <comment ref="A5" authorId="0" shapeId="0" xr:uid="{3248BF18-335B-4C13-8DAF-F682FD6D40F0}">
      <text>
        <r>
          <rPr>
            <b/>
            <sz val="9"/>
            <color indexed="81"/>
            <rFont val="Tahoma"/>
            <charset val="1"/>
          </rPr>
          <t>16.9&lt;/D&gt;&lt;D xsi:type="xsd:double"&gt;15.6&lt;/D&gt;&lt;D xsi:type="xsd:double"&gt;15.6&lt;/D&gt;&lt;D xsi:type="xsd:double"&gt;15.6&lt;/D&gt;&lt;D xsi:type="xsd:double"&gt;15.6&lt;/D&gt;&lt;D xsi:type="xsd:double"&gt;15.6&lt;/D&gt;&lt;D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xsi:type="xsd:double"&gt;16.5&lt;/D&gt;&lt;D xsi:type="xsd:double"&gt;16.5&lt;/D&gt;&lt;D xsi:type="xsd:double"&gt;16.5&lt;/D&gt;&lt;D xsi:type="xsd:double"&gt;16.5&lt;/D&gt;&lt;D xsi:type="xsd:double"&gt;16.5&lt;/D&gt;&lt;D xsi:type="xsd:double"&gt;16.7&lt;/D&gt;&lt;D xsi:type="xsd:double"&gt;16.7&lt;/D&gt;&lt;D xsi:type="xsd:double"&gt;16.7&lt;/D&gt;&lt;D xsi:type="xsd:double"&gt;16.7&lt;/D&gt;&lt;D xsi:type="xsd:double"&gt;16.7&lt;/D&gt;&lt;D xsi:type="xsd:double"&gt;17.6&lt;/D&gt;&lt;D xsi:type="xsd:double"&gt;17.6&lt;/D&gt;&lt;D xsi:type="xsd:double"&gt;17.6&lt;/D&gt;&lt;D xsi:type="xsd:double"&gt;17.6&lt;/D&gt;&lt;D xsi:type="xsd:double"&gt;17.6&lt;/D&gt;&lt;D xsi:type="xsd:double"&gt;21.3&lt;/D&gt;&lt;D xsi:type="xsd:double"&gt;21.3&lt;/D&gt;&lt;D xsi:type="xsd:double"&gt;21.3&lt;/D&gt;&lt;D xsi:type="xsd:double"&gt;21.3&lt;/D&gt;&lt;D xsi:type="xsd:double"&gt;21.3&lt;/D&gt;&lt;D xsi:type="xsd:double"&gt;26.7&lt;/D&gt;&lt;D xsi:type="xsd:double"&gt;26.7&lt;/D&gt;&lt;D xsi:type="xsd:double"&gt;26.7&lt;/D&gt;&lt;D xsi:type="xsd:double"&gt;26.7&lt;/D&gt;&lt;D xsi:type="xsd:double"&gt;26.7&lt;/D&gt;&lt;D xsi:type="xsd:double"&gt;24.7&lt;/D&gt;&lt;D xsi:type="xsd:double"&gt;24.7&lt;/D&gt;&lt;D xsi:type="xsd:double"&gt;24.7&lt;/D&gt;&lt;D xsi:type="xsd:double"&gt;24.7&lt;/D&gt;&lt;D xsi:type="xsd:double"&gt;24.7&lt;/D&gt;&lt;D xsi:type="xsd:double"&gt;22.5&lt;/D&gt;&lt;D xsi:type="xsd:double"&gt;22.5&lt;/D&gt;&lt;D xsi:type="xsd:double"&gt;22.5&lt;/D&gt;&lt;D xsi:type="xsd:double"&gt;22.5&lt;/D&gt;&lt;D xsi:type="xsd:double"&gt;22.5&lt;/D&gt;&lt;D xsi:type="xsd:double"&gt;23.1&lt;/D&gt;&lt;D xsi:type="xsd:double"&gt;23.1&lt;/D&gt;&lt;D xsi:type="xsd:double"&gt;23.1&lt;/D&gt;&lt;D xsi:type="xsd:double"&gt;23.1&lt;/D&gt;&lt;D xsi:type="xsd:double"&gt;23.1&lt;/D&gt;&lt;D xsi:type="xsd:double"&gt;26.4&lt;/D&gt;&lt;D xsi:type="xsd:double"&gt;26.4&lt;/D&gt;&lt;D xsi:type="xsd:double"&gt;26.4&lt;/D&gt;&lt;D xsi:type="xsd:double"&gt;26.4&lt;/D&gt;&lt;D xsi:type="xsd:double"&gt;26.4&lt;/D&gt;&lt;D xsi:type="xsd:double"&gt;24.4&lt;/D&gt;&lt;D xsi:type="xsd:double"&gt;24.4&lt;/D&gt;&lt;D xsi:type="xsd:double"&gt;24.4&lt;/D&gt;&lt;D xsi:type="xsd:double"&gt;24.4&lt;/D&gt;&lt;D xsi:type="xsd:double"&gt;24.4&lt;/D&gt;&lt;D xsi:type="xsd:double"&gt;23.6&lt;/D&gt;&lt;D xsi:type="xsd:double"&gt;23.6&lt;/D&gt;&lt;D xsi:type="xsd:double"&gt;23.6&lt;/D&gt;&lt;D xsi:type="xsd:double"&gt;23.6&lt;/D&gt;&lt;D xsi:type="xsd:double"&gt;23.6&lt;/D&gt;&lt;D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xsi:type="xsd:double"&gt;23.6&lt;/D&gt;&lt;D xsi:type="xsd:double"&gt;23.6&lt;/D&gt;&lt;D xsi:type="xsd:double"&gt;23.6&lt;/D&gt;&lt;D xsi:type="xsd:double"&gt;23.6&lt;/D&gt;&lt;D xsi:type="xsd:double"&gt;23.6&lt;/D&gt;&lt;D xsi:type="xsd:double"&gt;24.1&lt;/D&gt;&lt;D xsi:type="xsd:double"&gt;24.1&lt;/D&gt;&lt;D xsi:type="xsd:double"&gt;24.1&lt;/D&gt;&lt;D xsi:type="xsd:double"&gt;24.1&lt;/D&gt;&lt;D xsi:type="xsd:double"&gt;24.1&lt;/D&gt;&lt;D xsi:type="xsd:double"&gt;19.8&lt;/D&gt;&lt;D xsi:type="xsd:double"&gt;19.8&lt;/D&gt;&lt;D xsi:type="xsd:double"&gt;19.8&lt;/D&gt;&lt;D xsi:type="xsd:double"&gt;19.8&lt;/D&gt;&lt;D xsi:type="xsd:double"&gt;19.8&lt;/D&gt;&lt;D xsi:type="xsd:double"&gt;23.1&lt;/D&gt;&lt;D xsi:type="xsd:double"&gt;23.1&lt;/D&gt;&lt;D xsi:type="xsd:double"&gt;23.1&lt;/D&gt;&lt;D xsi:type="xsd:double"&gt;23.1&lt;/D&gt;&lt;D xsi:type="xsd:double"&gt;23.1&lt;/D&gt;&lt;D xsi:type="xsd:double"&gt;21.3&lt;/D&gt;&lt;D xsi:type="xsd:double"&gt;21.3&lt;/D&gt;&lt;D xsi:type="xsd:double"&gt;21.3&lt;/D&gt;&lt;D xsi:type="xsd:double"&gt;21.3&lt;/D&gt;&lt;D xsi:type="xsd:double"&gt;21.3&lt;/D&gt;&lt;D xsi:type="xsd:double"&gt;25.8&lt;/D&gt;&lt;D xsi:type="xsd:double"&gt;25.8&lt;/D&gt;&lt;D xsi:type="xsd:double"&gt;25.8&lt;/D&gt;&lt;D xsi:type="xsd:double"&gt;25.8&lt;/D&gt;&lt;D xsi:type="xsd:double"&gt;25.8&lt;/D&gt;&lt;D xsi:type="xsd:double"&gt;31.1&lt;/D&gt;&lt;D xsi:type="xsd:double"&gt;31.1&lt;/D&gt;&lt;D xsi:type="xsd:double"&gt;31.1&lt;/D&gt;&lt;D xsi:type="xsd:double"&gt;31.1&lt;/D&gt;&lt;D xsi:type="xsd:double"&gt;31.1&lt;/D&gt;&lt;D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xsi:type="xsd:double"&gt;30.3&lt;/D&gt;&lt;D xsi:type="xsd:double"&gt;30.3&lt;/D&gt;&lt;D xsi:type="xsd:double"&gt;30.3&lt;/D&gt;&lt;D xsi:type="xsd:double"&gt;30.3&lt;/D&gt;&lt;D xsi:type="xsd:double"&gt;30.3&lt;/D&gt;&lt;D xsi:type="xsd:double"&gt;29.9&lt;/D&gt;&lt;D xsi:type="xsd:double"&gt;29.9&lt;/D&gt;&lt;D xsi:type="xsd:double"&gt;29.9&lt;/D&gt;&lt;D xsi:type="xsd:double"&gt;29.9&lt;/D&gt;&lt;D xsi:type="xsd:double"&gt;29.9&lt;/D&gt;&lt;D xsi:type="xsd:double"&gt;28.7&lt;/D&gt;&lt;D xsi:type="xsd:double"&gt;28.7&lt;/D&gt;&lt;D xsi:type="xsd:double"&gt;28.7&lt;/D&gt;&lt;D xsi:type="xsd:double"&gt;28.7&lt;/D&gt;&lt;D xsi:type="xsd:double"&gt;28.7&lt;/D&gt;&lt;D xsi:type="xsd:double"&gt;26.4&lt;/D&gt;&lt;D xsi:type="xsd:double"&gt;26.4&lt;/D&gt;&lt;D xsi:type="xsd:double"&gt;26.4&lt;/D&gt;&lt;D xsi:type="xsd:double"&gt;26.4&lt;/D&gt;&lt;D xsi:type="xsd:double"&gt;26.4&lt;/D&gt;&lt;D xsi:type="xsd:double"&gt;23.3&lt;/D&gt;&lt;D xsi:type="xsd:double"&gt;23.3&lt;/D&gt;&lt;D xsi:type="xsd:double"&gt;23.3&lt;/D&gt;&lt;D xsi:type="xsd:double"&gt;23.3&lt;/D&gt;&lt;D xsi:type="xsd:double"&gt;23.3&lt;/D&gt;&lt;D xsi:type="xsd:double"&gt;25.3&lt;/D&gt;&lt;D xsi:type="xsd:double"&gt;25.3&lt;/D&gt;&lt;D xsi:type="xsd:double"&gt;25.3&lt;/D&gt;&lt;D xsi:type="xsd:double"&gt;25.3&lt;/D&gt;&lt;D xsi:type="xsd:double"&gt;25.3&lt;/D&gt;&lt;D xsi:type="xsd:double"&gt;28.4&lt;/D&gt;&lt;D xsi:type="xsd:double"&gt;28.4&lt;/D&gt;&lt;D xsi:type="xsd:double"&gt;28.4&lt;/D&gt;&lt;D xsi:type="xsd:double"&gt;28.4&lt;/D&gt;&lt;D xsi:type="xsd:double"&gt;28.4&lt;/D&gt;&lt;D xsi:type="xsd:double"&gt;29.1&lt;/D&gt;&lt;D xsi:type="xsd:double"&gt;29.1&lt;/D&gt;&lt;D xsi:type="xsd:double"&gt;29.1&lt;/D&gt;&lt;D xsi:type="xsd:double"&gt;29.1&lt;/D&gt;&lt;D xsi:type="xsd:double"&gt;29.1&lt;/D&gt;&lt;D xsi:type="xsd:double"&gt;33.7&lt;/D&gt;&lt;D xsi:type="xsd:double"&gt;33.7&lt;/D&gt;&lt;D xsi:type="xsd:double"&gt;33.7&lt;/D&gt;&lt;D xsi:type="xsd:double"&gt;33.7&lt;/D&gt;&lt;D xsi:type="xsd:double"&gt;33.7&lt;/D&gt;&lt;D xsi:type="xsd:double"&gt;31.5&lt;/D&gt;&lt;D xsi:type="xsd:double"&gt;31.5&lt;/D&gt;&lt;D xsi:type="xsd:double"&gt;31.5&lt;/D&gt;&lt;D xsi:type="xsd:double"&gt;31.5&lt;/D&gt;&lt;D xsi:type="xsd:double"&gt;31.5&lt;/D&gt;&lt;D xsi:type="xsd:double"&gt;37.2&lt;/D&gt;&lt;D xsi:type="xsd:double"&gt;37.2&lt;/D&gt;&lt;D xsi:type="xsd:double"&gt;37.2&lt;/D&gt;&lt;D xsi:type="xsd:double"&gt;37.2&lt;/D&gt;&lt;D xsi:type="xsd:double"&gt;37.2&lt;/D&gt;&lt;D xsi:type="xsd:double"&gt;34.5&lt;/D&gt;&lt;D xsi:type="xsd:double"&gt;34.5&lt;/D&gt;&lt;D xsi:type="xsd:double"&gt;34.5&lt;/D&gt;&lt;D xsi:type="xsd:double"&gt;34.5&lt;/D&gt;&lt;D xsi:type="xsd:double"&gt;34.5&lt;/D&gt;&lt;D xsi:type="xsd:double"&gt;34.1&lt;/D&gt;&lt;D xsi:type="xsd:double"&gt;34.1&lt;/D&gt;&lt;D xsi:type="xsd:double"&gt;34.1&lt;/D&gt;&lt;D xsi:type="xsd:double"&gt;34.1&lt;/D&gt;&lt;D xsi:type="xsd:double"&gt;34.1&lt;/D&gt;&lt;D xsi:type="xsd:double"&gt;37.1&lt;/D&gt;&lt;D xsi:type="xsd:double"&gt;37.1&lt;/D&gt;&lt;D xsi:type="xsd:double"&gt;37.1&lt;/D&gt;&lt;D xsi:type="xsd:double"&gt;37.1&lt;/D&gt;&lt;D xsi:type="xsd:double"&gt;37.1&lt;/D&gt;&lt;D xsi:type="xsd:double"&gt;38&lt;/D&gt;&lt;D xsi:type="xsd:double"&gt;38&lt;/D&gt;&lt;D xsi:type="xsd:double"&gt;38&lt;/D&gt;&lt;D xsi:type="xsd:double"&gt;38&lt;/D&gt;&lt;D xsi:type="xsd:double"&gt;38&lt;/D&gt;&lt;D xsi:type="xsd:double"&gt;43.3&lt;/D&gt;&lt;D xsi:type="xsd:double"&gt;43.3&lt;/D&gt;&lt;D xsi:type="xsd:double"&gt;43.3&lt;/D&gt;&lt;D xsi:type="xsd:double"&gt;43.3&lt;/D&gt;&lt;D xsi:type="xsd:double"&gt;43.3&lt;/D&gt;&lt;D xsi:type="xsd:double"&gt;44.3&lt;/D&gt;&lt;D xsi:type="xsd:double"&gt;44.3&lt;/D&gt;&lt;D xsi:type="xsd:double"&gt;44.3&lt;/D&gt;&lt;D xsi:type="xsd:double"&gt;44.3&lt;/D&gt;&lt;D xsi:type="xsd:double"&gt;44.3&lt;/D&gt;&lt;D xsi:type="xsd:double"&gt;47.2&lt;/D&gt;&lt;D xsi:type="xsd:double"&gt;47.2&lt;/D&gt;&lt;D xsi:type="xsd:double"&gt;47.2&lt;/D&gt;&lt;D xsi:type="xsd:double"&gt;47.2&lt;/D&gt;&lt;D xsi:type="xsd:double"&gt;47.2&lt;/D&gt;&lt;D xsi:type="xsd:double"&gt;44&lt;/D&gt;&lt;D xsi:type="xsd:double"&gt;44&lt;/D&gt;&lt;D xsi:type="xsd:double"&gt;44&lt;/D&gt;&lt;D xsi:type="xsd:double"&gt;44&lt;/D&gt;&lt;D xsi:type="xsd:double"&gt;44&lt;/D&gt;&lt;D xsi:type="xsd:double"&gt;45.1&lt;/D&gt;&lt;D xsi:type="xsd:double"&gt;45.1&lt;/D&gt;&lt;D xsi:type="xsd:double"&gt;45.1&lt;/D&gt;&lt;D xsi:type="xsd:double"&gt;45.1&lt;/D&gt;&lt;D xsi:type="xsd:double"&gt;45.1&lt;/D&gt;&lt;D xsi:type="xsd:double"&gt;41.1&lt;/D&gt;&lt;D xsi:type="xsd:double"&gt;41.1&lt;/D&gt;&lt;D xsi:type="xsd:double"&gt;41.1&lt;/D&gt;&lt;D xsi:type="xsd:double"&gt;41.1&lt;/D&gt;&lt;D xsi:type="xsd:double"&gt;41.1&lt;/D&gt;&lt;D xsi:type="xsd:double"&gt;38.7&lt;/D&gt;&lt;D xsi:type="xsd:double"&gt;38.7&lt;/D&gt;&lt;D xsi:type="xsd:double"&gt;38.7&lt;/D&gt;&lt;D xsi:type="xsd:double"&gt;38.7&lt;/D&gt;&lt;D xsi:type="xsd:double"&gt;38.7&lt;/D&gt;&lt;D xsi:type="xsd:double"&gt;36.3&lt;/D&gt;&lt;D xsi:type="xsd:double"&gt;36.3&lt;/D&gt;&lt;D xsi:type="xsd:double"&gt;36.3&lt;/D&gt;&lt;D xsi:type="xsd:double"&gt;36.3&lt;/D&gt;&lt;D xsi:type="xsd:double"&gt;36.3&lt;/D&gt;&lt;D xsi:type="xsd:double"&gt;38&lt;/D&gt;&lt;D xsi:type="xsd:double"&gt;38&lt;/D&gt;&lt;D xsi:type="xsd:double"&gt;38&lt;/D&gt;&lt;D xsi:type="xsd:double"&gt;38&lt;/D&gt;&lt;D xsi:type="xsd:double"&gt;38&lt;/D&gt;&lt;D xsi:type="xsd:double"&gt;37.6&lt;/D&gt;&lt;D xsi:type="xsd:double"&gt;37.6&lt;/D&gt;&lt;D xsi:type="xsd:double"&gt;37.6&lt;/D&gt;&lt;D xsi:type="xsd:double"&gt;37.6&lt;/D&gt;&lt;D xsi:type="xsd:double"&gt;37.6&lt;/D&gt;&lt;D xsi:type="xsd:double"&gt;34.4&lt;/D&gt;&lt;D xsi:type="xsd:double"&gt;34.4&lt;/D&gt;&lt;D xsi:type="xsd:double"&gt;34.4&lt;/D&gt;&lt;D xsi:type="xsd:double"&gt;34.4&lt;/D&gt;&lt;D xsi:type="xsd:double"&gt;34.4&lt;/D&gt;&lt;D xsi:type="xsd:double"&gt;34.1&lt;/D&gt;&lt;D xsi:type="xsd:double"&gt;34.1&lt;/D&gt;&lt;D xsi:type="xsd:double"&gt;34.1&lt;/D&gt;&lt;D xsi:type="xsd:double"&gt;34.1&lt;/D&gt;&lt;D xsi:type="xsd:double"&gt;34.1&lt;/D&gt;&lt;D xsi:type="xsd:double"&gt;38.5&lt;/D&gt;&lt;D xsi:type="xsd:double"&gt;38.5&lt;/D&gt;&lt;D xsi:type="xsd:double"&gt;38.5&lt;/D&gt;&lt;D xsi:type="xsd:double"&gt;38.5&lt;/D&gt;&lt;D xsi:type="xsd:double"&gt;38.5&lt;/D&gt;&lt;D xsi:type="xsd:double"&gt;38.3&lt;/D&gt;&lt;D xsi:type="xsd:double"&gt;38.3&lt;/D&gt;&lt;D xsi:type="xsd:double"&gt;38.3&lt;/D&gt;&lt;D xsi:type="xsd:double"&gt;38.3&lt;/D&gt;&lt;D xsi:type="xsd:double"&gt;38.3&lt;/D&gt;&lt;D xsi:type="xsd:double"&gt;47.3&lt;/D&gt;&lt;D xsi:type="xsd:double"&gt;47.3&lt;/D&gt;&lt;D xsi:type="xsd:double"&gt;47.3&lt;/D&gt;&lt;D xsi:type="xsd:double"&gt;47.3&lt;/D&gt;&lt;D xsi:type="xsd:double"&gt;47.3&lt;/D&gt;&lt;D xsi:type="xsd:double"&gt;46.2&lt;/D&gt;&lt;D xsi:type="xsd:double"&gt;46.2&lt;/D&gt;&lt;D xsi:type="xsd:double"&gt;46.2&lt;/D&gt;&lt;D xsi:type="xsd:double"&gt;46.2&lt;/D&gt;&lt;D xsi:type="xsd:double"&gt;46.2&lt;/D&gt;&lt;D xsi:type="xsd:double"&gt;49.5&lt;/D&gt;&lt;D xsi:type="xsd:double"&gt;49.5&lt;/D&gt;&lt;D xsi:type="xsd:double"&gt;49.5&lt;/D&gt;&lt;D xsi:type="xsd:double"&gt;49.5&lt;/D&gt;&lt;D xsi:type="xsd:double"&gt;49.5&lt;/D&gt;&lt;D xsi:type="xsd:double"&gt;44.1&lt;/D&gt;&lt;D xsi:type="xsd:double"&gt;44.1&lt;/D&gt;&lt;D xsi:type="xsd:double"&gt;44.1&lt;/D&gt;&lt;D xsi:type="xsd:double"&gt;44.1&lt;/D&gt;&lt;D xsi:type="xsd:double"&gt;44.1&lt;/D&gt;&lt;D xsi:type="xsd:double"&gt;43.6&lt;/D&gt;&lt;D xsi:type="xsd:double"&gt;43.6&lt;/D&gt;&lt;D xsi:type="xsd:double"&gt;43.6&lt;/D&gt;&lt;D xsi:type="xsd:double"&gt;43.6&lt;/D&gt;&lt;D xsi:type="xsd:double"&gt;43.6&lt;/D&gt;&lt;D xsi:type="xsd:double"&gt;46.1&lt;/D&gt;&lt;D xsi:type="xsd:double"&gt;46.1&lt;/D&gt;&lt;D xsi:type="xsd:double"&gt;46.1&lt;/D&gt;&lt;D xsi:type="xsd:double"&gt;46.1&lt;/D&gt;&lt;D xsi:type="xsd:double"&gt;46.1&lt;/D&gt;&lt;D xsi:type="xsd:double"&gt;48.3&lt;/D&gt;&lt;D xsi:type="xsd:double"&gt;48.3&lt;/D&gt;&lt;D xsi:type="xsd:double"&gt;48.3&lt;/D&gt;&lt;D xsi:type="xsd:double"&gt;48.3&lt;/D&gt;&lt;D xsi:type="xsd:double"&gt;48.3&lt;/D&gt;&lt;D xsi:type="xsd:double"&gt;52.7&lt;/D&gt;&lt;D xsi:type="xsd:double"&gt;52.7&lt;/D&gt;&lt;D xsi:type="xsd:double"&gt;52.7&lt;/D&gt;&lt;D xsi:type="xsd:double"&gt;52.7&lt;/D&gt;&lt;D xsi:type="xsd:double"&gt;52.7&lt;/D&gt;&lt;D xsi:type="xsd:double"&gt;54.4&lt;/D&gt;&lt;D xsi:type="xsd:double"&gt;54.4&lt;/D&gt;&lt;D xsi:type="xsd:double"&gt;54.4&lt;/D&gt;&lt;D xsi:type="xsd:double"&gt;54.4&lt;/D&gt;&lt;D xsi:type="xsd:double"&gt;54.4&lt;/D&gt;&lt;D xsi:type="xsd:double"&gt;52.9&lt;/D&gt;&lt;D xsi:type="xsd:double"&gt;52.9&lt;/D&gt;&lt;D xsi:type="xsd:double"&gt;52.9&lt;/D&gt;&lt;D xsi:type="xsd:double"&gt;52.9&lt;/D&gt;&lt;D xsi:type="xsd:double"&gt;52.9&lt;/D&gt;&lt;D xsi:type="xsd:double"&gt;53&lt;/D&gt;&lt;D xsi:type="xsd:double"&gt;53&lt;/D&gt;&lt;D xsi:type="xsd:double"&gt;53&lt;/D&gt;&lt;D xsi:type="xsd:double"&gt;53&lt;/D&gt;&lt;D xsi:type="xsd:double"&gt;53&lt;/D&gt;&lt;D xsi:type="xsd:double"&gt;47.2&lt;/D&gt;&lt;D xsi:type="xsd:double"&gt;47.2&lt;/D&gt;&lt;D xsi:type="xsd:double"&gt;47.2&lt;/D&gt;&lt;D xsi:type="xsd:double"&gt;47.2&lt;/D&gt;&lt;D xsi:type="xsd:double"&gt;47.2&lt;/D&gt;&lt;D xsi:type="xsd:double"&gt;40.9&lt;/D&gt;&lt;D xsi:type="xsd:double"&gt;40.9&lt;/D&gt;&lt;D xsi:type="xsd:double"&gt;40.9&lt;/D&gt;&lt;D xsi:type="xsd:double"&gt;40.9&lt;/D&gt;&lt;D xsi:type="xsd:double"&gt;40.9&lt;/D&gt;&lt;D xsi:type="xsd:double"&gt;43.7&lt;/D&gt;&lt;D xsi:type="xsd:double"&gt;43.7&lt;/D&gt;&lt;D xsi:type="xsd:double"&gt;43.7&lt;/D&gt;&lt;D xsi:type="xsd:double"&gt;43.7&lt;/D&gt;&lt;D xsi:type="xsd:double"&gt;43.7&lt;/D&gt;&lt;D xsi:type="xsd:double"&gt;41.6&lt;/D&gt;&lt;D xsi:type="xsd:double"&gt;41.6&lt;/D&gt;&lt;D xsi:type="xsd:double"&gt;41.6&lt;/D&gt;&lt;D xsi:type="xsd:double"&gt;41.6&lt;/D&gt;&lt;D xsi:type="xsd:double"&gt;41.6&lt;/D&gt;&lt;D xsi:type="xsd:double"&gt;40&lt;/D&gt;&lt;D xsi:type="xsd:double"&gt;40&lt;/D&gt;&lt;D xsi:type="xsd:double"&gt;40&lt;/D&gt;&lt;D xsi:type="xsd:double"&gt;40&lt;/D&gt;&lt;D xsi:type="xsd:double"&gt;40&lt;/D&gt;&lt;D xsi:type="xsd:double"&gt;39.3&lt;/D&gt;&lt;D xsi:type="xsd:double"&gt;39.3&lt;/D&gt;&lt;D xsi:type="xsd:double"&gt;39.3&lt;/D&gt;&lt;D xsi:type="xsd:double"&gt;39.3&lt;/D&gt;&lt;D xsi:type="xsd:double"&gt;39.3&lt;/D&gt;&lt;D xsi:type="xsd:double"&gt;38.4&lt;/D&gt;&lt;D xsi:type="xsd:double"&gt;38.4&lt;/D&gt;&lt;D xsi:type="xsd:double"&gt;38.4&lt;/D&gt;&lt;D xsi:type="xsd:double"&gt;38.4&lt;/D&gt;&lt;D xsi:type="xsd:double"&gt;38.4&lt;/D&gt;&lt;D xsi:type="xsd:double"&gt;45.5&lt;/D&gt;&lt;D xsi:type="xsd:double"&gt;45.5&lt;/D&gt;&lt;D xsi:type="xsd:double"&gt;45.5&lt;/D&gt;&lt;D xsi:type="xsd:double"&gt;45.5&lt;/D&gt;&lt;D xsi:type="xsd:double"&gt;45.5&lt;/D&gt;&lt;D xsi:type="xsd:double"&gt;43.6&lt;/D&gt;&lt;D xsi:type="xsd:double"&gt;43.6&lt;/D&gt;&lt;D xsi:type="xsd:double"&gt;43.6&lt;/D&gt;&lt;D xsi:type="xsd:double"&gt;43.6&lt;/D&gt;&lt;D xsi:type="xsd:double"&gt;43.6&lt;/D&gt;&lt;D xsi:type="xsd:double"&gt;50&lt;/D&gt;&lt;D xsi:type="xsd:double"&gt;50&lt;/D&gt;&lt;D xsi:type="xsd:double"&gt;50&lt;/D&gt;&lt;D xsi:type="xsd:double"&gt;50&lt;/D&gt;&lt;D xsi:type="xsd:double"&gt;50&lt;/D&gt;&lt;D xsi:type="xsd:double"&gt;49.4&lt;/D&gt;&lt;D xsi:type="xsd:double"&gt;49.4&lt;/D&gt;&lt;D xsi:type="xsd:double"&gt;49.4&lt;/D&gt;&lt;D xsi:type="xsd:double"&gt;49.4&lt;/D&gt;&lt;D xsi:type="xsd:double"&gt;49.4&lt;/D&gt;&lt;D xsi:type="xsd:double"&gt;48.9&lt;/D&gt;&lt;D xsi:type="xsd:double"&gt;48.9&lt;/D&gt;&lt;D xsi:type="xsd:double"&gt;48.9&lt;/D&gt;&lt;D xsi:type="xsd:double"&gt;48.9&lt;/D&gt;&lt;D xsi:type="xsd:double"&gt;48.9&lt;/D&gt;&lt;D xsi:type="xsd:double"&gt;47.3&lt;/D&gt;&lt;D xsi:type="xsd:double"&gt;47.3&lt;/D&gt;&lt;D xsi:type="xsd:double"&gt;47.3&lt;/D&gt;&lt;D xsi:type="xsd:double"&gt;47.3&lt;/D&gt;&lt;D xsi:type="xsd:double"&gt;47.3&lt;/D&gt;&lt;D xsi:type="xsd:double"&gt;44.7&lt;/D&gt;&lt;D xsi:type="xsd:double"&gt;44.7&lt;/D&gt;&lt;D xsi:type="xsd:double"&gt;44.7&lt;/D&gt;&lt;D xsi:type="xsd:double"&gt;44.7&lt;/D&gt;&lt;D xsi:type="xsd:double"&gt;44.7&lt;/D&gt;&lt;D xsi:type="xsd:double"&gt;39.3&lt;/D&gt;&lt;D xsi:type="xsd:double"&gt;39.3&lt;/D&gt;&lt;D xsi:type="xsd:double"&gt;39.3&lt;/D&gt;&lt;D xsi:type="xsd:double"&gt;39.3&lt;/D&gt;&lt;D xsi:type="xsd:double"&gt;39.3&lt;/D&gt;&lt;D xsi:type="xsd:double"&gt;37.4&lt;/D&gt;&lt;D xsi:type="xsd:double"&gt;37.4&lt;/D&gt;&lt;D xsi:type="xsd:double"&gt;37.4&lt;/D&gt;&lt;D xsi:type="xsd:double"&gt;37.4&lt;/D&gt;&lt;D xsi:type="xsd:double"&gt;37.4&lt;/D&gt;&lt;D xsi:type="xsd:double"&gt;32.6&lt;/D&gt;&lt;D xsi:type="xsd:double"&gt;32.6&lt;/D&gt;&lt;D xsi:type="xsd:double"&gt;32.6&lt;/D&gt;&lt;D xsi:type="xsd:double"&gt;32.6&lt;/D&gt;&lt;D xsi:type="xsd:double"&gt;32.6&lt;/D&gt;&lt;D xsi:type="xsd:double"&gt;31.1&lt;/D&gt;&lt;D xsi:type="xsd:double"&gt;31.1&lt;/D&gt;&lt;D xsi:type="xsd:double"&gt;31.1&lt;/D&gt;&lt;D xsi:type="xsd:double"&gt;31.1&lt;/D&gt;&lt;D xsi:type="xsd:double"&gt;31.1&lt;/D&gt;&lt;D xsi:type="xsd:double"&gt;32.2&lt;/D&gt;&lt;D xsi:type="xsd:double"&gt;32.2&lt;/D&gt;&lt;D xsi:type="xsd:double"&gt;32.2&lt;/D&gt;&lt;D xsi:type="xsd:double"&gt;32.2&lt;/D&gt;&lt;D xsi:type="xsd:double"&gt;32.2&lt;/D&gt;&lt;D xsi:type="xsd:double"&gt;30.8&lt;/D&gt;&lt;D xsi:type="xsd:double"&gt;30.8&lt;/D&gt;&lt;D xsi:type="xsd:double"&gt;30.8&lt;/D&gt;&lt;D xsi:type="xsd:double"&gt;30.8&lt;/D&gt;&lt;D xsi:type="xsd:double"&gt;30.8&lt;/D&gt;&lt;D xsi:type="xsd:double"&gt;29.9&lt;/D&gt;&lt;D xsi:type="xsd:double"&gt;29.9&lt;/D&gt;&lt;D xsi:type="xsd:double"&gt;29.9&lt;/D&gt;&lt;D xsi:type="xsd:double"&gt;29.9&lt;/D&gt;&lt;D xsi:type="xsd:double"&gt;29.9&lt;/D&gt;&lt;D xsi:type="xsd:double"&gt;32.3&lt;/D&gt;&lt;D xsi:type="xsd:double"&gt;32.3&lt;/D&gt;&lt;D xsi:type="xsd:double"&gt;32.3&lt;/D&gt;&lt;D xsi:type="xsd:double"&gt;32.3&lt;/D&gt;&lt;D xsi:type="xsd:double"&gt;32.3&lt;/D&gt;&lt;D xsi:type="xsd:double"&gt;31.8&lt;/D&gt;&lt;D xsi:type="xsd:double"&gt;31.8&lt;/D&gt;&lt;D xsi:type="xsd:double"&gt;31.8&lt;/D&gt;&lt;D xsi:type="xsd:double"&gt;31.8&lt;/D&gt;&lt;D xsi:type="xsd:double"&gt;31.8&lt;/D&gt;&lt;D xsi:type="xsd:double"&gt;35.6&lt;/D&gt;&lt;D xsi:type="xsd:double"&gt;35.6&lt;/D&gt;&lt;D xsi:type="xsd:double"&gt;35.6&lt;/D&gt;&lt;D xsi:type="xsd:double"&gt;35.6&lt;/D&gt;&lt;D xsi:type="xsd:double"&gt;35.6&lt;/D&gt;&lt;D xsi:type="xsd:double"&gt;38.9&lt;/D&gt;&lt;D xsi:type="xsd:double"&gt;38.9&lt;/D&gt;&lt;D xsi:type="xsd:double"&gt;38.9&lt;/D&gt;&lt;D xsi:type="xsd:double"&gt;38.9&lt;/D&gt;&lt;D xsi:type="xsd:double"&gt;38.9&lt;/D&gt;&lt;D xsi:type="xsd:double"&gt;38.5&lt;/D&gt;&lt;D xsi:type="xsd:double"&gt;38.5&lt;/D&gt;&lt;D xsi:type="xsd:double"&gt;38.5&lt;/D&gt;&lt;D xsi:type="xsd:double"&gt;38.5&lt;/D&gt;&lt;D xsi:type="xsd:double"&gt;38.5&lt;/D&gt;&lt;D xsi:type="xsd:double"&gt;37.5&lt;/D&gt;&lt;D xsi:type="xsd:double"&gt;37.5&lt;/D&gt;&lt;D xsi:type="xsd:double"&gt;37.5&lt;/D&gt;&lt;D xsi:type="xsd:double"&gt;37.5&lt;/D&gt;&lt;D xsi:type="xsd:double"&gt;37.5&lt;/D&gt;&lt;D xsi:type="xsd:double"&gt;41.1&lt;/D&gt;&lt;D xsi:type="xsd:double"&gt;41.1&lt;/D&gt;&lt;D xsi:type="xsd:double"&gt;41.1&lt;/D&gt;&lt;D xsi:type="xsd:double"&gt;41.1&lt;/D&gt;&lt;D xsi:type="xsd:double"&gt;41.1&lt;/D&gt;&lt;D xsi:type="xsd:double"&gt;44.7&lt;/D&gt;&lt;D xsi:type="xsd:double"&gt;44.7&lt;/D&gt;&lt;D xsi:type="xsd:double"&gt;44.7&lt;/D&gt;&lt;D xsi:type="xsd:double"&gt;44.7&lt;/D&gt;&lt;D xsi:type="xsd:double"&gt;44.7&lt;/D&gt;&lt;D xsi:type="xsd:double"&gt;43.3&lt;/D&gt;&lt;D xsi:type="xsd:double"&gt;43.3&lt;/D&gt;&lt;D xsi:type="xsd:double"&gt;43.3&lt;/D&gt;&lt;D xsi:type="xsd:double"&gt;43.3&lt;/D&gt;&lt;D xsi:type="xsd:double"&gt;43.3&lt;/D&gt;&lt;D xsi:type="xsd:double"&gt;36.6&lt;/D&gt;&lt;D xsi:type="xsd:double"&gt;36.6&lt;/D&gt;&lt;D xsi:type="xsd:double"&gt;36.6&lt;/D&gt;&lt;D xsi:type="xsd:double"&gt;36.6&lt;/D&gt;&lt;D xsi:type="xsd:double"&gt;36.6&lt;/D&gt;&lt;D xsi:type="xsd:double"&gt;36.4&lt;/D&gt;&lt;D xsi:type="xsd:double"&gt;36.4&lt;/D&gt;&lt;D xsi:type="xsd:double"&gt;36.4&lt;/D&gt;&lt;D xsi:type="xsd:double"&gt;36.4&lt;/D&gt;&lt;D xsi:type="xsd:double"&gt;36.4&lt;/D&gt;&lt;D xsi:type="xsd:double"&gt;33.7&lt;/D&gt;&lt;D xsi:type="xsd:double"&gt;33.7&lt;/D&gt;&lt;D xsi:type="xsd:double"&gt;33.7&lt;/D&gt;&lt;D xsi:type="xsd:double"&gt;33.7&lt;/D&gt;&lt;D xsi:type="xsd:double"&gt;33.7&lt;/D&gt;&lt;D xsi:type="xsd:double"&gt;35.6&lt;/D&gt;&lt;D xsi:type="xsd:double"&gt;35.6&lt;/D&gt;&lt;D xsi:type="xsd:double"&gt;35.6&lt;/D&gt;&lt;D xsi:type="xsd:double"&gt;35.6&lt;/D&gt;&lt;D xsi:type="xsd:double"&gt;35.6&lt;/D&gt;&lt;D xsi:type="xsd:double"&gt;32.6&lt;/D&gt;&lt;D xsi:type="xsd:double"&gt;32.6&lt;/D&gt;&lt;D xsi:type="xsd:double"&gt;32.6&lt;/D&gt;&lt;D xsi:type="xsd:double"&gt;32.6&lt;/D&gt;&lt;D xsi:type="xsd:double"&gt;32.6&lt;/D&gt;&lt;D xsi:type="xsd:double"&gt;32.2&lt;/D&gt;&lt;D xsi:type="xsd:double"&gt;32.2&lt;/D&gt;&lt;D xsi:type="xsd:double"&gt;32.2&lt;/D&gt;&lt;D xsi:type="xsd:double"&gt;32.2&lt;/D&gt;&lt;D xsi:type="xsd:double"&gt;32.2&lt;/D&gt;&lt;D xsi:type="xsd:double"&gt;31.5&lt;/D&gt;&lt;D xsi:type="xsd:double"&gt;31.5&lt;/D&gt;&lt;D xsi:type="xsd:double"&gt;31.5&lt;/D&gt;&lt;D xsi:type="xsd:double"&gt;31.5&lt;/D&gt;&lt;D xsi:type="xsd:double"&gt;31.5&lt;/D&gt;&lt;D xsi:type="xsd:double"&gt;26.7&lt;/D&gt;&lt;D xsi:type="xsd:double"&gt;26.7&lt;/D&gt;&lt;D xsi:type="xsd:double"&gt;26.7&lt;/D&gt;&lt;D xsi:type="xsd:double"&gt;26.7&lt;/D&gt;&lt;D xsi:type="xsd:double"&gt;26.7&lt;/D&gt;&lt;D xsi:type="xsd:double"&gt;25.8&lt;/D&gt;&lt;D xsi:type="xsd:double"&gt;25.8&lt;/D&gt;&lt;D xsi:type="xsd:double"&gt;25.8&lt;/D&gt;&lt;D xsi:type="xsd:double"&gt;25.8&lt;/D&gt;&lt;D xsi:type="xsd:double"&gt;25.8&lt;/D&gt;&lt;D xsi:type="xsd:double"&gt;24.5&lt;/D&gt;&lt;D xsi:type="xsd:double"&gt;24.5&lt;/D&gt;&lt;D xsi:type="xsd:double"&gt;24.5&lt;/D&gt;&lt;D xsi:type="xsd:double"&gt;24.5&lt;/D&gt;&lt;D xsi:type="xsd:double"&gt;24.5&lt;/D&gt;&lt;D xsi:type="xsd:double"&gt;23.1&lt;/D&gt;&lt;D xsi:type="xsd:double"&gt;23.1&lt;/D&gt;&lt;D xsi:type="xsd:double"&gt;23.1&lt;/D&gt;&lt;D xsi:type="xsd:double"&gt;23.1&lt;/D&gt;&lt;D xsi:type="xsd:double"&gt;23.1&lt;/D&gt;&lt;D xsi:type="xsd:double"&gt;22.4&lt;/D&gt;&lt;D xsi:type="xsd:double"&gt;22.4&lt;/D&gt;&lt;D xsi:type="xsd:double"&gt;22.4&lt;/D&gt;&lt;D xsi:type="xsd:double"&gt;22.4&lt;/D&gt;&lt;D xsi:type="xsd:double"&gt;22.4&lt;/D&gt;&lt;D xsi:type="xsd:double"&gt;25.6&lt;/D&gt;&lt;D xsi:type="xsd:double"&gt;25.6&lt;/D&gt;&lt;D xsi:type="xsd:double"&gt;25.6&lt;/D&gt;&lt;D xsi:type="xsd:double"&gt;25.6&lt;/D&gt;&lt;D xsi:type="xsd:double"&gt;25.6&lt;/D&gt;&lt;D xsi:type="xsd:double"&gt;27.6&lt;/D&gt;&lt;D xsi:type="xsd:double"&gt;27.6&lt;/D&gt;&lt;D xsi:type="xsd:double"&gt;27.6&lt;/D&gt;&lt;D xsi:type="xsd:double"&gt;27.6&lt;/D&gt;&lt;D xsi:type="xsd:double"&gt;27.6&lt;/D&gt;&lt;D xsi:type="xsd:double"&gt;29&lt;/D&gt;&lt;D xsi:type="xsd:double"&gt;29&lt;/D&gt;&lt;D xsi:type="xsd:double"&gt;29&lt;/D&gt;&lt;D xsi:type="xsd:double"&gt;29&lt;/D&gt;&lt;D xsi:type="xsd:double"&gt;29&lt;/D&gt;&lt;D xsi:type="xsd:double"&gt;26.6&lt;/D&gt;&lt;D xsi:type="xsd:double"&gt;26.6&lt;/D&gt;&lt;D xsi:type="xsd:double"&gt;26.6&lt;/D&gt;&lt;D xsi:type="xsd:double"&gt;26.6&lt;/D&gt;&lt;D xsi:type="xsd:double"&gt;26.6&lt;/D&gt;&lt;D xsi:type="xsd:double"&gt;26.7&lt;/D&gt;&lt;D xsi:type="xsd:double"&gt;26.7&lt;/D&gt;&lt;D xsi:type="xsd:double"&gt;26.7&lt;/D&gt;&lt;D xsi:type="xsd:double"&gt;26.7&lt;/D&gt;&lt;D xsi:type="xsd:double"&gt;26.7&lt;/D&gt;&lt;D xsi:type="xsd:double"&gt;22.2&lt;/D&gt;&lt;D xsi:type="xsd:double"&gt;22.2&lt;/D&gt;&lt;D xsi:type="xsd:double"&gt;22.2&lt;/D&gt;&lt;D xsi:type="xsd:double"&gt;22.2&lt;/D&gt;&lt;D xsi:type="xsd:double"&gt;22.2&lt;/D&gt;&lt;D xsi:type="xsd:double"&gt;23.1&lt;/D&gt;&lt;D xsi:type="xsd:double"&gt;23.1&lt;/D&gt;&lt;D xsi:type="xsd:double"&gt;23.1&lt;/D&gt;&lt;D xsi:type="xsd:double"&gt;23.1&lt;/D&gt;&lt;D xsi:type="xsd:double"&gt;23.1&lt;/D&gt;&lt;D xsi:type="xsd:double"&gt;22.9&lt;/D&gt;&lt;D xsi:type="xsd:double"&gt;22.9&lt;/D&gt;&lt;D xsi:type="xsd:double"&gt;22.9&lt;/D&gt;&lt;D xsi:type="xsd:double"&gt;22.9&lt;/D&gt;&lt;D xsi:type="xsd:double"&gt;22.9&lt;/D&gt;&lt;D xsi:type="xsd:double"&gt;19.6&lt;/D&gt;&lt;D xsi:type="xsd:double"&gt;19.6&lt;/D&gt;&lt;D xsi:type="xsd:double"&gt;19.6&lt;/D&gt;&lt;D xsi:type="xsd:double"&gt;19.6&lt;/D&gt;&lt;D xsi:type="xsd:double"&gt;19.6&lt;/D&gt;&lt;D xsi:type="xsd:double"&gt;21.5&lt;/D&gt;&lt;D xsi:type="xsd:double"&gt;21.5&lt;/D&gt;&lt;D xsi:type="xsd:double"&gt;21.5&lt;/D&gt;&lt;D xsi:type="xsd:double"&gt;21.5&lt;/D&gt;&lt;D xsi:type="xsd:double"&gt;21.5&lt;/D&gt;&lt;D xsi:type="xsd:double"&gt;25&lt;/D&gt;&lt;D xsi:type="xsd:double"&gt;25&lt;/D&gt;&lt;D xsi:type="xsd:double"&gt;25&lt;/D&gt;&lt;D xsi:type="xsd:double"&gt;25&lt;/D&gt;&lt;D xsi:type="xsd:double"&gt;25&lt;/D&gt;&lt;D xsi:type="xsd:double"&gt;25.6&lt;/D&gt;&lt;D xsi:type="xsd:double"&gt;25.6&lt;/D&gt;&lt;D xsi:type="xsd:double"&gt;25.6&lt;/D&gt;&lt;D xsi:type="xsd:double"&gt;25.6&lt;/D&gt;&lt;D xsi:type="xsd:double"&gt;25.6&lt;/D&gt;&lt;D xsi:type="xsd:double"&gt;27&lt;/D&gt;&lt;D xsi:type="xsd:double"&gt;27&lt;/D&gt;&lt;D xsi:type="xsd:double"&gt;27&lt;/D&gt;&lt;D xsi:type="xsd:double"&gt;27&lt;/D&gt;&lt;D xsi:type="xsd:double"&gt;27&lt;/D&gt;&lt;D xsi:type="xsd:double"&gt;31&lt;/D&gt;&lt;D xsi:type="xsd:double"&gt;31&lt;/D&gt;&lt;D xsi:type="xsd:double"&gt;31&lt;/D&gt;&lt;D xsi:type="xsd:double"&gt;31&lt;/D&gt;&lt;D xsi:type="xsd:double"&gt;31&lt;/D&gt;&lt;D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xsi:type="xsd:double"&gt;32.6&lt;/D&gt;&lt;D xsi:type="xsd:double"&gt;32.6&lt;/D&gt;&lt;D xsi:type="xsd:double"&gt;32.6&lt;/D&gt;&lt;D xsi:type="xsd:double"&gt;32.6&lt;/D&gt;&lt;D xsi:type="xsd:double"&gt;32.6&lt;/D&gt;&lt;D xsi:type="xsd:double"&gt;31.5&lt;/D&gt;&lt;D xsi:type="xsd:double"&gt;31.5&lt;/D&gt;&lt;D xsi:type="xsd:double"&gt;31.5&lt;/D&gt;&lt;D xsi:type="xsd:double"&gt;31.5&lt;/D&gt;&lt;D xsi:type="xsd:double"&gt;31.5&lt;/D&gt;&lt;D xsi:type="xsd:double"&gt;26.4&lt;/D&gt;&lt;D xsi:type="xsd:double"&gt;26.4&lt;/D&gt;&lt;D xsi:type="xsd:double"&gt;26.4&lt;/D&gt;&lt;D xsi:type="xsd:double"&gt;26.4&lt;/D&gt;&lt;D xsi:type="xsd:double"&gt;26.4&lt;/D&gt;&lt;D xsi:type="xsd:double"&gt;18&lt;/D&gt;&lt;D xsi:type="xsd:double"&gt;18&lt;/D&gt;&lt;D xsi:type="xsd:double"&gt;18&lt;/D&gt;&lt;D xsi:type="xsd:double"&gt;18&lt;/D&gt;&lt;D xsi:type="xsd:double"&gt;18&lt;/D&gt;&lt;D xsi:type="xsd:double"&gt;19.3&lt;/D&gt;&lt;D xsi:type="xsd:double"&gt;19.3&lt;/D&gt;&lt;D xsi:type="xsd:double"&gt;19.3&lt;/D&gt;&lt;D xsi:type="xsd:double"&gt;19.3&lt;/D&gt;&lt;D xsi:type="xsd:double"&gt;19.3&lt;/D&gt;&lt;D xsi:type="xsd:double"&gt;21.3&lt;/D&gt;&lt;D xsi:type="xsd:double"&gt;21.3&lt;/D&gt;&lt;D xsi:type="xsd:double"&gt;21.3&lt;/D&gt;&lt;D xsi:type="xsd:double"&gt;21.3&lt;/D&gt;&lt;D xsi:type="xsd:double"&gt;21.3&lt;/D&gt;&lt;D xsi:type="xsd:double"&gt;18&lt;/D&gt;&lt;D xsi:type="xsd:double"&gt;18&lt;/D&gt;&lt;D xsi:type="xsd:double"&gt;18&lt;/D&gt;&lt;D xsi:type="xsd:double"&gt;18&lt;/D&gt;&lt;D xsi:type="xsd:double"&gt;18&lt;/D&gt;&lt;D xsi:type="xsd:double"&gt;20.4&lt;/D&gt;&lt;D xsi:type="xsd:double"&gt;20.4&lt;/D&gt;&lt;D xsi:type="xsd:double"&gt;20.4&lt;/D&gt;&lt;D xsi:type="xsd:double"&gt;20.4&lt;/D&gt;&lt;D xsi:type="xsd:double"&gt;20.4&lt;/D&gt;&lt;D xsi:type="xsd:double"&gt;18.9&lt;/D&gt;&lt;D xsi:type="xsd:double"&gt;18.9&lt;/D&gt;&lt;D xsi:type="xsd:double"&gt;18.9&lt;/D&gt;&lt;D xsi:type="xsd:double"&gt;18.9&lt;/D&gt;&lt;D xsi:type="xsd:double"&gt;18.9&lt;/D&gt;&lt;D xsi:type="xsd:double"&gt;21.1&lt;/D&gt;&lt;D xsi:type="xsd:double"&gt;21.1&lt;/D&gt;&lt;D xsi:type="xsd:double"&gt;21.1&lt;/D&gt;&lt;D xsi:type="xsd:double"&gt;21.1&lt;/D&gt;&lt;D xsi:type="xsd:double"&gt;21.1&lt;/D&gt;&lt;D xsi:type="xsd:double"&gt;22.8&lt;/D&gt;&lt;D xsi:type="xsd:double"&gt;22.8&lt;/D&gt;&lt;D xsi:type="xsd:double"&gt;22.8&lt;/D&gt;&lt;D xsi:type="xsd:double"&gt;22.8&lt;/D&gt;&lt;D xsi:type="xsd:double"&gt;22.8&lt;/D&gt;&lt;D xsi:type="xsd:double"&gt;21.5&lt;/D&gt;&lt;D xsi:type="xsd:double"&gt;21.5&lt;/D&gt;&lt;D xsi:type="xsd:double"&gt;21.5&lt;/D&gt;&lt;D xsi:type="xsd:double"&gt;21.5&lt;/D&gt;&lt;D xsi:type="xsd:double"&gt;21.5&lt;/D&gt;&lt;D xsi:type="xsd:double"&gt;20.7&lt;/D&gt;&lt;D xsi:type="xsd:double"&gt;20.7&lt;/D&gt;&lt;D xsi:type="xsd:double"&gt;20.7&lt;/D&gt;&lt;D xsi:type="xsd:double"&gt;20.7&lt;/D&gt;&lt;D xsi:type="xsd:double"&gt;20.7&lt;/D&gt;&lt;D xsi:type="xsd:double"&gt;19.6&lt;/D&gt;&lt;D xsi:type="xsd:double"&gt;19.6&lt;/D&gt;&lt;D xsi:type="xsd:double"&gt;19.6&lt;/D&gt;&lt;D xsi:type="xsd:double"&gt;19.6&lt;/D&gt;&lt;D xsi:type="xsd:double"&gt;19.6&lt;/D&gt;&lt;D xsi:type="xsd:double"&gt;20&lt;/D&gt;&lt;D xsi:type="xsd:double"&gt;20&lt;/D&gt;&lt;D xsi:type="xsd:double"&gt;20&lt;/D&gt;&lt;D xsi:type="xsd:double"&gt;20&lt;/D&gt;&lt;D xsi:type="xsd:double"&gt;20&lt;/D&gt;&lt;D xsi:type="xsd:double"&gt;24.7&lt;/D&gt;&lt;D xsi:type="xsd:double"&gt;24.7&lt;/D&gt;&lt;D xsi:type="xsd:double"&gt;24.7&lt;/D&gt;&lt;D xsi:type="xsd:double"&gt;24.7&lt;/D&gt;&lt;D xsi:type="xsd:double"&gt;24.7&lt;/D&gt;&lt;D xsi:type="xsd:double"&gt;26.1&lt;/D&gt;&lt;D xsi:type="xsd:double"&gt;26.1&lt;/D&gt;&lt;D xsi:type="xsd:double"&gt;26.1&lt;/D&gt;&lt;D xsi:type="xsd:double"&gt;26.1&lt;/D&gt;&lt;D xsi:type="xsd:double"&gt;26.1&lt;/D&gt;&lt;D xsi:type="xsd:double"&gt;25.3&lt;/D&gt;&lt;D xsi:type="xsd:double"&gt;25.3&lt;/D&gt;&lt;D xsi:type="xsd:double"&gt;25.3&lt;/D&gt;&lt;D xsi:type="xsd:double"&gt;25.3&lt;/D&gt;&lt;D xsi:type="xsd:double"&gt;25.3&lt;/D&gt;&lt;D xsi:type="xsd:double"&gt;27.5&lt;/D&gt;&lt;D xsi:type="xsd:double"&gt;27.5&lt;/D&gt;&lt;D xsi:type="xsd:double"&gt;27.5&lt;/D&gt;&lt;D xsi:type="xsd:double"&gt;27.5&lt;/D&gt;&lt;D xsi:type="xsd:double"&gt;27.5&lt;/D&gt;&lt;D xsi:type="xsd:double"&gt;25.8&lt;/D&gt;&lt;D xsi:type="xsd:double"&gt;25.8&lt;/D&gt;&lt;D xsi:type="xsd:double"&gt;25.8&lt;/D&gt;&lt;D xsi:type="xsd:double"&gt;25.8&lt;/D&gt;&lt;D xsi:type="xsd:double"&gt;25.8&lt;/D&gt;&lt;D xsi:type="xsd:double"&gt;27.5&lt;/D&gt;&lt;D xsi:type="xsd:double"&gt;27.5&lt;/D&gt;&lt;D xsi:type="xsd:double"&gt;27.5&lt;/D&gt;&lt;D xsi:type="xsd:double"&gt;27.5&lt;/D&gt;&lt;D xsi:type="xsd:double"&gt;27.5&lt;/D&gt;&lt;D xsi:type="xsd:double"&gt;28.4&lt;/D&gt;&lt;D xsi:type="xsd:double"&gt;28.4&lt;/D&gt;&lt;D xsi:type="xsd:double"&gt;28.4&lt;/D&gt;&lt;D xsi:type="xsd:double"&gt;28.4&lt;/D&gt;&lt;D xsi:type="xsd:double"&gt;28.4&lt;/D&gt;&lt;D xsi:type="xsd:double"&gt;28.9&lt;/D&gt;&lt;D xsi:type="xsd:double"&gt;28.9&lt;/D&gt;&lt;D xsi:type="xsd:double"&gt;28.9&lt;/D&gt;&lt;D xsi:type="xsd:double"&gt;28.9&lt;/D&gt;&lt;D xsi:type="xsd:double"&gt;28.9&lt;/D&gt;&lt;D xsi:type="xsd:double"&gt;26.9&lt;/D&gt;&lt;D xsi:type="xsd:double"&gt;26.9&lt;/D&gt;&lt;D xsi:type="xsd:double"&gt;26.9&lt;/D&gt;&lt;D xsi:type="xsd:double"&gt;26.9&lt;/D&gt;&lt;D xsi:type="xsd:double"&gt;26.9&lt;/D&gt;&lt;D xsi:type="xsd:double"&gt;24.2&lt;/D&gt;&lt;D xsi:type="xsd:double"&gt;24.2&lt;/D&gt;&lt;D xsi:type="xsd:double"&gt;24.2&lt;/D&gt;&lt;D xsi:type="xsd:double"&gt;24.2&lt;/D&gt;&lt;D xsi:type="xsd:double"&gt;24.2&lt;/D&gt;&lt;D xsi:type="xsd:double"&gt;22.2&lt;/D&gt;&lt;D xsi:type="xsd:double"&gt;22.2&lt;/D&gt;&lt;D xsi:type="xsd:double"&gt;22.2&lt;/D&gt;&lt;D xsi:type="xsd:double"&gt;22.2&lt;/D&gt;&lt;D xsi:type="xsd:double"&gt;22.2&lt;/D&gt;&lt;D xsi:type="xsd:double"&gt;21.1&lt;/D&gt;&lt;D xsi:type="xsd:double"&gt;21.1&lt;/D&gt;&lt;D xsi:type="xsd:double"&gt;21.1&lt;/D&gt;&lt;D xsi:type="xsd:double"&gt;21.1&lt;/D&gt;&lt;D xsi:type="xsd:double"&gt;21.1&lt;/D&gt;&lt;D xsi:type="xsd:double"&gt;22.2&lt;/D&gt;&lt;D xsi:type="xsd:double"&gt;22.2&lt;/D&gt;&lt;D xsi:type="xsd:double"&gt;22.2&lt;/D&gt;&lt;D xsi:type="xsd:double"&gt;22.2&lt;/D&gt;&lt;D xsi:type="xsd:double"&gt;22.2&lt;/D&gt;&lt;D xsi:type="xsd:double"&gt;21.1&lt;/D&gt;&lt;D xsi:type="xsd:double"&gt;21.1&lt;/D&gt;&lt;D xsi:type="xsd:double"&gt;21.1&lt;/D&gt;&lt;D xsi:type="xsd:double"&gt;21.1&lt;/D&gt;&lt;D xsi:type="xsd:double"&gt;21.1&lt;/D&gt;&lt;D xsi:type="xsd:double"&gt;20.9&lt;/D&gt;&lt;D xsi:type="xsd:double"&gt;20.9&lt;/D&gt;&lt;D xsi:type="xsd:double"&gt;20.9&lt;/D&gt;&lt;D xsi:type="xsd:double"&gt;20.9&lt;/D&gt;&lt;D xsi:type="xsd:double"&gt;20.9&lt;/D&gt;&lt;D xsi:type="xsd:double"&gt;22.1&lt;/D&gt;&lt;D xsi:type="xsd:double"&gt;22.1&lt;/D&gt;&lt;D xsi:type="xsd:double"&gt;22.1&lt;/D&gt;&lt;D xsi:type="xsd:double"&gt;22.1&lt;/D&gt;&lt;D xsi:type="xsd:double"&gt;22.1&lt;/D&gt;&lt;D xsi:type="xsd:double"&gt;20.7&lt;/D&gt;&lt;D xsi:type="xsd:double"&gt;20.7&lt;/D&gt;&lt;D xsi:type="xsd:double"&gt;20.7&lt;/D&gt;&lt;D xsi:type="xsd:double"&gt;20.7&lt;/D&gt;&lt;D xsi:type="xsd:double"&gt;20.7&lt;/D&gt;&lt;D xsi:type="xsd:double"&gt;21.3&lt;/D&gt;&lt;D xsi:type="xsd:double"&gt;21.3&lt;/D&gt;&lt;D xsi:type="xsd:double"&gt;21.3&lt;/D&gt;&lt;D xsi:type="xsd:double"&gt;21.3&lt;/D&gt;&lt;D xsi:type="xsd:double"&gt;21.3&lt;/D&gt;&lt;D xsi:type="xsd:double"&gt;19.6&lt;/D&gt;&lt;D xsi:type="xsd:double"&gt;19.6&lt;/D&gt;&lt;D xsi:type="xsd:double"&gt;19.6&lt;/D&gt;&lt;D xsi:type="xsd:double"&gt;19.6&lt;/D&gt;&lt;D xsi:type="xsd:double"&gt;19.6&lt;/D&gt;&lt;D xsi:type="xsd:double"&gt;20.6&lt;/D&gt;&lt;D xsi:type="xsd:double"&gt;20.6&lt;/D&gt;&lt;D xsi:type="xsd:double"&gt;20.6&lt;/D&gt;&lt;D xsi:type="xsd:double"&gt;20.6&lt;/D&gt;&lt;D xsi:type="xsd:double"&gt;20.6&lt;/D&gt;&lt;D xsi:type="xsd:double"&gt;21.3&lt;/D&gt;&lt;D xsi:type="xsd:double"&gt;21.3&lt;/D&gt;&lt;D xsi:type="xsd:double"&gt;21.3&lt;/D&gt;&lt;D xsi:type="xsd:double"&gt;21.3&lt;/D&gt;&lt;D xsi:type="xsd:double"&gt;21.3&lt;/D&gt;&lt;D xsi:type="xsd:double"&gt;23.9&lt;/D&gt;&lt;D xsi:type="xsd:double"&gt;23.9&lt;/D&gt;&lt;D xsi:type="xsd:double"&gt;23.9&lt;/D&gt;&lt;D xsi:type="xsd:double"&gt;23.9&lt;/D&gt;&lt;D xsi:type="xsd:double"&gt;23.9&lt;/D&gt;&lt;D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xsi:type="xsd:double"&gt;26&lt;/D&gt;&lt;D xsi:type="xsd:double"&gt;26&lt;/D&gt;&lt;D xsi:type="xsd:double"&gt;26&lt;/D&gt;&lt;D xsi:type="xsd:double"&gt;26&lt;/D&gt;&lt;D xsi:type="xsd:double"&gt;26&lt;/D&gt;&lt;D xsi:type="xsd:double"&gt;28.4&lt;/D&gt;&lt;D xsi:type="xsd:double"&gt;28.4&lt;/D&gt;&lt;D xsi:type="xsd:double"&gt;28.4&lt;/D&gt;&lt;D xsi:type="xsd:double"&gt;28.4&lt;/D&gt;&lt;D xsi:type="xsd:double"&gt;28.4&lt;/D&gt;&lt;D xsi:type="xsd:double"&gt;30.1&lt;/D&gt;&lt;D xsi:type="xsd:double"&gt;30.1&lt;/D&gt;&lt;D xsi:type="xsd:double"&gt;30.1&lt;/D&gt;&lt;D xsi:type="xsd:double"&gt;30.1&lt;/D&gt;&lt;D xsi:type="xsd:double"&gt;30.1&lt;/D&gt;&lt;D xsi:type="xsd:double"&gt;30&lt;/D&gt;&lt;D xsi:type="xsd:double"&gt;30&lt;/D&gt;&lt;D xsi:type="xsd:double"&gt;30&lt;/D&gt;&lt;D xsi:type="xsd:double"&gt;30&lt;/D&gt;&lt;D xsi:type="xsd:double"&gt;30&lt;/D&gt;&lt;D xsi:type="xsd:double"&gt;30.4&lt;/D&gt;&lt;D xsi:type="xsd:double"&gt;30.4&lt;/D&gt;&lt;D xsi:type="xsd:double"&gt;30.4&lt;/D&gt;&lt;D xsi:type="xsd:double"&gt;30.4&lt;/D&gt;&lt;D xsi:type="xsd:double"&gt;30.4&lt;/D&gt;&lt;D xsi:type="xsd:double"&gt;33.3&lt;/D&gt;&lt;D xsi:type="xsd:double"&gt;33.3&lt;/D&gt;&lt;D xsi:type="xsd:double"&gt;33.3&lt;/D&gt;&lt;D xsi:type="xsd:double"&gt;33.3&lt;/D&gt;&lt;D xsi:type="xsd:double"&gt;33.3&lt;/D&gt;&lt;D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xsi:type="xsd:double"&gt;35.4&lt;/D&gt;&lt;D xsi:type="xsd:double"&gt;35.4&lt;/D&gt;&lt;D xsi:type="xsd:double"&gt;35.4&lt;/D&gt;&lt;D xsi:type="xsd:double"&gt;35.4&lt;/D&gt;&lt;D xsi:type="xsd:double"&gt;35.4&lt;/D&gt;&lt;D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xsi:type="xsd:double"&gt;34.7&lt;/D&gt;&lt;D xsi:type="xsd:double"&gt;34.7&lt;/D&gt;&lt;D xsi:type="xsd:double"&gt;34.7&lt;/D&gt;&lt;D xsi:type="xsd:double"&gt;34.7&lt;/D&gt;&lt;D xsi:type="xsd:double"&gt;34.7&lt;/D&gt;&lt;D xsi:type="xsd:double"&gt;36.6&lt;/D&gt;&lt;D xsi:type="xsd:double"&gt;36.6&lt;/D&gt;&lt;D xsi:type="xsd:double"&gt;36.6&lt;/D&gt;&lt;D xsi:type="xsd:double"&gt;36.6&lt;/D&gt;&lt;D xsi:type="xsd:double"&gt;36.6&lt;/D&gt;&lt;D xsi:type="xsd:double"&gt;37.1&lt;/D&gt;&lt;D xsi:type="xsd:double"&gt;37.1&lt;/D&gt;&lt;D xsi:type="xsd:double"&gt;37.1&lt;/D&gt;&lt;D xsi:type="xsd:double"&gt;37.1&lt;/D&gt;&lt;D xsi:type="xsd:double"&gt;37.1&lt;/D&gt;&lt;D xsi:type="xsd:double"&gt;36.2&lt;/D&gt;&lt;D xsi:type="xsd:double"&gt;36.2&lt;/D&gt;&lt;D xsi:type="xsd:double"&gt;36.2&lt;/D&gt;&lt;D xsi:type="xsd:double"&gt;36.2&lt;/D&gt;&lt;D xsi:type="xsd:double"&gt;36.2&lt;/D&gt;&lt;D xsi:type="xsd:double"&gt;34.5&lt;/D&gt;&lt;D xsi:type="xsd:double"&gt;34.5&lt;/D&gt;&lt;D xsi:type="xsd:double"&gt;34.5&lt;/D&gt;&lt;D xsi:type="xsd:double"&gt;34.5&lt;/D&gt;&lt;D xsi:type="xsd:double"&gt;34.5&lt;/D&gt;&lt;D xsi:type="xsd:double"&gt;33.7&lt;/D&gt;&lt;D xsi:type="xsd:double"&gt;33.7&lt;/D&gt;&lt;D xsi:type="xsd:double"&gt;33.7&lt;/D&gt;&lt;D xsi:type="xsd:double"&gt;33.7&lt;/D&gt;&lt;D xsi:type="xsd:double"&gt;33.7&lt;/D&gt;&lt;D xsi:type="xsd:double"&gt;33.3&lt;/D&gt;&lt;D xsi:type="xsd:double"&gt;33.3&lt;/D&gt;&lt;D xsi:type="xsd:double"&gt;33.3&lt;/D&gt;&lt;D xsi:type="xsd:double"&gt;33.3&lt;/D&gt;&lt;D xsi:type="xsd:double"&gt;33.3&lt;/D&gt;&lt;D xsi:type="xsd:double"&gt;34.4&lt;/D&gt;&lt;D xsi:type="xsd:double"&gt;34.4&lt;/D&gt;&lt;D xsi:type="xsd:double"&gt;34.4&lt;/D&gt;&lt;D xsi:type="xsd:double"&gt;34.4&lt;/D&gt;&lt;D xsi:type="xsd:double"&gt;34.4&lt;/D&gt;&lt;D xsi:type="xsd:double"&gt;36.3&lt;/D&gt;&lt;D xsi:type="xsd:double"&gt;36.3&lt;/D&gt;&lt;D xsi:type="xsd:double"&gt;36.3&lt;/D&gt;&lt;D xsi:type="xsd:double"&gt;36.3&lt;/D&gt;&lt;D xsi:type="xsd:double"&gt;36.3&lt;/D&gt;&lt;D xsi:type="xsd:double"&gt;35.6&lt;/D&gt;&lt;D xsi:type="xsd:double"&gt;35.6&lt;/D&gt;&lt;D xsi:type="xsd:double"&gt;35.6&lt;/D&gt;&lt;D xsi:type="xsd:double"&gt;35.6&lt;/D&gt;&lt;D xsi:type="xsd:double"&gt;35.6&lt;/D&gt;&lt;D xsi:type="xsd:double"&gt;34.4&lt;/D&gt;&lt;D xsi:type="xsd:double"&gt;34.4&lt;/D&gt;&lt;D xsi:type="xsd:double"&gt;34.4&lt;/D&gt;&lt;D xsi:type="xsd:double"&gt;34.4&lt;/D&gt;&lt;D xsi:type="xsd:double"&gt;34.4&lt;/D&gt;&lt;D xsi:type="xsd:double"&gt;31.5&lt;/D&gt;&lt;D xsi:type="xsd:double"&gt;31.5&lt;/D&gt;&lt;D xsi:type="xsd:double"&gt;31.5&lt;/D&gt;&lt;D xsi:type="xsd:double"&gt;31.5&lt;/D&gt;&lt;D xsi:type="xsd:double"&gt;31.5&lt;/D&gt;&lt;D xsi:type="xsd:double"&gt;29.8&lt;/D&gt;&lt;D xsi:type="xsd:double"&gt;29.8&lt;/D&gt;&lt;D xsi:type="xsd:double"&gt;29.8&lt;/D&gt;&lt;D xsi:type="xsd:double"&gt;29.8&lt;/D&gt;&lt;D xsi:type="xsd:double"&gt;29.8&lt;/D&gt;&lt;D xsi:type="xsd:double"&gt;27.6&lt;/D&gt;&lt;D xsi:type="xsd:double"&gt;27.6&lt;/D&gt;&lt;D xsi:type="xsd:double"&gt;27.6&lt;/D&gt;&lt;D xsi:type="xsd:double"&gt;27.6&lt;/D&gt;&lt;D xsi:type="xsd:double"&gt;27.6&lt;/D&gt;&lt;D xsi:type="xsd:double"&gt;25.3&lt;/D&gt;&lt;D xsi:type="xsd:double"&gt;25.3&lt;/D&gt;&lt;D xsi:type="xsd:double"&gt;25.3&lt;/D&gt;&lt;D xsi:type="xsd:double"&gt;25.3&lt;/D&gt;&lt;D xsi:type="xsd:double"&gt;25.3&lt;/D&gt;&lt;D xsi:type="xsd:double"&gt;26.8&lt;/D&gt;&lt;D xsi:type="xsd:double"&gt;26.8&lt;/D&gt;&lt;D xsi:type="xsd:double"&gt;26.8&lt;/D&gt;&lt;D xsi:type="xsd:double"&gt;26.8&lt;/D&gt;&lt;D xsi:type="xsd:double"&gt;26.8&lt;/D&gt;&lt;D xsi:type="xsd:double"&gt;28.6&lt;/D&gt;&lt;D xsi:type="xsd:double"&gt;28.6&lt;/D&gt;&lt;D xsi:type="xsd:double"&gt;28.6&lt;/D&gt;&lt;D xsi:type="xsd:double"&gt;28.6&lt;/D&gt;&lt;D xsi:type="xsd:double"&gt;28.6&lt;/D&gt;&lt;D xsi:type="xsd:double"&gt;25.8&lt;/D&gt;&lt;D xsi:type="xsd:double"&gt;25.8&lt;/D&gt;&lt;D xsi:type="xsd:double"&gt;25.8&lt;/D&gt;&lt;D xsi:type="xsd:double"&gt;25.8&lt;/D&gt;&lt;D xsi:type="xsd:double"&gt;25.8&lt;/D&gt;&lt;D xsi:type="xsd:double"&gt;26&lt;/D&gt;&lt;D xsi:type="xsd:double"&gt;26&lt;/D&gt;&lt;D xsi:type="xsd:double"&gt;26&lt;/D&gt;&lt;D xsi:type="xsd:double"&gt;26&lt;/D&gt;&lt;D xsi:type="xsd:double"&gt;26&lt;/D&gt;&lt;D xsi:type="xsd:double"&gt;24.5&lt;/D&gt;&lt;D xsi:type="xsd:double"&gt;24.5&lt;/D&gt;&lt;D xsi:type="xsd:double"&gt;24.5&lt;/D&gt;&lt;D xsi:type="xsd:double"&gt;24.5&lt;/D&gt;&lt;D xsi:type="xsd:double"&gt;24.5&lt;/D&gt;&lt;D xsi:type="xsd:double"&gt;27.8&lt;/D&gt;&lt;D xsi:type="xsd:double"&gt;27.8&lt;/D&gt;&lt;D xsi:type="xsd:double"&gt;27.8&lt;/D&gt;&lt;D xsi:type="xsd:double"&gt;27.8&lt;/D&gt;&lt;D xsi:type="xsd:double"&gt;27.8&lt;/D&gt;&lt;D xsi:type="xsd:double"&gt;28.3&lt;/D&gt;&lt;D xsi:type="xsd:double"&gt;28.3&lt;/D&gt;&lt;D xsi:type="xsd:double"&gt;28.3&lt;/D&gt;&lt;D xsi:type="xsd:double"&gt;28.3&lt;/D&gt;&lt;D xsi:type="xsd:double"&gt;28.3&lt;/D&gt;&lt;D xsi:type="xsd:double"&gt;30.5&lt;/D&gt;&lt;D xsi:type="xsd:double"&gt;30.5&lt;/D&gt;&lt;D xsi:type="xsd:double"&gt;30.5&lt;/D&gt;&lt;D xsi:type="xsd:double"&gt;30.5&lt;/D&gt;&lt;D xsi:type="xsd:double"&gt;30.5&lt;/D&gt;&lt;D xsi:type="xsd:double"&gt;33&lt;/D&gt;&lt;D xsi:type="xsd:double"&gt;33&lt;/D&gt;&lt;D xsi:type="xsd:double"&gt;33&lt;/D&gt;&lt;D xsi:type="xsd:double"&gt;33&lt;/D&gt;&lt;D xsi:type="xsd:double"&gt;33&lt;/D&gt;&lt;D xsi:type="xsd:double"&gt;31.3&lt;/D&gt;&lt;D xsi:type="xsd:double"&gt;31.3&lt;/D&gt;&lt;D xsi:type="xsd:double"&gt;31</t>
        </r>
      </text>
    </comment>
    <comment ref="A6" authorId="0" shapeId="0" xr:uid="{862EF74F-7B36-4302-804F-2AF5DABF0B32}">
      <text>
        <r>
          <rPr>
            <b/>
            <sz val="9"/>
            <color indexed="81"/>
            <rFont val="Tahoma"/>
            <charset val="1"/>
          </rPr>
          <t>.3&lt;/D&gt;&lt;D xsi:type="xsd:double"&gt;31.3&lt;/D&gt;&lt;D xsi:type="xsd:double"&gt;31.3&lt;/D&gt;&lt;D xsi:type="xsd:double"&gt;30.8&lt;/D&gt;&lt;D xsi:type="xsd:double"&gt;30.8&lt;/D&gt;&lt;D xsi:type="xsd:double"&gt;30.8&lt;/D&gt;&lt;D xsi:type="xsd:double"&gt;30.8&lt;/D&gt;&lt;D xsi:type="xsd:double"&gt;30.8&lt;/D&gt;&lt;D xsi:type="xsd:double"&gt;29.5&lt;/D&gt;&lt;D xsi:type="xsd:double"&gt;29.5&lt;/D&gt;&lt;D xsi:type="xsd:double"&gt;29.5&lt;/D&gt;&lt;D xsi:type="xsd:double"&gt;29.5&lt;/D&gt;&lt;D xsi:type="xsd:double"&gt;29.5&lt;/D&gt;&lt;D xsi:type="xsd:double"&gt;27.7&lt;/D&gt;&lt;D xsi:type="xsd:double"&gt;27.7&lt;/D&gt;&lt;D xsi:type="xsd:double"&gt;27.7&lt;/D&gt;&lt;D xsi:type="xsd:double"&gt;27.7&lt;/D&gt;&lt;D xsi:type="xsd:double"&gt;27.7&lt;/D&gt;&lt;D xsi:type="xsd:double"&gt;25.3&lt;/D&gt;&lt;D xsi:type="xsd:double"&gt;25.3&lt;/D&gt;&lt;D xsi:type="xsd:double"&gt;25.3&lt;/D&gt;&lt;D xsi:type="xsd:double"&gt;25.3&lt;/D&gt;&lt;D xsi:type="xsd:double"&gt;25.3&lt;/D&gt;&lt;D xsi:type="xsd:double"&gt;25.8&lt;/D&gt;&lt;D xsi:type="xsd:double"&gt;25.8&lt;/D&gt;&lt;D xsi:type="xsd:double"&gt;25.8&lt;/D&gt;&lt;D xsi:type="xsd:double"&gt;25.8&lt;/D&gt;&lt;D xsi:type="xsd:double"&gt;25.8&lt;/D&gt;&lt;D xsi:type="xsd:double"&gt;25.3&lt;/D&gt;&lt;D xsi:type="xsd:double"&gt;25.3&lt;/D&gt;&lt;D xsi:type="xsd:double"&gt;25.3&lt;/D&gt;&lt;D xsi:type="xsd:double"&gt;25.3&lt;/D&gt;&lt;D xsi:type="xsd:double"&gt;25.3&lt;/D&gt;&lt;D xsi:type="xsd:double"&gt;22.9&lt;/D&gt;&lt;D xsi:type="xsd:double"&gt;22.9&lt;/D&gt;&lt;D xsi:type="xsd:double"&gt;22.9&lt;/D&gt;&lt;D xsi:type="xsd:double"&gt;22.9&lt;/D&gt;&lt;D xsi:type="xsd:double"&gt;22.9&lt;/D&gt;&lt;D xsi:type="xsd:double"&gt;22.1&lt;/D&gt;&lt;D xsi:type="xsd:double"&gt;22.1&lt;/D&gt;&lt;D xsi:type="xsd:double"&gt;22.1&lt;/D&gt;&lt;D xsi:type="xsd:double"&gt;22.1&lt;/D&gt;&lt;D xsi:type="xsd:double"&gt;22.1&lt;/D&gt;&lt;D xsi:type="xsd:double"&gt;23.7&lt;/D&gt;&lt;D xsi:type="xsd:double"&gt;23.7&lt;/D&gt;&lt;D xsi:type="xsd:double"&gt;23.7&lt;/D&gt;&lt;D xsi:type="xsd:double"&gt;23.7&lt;/D&gt;&lt;D xsi:type="xsd:double"&gt;23.7&lt;/D&gt;&lt;D xsi:type="xsd:double"&gt;20.8&lt;/D&gt;&lt;D xsi:type="xsd:double"&gt;20.8&lt;/D&gt;&lt;D xsi:type="xsd:double"&gt;20.8&lt;/D&gt;&lt;D xsi:type="xsd:double"&gt;20.8&lt;/D&gt;&lt;D xsi:type="xsd:double"&gt;20.8&lt;/D&gt;&lt;D xsi:type="xsd:double"&gt;21&lt;/D&gt;&lt;D xsi:type="xsd:double"&gt;21&lt;/D&gt;&lt;D xsi:type="xsd:double"&gt;21&lt;/D&gt;&lt;D xsi:type="xsd:double"&gt;21&lt;/D&gt;&lt;D xsi:type="xsd:double"&gt;21&lt;/D&gt;&lt;D xsi:type="xsd:double"&gt;21.6&lt;/D&gt;&lt;D xsi:type="xsd:double"&gt;21.6&lt;/D&gt;&lt;D xsi:type="xsd:double"&gt;21.6&lt;/D&gt;&lt;D xsi:type="xsd:double"&gt;21.6&lt;/D&gt;&lt;D xsi:type="xsd:double"&gt;21.6&lt;/D&gt;&lt;D xsi:type="xsd:double"&gt;21.9&lt;/D&gt;&lt;D xsi:type="xsd:double"&gt;21.9&lt;/D&gt;&lt;D xsi:type="xsd:double"&gt;21.9&lt;/D&gt;&lt;D xsi:type="xsd:double"&gt;21.9&lt;/D&gt;&lt;D xsi:type="xsd:double"&gt;21.9&lt;/D&gt;&lt;D xsi:type="xsd:double"&gt;21.1&lt;/D&gt;&lt;D xsi:type="xsd:double"&gt;21.1&lt;/D&gt;&lt;D xsi:type="xsd:double"&gt;21.1&lt;/D&gt;&lt;D xsi:type="xsd:double"&gt;21.1&lt;/D&gt;&lt;D xsi:type="xsd:double"&gt;21.1&lt;/D&gt;&lt;D xsi:type="xsd:double"&gt;23.2&lt;/D&gt;&lt;D xsi:type="xsd:double"&gt;23.2&lt;/D&gt;&lt;D xsi:type="xsd:double"&gt;23.2&lt;/D&gt;&lt;D xsi:type="xsd:double"&gt;23.2&lt;/D&gt;&lt;D xsi:type="xsd:double"&gt;23.2&lt;/D&gt;&lt;D xsi:type="xsd:double"&gt;22.9&lt;/D&gt;&lt;D xsi:type="xsd:double"&gt;22.9&lt;/D&gt;&lt;D xsi:type="xsd:double"&gt;22.9&lt;/D&gt;&lt;D xsi:type="xsd:double"&gt;22.9&lt;/D&gt;&lt;D xsi:type="xsd:double"&gt;22.9&lt;/D&gt;&lt;D xsi:type="xsd:double"&gt;24.7&lt;/D&gt;&lt;D xsi:type="xsd:double"&gt;24.7&lt;/D&gt;&lt;D xsi:type="xsd:double"&gt;24.7&lt;/D&gt;&lt;D xsi:type="xsd:double"&gt;24.7&lt;/D&gt;&lt;D xsi:type="xsd:double"&gt;24.7&lt;/D&gt;&lt;D xsi:type="xsd:double"&gt;26.8&lt;/D&gt;&lt;D xsi:type="xsd:double"&gt;26.8&lt;/D&gt;&lt;D xsi:type="xsd:double"&gt;26.8&lt;/D&gt;&lt;D xsi:type="xsd:double"&gt;26.8&lt;/D&gt;&lt;D xsi:type="xsd:double"&gt;26.8&lt;/D&gt;&lt;D xsi:type="xsd:double"&gt;29.2&lt;/D&gt;&lt;D xsi:type="xsd:double"&gt;29.2&lt;/D&gt;&lt;D xsi:type="xsd:double"&gt;29.2&lt;/D&gt;&lt;D xsi:type="xsd:double"&gt;29.2&lt;/D&gt;&lt;D xsi:type="xsd:double"&gt;29.2&lt;/D&gt;&lt;D xsi:type="xsd:double"&gt;29.5&lt;/D&gt;&lt;D xsi:type="xsd:double"&gt;29.5&lt;/D&gt;&lt;D xsi:type="xsd:double"&gt;29.5&lt;/D&gt;&lt;D xsi:type="xsd:double"&gt;29.5&lt;/D&gt;&lt;D xsi:type="xsd:double"&gt;29.5&lt;/D&gt;&lt;D xsi:type="xsd:double"&gt;29.2&lt;/D&gt;&lt;D xsi:type="xsd:double"&gt;29.2&lt;/D&gt;&lt;D xsi:type="xsd:double"&gt;29.2&lt;/D&gt;&lt;D xsi:type="xsd:double"&gt;29.2&lt;/D&gt;&lt;D xsi:type="xsd:double"&gt;29.2&lt;/D&gt;&lt;D xsi:type="xsd:double"&gt;27.8&lt;/D&gt;&lt;D xsi:type="xsd:double"&gt;27.8&lt;/D&gt;&lt;D xsi:type="xsd:double"&gt;27.8&lt;/D&gt;&lt;D xsi:type="xsd:double"&gt;27.8&lt;/D&gt;&lt;D xsi:type="xsd:double"&gt;27.8&lt;/D&gt;&lt;D xsi:type="xsd:double"&gt;26.6&lt;/D&gt;&lt;D xsi:type="xsd:double"&gt;26.6&lt;/D&gt;&lt;D xsi:type="xsd:double"&gt;26.6&lt;/D&gt;&lt;D xsi:type="xsd:double"&gt;26.6&lt;/D&gt;&lt;D xsi:type="xsd:double"&gt;26.6&lt;/D&gt;&lt;D xsi:type="xsd:double"&gt;25.5&lt;/D&gt;&lt;D xsi:type="xsd:double"&gt;25.5&lt;/D&gt;&lt;D xsi:type="xsd:double"&gt;25.5&lt;/D&gt;&lt;D xsi:type="xsd:double"&gt;25.5&lt;/D&gt;&lt;D xsi:type="xsd:double"&gt;25.5&lt;/D&gt;&lt;D xsi:type="xsd:double"&gt;26.6&lt;/D&gt;&lt;D xsi:type="xsd:double"&gt;26.6&lt;/D&gt;&lt;D xsi:type="xsd:double"&gt;26.6&lt;/D&gt;&lt;D xsi:type="xsd:double"&gt;26.6&lt;/D&gt;&lt;D xsi:type="xsd:double"&gt;26.6&lt;/D&gt;&lt;D xsi:type="xsd:double"&gt;28.1&lt;/D&gt;&lt;D xsi:type="xsd:double"&gt;28.1&lt;/D&gt;&lt;D xsi:type="xsd:double"&gt;28.1&lt;/D&gt;&lt;D xsi:type="xsd:double"&gt;28.1&lt;/D&gt;&lt;D xsi:type="xsd:double"&gt;28.1&lt;/D&gt;&lt;D xsi:type="xsd:double"&gt;27.3&lt;/D&gt;&lt;D xsi:type="xsd:double"&gt;27.3&lt;/D&gt;&lt;D xsi:type="xsd:double"&gt;27.3&lt;/D&gt;&lt;D xsi:type="xsd:double"&gt;27.3&lt;/D&gt;&lt;D xsi:type="xsd:double"&gt;27.3&lt;/D&gt;&lt;D xsi:type="xsd:double"&gt;25&lt;/D&gt;&lt;D xsi:type="xsd:double"&gt;25&lt;/D&gt;&lt;D xsi:type="xsd:double"&gt;25&lt;/D&gt;&lt;D xsi:type="xsd:double"&gt;25&lt;/D&gt;&lt;D xsi:type="xsd:double"&gt;25&lt;/D&gt;&lt;D xsi:type="xsd:double"&gt;22.5&lt;/D&gt;&lt;D xsi:type="xsd:double"&gt;22.5&lt;/D&gt;&lt;D xsi:type="xsd:double"&gt;22.5&lt;/D&gt;&lt;D xsi:type="xsd:double"&gt;22.5&lt;/D&gt;&lt;D xsi:type="xsd:double"&gt;22.5&lt;/D&gt;&lt;D xsi:type="xsd:double"&gt;19.3&lt;/D&gt;&lt;D xsi:type="xsd:double"&gt;19.3&lt;/D&gt;&lt;D xsi:type="xsd:double"&gt;19.3&lt;/D&gt;&lt;D xsi:type="xsd:double"&gt;19.3&lt;/D&gt;&lt;D xsi:type="xsd:double"&gt;19.3&lt;/D&gt;&lt;D xsi:type="xsd:double"&gt;22.5&lt;/D&gt;&lt;D xsi:type="xsd:double"&gt;22.5&lt;/D&gt;&lt;D xsi:type="xsd:double"&gt;22.5&lt;/D&gt;&lt;D xsi:type="xsd:double"&gt;22.5&lt;/D&gt;&lt;D xsi:type="xsd:double"&gt;22.5&lt;/D&gt;&lt;D xsi:type="xsd:double"&gt;22.6&lt;/D&gt;&lt;D xsi:type="xsd:double"&gt;22.6&lt;/D&gt;&lt;D xsi:type="xsd:double"&gt;22.6&lt;/D&gt;&lt;D xsi:type="xsd:double"&gt;22.6&lt;/D&gt;&lt;D xsi:type="xsd:double"&gt;22.6&lt;/D&gt;&lt;D xsi:type="xsd:double"&gt;23.1&lt;/D&gt;&lt;D xsi:type="xsd:double"&gt;23.1&lt;/D&gt;&lt;D xsi:type="xsd:double"&gt;23.1&lt;/D&gt;&lt;D xsi:type="xsd:double"&gt;23.1&lt;/D&gt;&lt;D xsi:type="xsd:double"&gt;23.1&lt;/D&gt;&lt;D xsi:type="xsd:double"&gt;22.2&lt;/D&gt;&lt;D xsi:type="xsd:double"&gt;22.2&lt;/D&gt;&lt;D xsi:type="xsd:double"&gt;22.2&lt;/D&gt;&lt;D xsi:type="xsd:double"&gt;22.2&lt;/D&gt;&lt;D xsi:type="xsd:double"&gt;22.2&lt;/D&gt;&lt;D xsi:type="xsd:double"&gt;21.4&lt;/D&gt;&lt;D xsi:type="xsd:double"&gt;21.4&lt;/D&gt;&lt;D xsi:type="xsd:double"&gt;21.4&lt;/D&gt;&lt;D xsi:type="xsd:double"&gt;21.4&lt;/D&gt;&lt;D xsi:type="xsd:double"&gt;21.4&lt;/D&gt;&lt;D xsi:type="xsd:double"&gt;19.1&lt;/D&gt;&lt;D xsi:type="xsd:double"&gt;19.1&lt;/D&gt;&lt;D xsi:type="xsd:double"&gt;19.1&lt;/D&gt;&lt;D xsi:type="xsd:double"&gt;19.1&lt;/D&gt;&lt;D xsi:type="xsd:double"&gt;19.1&lt;/D&gt;&lt;D xsi:type="xsd:double"&gt;20.2&lt;/D&gt;&lt;D xsi:type="xsd:double"&gt;20.2&lt;/D&gt;&lt;D xsi:type="xsd:double"&gt;20.2&lt;/D&gt;&lt;D xsi:type="xsd:double"&gt;20.2&lt;/D&gt;&lt;D xsi:type="xsd:double"&gt;20.2&lt;/D&gt;&lt;D xsi:type="xsd:double"&gt;20.4&lt;/D&gt;&lt;D xsi:type="xsd:double"&gt;20.4&lt;/D&gt;&lt;D xsi:type="xsd:double"&gt;20.4&lt;/D&gt;&lt;D xsi:type="xsd:double"&gt;20.4&lt;/D&gt;&lt;D xsi:type="xsd:double"&gt;20.4&lt;/D&gt;&lt;D xsi:type="xsd:double"&gt;20.9&lt;/D&gt;&lt;D xsi:type="xsd:double"&gt;20.9&lt;/D&gt;&lt;D xsi:type="xsd:double"&gt;20.9&lt;/D&gt;&lt;D xsi:type="xsd:double"&gt;20.9&lt;/D&gt;&lt;D xsi:type="xsd:double"&gt;20.9&lt;/D&gt;&lt;D xsi:type="xsd:double"&gt;25&lt;/D&gt;&lt;D xsi:type="xsd:double"&gt;25&lt;/D&gt;&lt;D xsi:type="xsd:double"&gt;25&lt;/D&gt;&lt;D xsi:type="xsd:double"&gt;25&lt;/D&gt;&lt;D xsi:type="xsd:double"&gt;25&lt;/D&gt;&lt;D xsi:type="xsd:double"&gt;26.1&lt;/D&gt;&lt;D xsi:type="xsd:double"&gt;26.1&lt;/D&gt;&lt;D xsi:type="xsd:double"&gt;26.1&lt;/D&gt;&lt;D xsi:type="xsd:double"&gt;26.1&lt;/D&gt;&lt;D xsi:type="xsd:double"&gt;26.1&lt;/D&gt;&lt;D xsi:type="xsd:double"&gt;28.6&lt;/D&gt;&lt;D xsi:type="xsd:double"&gt;28.6&lt;/D&gt;&lt;D xsi:type="xsd:double"&gt;28.6&lt;/D&gt;&lt;D xsi:type="xsd:double"&gt;28.6&lt;/D&gt;&lt;D xsi:type="xsd:double"&gt;28.6&lt;/D&gt;&lt;D xsi:type="xsd:double"&gt;28&lt;/D&gt;&lt;D xsi:type="xsd:double"&gt;28&lt;/D&gt;&lt;D xsi:type="xsd:double"&gt;28&lt;/D&gt;&lt;D xsi:type="xsd:double"&gt;28&lt;/D&gt;&lt;D xsi:type="xsd:double"&gt;28&lt;/D&gt;&lt;D xsi:type="xsd:double"&gt;30.4&lt;/D&gt;&lt;D xsi:type="xsd:double"&gt;30.4&lt;/D&gt;&lt;D xsi:type="xsd:double"&gt;30.4&lt;/D&gt;&lt;D xsi:type="xsd:double"&gt;30.4&lt;/D&gt;&lt;D xsi:type="xsd:double"&gt;30.4&lt;/D&gt;&lt;D xsi:type="xsd:double"&gt;29.7&lt;/D&gt;&lt;D xsi:type="xsd:double"&gt;29.7&lt;/D&gt;&lt;D xsi:type="xsd:double"&gt;29.7&lt;/D&gt;&lt;D xsi:type="xsd:double"&gt;29.7&lt;/D&gt;&lt;D xsi:type="xsd:double"&gt;29.7&lt;/D&gt;&lt;D xsi:type="xsd:double"&gt;26.9&lt;/D&gt;&lt;D xsi:type="xsd:double"&gt;26.9&lt;/D&gt;&lt;D xsi:type="xsd:double"&gt;26.9&lt;/D&gt;&lt;D xsi:type="xsd:double"&gt;26.9&lt;/D&gt;&lt;D xsi:type="xsd:double"&gt;26.9&lt;/D&gt;&lt;D xsi:type="xsd:double"&gt;29&lt;/D&gt;&lt;D xsi:type="xsd:double"&gt;29&lt;/D&gt;&lt;D xsi:type="xsd:double"&gt;29&lt;/D&gt;&lt;D xsi:type="xsd:double"&gt;29&lt;/D&gt;&lt;D xsi:type="xsd:double"&gt;29&lt;/D&gt;&lt;D xsi:type="xsd:double"&gt;29.2&lt;/D&gt;&lt;D xsi:type="xsd:double"&gt;29.2&lt;/D&gt;&lt;D xsi:type="xsd:double"&gt;29.2&lt;/D&gt;&lt;D xsi:type="xsd:double"&gt;29.2&lt;/D&gt;&lt;D xsi:type="xsd:double"&gt;29.2&lt;/D&gt;&lt;D xsi:type="xsd:double"&gt;28&lt;/D&gt;&lt;D xsi:type="xsd:double"&gt;28&lt;/D&gt;&lt;D xsi:type="xsd:double"&gt;28&lt;/D&gt;&lt;D xsi:type="xsd:double"&gt;28&lt;/D&gt;&lt;D xsi:type="xsd:double"&gt;28&lt;/D&gt;&lt;D xsi:type="xsd:double"&gt;27.8&lt;/D&gt;&lt;D xsi:type="xsd:double"&gt;27.8&lt;/D&gt;&lt;D xsi:type="xsd:double"&gt;27.8&lt;/D&gt;&lt;D xsi:type="xsd:double"&gt;27.8&lt;/D&gt;&lt;D xsi:type="xsd:double"&gt;27.8&lt;/D&gt;&lt;D xsi:type="xsd:double"&gt;24.3&lt;/D&gt;&lt;D xsi:type="xsd:double"&gt;24.3&lt;/D&gt;&lt;D xsi:type="xsd:double"&gt;24.3&lt;/D&gt;&lt;D xsi:type="xsd:double"&gt;24.3&lt;/D&gt;&lt;D xsi:type="xsd:double"&gt;24.3&lt;/D&gt;&lt;D xsi:type="xsd:double"&gt;21.6&lt;/D&gt;&lt;D xsi:type="xsd:double"&gt;21.6&lt;/D&gt;&lt;D xsi:type="xsd:double"&gt;21.6&lt;/D&gt;&lt;D xsi:type="xsd:double"&gt;21.6&lt;/D&gt;&lt;D xsi:type="xsd:double"&gt;21.6&lt;/D&gt;&lt;D xsi:type="xsd:double"&gt;22.1&lt;/D&gt;&lt;D xsi:type="xsd:double"&gt;22.1&lt;/D&gt;&lt;D xsi:type="xsd:double"&gt;22.1&lt;/D&gt;&lt;D xsi:type="xsd:double"&gt;22.1&lt;/D&gt;&lt;D xsi:type="xsd:double"&gt;22.1&lt;/D&gt;&lt;D xsi:type="xsd:double"&gt;21.4&lt;/D&gt;&lt;D xsi:type="xsd:double"&gt;21.4&lt;/D&gt;&lt;D xsi:type="xsd:double"&gt;21.4&lt;/D&gt;&lt;D xsi:type="xsd:double"&gt;21.4&lt;/D&gt;&lt;D xsi:type="xsd:double"&gt;21.4&lt;/D&gt;&lt;D xsi:type="xsd:double"&gt;21.2&lt;/D&gt;&lt;D xsi:type="xsd:double"&gt;21.2&lt;/D&gt;&lt;D xsi:type="xsd:double"&gt;21.2&lt;/D&gt;&lt;D xsi:type="xsd:double"&gt;21.2&lt;/D&gt;&lt;D xsi:type="xsd:double"&gt;21.2&lt;/D&gt;&lt;D xsi:type="xsd:double"&gt;23.2&lt;/D&gt;&lt;D xsi:type="xsd:double"&gt;23.2&lt;/D&gt;&lt;D xsi:type="xsd:double"&gt;23.2&lt;/D&gt;&lt;D xsi:type="xsd:double"&gt;23.2&lt;/D&gt;&lt;D xsi:type="xsd:double"&gt;23.2&lt;/D&gt;&lt;D xsi:type="xsd:double"&gt;25.3&lt;/D&gt;&lt;D xsi:type="xsd:double"&gt;25.3&lt;/D&gt;&lt;D xsi:type="xsd:double"&gt;25.3&lt;/D&gt;&lt;D xsi:type="xsd:double"&gt;25.3&lt;/D&gt;&lt;D xsi:type="xsd:double"&gt;25.3&lt;/D&gt;&lt;D xsi:type="xsd:double"&gt;24&lt;/D&gt;&lt;D xsi:type="xsd:double"&gt;24&lt;/D&gt;&lt;D xsi:type="xsd:double"&gt;24&lt;/D&gt;&lt;D xsi:type="xsd:double"&gt;24&lt;/D&gt;&lt;D xsi:type="xsd:double"&gt;24&lt;/D&gt;&lt;D xsi:type="xsd:double"&gt;24.7&lt;/D&gt;&lt;D xsi:type="xsd:double"&gt;24.7&lt;/D&gt;&lt;D xsi:type="xsd:double"&gt;24.7&lt;/D&gt;&lt;D xsi:type="xsd:double"&gt;24.7&lt;/D&gt;&lt;D xsi:type="xsd:double"&gt;24.7&lt;/D&gt;&lt;D xsi:type="xsd:double"&gt;22.9&lt;/D&gt;&lt;D xsi:type="xsd:double"&gt;22.9&lt;/D&gt;&lt;D xsi:type="xsd:double"&gt;22.9&lt;/D&gt;&lt;D xsi:type="xsd:double"&gt;22.9&lt;/D&gt;&lt;D xsi:type="xsd:double"&gt;22.9&lt;/D&gt;&lt;D xsi:type="xsd:double"&gt;20.6&lt;/D&gt;&lt;D xsi:type="xsd:double"&gt;20.6&lt;/D&gt;&lt;D xsi:type="xsd:double"&gt;20.6&lt;/D&gt;&lt;D xsi:type="xsd:double"&gt;20.6&lt;/D&gt;&lt;D xsi:type="xsd:double"&gt;20.6&lt;/D&gt;&lt;D xsi:type="xsd:double"&gt;19.6&lt;/D&gt;&lt;D xsi:type="xsd:double"&gt;19.6&lt;/D&gt;&lt;D xsi:type="xsd:double"&gt;19.6&lt;/D&gt;&lt;D xsi:type="xsd:double"&gt;19.6&lt;/D&gt;&lt;D xsi:type="xsd:double"&gt;19.6&lt;/D&gt;&lt;D xsi:type="xsd:double"&gt;20.4&lt;/D&gt;&lt;D xsi:type="xsd:double"&gt;20.4&lt;/D&gt;&lt;D xsi:type="xsd:double"&gt;20.4&lt;/D&gt;&lt;D xsi:type="xsd:double"&gt;20.4&lt;/D&gt;&lt;D xsi:type="xsd:double"&gt;20.4&lt;/D&gt;&lt;D xsi:type="xsd:double"&gt;21.1&lt;/D&gt;&lt;D xsi:type="xsd:double"&gt;21.1&lt;/D&gt;&lt;D xsi:type="xsd:double"&gt;21.1&lt;/D&gt;&lt;D xsi:type="xsd:double"&gt;21.1&lt;/D&gt;&lt;D xsi:type="xsd:double"&gt;21.1&lt;/D&gt;&lt;D xsi:type="xsd:double"&gt;21.7&lt;/D&gt;&lt;D xsi:type="xsd:double"&gt;21.7&lt;/D&gt;&lt;D xsi:type="xsd:double"&gt;21.7&lt;/D&gt;&lt;D xsi:type="xsd:double"&gt;21.7&lt;/D&gt;&lt;D xsi:type="xsd:double"&gt;21.7&lt;/D&gt;&lt;D xsi:type="xsd:double"&gt;22.9&lt;/D&gt;&lt;D xsi:type="xsd:double"&gt;22.9&lt;/D&gt;&lt;D xsi:type="xsd:double"&gt;22.9&lt;/D&gt;&lt;D xsi:type="xsd:double"&gt;22.9&lt;/D&gt;&lt;D xsi:type="xsd:double"&gt;22.9&lt;/D&gt;&lt;D xsi:type="xsd:double"&gt;23.5&lt;/D&gt;&lt;D xsi:type="xsd:double"&gt;23.5&lt;/D&gt;&lt;D xsi:type="xsd:double"&gt;23.5&lt;/D&gt;&lt;D xsi:type="xsd:double"&gt;23.5&lt;/D&gt;&lt;D xsi:type="xsd:double"&gt;23.5&lt;/D&gt;&lt;D xsi:type="xsd:double"&gt;22.4&lt;/D&gt;&lt;D xsi:type="xsd:double"&gt;22.4&lt;/D&gt;&lt;D xsi:type="xsd:double"&gt;22.4&lt;/D&gt;&lt;D xsi:type="xsd:double"&gt;22.4&lt;/D&gt;&lt;D xsi:type="xsd:double"&gt;22.4&lt;/D&gt;&lt;D xsi:type="xsd:double"&gt;22.6&lt;/D&gt;&lt;D xsi:type="xsd:double"&gt;22.6&lt;/D&gt;&lt;D xsi:type="xsd:double"&gt;22.6&lt;/D&gt;&lt;D xsi:type="xsd:double"&gt;22.6&lt;/D&gt;&lt;D xsi:type="xsd:double"&gt;22.6&lt;/D&gt;&lt;D xsi:type="xsd:double"&gt;23.7&lt;/D&gt;&lt;D xsi:type="xsd:double"&gt;23.7&lt;/D&gt;&lt;D xsi:type="xsd:double"&gt;23.7&lt;/D&gt;&lt;D xsi:type="xsd:double"&gt;23.7&lt;/D&gt;&lt;D xsi:type="xsd:double"&gt;23.7&lt;/D&gt;&lt;D xsi:type="xsd:double"&gt;25.5&lt;/D&gt;&lt;D xsi:type="xsd:double"&gt;25.5&lt;/D&gt;&lt;D xsi:type="xsd:double"&gt;25.5&lt;/D&gt;&lt;D xsi:type="xsd:double"&gt;25.5&lt;/D&gt;&lt;D xsi:type="xsd:double"&gt;25.5&lt;/D&gt;&lt;D xsi:type="xsd:double"&gt;22.1&lt;/D&gt;&lt;D xsi:type="xsd:double"&gt;22.1&lt;/D&gt;&lt;D xsi:type="xsd:double"&gt;22.1&lt;/D&gt;&lt;D xsi:type="xsd:double"&gt;22.1&lt;/D&gt;&lt;D xsi:type="xsd:double"&gt;22.1&lt;/D&gt;&lt;D xsi:type="xsd:double"&gt;23.5&lt;/D&gt;&lt;D xsi:type="xsd:double"&gt;23.5&lt;/D&gt;&lt;D xsi:type="xsd:double"&gt;23.5&lt;/D&gt;&lt;D xsi:type="xsd:double"&gt;23.5&lt;/D&gt;&lt;D xsi:type="xsd:double"&gt;23.5&lt;/D&gt;&lt;D xsi:type="xsd:double"&gt;24.2&lt;/D&gt;&lt;D xsi:type="xsd:double"&gt;24.2&lt;/D&gt;&lt;D xsi:type="xsd:double"&gt;24.2&lt;/D&gt;&lt;D xsi:type="xsd:double"&gt;24.2&lt;/D&gt;&lt;D xsi:type="xsd:double"&gt;24.2&lt;/D&gt;&lt;D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xsi:type="xsd:double"&gt;24.5&lt;/D&gt;&lt;D xsi:type="xsd:double"&gt;24.5&lt;/D&gt;&lt;D xsi:type="xsd:double"&gt;24.5&lt;/D&gt;&lt;D xsi:type="xsd:double"&gt;24.5&lt;/D&gt;&lt;D xsi:type="xsd:double"&gt;24.5&lt;/D&gt;&lt;D xsi:type="xsd:double"&gt;26.5&lt;/D&gt;&lt;D xsi:type="xsd:double"&gt;26.5&lt;/D&gt;&lt;D xsi:type="xsd:double"&gt;26.5&lt;/D&gt;&lt;D xsi:type="xsd:double"&gt;26.5&lt;/D&gt;&lt;D xsi:type="xsd:double"&gt;26.5&lt;/D&gt;&lt;D xsi:type="xsd:double"&gt;27.7&lt;/D&gt;&lt;D xsi:type="xsd:double"&gt;27.7&lt;/D&gt;&lt;D xsi:type="xsd:double"&gt;27.7&lt;/D&gt;&lt;D xsi:type="xsd:double"&gt;27.7&lt;/D&gt;&lt;D xsi:type="xsd:double"&gt;27.7&lt;/D&gt;&lt;D xsi:type="xsd:double"&gt;30.2&lt;/D&gt;&lt;/FQL&gt;&lt;FQL&gt;&lt;Q&gt;QQQ^FG_PRICE(NOW,,,USD)/MAX(FG_PRICE(NOW,-1AY,,USD))&lt;/Q&gt;&lt;R&gt;1&lt;/R&gt;&lt;C&gt;1&lt;/C&gt;&lt;D xsi:type="xsd:double"&gt;0.954867186257356&lt;/D&gt;&lt;/FQL&gt;&lt;FQL&gt;&lt;Q&gt;^ECON_EXPR_DATA('RETURNS(FDS_ECON[US.LMCLAIMS,DIST=STEP,CONV=AVERAGE], -1AY)',0,0/0/-10,M)&lt;/Q&gt;&lt;R&gt;120&lt;/R&gt;&lt;C&gt;1&lt;/C&gt;&lt;D xsi:type="xsd:double"&gt;4.84507042253521&lt;/D&gt;&lt;D xsi:type="xsd:double"&gt;4.67896174863387&lt;/D&gt;&lt;D xsi:type="xsd:double"&gt;4.55618714473109&lt;/D&gt;&lt;D xsi:type="xsd:double"&gt;3.63901018922852&lt;/D&gt;&lt;D xsi:type="xsd:double"&gt;6.69272684198057&lt;/D&gt;&lt;D xsi:type="xsd:double"&gt;8.97377595876914&lt;/D&gt;&lt;D xsi:type="xsd:double"&gt;10.8330742928194&lt;/D&gt;&lt;D xsi:type="xsd:double"&gt;14.7440794499618&lt;/D&gt;&lt;D xsi:type="xsd:double"&gt;23.5987696514012&lt;/D&gt;&lt;D xsi:type="xsd:double"&gt;27.7865821447438&lt;/D&gt;&lt;D xsi:type="xsd:double"&gt;28.9383070301291&lt;/D&gt;&lt;D xsi:type="xsd:double"&gt;27.4669020300088&lt;/D&gt;&lt;D xsi:type="xsd:double"&gt;27.6794705797727&lt;/D&gt;&lt;D xsi:type="xsd:double"&gt;29.1527292777063&lt;/D&gt;&lt;D xsi:type="xsd:double"&gt;26.1909141070443&lt;/D&gt;&lt;D xsi:type="xsd:double"&gt;20.1553099202463&lt;/D&gt;&lt;D xsi:type="xsd:double"&gt;9.17555771096024&lt;/D&gt;&lt;D xsi:type="xsd:double"&gt;0.732936326156675&lt;/D&gt;&lt;D xsi:type="xsd:double"&gt;-6.03183876150139&lt;/D&gt;&lt;D xsi:type="xsd:double"&gt;-8.52550663871419&lt;/D&gt;&lt;D xsi:type="xsd:double"&gt;-24.1182572614108&lt;/D&gt;&lt;D xsi:type="xsd:double"&gt;-39.9073055108778&lt;/D&gt;&lt;D xsi:type="xsd:double"&gt;-48.7122884473878&lt;/D&gt;&lt;D xsi:type="xsd:double"&gt;-49.0557553956835&lt;/D&gt;&lt;D xsi:type="xsd:double"&gt;-53.6816152462184&lt;/D&gt;&lt;D xsi:type="xsd:double"&gt;-58.7302791262136&lt;/D&gt;&lt;D xsi:type="xsd:double"&gt;-62.1167781493869&lt;/D&gt;&lt;D xsi:type="xsd:double"&gt;-62.2011846837317&lt;/D&gt;&lt;D xsi:type="xsd:double"&gt;-61.0967863656374&lt;/D&gt;&lt;D xsi:type="xsd:double"&gt;-63.0563547131494&lt;/D&gt;&lt;D xsi:type="xsd:double"&gt;-65.3814262023217&lt;/D&gt;&lt;D xsi:type="xsd:double"&gt;-68.1084594669886&lt;/D&gt;&lt;D xsi:type="xsd:double"&gt;-67.5871054511831&lt;/D&gt;&lt;D xsi:type="xsd:double"&gt;-69.9850090199965&lt;/D&gt;&lt;D xsi:type="xsd:double"&gt;-77.0133412267163&lt;/D&gt;&lt;D xsi:type="xsd:double"&gt;-79.7124717215208&lt;/D&gt;&lt;D xsi:type="xsd:double"&gt;-81.5880844590035&lt;/D&gt;&lt;D xsi:type="xsd:double"&gt;-81.3558842661991&lt;/D&gt;&lt;D xsi:type="xsd:double"&gt;-82.3480793450882&lt;/D&gt;&lt;D xsi:type="xsd:double"&gt;-77.7970878346642&lt;/D&gt;&lt;D xsi:type="xsd:double"&gt;7.04140020195221&lt;/D&gt;&lt;D xsi:type="xsd:double"&gt;148.904802021904&lt;/D&gt;&lt;D xsi:type="xsd:double"&gt;174.944395017794&lt;/D&gt;&lt;D xsi:type="xsd:double"&gt;204.294998587172&lt;/D&gt;&lt;D xsi:type="xsd:double"&gt;252.969973890339&lt;/D&gt;&lt;D xsi:type="xsd:double"&gt;386.339202965709&lt;/D&gt;&lt;D xsi:type="xsd:double"&gt;647.896900695762&lt;/D&gt;&lt;D xsi:type="xsd:double"&gt;746.07310447024&lt;/D&gt;&lt;D xsi:type="xsd:double"&gt;899.472716125077&lt;/D&gt;&lt;D xsi:type="xsd:double"&gt;983.905579399142&lt;/D&gt;&lt;D xsi:type="xsd:double"&gt;1148.09038437922&lt;/D&gt;&lt;D xsi:type="xsd:double"&gt;922.022202220222&lt;/D&gt;&lt;D xsi:type="xsd:double"&gt;108.614200651612&lt;/D&gt;&lt;D xsi:type="xsd:double"&gt;-1.16569525395503&lt;/D&gt;&lt;D xsi:type="xsd:double"&gt;1.06209609440855&lt;/D&gt;&lt;D xsi:type="xsd:double"&gt;0.340232492203008&lt;/D&gt;&lt;D xsi:type="xsd:double"&gt;-0.0948541617263432&lt;/D&gt;&lt;D xsi:type="xsd:double"&gt;1.61670067493329&lt;/D&gt;&lt;D xsi:type="xsd:double"&gt;2.33009708737864&lt;/D&gt;&lt;D xsi:type="xsd:double"&gt;0.834267214543649&lt;/D&gt;&lt;D xsi:type="xsd:double"&gt;-1.39056831922612&lt;/D&gt;&lt;D xsi:type="xsd:double"&gt;-2.88198166011671&lt;/D&gt;&lt;D xsi:type="xsd:double"&gt;-7.22870976929649&lt;/D&gt;&lt;D xsi:type="xsd:double"&gt;-11.2383488681758&lt;/D&gt;&lt;D xsi:type="xsd:double"&gt;-8.49182687365067&lt;/D&gt;&lt;D xsi:type="xsd:double"&gt;-8.75015828795745&lt;/D&gt;&lt;D xsi:type="xsd:double"&gt;-10.1035615054307&lt;/D&gt;&lt;D xsi:type="xsd:double"&gt;-10.5276509386098&lt;/D&gt;&lt;D xsi:type="xsd:double"&gt;-14.0921823274764&lt;/D&gt;&lt;D xsi:type="xsd:double"&gt;-16.2922086453817&lt;/D&gt;&lt;D xsi:type="xsd:double"&gt;-18.3748943364328&lt;/D&gt;&lt;D xsi:type="xsd:double"&gt;-16.495970886405&lt;/D&gt;&lt;D xsi:type="xsd:double"&gt;-14.3559870550162&lt;/D&gt;&lt;D xsi:type="xsd:double"&gt;-12.3303403633326&lt;/D&gt;&lt;D xsi:type="xsd:double"&gt;-7.42254449571522&lt;/D&gt;&lt;D xsi:type="xsd:double"&gt;-3.55721073584179&lt;/D&gt;&lt;D xsi:type="xsd:double"&gt;-3.31013916500994&lt;/D&gt;&lt;D xsi:type="xsd:double"&gt;-4.15098919771817&lt;/D&gt;&lt;D xsi:type="xsd:double"&gt;-4.87746275828929&lt;/D&gt;&lt;D xsi:type="xsd:double"&gt;-3.77855887521968&lt;/D&gt;&lt;D xsi:type="xsd:double"&gt;-3.97359090353344&lt;/D&gt;&lt;D xsi:type="xsd:double"&gt;-8.1130025353133&lt;/D&gt;&lt;D xsi:type="xsd:double"&gt;-10.020916524054&lt;/D&gt;&lt;D xsi:type="xsd:double"&gt;-10.3263403263403&lt;/D&gt;&lt;D xsi:type="xsd:double"&gt;-9.52637496486462&lt;/D&gt;&lt;D xsi:type="xsd:double"&gt;-11.1811753796221&lt;/D&gt;&lt;D xsi:type="xsd:double"&gt;-12.6051388408803&lt;/D&gt;&lt;D xsi:type="xsd:double"&gt;-9.4113541181945&lt;/D&gt;&lt;D xsi:type="xsd:double"&gt;-7.16345599261737&lt;/D&gt;&lt;D xsi:type="xsd:double"&gt;-6.39627357418768&lt;/D&gt;&lt;D xsi:type="xsd:double"&gt;-5.73473455336112&lt;/D&gt;&lt;D xsi:type="xsd:double"&gt;-7.04934770277935&lt;/D&gt;&lt;D xsi:type="xsd:double"&gt;-7.41453475209418&lt;/D&gt;&lt;D xsi:type="xsd:double"&gt;-6.19903968110165&lt;/D&gt;&lt;D xsi:type="xsd:double"&gt;-6.21489077128845&lt;/D&gt;&lt;D xsi:type="xsd:double"&gt;-4.8041717519139&lt;/D&gt;&lt;D xsi:type="xsd:double"&gt;-5.01067995728017&lt;/D&gt;&lt;D xsi:type="xsd:double"&gt;-5.1456844420011&lt;/D&gt;&lt;D xsi:type="xsd:double"&gt;-4.01035215006194&lt;/D&gt;&lt;D xsi:type="xsd:double"&gt;-5.80758273065966&lt;/D&gt;&lt;D xsi:type="xsd:double"&gt;-6.84504620674834&lt;/D&gt;&lt;D xsi:type="xsd:double"&gt;-5.9715842324538&lt;/D&gt;&lt;D xsi:type="xsd:double"&gt;-6.05157885777513&lt;/D&gt;&lt;D xsi:type="xsd:double"&gt;-7.40546218487395&lt;/D&gt;&lt;D xsi:type="xsd:double"&gt;-8.05578684429642&lt;/D&gt;&lt;D xsi:type="xsd:double"&gt;-8.99497073130514&lt;/D&gt;&lt;D xsi:type="xsd:double"&gt;-8.36482483913798&lt;/D&gt;&lt;D xsi:type="xsd:double"&gt;-10.0427179814756&lt;/D&gt;&lt;D xsi:type="xsd:double"&gt;-11.3005723307677&lt;/D&gt;&lt;D xsi:type="xsd:double"&gt;-12.1680347658136&lt;/D&gt;&lt;D xsi:type="xsd:double"&gt;-15.2583039664092&lt;/D&gt;&lt;D xsi:type="xsd:double"&gt;-16.1521499448732&lt;/D&gt;&lt;D xsi:type="xsd:double"&gt;-16.230083715906&lt;/D&gt;&lt;D xsi:type="xsd:double"&gt;-17.378640776699&lt;/D&gt;&lt;D xsi:type="xsd:double"&gt;-18.1767532557978&lt;/D&gt;&lt;D xsi:type="xsd:double"&gt;-16.7395487143607&lt;/D&gt;&lt;D xsi:type="xsd:double"&gt;-15.7547699214366&lt;/D&gt;&lt;D xsi:type="xsd:double"&gt;-17.16578453133&lt;/D&gt;&lt;D xsi:type="xsd:double"&gt;-15.4709488042821&lt;/D&gt;&lt;D xsi:type="xsd:double"&gt;-14.6401308615049&lt;/D&gt;&lt;/FQL&gt;&lt;FQL&gt;&lt;Q&gt;^SPEC_ID_SOURCE('CC_US:FDS_ECON_RINDPRD_M')&lt;/Q&gt;&lt;R&gt;0&lt;/R&gt;&lt;C&gt;0&lt;/C&gt;&lt;/FQL&gt;&lt;FQL&gt;&lt;Q&gt;^CONVERT_DATE(FDS_ECON_ENDDATE('ISMPRI@M', M),'YYYYMMDD')&lt;/Q&gt;&lt;R&gt;1&lt;/R&gt;&lt;C&gt;1&lt;/C&gt;&lt;D xsi:type="xsd:string"&gt;20240731&lt;/D&gt;&lt;/FQL&gt;&lt;FQL&gt;&lt;Q&gt;^FDS_ECON_DESCRIPTION('ISMPMI@M')&lt;/Q&gt;&lt;R&gt;1&lt;/R&gt;&lt;C&gt;1&lt;/C&gt;&lt;D xsi:type="xsd:string"&gt;ISM Manufacturing PMI - United States&lt;/D&gt;&lt;/FQL&gt;&lt;FQL&gt;&lt;Q&gt;^FDS_ECON_DATA('ISMPRD@M',0,0/0/-10,M,STEP,AVERAGE,1)&lt;/Q&gt;&lt;R&gt;120&lt;/R&gt;&lt;C&gt;1&lt;/C&gt;&lt;D xsi:type="xsd:double"&gt;45.9&lt;/D&gt;&lt;D xsi:type="xsd:double"&gt;48.5&lt;/D&gt;&lt;D xsi:type="xsd:double"&gt;50.2&lt;/D&gt;&lt;D xsi:type="xsd:double"&gt;51.3&lt;/D&gt;&lt;D xsi:type="xsd:double"&gt;54.6&lt;/D&gt;&lt;D xsi:type="xsd:double"&gt;48.4&lt;/D&gt;&lt;D xsi:type="xsd:double"&gt;50.4&lt;/D&gt;&lt;D xsi:type="xsd:double"&gt;49.9&lt;/D&gt;&lt;D xsi:type="xsd:double"&gt;48.8&lt;/D&gt;&lt;D xsi:type="xsd:double"&gt;50&lt;/D&gt;&lt;D xsi:type="xsd:double"&gt;51.9&lt;/D&gt;&lt;D xsi:type="xsd:double"&gt;49.9&lt;/D&gt;&lt;D xsi:type="xsd:double"&gt;48.4&lt;/D&gt;&lt;D xsi:type="xsd:double"&gt;47.1&lt;/D&gt;&lt;D xsi:type="xsd:double"&gt;50.5&lt;/D&gt;&lt;D xsi:type="xsd:double"&gt;48.7&lt;/D&gt;&lt;D xsi:type="xsd:double"&gt;48&lt;/D&gt;&lt;D xsi:type="xsd:double"&gt;47.6&lt;/D&gt;&lt;D xsi:type="xsd:double"&gt;48.3&lt;/D&gt;&lt;D xsi:type="xsd:double"&gt;48.4&lt;/D&gt;&lt;D xsi:type="xsd:double"&gt;50.9&lt;/D&gt;&lt;D xsi:type="xsd:double"&gt;51.6&lt;/D&gt;&lt;D xsi:type="xsd:double"&gt;50.9&lt;/D&gt;&lt;D xsi:type="xsd:double"&gt;50.7&lt;/D&gt;&lt;D xsi:type="xsd:double"&gt;53.5&lt;/D&gt;&lt;D xsi:type="xsd:double"&gt;54.7&lt;/D&gt;&lt;D xsi:type="xsd:double"&gt;54.6&lt;/D&gt;&lt;D xsi:type="xsd:double"&gt;54&lt;/D&gt;&lt;D xsi:type="xsd:double"&gt;55.3&lt;/D&gt;&lt;D xsi:type="xsd:double"&gt;58.3&lt;/D&gt;&lt;D xsi:type="xsd:double"&gt;57.5&lt;/D&gt;&lt;D xsi:type="xsd:double"&gt;58.3&lt;/D&gt;&lt;D xsi:type="xsd:double"&gt;60.1&lt;/D&gt;&lt;D xsi:type="xsd:double"&gt;58.5&lt;/D&gt;&lt;D xsi:type="xsd:double"&gt;58.9&lt;/D&gt;&lt;D xsi:type="xsd:double"&gt;60.3&lt;/D&gt;&lt;D xsi:type="xsd:double"&gt;59.6&lt;/D&gt;&lt;D xsi:type="xsd:double"&gt;60.7&lt;/D&gt;&lt;D xsi:type="xsd:double"&gt;60.7&lt;/D&gt;&lt;D xsi:type="xsd:double"&gt;63.1&lt;/D&gt;&lt;D xsi:type="xsd:double"&gt;66.8&lt;/D&gt;&lt;D xsi:type="xsd:double"&gt;62.4&lt;/D&gt;&lt;D xsi:type="xsd:double"&gt;61.9&lt;/D&gt;&lt;D xsi:type="xsd:double"&gt;64.2&lt;/D&gt;&lt;D xsi:type="xsd:double"&gt;60.7&lt;/D&gt;&lt;D xsi:type="xsd:double"&gt;62.8&lt;/D&gt;&lt;D xsi:type="xsd:double"&gt;61.5&lt;/D&gt;&lt;D xsi:type="xsd:double"&gt;62.3&lt;/D&gt;&lt;D xsi:type="xsd:double"&gt;61.1&lt;/D&gt;&lt;D xsi:type="xsd:double"&gt;56.5&lt;/D&gt;&lt;D xsi:type="xsd:double"&gt;34.2&lt;/D&gt;&lt;D xsi:type="xsd:double"&gt;27.4&lt;/D&gt;&lt;D xsi:type="xsd:double"&gt;48.3&lt;/D&gt;&lt;D xsi:type="xsd:double"&gt;50.1&lt;/D&gt;&lt;D xsi:type="xsd:double"&gt;54.8&lt;/D&gt;&lt;D xsi:type="xsd:double"&gt;45.5&lt;/D&gt;&lt;D xsi:type="xsd:double"&gt;48.1&lt;/D&gt;&lt;D xsi:type="xsd:double"&gt;46.2&lt;/D&gt;&lt;D xsi:type="xsd:double"&gt;48.3&lt;/D&gt;&lt;D xsi:type="xsd:double"&gt;47.7&lt;/D&gt;&lt;D xsi:type="xsd:double"&gt;50.5&lt;/D&gt;&lt;D xsi:type="xsd:double"&gt;52.5&lt;/D&gt;&lt;D xsi:type="xsd:double"&gt;52.3&lt;/D&gt;&lt;D xsi:type="xsd:double"&gt;53.8&lt;/D&gt;&lt;D xsi:type="xsd:double"&gt;56&lt;/D&gt;&lt;D xsi:type="xsd:double"&gt;55.8&lt;/D&gt;&lt;D xsi:type="xsd:double"&gt;57.9&lt;/D&gt;&lt;D xsi:type="xsd:double"&gt;55.6&lt;/D&gt;&lt;D xsi:type="xsd:double"&gt;59.5&lt;/D&gt;&lt;D xsi:type="xsd:double"&gt;60.8&lt;/D&gt;&lt;D xsi:type="xsd:double"&gt;62&lt;/D&gt;&lt;D xsi:type="xsd:double"&gt;62&lt;/D&gt;&lt;D xsi:type="xsd:double"&gt;59.3&lt;/D&gt;&lt;D xsi:type="xsd:double"&gt;60.6&lt;/D&gt;&lt;D xsi:type="xsd:double"&gt;61.9&lt;/D&gt;&lt;D xsi:type="xsd:double"&gt;60.3&lt;/D&gt;&lt;D xsi:type="xsd:double"&gt;60.6&lt;/D&gt;&lt;D xsi:type="xsd:double"&gt;63.1&lt;/D&gt;&lt;D xsi:type="xsd:double"&gt;64.3&lt;/D&gt;&lt;D xsi:type="xsd:double"&gt;65.9&lt;/D&gt;&lt;D xsi:type="xsd:double"&gt;63.1&lt;/D&gt;&lt;D xsi:type="xsd:double"&gt;62&lt;/D&gt;&lt;D xsi:type="xsd:double"&gt;60.2&lt;/D&gt;&lt;D xsi:type="xsd:double"&gt;60.3&lt;/D&gt;&lt;D xsi:type="xsd:double"&gt;60.3&lt;/D&gt;&lt;D xsi:type="xsd:double"&gt;60.3&lt;/D&gt;&lt;D xsi:type="xsd:double"&gt;59&lt;/D&gt;&lt;D xsi:type="xsd:double"&gt;59.4&lt;/D&gt;&lt;D xsi:type="xsd:double"&gt;58.1&lt;/D&gt;&lt;D xsi:type="xsd:double"&gt;62.8&lt;/D&gt;&lt;D xsi:type="xsd:double"&gt;60.8&lt;/D&gt;&lt;D xsi:type="xsd:double"&gt;58.7&lt;/D&gt;&lt;D xsi:type="xsd:double"&gt;55&lt;/D&gt;&lt;D xsi:type="xsd:double"&gt;53.9&lt;/D&gt;&lt;D xsi:type="xsd:double"&gt;53.3&lt;/D&gt;&lt;D xsi:type="xsd:double"&gt;50.1&lt;/D&gt;&lt;D xsi:type="xsd:double"&gt;54.6&lt;/D&gt;&lt;D xsi:type="xsd:double"&gt;54.2&lt;/D&gt;&lt;D xsi:type="xsd:double"&gt;53.9&lt;/D&gt;&lt;D xsi:type="xsd:double"&gt;53.8&lt;/D&gt;&lt;D xsi:type="xsd:double"&gt;54.8&lt;/D&gt;&lt;D xsi:type="xsd:double"&gt;51.9&lt;/D&gt;&lt;D xsi:type="xsd:double"&gt;49&lt;/D&gt;&lt;D xsi:type="xsd:double"&gt;49.8&lt;/D&gt;&lt;D xsi:type="xsd:double"&gt;50.2&lt;/D&gt;&lt;D xsi:type="xsd:double"&gt;51.9&lt;/D&gt;&lt;D xsi:type="xsd:double"&gt;51.5&lt;/D&gt;&lt;D xsi:type="xsd:double"&gt;52.6&lt;/D&gt;&lt;D xsi:type="xsd:double"&gt;53.9&lt;/D&gt;&lt;D xsi:type="xsd:double"&gt;53.2&lt;/D&gt;&lt;D xsi:type="xsd:double"&gt;54.6&lt;/D&gt;&lt;D xsi:type="xsd:double"&gt;55.7&lt;/D&gt;&lt;D xsi:type="xsd:double"&gt;55&lt;/D&gt;&lt;D xsi:type="xsd:double"&gt;55&lt;/D&gt;&lt;D xsi:type="xsd:double"&gt;55.9&lt;/D&gt;&lt;D xsi:type="xsd:double"&gt;58.7&lt;/D&gt;&lt;D xsi:type="xsd:double"&gt;60.2&lt;/D&gt;&lt;D xsi:type="xsd:double"&gt;60.7&lt;/D&gt;&lt;D xsi:type="xsd:double"&gt;62&lt;/D&gt;&lt;D xsi:type="xsd:double"&gt;60.1&lt;/D&gt;&lt;/FQL&gt;&lt;FQL&gt;&lt;Q&gt;^ECON_EXPR_UNITS('RETURNS(FDS_ECON[US.LMCLAIMS,DIST=STEP,CONV=AVERAGE], -1AY)')&lt;/Q&gt;&lt;R&gt;1&lt;/R&gt;&lt;C&gt;1&lt;/C&gt;&lt;D xsi:type="xsd:string"&gt;Growth Rate&lt;/D&gt;&lt;/FQL&gt;&lt;FQL&gt;&lt;Q&gt;^CONVERT_DATE(SPEC_ID_ENDDATE('CC_US:FDS_ECON_RINDPRD_M', M),'YYYYMMDD')&lt;/Q&gt;&lt;R&gt;1&lt;/R&gt;&lt;C&gt;1&lt;/C&gt;&lt;D xsi:type="xsd:string"&gt;20240731&lt;/D&gt;&lt;/FQL&gt;&lt;FQL&gt;&lt;Q&gt;^FDS_ECON_DESCRIPTION('ISMPRI@M')&lt;/Q&gt;&lt;R&gt;1&lt;/R&gt;&lt;C&gt;1&lt;/C&gt;&lt;D xsi:type="xsd:string"&gt;ISM Manufacturing PMI, Prices - United States&lt;/D&gt;&lt;/FQL&gt;&lt;FQL&gt;&lt;Q&gt;^FDS_ECON_DATA('ISMPRI@M',0,0/0/-10,M,STEP,AVERAGE,1)&lt;/Q&gt;&lt;R&gt;120&lt;/R&gt;&lt;C&gt;1&lt;/C&gt;&lt;D xsi:type="xsd:double"&gt;52.9&lt;/D&gt;&lt;D xsi:type="xsd:double"&gt;52.1&lt;/D&gt;&lt;D xsi:type="xsd:double"&gt;57&lt;/D&gt;&lt;D xsi:type="xsd:double"&gt;60.9&lt;/D&gt;&lt;D xsi:type="xsd:double"&gt;55.8&lt;/D&gt;&lt;D xsi:type="xsd:double"&gt;52.5&lt;/D&gt;&lt;D xsi:type="xsd:double"&gt;52.9&lt;/D&gt;&lt;D xsi:type="xsd:double"&gt;45.2&lt;/D&gt;&lt;D xsi:type="xsd:double"&gt;49.9&lt;/D&gt;&lt;D xsi:type="xsd:double"&gt;45.1&lt;/D&gt;&lt;D xsi:type="xsd:double"&gt;43.8&lt;/D&gt;&lt;D xsi:type="xsd:double"&gt;48.4&lt;/D&gt;&lt;D xsi:type="xsd:double"&gt;42.6&lt;/D&gt;&lt;D xsi:type="xsd:double"&gt;41.8&lt;/D&gt;&lt;D xsi:type="xsd:double"&gt;44.2&lt;/D&gt;&lt;D xsi:type="xsd:double"&gt;53.2&lt;/D&gt;&lt;D xsi:type="xsd:double"&gt;49.2&lt;/D&gt;&lt;D xsi:type="xsd:double"&gt;51.3&lt;/D&gt;&lt;D xsi:type="xsd:double"&gt;44.5&lt;/D&gt;&lt;D xsi:type="xsd:double"&gt;39.4&lt;/D&gt;&lt;D xsi:type="xsd:double"&gt;43&lt;/D&gt;&lt;D xsi:type="xsd:double"&gt;46.6&lt;/D&gt;&lt;D xsi:type="xsd:double"&gt;51.7&lt;/D&gt;&lt;D xsi:type="xsd:double"&gt;52.5&lt;/D&gt;&lt;D xsi:type="xsd:double"&gt;60&lt;/D&gt;&lt;D xsi:type="xsd:double"&gt;78.5&lt;/D&gt;&lt;D xsi:type="xsd:double"&gt;82.2&lt;/D&gt;&lt;D xsi:type="xsd:double"&gt;84.6&lt;/D&gt;&lt;D xsi:type="xsd:double"&gt;87.1&lt;/D&gt;&lt;D xsi:type="xsd:double"&gt;75.6&lt;/D&gt;&lt;D xsi:type="xsd:double"&gt;76.1&lt;/D&gt;&lt;D xsi:type="xsd:double"&gt;68.2&lt;/D&gt;&lt;D xsi:type="xsd:double"&gt;82.4&lt;/D&gt;&lt;D xsi:type="xsd:double"&gt;85.7&lt;/D&gt;&lt;D xsi:type="xsd:double"&gt;81.2&lt;/D&gt;&lt;D xsi:type="xsd:double"&gt;79.4&lt;/D&gt;&lt;D xsi:type="xsd:double"&gt;85.7&lt;/D&gt;&lt;D xsi:type="xsd:double"&gt;92.1&lt;/D&gt;&lt;D xsi:type="xsd:double"&gt;88&lt;/D&gt;&lt;D xsi:type="xsd:double"&gt;89.6&lt;/D&gt;&lt;D xsi:type="xsd:double"&gt;85.6&lt;/D&gt;&lt;D xsi:type="xsd:double"&gt;86&lt;/D&gt;&lt;D xsi:type="xsd:double"&gt;82.1&lt;/D&gt;&lt;D xsi:type="xsd:double"&gt;77.6&lt;/D&gt;&lt;D xsi:type="xsd:double"&gt;65.4&lt;/D&gt;&lt;D xsi:type="xsd:double"&gt;65.5&lt;/D&gt;&lt;D xsi:type="xsd:double"&gt;62.8&lt;/D&gt;&lt;D xsi:type="xsd:double"&gt;59.5&lt;/D&gt;&lt;D xsi:type="xsd:double"&gt;53.2&lt;/D&gt;&lt;D xsi:type="xsd:double"&gt;51.3&lt;/D&gt;&lt;D xsi:type="xsd:double"&gt;40.8&lt;/D&gt;&lt;D xsi:type="xsd:double"&gt;35.3&lt;/D&gt;&lt;D xsi:type="xsd:double"&gt;37.4&lt;/D&gt;&lt;D xsi:type="xsd:double"&gt;45.9&lt;/D&gt;&lt;D xsi:type="xsd:double"&gt;53.3&lt;/D&gt;&lt;D xsi:type="xsd:double"&gt;51.7&lt;/D&gt;&lt;D xsi:type="xsd:double"&gt;46.7&lt;/D&gt;&lt;D xsi:type="xsd:double"&gt;45.5&lt;/D&gt;&lt;D xsi:type="xsd:double"&gt;49.7&lt;/D&gt;&lt;D xsi:type="xsd:double"&gt;46&lt;/D&gt;&lt;D xsi:type="xsd:double"&gt;45.1&lt;/D&gt;&lt;D xsi:type="xsd:double"&gt;47.9&lt;/D&gt;&lt;D xsi:type="xsd:double"&gt;53.2&lt;/D&gt;&lt;D xsi:type="xsd:double"&gt;50&lt;/D&gt;&lt;D xsi:type="xsd:double"&gt;54.3&lt;/D&gt;&lt;D xsi:type="xsd:double"&gt;49.4&lt;/D&gt;&lt;D xsi:type="xsd:double"&gt;49.6&lt;/D&gt;&lt;D xsi:type="xsd:double"&gt;54.9&lt;/D&gt;&lt;D xsi:type="xsd:double"&gt;60.7&lt;/D&gt;&lt;D xsi:type="xsd:double"&gt;71.6&lt;/D&gt;&lt;D xsi:type="xsd:double"&gt;66.9&lt;/D&gt;&lt;D xsi:type="xsd:double"&gt;72.1&lt;/D&gt;&lt;D xsi:type="xsd:double"&gt;73.2&lt;/D&gt;&lt;D xsi:type="xsd:double"&gt;76.8&lt;/D&gt;&lt;D xsi:type="xsd:double"&gt;79.5&lt;/D&gt;&lt;D xsi:type="xsd:double"&gt;79.3&lt;/D&gt;&lt;D xsi:type="xsd:double"&gt;78.1&lt;/D&gt;&lt;D xsi:type="xsd:double"&gt;74.2&lt;/D&gt;&lt;D xsi:type="xsd:double"&gt;72.7&lt;/D&gt;&lt;D xsi:type="xsd:double"&gt;68.3&lt;/D&gt;&lt;D xsi:type="xsd:double"&gt;64.8&lt;/D&gt;&lt;D xsi:type="xsd:double"&gt;68.1&lt;/D&gt;&lt;D xsi:type="xsd:double"&gt;71.5&lt;/D&gt;&lt;D xsi:type="xsd:double"&gt;61.7&lt;/D&gt;&lt;D xsi:type="xsd:double"&gt;61.7&lt;/D&gt;&lt;D xsi:type="xsd:double"&gt;53&lt;/D&gt;&lt;D xsi:type="xsd:double"&gt;59.5&lt;/D&gt;&lt;D xsi:type="xsd:double"&gt;68.3&lt;/D&gt;&lt;D xsi:type="xsd:double"&gt;68.8&lt;/D&gt;&lt;D xsi:type="xsd:double"&gt;66.9&lt;/D&gt;&lt;D xsi:type="xsd:double"&gt;67.9&lt;/D&gt;&lt;D xsi:type="xsd:double"&gt;64.2&lt;/D&gt;&lt;D xsi:type="xsd:double"&gt;53.5&lt;/D&gt;&lt;D xsi:type="xsd:double"&gt;54.8&lt;/D&gt;&lt;D xsi:type="xsd:double"&gt;53.1&lt;/D&gt;&lt;D xsi:type="xsd:double"&gt;53.6&lt;/D&gt;&lt;D xsi:type="xsd:double"&gt;54.9&lt;/D&gt;&lt;D xsi:type="xsd:double"&gt;59.8&lt;/D&gt;&lt;D xsi:type="xsd:double"&gt;61.4&lt;/D&gt;&lt;D xsi:type="xsd:double"&gt;57.9&lt;/D&gt;&lt;D xsi:type="xsd:double"&gt;52.1&lt;/D&gt;&lt;D xsi:type="xsd:double"&gt;38.3&lt;/D&gt;&lt;D xsi:type="xsd:double"&gt;33.9&lt;/D&gt;&lt;D xsi:type="xsd:double"&gt;33.9&lt;/D&gt;&lt;D xsi:type="xsd:double"&gt;35.7&lt;/D&gt;&lt;D xsi:type="xsd:double"&gt;39.8&lt;/D&gt;&lt;D xsi:type="xsd:double"&gt;37.6&lt;/D&gt;&lt;D xsi:type="xsd:double"&gt;38.8&lt;/D&gt;&lt;D xsi:type="xsd:double"&gt;45.1&lt;/D&gt;&lt;D xsi:type="xsd:double"&gt;49.7&lt;/D&gt;&lt;D xsi:type="xsd:double"&gt;49&lt;/D&gt;&lt;D xsi:type="xsd:double"&gt;41.6&lt;/D&gt;&lt;D xsi:type="xsd:double"&gt;40.1&lt;/D&gt;&lt;D xsi:type="xsd:double"&gt;35.2&lt;/D&gt;&lt;D xsi:type="xsd:double"&gt;35.1&lt;/D&gt;&lt;D xsi:type="xsd:double"&gt;37.8&lt;/D&gt;&lt;D xsi:type="xsd:double"&gt;44.4&lt;/D&gt;&lt;D xsi:type="xsd:double"&gt;52.7&lt;/D&gt;&lt;D xsi:type="xsd:double"&gt;58.7&lt;/D&gt;&lt;D xsi:type="xsd:double"&gt;56.9&lt;/D&gt;&lt;/FQL&gt;&lt;FQL&gt;&lt;Q&gt;^FDS_ECON_UNITS('ISMPMI@M')&lt;/Q&gt;&lt;R&gt;1&lt;/R&gt;&lt;C&gt;1&lt;/C&gt;&lt;D xsi:type="xsd:string"&gt;Diffusion Index&lt;/D&gt;&lt;/FQL&gt;&lt;FQL&gt;&lt;Q&gt;^CONVERT_DATE(FDS_ECON_STARTDATE('ISMBUS@NM', M),'YYYYMMDD')&lt;/Q&gt;&lt;R&gt;1&lt;/R&gt;&lt;C&gt;1&lt;/C&gt;&lt;D xsi:type="xsd:string"&gt;19970731&lt;/D&gt;&lt;/FQL&gt;&lt;FQL&gt;&lt;Q&gt;^ECON_EXPR_DESCRIPTION('RETURNS(FDS_COM[USCM1020424,DIST=STEP,CONV=AVERAGENP], -1AY)')&lt;/Q&gt;&lt;R&gt;1&lt;/R&gt;&lt;C&gt;1&lt;/C&gt;&lt;D xsi:type="xsd:string"&gt;(% 1YR) CRB Sub Index, Raw Industrials, 1967=100, Index - United States&lt;/D&gt;&lt;/FQL&gt;&lt;FQL&gt;&lt;Q&gt;^SPEC_ID_DATA('CC_US:FDS_ECON_RINDPRD_M',0,0/0/-10,M,NONE,AVERAGENP,2)&lt;/Q&gt;&lt;R&gt;120&lt;/R&gt;&lt;C&gt;1&lt;/C&gt;&lt;D xsi:type="xsd:double"&gt;-0.17803055&lt;/D&gt;&lt;D xsi:type="xsd:double"&gt;1.1413262&lt;/D&gt;&lt;D xsi:type="xsd:double"&gt;0.28403324&lt;/D&gt;&lt;D xsi:type="xsd:double"&gt;-0.7058429&lt;/D&gt;&lt;D xsi:type="xsd:double"&gt;-0.3055995&lt;/D&gt;&lt;D xsi:type="xsd:double"&gt;-0.071595125&lt;/D&gt;&lt;D xsi:type="xsd:double"&gt;-1.230783&lt;/D&gt;&lt;D xsi:type="xsd:double"&gt;0.78987217&lt;/D&gt;&lt;D xsi:type="xsd:double"&gt;-0.21240318&lt;/D&gt;&lt;D xsi:type="xsd:double"&gt;-0.837263&lt;/D&gt;&lt;D xsi:type="xsd:double"&gt;-0.21683991&lt;/D&gt;&lt;D xsi:type="xsd:double"&gt;-0.072889194&lt;/D&gt;&lt;D xsi:type="xsd:double"&gt;0.021057637&lt;/D&gt;&lt;D xsi:type="xsd:double"&gt;-0.42938113&lt;/D&gt;&lt;D xsi:type="xsd:double"&gt;0.014567929&lt;/D&gt;&lt;D xsi:type="xsd:double"&gt;0.31262633&lt;/D&gt;&lt;D xsi:type="xsd:double"&gt;0.13742632&lt;/D&gt;&lt;D xsi:type="xsd:double"&gt;0.93720114&lt;/D&gt;&lt;D xsi:type="xsd:double"&gt;1.5146036&lt;/D&gt;&lt;D xsi:type="xsd:double"&gt;0.62434036&lt;/D&gt;&lt;D xsi:type="xsd:double"&gt;1.8143864&lt;/D&gt;&lt;D xsi:type="xsd:double"&gt;3.079094&lt;/D&gt;&lt;D xsi:type="xsd:double"&gt;4.5831375&lt;/D&gt;&lt;D xsi:type="xsd:double"&gt;3.1278114&lt;/D&gt;&lt;D xsi:type="xsd:double"&gt;2.9817083&lt;/D&gt;&lt;D xsi:type="xsd:double"&gt;3.1853027&lt;/D&gt;&lt;D xsi:type="xsd:double"&gt;3.8101883&lt;/D&gt;&lt;D xsi:type="xsd:double"&gt;4.648247&lt;/D&gt;&lt;D xsi:type="xsd:double"&gt;4.5627537&lt;/D&gt;&lt;D xsi:type="xsd:double"&gt;6.636777&lt;/D&gt;&lt;D xsi:type="xsd:double"&gt;2.4299312&lt;/D&gt;&lt;D xsi:type="xsd:double"&gt;3.045602&lt;/D&gt;&lt;D xsi:type="xsd:double"&gt;4.4511304&lt;/D&gt;&lt;D xsi:type="xsd:double"&gt;3.966409&lt;/D&gt;&lt;D xsi:type="xsd:double"&gt;3.2370994&lt;/D&gt;&lt;D xsi:type="xsd:double"&gt;4.2862773&lt;/D&gt;&lt;D xsi:type="xsd:double"&gt;5.3293715&lt;/D&gt;&lt;D xsi:type="xsd:double"&gt;8.6979475&lt;/D&gt;&lt;D xsi:type="xsd:double"&gt;15.318891&lt;/D&gt;&lt;D xsi:type="xsd:double"&gt;16.119871&lt;/D&gt;&lt;D xsi:type="xsd:double"&gt;0.601295&lt;/D&gt;&lt;D xsi:type="xsd:double"&gt;-6.063235&lt;/D&gt;&lt;D xsi:type="xsd:double"&gt;-2.4903984&lt;/D&gt;&lt;D xsi:type="xsd:double"&gt;-3.6669836&lt;/D&gt;&lt;D xsi:type="xsd:double"&gt;-5.087157&lt;/D&gt;&lt;D xsi:type="xsd:double"&gt;-4.9830785&lt;/D&gt;&lt;D xsi:type="xsd:double"&gt;-6.4109836&lt;/D&gt;&lt;D xsi:type="xsd:double"&gt;-6.666576&lt;/D&gt;&lt;D xsi:type="xsd:double"&gt;-6.864322&lt;/D&gt;&lt;D xsi:type="xsd:double"&gt;-10.598533&lt;/D&gt;&lt;D xsi:type="xsd:double"&gt;-16.019512&lt;/D&gt;&lt;D xsi:type="xsd:double"&gt;-17.202282&lt;/D&gt;&lt;D xsi:type="xsd:double"&gt;-5.08586&lt;/D&gt;&lt;D xsi:type="xsd:double"&gt;-1.1216133&lt;/D&gt;&lt;D xsi:type="xsd:double"&gt;-1.9568536&lt;/D&gt;&lt;D xsi:type="xsd:double"&gt;-2.0212388&lt;/D&gt;&lt;D xsi:type="xsd:double"&gt;-1.7913214&lt;/D&gt;&lt;D xsi:type="xsd:double"&gt;-2.25335&lt;/D&gt;&lt;D xsi:type="xsd:double"&gt;-1.5789049&lt;/D&gt;&lt;D xsi:type="xsd:double"&gt;-1.2272904&lt;/D&gt;&lt;D xsi:type="xsd:double"&gt;-1.3065509&lt;/D&gt;&lt;D xsi:type="xsd:double"&gt;-0.6617544&lt;/D&gt;&lt;D xsi:type="xsd:double"&gt;0.03574882&lt;/D&gt;&lt;D xsi:type="xsd:double"&gt;-1.0452315&lt;/D&gt;&lt;D xsi:type="xsd:double"&gt;0.6280194&lt;/D&gt;&lt;D xsi:type="xsd:double"&gt;1.0745891&lt;/D&gt;&lt;D xsi:type="xsd:double"&gt;1.847166&lt;/D&gt;&lt;D xsi:type="xsd:double"&gt;2.5205173&lt;/D&gt;&lt;D xsi:type="xsd:double"&gt;2.729204&lt;/D&gt;&lt;D xsi:type="xsd:double"&gt;2.9115956&lt;/D&gt;&lt;D xsi:type="xsd:double"&gt;4.3665953&lt;/D&gt;&lt;D xsi:type="xsd:double"&gt;4.4425354&lt;/D&gt;&lt;D xsi:type="xsd:double"&gt;3.2667742&lt;/D&gt;&lt;D xsi:type="xsd:double"&gt;2.8788981&lt;/D&gt;&lt;D xsi:type="xsd:double"&gt;2.25012&lt;/D&gt;&lt;D xsi:type="xsd:double"&gt;3.312122&lt;/D&gt;&lt;D xsi:type="xsd:double"&gt;3.1752906&lt;/D&gt;&lt;D xsi:type="xsd:double"&gt;3.348687&lt;/D&gt;&lt;D xsi:type="xsd:double"&gt;2.7013898&lt;/D&gt;&lt;D xsi:type="xsd:double"&gt;2.470199&lt;/D&gt;&lt;D xsi:type="xsd:double"&gt;2.953908&lt;/D&gt;&lt;D xsi:type="xsd:double"&gt;2.2948897&lt;/D&gt;&lt;D xsi:type="xsd:double"&gt;1.1078991&lt;/D&gt;&lt;D xsi:type="xsd:double"&gt;0.90092736&lt;/D&gt;&lt;D xsi:type="xsd:double"&gt;1.255802&lt;/D&gt;&lt;D xsi:type="xsd:double"&gt;1.6261275&lt;/D&gt;&lt;D xsi:type="xsd:double"&gt;1.906368&lt;/D&gt;&lt;D xsi:type="xsd:double"&gt;1.5882816&lt;/D&gt;&lt;D xsi:type="xsd:double"&gt;0.9022702&lt;/D&gt;&lt;D xsi:type="xsd:double"&gt;-0.49290764&lt;/D&gt;&lt;D xsi:type="xsd:double"&gt;-0.6268158&lt;/D&gt;&lt;D xsi:type="xsd:double"&gt;0.09449494&lt;/D&gt;&lt;D xsi:type="xsd:double"&gt;-1.0984889&lt;/D&gt;&lt;D xsi:type="xsd:double"&gt;-1.4303644&lt;/D&gt;&lt;D xsi:type="xsd:double"&gt;-1.9653593&lt;/D&gt;&lt;D xsi:type="xsd:double"&gt;-2.154058&lt;/D&gt;&lt;D xsi:type="xsd:double"&gt;-2.2199185&lt;/D&gt;&lt;D xsi:type="xsd:double"&gt;-1.7194114&lt;/D&gt;&lt;D xsi:type="xsd:double"&gt;-2.4934626&lt;/D&gt;&lt;D xsi:type="xsd:double"&gt;-2.714731&lt;/D&gt;&lt;D xsi:type="xsd:double"&gt;-3.5597901&lt;/D&gt;&lt;D xsi:type="xsd:double"&gt;-3.1461787&lt;/D&gt;&lt;D xsi:type="xsd:double"&gt;-3.2621121&lt;/D&gt;&lt;D xsi:type="xsd:double"&gt;-4.505135&lt;/D&gt;&lt;D xsi:type="xsd:double"&gt;-4.0166874&lt;/D&gt;&lt;D xsi:type="xsd:double"&gt;-2.7241356&lt;/D&gt;&lt;D xsi:type="xsd:double"&gt;-2.2427258&lt;/D&gt;&lt;D xsi:type="xsd:double"&gt;-1.6716976&lt;/D&gt;&lt;D xsi:type="xsd:double"&gt;-1.6597046&lt;/D&gt;&lt;D xsi:type="xsd:double"&gt;-2.0653672&lt;/D&gt;&lt;D xsi:type="xsd:double"&gt;-1.4394674&lt;/D&gt;&lt;D xsi:type="xsd:double"&gt;-0.5910006&lt;/D&gt;&lt;D xsi:type="xsd:double"&gt;0.042656288&lt;/D&gt;&lt;D xsi:type="xsd:double"&gt;1.379196&lt;/D&gt;&lt;D xsi:type="xsd:double"&gt;2.802683&lt;/D&gt;&lt;D xsi:type="xsd:double"&gt;3.2290235&lt;/D&gt;&lt;D xsi:type="xsd:double"&gt;3.4341671&lt;/D&gt;&lt;D xsi:type="xsd:double"&gt;3.060347&lt;/D&gt;&lt;D xsi:type="xsd:double"&gt;2.9200869&lt;/D&gt;&lt;D</t>
        </r>
      </text>
    </comment>
    <comment ref="A7" authorId="0" shapeId="0" xr:uid="{0873509C-BFA5-4C39-999F-BF7FEDEF25F0}">
      <text>
        <r>
          <rPr>
            <b/>
            <sz val="9"/>
            <color indexed="81"/>
            <rFont val="Tahoma"/>
            <charset val="1"/>
          </rPr>
          <t xml:space="preserve"> xsi:type="xsd:double"&gt;3.1586185&lt;/D&gt;&lt;/FQL&gt;&lt;FQL&gt;&lt;Q&gt;^FDS_ECON_UNITS('ISMPRI@M')&lt;/Q&gt;&lt;R&gt;1&lt;/R&gt;&lt;C&gt;1&lt;/C&gt;&lt;D xsi:type="xsd:string"&gt;Diffusion Index&lt;/D&gt;&lt;/FQL&gt;&lt;FQL&gt;&lt;Q&gt;^CONVERT_DATE(FDS_ECON_STARTDATE('ISMPMI@M', M),'YYYYMMDD')&lt;/Q&gt;&lt;R&gt;1&lt;/R&gt;&lt;C&gt;1&lt;/C&gt;&lt;D xsi:type="xsd:string"&gt;19480130&lt;/D&gt;&lt;/FQL&gt;&lt;FQL&gt;&lt;Q&gt;^PSETCAL('FIVEDAY');ECON_DATE(0, 0/0/-10, M, 'YYYYMMDD')&lt;/Q&gt;&lt;R&gt;120&lt;/R&gt;&lt;C&gt;1&lt;/C&gt;&lt;D xsi:type="xsd:string"&gt;20240731&lt;/D&gt;&lt;D xsi:type="xsd:string"&gt;20240628&lt;/D&gt;&lt;D xsi:type="xsd:string"&gt;20240531&lt;/D&gt;&lt;D xsi:type="xsd:string"&gt;20240430&lt;/D&gt;&lt;D xsi:type="xsd:string"&gt;20240329&lt;/D&gt;&lt;D xsi:type="xsd:string"&gt;20240229&lt;/D&gt;&lt;D xsi:type="xsd:string"&gt;20240131&lt;/D&gt;&lt;D xsi:type="xsd:string"&gt;20231229&lt;/D&gt;&lt;D xsi:type="xsd:string"&gt;20231130&lt;/D&gt;&lt;D xsi:type="xsd:string"&gt;20231031&lt;/D&gt;&lt;D xsi:type="xsd:string"&gt;20230929&lt;/D&gt;&lt;D xsi:type="xsd:string"&gt;20230831&lt;/D&gt;&lt;D xsi:type="xsd:string"&gt;20230731&lt;/D&gt;&lt;D xsi:type="xsd:string"&gt;20230630&lt;/D&gt;&lt;D xsi:type="xsd:string"&gt;20230531&lt;/D&gt;&lt;D xsi:type="xsd:string"&gt;20230428&lt;/D&gt;&lt;D xsi:type="xsd:string"&gt;20230331&lt;/D&gt;&lt;D xsi:type="xsd:string"&gt;20230228&lt;/D&gt;&lt;D xsi:type="xsd:string"&gt;20230131&lt;/D&gt;&lt;D xsi:type="xsd:string"&gt;20221230&lt;/D&gt;&lt;D xsi:type="xsd:string"&gt;20221130&lt;/D&gt;&lt;D xsi:type="xsd:string"&gt;20221031&lt;/D&gt;&lt;D xsi:type="xsd:string"&gt;20220930&lt;/D&gt;&lt;D xsi:type="xsd:string"&gt;20220831&lt;/D&gt;&lt;D xsi:type="xsd:string"&gt;20220729&lt;/D&gt;&lt;D xsi:type="xsd:string"&gt;20220630&lt;/D&gt;&lt;D xsi:type="xsd:string"&gt;20220531&lt;/D&gt;&lt;D xsi:type="xsd:string"&gt;20220429&lt;/D&gt;&lt;D xsi:type="xsd:string"&gt;20220331&lt;/D&gt;&lt;D xsi:type="xsd:string"&gt;20220228&lt;/D&gt;&lt;D xsi:type="xsd:string"&gt;20220131&lt;/D&gt;&lt;D xsi:type="xsd:string"&gt;20211231&lt;/D&gt;&lt;D xsi:type="xsd:string"&gt;20211130&lt;/D&gt;&lt;D xsi:type="xsd:string"&gt;20211029&lt;/D&gt;&lt;D xsi:type="xsd:string"&gt;20210930&lt;/D&gt;&lt;D xsi:type="xsd:string"&gt;20210831&lt;/D&gt;&lt;D xsi:type="xsd:string"&gt;20210730&lt;/D&gt;&lt;D xsi:type="xsd:string"&gt;20210630&lt;/D&gt;&lt;D xsi:type="xsd:string"&gt;20210531&lt;/D&gt;&lt;D xsi:type="xsd:string"&gt;20210430&lt;/D&gt;&lt;D xsi:type="xsd:string"&gt;20210331&lt;/D&gt;&lt;D xsi:type="xsd:string"&gt;20210226&lt;/D&gt;&lt;D xsi:type="xsd:string"&gt;20210129&lt;/D&gt;&lt;D xsi:type="xsd:string"&gt;20201231&lt;/D&gt;&lt;D xsi:type="xsd:string"&gt;20201130&lt;/D&gt;&lt;D xsi:type="xsd:string"&gt;20201030&lt;/D&gt;&lt;D xsi:type="xsd:string"&gt;20200930&lt;/D&gt;&lt;D xsi:type="xsd:string"&gt;20200831&lt;/D&gt;&lt;D xsi:type="xsd:string"&gt;20200731&lt;/D&gt;&lt;D xsi:type="xsd:string"&gt;20200630&lt;/D&gt;&lt;D xsi:type="xsd:string"&gt;20200529&lt;/D&gt;&lt;D xsi:type="xsd:string"&gt;20200430&lt;/D&gt;&lt;D xsi:type="xsd:string"&gt;20200331&lt;/D&gt;&lt;D xsi:type="xsd:string"&gt;20200228&lt;/D&gt;&lt;D xsi:type="xsd:string"&gt;20200131&lt;/D&gt;&lt;D xsi:type="xsd:string"&gt;20191231&lt;/D&gt;&lt;D xsi:type="xsd:string"&gt;20191129&lt;/D&gt;&lt;D xsi:type="xsd:string"&gt;20191031&lt;/D&gt;&lt;D xsi:type="xsd:string"&gt;20190930&lt;/D&gt;&lt;D xsi:type="xsd:string"&gt;20190830&lt;/D&gt;&lt;D xsi:type="xsd:string"&gt;20190731&lt;/D&gt;&lt;D xsi:type="xsd:string"&gt;20190628&lt;/D&gt;&lt;D xsi:type="xsd:string"&gt;20190531&lt;/D&gt;&lt;D xsi:type="xsd:string"&gt;20190430&lt;/D&gt;&lt;D xsi:type="xsd:string"&gt;20190329&lt;/D&gt;&lt;D xsi:type="xsd:string"&gt;20190228&lt;/D&gt;&lt;D xsi:type="xsd:string"&gt;20190131&lt;/D&gt;&lt;D xsi:type="xsd:string"&gt;20181231&lt;/D&gt;&lt;D xsi:type="xsd:string"&gt;20181130&lt;/D&gt;&lt;D xsi:type="xsd:string"&gt;20181031&lt;/D&gt;&lt;D xsi:type="xsd:string"&gt;20180928&lt;/D&gt;&lt;D xsi:type="xsd:string"&gt;20180831&lt;/D&gt;&lt;D xsi:type="xsd:string"&gt;20180731&lt;/D&gt;&lt;D xsi:type="xsd:string"&gt;20180629&lt;/D&gt;&lt;D xsi:type="xsd:string"&gt;20180531&lt;/D&gt;&lt;D xsi:type="xsd:string"&gt;20180430&lt;/D&gt;&lt;D xsi:type="xsd:string"&gt;20180330&lt;/D&gt;&lt;D xsi:type="xsd:string"&gt;20180228&lt;/D&gt;&lt;D xsi:type="xsd:string"&gt;20180131&lt;/D&gt;&lt;D xsi:type="xsd:string"&gt;20171229&lt;/D&gt;&lt;D xsi:type="xsd:string"&gt;20171130&lt;/D&gt;&lt;D xsi:type="xsd:string"&gt;20171031&lt;/D&gt;&lt;D xsi:type="xsd:string"&gt;20170929&lt;/D&gt;&lt;D xsi:type="xsd:string"&gt;20170831&lt;/D&gt;&lt;D xsi:type="xsd:string"&gt;20170731&lt;/D&gt;&lt;D xsi:type="xsd:string"&gt;20170630&lt;/D&gt;&lt;D xsi:type="xsd:string"&gt;20170531&lt;/D&gt;&lt;D xsi:type="xsd:string"&gt;20170428&lt;/D&gt;&lt;D xsi:type="xsd:string"&gt;20170331&lt;/D&gt;&lt;D xsi:type="xsd:string"&gt;20170228&lt;/D&gt;&lt;D xsi:type="xsd:string"&gt;20170131&lt;/D&gt;&lt;D xsi:type="xsd:string"&gt;20161230&lt;/D&gt;&lt;D xsi:type="xsd:string"&gt;20161130&lt;/D&gt;&lt;D xsi:type="xsd:string"&gt;20161031&lt;/D&gt;&lt;D xsi:type="xsd:string"&gt;20160930&lt;/D&gt;&lt;D xsi:type="xsd:string"&gt;20160831&lt;/D&gt;&lt;D xsi:type="xsd:string"&gt;20160729&lt;/D&gt;&lt;D xsi:type="xsd:string"&gt;20160630&lt;/D&gt;&lt;D xsi:type="xsd:string"&gt;20160531&lt;/D&gt;&lt;D xsi:type="xsd:string"&gt;20160429&lt;/D&gt;&lt;D xsi:type="xsd:string"&gt;20160331&lt;/D&gt;&lt;D xsi:type="xsd:string"&gt;20160229&lt;/D&gt;&lt;D xsi:type="xsd:string"&gt;20160129&lt;/D&gt;&lt;D xsi:type="xsd:string"&gt;20151231&lt;/D&gt;&lt;D xsi:type="xsd:string"&gt;20151130&lt;/D&gt;&lt;D xsi:type="xsd:string"&gt;20151030&lt;/D&gt;&lt;D xsi:type="xsd:string"&gt;20150930&lt;/D&gt;&lt;D xsi:type="xsd:string"&gt;20150831&lt;/D&gt;&lt;D xsi:type="xsd:string"&gt;20150731&lt;/D&gt;&lt;D xsi:type="xsd:string"&gt;20150630&lt;/D&gt;&lt;D xsi:type="xsd:string"&gt;20150529&lt;/D&gt;&lt;D xsi:type="xsd:string"&gt;20150430&lt;/D&gt;&lt;D xsi:type="xsd:string"&gt;20150331&lt;/D&gt;&lt;D xsi:type="xsd:string"&gt;20150227&lt;/D&gt;&lt;D xsi:type="xsd:string"&gt;20150130&lt;/D&gt;&lt;D xsi:type="xsd:string"&gt;20141231&lt;/D&gt;&lt;D xsi:type="xsd:string"&gt;20141128&lt;/D&gt;&lt;D xsi:type="xsd:string"&gt;20141031&lt;/D&gt;&lt;D xsi:type="xsd:string"&gt;20140930&lt;/D&gt;&lt;D xsi:type="xsd:string"&gt;20140829&lt;/D&gt;&lt;/FQL&gt;&lt;FQL&gt;&lt;Q&gt;^FDS_ECON_DATA('ISMPMI@M',0,0/0/-10,M,STEP,AVERAGE,1)&lt;/Q&gt;&lt;R&gt;120&lt;/R&gt;&lt;C&gt;1&lt;/C&gt;&lt;D xsi:type="xsd:double"&gt;46.8&lt;/D&gt;&lt;D xsi:type="xsd:double"&gt;48.5&lt;/D&gt;&lt;D xsi:type="xsd:double"&gt;48.7&lt;/D&gt;&lt;D xsi:type="xsd:double"&gt;49.2&lt;/D&gt;&lt;D xsi:type="xsd:double"&gt;50.3&lt;/D&gt;&lt;D xsi:type="xsd:double"&gt;47.8&lt;/D&gt;&lt;D xsi:type="xsd:double"&gt;49.1&lt;/D&gt;&lt;D xsi:type="xsd:double"&gt;47.1&lt;/D&gt;&lt;D xsi:type="xsd:double"&gt;46.6&lt;/D&gt;&lt;D xsi:type="xsd:double"&gt;46.9&lt;/D&gt;&lt;D xsi:type="xsd:double"&gt;48.6&lt;/D&gt;&lt;D xsi:type="xsd:double"&gt;47.6&lt;/D&gt;&lt;D xsi:type="xsd:double"&gt;46.5&lt;/D&gt;&lt;D xsi:type="xsd:double"&gt;46.4&lt;/D&gt;&lt;D xsi:type="xsd:double"&gt;46.6&lt;/D&gt;&lt;D xsi:type="xsd:double"&gt;47&lt;/D&gt;&lt;D xsi:type="xsd:double"&gt;46.5&lt;/D&gt;&lt;D xsi:type="xsd:double"&gt;47.7&lt;/D&gt;&lt;D xsi:type="xsd:double"&gt;47.4&lt;/D&gt;&lt;D xsi:type="xsd:double"&gt;48.1&lt;/D&gt;&lt;D xsi:type="xsd:double"&gt;48.9&lt;/D&gt;&lt;D xsi:type="xsd:double"&gt;50&lt;/D&gt;&lt;D xsi:type="xsd:double"&gt;50.8&lt;/D&gt;&lt;D xsi:type="xsd:double"&gt;52.8&lt;/D&gt;&lt;D xsi:type="xsd:double"&gt;52.8&lt;/D&gt;&lt;D xsi:type="xsd:double"&gt;53.4&lt;/D&gt;&lt;D xsi:type="xsd:double"&gt;56.1&lt;/D&gt;&lt;D xsi:type="xsd:double"&gt;55.6&lt;/D&gt;&lt;D xsi:type="xsd:double"&gt;57.3&lt;/D&gt;&lt;D xsi:type="xsd:double"&gt;58.3&lt;/D&gt;&lt;D xsi:type="xsd:double"&gt;57.4&lt;/D&gt;&lt;D xsi:type="xsd:double"&gt;58.3&lt;/D&gt;&lt;D xsi:type="xsd:double"&gt;60.7&lt;/D&gt;&lt;D xsi:type="xsd:double"&gt;60.5&lt;/D&gt;&lt;D xsi:type="xsd:double"&gt;60.5&lt;/D&gt;&lt;D xsi:type="xsd:double"&gt;59.6&lt;/D&gt;&lt;D xsi:type="xsd:double"&gt;60&lt;/D&gt;&lt;D xsi:type="xsd:double"&gt;61.4&lt;/D&gt;&lt;D xsi:type="xsd:double"&gt;61.7&lt;/D&gt;&lt;D xsi:type="xsd:double"&gt;60.9&lt;/D&gt;&lt;D xsi:type="xsd:double"&gt;64&lt;/D&gt;&lt;D xsi:type="xsd:double"&gt;60.7&lt;/D&gt;&lt;D xsi:type="xsd:double"&gt;59.2&lt;/D&gt;&lt;D xsi:type="xsd:double"&gt;60.2&lt;/D&gt;&lt;D xsi:type="xsd:double"&gt;57.3&lt;/D&gt;&lt;D xsi:type="xsd:double"&gt;58.7&lt;/D&gt;&lt;D xsi:type="xsd:double"&gt;55.5&lt;/D&gt;&lt;D xsi:type="xsd:double"&gt;55.4&lt;/D&gt;&lt;D xsi:type="xsd:double"&gt;53.8&lt;/D&gt;&lt;D xsi:type="xsd:double"&gt;52.6&lt;/D&gt;&lt;D xsi:type="xsd:double"&gt;43.5&lt;/D&gt;&lt;D xsi:type="xsd:double"&gt;41.8&lt;/D&gt;&lt;D xsi:type="xsd:double"&gt;49&lt;/D&gt;&lt;D xsi:type="xsd:double"&gt;50.1&lt;/D&gt;&lt;D xsi:type="xsd:double"&gt;51.4&lt;/D&gt;&lt;D xsi:type="xsd:double"&gt;47.9&lt;/D&gt;&lt;D xsi:type="xsd:double"&gt;48.1&lt;/D&gt;&lt;D xsi:type="xsd:double"&gt;48.1&lt;/D&gt;&lt;D xsi:type="xsd:double"&gt;48.1&lt;/D&gt;&lt;D xsi:type="xsd:double"&gt;48.5&lt;/D&gt;&lt;D xsi:type="xsd:double"&gt;51&lt;/D&gt;&lt;D xsi:type="xsd:double"&gt;51.5&lt;/D&gt;&lt;D xsi:type="xsd:double"&gt;52.6&lt;/D&gt;&lt;D xsi:type="xsd:double"&gt;53.6&lt;/D&gt;&lt;D xsi:type="xsd:double"&gt;54.9&lt;/D&gt;&lt;D xsi:type="xsd:double"&gt;54.4&lt;/D&gt;&lt;D xsi:type="xsd:double"&gt;55.7&lt;/D&gt;&lt;D xsi:type="xsd:double"&gt;54.9&lt;/D&gt;&lt;D xsi:type="xsd:double"&gt;58.6&lt;/D&gt;&lt;D xsi:type="xsd:double"&gt;58.1&lt;/D&gt;&lt;D xsi:type="xsd:double"&gt;59.3&lt;/D&gt;&lt;D xsi:type="xsd:double"&gt;60.5&lt;/D&gt;&lt;D xsi:type="xsd:double"&gt;58.1&lt;/D&gt;&lt;D xsi:type="xsd:double"&gt;59.9&lt;/D&gt;&lt;D xsi:type="xsd:double"&gt;59&lt;/D&gt;&lt;D xsi:type="xsd:double"&gt;58.6&lt;/D&gt;&lt;D xsi:type="xsd:double"&gt;58.8&lt;/D&gt;&lt;D xsi:type="xsd:double"&gt;60.9&lt;/D&gt;&lt;D xsi:type="xsd:double"&gt;59.4&lt;/D&gt;&lt;D xsi:type="xsd:double"&gt;59.7&lt;/D&gt;&lt;D xsi:type="xsd:double"&gt;57.6&lt;/D&gt;&lt;D xsi:type="xsd:double"&gt;58.6&lt;/D&gt;&lt;D xsi:type="xsd:double"&gt;60&lt;/D&gt;&lt;D xsi:type="xsd:double"&gt;58.4&lt;/D&gt;&lt;D xsi:type="xsd:double"&gt;56.5&lt;/D&gt;&lt;D xsi:type="xsd:double"&gt;56.2&lt;/D&gt;&lt;D xsi:type="xsd:double"&gt;56.4&lt;/D&gt;&lt;D xsi:type="xsd:double"&gt;55.8&lt;/D&gt;&lt;D xsi:type="xsd:double"&gt;56.5&lt;/D&gt;&lt;D xsi:type="xsd:double"&gt;57.7&lt;/D&gt;&lt;D xsi:type="xsd:double"&gt;55.7&lt;/D&gt;&lt;D xsi:type="xsd:double"&gt;54.4&lt;/D&gt;&lt;D xsi:type="xsd:double"&gt;53.2&lt;/D&gt;&lt;D xsi:type="xsd:double"&gt;51.8&lt;/D&gt;&lt;D xsi:type="xsd:double"&gt;51.1&lt;/D&gt;&lt;D xsi:type="xsd:double"&gt;49.8&lt;/D&gt;&lt;D xsi:type="xsd:double"&gt;52.7&lt;/D&gt;&lt;D xsi:type="xsd:double"&gt;52.2&lt;/D&gt;&lt;D xsi:type="xsd:double"&gt;51.4&lt;/D&gt;&lt;D xsi:type="xsd:double"&gt;51.3&lt;/D&gt;&lt;D xsi:type="xsd:double"&gt;51&lt;/D&gt;&lt;D xsi:type="xsd:double"&gt;49.2&lt;/D&gt;&lt;D xsi:type="xsd:double"&gt;47.6&lt;/D&gt;&lt;D xsi:type="xsd:double"&gt;48.7&lt;/D&gt;&lt;D xsi:type="xsd:double"&gt;49.1&lt;/D&gt;&lt;D xsi:type="xsd:double"&gt;49.1&lt;/D&gt;&lt;D xsi:type="xsd:double"&gt;50.1&lt;/D&gt;&lt;D xsi:type="xsd:double"&gt;50.2&lt;/D&gt;&lt;D xsi:type="xsd:double"&gt;52&lt;/D&gt;&lt;D xsi:type="xsd:double"&gt;52.5&lt;/D&gt;&lt;D xsi:type="xsd:double"&gt;52.9&lt;/D&gt;&lt;D xsi:type="xsd:double"&gt;51.9&lt;/D&gt;&lt;D xsi:type="xsd:double"&gt;52.1&lt;/D&gt;&lt;D xsi:type="xsd:double"&gt;53&lt;/D&gt;&lt;D xsi:type="xsd:double"&gt;53.9&lt;/D&gt;&lt;D xsi:type="xsd:double"&gt;55.7&lt;/D&gt;&lt;D xsi:type="xsd:double"&gt;56.3&lt;/D&gt;&lt;D xsi:type="xsd:double"&gt;56.2&lt;/D&gt;&lt;D xsi:type="xsd:double"&gt;55.7&lt;/D&gt;&lt;D xsi:type="xsd:double"&gt;56.3&lt;/D&gt;&lt;/FQL&gt;&lt;FQL&gt;&lt;Q&gt;^FDS_ECON_SOURCE('ISMPMI@M')&lt;/Q&gt;&lt;R&gt;1&lt;/R&gt;&lt;C&gt;1&lt;/C&gt;&lt;D xsi:type="xsd:string"&gt;ISM - Institute for Supply Management&lt;/D&gt;&lt;/FQL&gt;&lt;FQL&gt;&lt;Q&gt;^CONVERT_DATE(ECON_EXPR_ENDDATE('RETURNS(FDS_COM[USCM1020424,DIST=STEP,CONV=AVERAGENP], -1AY)', M),'YYYYMMDD')&lt;/Q&gt;&lt;R&gt;1&lt;/R&gt;&lt;C&gt;1&lt;/C&gt;&lt;D xsi:type="xsd:string"&gt;20240830&lt;/D&gt;&lt;/FQL&gt;&lt;FQL&gt;&lt;Q&gt;^FDS_ECON_SOURCE('ISMPRI@M')&lt;/Q&gt;&lt;R&gt;1&lt;/R&gt;&lt;C&gt;1&lt;/C&gt;&lt;D xsi:type="xsd:string"&gt;ISM - Institute for Supply Management&lt;/D&gt;&lt;/FQL&gt;&lt;FQL&gt;&lt;Q&gt;^CONVERT_DATE(FDS_ECON_STARTDATE('ISMPRD@M', M),'YYYYMMDD')&lt;/Q&gt;&lt;R&gt;1&lt;/R&gt;&lt;C&gt;1&lt;/C&gt;&lt;D xsi:type="xsd:string"&gt;19480130&lt;/D&gt;&lt;/FQL&gt;&lt;FQL&gt;&lt;Q&gt;^FDS_ECON_SOURCE('USSU2929306')&lt;/Q&gt;&lt;R&gt;1&lt;/R&gt;&lt;C&gt;1&lt;/C&gt;&lt;D xsi:type="xsd:string"&gt;Investors Intelligence&lt;/D&gt;&lt;/FQL&gt;&lt;FQL&gt;&lt;Q&gt;^FDS_ECON_UNITS('ISMPRD@M')&lt;/Q&gt;&lt;R&gt;1&lt;/R&gt;&lt;C&gt;1&lt;/C&gt;&lt;D xsi:type="xsd:string"&gt;Diffusion Index&lt;/D&gt;&lt;/FQL&gt;&lt;FQL&gt;&lt;Q&gt;^CONVERT_DATE(SPEC_ID_STARTDATE('CC_US:FDS_ECON_RINDPRD_M', M),'YYYYMMDD')&lt;/Q&gt;&lt;R&gt;1&lt;/R&gt;&lt;C&gt;1&lt;/C&gt;&lt;D xsi:type="xsd:string"&gt;19200130&lt;/D&gt;&lt;/FQL&gt;&lt;FQL&gt;&lt;Q&gt;^CONVERT_DATE(FDS_ECON_ENDDATE('USSU2929307', W),'YYYYMMDD')&lt;/Q&gt;&lt;R&gt;1&lt;/R&gt;&lt;C&gt;1&lt;/C&gt;&lt;D xsi:type="xsd:string"&gt;20240809&lt;/D&gt;&lt;/FQL&gt;&lt;FQL&gt;&lt;Q&gt;^ECON_EXPR_UNITS('RETURNS(FDS_COM[USCM1020424,DIST=STEP,CONV=AVERAGENP], -1AY)')&lt;/Q&gt;&lt;R&gt;1&lt;/R&gt;&lt;C&gt;1&lt;/C&gt;&lt;D xsi:type="xsd:string"&gt;Growth Rate&lt;/D&gt;&lt;/FQL&gt;&lt;FQL&gt;&lt;Q&gt;^FDS_ECON_DESCRIPTION('ISMBUS@NM')&lt;/Q&gt;&lt;R&gt;1&lt;/R&gt;&lt;C&gt;1&lt;/C&gt;&lt;D xsi:type="xsd:string"&gt;ISM Services PMI, Business Activity - United States&lt;/D&gt;&lt;/FQL&gt;&lt;FQL&gt;&lt;Q&gt;^FDS_ECON_DESCRIPTION('USSU2929307')&lt;/Q&gt;&lt;R&gt;1&lt;/R&gt;&lt;C&gt;1&lt;/C&gt;&lt;D xsi:type="xsd:string"&gt;Investors Intelligence, Sentiment Data, Bearish, Percent - United States&lt;/D&gt;&lt;/FQL&gt;&lt;FQL&gt;&lt;Q&gt;^CONVERT_DATE(FDS_ECON_ENDDATE('USSU2929306', W),'YYYYMMDD')&lt;/Q&gt;&lt;R&gt;1&lt;/R&gt;&lt;C&gt;1&lt;/C&gt;&lt;D xsi:type="xsd:string"&gt;20240809&lt;/D&gt;&lt;/FQL&gt;&lt;FQL&gt;&lt;Q&gt;^CONVERT_DATE(ECON_EXPR_STARTDATE('RETURNS(FDS_ECON[US.LMCLAIMS,DIST=STEP,CONV=AVERAGE], -1AY)', M),'YYYYMMDD')&lt;/Q&gt;&lt;R&gt;1&lt;/R&gt;&lt;C&gt;1&lt;/C&gt;&lt;D xsi:type="xsd:string"&gt;19680131&lt;/D&gt;&lt;/FQL&gt;&lt;FQL&gt;&lt;Q&gt;^FDS_ECON_SOURCE('ISMBUS@NM')&lt;/Q&gt;&lt;R&gt;1&lt;/R&gt;&lt;C&gt;1&lt;/C&gt;&lt;D xsi:type="xsd:string"&gt;ISM - Institute for Supply Management&lt;/D&gt;&lt;/FQL&gt;&lt;FQL&gt;&lt;Q&gt;^CONVERT_DATE(ECON_EXPR_STARTDATE('RETURNS(FDS_COM[USCM1020424,DIST=STEP,CONV=AVERAGENP], -1AY)', M),'YYYYMMDD')&lt;/Q&gt;&lt;R&gt;1&lt;/R&gt;&lt;C&gt;1&lt;/C&gt;&lt;D xsi:type="xsd:string"&gt;19480130&lt;/D&gt;&lt;/FQL&gt;&lt;FQL&gt;&lt;Q&gt;^FDS_ECON_DATA('USSU2929306',0,-20AY,W,STEP,AVERAGENP,1)&lt;/Q&gt;&lt;R&gt;1044&lt;/R&gt;&lt;C&gt;1&lt;/C&gt;&lt;D xsi:type="xsd:string"&gt;@NA&lt;/D&gt;&lt;D xsi:type="xsd:double"&gt;44.6&lt;/D&gt;&lt;D xsi:type="xsd:double"&gt;46.9&lt;/D&gt;&lt;D xsi:type="xsd:double"&gt;59.4&lt;/D&gt;&lt;D xsi:type="xsd:double"&gt;64.2&lt;/D&gt;&lt;D xsi:type="xsd:double"&gt;63.6&lt;/D&gt;&lt;D xsi:type="xsd:double"&gt;62.7&lt;/D&gt;&lt;D xsi:type="xsd:double"&gt;63.1&lt;/D&gt;&lt;D xsi:type="xsd:double"&gt;61.5&lt;/D&gt;&lt;D xsi:type="xsd:double"&gt;61.2&lt;/D&gt;&lt;D xsi:type="xsd:double"&gt;60.3&lt;/D&gt;&lt;D xsi:type="xsd:double"&gt;57.6&lt;/D&gt;&lt;D xsi:type="xsd:double"&gt;58.2&lt;/D&gt;&lt;D xsi:type="xsd:double"&gt;59.4&lt;/D&gt;&lt;D xsi:type="xsd:double"&gt;56.5&lt;/D&gt;&lt;D xsi:type="xsd:double"&gt;50&lt;/D&gt;&lt;D xsi:type="xsd:double"&gt;47&lt;/D&gt;&lt;D xsi:type="xsd:double"&gt;46.2&lt;/D&gt;&lt;D xsi:type="xsd:double"&gt;56.5&lt;/D&gt;&lt;D xsi:type="xsd:double"&gt;58.1&lt;/D&gt;&lt;D xsi:type="xsd:double"&gt;62.5&lt;/D&gt;&lt;D xsi:type="xsd:double"&gt;60.6&lt;/D&gt;&lt;D xsi:type="xsd:double"&gt;60.3&lt;/D&gt;&lt;D xsi:type="xsd:double"&gt;60.9&lt;/D&gt;&lt;D xsi:type="xsd:double"&gt;59.4&lt;/D&gt;&lt;D xsi:type="xsd:double"&gt;57.6&lt;/D&gt;&lt;D xsi:type="xsd:double"&gt;57.3&lt;/D&gt;&lt;D xsi:type="xsd:double"&gt;58.8&lt;/D&gt;&lt;D xsi:type="xsd:double"&gt;54.3&lt;/D&gt;&lt;D xsi:type="xsd:double"&gt;57.7&lt;/D&gt;&lt;D xsi:type="xsd:double"&gt;52.9&lt;/D&gt;&lt;D xsi:type="xsd:double"&gt;48.5&lt;/D&gt;&lt;D xsi:type="xsd:double"&gt;54.4&lt;/D&gt;&lt;D xsi:type="xsd:double"&gt;57.1&lt;/D&gt;&lt;D xsi:type="xsd:string"&gt;@NA&lt;/D&gt;&lt;D xsi:type="xsd:double"&gt;56.9&lt;/D&gt;&lt;D xsi:type="xsd:double"&gt;55.6&lt;/D&gt;&lt;D xsi:type="xsd:double"&gt;55.1&lt;/D&gt;&lt;D xsi:type="xsd:double"&gt;55.7&lt;/D&gt;&lt;D xsi:type="xsd:double"&gt;52.2&lt;/D&gt;&lt;D xsi:type="xsd:double"&gt;50.7&lt;/D&gt;&lt;D xsi:type="xsd:double"&gt;49.3&lt;/D&gt;&lt;D xsi:type="xsd:double"&gt;42.9&lt;/D&gt;&lt;D xsi:type="xsd:double"&gt;50&lt;/D&gt;&lt;D xsi:type="xsd:double"&gt;51.4&lt;/D&gt;&lt;D xsi:type="xsd:double"&gt;48.6&lt;/D&gt;&lt;D xsi:type="xsd:double"&gt;42.3&lt;/D&gt;&lt;D xsi:type="xsd:double"&gt;43.7&lt;/D&gt;&lt;D xsi:type="xsd:double"&gt;48.6&lt;/D&gt;&lt;D xsi:type="xsd:double"&gt;50.7&lt;/D&gt;&lt;D xsi:type="xsd:double"&gt;49.3&lt;/D&gt;&lt;D xsi:type="xsd:double"&gt;43.1&lt;/D&gt;&lt;D xsi:type="xsd:double"&gt;44.3&lt;/D&gt;&lt;D xsi:type="xsd:double"&gt;47.1&lt;/D&gt;&lt;D xsi:type="xsd:double"&gt;52.2&lt;/D&gt;&lt;D xsi:type="xsd:double"&gt;57.1&lt;/D&gt;&lt;D xsi:type="xsd:double"&gt;55.6&lt;/D&gt;&lt;D xsi:type="xsd:double"&gt;54.2&lt;/D&gt;&lt;D xsi:type="xsd:double"&gt;51.4&lt;/D&gt;&lt;D xsi:type="xsd:double"&gt;54.9&lt;/D&gt;&lt;D xsi:type="xsd:double"&gt;50&lt;/D&gt;&lt;D xsi:type="xsd:double"&gt;54.3&lt;/D&gt;&lt;D xsi:type="xsd:double"&gt;53.4&lt;/D&gt;&lt;D xsi:type="xsd:double"&gt;51.3&lt;/D&gt;&lt;D xsi:type="xsd:double"&gt;47.9&lt;/D&gt;&lt;D xsi:type="xsd:double"&gt;46.5&lt;/D&gt;&lt;D xsi:type="xsd:double"&gt;45.2&lt;/D&gt;&lt;D xsi:type="xsd:double"&gt;44.6&lt;/D&gt;&lt;D xsi:type="xsd:double"&gt;45.8&lt;/D&gt;&lt;D xsi:type="xsd:double"&gt;48.6&lt;/D&gt;&lt;D xsi:type="xsd:double"&gt;50.7&lt;/D&gt;&lt;D xsi:type="xsd:double"&gt;48.7&lt;/D&gt;&lt;D xsi:type="xsd:double"&gt;48.6&lt;/D&gt;&lt;D xsi:type="xsd:double"&gt;40.8&lt;/D&gt;&lt;D xsi:type="xsd:double"&gt;39.7&lt;/D&gt;&lt;D xsi:type="xsd:double"&gt;40.3&lt;/D&gt;&lt;D xsi:type="xsd:double"&gt;45.2&lt;/D&gt;&lt;D xsi:type="xsd:double"&gt;38.4&lt;/D&gt;&lt;D xsi:type="xsd:double"&gt;44.4&lt;/D&gt;&lt;D xsi:type="xsd:double"&gt;45.1&lt;/D&gt;&lt;D xsi:type="xsd:double"&gt;48.6&lt;/D&gt;&lt;D xsi:type="xsd:double"&gt;47.1&lt;/D&gt;&lt;D xsi:type="xsd:double"&gt;45.1&lt;/D&gt;&lt;D xsi:type="xsd:double"&gt;46.5&lt;/D&gt;&lt;D xsi:type="xsd:double"&gt;41.4&lt;/D&gt;&lt;D xsi:type="xsd:double"&gt;36.6&lt;/D&gt;&lt;D xsi:type="xsd:string"&gt;@NA&lt;/D&gt;&lt;D xsi:type="xsd:double"&gt;37.5&lt;/D&gt;&lt;D xsi:type="xsd:double"&gt;42.9&lt;/D&gt;&lt;D xsi:type="xsd:double"&gt;43.3&lt;/D&gt;&lt;D xsi:type="xsd:double"&gt;38.4&lt;/D&gt;&lt;D xsi:type="xsd:double"&gt;41.7&lt;/D&gt;&lt;D xsi:type="xsd:double"&gt;38.6&lt;/D&gt;&lt;D xsi:type="xsd:double"&gt;35.2&lt;/D&gt;&lt;D xsi:type="xsd:double"&gt;35.8&lt;/D&gt;&lt;D xsi:type="xsd:double"&gt;36.9&lt;/D&gt;&lt;D xsi:type="xsd:double"&gt;31.3&lt;/D&gt;&lt;D xsi:type="xsd:double"&gt;25&lt;/D&gt;&lt;D xsi:type="xsd:double"&gt;25.4&lt;/D&gt;&lt;D xsi:type="xsd:double"&gt;25.4&lt;/D&gt;&lt;D xsi:type="xsd:double"&gt;30&lt;/D&gt;&lt;D xsi:type="xsd:double"&gt;32.4&lt;/D&gt;&lt;D xsi:type="xsd:double"&gt;29.7&lt;/D&gt;&lt;D xsi:type="xsd:double"&gt;38.4&lt;/D&gt;&lt;D xsi:type="xsd:double"&gt;45.1&lt;/D&gt;&lt;D xsi:type="xsd:double"&gt;45&lt;/D&gt;&lt;D xsi:type="xsd:double"&gt;44.4&lt;/D&gt;&lt;D xsi:type="xsd:double"&gt;41.1&lt;/D&gt;&lt;D xsi:type="xsd:double"&gt;38.9&lt;/D&gt;&lt;D xsi:type="xsd:double"&gt;35.2&lt;/D&gt;&lt;D xsi:type="xsd:double"&gt;32.4&lt;/D&gt;&lt;D xsi:type="xsd:double"&gt;30.5&lt;/D&gt;&lt;D xsi:type="xsd:double"&gt;32.9&lt;/D&gt;&lt;D xsi:type="xsd:double"&gt;26.5&lt;/D&gt;&lt;D xsi:type="xsd:double"&gt;29.4&lt;/D&gt;&lt;D xsi:type="xsd:double"&gt;35.7&lt;/D&gt;&lt;D xsi:type="xsd:double"&gt;35.2&lt;/D&gt;&lt;D xsi:type="xsd:double"&gt;28.2&lt;/D&gt;&lt;D xsi:type="xsd:double"&gt;27.8&lt;/D&gt;&lt;D xsi:type="xsd:double"&gt;27.6&lt;/D&gt;&lt;D xsi:type="xsd:double"&gt;30.9&lt;/D&gt;&lt;D xsi:type="xsd:double"&gt;34.2&lt;/D&gt;&lt;D xsi:type="xsd:double"&gt;32.1&lt;/D&gt;&lt;D xsi:type="xsd:double"&gt;35.8&lt;/D&gt;&lt;D xsi:type="xsd:double"&gt;39.1&lt;/D&gt;&lt;D xsi:type="xsd:double"&gt;37.7&lt;/D&gt;&lt;D xsi:type="xsd:double"&gt;35.3&lt;/D&gt;&lt;D xsi:type="xsd:double"&gt;30.6&lt;/D&gt;&lt;D xsi:type="xsd:double"&gt;32.2&lt;/D&gt;&lt;D xsi:type="xsd:double"&gt;29.9&lt;/D&gt;&lt;D xsi:type="xsd:double"&gt;32.2&lt;/D&gt;&lt;D xsi:type="xsd:double"&gt;33.7&lt;/D&gt;&lt;D xsi:type="xsd:double"&gt;34.1&lt;/D&gt;&lt;D xsi:type="xsd:double"&gt;35.7&lt;/D&gt;&lt;D xsi:type="xsd:double"&gt;34.9&lt;/D&gt;&lt;D xsi:type="xsd:double"&gt;39.8&lt;/D&gt;&lt;D xsi:type="xsd:double"&gt;43.7&lt;/D&gt;&lt;D xsi:type="xsd:double"&gt;50.6&lt;/D&gt;&lt;D xsi:type="xsd:string"&gt;@NA&lt;/D&gt;&lt;D xsi:type="xsd:double"&gt;42.2&lt;/D&gt;&lt;D xsi:type="xsd:double"&gt;43.9&lt;/D&gt;&lt;D xsi:type="xsd:double"&gt;39.8&lt;/D&gt;&lt;D xsi:type="xsd:double"&gt;49.4&lt;/D&gt;&lt;D xsi:type="xsd:double"&gt;56.6&lt;/D&gt;&lt;D xsi:type="xsd:double"&gt;57.2&lt;/D&gt;&lt;D xsi:type="xsd:double"&gt;56.5&lt;/D&gt;&lt;D xsi:type="xsd:double"&gt;54&lt;/D&gt;&lt;D xsi:type="xsd:double"&gt;48.9&lt;/D&gt;&lt;D xsi:type="xsd:double"&gt;43.2&lt;/D&gt;&lt;D xsi:type="xsd:double"&gt;42.1&lt;/D&gt;&lt;D xsi:type="xsd:double"&gt;40.4&lt;/D&gt;&lt;D xsi:type="xsd:double"&gt;46.5&lt;/D&gt;&lt;D xsi:type="xsd:double"&gt;47.1&lt;/D&gt;&lt;D xsi:type="xsd:double"&gt;50&lt;/D&gt;&lt;D xsi:type="xsd:double"&gt;52.6&lt;/D&gt;&lt;D xsi:type="xsd:double"&gt;52.1&lt;/D&gt;&lt;D xsi:type="xsd:double"&gt;50&lt;/D&gt;&lt;D xsi:type="xsd:double"&gt;51.1&lt;/D&gt;&lt;D xsi:type="xsd:double"&gt;56.4&lt;/D&gt;&lt;D xsi:type="xsd:double"&gt;54.1&lt;/D&gt;&lt;D xsi:type="xsd:double"&gt;52.6&lt;/D&gt;&lt;D xsi:type="xsd:double"&gt;53.1&lt;/D&gt;&lt;D xsi:type="xsd:double"&gt;61.2&lt;/D&gt;&lt;D xsi:type="xsd:double"&gt;60.8&lt;/D&gt;&lt;D xsi:type="xsd:double"&gt;59.6&lt;/D&gt;&lt;D xsi:type="xsd:double"&gt;56.5&lt;/D&gt;&lt;D xsi:type="xsd:double"&gt;54.1&lt;/D&gt;&lt;D xsi:type="xsd:double"&gt;54.5&lt;/D&gt;&lt;D xsi:type="xsd:double"&gt;53.6&lt;/D&gt;&lt;D xsi:type="xsd:double"&gt;51.5&lt;/D&gt;&lt;D xsi:type="xsd:double"&gt;54.5&lt;/D&gt;&lt;D xsi:type="xsd:double"&gt;58.6&lt;/D&gt;&lt;D xsi:type="xsd:double"&gt;60.4&lt;/D&gt;&lt;D xsi:type="xsd:double"&gt;59.2&lt;/D&gt;&lt;D xsi:type="xsd:double"&gt;63.7&lt;/D&gt;&lt;D xsi:type="xsd:double"&gt;63.4&lt;/D&gt;&lt;D xsi:type="xsd:double"&gt;60.8&lt;/D&gt;&lt;D xsi:type="xsd:double"&gt;54.4&lt;/D&gt;&lt;D xsi:type="xsd:double"&gt;57.4&lt;/D&gt;&lt;D xsi:type="xsd:double"&gt;55.9&lt;/D&gt;&lt;D xsi:type="xsd:double"&gt;51&lt;/D&gt;&lt;D xsi:type="xsd:double"&gt;53.9&lt;/D&gt;&lt;D xsi:type="xsd:double"&gt;56.3&lt;/D&gt;&lt;D xsi:type="xsd:double"&gt;59.1&lt;/D&gt;&lt;D xsi:type="xsd:double"&gt;58.6&lt;/D&gt;&lt;D xsi:type="xsd:double"&gt;57.8&lt;/D&gt;&lt;D xsi:type="xsd:double"&gt;61.2&lt;/D&gt;&lt;D xsi:type="xsd:double"&gt;60.4&lt;/D&gt;&lt;D xsi:type="xsd:double"&gt;63.7&lt;/D&gt;&lt;D xsi:type="xsd:double"&gt;60.2&lt;/D&gt;&lt;D xsi:type="xsd:string"&gt;@NA&lt;/D&gt;&lt;D xsi:type="xsd:double"&gt;62.4&lt;/D&gt;&lt;D xsi:type="xsd:double"&gt;63.6&lt;/D&gt;&lt;D xsi:type="xsd:double"&gt;64.4&lt;/D&gt;&lt;D xsi:type="xsd:double"&gt;64.7&lt;/D&gt;&lt;D xsi:type="xsd:double"&gt;64.6&lt;/D&gt;&lt;D xsi:type="xsd:double"&gt;59.6&lt;/D&gt;&lt;D xsi:type="xsd:double"&gt;59.2&lt;/D&gt;&lt;D xsi:type="xsd:double"&gt;53.6&lt;/D&gt;&lt;D xsi:type="xsd:double"&gt;60.6&lt;/D&gt;&lt;D xsi:type="xsd:double"&gt;59.2&lt;/D&gt;&lt;D xsi:type="xsd:double"&gt;56.6&lt;/D&gt;&lt;D xsi:type="xsd:double"&gt;54.6&lt;/D&gt;&lt;D xsi:type="xsd:double"&gt;52.5&lt;/D&gt;&lt;D xsi:type="xsd:double"&gt;51.5&lt;/D&gt;&lt;D xsi:type="xsd:double"&gt;54.8&lt;/D&gt;&lt;D xsi:type="xsd:double"&gt;59&lt;/D&gt;&lt;D xsi:type="xsd:double"&gt;61.5&lt;/D&gt;&lt;D xsi:type="xsd:double"&gt;60&lt;/D&gt;&lt;D xsi:type="xsd:double"&gt;59.2&lt;/D&gt;&lt;D xsi:type="xsd:double"&gt;58.1&lt;/D&gt;&lt;D xsi:type="xsd:double"&gt;56.7&lt;/D&gt;&lt;D xsi:type="xsd:double"&gt;57.3&lt;/D&gt;&lt;D xsi:type="xsd:double"&gt;56.7&lt;/D&gt;&lt;D xsi:type="xsd:double"&gt;58.1&lt;/D&gt;&lt;D xsi:type="xsd:double"&gt;57.7&lt;/D&gt;&lt;D xsi:type="xsd:double"&gt;54.5&lt;/D&gt;&lt;D xsi:type="xsd:double"&gt;57.3&lt;/D&gt;&lt;D xsi:type="xsd:double"&gt;54.9&lt;/D&gt;&lt;D xsi:type="xsd:double"&gt;56.9&lt;/D&gt;&lt;D xsi:type="xsd:double"&gt;53.5&lt;/D&gt;&lt;D xsi:type="xsd:double"&gt;50.5&lt;/D&gt;&lt;D xsi:type="xsd:double"&gt;49&lt;/D&gt;&lt;D xsi:type="xsd:double"&gt;47.1&lt;/D&gt;&lt;D xsi:type="xsd:double"&gt;48.1&lt;/D&gt;&lt;D xsi:type="xsd:double"&gt;46.6&lt;/D&gt;&lt;D xsi:type="xsd:double"&gt;43.3&lt;/D&gt;&lt;D xsi:type="xsd:double"&gt;40.9&lt;/D&gt;&lt;D xsi:type="xsd:double"&gt;33.3&lt;/D&gt;&lt;D xsi:type="xsd:double"&gt;31.4&lt;/D&gt;&lt;D xsi:type="xsd:double"&gt;30.1&lt;/D&gt;&lt;D xsi:type="xsd:double"&gt;34.6&lt;/D&gt;&lt;D xsi:type="xsd:double"&gt;36.2&lt;/D&gt;&lt;D xsi:type="xsd:double"&gt;41.7&lt;/D&gt;&lt;D xsi:type="xsd:double"&gt;49.1&lt;/D&gt;&lt;D xsi:type="xsd:double"&gt;54.7&lt;/D&gt;&lt;D xsi:type="xsd:double"&gt;52.9&lt;/D&gt;&lt;D xsi:type="xsd:double"&gt;47.6&lt;/D&gt;&lt;D xsi:type="xsd:double"&gt;52.8&lt;/D&gt;&lt;D xsi:type="xsd:double"&gt;59.4&lt;/D&gt;&lt;D xsi:type="xsd:double"&gt;57&lt;/D&gt;&lt;D xsi:type="xsd:double"&gt;55.1&lt;/D&gt;&lt;D xsi:type="xsd:double"&gt;58.9&lt;/D&gt;&lt;D xsi:type="xsd:string"&gt;@NA&lt;/D&gt;&lt;D xsi:type="xsd:double"&gt;57.7&lt;/D&gt;&lt;D xsi:type="xsd:double"&gt;53.3&lt;/D&gt;&lt;D xsi:type="xsd:double"&gt;54.8&lt;/D&gt;&lt;D xsi:type="xsd:double"&gt;58.1&lt;/D&gt;&lt;D xsi:type="xsd:double"&gt;57.2&lt;/D&gt;&lt;D xsi:type="xsd:double"&gt;57.6&lt;/D&gt;&lt;D xsi:type="xsd:double"&gt;57.1&lt;/D&gt;&lt;D xsi:type="xsd:double"&gt;54.2&lt;/D&gt;&lt;D xsi:type="xsd:double"&gt;52.8&lt;/D&gt;&lt;D xsi:type="xsd:double"&gt;49.1&lt;/D&gt;&lt;D xsi:type="xsd:double"&gt;47.6&lt;/D&gt;&lt;D xsi:type="xsd:double"&gt;55.3&lt;/D&gt;&lt;D xsi:type="xsd:double"&gt;55.1&lt;/D&gt;&lt;D xsi:type="xsd:double"&gt;53.8&lt;/D&gt;&lt;D xsi:type="xsd:double"&gt;50&lt;/D&gt;&lt;D xsi:type="xsd:double"&gt;44.9&lt;/D&gt;&lt;D xsi:type="xsd:double"&gt;43.9&lt;/D&gt;&lt;D xsi:type="xsd:double"&gt;49.1&lt;/D&gt;&lt;D xsi:type="xsd:double"&gt;49.5&lt;/D&gt;&lt;D xsi:type="xsd:double"&gt;48.1&lt;/D&gt;&lt;D xsi:type="xsd:double"&gt;57.2&lt;/D&gt;&lt;D xsi:type="xsd:double"&gt;54.2&lt;/D&gt;&lt;D xsi:type="xsd:double"&gt;58&lt;/D&gt;&lt;D xsi:type="xsd:double"&gt;56.7&lt;/D&gt;&lt;D xsi:type="xsd:double"&gt;55.2&lt;/D&gt;&lt;D xsi:type="xsd:double"&gt;53.3&lt;/D&gt;&lt;D xsi:type="xsd:double"&gt;50.5&lt;/D&gt;&lt;D xsi:type="xsd:double"&gt;48.1&lt;/D&gt;&lt;D xsi:type="xsd:double"&gt;42.7&lt;/D&gt;&lt;D xsi:type="xsd:double"&gt;49&lt;/D&gt;&lt;D xsi:type="xsd:double"&gt;49.5&lt;/D&gt;&lt;D xsi:type="xsd:double"&gt;51.4&lt;/D&gt;&lt;D xsi:type="xsd:double"&gt;55.5&lt;/D&gt;&lt;D xsi:type="xsd:double"&gt;56.4&lt;/D&gt;&lt;D xsi:type="xsd:double"&gt;53.4&lt;/D&gt;&lt;D xsi:type="xsd:double"&gt;54.8&lt;/D&gt;&lt;D xsi:type="xsd:double"&gt;53.9&lt;/D&gt;&lt;D xsi:type="xsd:double"&gt;53.4&lt;/D&gt;&lt;D xsi:type="xsd:double"&gt;52&lt;/D&gt;&lt;D xsi:type="xsd:double"&gt;53.9&lt;/D&gt;&lt;D xsi:type="xsd:double"&gt;52.4&lt;/D&gt;&lt;D xsi:type="xsd:double"&gt;52.9&lt;/D&gt;&lt;D xsi:type="xsd:double"&gt;52.4&lt;/D&gt;&lt;D xsi:type="xsd:double"&gt;51.9&lt;/D&gt;&lt;D xsi:type="xsd:double"&gt;49.5&lt;/D&gt;&lt;D xsi:type="xsd:double"&gt;48.6&lt;/D&gt;&lt;D xsi:type="xsd:double"&gt;45.8&lt;/D&gt;&lt;D xsi:type="xsd:double"&gt;45.4&lt;/D&gt;&lt;D xsi:type="xsd:double"&gt;42.1&lt;/D&gt;&lt;D xsi:type="xsd:double"&gt;34.8&lt;/D&gt;&lt;D xsi:type="xsd:double"&gt;29.9&lt;/D&gt;&lt;D xsi:type="xsd:string"&gt;@NA&lt;/D&gt;&lt;D xsi:type="xsd:double"&gt;39.3&lt;/D&gt;&lt;D xsi:type="xsd:double"&gt;45.4&lt;/D&gt;&lt;D xsi:type="xsd:double"&gt;46.7&lt;/D&gt;&lt;D xsi:type="xsd:double"&gt;38.3&lt;/D&gt;&lt;D xsi:type="xsd:double"&gt;39.6&lt;/D&gt;&lt;D xsi:type="xsd:double"&gt;42.9&lt;/D&gt;&lt;D xsi:type="xsd:double"&gt;42.5&lt;/D&gt;&lt;D xsi:type="xsd:double"&gt;44.3&lt;/D&gt;&lt;D xsi:type="xsd:double"&gt;50.5&lt;/D&gt;&lt;D xsi:type="xsd:double"&gt;51.9&lt;/D&gt;&lt;D xsi:type="xsd:double"&gt;56.3&lt;/D&gt;&lt;D xsi:type="xsd:double"&gt;61.8&lt;/D&gt;&lt;D xsi:type="xsd:double"&gt;60.6&lt;/D&gt;&lt;D xsi:type="xsd:double"&gt;59&lt;/D&gt;&lt;D xsi:type="xsd:double"&gt;57.7&lt;/D&gt;&lt;D xsi:type="xsd:double"&gt;60&lt;/D&gt;&lt;D xsi:type="xsd:double"&gt;59.6&lt;/D&gt;&lt;D xsi:type="xsd:double"&gt;57.7&lt;/D&gt;&lt;D xsi:type="xsd:double"&gt;57.3&lt;/D&gt;&lt;D xsi:type="xsd:double"&gt;54.9&lt;/D&gt;&lt;D xsi:type="xsd:double"&gt;54.5&lt;/D&gt;&lt;D xsi:type="xsd:double"&gt;54.9&lt;/D&gt;&lt;D xsi:type="xsd:double"&gt;55.3&lt;/D&gt;&lt;D xsi:type="xsd:double"&gt;52.4&lt;/D&gt;&lt;D xsi:type="xsd:double"&gt;47.1&lt;/D&gt;&lt;D xsi:type="xsd:double"&gt;47.6&lt;/D&gt;&lt;D xsi:type="xsd:double"&gt;52&lt;/D&gt;&lt;D xsi:type="xsd:double"&gt;55.5&lt;/D&gt;&lt;D xsi:type="xsd:double"&gt;52.9&lt;/D&gt;&lt;D xsi:type="xsd:double"&gt;50&lt;/D&gt;&lt;D xsi:type="xsd:double"&gt;49.1&lt;/D&gt;&lt;D xsi:type="xsd:double"&gt;46.6&lt;/D&gt;&lt;D xsi:type="xsd:double"&gt;43.1&lt;/D&gt;&lt;D xsi:type="xsd:double"&gt;43.6&lt;/D&gt;&lt;D xsi:type="xsd:double"&gt;48&lt;/D&gt;&lt;D xsi:type="xsd:double"&gt;43.6&lt;/D&gt;&lt;D xsi:type="xsd:double"&gt;42.2&lt;/D&gt;&lt;D xsi:type="xsd:double"&gt;47.6&lt;/D&gt;&lt;D xsi:type="xsd:double"&gt;49.5&lt;/D&gt;&lt;D xsi:type="xsd:double"&gt;55.5&lt;/D&gt;&lt;D xsi:type="xsd:double"&gt;54.9&lt;/D&gt;&lt;D xsi:type="xsd:double"&gt;48.6&lt;/D&gt;&lt;D xsi:type="xsd:double"&gt;48.1&lt;/D&gt;&lt;D xsi:type="xsd:double"&gt;48.5&lt;/D&gt;&lt;D xsi:type="xsd:double"&gt;51.9&lt;/D&gt;&lt;D xsi:type="xsd:double"&gt;54.4&lt;/D&gt;&lt;D xsi:type="xsd:double"&gt;66&lt;/D&gt;&lt;D xsi:type="xsd:double"&gt;64.7&lt;/D&gt;&lt;D xsi:type="xsd:double"&gt;66.7&lt;/D&gt;&lt;D xsi:type="xsd:double"&gt;64.4&lt;/D&gt;&lt;D xsi:type="xsd:double"&gt;61.9&lt;/D&gt;&lt;D xsi:type="xsd:string"&gt;@NA&lt;/D&gt;&lt;D xsi:type="xsd:double"&gt;64.1&lt;/D&gt;&lt;D xsi:type="xsd:double"&gt;61.9&lt;/D&gt;&lt;D xsi:type="xsd:double"&gt;64.2&lt;/D&gt;&lt;D xsi:type="xsd:double"&gt;62.3&lt;/D&gt;&lt;D xsi:type="xsd:double"&gt;61.5&lt;/D&gt;&lt;D xsi:type="xsd:double"&gt;63.5&lt;/D&gt;&lt;D xsi:type="xsd:double"&gt;64.4&lt;/D&gt;&lt;D xsi:type="xsd:double"&gt;63.5&lt;/D&gt;&lt;D xsi:type="xsd:double"&gt;62.3&lt;/D&gt;&lt;D xsi:type="xsd:double"&gt;60&lt;/D&gt;&lt;D xsi:type="xsd:double"&gt;60.4&lt;/D&gt;&lt;D xsi:type="xsd:double"&gt;57.5&lt;/D&gt;&lt;D xsi:type="xsd:double"&gt;54.3&lt;/D&gt;&lt;D xsi:type="xsd:double"&gt;50.5&lt;/D&gt;&lt;D xsi:type="xsd:double"&gt;47.1&lt;/D&gt;&lt;D xsi:type="xsd:double"&gt;49.5&lt;/D&gt;&lt;D xsi:type="xsd:double"&gt;49.5&lt;/D&gt;&lt;D xsi:type="xsd:double"&gt;48.1&lt;/D&gt;&lt;D xsi:type="xsd:double"&gt;50.5&lt;/D&gt;&lt;D xsi:type="xsd:double"&gt;57.5&lt;/D&gt;&lt;D xsi:type="xsd:double"&gt;60&lt;/D&gt;&lt;D xsi:type="xsd:double"&gt;60.2&lt;/D&gt;&lt;D xsi:type="xsd:double"&gt;57.8&lt;/D&gt;&lt;D xsi:type="xsd:double"&gt;50&lt;/D&gt;&lt;D xsi:type="xsd:double"&gt;52.5&lt;/D&gt;&lt;D xsi:type="xsd:double"&gt;54.9&lt;/D&gt;&lt;D xsi:type="xsd:double"&gt;51.5&lt;/D&gt;&lt;D xsi:type="xsd:double"&gt;50&lt;/D&gt;&lt;D xsi:type="xsd:double"&gt;55.8&lt;/D&gt;&lt;D xsi:type="xsd:double"&gt;50&lt;/D&gt;&lt;D xsi:type="xsd:double"&gt;51.9&lt;/D&gt;&lt;D xsi:type="xsd:double"&gt;58.1&lt;/D&gt;&lt;D xsi:type="xsd:double"&gt;58.7&lt;/D&gt;&lt;D xsi:type="xsd:double"&gt;58.5&lt;/D&gt;&lt;D xsi:type="xsd:double"&gt;54.7&lt;/D&gt;&lt;D xsi:type="xsd:double"&gt;51.9&lt;/D&gt;&lt;D xsi:type="xsd:double"&gt;56.3&lt;/D&gt;&lt;D xsi:type="xsd:double"&gt;55.8&lt;/D&gt;&lt;D xsi:type="xsd:double"&gt;49.5&lt;/D&gt;&lt;D xsi:type="xsd:double"&gt;56.7&lt;/D&gt;&lt;D xsi:type="xsd:double"&gt;53.4&lt;/D&gt;&lt;D xsi:type="xsd:double"&gt;57.7&lt;/D&gt;&lt;D xsi:type="xsd:double"&gt;63.1&lt;/D&gt;&lt;D xsi:type="xsd:double"&gt;61.2&lt;/D&gt;&lt;D xsi:type="xsd:double"&gt;61.8&lt;/D&gt;&lt;D xsi:type="xsd:double"&gt;62.7&lt;/D&gt;&lt;D xsi:type="xsd:double"&gt;61.8&lt;/D&gt;&lt;D xsi:type="xsd:double"&gt;58.2&lt;/D&gt;&lt;D xsi:type="xsd:double"&gt;60.6&lt;/D&gt;&lt;D xsi:type="xsd:double"&gt;58.6&lt;/D&gt;&lt;D xsi:type="xsd:double"&gt;60.2&lt;/D&gt;&lt;D xsi:type="xsd:string"&gt;@NA&lt;/D&gt;&lt;D xsi:type="xsd:double"&gt;59.8&lt;/D&gt;&lt;D xsi:type="xsd:double"&gt;59.6&lt;/D&gt;&lt;D xsi:type="xsd:double"&gt;58.8&lt;/D&gt;&lt;D xsi:type="xsd:double"&gt;56.3&lt;/D&gt;&lt;D xsi:type="xsd:double"&gt;55.9&lt;/D&gt;&lt;D xsi:type="xsd:double"&gt;51&lt;/D&gt;&lt;D xsi:type="xsd:double"&gt;42.9&lt;/D&gt;&lt;D xsi:type="xsd:double"&gt;41.7&lt;/D&gt;&lt;D xsi:type="xsd:double"&gt;47.1&lt;/D&gt;&lt;D xsi:type="xsd:double"&gt;42.9&lt;/D&gt;&lt;D xsi:type="xsd:double"&gt;46.1&lt;/D&gt;&lt;D xsi:type="xsd:double"&gt;46.7&lt;/D&gt;&lt;D xsi:type="xsd:double"&gt;45.2&lt;/D&gt;&lt;D xsi:type="xsd:double"&gt;44.6&lt;/D&gt;&lt;D xsi:type="xsd:double"&gt;49&lt;/D&gt;&lt;D xsi:type="xsd:double"&gt;52.5&lt;/D&gt;&lt;D xsi:type="xsd:double"&gt;55.9&lt;/D&gt;&lt;D xsi:type="xsd:double"&gt;56.7&lt;/D&gt;&lt;D xsi:type="xsd:double"&gt;56.2&lt;/D&gt;&lt;D xsi:type="xsd:double"&gt;54.3&lt;/D&gt;&lt;D xsi:type="xsd:double"&gt;52.9&lt;/D&gt;&lt;D xsi:type="xsd:double"&gt;53.9&lt;/D&gt;&lt;D xsi:type="xsd:double"&gt;54.4&lt;/D&gt;&lt;D xsi:type="xsd:double"&gt;52.5&lt;/D&gt;&lt;D xsi:type="xsd:double"&gt;47.1&lt;/D&gt;&lt;D xsi:type="xsd:double"&gt;41.6&lt;/D&gt;&lt;D xsi:type="xsd:double"&gt;47.5&lt;/D&gt;&lt;D xsi:type="xsd:double"&gt;45.9&lt;/D&gt;&lt;D xsi:type="xsd:double"&gt;47.3&lt;/D&gt;&lt;D xsi:type="xsd:double"&gt;45.4&lt;/D&gt;&lt;D xsi:type="xsd:double"&gt;35.4&lt;/D&gt;&lt;D xsi:type="xsd:double"&gt;40.2&lt;/D&gt;&lt;D xsi:type="xsd:double"&gt;39.2&lt;/D&gt;&lt;D xsi:type="xsd:double"&gt;40.2&lt;/D&gt;&lt;D xsi:type="xsd:double"&gt;44.3&lt;/D&gt;&lt;D xsi:type="xsd:double"&gt;47.4&lt;/D&gt;&lt;D xsi:type="xsd:double"&gt;41.2&lt;/D&gt;&lt;D xsi:type="xsd:double"&gt;45.4&lt;/D&gt;&lt;D xsi:type="xsd:double"&gt;43.3&lt;/D&gt;&lt;D xsi:type="xsd:double"&gt;47.4&lt;/D&gt;&lt;D xsi:type="xsd:double"&gt;44.4&lt;/D&gt;&lt;D xsi:type="xsd:double"&gt;39.4&lt;/D&gt;&lt;D xsi:type="xsd:double"&gt;36.4&lt;/D&gt;&lt;D xsi:type="xsd:double"&gt;34.7&lt;/D&gt;&lt;D xsi:type="xsd:double"&gt;26.5&lt;/D&gt;&lt;D xsi:type="xsd:double"&gt;24.7&lt;/D&gt;&lt;D xsi:type="xsd:double"&gt;34&lt;/D&gt;&lt;D xsi:type="xsd:double"&gt;29.2&lt;/D&gt;&lt;D xsi:type="xsd:double"&gt;26.8&lt;/D&gt;&lt;D xsi:type="xsd:double"&gt;28.6&lt;/D&gt;&lt;D xsi:type="xsd:double"&gt;34.7&lt;/D&gt;&lt;D xsi:type="xsd:string"&gt;@NA&lt;/D&gt;&lt;D xsi:type="xsd:double"&gt;36.7&lt;/D&gt;&lt;D xsi:type="xsd:double"&gt;37.8&lt;/D&gt;&lt;D xsi:type="xsd:double"&gt;44.9&lt;/D&gt;&lt;D xsi:type="xsd:double"&gt;41.2&lt;/D&gt;&lt;D xsi:type="xsd:double"&gt;45.4&lt;/D&gt;&lt;D xsi:type="xsd:double"&gt;43.3&lt;/D&gt;&lt;D xsi:type="xsd:double"&gt;45.3&lt;/D&gt;&lt;D xsi:type="xsd:double"&gt;46.9&lt;/D&gt;&lt;D xsi:type="xsd:double"&gt;43.7&lt;/D&gt;&lt;D xsi:type="xsd:double"&gt;37.5&lt;/D&gt;&lt;D xsi:type="xsd:double"&gt;36.5&lt;/D&gt;&lt;D xsi:type="xsd:double"&gt;30.2&lt;/D&gt;&lt;D xsi:type="xsd:double"&gt;24.7&lt;/D&gt;&lt;D xsi:type="xsd:double"&gt;26&lt;/D&gt;&lt;D xsi:type="xsd:double"&gt;26.8&lt;/D&gt;&lt;D xsi:type="xsd:double"&gt;25.7&lt;/D&gt;&lt;D xsi:type="xsd:double"&gt;27.8&lt;/D&gt;&lt;D xsi:type="xsd:double"&gt;31.6&lt;/D&gt;&lt;D xsi:type="xsd:double"&gt;37.7&lt;/D&gt;&lt;D xsi:type="xsd:double"&gt;40.2&lt;/D&gt;&lt;D xsi:type="xsd:double"&gt;42.2&lt;/D&gt;&lt;D xsi:type="xsd:double"&gt;43.3&lt;/D&gt;&lt;D xsi:type="xsd:double"&gt;49&lt;/D&gt;&lt;D xsi:type="xsd:double"&gt;43.7&lt;/D&gt;&lt;D xsi:type="xsd:double"&gt;44.8&lt;/D&gt;&lt;D xsi:type="xsd:double"&gt;49.5&lt;/D&gt;&lt;D xsi:type="xsd:double"&gt;51.6&lt;/D&gt;&lt;D xsi:type="xsd:double"&gt;45.5&lt;/D&gt;&lt;D xsi:type="xsd:double"&gt;47.4&lt;/D&gt;&lt;D xsi:type="xsd:double"&gt;51.5&lt;/D&gt;&lt;D xsi:type="xsd:double"&gt;48.5&lt;/D&gt;&lt;D xsi:type="xsd:double"&gt;50.6&lt;/D&gt;&lt;D xsi:type="xsd:double"&gt;47.5&lt;/D&gt;&lt;D xsi:type="xsd:double"&gt;52.5&lt;/D&gt;&lt;D xsi:type="xsd:double"&gt;57.4&lt;/D&gt;&lt;D xsi:type="xsd:double"&gt;52.5&lt;/D&gt;&lt;D xsi:type="xsd:double"&gt;50.5&lt;/D&gt;&lt;D xsi:type="xsd:double"&gt;50.4&lt;/D&gt;&lt;D xsi:type="xsd:double"&gt;54.5&lt;/D&gt;&lt;D xsi:type="xsd:double"&gt;56.6&lt;/D&gt;&lt;D xsi:type="xsd:double"&gt;52&lt;/D&gt;&lt;D xsi:type="xsd:double"&gt;53.6&lt;/D&gt;&lt;D xsi:type="xsd:double"&gt;58.7&lt;/D&gt;&lt;D xsi:type="xsd:double"&gt;59.5&lt;/D&gt;&lt;D xsi:type="xsd:double"&gt;56.6&lt;/D&gt;&lt;D xsi:type="xsd:double"&gt;52.5&lt;/D&gt;&lt;D xsi:type="xsd:double"&gt;49&lt;/D&gt;&lt;D xsi:type="xsd:double"&gt;53.1&lt;/D&gt;&lt;D xsi:type="xsd:double"&gt;49&lt;/D&gt;&lt;D xsi:type="xsd:double"&gt;48&lt;/D&gt;&lt;D xsi:type="xsd:double"&gt;50.5&lt;/D&gt;&lt;D xsi:type="xsd:double"&gt;56.4&lt;/D&gt;&lt;D xsi:type="xsd:double"&gt;52.5&lt;/D&gt;&lt;D xsi:type="xsd:double"&gt;49.5&lt;/D&gt;&lt;D xsi:type="xsd:double"&gt;51.5&lt;/D&gt;&lt;D xsi:type="xsd:double"&gt;53.4&lt;/D&gt;&lt;D xsi:type="xsd:double"&gt;56.5&lt;/D&gt;&lt;D xsi:type="xsd:double"&gt;56.4&lt;/D&gt;&lt;D xsi:type="xsd:double"&gt;55.5&lt;/D&gt;&lt;D xsi:type="xsd:double"&gt;54.6&lt;/D&gt;&lt;D xsi:type="xsd:double"&gt;47&lt;/D&gt;&lt;D xsi:type="xsd:double"&gt;35.3&lt;/D&gt;&lt;D xsi:type="xsd:double"&gt;37.8&lt;/D&gt;&lt;D xsi:type="xsd:double"&gt;45.5&lt;/D&gt;&lt;D xsi:type="xsd:double"&gt;47.5&lt;/D&gt;&lt;D xsi:type="xsd:double"&gt;48&lt;/D&gt;&lt;D xsi:type="xsd:double"&gt;52.5&lt;/D&gt;&lt;D xsi:type="xsd:double"&gt;57.6&lt;/D&gt;&lt;D xsi:type="xsd:double"&gt;56.1&lt;/D&gt;&lt;D xsi:type="xsd:double"&gt;52.5&lt;/D&gt;&lt;D xsi:type="xsd:double"&gt;49.5&lt;/D&gt;&lt;D xsi:type="xsd:double"&gt;46.4&lt;/D&gt;&lt;D xsi:type="xsd:double"&gt;50.5&lt;/D&gt;&lt;D xsi:type="xsd:double"&gt;55.6&lt;/D&gt;&lt;D xsi:type="xsd:double"&gt;56.5&lt;/D&gt;&lt;D xsi:type="xsd:double"&gt;56.6&lt;/D&gt;&lt;D xsi:type="xsd:double"&gt;60.6&lt;/D&gt;&lt;D xsi:type="xsd:double"&gt;57.6&lt;/D&gt;&lt;D xsi:type="xsd:double"&gt;60.2&lt;/D&gt;&lt;D xsi:type="xsd:double"&gt;61.4&lt;/D&gt;&lt;D xsi:type="xsd:double"&gt;62.6&lt;/D&gt;&lt;D xsi:type="xsd:double"&gt;62.2&lt;/D&gt;&lt;D xsi:type="xsd:double"&gt;58.3&lt;/D&gt;&lt;D xsi:type="xsd:double"&gt;57.2&lt;/D&gt;&lt;D xsi:type="xsd:double"&gt;55.1&lt;/D&gt;&lt;D xsi:type="xsd:double"&gt;55.8&lt;/D&gt;&lt;D xsi:type="xsd:double"&gt;54.7&lt;/D&gt;&lt;D xsi:type="xsd:double"&gt;51.6&lt;/D&gt;&lt;D xsi:type="xsd:double"&gt;50.5&lt;/D&gt;&lt;D xsi:type="xsd:double"&gt;54.6&lt;/D&gt;&lt;D xsi:type="xsd:double"&gt;50.5&lt;/D&gt;&lt;D xsi:type="xsd:double"&gt;54.7&lt;/D&gt;&lt;D xsi:type="xsd:double"&gt;52&lt;/D&gt;&lt;D xsi:type="xsd:double"&gt;55.1&lt;/D&gt;&lt;D xsi:type="xsd:double"&gt;54.6&lt;/D&gt;&lt;D xsi:type="xsd:double"&gt;53.5&lt;/D&gt;&lt;D xsi:type="xsd:double"&gt;46.5&lt;/D&gt;&lt;D xsi:type="xsd:double"&gt;41.8&lt;/D&gt;&lt;D xsi:type="xsd:double"&gt;45.9&lt;/D&gt;&lt;D xsi:type="xsd:double"&gt;53.1&lt;/D&gt;&lt;D xsi:type="xsd:double"&gt;57.6&lt;/D&gt;&lt;D xsi:type="xsd:double"&gt;56.1&lt;/D&gt;&lt;D xsi:type="xsd:double"&gt;60.6&lt;/D&gt;&lt;D xsi:type="xsd:double"&gt;61.6&lt;/D&gt;&lt;D xsi:type="xsd:double"&gt;59.6&lt;/D&gt;&lt;D xsi:type="xsd:double"&gt;58.2&lt;/D&gt;&lt;D xsi:type="xsd:double"&gt;58.2&lt;/D&gt;&lt;D xsi:type="xsd:double"&gt;57.1&lt;/D&gt;&lt;D xsi:type="xsd:double"&gt;55.7&lt;/D&gt;&lt;D xsi:type="xsd:double"&gt;53.6&lt;/D&gt;&lt;D xsi:type="xsd:double"&gt;52.6&lt;/D&gt;&lt;D xsi:type="xsd:double"&gt;55.2&lt;/D&gt;&lt;D xsi:type="xsd:double"&gt;52.6&lt;/D&gt;&lt;D xsi:type="xsd:double"&gt;49.5&lt;/D&gt;&lt;D xsi:type="xsd:double"&gt;42.3&lt;/D&gt;&lt;D xsi:type="xsd:double"&gt;45.4&lt;/D&gt;&lt;D xsi:type="xsd:double"&gt;46.4&lt;/D&gt;&lt;D xsi:type="xsd:double"&gt;44.3&lt;/D&gt;&lt;D xsi:type="xsd:double"&gt;42.3&lt;/D&gt;&lt;D xsi:type="xsd:double"&gt;37.1&lt;/D&gt;&lt;D xsi:type="xsd:double"&gt;37.1&lt;/D&gt;&lt;D xsi:type="xsd:double"&gt;38.1&lt;/D&gt;&lt;D xsi:type="xsd:double"&gt;43.3&lt;/D&gt;&lt;D xsi:type="xsd:double"&gt;47.4&lt;/D&gt;&lt;D xsi:type="xsd:double"&gt;51.6&lt;/D&gt;&lt;D xsi:type="xsd:double"&gt;48.4&lt;/D&gt;&lt;D xsi:type="xsd:double"&gt;51.5&lt;/D&gt;&lt;D xsi:type="xsd:double"&gt;52.1&lt;/D&gt;&lt;D xsi:type="xsd:double"&gt;46.9&lt;/D&gt;&lt;D xsi:type="xsd:double"&gt;43.8&lt;/D&gt;&lt;D xsi:type="xsd:double"&gt;41.7&lt;/D&gt;&lt;D xsi:type="xsd:double"&gt;46.8&lt;/D&gt;&lt;D xsi:type="xsd:double"&gt;43.8&lt;/D&gt;&lt;D xsi:type="xsd:double"&gt;45.8&lt;/D&gt;&lt;D xsi:type="xsd:double"&gt;52.1&lt;/D&gt;&lt;D xsi:type="xsd:double"&gt;55.2&lt;/D&gt;&lt;D xsi:type="xsd:double"&gt;54.2&lt;/D&gt;&lt;D xsi:type="xsd:double"&gt;52.1&lt;/D&gt;&lt;D xsi:type="xsd:double"&gt;47.9&lt;/D&gt;&lt;D xsi:type="xsd:double"&gt;44.3&lt;/D&gt;&lt;D xsi:type="xsd:double"&gt;47.4&lt;/D&gt;&lt;D xsi:type="xsd:double"&gt;50.5&lt;/D&gt;&lt;D xsi:type="xsd:double"&gt;52&lt;/D&gt;&lt;D xsi:type="xsd:double"&gt;49.5&lt;/D&gt;&lt;D xsi:type="xsd:double"&gt;47.4&lt;/D&gt;&lt;D xsi:type="xsd:double"&gt;50&lt;/D&gt;&lt;D xsi:type="xsd:double"&gt;44.2&lt;/D&gt;&lt;D xsi:type="xsd:double"&gt;46.3&lt;/D&gt;&lt;D xsi:type="xsd:double"&gt;48.4&lt;/D&gt;&lt;D xsi:type="xsd:double"&gt;52.6&lt;/D&gt;&lt;D xsi:type="xsd:double"&gt;54.7&lt;/D&gt;&lt;D xsi:type="xsd:double"&gt;54.3&lt;/D&gt;&lt;D xsi:type="xsd:double"&gt;53.2&lt;/D&gt;&lt;D xsi:type="xsd:double"&gt;53.2&lt;/D&gt;&lt;D xsi:type="xsd:double"&gt;51.1&lt;/D&gt;&lt;D xsi:type="xsd:double"&gt;47.8&lt;/D&gt;&lt;D xsi:type="xsd:double"&gt;48.9&lt;/D&gt;&lt;D xsi:type="xsd:double"&gt;46.8&lt;/D&gt;&lt;D xsi:type="xsd:double"&gt;45.7&lt;/D&gt;&lt;D xsi:type="xsd:double"&gt;43.6&lt;/D&gt;&lt;D xsi:type="xsd:double"&gt;39.3&lt;/D&gt;&lt;D xsi:type="xsd:double"&gt;37.2&lt;/D&gt;&lt;D xsi:type="xsd:double"&gt;38.3&lt;/D&gt;&lt;D xsi:type="xsd:double"&gt;43.6&lt;/D&gt;&lt;D xsi:type="xsd:double"&gt;41.5&lt;/D&gt;&lt;D xsi:type="xsd:double"&gt;41.5&lt;/D&gt;&lt;D xsi:type="xsd:double"&gt;42.6&lt;/D&gt;&lt;D xsi:type="xsd:double"&gt;45.7&lt;/D&gt;&lt;D xsi:type="xsd:double"&gt;46.8&lt;/D&gt;&lt;D xsi:type="xsd:double"&gt;51&lt;/D&gt;&lt;D xsi:type="xsd:double"&gt;54.2&lt;/D&gt;&lt;D xsi:type="xsd:double"&gt;51.1&lt;/D&gt;&lt;D xsi:type="xsd:double"&gt;51&lt;/D&gt;&lt;D xsi:type="xsd:double"&gt;48.9&lt;/D&gt;&lt;D xsi:type="xsd:double"&gt;47.3&lt;/D&gt;&lt;D xsi:type="xsd:double"&gt;43.6&lt;/D&gt;&lt;D xsi:type="xsd:double"&gt;43.6&lt;/D&gt;&lt;D xsi:type="xsd:double"&gt;39.4&lt;/D&gt;&lt;D xsi:type="xsd:double"&gt;40.4&lt;/D&gt;&lt;D xsi:type="xsd:double"&gt;43.6&lt;/D&gt;&lt;D xsi:type="xsd:double"&gt;44.7&lt;/D&gt;&lt;D xsi:type="xsd:double"&gt;42.5&lt;/D&gt;&lt;D xsi:type="xsd:double"&gt;38.7&lt;/D&gt;&lt;D xsi:type="xsd:double"&gt;37.2&lt;/D&gt;&lt;D xsi:type="xsd:double"&gt;37.2&lt;/D&gt;&lt;D xsi:type="xsd:double"&gt;34&lt;/D&gt;&lt;D xsi:type="xsd:double"&gt;39.3&lt;/D&gt;&lt;D xsi:type="xsd:double"&gt;38.3&lt;/D&gt;&lt;D xsi:type="xsd:double"&gt;39.4&lt;/D&gt;&lt;D xsi:type="xsd:double"&gt;38.7&lt;/D&gt;&lt;D xsi:type="xsd:double"&gt;43&lt;/D&gt;&lt;D xsi:type="xsd:double"&gt;41.9&lt;/D&gt;&lt;D xsi:type="xsd:double"&gt;44.1&lt;/D&gt;&lt;D xsi:type="xsd:double"&gt;48.4&lt;/D&gt;&lt;D xsi:type="xsd:double"&gt;52.7&lt;/D&gt;&lt;D xsi:type="xsd:double"&gt;50.5&lt;/D&gt;&lt;D xsi:type="xsd:double"&gt;48.4&lt;/D&gt;&lt;D xsi:type="xsd:double"&gt;43.6&lt;/D&gt;&lt;D xsi:type="xsd:double"&gt;47.9&lt;/D&gt;&lt;D xsi:type="xsd:double"&gt;51.1&lt;/D&gt;&lt;D xsi:type="xsd:double"&gt;51.1&lt;/D&gt;&lt;D xsi:type="xsd:double"&gt;54.8&lt;/D&gt;&lt;D xsi:type="xsd:double"&gt;52.1&lt;/D&gt;&lt;D xsi:type="xsd:double"&gt;48.9&lt;/D&gt;&lt;D xsi:type="xsd:double"&gt;50&lt;/D&gt;&lt;D xsi:type="xsd:double"&gt;60&lt;/D&gt;&lt;D xsi:type="xsd:double"&gt;51.1&lt;/D&gt;&lt;D xsi:type="xsd:double"&gt;49.5&lt;/D&gt;&lt;D xsi:type</t>
        </r>
      </text>
    </comment>
    <comment ref="A8" authorId="0" shapeId="0" xr:uid="{DC6D2C29-795B-4A14-B058-7913226F16DE}">
      <text>
        <r>
          <rPr>
            <b/>
            <sz val="9"/>
            <color indexed="81"/>
            <rFont val="Tahoma"/>
            <charset val="1"/>
          </rPr>
          <t>="xsd:double"&gt;50.5&lt;/D&gt;&lt;D xsi:type="xsd:double"&gt;48.4&lt;/D&gt;&lt;D xsi:type="xsd:double"&gt;45.3&lt;/D&gt;&lt;D xsi:type="xsd:double"&gt;47.4&lt;/D&gt;&lt;D xsi:type="xsd:double"&gt;44.2&lt;/D&gt;&lt;D xsi:type="xsd:double"&gt;47.4&lt;/D&gt;&lt;D xsi:type="xsd:double"&gt;47.4&lt;/D&gt;&lt;D xsi:type="xsd:double"&gt;44.2&lt;/D&gt;&lt;D xsi:type="xsd:double"&gt;43.2&lt;/D&gt;&lt;D xsi:type="xsd:double"&gt;40&lt;/D&gt;&lt;D xsi:type="xsd:double"&gt;35.8&lt;/D&gt;&lt;D xsi:type="xsd:double"&gt;34.4&lt;/D&gt;&lt;D xsi:type="xsd:double"&gt;34.4&lt;/D&gt;&lt;D xsi:type="xsd:double"&gt;37.6&lt;/D&gt;&lt;D xsi:type="xsd:double"&gt;37.6&lt;/D&gt;&lt;D xsi:type="xsd:double"&gt;35.5&lt;/D&gt;&lt;D xsi:type="xsd:double"&gt;38.7&lt;/D&gt;&lt;D xsi:type="xsd:double"&gt;40.9&lt;/D&gt;&lt;D xsi:type="xsd:double"&gt;40.9&lt;/D&gt;&lt;D xsi:type="xsd:double"&gt;46.2&lt;/D&gt;&lt;D xsi:type="xsd:double"&gt;47.3&lt;/D&gt;&lt;D xsi:type="xsd:double"&gt;46.3&lt;/D&gt;&lt;D xsi:type="xsd:double"&gt;49.5&lt;/D&gt;&lt;D xsi:type="xsd:double"&gt;46.2&lt;/D&gt;&lt;D xsi:type="xsd:double"&gt;44.1&lt;/D&gt;&lt;D xsi:type="xsd:double"&gt;40.9&lt;/D&gt;&lt;D xsi:type="xsd:double"&gt;39.8&lt;/D&gt;&lt;D xsi:type="xsd:double"&gt;37.6&lt;/D&gt;&lt;D xsi:type="xsd:double"&gt;37&lt;/D&gt;&lt;D xsi:type="xsd:double"&gt;40.9&lt;/D&gt;&lt;D xsi:type="xsd:double"&gt;45.2&lt;/D&gt;&lt;D xsi:type="xsd:double"&gt;43&lt;/D&gt;&lt;D xsi:type="xsd:double"&gt;45.6&lt;/D&gt;&lt;D xsi:type="xsd:double"&gt;51.1&lt;/D&gt;&lt;D xsi:type="xsd:double"&gt;54.9&lt;/D&gt;&lt;D xsi:type="xsd:double"&gt;54.3&lt;/D&gt;&lt;D xsi:type="xsd:double"&gt;54.2&lt;/D&gt;&lt;D xsi:type="xsd:double"&gt;55.4&lt;/D&gt;&lt;D xsi:type="xsd:double"&gt;57.3&lt;/D&gt;&lt;D xsi:type="xsd:double"&gt;51.6&lt;/D&gt;&lt;D xsi:type="xsd:double"&gt;50.6&lt;/D&gt;&lt;D xsi:type="xsd:double"&gt;52.2&lt;/D&gt;&lt;D xsi:type="xsd:double"&gt;52.2&lt;/D&gt;&lt;D xsi:type="xsd:double"&gt;50.6&lt;/D&gt;&lt;D xsi:type="xsd:double"&gt;53.3&lt;/D&gt;&lt;D xsi:type="xsd:double"&gt;52.2&lt;/D&gt;&lt;D xsi:type="xsd:double"&gt;53.4&lt;/D&gt;&lt;D xsi:type="xsd:double"&gt;52.7&lt;/D&gt;&lt;D xsi:type="xsd:double"&gt;55.1&lt;/D&gt;&lt;D xsi:type="xsd:double"&gt;56&lt;/D&gt;&lt;D xsi:type="xsd:double"&gt;57.3&lt;/D&gt;&lt;D xsi:type="xsd:double"&gt;54.5&lt;/D&gt;&lt;D xsi:type="xsd:double"&gt;55.6&lt;/D&gt;&lt;D xsi:type="xsd:double"&gt;58.8&lt;/D&gt;&lt;D xsi:type="xsd:double"&gt;56.8&lt;/D&gt;&lt;D xsi:type="xsd:double"&gt;56.2&lt;/D&gt;&lt;D xsi:type="xsd:double"&gt;55.4&lt;/D&gt;&lt;D xsi:type="xsd:double"&gt;55.7&lt;/D&gt;&lt;D xsi:type="xsd:double"&gt;56.2&lt;/D&gt;&lt;D xsi:type="xsd:double"&gt;48.4&lt;/D&gt;&lt;D xsi:type="xsd:double"&gt;46.7&lt;/D&gt;&lt;D xsi:type="xsd:double"&gt;45.6&lt;/D&gt;&lt;D xsi:type="xsd:double"&gt;45.1&lt;/D&gt;&lt;D xsi:type="xsd:double"&gt;47.2&lt;/D&gt;&lt;D xsi:type="xsd:double"&gt;45.6&lt;/D&gt;&lt;D xsi:type="xsd:double"&gt;43.3&lt;/D&gt;&lt;D xsi:type="xsd:double"&gt;41.4&lt;/D&gt;&lt;D xsi:type="xsd:double"&gt;36.7&lt;/D&gt;&lt;D xsi:type="xsd:double"&gt;33.3&lt;/D&gt;&lt;D xsi:type="xsd:double"&gt;29.4&lt;/D&gt;&lt;D xsi:type="xsd:double"&gt;33.3&lt;/D&gt;&lt;D xsi:type="xsd:double"&gt;36.7&lt;/D&gt;&lt;D xsi:type="xsd:double"&gt;41.7&lt;/D&gt;&lt;D xsi:type="xsd:double"&gt;38.9&lt;/D&gt;&lt;D xsi:type="xsd:double"&gt;38.2&lt;/D&gt;&lt;D xsi:type="xsd:double"&gt;35.6&lt;/D&gt;&lt;D xsi:type="xsd:double"&gt;32.6&lt;/D&gt;&lt;D xsi:type="xsd:double"&gt;37&lt;/D&gt;&lt;D xsi:type="xsd:double"&gt;41.1&lt;/D&gt;&lt;D xsi:type="xsd:double"&gt;41.1&lt;/D&gt;&lt;D xsi:type="xsd:double"&gt;37&lt;/D&gt;&lt;D xsi:type="xsd:double"&gt;38.5&lt;/D&gt;&lt;D xsi:type="xsd:double"&gt;39.8&lt;/D&gt;&lt;D xsi:type="xsd:double"&gt;39.3&lt;/D&gt;&lt;D xsi:type="xsd:double"&gt;43.8&lt;/D&gt;&lt;D xsi:type="xsd:double"&gt;47.2&lt;/D&gt;&lt;D xsi:type="xsd:double"&gt;56&lt;/D&gt;&lt;D xsi:type="xsd:double"&gt;54&lt;/D&gt;&lt;D xsi:type="xsd:double"&gt;53.3&lt;/D&gt;&lt;D xsi:type="xsd:double"&gt;51.1&lt;/D&gt;&lt;D xsi:type="xsd:double"&gt;48.9&lt;/D&gt;&lt;D xsi:type="xsd:double"&gt;48.3&lt;/D&gt;&lt;D xsi:type="xsd:double"&gt;48.9&lt;/D&gt;&lt;D xsi:type="xsd:double"&gt;46.1&lt;/D&gt;&lt;D xsi:type="xsd:double"&gt;44.9&lt;/D&gt;&lt;D xsi:type="xsd:double"&gt;42.1&lt;/D&gt;&lt;D xsi:type="xsd:double"&gt;41.1&lt;/D&gt;&lt;D xsi:type="xsd:double"&gt;35.6&lt;/D&gt;&lt;D xsi:type="xsd:double"&gt;34.1&lt;/D&gt;&lt;D xsi:type="xsd:double"&gt;38.9&lt;/D&gt;&lt;D xsi:type="xsd:double"&gt;40&lt;/D&gt;&lt;D xsi:type="xsd:double"&gt;52.2&lt;/D&gt;&lt;D xsi:type="xsd:double"&gt;53.4&lt;/D&gt;&lt;D xsi:type="xsd:double"&gt;48.3&lt;/D&gt;&lt;D xsi:type="xsd:double"&gt;51.1&lt;/D&gt;&lt;D xsi:type="xsd:double"&gt;52.2&lt;/D&gt;&lt;D xsi:type="xsd:double"&gt;52.2&lt;/D&gt;&lt;D xsi:type="xsd:double"&gt;48.4&lt;/D&gt;&lt;D xsi:type="xsd:double"&gt;50&lt;/D&gt;&lt;D xsi:type="xsd:double"&gt;50.6&lt;/D&gt;&lt;D xsi:type="xsd:double"&gt;46.1&lt;/D&gt;&lt;D xsi:type="xsd:double"&gt;44.4&lt;/D&gt;&lt;D xsi:type="xsd:double"&gt;48.3&lt;/D&gt;&lt;D xsi:type="xsd:double"&gt;48.3&lt;/D&gt;&lt;D xsi:type="xsd:double"&gt;49.5&lt;/D&gt;&lt;D xsi:type="xsd:double"&gt;47.2&lt;/D&gt;&lt;D xsi:type="xsd:double"&gt;48.9&lt;/D&gt;&lt;D xsi:type="xsd:double"&gt;50.6&lt;/D&gt;&lt;D xsi:type="xsd:double"&gt;46.7&lt;/D&gt;&lt;D xsi:type="xsd:double"&gt;47.8&lt;/D&gt;&lt;D xsi:type="xsd:double"&gt;48.3&lt;/D&gt;&lt;D xsi:type="xsd:double"&gt;50.6&lt;/D&gt;&lt;D xsi:type="xsd:double"&gt;51.6&lt;/D&gt;&lt;D xsi:type="xsd:double"&gt;48.3&lt;/D&gt;&lt;D xsi:type="xsd:double"&gt;49.4&lt;/D&gt;&lt;D xsi:type="xsd:double"&gt;47.2&lt;/D&gt;&lt;D xsi:type="xsd:double"&gt;42.2&lt;/D&gt;&lt;D xsi:type="xsd:double"&gt;36.7&lt;/D&gt;&lt;D xsi:type="xsd:double"&gt;35.6&lt;/D&gt;&lt;D xsi:type="xsd:double"&gt;42.7&lt;/D&gt;&lt;D xsi:type="xsd:double"&gt;41.4&lt;/D&gt;&lt;D xsi:type="xsd:double"&gt;43.6&lt;/D&gt;&lt;D xsi:type="xsd:double"&gt;44.8&lt;/D&gt;&lt;D xsi:type="xsd:double"&gt;47.7&lt;/D&gt;&lt;D xsi:type="xsd:double"&gt;42.5&lt;/D&gt;&lt;D xsi:type="xsd:double"&gt;40.9&lt;/D&gt;&lt;D xsi:type="xsd:double"&gt;40.7&lt;/D&gt;&lt;D xsi:type="xsd:double"&gt;41&lt;/D&gt;&lt;D xsi:type="xsd:double"&gt;40.4&lt;/D&gt;&lt;D xsi:type="xsd:double"&gt;36&lt;/D&gt;&lt;D xsi:type="xsd:double"&gt;39.1&lt;/D&gt;&lt;D xsi:type="xsd:double"&gt;43.2&lt;/D&gt;&lt;D xsi:type="xsd:double"&gt;36&lt;/D&gt;&lt;D xsi:type="xsd:double"&gt;31&lt;/D&gt;&lt;D xsi:type="xsd:double"&gt;28.9&lt;/D&gt;&lt;D xsi:type="xsd:double"&gt;28.4&lt;/D&gt;&lt;D xsi:type="xsd:double"&gt;26.4&lt;/D&gt;&lt;D xsi:type="xsd:double"&gt;29.7&lt;/D&gt;&lt;D xsi:type="xsd:double"&gt;28.6&lt;/D&gt;&lt;D xsi:type="xsd:double"&gt;31.1&lt;/D&gt;&lt;D xsi:type="xsd:double"&gt;32.3&lt;/D&gt;&lt;D xsi:type="xsd:double"&gt;35.2&lt;/D&gt;&lt;D xsi:type="xsd:double"&gt;34.8&lt;/D&gt;&lt;D xsi:type="xsd:double"&gt;38.7&lt;/D&gt;&lt;D xsi:type="xsd:double"&gt;43&lt;/D&gt;&lt;D xsi:type="xsd:double"&gt;41.8&lt;/D&gt;&lt;D xsi:type="xsd:double"&gt;38.5&lt;/D&gt;&lt;D xsi:type="xsd:double"&gt;35.1&lt;/D&gt;&lt;D xsi:type="xsd:double"&gt;26.9&lt;/D&gt;&lt;D xsi:type="xsd:double"&gt;25.3&lt;/D&gt;&lt;D xsi:type="xsd:double"&gt;23.1&lt;/D&gt;&lt;D xsi:type="xsd:double"&gt;29&lt;/D&gt;&lt;D xsi:type="xsd:double"&gt;30.9&lt;/D&gt;&lt;D xsi:type="xsd:double"&gt;31.9&lt;/D&gt;&lt;D xsi:type="xsd:double"&gt;30.3&lt;/D&gt;&lt;D xsi:type="xsd:double"&gt;23.1&lt;/D&gt;&lt;D xsi:type="xsd:double"&gt;22.2&lt;/D&gt;&lt;D xsi:type="xsd:double"&gt;22.4&lt;/D&gt;&lt;D xsi:type="xsd:double"&gt;25.3&lt;/D&gt;&lt;D xsi:type="xsd:double"&gt;33.7&lt;/D&gt;&lt;D xsi:type="xsd:double"&gt;37.5&lt;/D&gt;&lt;D xsi:type="xsd:double"&gt;37.9&lt;/D&gt;&lt;D xsi:type="xsd:double"&gt;38.2&lt;/D&gt;&lt;D xsi:type="xsd:double"&gt;37.8&lt;/D&gt;&lt;D xsi:type="xsd:double"&gt;39.3&lt;/D&gt;&lt;D xsi:type="xsd:double"&gt;40.7&lt;/D&gt;&lt;D xsi:type="xsd:double"&gt;31.8&lt;/D&gt;&lt;D xsi:type="xsd:double"&gt;34&lt;/D&gt;&lt;D xsi:type="xsd:double"&gt;30&lt;/D&gt;&lt;D xsi:type="xsd:double"&gt;29.2&lt;/D&gt;&lt;D xsi:type="xsd:double"&gt;27.8&lt;/D&gt;&lt;D xsi:type="xsd:double"&gt;27.4&lt;/D&gt;&lt;D xsi:type="xsd:double"&gt;31.9&lt;/D&gt;&lt;D xsi:type="xsd:double"&gt;33.7&lt;/D&gt;&lt;D xsi:type="xsd:double"&gt;36.3&lt;/D&gt;&lt;D xsi:type="xsd:double"&gt;43&lt;/D&gt;&lt;D xsi:type="xsd:double"&gt;44.8&lt;/D&gt;&lt;D xsi:type="xsd:double"&gt;37.9&lt;/D&gt;&lt;D xsi:type="xsd:double"&gt;47.3&lt;/D&gt;&lt;D xsi:type="xsd:double"&gt;46&lt;/D&gt;&lt;D xsi:type="xsd:double"&gt;44.4&lt;/D&gt;&lt;D xsi:type="xsd:double"&gt;40.9&lt;/D&gt;&lt;D xsi:type="xsd:double"&gt;39.1&lt;/D&gt;&lt;D xsi:type="xsd:double"&gt;37.8&lt;/D&gt;&lt;D xsi:type="xsd:double"&gt;37.4&lt;/D&gt;&lt;D xsi:type="xsd:double"&gt;36.4&lt;/D&gt;&lt;D xsi:type="xsd:double"&gt;36.7&lt;/D&gt;&lt;D xsi:type="xsd:double"&gt;30.9&lt;/D&gt;&lt;D xsi:type="xsd:double"&gt;31.1&lt;/D&gt;&lt;D xsi:type="xsd:double"&gt;41.9&lt;/D&gt;&lt;D xsi:type="xsd:double"&gt;42&lt;/D&gt;&lt;D xsi:type="xsd:double"&gt;41.6&lt;/D&gt;&lt;D xsi:type="xsd:double"&gt;36.7&lt;/D&gt;&lt;D xsi:type="xsd:double"&gt;41.6&lt;/D&gt;&lt;D xsi:type="xsd:double"&gt;40.2&lt;/D&gt;&lt;D xsi:type="xsd:double"&gt;41.6&lt;/D&gt;&lt;D xsi:type="xsd:double"&gt;45.6&lt;/D&gt;&lt;D xsi:type="xsd:double"&gt;48.4&lt;/D&gt;&lt;D xsi:type="xsd:double"&gt;52.2&lt;/D&gt;&lt;D xsi:type="xsd:double"&gt;54.9&lt;/D&gt;&lt;D xsi:type="xsd:double"&gt;56.5&lt;/D&gt;&lt;D xsi:type="xsd:double"&gt;53.3&lt;/D&gt;&lt;D xsi:type="xsd:double"&gt;49.4&lt;/D&gt;&lt;D xsi:type="xsd:double"&gt;47.3&lt;/D&gt;&lt;D xsi:type="xsd:double"&gt;47.9&lt;/D&gt;&lt;D xsi:type="xsd:double"&gt;51.1&lt;/D&gt;&lt;D xsi:type="xsd:double"&gt;54.5&lt;/D&gt;&lt;D xsi:type="xsd:double"&gt;53.8&lt;/D&gt;&lt;D xsi:type="xsd:double"&gt;56.5&lt;/D&gt;&lt;D xsi:type="xsd:double"&gt;62&lt;/D&gt;&lt;D xsi:type="xsd:double"&gt;60.2&lt;/D&gt;&lt;D xsi:type="xsd:double"&gt;56.5&lt;/D&gt;&lt;D xsi:type="xsd:double"&gt;55.6&lt;/D&gt;&lt;D xsi:type="xsd:double"&gt;53.9&lt;/D&gt;&lt;D xsi:type="xsd:double"&gt;48.3&lt;/D&gt;&lt;D xsi:type="xsd:double"&gt;42.9&lt;/D&gt;&lt;D xsi:type="xsd:double"&gt;41.7&lt;/D&gt;&lt;D xsi:type="xsd:double"&gt;40.6&lt;/D&gt;&lt;D xsi:type="xsd:double"&gt;43.8&lt;/D&gt;&lt;D xsi:type="xsd:double"&gt;43.8&lt;/D&gt;&lt;D xsi:type="xsd:double"&gt;47.2&lt;/D&gt;&lt;D xsi:type="xsd:double"&gt;53.9&lt;/D&gt;&lt;D xsi:type="xsd:double"&gt;52.3&lt;/D&gt;&lt;D xsi:type="xsd:double"&gt;49.5&lt;/D&gt;&lt;D xsi:type="xsd:double"&gt;49.4&lt;/D&gt;&lt;D xsi:type="xsd:double"&gt;53.8&lt;/D&gt;&lt;D xsi:type="xsd:double"&gt;53.3&lt;/D&gt;&lt;D xsi:type="xsd:double"&gt;56.7&lt;/D&gt;&lt;D xsi:type="xsd:double"&gt;52.2&lt;/D&gt;&lt;D xsi:type="xsd:double"&gt;53.8&lt;/D&gt;&lt;D xsi:type="xsd:double"&gt;54.3&lt;/D&gt;&lt;D xsi:type="xsd:double"&gt;54.3&lt;/D&gt;&lt;D xsi:type="xsd:double"&gt;53.3&lt;/D&gt;&lt;D xsi:type="xsd:double"&gt;51.7&lt;/D&gt;&lt;D xsi:type="xsd:double"&gt;51.1&lt;/D&gt;&lt;D xsi:type="xsd:double"&gt;52.7&lt;/D&gt;&lt;D xsi:type="xsd:double"&gt;49.5&lt;/D&gt;&lt;D xsi:type="xsd:double"&gt;50.6&lt;/D&gt;&lt;D xsi:type="xsd:double"&gt;48.4&lt;/D&gt;&lt;D xsi:type="xsd:double"&gt;46.6&lt;/D&gt;&lt;D xsi:type="xsd:double"&gt;45.5&lt;/D&gt;&lt;D xsi:type="xsd:double"&gt;46.2&lt;/D&gt;&lt;D xsi:type="xsd:double"&gt;50.5&lt;/D&gt;&lt;D xsi:type="xsd:double"&gt;50&lt;/D&gt;&lt;D xsi:type="xsd:double"&gt;51.1&lt;/D&gt;&lt;D xsi:type="xsd:double"&gt;52.2&lt;/D&gt;&lt;D xsi:type="xsd:double"&gt;53.3&lt;/D&gt;&lt;D xsi:type="xsd:double"&gt;52.7&lt;/D&gt;&lt;D xsi:type="xsd:double"&gt;50.5&lt;/D&gt;&lt;D xsi:type="xsd:double"&gt;55.4&lt;/D&gt;&lt;D xsi:type="xsd:double"&gt;55.3&lt;/D&gt;&lt;D xsi:type="xsd:double"&gt;56.5&lt;/D&gt;&lt;D xsi:type="xsd:double"&gt;58.8&lt;/D&gt;&lt;D xsi:type="xsd:double"&gt;59.6&lt;/D&gt;&lt;D xsi:type="xsd:double"&gt;59.8&lt;/D&gt;&lt;D xsi:type="xsd:double"&gt;57.5&lt;/D&gt;&lt;D xsi:type="xsd:double"&gt;58.5&lt;/D&gt;&lt;D xsi:type="xsd:double"&gt;56.4&lt;/D&gt;&lt;D xsi:type="xsd:double"&gt;52.1&lt;/D&gt;&lt;D xsi:type="xsd:double"&gt;53.7&lt;/D&gt;&lt;D xsi:type="xsd:double"&gt;52.7&lt;/D&gt;&lt;D xsi:type="xsd:double"&gt;52.2&lt;/D&gt;&lt;D xsi:type="xsd:double"&gt;52.2&lt;/D&gt;&lt;D xsi:type="xsd:double"&gt;49.5&lt;/D&gt;&lt;D xsi:type="xsd:double"&gt;47.4&lt;/D&gt;&lt;D xsi:type="xsd:double"&gt;47.4&lt;/D&gt;&lt;D xsi:type="xsd:double"&gt;45.8&lt;/D&gt;&lt;D xsi:type="xsd:double"&gt;43.2&lt;/D&gt;&lt;D xsi:type="xsd:double"&gt;42.1&lt;/D&gt;&lt;D xsi:type="xsd:double"&gt;40&lt;/D&gt;&lt;D xsi:type="xsd:double"&gt;40.9&lt;/D&gt;&lt;D xsi:type="xsd:double"&gt;40.2&lt;/D&gt;&lt;D xsi:type="xsd:double"&gt;41.5&lt;/D&gt;&lt;D xsi:type="xsd:double"&gt;42.2&lt;/D&gt;&lt;D xsi:type="xsd:double"&gt;42.1&lt;/D&gt;&lt;D xsi:type="xsd:double"&gt;42.2&lt;/D&gt;&lt;D xsi:type="xsd:double"&gt;38.7&lt;/D&gt;&lt;D xsi:type="xsd:double"&gt;37.4&lt;/D&gt;&lt;D xsi:type="xsd:double"&gt;35.6&lt;/D&gt;&lt;D xsi:type="xsd:double"&gt;38.7&lt;/D&gt;&lt;D xsi:type="xsd:double"&gt;40.2&lt;/D&gt;&lt;D xsi:type="xsd:double"&gt;42.6&lt;/D&gt;&lt;D xsi:type="xsd:double"&gt;43.8&lt;/D&gt;&lt;D xsi:type="xsd:double"&gt;46.3&lt;/D&gt;&lt;D xsi:type="xsd:double"&gt;44.3&lt;/D&gt;&lt;D xsi:type="xsd:double"&gt;43.9&lt;/D&gt;&lt;D xsi:type="xsd:double"&gt;45.4&lt;/D&gt;&lt;D xsi:type="xsd:double"&gt;48&lt;/D&gt;&lt;D xsi:type="xsd:double"&gt;53.2&lt;/D&gt;&lt;D xsi:type="xsd:double"&gt;49.5&lt;/D&gt;&lt;D xsi:type="xsd:double"&gt;46.7&lt;/D&gt;&lt;D xsi:type="xsd:double"&gt;46.3&lt;/D&gt;&lt;D xsi:type="xsd:double"&gt;42.3&lt;/D&gt;&lt;D xsi:type="xsd:double"&gt;42.7&lt;/D&gt;&lt;D xsi:type="xsd:double"&gt;42.6&lt;/D&gt;&lt;D xsi:type="xsd:double"&gt;45.3&lt;/D&gt;&lt;D xsi:type="xsd:double"&gt;48.9&lt;/D&gt;&lt;D xsi:type="xsd:double"&gt;51.6&lt;/D&gt;&lt;D xsi:type="xsd:double"&gt;52.6&lt;/D&gt;&lt;D xsi:type="xsd:double"&gt;53.7&lt;/D&gt;&lt;D xsi:type="xsd:double"&gt;57.3&lt;/D&gt;&lt;D xsi:type="xsd:double"&gt;56.8&lt;/D&gt;&lt;D xsi:type="xsd:double"&gt;55.7&lt;/D&gt;&lt;D xsi:type="xsd:double"&gt;60.4&lt;/D&gt;&lt;D xsi:type="xsd:double"&gt;55&lt;/D&gt;&lt;D xsi:type="xsd:double"&gt;58.8&lt;/D&gt;&lt;D xsi:type="xsd:double"&gt;56.2&lt;/D&gt;&lt;D xsi:type="xsd:double"&gt;55.8&lt;/D&gt;&lt;D xsi:type="xsd:double"&gt;53.6&lt;/D&gt;&lt;D xsi:type="xsd:double"&gt;53.1&lt;/D&gt;&lt;D xsi:type="xsd:double"&gt;50.6&lt;/D&gt;&lt;D xsi:type="xsd:double"&gt;46.4&lt;/D&gt;&lt;D xsi:type="xsd:double"&gt;44.8&lt;/D&gt;&lt;D xsi:type="xsd:double"&gt;45.3&lt;/D&gt;&lt;D xsi:type="xsd:double"&gt;45.8&lt;/D&gt;&lt;D xsi:type="xsd:double"&gt;49.5&lt;/D&gt;&lt;D xsi:type="xsd:double"&gt;53.2&lt;/D&gt;&lt;D xsi:type="xsd:double"&gt;54.3&lt;/D&gt;&lt;D xsi:type="xsd:double"&gt;53.2&lt;/D&gt;&lt;D xsi:type="xsd:double"&gt;52.1&lt;/D&gt;&lt;D xsi:type="xsd:double"&gt;51.1&lt;/D&gt;&lt;D xsi:type="xsd:double"&gt;56.8&lt;/D&gt;&lt;D xsi:type="xsd:double"&gt;57.3&lt;/D&gt;&lt;D xsi:type="xsd:double"&gt;59.1&lt;/D&gt;&lt;D xsi:type="xsd:double"&gt;57.3&lt;/D&gt;&lt;D xsi:type="xsd:double"&gt;55.9&lt;/D&gt;&lt;D xsi:type="xsd:double"&gt;52.7&lt;/D&gt;&lt;D xsi:type="xsd:double"&gt;54.5&lt;/D&gt;&lt;D xsi:type="xsd:double"&gt;53.9&lt;/D&gt;&lt;D xsi:type="xsd:double"&gt;55.1&lt;/D&gt;&lt;D xsi:type="xsd:double"&gt;53.9&lt;/D&gt;&lt;D xsi:type="xsd:double"&gt;52.7&lt;/D&gt;&lt;D xsi:type="xsd:double"&gt;50.6&lt;/D&gt;&lt;D xsi:type="xsd:double"&gt;47.8&lt;/D&gt;&lt;D xsi:type="xsd:double"&gt;46.7&lt;/D&gt;&lt;D xsi:type="xsd:double"&gt;46.2&lt;/D&gt;&lt;D xsi:type="xsd:double"&gt;46.2&lt;/D&gt;&lt;D xsi:type="xsd:double"&gt;43.5&lt;/D&gt;&lt;D xsi:type="xsd:double"&gt;44&lt;/D&gt;&lt;D xsi:type="xsd:double"&gt;48.4&lt;/D&gt;&lt;D xsi:type="xsd:double"&gt;46.2&lt;/D&gt;&lt;D xsi:type="xsd:double"&gt;47.9&lt;/D&gt;&lt;D xsi:type="xsd:double"&gt;51.6&lt;/D&gt;&lt;D xsi:type="xsd:double"&gt;53.6&lt;/D&gt;&lt;D xsi:type="xsd:double"&gt;54.5&lt;/D&gt;&lt;D xsi:type="xsd:double"&gt;55.7&lt;/D&gt;&lt;D xsi:type="xsd:double"&gt;54.7&lt;/D&gt;&lt;D xsi:type="xsd:double"&gt;54.1&lt;/D&gt;&lt;D xsi:type="xsd:double"&gt;56.6&lt;/D&gt;&lt;D xsi:type="xsd:double"&gt;54.6&lt;/D&gt;&lt;D xsi:type="xsd:double"&gt;54.5&lt;/D&gt;&lt;D xsi:type="xsd:double"&gt;56&lt;/D&gt;&lt;D xsi:type="xsd:double"&gt;55.9&lt;/D&gt;&lt;D xsi:type="xsd:double"&gt;59.4&lt;/D&gt;&lt;D xsi:type="xsd:double"&gt;62.9&lt;/D&gt;&lt;D xsi:type="xsd:double"&gt;62.9&lt;/D&gt;&lt;D xsi:type="xsd:double"&gt;61.2&lt;/D&gt;&lt;D xsi:type="xsd:double"&gt;62.1&lt;/D&gt;&lt;D xsi:type="xsd:double"&gt;60.8&lt;/D&gt;&lt;D xsi:type="xsd:double"&gt;57.3&lt;/D&gt;&lt;D xsi:type="xsd:double"&gt;57.1&lt;/D&gt;&lt;D xsi:type="xsd:double"&gt;58.2&lt;/D&gt;&lt;D xsi:type="xsd:double"&gt;58.1&lt;/D&gt;&lt;D xsi:type="xsd:double"&gt;57&lt;/D&gt;&lt;D xsi:type="xsd:double"&gt;56.4&lt;/D&gt;&lt;D xsi:type="xsd:double"&gt;58.9&lt;/D&gt;&lt;D xsi:type="xsd:double"&gt;54.1&lt;/D&gt;&lt;D xsi:type="xsd:double"&gt;52.6&lt;/D&gt;&lt;D xsi:type="xsd:double"&gt;51&lt;/D&gt;&lt;D xsi:type="xsd:double"&gt;50&lt;/D&gt;&lt;D xsi:type="xsd:double"&gt;50&lt;/D&gt;&lt;D xsi:type="xsd:double"&gt;45.9&lt;/D&gt;&lt;D xsi:type="xsd:double"&gt;43.6&lt;/D&gt;&lt;D xsi:type="xsd:double"&gt;39.6&lt;/D&gt;&lt;/FQL&gt;&lt;FQL&gt;&lt;Q&gt;SP50^FMA_PE(NTMA,NOW,-10AY,W,"PORTAGG","MEANR")&lt;/Q&gt;&lt;R&gt;522&lt;/R&gt;&lt;C&gt;1&lt;/C&gt;&lt;D xsi:type="xsd:double"&gt;21.1596689337668&lt;/D&gt;&lt;D xsi:type="xsd:double"&gt;20.4150662058136&lt;/D&gt;&lt;D xsi:type="xsd:double"&gt;20.4561997655452&lt;/D&gt;&lt;D xsi:type="xsd:double"&gt;20.9378731132968&lt;/D&gt;&lt;D xsi:type="xsd:double"&gt;21.1511610653377&lt;/D&gt;&lt;D xsi:type="xsd:double"&gt;21.6278021539989&lt;/D&gt;&lt;D xsi:type="xsd:double"&gt;21.4855781764647&lt;/D&gt;&lt;D xsi:type="xsd:double"&gt;21.1144357408058&lt;/D&gt;&lt;D xsi:type="xsd:double"&gt;21.1634572519335&lt;/D&gt;&lt;D xsi:type="xsd:double"&gt;21.0802354629885&lt;/D&gt;&lt;D xsi:type="xsd:double"&gt;20.8047122838433&lt;/D&gt;&lt;D xsi:type="xsd:double"&gt;20.5934946145305&lt;/D&gt;&lt;D xsi:type="xsd:double"&gt;20.7553127937093&lt;/D&gt;&lt;D xsi:type="xsd:double"&gt;20.8483349171523&lt;/D&gt;&lt;D xsi:type="xsd:double"&gt;20.587743800808&lt;/D&gt;&lt;D xsi:type="xsd:double"&gt;20.2709001668325&lt;/D&gt;&lt;D xsi:type="xsd:double"&gt;20.2460852832112&lt;/D&gt;&lt;D xsi:type="xsd:double"&gt;19.8308527420065&lt;/D&gt;&lt;D xsi:type="xsd:double"&gt;20.5271430981615&lt;/D&gt;&lt;D xsi:type="xsd:double"&gt;20.8202010083023&lt;/D&gt;&lt;D xsi:type="xsd:double"&gt;21.0879891743413&lt;/D&gt;&lt;D xsi:type="xsd:double"&gt;21.0442854175263&lt;/D&gt;&lt;D xsi:type="xsd:double"&gt;20.6275809611456&lt;/D&gt;&lt;D xsi:type="xsd:double"&gt;20.6935130615392&lt;/D&gt;&lt;D xsi:type="xsd:double"&gt;20.8106425705619&lt;/D&gt;&lt;D xsi:type="xsd:double"&gt;20.676572121043&lt;/D&gt;&lt;D xsi:type="xsd:double"&gt;20.4135030392314&lt;/D&gt;&lt;D xsi:type="xsd:double"&gt;20.5544908220325&lt;/D&gt;&lt;D xsi:type="xsd:double"&gt;20.3102226115127&lt;/D&gt;&lt;D xsi:type="xsd:double"&gt;20.1722880760053&lt;/D&gt;&lt;D xsi:type="xsd:double"&gt;19.9173651238981&lt;/D&gt;&lt;D xsi:type="xsd:double"&gt;19.691118758666&lt;/D&gt;&lt;D xsi:type="xsd:double"&gt;19.333142692729&lt;/D&gt;&lt;D xsi:type="xsd:double"&gt;19.6547915209354&lt;/D&gt;&lt;D xsi:type="xsd:double"&gt;19.6223944876555&lt;/D&gt;&lt;D xsi:type="xsd:double"&gt;19.510804442689&lt;/D&gt;&lt;D xsi:type="xsd:double"&gt;19.0283088814976&lt;/D&gt;&lt;D xsi:type="xsd:double"&gt;19.0109667534153&lt;/D&gt;&lt;D xsi:type="xsd:double"&gt;18.9158523816262&lt;/D&gt;&lt;D xsi:type="xsd:double"&gt;18.8092650589409&lt;/D&gt;&lt;D xsi:type="xsd:double"&gt;18.4355895990356&lt;/D&gt;&lt;D xsi:type="xsd:double"&gt;18.209531784963&lt;/D&gt;&lt;D xsi:type="xsd:double"&gt;17.2079220497662&lt;/D&gt;&lt;D xsi:type="xsd:double"&gt;17.6891163676082&lt;/D&gt;&lt;D xsi:type="xsd:double"&gt;18.1175419624462&lt;/D&gt;&lt;D xsi:type="xsd:double"&gt;18.0954720787506&lt;/D&gt;&lt;D xsi:type="xsd:double"&gt;18.01914196775&lt;/D&gt;&lt;D xsi:type="xsd:double"&gt;18.1737612824327&lt;/D&gt;&lt;D xsi:type="xsd:double"&gt;18.7750470258243&lt;/D&gt;&lt;D xsi:type="xsd:double"&gt;18.8523978980466&lt;/D&gt;&lt;D xsi:type="xsd:double"&gt;19.130474457018&lt;/D&gt;&lt;D xsi:type="xsd:double"&gt;18.6864267168017&lt;/D&gt;&lt;D xsi:type="xsd:double"&gt;18.6675448277372&lt;/D&gt;&lt;D xsi:type="xsd:double"&gt;19.1361996861337&lt;/D&gt;&lt;D xsi:type="xsd:double"&gt;19.2508143102129&lt;/D&gt;&lt;D xsi:type="xsd:double"&gt;19.8101196480353&lt;/D&gt;&lt;D xsi:type="xsd:double"&gt;19.7417691622747&lt;/D&gt;&lt;D xsi:type="xsd:double"&gt;19.5994859609781&lt;/D&gt;&lt;D xsi:type="xsd:double"&gt;19.1473428218138&lt;/D&gt;&lt;D xsi:type="xsd:double"&gt;19.3944153830311&lt;/D&gt;&lt;D xsi:type="xsd:double"&gt;18.9347599808008&lt;/D&gt;&lt;D xsi:type="xsd:double"&gt;19.2288294439249&lt;/D&gt;&lt;D xsi:type="xsd:double"&gt;18.7687596025266&lt;/D&gt;&lt;D xsi:type="xsd:double"&gt;18.7212905934157&lt;/D&gt;&lt;D xsi:type="xsd:double"&gt;18.4158568373504&lt;/D&gt;&lt;D xsi:type="xsd:double"&gt;18.457862693536&lt;/D&gt;&lt;D xsi:type="xsd:double"&gt;18.1936242444254&lt;/D&gt;&lt;D xsi:type="xsd:double"&gt;18.2637965180835&lt;/D&gt;&lt;D xsi:type="xsd:double"&gt;18.4102041222055&lt;/D&gt;&lt;D xsi:type="xsd:double"&gt;18.3968197209206&lt;/D&gt;&lt;D xsi:type="xsd:double"&gt;18.4190826401068&lt;/D&gt;&lt;D xsi:type="xsd:double"&gt;18.2945164088871&lt;/D&gt;&lt;D xsi:type="xsd:double"&gt;18.312350797338&lt;/D&gt;&lt;D xsi:type="xsd:double"&gt;17.6708921673101&lt;/D&gt;&lt;D xsi:type="xsd:double"&gt;17.4336468179609&lt;/D&gt;&lt;D xsi:type="xsd:double"&gt;17.1988501764617&lt;/D&gt;&lt;D xsi:type="xsd:double"&gt;18.0579916704836&lt;/D&gt;&lt;D xsi:type="xsd:double"&gt;17.7629143904978&lt;/D&gt;&lt;D xsi:type="xsd:double"&gt;18.24588436958&lt;/D&gt;&lt;D xsi:type="xsd:double"&gt;18.2898582042266&lt;/D&gt;&lt;D xsi:type="xsd:double"&gt;18.5057343455688&lt;/D&gt;&lt;D xsi:type="xsd:double"&gt;18.1766306421811&lt;/D&gt;&lt;D xsi:type="xsd:double"&gt;17.5963222918283&lt;/D&gt;&lt;D xsi:type="xsd:double"&gt;17.6459036262377&lt;/D&gt;&lt;D xsi:type="xsd:double"&gt;17.113608367076&lt;/D&gt;&lt;D xsi:type="xsd:double"&gt;16.8511604541226&lt;/D&gt;&lt;D xsi:type="xsd:double"&gt;16.8809978997045&lt;/D&gt;&lt;D xsi:type="xsd:double"&gt;16.9051586277283&lt;/D&gt;&lt;D xsi:type="xsd:double"&gt;17.2655949118127&lt;/D&gt;&lt;D xsi:type="xsd:double"&gt;17.8613597094919&lt;/D&gt;&lt;D xsi:type="xsd:double"&gt;17.6683903704891&lt;/D&gt;&lt;D xsi:type="xsd:double"&gt;17.4325723259031&lt;/D&gt;&lt;D xsi:type="xsd:double"&gt;17.5766877300828&lt;/D&gt;&lt;D xsi:type="xsd:double"&gt;16.5918212690279&lt;/D&gt;&lt;D xsi:type="xsd:double"&gt;17.0934894857253&lt;/D&gt;&lt;D xsi:type="xsd:double"&gt;16.2387120720927&lt;/D&gt;&lt;D xsi:type="xsd:double"&gt;15.4421236924012&lt;/D&gt;&lt;D xsi:type="xsd:double"&gt;15.6488466583998&lt;/D&gt;&lt;D xsi:type="xsd:double"&gt;15.3970207185663&lt;/D&gt;&lt;D xsi:type="xsd:double"&gt;15.817213079359&lt;/D&gt;&lt;D xsi:type="xsd:double"&gt;16.609502228796&lt;/D&gt;&lt;D xsi:type="xsd:double"&gt;17.4515787002516&lt;/D&gt;&lt;D xsi:type="xsd:double"&gt;16.8523481260602&lt;/D&gt;&lt;D xsi:type="xsd:double"&gt;17.4484314362139&lt;/D&gt;&lt;D xsi:type="xsd:double"&gt;18.185442020243&lt;/D&gt;&lt;D xsi:type="xsd:double"&gt;18.4394921693671&lt;/D&gt;&lt;D xsi:type="xsd:double"&gt;17.842205538609&lt;/D&gt;&lt;D xsi:type="xsd:double"&gt;17.7669165835883&lt;/D&gt;&lt;D xsi:type="xsd:double"&gt;16.8989336095902&lt;/D&gt;&lt;D xsi:type="xsd:double"&gt;16.428093875296&lt;/D&gt;&lt;D xsi:type="xsd:double"&gt;16.5459673335316&lt;/D&gt;&lt;D xsi:type="xsd:double"&gt;16.2518114657264&lt;/D&gt;&lt;D xsi:type="xsd:double"&gt;16.6044400004253&lt;/D&gt;&lt;D xsi:type="xsd:double"&gt;15.6053290178002&lt;/D&gt;&lt;D xsi:type="xsd:double"&gt;16.5831057976014&lt;/D&gt;&lt;D xsi:type="xsd:double"&gt;17.5258399164514&lt;/D&gt;&lt;D xsi:type="xsd:double"&gt;17.7657630728337&lt;/D&gt;&lt;D xsi:type="xsd:double"&gt;16.7138942701996&lt;/D&gt;&lt;D xsi:type="xsd:double"&gt;17.2886396377293&lt;/D&gt;&lt;D xsi:type="xsd:double"&gt;17.7597310124433&lt;/D&gt;&lt;D xsi:type="xsd:double"&gt;17.8451761962642&lt;/D&gt;&lt;D xsi:type="xsd:double"&gt;18.3703291311662&lt;/D&gt;&lt;D xsi:type="xsd:double"&gt;19.0106923517774&lt;/D&gt;&lt;D xsi:type="xsd:double"&gt;19.5178949432652&lt;/D&gt;&lt;D xsi:type="xsd:double"&gt;19.8570671790919&lt;/D&gt;&lt;D xsi:type="xsd:double"&gt;19.8929256809131&lt;/D&gt;&lt;D xsi:type="xsd:double"&gt;19.6001897794339&lt;/D&gt;&lt;D xsi:type="xsd:double"&gt;18.494831237995&lt;/D&gt;&lt;D xsi:type="xsd:double"&gt;19.1700773785178&lt;/D&gt;&lt;D xsi:type="xsd:double"&gt;19.4733003790642&lt;/D&gt;&lt;D xsi:type="xsd:double"&gt;19.3612970444022&lt;/D&gt;&lt;D xsi:type="xsd:double"&gt;19.7139667704407&lt;/D&gt;&lt;D xsi:type="xsd:double"&gt;20.1528262390386&lt;/D&gt;&lt;D xsi:type="xsd:double"&gt;19.8532532675724&lt;/D&gt;&lt;D xsi:type="xsd:double"&gt;19.8262145991755&lt;/D&gt;&lt;D xsi:type="xsd:double"&gt;21.0504943400057&lt;/D&gt;&lt;D xsi:type="xsd:double"&gt;21.1602327346971&lt;/D&gt;&lt;D xsi:type="xsd:double"&gt;21.6581802936971&lt;/D&gt;&lt;D xsi:type="xsd:double"&gt;21.574540592404&lt;/D&gt;&lt;D xsi:type="xsd:double"&gt;21.1145648600491&lt;/D&gt;&lt;D xsi:type="xsd:double"&gt;21.5799006453749&lt;/D&gt;&lt;D xsi:type="xsd:double"&gt;20.9244965118078&lt;/D&gt;&lt;D xsi:type="xsd:double"&gt;21.2476516574299&lt;/D&gt;&lt;D xsi:type="xsd:double"&gt;21.7867126435158&lt;/D&gt;&lt;D xsi:type="xsd:double"&gt;21.7877036232116&lt;/D&gt;&lt;D xsi:type="xsd:double"&gt;21.9098433366182&lt;/D&gt;&lt;D xsi:type="xsd:double"&gt;21.5990945188949&lt;/D&gt;&lt;D xsi:type="xsd:double"&gt;21.3415230070687&lt;/D&gt;&lt;D xsi:type="xsd:double"&gt;21.0726722620555&lt;/D&gt;&lt;D xsi:type="xsd:double"&gt;20.7924827222114&lt;/D&gt;&lt;D xsi:type="xsd:double"&gt;20.6977539250412&lt;/D&gt;&lt;D xsi:type="xsd:double"&gt;21.1959381147797&lt;/D&gt;&lt;D xsi:type="xsd:double"&gt;21.128653519149&lt;/D&gt;&lt;D xsi:type="xsd:double"&gt;21.2924419744978&lt;/D&gt;&lt;D xsi:type="xsd:double"&gt;21.6846207093358&lt;/D&gt;&lt;D xsi:type="xsd:double"&gt;21.5986206303598&lt;/D&gt;&lt;D xsi:type="xsd:double"&gt;21.318084720389&lt;/D&gt;&lt;D xsi:type="xsd:double"&gt;21.5360287992346&lt;/D&gt;&lt;D xsi:type="xsd:double"&gt;21.4658030711258&lt;/D&gt;&lt;D xsi:type="xsd:double"&gt;21.3965707003963&lt;/D&gt;&lt;D xsi:type="xsd:double"&gt;21.8696777089661&lt;/D&gt;&lt;D xsi:type="xsd:double"&gt;21.6195810056142&lt;/D&gt;&lt;D xsi:type="xsd:double"&gt;22.0056103225144&lt;/D&gt;&lt;D xsi:type="xsd:double"&gt;21.9705278642203&lt;/D&gt;&lt;D xsi:type="xsd:double"&gt;21.688517886606&lt;/D&gt;&lt;D xsi:type="xsd:double"&gt;21.1908546463649&lt;/D&gt;&lt;D xsi:type="xsd:double"&gt;21.6691539055168&lt;/D&gt;&lt;D xsi:type="xsd:double"&gt;21.6351870232758&lt;/D&gt;&lt;D xsi:type="xsd:double"&gt;21.5770941697701&lt;/D&gt;&lt;D xsi:type="xsd:double"&gt;21.4196805787094&lt;/D&gt;&lt;D xsi:type="xsd:double"&gt;21.6312644678452&lt;/D&gt;&lt;D xsi:type="xsd:double"&gt;22.0427157467546&lt;/D&gt;&lt;D xsi:type="xsd:double"&gt;22.028255811287&lt;/D&gt;&lt;D xsi:type="xsd:double"&gt;22.630382773366&lt;/D&gt;&lt;D xsi:type="xsd:double"&gt;22.8321424983403&lt;/D&gt;&lt;D xsi:type="xsd:double"&gt;22.8584421884388&lt;/D&gt;&lt;D xsi:type="xsd:double"&gt;22.389250982542&lt;/D&gt;&lt;D xsi:type="xsd:double"&gt;22.2647997284708&lt;/D&gt;&lt;D xsi:type="xsd:double"&gt;22.0194314215758&lt;/D&gt;&lt;D xsi:type="xsd:double"&gt;22.3018122769588&lt;/D&gt;&lt;D xsi:type="xsd:double"&gt;21.8388050764092&lt;/D&gt;&lt;D xsi:type="xsd:double"&gt;21.7876355976354&lt;/D&gt;&lt;D xsi:type="xsd:double"&gt;22.5031692223925&lt;/D&gt;&lt;D xsi:type="xsd:double"&gt;22.7723034301526&lt;/D&gt;&lt;D xsi:type="xsd:double"&gt;22.5813470827611&lt;/D&gt;&lt;D xsi:type="xsd:double"&gt;21.7855548106067&lt;/D&gt;&lt;D xsi:type="xsd:double"&gt;22.905389805728&lt;/D&gt;&lt;D xsi:type="xsd:double"&gt;22.6709709590653&lt;/D&gt;&lt;D xsi:type="xsd:double"&gt;23.1768601727226&lt;/D&gt;&lt;D xsi:type="xsd:double"&gt;22.9521793568535&lt;/D&gt;&lt;D xsi:type="xsd:double"&gt;22.7644236648378&lt;/D&gt;&lt;D xsi:type="xsd:double"&gt;22.8878437423072&lt;/D&gt;&lt;D xsi:type="xsd:double"&gt;22.7378797193837&lt;/D&gt;&lt;D xsi:type="xsd:double"&gt;23.0785831541813&lt;/D&gt;&lt;D xsi:type="xsd:double"&gt;22.8111589481334&lt;/D&gt;&lt;D xsi:type="xsd:double"&gt;22.3691093660909&lt;/D&gt;&lt;D xsi:type="xsd:double"&gt;22.6295596734807&lt;/D&gt;&lt;D xsi:type="xsd:double"&gt;22.299373753985&lt;/D&gt;&lt;D xsi:type="xsd:double"&gt;20.9239966305517&lt;/D&gt;&lt;D xsi:type="xsd:double"&gt;22.4451539292668&lt;/D&gt;&lt;D xsi:type="xsd:double"&gt;22.740683500031&lt;/D&gt;&lt;D xsi:type="xsd:double"&gt;22.8489235266142&lt;/D&gt;&lt;D xsi:type="xsd:double"&gt;22.1460999196999&lt;/D&gt;&lt;D xsi:type="xsd:double"&gt;21.9003418035097&lt;/D&gt;&lt;D xsi:type="xsd:double"&gt;22.169554774197&lt;/D&gt;&lt;D xsi:type="xsd:double"&gt;22.4076461137461&lt;/D&gt;&lt;D xsi:type="xsd:double"&gt;23.1357188063663&lt;/D&gt;&lt;D xsi:type="xsd:double"&gt;23.8030507816283&lt;/D&gt;&lt;D xsi:type="xsd:double"&gt;23.154876067962&lt;/D&gt;&lt;D xsi:type="xsd:double"&gt;23.0961457859052&lt;/D&gt;&lt;D xsi:type="xsd:double"&gt;23.0241333954526&lt;/D&gt;&lt;D xsi:type="xsd:double"&gt;22.6364911523854&lt;/D&gt;&lt;D xsi:type="xsd:double"&gt;22.7125309268198&lt;/D&gt;&lt;D xsi:type="xsd:double"&gt;23.0313573305932&lt;/D&gt;&lt;D xsi:type="xsd:double"&gt;22.958626085339&lt;/D&gt;&lt;D xsi:type="xsd:double"&gt;22.5594189143509&lt;/D&gt;&lt;D xsi:type="xsd:double"&gt;21.7788527268004&lt;/D&gt;&lt;D xsi:type="xsd:double"&gt;22.5074996777833&lt;/D&gt;&lt;D xsi:type="xsd:double"&gt;22.1675606399683&lt;/D&gt;&lt;D xsi:type="xsd:double"&gt;23.3689806518952&lt;/D&gt;&lt;D xsi:type="xsd:double"&gt;22.390826514254&lt;/D&gt;&lt;D xsi:type="xsd:double"&gt;21.7947421055635&lt;/D&gt;&lt;D xsi:type="xsd:double"&gt;21.117996264303&lt;/D&gt;&lt;D xsi:type="xsd:double"&gt;21.5591197285726&lt;/D&gt;&lt;D xsi:type="xsd:double"&gt;20.4967350735598&lt;/D&gt;&lt;D xsi:type="xsd:double"&gt;20.1602751596444&lt;/D&gt;&lt;D xsi:type="xsd:double"&gt;19.9384288344869&lt;/D&gt;&lt;D xsi:type="xsd:double"&gt;18.4365275447804&lt;/D&gt;&lt;D xsi:type="xsd:double"&gt;15.8229119388428&lt;/D&gt;&lt;D xsi:type="xsd:double"&gt;15.6077363641478&lt;/D&gt;&lt;D xsi:type="xsd:double"&gt;13.7894456850971&lt;/D&gt;&lt;D xsi:type="xsd:double"&gt;15.8705061096965&lt;/D&gt;&lt;D xsi:type="xsd:double"&gt;17.2104659154821&lt;/D&gt;&lt;D xsi:type="xsd:double"&gt;17.0285210630358&lt;/D&gt;&lt;D xsi:type="xsd:double"&gt;19.2283202030051&lt;/D&gt;&lt;D xsi:type="xsd:double"&gt;19.4622538195239&lt;/D&gt;&lt;D xsi:type="xsd:double"&gt;19.1433660552162&lt;/D&gt;&lt;D xsi:type="xsd:double"&gt;18.4973707709106&lt;/D&gt;&lt;D xsi:type="xsd:double"&gt;18.8629850259633&lt;/D&gt;&lt;D xsi:type="xsd:double"&gt;19.0551163979014&lt;/D&gt;&lt;D xsi:type="xsd:double"&gt;18.6974878694343&lt;/D&gt;&lt;D xsi:type="xsd:double"&gt;18.54336537032&lt;/D&gt;&lt;D xsi:type="xsd:double"&gt;18.5940202618105&lt;/D&gt;&lt;D xsi:type="xsd:double"&gt;18.5183698479166&lt;/D&gt;&lt;D xsi:type="xsd:double"&gt;18.2242716003867&lt;/D&gt;&lt;D xsi:type="xsd:double"&gt;18.1282840585368&lt;/D&gt;&lt;D xsi:type="xsd:double"&gt;18.1532526831025&lt;/D&gt;&lt;D xsi:type="xsd:double"&gt;17.9990520246836&lt;/D&gt;&lt;D xsi:type="xsd:double"&gt;18.1138134715112&lt;/D&gt;&lt;D xsi:type="xsd:double"&gt;17.9831907748943&lt;/D&gt;&lt;D xsi:type="xsd:double"&gt;17.8538088534898&lt;/D&gt;&lt;D xsi:type="xsd:double"&gt;17.6128869200289&lt;/D&gt;&lt;D xsi:type="xsd:double"&gt;17.3948984673229&lt;/D&gt;&lt;D xsi:type="xsd:double"&gt;17.2950409179155&lt;/D&gt;&lt;D xsi:type="xsd:double"&gt;17.1684220110906&lt;/D&gt;&lt;D xsi:type="xsd:double"&gt;17.1961709898206&lt;/D&gt;&lt;D xsi:type="xsd:double"&gt;17.4067022875048&lt;/D&gt;&lt;D xsi:type="xsd:double"&gt;17.5007027609616&lt;/D&gt;&lt;D xsi:type="xsd:double"&gt;17.3916888609432&lt;/D&gt;&lt;D xsi:type="xsd:double"&gt;17.1192250459249&lt;/D&gt;&lt;D xsi:type="xsd:double"&gt;16.6877309092574&lt;/D&gt;&lt;D xsi:type="xsd:double"&gt;16.9635926807953&lt;/D&gt;&lt;D xsi:type="xsd:double"&gt;17.1665200963901&lt;/D&gt;&lt;D xsi:type="xsd:double"&gt;17.2063652921729&lt;/D&gt;&lt;D xsi:type="xsd:double"&gt;17.7734567426356&lt;/D&gt;&lt;D xsi:type="xsd:double"&gt;17.4905911599325&lt;/D&gt;&lt;D xsi:type="xsd:double"&gt;17.6844020113166&lt;/D&gt;&lt;D xsi:type="xsd:double"&gt;17.520264950499&lt;/D&gt;&lt;D xsi:type="xsd:double"&gt;17.2159051455365&lt;/D&gt;&lt;D xsi:type="xsd:double"&gt;17.2892635118775&lt;/D&gt;&lt;D xsi:type="xsd:double"&gt;16.9388106167058&lt;/D&gt;&lt;D xsi:type="xsd:double"&gt;16.8621515823492&lt;/D&gt;&lt;D xsi:type="xsd:double"&gt;16.1334552121262&lt;/D&gt;&lt;D xsi:type="xsd:double"&gt;16.5862340289484&lt;/D&gt;&lt;D xsi:type="xsd:double"&gt;16.8129475184911&lt;/D&gt;&lt;D xsi:type="xsd:double"&gt;16.9713236447671&lt;/D&gt;&lt;D xsi:type="xsd:double"&gt;17.2656553413293&lt;/D&gt;&lt;D xsi:type="xsd:double"&gt;17.2533140243944&lt;/D&gt;&lt;D xsi:type="xsd:double"&gt;17.0855706236866&lt;/D&gt;&lt;D xsi:type="xsd:double"&gt;17.1384768292051&lt;/D&gt;&lt;D xsi:type="xsd:double"&gt;17.0775325547365&lt;/D&gt;&lt;D xsi:type="xsd:double"&gt;16.7310800513897&lt;/D&gt;&lt;D xsi:type="xsd:double"&gt;16.5561376155914&lt;/D&gt;&lt;D xsi:type="xsd:double"&gt;16.7105548420507&lt;/D&gt;&lt;D xsi:type="xsd:double"&gt;16.2645251691543&lt;/D&gt;&lt;D xsi:type="xsd:double"&gt;16.6465247819432&lt;/D&gt;&lt;D xsi:type="xsd:double"&gt;16.5824292559235&lt;/D&gt;&lt;D xsi:type="xsd:double"&gt;16.4784497765568&lt;/D&gt;&lt;D xsi:type="xsd:double"&gt;16.0890387332464&lt;/D&gt;&lt;D xsi:type="xsd:double"&gt;16.0689329748878&lt;/D&gt;&lt;D xsi:type="xsd:double"&gt;15.739095723061&lt;/D&gt;&lt;D xsi:type="xsd:double"&gt;15.7717762965005&lt;/D&gt;&lt;D xsi:type="xsd:double"&gt;15.3516788504007&lt;/D&gt;&lt;D xsi:type="xsd:double"&gt;14.9040378855738&lt;/D&gt;&lt;D xsi:type="xsd:double"&gt;14.546239913057&lt;/D&gt;&lt;D xsi:type="xsd:double"&gt;14.1534325592477&lt;/D&gt;&lt;D xsi:type="xsd:double"&gt;15.1627470622542&lt;/D&gt;&lt;D xsi:type="xsd:double"&gt;15.3172936746875&lt;/D&gt;&lt;D xsi:type="xsd:double"&gt;16.0472219057766&lt;/D&gt;&lt;D xsi:type="xsd:double"&gt;15.3226177713933&lt;/D&gt;&lt;D xsi:type="xsd:double"&gt;15.9317787382928&lt;/D&gt;&lt;D xsi:type="xsd:double"&gt;16.204567865245&lt;/D&gt;&lt;D xsi:type="xsd:double"&gt;15.8664796028142&lt;/D&gt;&lt;D xsi:type="xsd:double"&gt;15.4688048506418&lt;/D&gt;&lt;D xsi:type="xsd:double"&gt;16.1245141901372&lt;/D&gt;&lt;D xsi:type="xsd:double"&gt;16.1416034006042&lt;/D&gt;&lt;D xsi:type="xsd:double"&gt;16.849156931565&lt;/D&gt;&lt;D xsi:type="xsd:double"&gt;17.0744057192044&lt;/D&gt;&lt;D xsi:type="xsd:double"&gt;17.2118012834981&lt;/D&gt;&lt;D xsi:type="xsd:double"&gt;17.109144798173&lt;/D&gt;&lt;D xsi:type="xsd:double"&gt;16.9313158873372&lt;/D&gt;&lt;D xsi:type="xsd:double"&gt;17.1578963411159&lt;/D&gt;&lt;D xsi:type="xsd:double"&gt;17.0320448530919&lt;/D&gt;&lt;D xsi:type="xsd:double"&gt;16.9147341714879&lt;/D&gt;&lt;D xsi:type="xsd:double"&gt;16.8387147475386&lt;/D&gt;&lt;D xsi:type="xsd:double"&gt;16.9112674844156&lt;/D&gt;&lt;D xsi:type="xsd:double"&gt;16.8369184862039&lt;/D&gt;&lt;D xsi:type="xsd:double"&gt;16.7981860497897&lt;/D&gt;&lt;D xsi:type="xsd:double"&gt;16.8548383838509&lt;/D&gt;&lt;D xsi:type="xsd:double"&gt;16.6303906025359&lt;/D&gt;&lt;D xsi:type="xsd:double"&gt;16.4167910289917&lt;/D&gt;&lt;D xsi:type="xsd:double"&gt;16.6720026005914&lt;/D&gt;&lt;D xsi:type="xsd:double"&gt;16.8714355541358&lt;/D&gt;&lt;D xsi:type="xsd:double"&gt;16.9201556002374&lt;/D&gt;&lt;D xsi:type="xsd:double"&gt;16.6985801507918&lt;/D&gt;&lt;D xsi:type="xsd:double"&gt;16.6505498415039&lt;/D&gt;&lt;D xsi:type="xsd:double"&gt;16.6302666686773&lt;/D&gt;&lt;D xsi:type="xsd:double"&gt;16.7890793650893&lt;/D&gt;&lt;D xsi:type="xsd:double"&gt;16.450407385866&lt;/D&gt;&lt;D xsi:type="xsd:double"&gt;16.5320668700809&lt;/D&gt;&lt;D xsi:type="xsd:double"&gt;16.7026059103574&lt;/D&gt;&lt;D xsi:type="xsd:double"&gt;16.6672716229478&lt;/D&gt;&lt;D xsi:type="xsd:double"&gt;16.3947526415168&lt;/D&gt;&lt;D xsi:type="xsd:double"&gt;16.6629173038705&lt;/D&gt;&lt;D xsi:type="xsd:double"&gt;16.3651927109542&lt;/D&gt;&lt;D xsi:type="xsd:double"&gt;17.4624537325575&lt;/D&gt;&lt;D xsi:type="xsd:double"&gt;17.7073851755327&lt;/D&gt;&lt;D xsi:type="xsd:double"&gt;17.1277558450208&lt;/D&gt;&lt;D xsi:type="xsd:double"&gt;17.5191593329022&lt;/D&gt;&lt;D xsi:type="xsd:double"&gt;17.4770921082158&lt;/D&gt;&lt;D xsi:type="xsd:double"&gt;16.8234778221999&lt;/D&gt;&lt;D xsi:type="xsd:double"&gt;17.8774800191606&lt;/D&gt;&lt;D xsi:type="xsd:double"&gt;18.8795957779663&lt;/D&gt;&lt;D xsi:type="xsd:double"&gt;18.7469159614756&lt;/D&gt;&lt;D xsi:type="xsd:double"&gt;18.7831646837089&lt;/D&gt;&lt;D xsi:type="xsd:double"&gt;18.7669339853846&lt;/D&gt;&lt;D xsi:type="xsd:double"&gt;18.5141955619541&lt;/D&gt;&lt;D xsi:type="xsd:double"&gt;18.6524677995408&lt;/D&gt;&lt;D xsi:type="xsd:double"&gt;18.731678003531&lt;/D&gt;&lt;D xsi:type="xsd:double"&gt;18.6093490314202&lt;/D&gt;&lt;D xsi:type="xsd:double"&gt;18.5955589932968&lt;/D&gt;&lt;D xsi:type="xsd:double"&gt;18.3947342482891&lt;/D&gt;&lt;D xsi:type="xsd:double"&gt;18.2647299056961&lt;/D&gt;&lt;D xsi:type="xsd:double"&gt;18.3209469532567&lt;/D&gt;&lt;D xsi:type="xsd:double"&gt;18.4100886590498&lt;/D&gt;&lt;D xsi:type="xsd:double"&gt;18.3953410869202&lt;/D&gt;&lt;D xsi:type="xsd:double"&gt;18.399813023613&lt;/D&gt;&lt;D xsi:type="xsd:double"&gt;18.2547991098739&lt;/D&gt;&lt;D xsi:type="xsd:double"&gt;18.2354931084262&lt;/D&gt;&lt;D xsi:type="xsd:double"&gt;18.0383327383243&lt;/D&gt;&lt;D xsi:type="xsd:double"&gt;17.9731760277311&lt;/D&gt;&lt;D xsi:type="xsd:double"&gt;17.9832347729792&lt;/D&gt;&lt;D xsi:type="xsd:double"&gt;17.7301581331133&lt;/D&gt;&lt;D xsi:type="xsd:double"&gt;17.8541100090744&lt;/D&gt;&lt;D xsi:type="xsd:double"&gt;17.6659443478369&lt;/D&gt;&lt;D xsi:type="xsd:double"&gt;17.5706257192402&lt;/D&gt;&lt;D xsi:type="xsd:double"&gt;17.7015422409896&lt;/D&gt;&lt;D xsi:type="xsd:double"&gt;17.9738208961522&lt;/D&gt;&lt;D xsi:type="xsd:double"&gt;17.9630142905425&lt;/D&gt;&lt;D xsi:type="xsd:double"&gt;18.0578920170401&lt;/D&gt;&lt;D xsi:type="xsd:double"&gt;17.9581477281008&lt;/D&gt;&lt;D xsi:type="xsd:double"&gt;17.69657662692&lt;/D&gt;&lt;D xsi:type="xsd:double"&gt;17.7171819966343&lt;/D&gt;&lt;D xsi:type="xsd:double"&gt;17.8780385314588&lt;/D&gt;&lt;D xsi:type="xsd:double"&gt;17.873936295502&lt;/D&gt;&lt;D xsi:type="xsd:double"&gt;17.9051047120274&lt;/D&gt;&lt;D xsi:type="xsd:double"&gt;18.0100484939991&lt;/D&gt;&lt;D xsi:type="xsd:double"&gt;17.8637341281055&lt;/D&gt;&lt;D xsi:type="xsd:double"&gt;17.6096933862549&lt;/D&gt;&lt;D xsi:type="xsd:double"&gt;17.711659111736&lt;/D&gt;&lt;D xsi:type="xsd:double"&gt;17.7970681888661&lt;/D&gt;&lt;D xsi:type="xsd:double"&gt;17.70611372453&lt;/D&gt;&lt;D xsi:type="xsd:double"&gt;17.5203014156093&lt;/D&gt;&lt;D xsi:type="xsd:double"&gt;17.4229118894958&lt;/D&gt;&lt;D xsi:type="xsd:double"&gt;17.6519784998413&lt;/D&gt;&lt;D xsi:type="xsd:double"&gt;17.7385561748935&lt;/D&gt;&lt;D xsi:type="xsd:double"&gt;17.6339581200074&lt;/D&gt;&lt;D xsi:type="xsd:double"&gt;17.9368600964155&lt;/D&gt;&lt;D xsi:type="xsd:double"&gt;17.9226878558301&lt;/D&gt;&lt;D xsi:type="xsd:double"&gt;18.021679639566&lt;/D&gt;&lt;D xsi:type="xsd:double"&gt;17.935864365921&lt;/D&gt;&lt;D xsi:type="xsd:double"&gt;17.8326352482203&lt;/D&gt;&lt;D xsi:type="xsd:double"&gt;17.5832732416786&lt;/D&gt;&lt;D xsi:type="xsd:double"&gt;17.4144698385508&lt;/D&gt;&lt;D xsi:type="xsd:double"&gt;17.4023239511171&lt;/D&gt;&lt;D xsi:type="xsd:double"&gt;17.1226080870609&lt;/D&gt;&lt;D xsi:type="xsd:double"&gt;17.1731678703802&lt;/D&gt;&lt;D xsi:type="xsd:double"&gt;17.2244829661451&lt;/D&gt;&lt;D xsi:type="xsd:double"&gt;16.9851142207877&lt;/D&gt;&lt;D xsi:type="xsd:double"&gt;17.2177080923983&lt;/D&gt;&lt;D xsi:type="xsd:double"&gt;17.2209308935184&lt;/D&gt;&lt;D xsi:type="xsd:double"&gt;17.2603121820138&lt;/D&gt;&lt;D xsi:type="xsd:double"&gt;16.7796086673301&lt;/D&gt;&lt;D xsi:type="xsd:double"&gt;17.012964447507&lt;/D&gt;&lt;D xsi:type="xsd:double"&gt;16.8083172675814&lt;/D&gt;&lt;D xsi:type="xsd:double"&gt;16.7037724917649&lt;/D&gt;&lt;D xsi:type="xsd:double"&gt;16.131229964493&lt;/D&gt;&lt;D xsi:type="xsd:double"&gt;16.4437534785901&lt;/D&gt;&lt;D xsi:type="xsd:double"&gt;16.5454805669405&lt;/D&gt;&lt;D xsi:type="xsd:double"&gt;16.5518770264585&lt;/D&gt;&lt;D xsi:type="xsd:double"&gt;16.7271975886865&lt;/D&gt;&lt;D xsi:type="xsd:double"&gt;16.8802513507834&lt;/D&gt;&lt;D xsi:type="xsd:double"&gt;16.8782759387806&lt;/D&gt;&lt;D xsi:type="xsd:double"&gt;16.7153537403035&lt;/D&gt;&lt;D xsi:type="xsd:double"&gt;16.6601053341784&lt;/D&gt;&lt;D xsi:type="xsd:double"&gt;17.1317912320809&lt;/D&gt;&lt;D xsi:type="xsd:double"&gt;17.0685786133584&lt;/D&gt;&lt;D xsi:type="xsd:double"&gt;17.2116220547172&lt;/D&gt;&lt;D xsi:type="xsd:double"&gt;17.2763015590833&lt;/D&gt;&lt;D xsi:type="xsd:double"&gt;17.3035648966223&lt;/D&gt;&lt;D xsi:type="xsd:double"&gt;17.2582755992612&lt;/D&gt;&lt;D xsi:type="xsd:double"&gt;17.2825449075297&lt;/D&gt;&lt;D xsi:type="xsd:double"&gt;17.2169945203926&lt;/D&gt;&lt;D xsi:type="xsd:double"&gt;16.9978866623206&lt;/D&gt;&lt;D xsi:type="xsd:double"&gt;16.7743754188927&lt;/D&gt;&lt;D xsi:type="xsd:double"&gt;16.2454151081026&lt;/D&gt;&lt;D xsi:type="xsd:double"&gt;16.5435141749236&lt;/D&gt;&lt;D xsi:type="xsd:double"&gt;16.7668810649651&lt;/D&gt;&lt;D xsi:type="xsd:double"&gt;16.8233136290073&lt;/D&gt;&lt;D xsi:type="xsd:double"&gt;16.8676483769431&lt;/D&gt;&lt;D xsi:type="xsd:double"&gt;16.5336043105965&lt;/D&gt;&lt;D xsi:type="xsd:double"&gt;16.4998986119664&lt;/D&gt;&lt;D xsi:type="xsd:double"&gt;16.6027259191156&lt;/D&gt;&lt;D xsi:type="xsd:double"&gt;16.6741082091493&lt;/D&gt;&lt;D xsi:type="xsd:double"&gt;16.8821448896127&lt;/D&gt;&lt;D xsi:type="xsd:double"&gt;16.8273651982356&lt;/D&gt;&lt;D xsi:type="xsd:double"&gt;16.5694579425782&lt;/D&gt;&lt;D xsi:type="xsd:double"&gt;16.7684028282556&lt;/D&gt;&lt;D xsi:type="xsd:double"&gt;16.4552716247451&lt;/D&gt;&lt;D xsi:type="xsd:double"&gt;16.5686109668896&lt;/D&gt;&lt;D xsi:type="xsd:double"&gt;16.3528950896619&lt;/D&gt;&lt;D xsi:type="xsd:double"&gt;16.1941013729098&lt;/D&gt;&lt;D xsi:type="xsd:double"&gt;15.7675348495092&lt;/D&gt;&lt;D xsi:type="xsd:double"&gt;15.5089335792987&lt;/D&gt;&lt;D xsi:type="xsd:double"&gt;15.0787681713265&lt;/D&gt;&lt;D xsi:type="xsd:double"&gt;15.1814944946572&lt;/D&gt;&lt;D xsi:type="xsd:double"&gt;15.6530222853115&lt;/D&gt;&lt;D xsi:type="xsd:double"&gt;15</t>
        </r>
      </text>
    </comment>
    <comment ref="A9" authorId="0" shapeId="0" xr:uid="{FF7D5D6E-6385-4756-A757-EC45B8A0170A}">
      <text>
        <r>
          <rPr>
            <b/>
            <sz val="9"/>
            <color indexed="81"/>
            <rFont val="Tahoma"/>
            <charset val="1"/>
          </rPr>
          <t>.2646709671459&lt;/D&gt;&lt;D xsi:type="xsd:double"&gt;14.9765245721074&lt;/D&gt;&lt;D xsi:type="xsd:double"&gt;15.195466016931&lt;/D&gt;&lt;D xsi:type="xsd:double"&gt;16.1381335750818&lt;/D&gt;&lt;D xsi:type="xsd:double"&gt;16.273763471973&lt;/D&gt;&lt;D xsi:type="xsd:double"&gt;15.8561883210288&lt;/D&gt;&lt;D xsi:type="xsd:double"&gt;15.8811008775547&lt;/D&gt;&lt;D xsi:type="xsd:double"&gt;16.4985354576297&lt;/D&gt;&lt;D xsi:type="xsd:double"&gt;16.4961895267794&lt;/D&gt;&lt;D xsi:type="xsd:double"&gt;16.5095602978179&lt;/D&gt;&lt;D xsi:type="xsd:double"&gt;15.9916965184968&lt;/D&gt;&lt;D xsi:type="xsd:double"&gt;16.60652048149&lt;/D&gt;&lt;D xsi:type="xsd:double"&gt;16.3779131513678&lt;/D&gt;&lt;D xsi:type="xsd:double"&gt;16.4084592484572&lt;/D&gt;&lt;D xsi:type="xsd:double"&gt;16.0569689088569&lt;/D&gt;&lt;D xsi:type="xsd:double"&gt;15.8847531764858&lt;/D&gt;&lt;D xsi:type="xsd:double"&gt;15.3643710727992&lt;/D&gt;&lt;D xsi:type="xsd:double"&gt;15.2160096393519&lt;/D&gt;&lt;D xsi:type="xsd:double"&gt;15.4138257849348&lt;/D&gt;&lt;D xsi:type="xsd:double"&gt;15.4415010637933&lt;/D&gt;&lt;D xsi:type="xsd:double"&gt;15.0939525346701&lt;/D&gt;&lt;D xsi:type="xsd:double"&gt;15.6209641901727&lt;/D&gt;&lt;D xsi:type="xsd:double"&gt;15.5035899971599&lt;/D&gt;&lt;D xsi:type="xsd:double"&gt;16.4733740787784&lt;/D&gt;&lt;D xsi:type="xsd:double"&gt;16.3752905274005&lt;/D&gt;&lt;D xsi:type="xsd:double"&gt;16.5677024984232&lt;/D&gt;&lt;D xsi:type="xsd:double"&gt;16.3961630557337&lt;/D&gt;&lt;D xsi:type="xsd:double"&gt;16.7833438222165&lt;/D&gt;&lt;D xsi:type="xsd:double"&gt;16.3345250326757&lt;/D&gt;&lt;D xsi:type="xsd:double"&gt;16.341575258234&lt;/D&gt;&lt;D xsi:type="xsd:double"&gt;16.5087590272833&lt;/D&gt;&lt;D xsi:type="xsd:double"&gt;16.6018502342821&lt;/D&gt;&lt;D xsi:type="xsd:double"&gt;16.4898456748889&lt;/D&gt;&lt;D xsi:type="xsd:double"&gt;16.4998586900213&lt;/D&gt;&lt;D xsi:type="xsd:double"&gt;16.6315513430228&lt;/D&gt;&lt;D xsi:type="xsd:double"&gt;16.8038282611092&lt;/D&gt;&lt;D xsi:type="xsd:double"&gt;16.8180588055152&lt;/D&gt;&lt;D xsi:type="xsd:double"&gt;16.7994748891417&lt;/D&gt;&lt;D xsi:type="xsd:double"&gt;16.7566762182431&lt;/D&gt;&lt;D xsi:type="xsd:double"&gt;16.932656926141&lt;/D&gt;&lt;D xsi:type="xsd:double"&gt;16.639775011348&lt;/D&gt;&lt;D xsi:type="xsd:double"&gt;16.7922841662853&lt;/D&gt;&lt;D xsi:type="xsd:double"&gt;16.5158220406431&lt;/D&gt;&lt;D xsi:type="xsd:double"&gt;16.4841269765708&lt;/D&gt;&lt;D xsi:type="xsd:double"&gt;16.8755241883021&lt;/D&gt;&lt;D xsi:type="xsd:double"&gt;16.4397007424533&lt;/D&gt;&lt;D xsi:type="xsd:double"&gt;16.5703140072374&lt;/D&gt;&lt;D xsi:type="xsd:double"&gt;16.8546079516997&lt;/D&gt;&lt;D xsi:type="xsd:double"&gt;16.9049679495424&lt;/D&gt;&lt;D xsi:type="xsd:double"&gt;16.8033872456798&lt;/D&gt;&lt;D xsi:type="xsd:double"&gt;16.4778133154755&lt;/D&gt;&lt;D xsi:type="xsd:double"&gt;16.015491419099&lt;/D&gt;&lt;D xsi:type="xsd:double"&gt;16.375215161256&lt;/D&gt;&lt;D xsi:type="xsd:double"&gt;15.9233761374603&lt;/D&gt;&lt;D xsi:type="xsd:double"&gt;16.0134425249971&lt;/D&gt;&lt;D xsi:type="xsd:double"&gt;15.9505394020144&lt;/D&gt;&lt;D xsi:type="xsd:double"&gt;16.2084668570498&lt;/D&gt;&lt;D xsi:type="xsd:double"&gt;16.0808488463214&lt;/D&gt;&lt;D xsi:type="xsd:double"&gt;15.4893920364375&lt;/D&gt;&lt;D xsi:type="xsd:double"&gt;15.9617021580052&lt;/D&gt;&lt;D xsi:type="xsd:double"&gt;15.8893571657757&lt;/D&gt;&lt;D xsi:type="xsd:double"&gt;15.8341143176972&lt;/D&gt;&lt;D xsi:type="xsd:double"&gt;15.6817203738547&lt;/D&gt;&lt;D xsi:type="xsd:double"&gt;15.6116287034314&lt;/D&gt;&lt;D xsi:type="xsd:double"&gt;15.5213975435408&lt;/D&gt;&lt;D xsi:type="xsd:double"&gt;15.1037127885016&lt;/D&gt;&lt;D xsi:type="xsd:double"&gt;14.4607267703123&lt;/D&gt;&lt;D xsi:type="xsd:double"&gt;14.5584537909304&lt;/D&gt;&lt;D xsi:type="xsd:double"&gt;15.0163765130093&lt;/D&gt;&lt;D xsi:type="xsd:double"&gt;15.1133077950631&lt;/D&gt;&lt;D xsi:type="xsd:double"&gt;15.3573819583362&lt;/D&gt;&lt;D xsi:type="xsd:double"&gt;15.1908771382296&lt;/D&gt;&lt;D xsi:type="xsd:double"&gt;15.3767308004161&lt;/D&gt;&lt;D xsi:type="xsd:double"&gt;15.3654340820229&lt;/D&gt;&lt;D xsi:type="xsd:double"&gt;15.2887126188665&lt;/D&gt;&lt;/FQL&gt;&lt;FQL&gt;&lt;Q&gt;^ECON_EXPR_SOURCE('RETURNS(FDS_COM[USCM1020424,DIST=STEP,CONV=AVERAGENP], -1AY)')&lt;/Q&gt;&lt;R&gt;1&lt;/R&gt;&lt;C&gt;1&lt;/C&gt;&lt;D xsi:type="xsd:string"&gt;CRB - Commodity Research Bureau&lt;/D&gt;&lt;/FQL&gt;&lt;FQL&gt;&lt;Q&gt;^SPEC_ID_DESCRIPTION('CC_US:FDS_ECON_RINDPRD_M')&lt;/Q&gt;&lt;R&gt;1&lt;/R&gt;&lt;C&gt;1&lt;/C&gt;&lt;D xsi:type="xsd:string"&gt;United States - Industrial Production Growth - %Chg YOY Mth End&lt;/D&gt;&lt;/FQL&gt;&lt;FQL&gt;&lt;Q&gt;^FDS_ECON_UNITS('USSU2929306')&lt;/Q&gt;&lt;R&gt;1&lt;/R&gt;&lt;C&gt;1&lt;/C&gt;&lt;D xsi:type="xsd:string"&gt;Percent&lt;/D&gt;&lt;/FQL&gt;&lt;FQL&gt;&lt;Q&gt;^FDS_ECON_UNITS('ISMBUS@NM')&lt;/Q&gt;&lt;R&gt;1&lt;/R&gt;&lt;C&gt;1&lt;/C&gt;&lt;D xsi:type="xsd:string"&gt;Diffusion Index&lt;/D&gt;&lt;/FQL&gt;&lt;FQL&gt;&lt;Q&gt;^CONVERT_DATE(FDS_ECON_STARTDATE('USSU2929307', W),'YYYYMMDD')&lt;/Q&gt;&lt;R&gt;1&lt;/R&gt;&lt;C&gt;1&lt;/C&gt;&lt;D xsi:type="xsd:string"&gt;19690620&lt;/D&gt;&lt;/FQL&gt;&lt;FQL&gt;&lt;Q&gt;SP50^FMA_EPS(NTMA,0,-5AY,W,USD,"PORTAGG","MEANR")&lt;/Q&gt;&lt;R&gt;261&lt;/R&gt;&lt;C&gt;1&lt;/C&gt;&lt;D xsi:type="xsd:double"&gt;263.723395848799&lt;/D&gt;&lt;D xsi:type="xsd:double"&gt;263.021554095199&lt;/D&gt;&lt;D xsi:type="xsd:double"&gt;262.548881932912&lt;/D&gt;&lt;D xsi:type="xsd:double"&gt;261.954581997353&lt;/D&gt;&lt;D xsi:type="xsd:double"&gt;261.471954797238&lt;/D&gt;&lt;D xsi:type="xsd:double"&gt;260.834627979951&lt;/D&gt;&lt;D xsi:type="xsd:double"&gt;260.293627056882&lt;/D&gt;&lt;D xsi:type="xsd:double"&gt;259.789611999719&lt;/D&gt;&lt;D xsi:type="xsd:double"&gt;259.382929238759&lt;/D&gt;&lt;D xsi:type="xsd:double"&gt;258.804496454976&lt;/D&gt;&lt;D xsi:type="xsd:double"&gt;258.136285409038&lt;/D&gt;&lt;D xsi:type="xsd:double"&gt;257.362241756139&lt;/D&gt;&lt;D xsi:type="xsd:double"&gt;256.646085174343&lt;/D&gt;&lt;D xsi:type="xsd:double"&gt;255.404218310854&lt;/D&gt;&lt;D xsi:type="xsd:double"&gt;254.689361088043&lt;/D&gt;&lt;D xsi:type="xsd:double"&gt;253.925189591279&lt;/D&gt;&lt;D xsi:type="xsd:double"&gt;252.831408625286&lt;/D&gt;&lt;D xsi:type="xsd:double"&gt;251.408002960582&lt;/D&gt;&lt;D xsi:type="xsd:double"&gt;250.476443888774&lt;/D&gt;&lt;D xsi:type="xsd:double"&gt;250.746643489597&lt;/D&gt;&lt;D xsi:type="xsd:double"&gt;249.894901752034&lt;/D&gt;&lt;D xsi:type="xsd:double"&gt;249.419091386867&lt;/D&gt;&lt;D xsi:type="xsd:double"&gt;248.717569072764&lt;/D&gt;&lt;D xsi:type="xsd:double"&gt;248.198037411536&lt;/D&gt;&lt;D xsi:type="xsd:double"&gt;247.399312896626&lt;/D&gt;&lt;D xsi:type="xsd:double"&gt;246.613642333893&lt;/D&gt;&lt;D xsi:type="xsd:double"&gt;245.642318084188&lt;/D&gt;&lt;D xsi:type="xsd:double"&gt;244.925150391764&lt;/D&gt;&lt;D xsi:type="xsd:double"&gt;244.457971706187&lt;/D&gt;&lt;D xsi:type="xsd:double"&gt;242.71033170845&lt;/D&gt;&lt;D xsi:type="xsd:double"&gt;243.177419644535&lt;/D&gt;&lt;D xsi:type="xsd:double"&gt;243.058697417951&lt;/D&gt;&lt;D xsi:type="xsd:double"&gt;243.011732363177&lt;/D&gt;&lt;D xsi:type="xsd:double"&gt;242.696635458741&lt;/D&gt;&lt;D xsi:type="xsd:double"&gt;242.379112015269&lt;/D&gt;&lt;D xsi:type="xsd:double"&gt;242.000172602743&lt;/D&gt;&lt;D xsi:type="xsd:double"&gt;242.156837906175&lt;/D&gt;&lt;D xsi:type="xsd:double"&gt;241.914861948258&lt;/D&gt;&lt;D xsi:type="xsd:double"&gt;241.305890948856&lt;/D&gt;&lt;D xsi:type="xsd:double"&gt;240.29967097491&lt;/D&gt;&lt;D xsi:type="xsd:double"&gt;239.850271456498&lt;/D&gt;&lt;D xsi:type="xsd:double"&gt;239.754162565468&lt;/D&gt;&lt;D xsi:type="xsd:double"&gt;239.727782909977&lt;/D&gt;&lt;D xsi:type="xsd:double"&gt;239.316335579816&lt;/D&gt;&lt;D xsi:type="xsd:double"&gt;239.392829255339&lt;/D&gt;&lt;D xsi:type="xsd:double"&gt;238.65818370587&lt;/D&gt;&lt;D xsi:type="xsd:double"&gt;238.571618250912&lt;/D&gt;&lt;D xsi:type="xsd:double"&gt;238.344005296091&lt;/D&gt;&lt;D xsi:type="xsd:double"&gt;237.698923691925&lt;/D&gt;&lt;D xsi:type="xsd:double"&gt;237.12012655349&lt;/D&gt;&lt;D xsi:type="xsd:double"&gt;236.744908090265&lt;/D&gt;&lt;D xsi:type="xsd:double"&gt;236.470450557385&lt;/D&gt;&lt;D xsi:type="xsd:double"&gt;234.754794784185&lt;/D&gt;&lt;D xsi:type="xsd:double"&gt;233.971385289783&lt;/D&gt;&lt;D xsi:type="xsd:double"&gt;233.33111407263&lt;/D&gt;&lt;D xsi:type="xsd:double"&gt;232.098538139513&lt;/D&gt;&lt;D xsi:type="xsd:double"&gt;230.599828760484&lt;/D&gt;&lt;D xsi:type="xsd:double"&gt;230.627891222128&lt;/D&gt;&lt;D xsi:type="xsd:double"&gt;230.504479023253&lt;/D&gt;&lt;D xsi:type="xsd:double"&gt;230.21328911433&lt;/D&gt;&lt;D xsi:type="xsd:double"&gt;230.389718675149&lt;/D&gt;&lt;D xsi:type="xsd:double"&gt;230.055858772531&lt;/D&gt;&lt;D xsi:type="xsd:double"&gt;229.765572375816&lt;/D&gt;&lt;D xsi:type="xsd:double"&gt;229.452564660377&lt;/D&gt;&lt;D xsi:type="xsd:double"&gt;229.060796261736&lt;/D&gt;&lt;D xsi:type="xsd:double"&gt;227.784605474993&lt;/D&gt;&lt;D xsi:type="xsd:double"&gt;227.333251095808&lt;/D&gt;&lt;D xsi:type="xsd:double"&gt;227.114843298597&lt;/D&gt;&lt;D xsi:type="xsd:double"&gt;227.111620123171&lt;/D&gt;&lt;D xsi:type="xsd:double"&gt;225.317801614143&lt;/D&gt;&lt;D xsi:type="xsd:double"&gt;225.258926532878&lt;/D&gt;&lt;D xsi:type="xsd:double"&gt;224.981814957127&lt;/D&gt;&lt;D xsi:type="xsd:double"&gt;224.977926578519&lt;/D&gt;&lt;D xsi:type="xsd:double"&gt;225.243117521074&lt;/D&gt;&lt;D xsi:type="xsd:double"&gt;225.148538080022&lt;/D&gt;&lt;D xsi:type="xsd:double"&gt;224.971286411904&lt;/D&gt;&lt;D xsi:type="xsd:double"&gt;224.442906556032&lt;/D&gt;&lt;D xsi:type="xsd:double"&gt;223.867718142283&lt;/D&gt;&lt;D xsi:type="xsd:double"&gt;223.883602017646&lt;/D&gt;&lt;D xsi:type="xsd:double"&gt;223.92166732709&lt;/D&gt;&lt;D xsi:type="xsd:double"&gt;223.754327885797&lt;/D&gt;&lt;D xsi:type="xsd:double"&gt;224.121757787681&lt;/D&gt;&lt;D xsi:type="xsd:double"&gt;225.886625395428&lt;/D&gt;&lt;D xsi:type="xsd:double"&gt;226.707263414502&lt;/D&gt;&lt;D xsi:type="xsd:double"&gt;227.636568492384&lt;/D&gt;&lt;D xsi:type="xsd:double"&gt;227.849413390863&lt;/D&gt;&lt;D xsi:type="xsd:double"&gt;227.774497188987&lt;/D&gt;&lt;D xsi:type="xsd:double"&gt;227.909414746003&lt;/D&gt;&lt;D xsi:type="xsd:double"&gt;227.915724579028&lt;/D&gt;&lt;D xsi:type="xsd:double"&gt;228.019524742072&lt;/D&gt;&lt;D xsi:type="xsd:double"&gt;227.943014850687&lt;/D&gt;&lt;D xsi:type="xsd:double"&gt;227.551840714334&lt;/D&gt;&lt;D xsi:type="xsd:double"&gt;227.265864226486&lt;/D&gt;&lt;D xsi:type="xsd:double"&gt;227.368906416199&lt;/D&gt;&lt;D xsi:type="xsd:double"&gt;228.365082919167&lt;/D&gt;&lt;D xsi:type="xsd:double"&gt;231.319022846139&lt;/D&gt;&lt;D xsi:type="xsd:double"&gt;232.292601174102&lt;/D&gt;&lt;D xsi:type="xsd:double"&gt;232.871956625459&lt;/D&gt;&lt;D xsi:type="xsd:double"&gt;233.188608267088&lt;/D&gt;&lt;D xsi:type="xsd:double"&gt;233.831272966285&lt;/D&gt;&lt;D xsi:type="xsd:double"&gt;233.552293287044&lt;/D&gt;&lt;D xsi:type="xsd:double"&gt;233.427145019733&lt;/D&gt;&lt;D xsi:type="xsd:double"&gt;233.233030914672&lt;/D&gt;&lt;D xsi:type="xsd:double"&gt;232.934299630358&lt;/D&gt;&lt;D xsi:type="xsd:double"&gt;232.914031301448&lt;/D&gt;&lt;D xsi:type="xsd:double"&gt;232.518541492064&lt;/D&gt;&lt;D xsi:type="xsd:double"&gt;232.731011966798&lt;/D&gt;&lt;D xsi:type="xsd:double"&gt;232.875191077501&lt;/D&gt;&lt;D xsi:type="xsd:double"&gt;234.857849222274&lt;/D&gt;&lt;D xsi:type="xsd:double"&gt;235.609199073081&lt;/D&gt;&lt;D xsi:type="xsd:double"&gt;236.160573020152&lt;/D&gt;&lt;D xsi:type="xsd:double"&gt;235.878694659332&lt;/D&gt;&lt;D xsi:type="xsd:double"&gt;236.108477741345&lt;/D&gt;&lt;D xsi:type="xsd:double"&gt;236.016349518039&lt;/D&gt;&lt;D xsi:type="xsd:double"&gt;235.769701358899&lt;/D&gt;&lt;D xsi:type="xsd:double"&gt;234.968438440658&lt;/D&gt;&lt;D xsi:type="xsd:double"&gt;234.612496112367&lt;/D&gt;&lt;D xsi:type="xsd:double"&gt;233.955573788442&lt;/D&gt;&lt;D xsi:type="xsd:double"&gt;233.275527254098&lt;/D&gt;&lt;D xsi:type="xsd:double"&gt;232.687427698308&lt;/D&gt;&lt;D xsi:type="xsd:double"&gt;232.017438387946&lt;/D&gt;&lt;D xsi:type="xsd:double"&gt;232.967719318378&lt;/D&gt;&lt;D xsi:type="xsd:double"&gt;231.482011073517&lt;/D&gt;&lt;D xsi:type="xsd:double"&gt;230.375087689515&lt;/D&gt;&lt;D xsi:type="xsd:double"&gt;229.323867583117&lt;/D&gt;&lt;D xsi:type="xsd:double"&gt;228.752225346424&lt;/D&gt;&lt;D xsi:type="xsd:double"&gt;228.062973716705&lt;/D&gt;&lt;D xsi:type="xsd:double"&gt;227.645618727208&lt;/D&gt;&lt;D xsi:type="xsd:double"&gt;226.12043858391&lt;/D&gt;&lt;D xsi:type="xsd:double"&gt;225.444797678628&lt;/D&gt;&lt;D xsi:type="xsd:double"&gt;224.869035559263&lt;/D&gt;&lt;D xsi:type="xsd:double"&gt;224.355869009281&lt;/D&gt;&lt;D xsi:type="xsd:double"&gt;223.513096624621&lt;/D&gt;&lt;D xsi:type="xsd:double"&gt;223.38541158421&lt;/D&gt;&lt;D xsi:type="xsd:double"&gt;221.940075954215&lt;/D&gt;&lt;D xsi:type="xsd:double"&gt;221.583447386539&lt;/D&gt;&lt;D xsi:type="xsd:double"&gt;221.067211588349&lt;/D&gt;&lt;D xsi:type="xsd:double"&gt;220.063869992593&lt;/D&gt;&lt;D xsi:type="xsd:double"&gt;219.079731872374&lt;/D&gt;&lt;D xsi:type="xsd:double"&gt;218.89690784704&lt;/D&gt;&lt;D xsi:type="xsd:double"&gt;218.441193337309&lt;/D&gt;&lt;D xsi:type="xsd:double"&gt;216.999749725988&lt;/D&gt;&lt;D xsi:type="xsd:double"&gt;216.367783240985&lt;/D&gt;&lt;D xsi:type="xsd:double"&gt;215.780508441283&lt;/D&gt;&lt;D xsi:type="xsd:double"&gt;215.092145150442&lt;/D&gt;&lt;D xsi:type="xsd:double"&gt;214.587001195292&lt;/D&gt;&lt;D xsi:type="xsd:double"&gt;213.412325378456&lt;/D&gt;&lt;D xsi:type="xsd:double"&gt;213.195374514331&lt;/D&gt;&lt;D xsi:type="xsd:double"&gt;212.460911850495&lt;/D&gt;&lt;D xsi:type="xsd:double"&gt;211.514732555342&lt;/D&gt;&lt;D xsi:type="xsd:double"&gt;210.830638858475&lt;/D&gt;&lt;D xsi:type="xsd:double"&gt;210.54755029821&lt;/D&gt;&lt;D xsi:type="xsd:double"&gt;210.160349049759&lt;/D&gt;&lt;D xsi:type="xsd:double"&gt;209.749876355002&lt;/D&gt;&lt;D xsi:type="xsd:double"&gt;209.509688600244&lt;/D&gt;&lt;D xsi:type="xsd:double"&gt;209.140526157901&lt;/D&gt;&lt;D xsi:type="xsd:double"&gt;208.717105099827&lt;/D&gt;&lt;D xsi:type="xsd:double"&gt;207.836502747842&lt;/D&gt;&lt;D xsi:type="xsd:double"&gt;207.051615963775&lt;/D&gt;&lt;D xsi:type="xsd:double"&gt;205.814573967876&lt;/D&gt;&lt;D xsi:type="xsd:double"&gt;202.184537418415&lt;/D&gt;&lt;D xsi:type="xsd:double"&gt;200.646904842618&lt;/D&gt;&lt;D xsi:type="xsd:double"&gt;199.128288291873&lt;/D&gt;&lt;D xsi:type="xsd:double"&gt;198.668036722751&lt;/D&gt;&lt;D xsi:type="xsd:double"&gt;197.94475495081&lt;/D&gt;&lt;D xsi:type="xsd:double"&gt;197.177989341244&lt;/D&gt;&lt;D xsi:type="xsd:double"&gt;196.58247694487&lt;/D&gt;&lt;D xsi:type="xsd:double"&gt;196.07660745463&lt;/D&gt;&lt;D xsi:type="xsd:double"&gt;195.397793784519&lt;/D&gt;&lt;D xsi:type="xsd:double"&gt;194.574905221293&lt;/D&gt;&lt;D xsi:type="xsd:double"&gt;193.502758899316&lt;/D&gt;&lt;D xsi:type="xsd:double"&gt;192.555200368784&lt;/D&gt;&lt;D xsi:type="xsd:double"&gt;190.340462452211&lt;/D&gt;&lt;D xsi:type="xsd:double"&gt;185.298834842433&lt;/D&gt;&lt;D xsi:type="xsd:double"&gt;183.90327843958&lt;/D&gt;&lt;D xsi:type="xsd:double"&gt;181.287414378746&lt;/D&gt;&lt;D xsi:type="xsd:double"&gt;180.187267973645&lt;/D&gt;&lt;D xsi:type="xsd:double"&gt;179.136595619048&lt;/D&gt;&lt;D xsi:type="xsd:double"&gt;178.295762753044&lt;/D&gt;&lt;D xsi:type="xsd:double"&gt;177.371203915887&lt;/D&gt;&lt;D xsi:type="xsd:double"&gt;176.438245194466&lt;/D&gt;&lt;D xsi:type="xsd:double"&gt;175.38842999446&lt;/D&gt;&lt;D xsi:type="xsd:double"&gt;174.032657830598&lt;/D&gt;&lt;D xsi:type="xsd:double"&gt;173.159771221677&lt;/D&gt;&lt;D xsi:type="xsd:double"&gt;172.440108285693&lt;/D&gt;&lt;D xsi:type="xsd:double"&gt;170.755504946707&lt;/D&gt;&lt;D xsi:type="xsd:double"&gt;167.920539497595&lt;/D&gt;&lt;D xsi:type="xsd:double"&gt;166.364470357274&lt;/D&gt;&lt;D xsi:type="xsd:double"&gt;165.105011340499&lt;/D&gt;&lt;D xsi:type="xsd:double"&gt;163.64770467148&lt;/D&gt;&lt;D xsi:type="xsd:double"&gt;162.802998205154&lt;/D&gt;&lt;D xsi:type="xsd:double"&gt;162.313587601789&lt;/D&gt;&lt;D xsi:type="xsd:double"&gt;161.474488264769&lt;/D&gt;&lt;D xsi:type="xsd:double"&gt;160.747427265166&lt;/D&gt;&lt;D xsi:type="xsd:double"&gt;160.062669064605&lt;/D&gt;&lt;D xsi:type="xsd:double"&gt;159.699021037317&lt;/D&gt;&lt;D xsi:type="xsd:double"&gt;159.180607342472&lt;/D&gt;&lt;D xsi:type="xsd:double"&gt;158.224240819351&lt;/D&gt;&lt;D xsi:type="xsd:double"&gt;157.223808108576&lt;/D&gt;&lt;D xsi:type="xsd:double"&gt;155.572505312931&lt;/D&gt;&lt;D xsi:type="xsd:double"&gt;154.481387216569&lt;/D&gt;&lt;D xsi:type="xsd:double"&gt;153.640061789821&lt;/D&gt;&lt;D xsi:type="xsd:double"&gt;152.752656809648&lt;/D&gt;&lt;D xsi:type="xsd:double"&gt;152.238213165747&lt;/D&gt;&lt;D xsi:type="xsd:double"&gt;151.424555083081&lt;/D&gt;&lt;D xsi:type="xsd:double"&gt;150.861195339305&lt;/D&gt;&lt;D xsi:type="xsd:double"&gt;149.94088081556&lt;/D&gt;&lt;D xsi:type="xsd:double"&gt;149.246155209062&lt;/D&gt;&lt;D xsi:type="xsd:double"&gt;148.646600775063&lt;/D&gt;&lt;D xsi:type="xsd:double"&gt;148.014257301026&lt;/D&gt;&lt;D xsi:type="xsd:double"&gt;147.561777824582&lt;/D&gt;&lt;D xsi:type="xsd:double"&gt;146.555041531228&lt;/D&gt;&lt;D xsi:type="xsd:double"&gt;143.860164774126&lt;/D&gt;&lt;D xsi:type="xsd:double"&gt;142.35395221632&lt;/D&gt;&lt;D xsi:type="xsd:double"&gt;141.112763859447&lt;/D&gt;&lt;D xsi:type="xsd:double"&gt;141.128991028495&lt;/D&gt;&lt;D xsi:type="xsd:double"&gt;140.568489228919&lt;/D&gt;&lt;D xsi:type="xsd:double"&gt;139.963640805562&lt;/D&gt;&lt;D xsi:type="xsd:double"&gt;139.501273838781&lt;/D&gt;&lt;D xsi:type="xsd:double"&gt;138.951937901253&lt;/D&gt;&lt;D xsi:type="xsd:double"&gt;138.189398042377&lt;/D&gt;&lt;D xsi:type="xsd:double"&gt;137.77713575915&lt;/D&gt;&lt;D xsi:type="xsd:double"&gt;137.638086230771&lt;/D&gt;&lt;D xsi:type="xsd:double"&gt;137.846406611836&lt;/D&gt;&lt;D xsi:type="xsd:double"&gt;139.883860058187&lt;/D&gt;&lt;D xsi:type="xsd:double"&gt;142.252688024212&lt;/D&gt;&lt;D xsi:type="xsd:double"&gt;145.464365011984&lt;/D&gt;&lt;D xsi:type="xsd:double"&gt;152.206163838365&lt;/D&gt;&lt;D xsi:type="xsd:double"&gt;157.951639185716&lt;/D&gt;&lt;D xsi:type="xsd:double"&gt;163.384589947524&lt;/D&gt;&lt;D xsi:type="xsd:double"&gt;167.591868999197&lt;/D&gt;&lt;D xsi:type="xsd:double"&gt;171.199889087072&lt;/D&gt;&lt;D xsi:type="xsd:double"&gt;173.041302841587&lt;/D&gt;&lt;D xsi:type="xsd:double"&gt;173.776907205601&lt;/D&gt;&lt;D xsi:type="xsd:double"&gt;173.838112064784&lt;/D&gt;&lt;D xsi:type="xsd:double"&gt;173.898119647259&lt;/D&gt;&lt;D xsi:type="xsd:double"&gt;174.017888476292&lt;/D&gt;&lt;D xsi:type="xsd:double"&gt;174.528324418772&lt;/D&gt;&lt;D xsi:type="xsd:double"&gt;174.820684385327&lt;/D&gt;&lt;D xsi:type="xsd:double"&gt;174.819090998171&lt;/D&gt;&lt;D xsi:type="xsd:double"&gt;174.689870476059&lt;/D&gt;&lt;D xsi:type="xsd:double"&gt;174.46265996405&lt;/D&gt;&lt;D xsi:type="xsd:double"&gt;174.269737667773&lt;/D&gt;&lt;D xsi:type="xsd:double"&gt;173.999014902869&lt;/D&gt;&lt;D xsi:type="xsd:double"&gt;173.962209398631&lt;/D&gt;&lt;D xsi:type="xsd:double"&gt;173.652628730511&lt;/D&gt;&lt;D xsi:type="xsd:double"&gt;173.17163452931&lt;/D&gt;&lt;D xsi:type="xsd:double"&gt;172.978611488403&lt;/D&gt;&lt;D xsi:type="xsd:double"&gt;172.467765608983&lt;/D&gt;&lt;D xsi:type="xsd:double"&gt;172.224165153935&lt;/D&gt;&lt;D xsi:type="xsd:double"&gt;172.023961081984&lt;/D&gt;&lt;D xsi:type="xsd:double"&gt;171.883390642156&lt;/D&gt;&lt;D xsi:type="xsd:double"&gt;171.98475298069&lt;/D&gt;&lt;D xsi:type="xsd:double"&gt;172.086619556366&lt;/D&gt;&lt;D xsi:type="xsd:double"&gt;172.319026185647&lt;/D&gt;&lt;D xsi:type="xsd:double"&gt;172.625550632576&lt;/D&gt;&lt;D xsi:type="xsd:double"&gt;172.299409104112&lt;/D&gt;&lt;D xsi:type="xsd:double"&gt;172.271418067356&lt;/D&gt;&lt;D xsi:type="xsd:double"&gt;171.70821565364&lt;/D&gt;&lt;D xsi:type="xsd:double"&gt;171.396591743431&lt;/D&gt;&lt;D xsi:type="xsd:double"&gt;171.075625514799&lt;/D&gt;&lt;/FQL&gt;&lt;FQL&gt;&lt;Q&gt;XAUUSD-FX1^FG_PRICE(0,-7AY)&lt;/Q&gt;&lt;R&gt;1762&lt;/R&gt;&lt;C&gt;1&lt;/C&gt;&lt;D xsi:type="xsd:double"&gt;2513.97&lt;/D&gt;&lt;D xsi:type="xsd:double"&gt;2504.29&lt;/D&gt;&lt;D xsi:type="xsd:double"&gt;2508.09&lt;/D&gt;&lt;D xsi:type="xsd:double"&gt;2456.79&lt;/D&gt;&lt;D xsi:type="xsd:double"&gt;2447.87&lt;/D&gt;&lt;D xsi:type="xsd:double"&gt;2465.14&lt;/D&gt;&lt;D xsi:type="xsd:double"&gt;2473&lt;/D&gt;&lt;D xsi:type="xsd:double"&gt;2430.8&lt;/D&gt;&lt;D xsi:type="xsd:double"&gt;2427.68&lt;/D&gt;&lt;D xsi:type="xsd:double"&gt;2382.92&lt;/D&gt;&lt;D xsi:type="xsd:double"&gt;2390.73&lt;/D&gt;&lt;D xsi:type="xsd:double"&gt;2410.76&lt;/D&gt;&lt;D xsi:type="xsd:double"&gt;2442.11&lt;/D&gt;&lt;D xsi:type="xsd:double"&gt;2446.3&lt;/D&gt;&lt;D xsi:type="xsd:double"&gt;2447.73&lt;/D&gt;&lt;D xsi:type="xsd:double"&gt;2410.73&lt;/D&gt;&lt;D xsi:type="xsd:double"&gt;2384.34&lt;/D&gt;&lt;D xsi:type="xsd:double"&gt;2386&lt;/D&gt;&lt;D xsi:type="xsd:double"&gt;2364.32&lt;/D&gt;&lt;D xsi:type="xsd:double"&gt;2397.4&lt;/D&gt;&lt;D xsi:type="xsd:double"&gt;2409.63&lt;/D&gt;&lt;D xsi:type="xsd:double"&gt;2396.54&lt;/D&gt;&lt;D xsi:type="xsd:double"&gt;2398.84&lt;/D&gt;&lt;D xsi:type="xsd:double"&gt;2445.36&lt;/D&gt;&lt;D xsi:type="xsd:double"&gt;2458.9&lt;/D&gt;&lt;D xsi:type="xsd:double"&gt;2469.02&lt;/D&gt;&lt;D xsi:type="xsd:double"&gt;2422.44&lt;/D&gt;&lt;D xsi:type="xsd:double"&gt;2411.49&lt;/D&gt;&lt;D xsi:type="xsd:double"&gt;2415.01&lt;/D&gt;&lt;D xsi:type="xsd:double"&gt;2370.94&lt;/D&gt;&lt;D xsi:type="xsd:double"&gt;2364.23&lt;/D&gt;&lt;D xsi:type="xsd:double"&gt;2359.69&lt;/D&gt;&lt;D xsi:type="xsd:double"&gt;2391.5&lt;/D&gt;&lt;D xsi:type="xsd:double"&gt;2356.22&lt;/D&gt;&lt;D xsi:type="xsd:double"&gt;2329.7&lt;/D&gt;&lt;D xsi:type="xsd:double"&gt;2331.86&lt;/D&gt;&lt;D xsi:type="xsd:double"&gt;2326.14&lt;/D&gt;&lt;D xsi:type="xsd:double"&gt;2327.93&lt;/D&gt;&lt;D xsi:type="xsd:double"&gt;2298.19&lt;/D&gt;&lt;D xsi:type="xsd:double"&gt;2319.76&lt;/D&gt;&lt;D xsi:type="xsd:double"&gt;2334.66&lt;/D&gt;&lt;D xsi:type="xsd:double"&gt;2321.51&lt;/D&gt;&lt;D xsi:type="xsd:double"&gt;2360&lt;/D&gt;&lt;D xsi:type="xsd:double"&gt;2329.41&lt;/D&gt;&lt;D xsi:type="xsd:double"&gt;2319.03&lt;/D&gt;&lt;D xsi:type="xsd:double"&gt;2332.9&lt;/D&gt;&lt;D xsi:type="xsd:double"&gt;2304.11&lt;/D&gt;&lt;D xsi:type="xsd:double"&gt;2323.67&lt;/D&gt;&lt;D xsi:type="xsd:double"&gt;2316.9&lt;/D&gt;&lt;D xsi:type="xsd:double"&gt;2310.82&lt;/D&gt;&lt;D xsi:type="xsd:double"&gt;2293.38&lt;/D&gt;&lt;D xsi:type="xsd:double"&gt;2376.12&lt;/D&gt;&lt;D xsi:type="xsd:double"&gt;2354.23&lt;/D&gt;&lt;D xsi:type="xsd:double"&gt;2326.92&lt;/D&gt;&lt;D xsi:type="xsd:double"&gt;2350.9&lt;/D&gt;&lt;D xsi:type="xsd:double"&gt;2327.82&lt;/D&gt;&lt;D xsi:type="xsd:double"&gt;2343.63&lt;/D&gt;&lt;D xsi:type="xsd:double"&gt;2338.59&lt;/D&gt;&lt;D xsi:type="xsd:double"&gt;2361.51&lt;/D&gt;&lt;D xsi:type="xsd:double"&gt;2334.4&lt;/D&gt;&lt;D xsi:type="xsd:double"&gt;2328.97&lt;/D&gt;&lt;D xsi:type="xsd:double"&gt;2378.58&lt;/D&gt;&lt;D xsi:type="xsd:double"&gt;2421.73&lt;/D&gt;&lt;D xsi:type="xsd:double"&gt;2426.24&lt;/D&gt;&lt;D xsi:type="xsd:double"&gt;2415.02&lt;/D&gt;&lt;D xsi:type="xsd:double"&gt;2376.4&lt;/D&gt;&lt;D xsi:type="xsd:double"&gt;2386.16&lt;/D&gt;&lt;D xsi:type="xsd:double"&gt;2358.14&lt;/D&gt;&lt;D xsi:type="xsd:double"&gt;2336.23&lt;/D&gt;&lt;D xsi:type="xsd:double"&gt;2360.53&lt;/D&gt;&lt;D xsi:type="xsd:double"&gt;2346.51&lt;/D&gt;&lt;D xsi:type="xsd:double"&gt;2308.45&lt;/D&gt;&lt;D xsi:type="xsd:double"&gt;2314.12&lt;/D&gt;&lt;D xsi:type="xsd:double"&gt;2323.96&lt;/D&gt;&lt;D xsi:type="xsd:double"&gt;2302.5&lt;/D&gt;&lt;D xsi:type="xsd:double"&gt;2303.5&lt;/D&gt;&lt;D xsi:type="xsd:double"&gt;2319.18&lt;/D&gt;&lt;D xsi:type="xsd:double"&gt;2286.25&lt;/D&gt;&lt;D xsi:type="xsd:double"&gt;2335.83&lt;/D&gt;&lt;D xsi:type="xsd:double"&gt;2337.97&lt;/D&gt;&lt;D xsi:type="xsd:double"&gt;2332.2&lt;/D&gt;&lt;D xsi:type="xsd:double"&gt;2315.97&lt;/D&gt;&lt;D xsi:type="xsd:double"&gt;2322.15&lt;/D&gt;&lt;D xsi:type="xsd:double"&gt;2327.1&lt;/D&gt;&lt;D xsi:type="xsd:double"&gt;2390.6&lt;/D&gt;&lt;D xsi:type="xsd:double"&gt;2379.22&lt;/D&gt;&lt;D xsi:type="xsd:double"&gt;2358.23&lt;/D&gt;&lt;D xsi:type="xsd:double"&gt;2382.85&lt;/D&gt;&lt;D xsi:type="xsd:double"&gt;2383.06&lt;/D&gt;&lt;D xsi:type="xsd:double"&gt;2344.42&lt;/D&gt;&lt;D xsi:type="xsd:double"&gt;2371.87&lt;/D&gt;&lt;D xsi:type="xsd:double"&gt;2333.58&lt;/D&gt;&lt;D xsi:type="xsd:double"&gt;2352.56&lt;/D&gt;&lt;D xsi:type="xsd:double"&gt;2339.4&lt;/D&gt;&lt;D xsi:type="xsd:double"&gt;2328.7&lt;/D&gt;&lt;D xsi:type="xsd:double"&gt;2290.33&lt;/D&gt;&lt;D xsi:type="xsd:double"&gt;2299.56&lt;/D&gt;&lt;D xsi:type="xsd:double"&gt;2280.6&lt;/D&gt;&lt;D xsi:type="xsd:double"&gt;2252.3&lt;/D&gt;&lt;D xsi:type="xsd:double"&gt;2233.43&lt;/D&gt;&lt;D xsi:type="xsd:double"&gt;2194.76&lt;/D&gt;&lt;D xsi:type="xsd:double"&gt;2178.91&lt;/D&gt;&lt;D xsi:type="xsd:double"&gt;2172.04&lt;/D&gt;&lt;D xsi:type="xsd:double"&gt;2165.4&lt;/D&gt;&lt;D xsi:type="xsd:double"&gt;2181.3&lt;/D&gt;&lt;D xsi:type="xsd:double"&gt;2186.3&lt;/D&gt;&lt;D xsi:type="xsd:double"&gt;2157.52&lt;/D&gt;&lt;D xsi:type="xsd:double"&gt;2160.31&lt;/D&gt;&lt;D xsi:type="xsd:double"&gt;2155.92&lt;/D&gt;&lt;D xsi:type="xsd:double"&gt;2162.2&lt;/D&gt;&lt;D xsi:type="xsd:double"&gt;2174.33&lt;/D&gt;&lt;D xsi:type="xsd:double"&gt;2158.25&lt;/D&gt;&lt;D xsi:type="xsd:double"&gt;2182.84&lt;/D&gt;&lt;D xsi:type="xsd:double"&gt;2177.85&lt;/D&gt;&lt;D xsi:type="xsd:double"&gt;2160.2&lt;/D&gt;&lt;D xsi:type="xsd:double"&gt;2148.3&lt;/D&gt;&lt;D xsi:type="xsd:double"&gt;2128.13&lt;/D&gt;&lt;D xsi:type="xsd:double"&gt;2114.36&lt;/D&gt;&lt;D xsi:type="xsd:double"&gt;2083.65&lt;/D&gt;&lt;D xsi:type="xsd:double"&gt;2044.15&lt;/D&gt;&lt;D xsi:type="xsd:double"&gt;2034.47&lt;/D&gt;&lt;D xsi:type="xsd:double"&gt;2030.43&lt;/D&gt;&lt;D xsi:type="xsd:double"&gt;2031.28&lt;/D&gt;&lt;D xsi:type="xsd:double"&gt;2036&lt;/D&gt;&lt;D xsi:type="xsd:double"&gt;2024.59&lt;/D&gt;&lt;D xsi:type="xsd:double"&gt;2025.89&lt;/D&gt;&lt;D xsi:type="xsd:double"&gt;2024.12&lt;/D&gt;&lt;D xsi:type="xsd:double"&gt;2013.43&lt;/D&gt;&lt;D xsi:type="xsd:double"&gt;2003.92&lt;/D&gt;&lt;D xsi:type="xsd:double"&gt;1992.28&lt;/D&gt;&lt;D xsi:type="xsd:double"&gt;1993.25&lt;/D&gt;&lt;D xsi:type="xsd:double"&gt;2020.1&lt;/D&gt;&lt;D xsi:type="xsd:double"&gt;2024.47&lt;/D&gt;&lt;D xsi:type="xsd:double"&gt;2034.36&lt;/D&gt;&lt;D xsi:type="xsd:double"&gt;2035.22&lt;/D&gt;&lt;D xsi:type="xsd:double"&gt;2036.11&lt;/D&gt;&lt;D xsi:type="xsd:double"&gt;2025.2&lt;/D&gt;&lt;D xsi:type="xsd:double"&gt;2038.8&lt;/D&gt;&lt;D xsi:type="xsd:double"&gt;2055.29&lt;/D&gt;&lt;D xsi:type="xsd:double"&gt;2040.16&lt;/D&gt;&lt;D xsi:type="xsd:double"&gt;2036.95&lt;/D&gt;&lt;D xsi:type="xsd:double"&gt;2032.73&lt;/D&gt;&lt;D xsi:type="xsd:double"&gt;2018.71&lt;/D&gt;&lt;D xsi:type="xsd:double"&gt;2020.86&lt;/D&gt;&lt;D xsi:type="xsd:double"&gt;2014&lt;/D&gt;&lt;D xsi:type="xsd:double"&gt;2029.26&lt;/D&gt;&lt;D xsi:type="xsd:double"&gt;2021.7&lt;/D&gt;&lt;D xsi:type="xsd:double"&gt;2029.68&lt;/D&gt;&lt;D xsi:type="xsd:double"&gt;2023.13&lt;/D&gt;&lt;D xsi:type="xsd:double"&gt;2006.24&lt;/D&gt;&lt;D xsi:type="xsd:double"&gt;2028.28&lt;/D&gt;&lt;D xsi:type="xsd:double"&gt;2049.03&lt;/D&gt;&lt;D xsi:type="xsd:double"&gt;2029.75&lt;/D&gt;&lt;D xsi:type="xsd:double"&gt;2024.4&lt;/D&gt;&lt;D xsi:type="xsd:double"&gt;2030.29&lt;/D&gt;&lt;D xsi:type="xsd:double"&gt;2028.04&lt;/D&gt;&lt;D xsi:type="xsd:double"&gt;2045.85&lt;/D&gt;&lt;D xsi:type="xsd:double"&gt;2043.54&lt;/D&gt;&lt;D xsi:type="xsd:double"&gt;2041.56&lt;/D&gt;&lt;D xsi:type="xsd:double"&gt;2059.13&lt;/D&gt;&lt;D xsi:type="xsd:double"&gt;2065.2&lt;/D&gt;&lt;D xsi:type="xsd:double"&gt;2065.6&lt;/D&gt;&lt;D xsi:type="xsd:double"&gt;2077.49&lt;/D&gt;&lt;D xsi:type="xsd:double"&gt;2058.3&lt;/D&gt;&lt;D xsi:type="xsd:double"&gt;2053.3&lt;/D&gt;&lt;D xsi:type="xsd:double"&gt;2045.94&lt;/D&gt;&lt;D xsi:type="xsd:double"&gt;2031.52&lt;/D&gt;&lt;D xsi:type="xsd:double"&gt;2040.31&lt;/D&gt;&lt;D xsi:type="xsd:double"&gt;2027.28&lt;/D&gt;&lt;D xsi:type="xsd:double"&gt;2018.4&lt;/D&gt;&lt;D xsi:type="xsd:double"&gt;2036.37&lt;/D&gt;&lt;D xsi:type="xsd:double"&gt;2027.68&lt;/D&gt;&lt;D xsi:type="xsd:double"&gt;1979.54&lt;/D&gt;&lt;D xsi:type="xsd:double"&gt;1981.91&lt;/D&gt;&lt;D xsi:type="xsd:double"&gt;2003.6&lt;/D&gt;&lt;D xsi:type="xsd:double"&gt;2028.52&lt;/D&gt;&lt;D xsi:type="xsd:double"&gt;2025.47&lt;/D&gt;&lt;D xsi:type="xsd:double"&gt;2019.36&lt;/D&gt;&lt;D xsi:type="xsd:double"&gt;2029.5&lt;/D&gt;&lt;D xsi:type="xsd:double"&gt;2071.25&lt;/D&gt;&lt;D xsi:type="xsd:double"&gt;2036.72&lt;/D&gt;&lt;D xsi:type="xsd:double"&gt;2044.2&lt;/D&gt;&lt;D xsi:type="xsd:double"&gt;2040.69&lt;/D&gt;&lt;D xsi:type="xsd:double"&gt;2014.03&lt;/D&gt;&lt;D xsi:type="xsd:double"&gt;2002.33&lt;/D&gt;&lt;D xsi:type="xsd:double"&gt;1990.28&lt;/D&gt;&lt;D xsi:type="xsd:double"&gt;1998.34&lt;/D&gt;&lt;D xsi:type="xsd:double"&gt;1977.9&lt;/D&gt;&lt;D xsi:type="xsd:double"&gt;1980.39&lt;/D&gt;&lt;D xsi:type="xsd:double"&gt;1981.49&lt;/D&gt;&lt;D xsi:type="xsd:double"&gt;1959.49&lt;/D&gt;&lt;D xsi:type="xsd:double"&gt;1963.49&lt;/D&gt;&lt;D xsi:type="xsd:double"&gt;1946.19&lt;/D&gt;&lt;D xsi:type="xsd:double"&gt;1937.05&lt;/D&gt;&lt;D xsi:type="xsd:double"&gt;1958.57&lt;/D&gt;&lt;D xsi:type="xsd:double"&gt;1950.2&lt;/D&gt;&lt;D xsi:type="xsd:double"&gt;1969.3&lt;/D&gt;&lt;D xsi:type="xsd:double"&gt;1977.8&lt;/D&gt;&lt;D xsi:type="xsd:double"&gt;1992.52&lt;/D&gt;&lt;D xsi:type="xsd:double"&gt;1986.01&lt;/D&gt;&lt;D xsi:type="xsd:double"&gt;1982.41&lt;/D&gt;&lt;D xsi:type="xsd:double"&gt;1983.67&lt;/D&gt;&lt;D xsi:type="xsd:double"&gt;1996.13&lt;/D&gt;&lt;D xsi:type="xsd:double"&gt;2006.5&lt;/D&gt;&lt;D xsi:type="xsd:double"&gt;1984.7&lt;/D&gt;&lt;D xsi:type="xsd:double"&gt;1979.85&lt;/D&gt;&lt;D xsi:type="xsd:double"&gt;1970.99&lt;/D&gt;&lt;D xsi:type="xsd:double"&gt;1972.86&lt;/D&gt;&lt;D xsi:type="xsd:double"&gt;1981.33&lt;/D&gt;&lt;D xsi:type="xsd:double"&gt;1974.4&lt;/D&gt;&lt;D xsi:type="xsd:double"&gt;1947.5&lt;/D&gt;&lt;D xsi:type="xsd:double"&gt;1923.18&lt;/D&gt;&lt;D xsi:type="xsd:double"&gt;1920&lt;/D&gt;&lt;D xsi:type="xsd:double"&gt;1932.97&lt;/D&gt;&lt;D xsi:type="xsd:double"&gt;1868.99&lt;/D&gt;&lt;D xsi:type="xsd:double"&gt;1874.4&lt;/D&gt;&lt;D xsi:type="xsd:double"&gt;1860.37&lt;/D&gt;&lt;D xsi:type="xsd:double"&gt;1861.3&lt;/D&gt;&lt;D xsi:type="xsd:double"&gt;1831.66&lt;/D&gt;&lt;D xsi:type="xsd:double"&gt;1820.31&lt;/D&gt;&lt;D xsi:type="xsd:double"&gt;1821.55&lt;/D&gt;&lt;D xsi:type="xsd:double"&gt;1823.01&lt;/D&gt;&lt;D xsi:type="xsd:double"&gt;1828.12&lt;/D&gt;&lt;D xsi:type="xsd:double"&gt;1848.76&lt;/D&gt;&lt;D xsi:type="xsd:double"&gt;1864.81&lt;/D&gt;&lt;D xsi:type="xsd:double"&gt;1875.06&lt;/D&gt;&lt;D xsi:type="xsd:double"&gt;1900.7&lt;/D&gt;&lt;D xsi:type="xsd:double"&gt;1915.99&lt;/D&gt;&lt;D xsi:type="xsd:double"&gt;1925.52&lt;/D&gt;&lt;D xsi:type="xsd:double"&gt;1920.06&lt;/D&gt;&lt;D xsi:type="xsd:double"&gt;1930.32&lt;/D&gt;&lt;D xsi:type="xsd:double"&gt;1931.4&lt;/D&gt;&lt;D xsi:type="xsd:double"&gt;1934.08&lt;/D&gt;&lt;D xsi:type="xsd:double"&gt;1923.6&lt;/D&gt;&lt;D xsi:type="xsd:double"&gt;1910.9&lt;/D&gt;&lt;D xsi:type="xsd:double"&gt;1906.83&lt;/D&gt;&lt;D xsi:type="xsd:double"&gt;1913.64&lt;/D&gt;&lt;D xsi:type="xsd:double"&gt;1922.31&lt;/D&gt;&lt;D xsi:type="xsd:double"&gt;1919.16&lt;/D&gt;&lt;D xsi:type="xsd:double"&gt;1919.63&lt;/D&gt;&lt;D xsi:type="xsd:double"&gt;1916.7&lt;/D&gt;&lt;D xsi:type="xsd:double"&gt;1926.01&lt;/D&gt;&lt;D xsi:type="xsd:double"&gt;1939.85&lt;/D&gt;&lt;D xsi:type="xsd:double"&gt;1940.03&lt;/D&gt;&lt;D xsi:type="xsd:double"&gt;1942.32&lt;/D&gt;&lt;D xsi:type="xsd:double"&gt;1937.51&lt;/D&gt;&lt;D xsi:type="xsd:double"&gt;1920.17&lt;/D&gt;&lt;D xsi:type="xsd:double"&gt;1914.23&lt;/D&gt;&lt;D xsi:type="xsd:double"&gt;1916.81&lt;/D&gt;&lt;D xsi:type="xsd:double"&gt;1915.51&lt;/D&gt;&lt;D xsi:type="xsd:double"&gt;1897.45&lt;/D&gt;&lt;D xsi:type="xsd:double"&gt;1894.88&lt;/D&gt;&lt;D xsi:type="xsd:double"&gt;1889.4&lt;/D&gt;&lt;D xsi:type="xsd:double"&gt;1889.49&lt;/D&gt;&lt;D xsi:type="xsd:double"&gt;1891.71&lt;/D&gt;&lt;D xsi:type="xsd:double"&gt;1901.97&lt;/D&gt;&lt;D xsi:type="xsd:double"&gt;1907.23&lt;/D&gt;&lt;D xsi:type="xsd:double"&gt;1913.67&lt;/D&gt;&lt;D xsi:type="xsd:double"&gt;1912.27&lt;/D&gt;&lt;D xsi:type="xsd:double"&gt;1914.26&lt;/D&gt;&lt;D xsi:type="xsd:double"&gt;1925.3&lt;/D&gt;&lt;D xsi:type="xsd:double"&gt;1936.6&lt;/D&gt;&lt;D xsi:type="xsd:double"&gt;1942.87&lt;/D&gt;&lt;D xsi:type="xsd:double"&gt;1934.06&lt;/D&gt;&lt;D xsi:type="xsd:double"&gt;1934.5&lt;/D&gt;&lt;D xsi:type="xsd:double"&gt;1944.36&lt;/D&gt;&lt;D xsi:type="xsd:double"&gt;1965.1&lt;/D&gt;&lt;D xsi:type="xsd:double"&gt;1959.67&lt;/D&gt;&lt;D xsi:type="xsd:double"&gt;1945.51&lt;/D&gt;&lt;D xsi:type="xsd:double"&gt;1972.2&lt;/D&gt;&lt;D xsi:type="xsd:double"&gt;1964.91&lt;/D&gt;&lt;D xsi:type="xsd:double"&gt;1954.7&lt;/D&gt;&lt;D xsi:type="xsd:double"&gt;1961.87&lt;/D&gt;&lt;D xsi:type="xsd:double"&gt;1969.5&lt;/D&gt;&lt;D xsi:type="xsd:double"&gt;1976.54&lt;/D&gt;&lt;D xsi:type="xsd:double"&gt;1978.83&lt;/D&gt;&lt;D xsi:type="xsd:double"&gt;1955.07&lt;/D&gt;&lt;D xsi:type="xsd:double"&gt;1955.27&lt;/D&gt;&lt;D xsi:type="xsd:double"&gt;1960.51&lt;/D&gt;&lt;D xsi:type="xsd:double"&gt;1957.44&lt;/D&gt;&lt;D xsi:type="xsd:double"&gt;1932.37&lt;/D&gt;&lt;D xsi:type="xsd:double"&gt;1925.37&lt;/D&gt;&lt;D xsi:type="xsd:double"&gt;1925.57&lt;/D&gt;&lt;D xsi:type="xsd:double"&gt;1911.01&lt;/D&gt;&lt;D xsi:type="xsd:double"&gt;1915.63&lt;/D&gt;&lt;D xsi:type="xsd:double"&gt;1921.78&lt;/D&gt;&lt;D xsi:type="xsd:double"&gt;1919.38&lt;/D&gt;&lt;D xsi:type="xsd:double"&gt;1908.53&lt;/D&gt;&lt;D xsi:type="xsd:double"&gt;1907.51&lt;/D&gt;&lt;D xsi:type="xsd:double"&gt;1913.73&lt;/D&gt;&lt;D xsi:type="xsd:double"&gt;1923.21&lt;/D&gt;&lt;D xsi:type="xsd:double"&gt;1921.7&lt;/D&gt;&lt;D xsi:type="xsd:double"&gt;1913.84&lt;/D&gt;&lt;D xsi:type="xsd:double"&gt;1932.6&lt;/D&gt;&lt;D xsi:type="xsd:double"&gt;1936.29&lt;/D&gt;&lt;D xsi:type="xsd:double"&gt;1957.85&lt;/D&gt;&lt;D xsi:type="xsd:double"&gt;1958.03&lt;/D&gt;&lt;D xsi:type="xsd:double"&gt;1942.05&lt;/D&gt;&lt;D xsi:type="xsd:double"&gt;1943.67&lt;/D&gt;&lt;D xsi:type="xsd:double"&gt;1957.65&lt;/D&gt;&lt;D xsi:type="xsd:double"&gt;1960.99&lt;/D&gt;&lt;D xsi:type="xsd:double"&gt;1968.1&lt;/D&gt;&lt;D xsi:type="xsd:double"&gt;1939.99&lt;/D&gt;&lt;D xsi:type="xsd:double"&gt;1963.41&lt;/D&gt;&lt;D xsi:type="xsd:double"&gt;1961.79&lt;/D&gt;&lt;D xsi:type="xsd:double"&gt;1948.02&lt;/D&gt;&lt;D xsi:type="xsd:double"&gt;1977.65&lt;/D&gt;&lt;D xsi:type="xsd:double"&gt;1962.67&lt;/D&gt;&lt;D xsi:type="xsd:double"&gt;1959.52&lt;/D&gt;&lt;D xsi:type="xsd:double"&gt;1946.71&lt;/D&gt;&lt;D xsi:type="xsd:double"&gt;1940.69&lt;/D&gt;&lt;D xsi:type="xsd:double"&gt;1957.15&lt;/D&gt;&lt;D xsi:type="xsd:double"&gt;1975.22&lt;/D&gt;&lt;D xsi:type="xsd:double"&gt;1971.78&lt;/D&gt;&lt;D xsi:type="xsd:double"&gt;1977.8&lt;/D&gt;&lt;D xsi:type="xsd:double"&gt;1957.83&lt;/D&gt;&lt;D xsi:type="xsd:double"&gt;1982.09&lt;/D&gt;&lt;D xsi:type="xsd:double"&gt;1988.94&lt;/D&gt;&lt;D xsi:type="xsd:double"&gt;2016.97&lt;/D&gt;&lt;D xsi:type="xsd:double"&gt;2011.2&lt;/D&gt;&lt;D xsi:type="xsd:double"&gt;2015.52&lt;/D&gt;&lt;D xsi:type="xsd:double"&gt;2029.83&lt;/D&gt;&lt;D xsi:type="xsd:double"&gt;2034.43&lt;/D&gt;&lt;D xsi:type="xsd:double"&gt;2021.65&lt;/D&gt;&lt;D xsi:type="xsd:double"&gt;2016.57&lt;/D&gt;&lt;D xsi:type="xsd:double"&gt;2049.9&lt;/D&gt;&lt;D xsi:type="xsd:double"&gt;2039.37&lt;/D&gt;&lt;D xsi:type="xsd:double"&gt;2016.69&lt;/D&gt;&lt;D xsi:type="xsd:double"&gt;1982.42&lt;/D&gt;&lt;D xsi:type="xsd:double"&gt;1989.7&lt;/D&gt;&lt;D xsi:type="xsd:double"&gt;1988.01&lt;/D&gt;&lt;D xsi:type="xsd:double"&gt;1989.56&lt;/D&gt;&lt;D xsi:type="xsd:double"&gt;1997.52&lt;/D&gt;&lt;D xsi:type="xsd:double"&gt;1989.24&lt;/D&gt;&lt;D xsi:type="xsd:double"&gt;1982.44&lt;/D&gt;&lt;D xsi:type="xsd:double"&gt;2004.69&lt;/D&gt;&lt;D xsi:type="xsd:double"&gt;1994.75&lt;/D&gt;&lt;D xsi:type="xsd:double"&gt;2005.3&lt;/D&gt;&lt;D xsi:type="xsd:double"&gt;1995.12&lt;/D&gt;&lt;D xsi:type="xsd:double"&gt;2004.4&lt;/D&gt;&lt;D xsi:type="xsd:double"&gt;2040.06&lt;/D&gt;&lt;D xsi:type="xsd:double"&gt;2015.02&lt;/D&gt;&lt;D xsi:type="xsd:double"&gt;2003.71&lt;/D&gt;&lt;D xsi:type="xsd:double"&gt;1990.03&lt;/D&gt;&lt;D xsi:type="xsd:double"&gt;2007.89&lt;/D&gt;&lt;D xsi:type="xsd:double"&gt;2020.73&lt;/D&gt;&lt;D xsi:type="xsd:double"&gt;2020.34&lt;/D&gt;&lt;D xsi:type="xsd:double"&gt;1984.48&lt;/D&gt;&lt;D xsi:type="xsd:double"&gt;1969.84&lt;/D&gt;&lt;D xsi:type="xsd:double"&gt;1980.61&lt;/D&gt;&lt;D xsi:type="xsd:double"&gt;1964.39&lt;/D&gt;&lt;D xsi:type="xsd:double"&gt;1974.06&lt;/D&gt;&lt;D xsi:type="xsd:double"&gt;1956.67&lt;/D&gt;&lt;D xsi:type="xsd:double"&gt;1978.3&lt;/D&gt;&lt;D xsi:type="xsd:double"&gt;1993.82&lt;/D&gt;&lt;D xsi:type="xsd:double"&gt;1969.07&lt;/D&gt;&lt;D xsi:type="xsd:double"&gt;1940.51&lt;/D&gt;&lt;D xsi:type="xsd:double"&gt;1978.85&lt;/D&gt;&lt;D xsi:type="xsd:double"&gt;1989.01&lt;/D&gt;&lt;D xsi:type="xsd:double"&gt;1920.22&lt;/D&gt;&lt;D xsi:type="xsd:double"&gt;1918.38&lt;/D&gt;&lt;D xsi:type="xsd:double"&gt;1902.79&lt;/D&gt;&lt;D xsi:type="xsd:double"&gt;1913.53&lt;/D&gt;&lt;D xsi:type="xsd:double"&gt;1868.14&lt;/D&gt;&lt;D xsi:type="xsd:double"&gt;1830.9&lt;/D&gt;&lt;D xsi:type="xsd:double"&gt;1813.95&lt;/D&gt;&lt;D xsi:type="xsd:double"&gt;1813.51&lt;/D&gt;&lt;D xsi:type="xsd:double"&gt;1846.89&lt;/D&gt;&lt;D xsi:type="xsd:double"&gt;1855.22&lt;/D&gt;&lt;D xsi:type="xsd:double"&gt;1835.58&lt;/D&gt;&lt;D xsi:type="xsd:double"&gt;1836.88&lt;/D&gt;&lt;D xsi:type="xsd:double"&gt;1825.55&lt;/D&gt;&lt;D xsi:type="xsd:double"&gt;1817.28&lt;/D&gt;&lt;D xsi:type="xsd:double"&gt;1811.04&lt;/D&gt;&lt;D xsi:type="xsd:double"&gt;1822.44&lt;/D&gt;&lt;D xsi:type="xsd:double"&gt;1825.26&lt;/D&gt;&lt;D xsi:type="xsd:double"&gt;1834.9&lt;/D&gt;&lt;D xsi:type="xsd:double"&gt;1841.46&lt;/D&gt;&lt;D xsi:type="xsd:double"&gt;1836.57&lt;/D&gt;&lt;D xsi:type="xsd:double"&gt;1836.1&lt;/D&gt;&lt;D xsi:type="xsd:double"&gt;1854.34&lt;/D&gt;&lt;D xsi:type="xsd:double"&gt;1854.07&lt;/D&gt;&lt;D xsi:type="xsd:double"&gt;1864.82&lt;/D&gt;&lt;D xsi:type="xsd:double"&gt;1861.71&lt;/D&gt;&lt;D xsi:type="xsd:double"&gt;1875.77&lt;/D&gt;&lt;D xsi:type="xsd:double"&gt;1873.79&lt;/D&gt;&lt;D xsi:type="xsd:double"&gt;1867.84&lt;/D&gt;&lt;D xsi:type="xsd:double"&gt;1865.75&lt;/D&gt;&lt;D xsi:type="xsd:double"&gt;1913.06&lt;/D&gt;&lt;D xsi:type="xsd:double"&gt;1950.36&lt;/D&gt;&lt;D xsi:type="xsd:double"&gt;1928.07&lt;/D&gt;&lt;D xsi:type="xsd:double"&gt;1923.33&lt;/D&gt;&lt;D xsi:type="xsd:double"&gt;1928.08&lt;/D&gt;&lt;D xsi:type="xsd:double"&gt;1929.45&lt;/D&gt;&lt;D xsi:type="xsd:double"&gt;1946.42&lt;/D&gt;&lt;D xsi:type="xsd:double"&gt;1937.41&lt;/D&gt;&lt;D xsi:type="xsd:double"&gt;1931.36&lt;/D&gt;&lt;D xsi:type="xsd:double"&gt;1926.96&lt;/D&gt;&lt;D xsi:type="xsd:double"&gt;1932.39&lt;/D&gt;&lt;D xsi:type="xsd:double"&gt;1904.27&lt;/D&gt;&lt;D xsi:type="xsd:double"&gt;1908.87&lt;/D&gt;&lt;D xsi:type="xsd:double"&gt;1920.44&lt;/D&gt;&lt;D xsi:type="xsd:double"&gt;1897.03&lt;/D&gt;&lt;D xsi:type="xsd:double"&gt;1875.84&lt;/D&gt;&lt;D xsi:type="xsd:double"&gt;1876.93&lt;/D&gt;&lt;D xsi:type="xsd:double"&gt;1871.8&lt;/D&gt;&lt;D xsi:type="xsd:double"&gt;1866.07&lt;/D&gt;&lt;D xsi:type="xsd:double"&gt;1833.02&lt;/D&gt;&lt;D xsi:type="xsd:double"&gt;1854.69&lt;/D&gt;&lt;D xsi:type="xsd:double"&gt;1839.79&lt;/D&gt;&lt;D xsi:type="xsd:double"&gt;1824.56&lt;/D&gt;&lt;D xsi:type="xsd:double"&gt;1813.76&lt;/D&gt;&lt;D xsi:type="xsd:double"&gt;1804.36&lt;/D&gt;&lt;D xsi:type="xsd:double"&gt;1813.5&lt;/D&gt;&lt;D xsi:type="xsd:double"&gt;1798.16&lt;/D&gt;&lt;D xsi:type="xsd:double"&gt;1791.61&lt;/D&gt;&lt;D xsi:type="xsd:double"&gt;1814.3&lt;/D&gt;&lt;D xsi:type="xsd:double"&gt;1818&lt;/D&gt;&lt;D xsi:type="xsd:double"&gt;1787.54&lt;/D&gt;&lt;D xsi:type="xsd:double"&gt;1792.41&lt;/D&gt;&lt;D xsi:type="xsd:double"&gt;1776.69&lt;/D&gt;&lt;D xsi:type="xsd:double"&gt;1807.12&lt;/D&gt;&lt;D xsi:type="xsd:double"&gt;1810.55&lt;/D&gt;&lt;D xsi:type="xsd:double"&gt;1781.21&lt;/D&gt;&lt;D xsi:type="xsd:double"&gt;1796.85&lt;/D&gt;&lt;D xsi:type="xsd:double"&gt;1789.29&lt;/D&gt;&lt;D xsi:type="xsd:double"&gt;1786.04&lt;/D&gt;&lt;D xsi:type="xsd:double"&gt;1771.01&lt;/D&gt;&lt;D xsi:type="xsd:double"&gt;1768.44&lt;/D&gt;&lt;D xsi:type="xsd:double"&gt;1797.95&lt;/D&gt;&lt;D xsi:type="xsd:double"&gt;1803.09&lt;/D&gt;&lt;D xsi:type="xsd:double"&gt;1768.43&lt;/D&gt;&lt;D xsi:type="xsd:double"&gt;1749.73&lt;/D&gt;&lt;D xsi:type="xsd:double"&gt;1741.62&lt;/D&gt;&lt;D xsi:type="xsd:double"&gt;1754.58&lt;/D&gt;&lt;D xsi:type="xsd:double"&gt;1749.62&lt;/D&gt;&lt;D xsi:type="xsd:double"&gt;1739.84&lt;/D&gt;&lt;D xsi:type="xsd:double"&gt;1738.03&lt;/D&gt;&lt;D xsi:type="xsd:double"&gt;1749.97&lt;/D&gt;&lt;D xsi:type="xsd:double"&gt;1760.5&lt;/D&gt;&lt;D xsi:type="xsd:double"&gt;1773.12&lt;/D&gt;&lt;D xsi:type="xsd:double"&gt;1778.97&lt;/D&gt;&lt;D xsi:type="xsd:double"&gt;1770.94&lt;/D&gt;&lt;D xsi:type="xsd:double"&gt;1770.7&lt;/D&gt;&lt;D xsi:type="xsd:double"&gt;1755.62&lt;/D&gt;&lt;D xsi:type="xsd:double"&gt;1706.92&lt;/D&gt;&lt;D xsi:type="xsd:double"&gt;1712.41&lt;/D&gt;&lt;D xsi:type="xsd:double"&gt;1675.39&lt;/D&gt;&lt;D xsi:type="xsd:double"&gt;1681.27&lt;/D&gt;&lt;D xsi:type="xsd:double"&gt;1629.41&lt;/D&gt;&lt;D xsi:type="xsd:double"&gt;1635.16&lt;/D&gt;&lt;D xsi:type="xsd:double"&gt;1647.39&lt;/D&gt;&lt;D xsi:type="xsd:double"&gt;1633.56&lt;/D&gt;&lt;D xsi:type="xsd:double"&gt;1642.76&lt;/D&gt;&lt;D xsi:type="xsd:double"&gt;1663.32&lt;/D&gt;&lt;D xsi:type="xsd:double"&gt;1664.83&lt;/D&gt;&lt;D xsi:type="xsd:double"&gt;1653.06&lt;/D&gt;&lt;D xsi:type="xsd:double"&gt;1649.72&lt;/D&gt;&lt;D xsi:type="xsd:double"&gt;1657.66&lt;/D&gt;&lt;D xsi:type="xsd:double"&gt;1628.08&lt;/D&gt;&lt;D xsi:type="xsd:double"&gt;1629.22&lt;/D&gt;&lt;D xsi:type="xsd:double"&gt;1652.35&lt;/D&gt;&lt;D xsi:type="xsd:double"&gt;1650.41&lt;/D&gt;&lt;D xsi:type="xsd:double"&gt;1644.45&lt;/D&gt;&lt;D xsi:type="xsd:double"&gt;1666.37&lt;/D&gt;&lt;D xsi:type="xsd:double"&gt;1673.27&lt;/D&gt;&lt;D xsi:type="xsd:double"&gt;1666.1&lt;/D&gt;&lt;D xsi:type="xsd:double"&gt;1668.32&lt;/D&gt;&lt;D xsi:type="xsd:double"&gt;1694.84&lt;/D&gt;&lt;D xsi:type="xsd:double"&gt;1710.64&lt;/D&gt;&lt;D xsi:type="xsd:double"&gt;1716.41&lt;/D&gt;&lt;D xsi:type="xs</t>
        </r>
      </text>
    </comment>
    <comment ref="A10" authorId="0" shapeId="0" xr:uid="{4E0DA3B0-629B-4055-B340-027B860DD6C8}">
      <text>
        <r>
          <rPr>
            <b/>
            <sz val="9"/>
            <color indexed="81"/>
            <rFont val="Tahoma"/>
            <charset val="1"/>
          </rPr>
          <t>d:double"&gt;1726.12&lt;/D&gt;&lt;D xsi:type="xsd:double"&gt;1699.85&lt;/D&gt;&lt;D xsi:type="xsd:double"&gt;1660.67&lt;/D&gt;&lt;D xsi:type="xsd:double"&gt;1660.8&lt;/D&gt;&lt;D xsi:type="xsd:double"&gt;1659.83&lt;/D&gt;&lt;D xsi:type="xsd:double"&gt;1629.35&lt;/D&gt;&lt;D xsi:type="xsd:double"&gt;1622.16&lt;/D&gt;&lt;D xsi:type="xsd:double"&gt;1644.09&lt;/D&gt;&lt;D xsi:type="xsd:double"&gt;1671.34&lt;/D&gt;&lt;D xsi:type="xsd:double"&gt;1674.09&lt;/D&gt;&lt;D xsi:type="xsd:double"&gt;1664.79&lt;/D&gt;&lt;D xsi:type="xsd:double"&gt;1675.85&lt;/D&gt;&lt;D xsi:type="xsd:double"&gt;1672.66&lt;/D&gt;&lt;D xsi:type="xsd:double"&gt;1664.51&lt;/D&gt;&lt;D xsi:type="xsd:double"&gt;1697.61&lt;/D&gt;&lt;D xsi:type="xsd:double"&gt;1702.27&lt;/D&gt;&lt;D xsi:type="xsd:double"&gt;1724.52&lt;/D&gt;&lt;D xsi:type="xsd:double"&gt;1717.05&lt;/D&gt;&lt;D xsi:type="xsd:double"&gt;1709.02&lt;/D&gt;&lt;D xsi:type="xsd:double"&gt;1718.62&lt;/D&gt;&lt;D xsi:type="xsd:double"&gt;1702.11&lt;/D&gt;&lt;D xsi:type="xsd:double"&gt;1712.44&lt;/D&gt;&lt;D xsi:type="xsd:double"&gt;1697.3&lt;/D&gt;&lt;D xsi:type="xsd:double"&gt;1711.21&lt;/D&gt;&lt;D xsi:type="xsd:double"&gt;1724.1&lt;/D&gt;&lt;D xsi:type="xsd:double"&gt;1737.58&lt;/D&gt;&lt;D xsi:type="xsd:double"&gt;1737.86&lt;/D&gt;&lt;D xsi:type="xsd:double"&gt;1758.55&lt;/D&gt;&lt;D xsi:type="xsd:double"&gt;1751.39&lt;/D&gt;&lt;D xsi:type="xsd:double"&gt;1747.52&lt;/D&gt;&lt;D xsi:type="xsd:double"&gt;1735.73&lt;/D&gt;&lt;D xsi:type="xsd:double"&gt;1747.4&lt;/D&gt;&lt;D xsi:type="xsd:double"&gt;1758.84&lt;/D&gt;&lt;D xsi:type="xsd:double"&gt;1761.62&lt;/D&gt;&lt;D xsi:type="xsd:double"&gt;1775.32&lt;/D&gt;&lt;D xsi:type="xsd:double"&gt;1779.56&lt;/D&gt;&lt;D xsi:type="xsd:double"&gt;1802.35&lt;/D&gt;&lt;D xsi:type="xsd:double"&gt;1789.71&lt;/D&gt;&lt;D xsi:type="xsd:double"&gt;1792.43&lt;/D&gt;&lt;D xsi:type="xsd:double"&gt;1794.3&lt;/D&gt;&lt;D xsi:type="xsd:double"&gt;1789.5&lt;/D&gt;&lt;D xsi:type="xsd:double"&gt;1775.1&lt;/D&gt;&lt;D xsi:type="xsd:double"&gt;1791.21&lt;/D&gt;&lt;D xsi:type="xsd:double"&gt;1765.285&lt;/D&gt;&lt;D xsi:type="xsd:double"&gt;1760.7&lt;/D&gt;&lt;D xsi:type="xsd:double"&gt;1772.24&lt;/D&gt;&lt;D xsi:type="xsd:double"&gt;1766.25&lt;/D&gt;&lt;D xsi:type="xsd:double"&gt;1755.85&lt;/D&gt;&lt;D xsi:type="xsd:double"&gt;1734.44&lt;/D&gt;&lt;D xsi:type="xsd:double"&gt;1717.46&lt;/D&gt;&lt;D xsi:type="xsd:double"&gt;1719.8&lt;/D&gt;&lt;D xsi:type="xsd:double"&gt;1727.4&lt;/D&gt;&lt;D xsi:type="xsd:double"&gt;1718.93&lt;/D&gt;&lt;D xsi:type="xsd:double"&gt;1696.7&lt;/D&gt;&lt;D xsi:type="xsd:double"&gt;1711.4&lt;/D&gt;&lt;D xsi:type="xsd:double"&gt;1709.22&lt;/D&gt;&lt;D xsi:type="xsd:double"&gt;1707.7&lt;/D&gt;&lt;D xsi:type="xsd:double"&gt;1709.96&lt;/D&gt;&lt;D xsi:type="xsd:double"&gt;1735.38&lt;/D&gt;&lt;D xsi:type="xsd:double"&gt;1725.92&lt;/D&gt;&lt;D xsi:type="xsd:double"&gt;1734.035&lt;/D&gt;&lt;D xsi:type="xsd:double"&gt;1742.8&lt;/D&gt;&lt;D xsi:type="xsd:double"&gt;1740.18&lt;/D&gt;&lt;D xsi:type="xsd:double"&gt;1739.2&lt;/D&gt;&lt;D xsi:type="xsd:double"&gt;1764.8&lt;/D&gt;&lt;D xsi:type="xsd:double"&gt;1811.1&lt;/D&gt;&lt;D xsi:type="xsd:double"&gt;1807.05&lt;/D&gt;&lt;D xsi:type="xsd:double"&gt;1817.8&lt;/D&gt;&lt;D xsi:type="xsd:double"&gt;1819.73&lt;/D&gt;&lt;D xsi:type="xsd:double"&gt;1822.77&lt;/D&gt;&lt;D xsi:type="xsd:double"&gt;1827.1&lt;/D&gt;&lt;D xsi:type="xsd:double"&gt;1822.3&lt;/D&gt;&lt;D xsi:type="xsd:double"&gt;1837.69&lt;/D&gt;&lt;D xsi:type="xsd:double"&gt;1833.09&lt;/D&gt;&lt;D xsi:type="xsd:double"&gt;1839.5&lt;/D&gt;&lt;D xsi:type="xsd:double"&gt;1857.5&lt;/D&gt;&lt;D xsi:type="xsd:double"&gt;1833.99&lt;/D&gt;&lt;D xsi:type="xsd:double"&gt;1808.44&lt;/D&gt;&lt;D xsi:type="xsd:double"&gt;1819.03&lt;/D&gt;&lt;D xsi:type="xsd:double"&gt;1871.4&lt;/D&gt;&lt;D xsi:type="xsd:double"&gt;1847.94&lt;/D&gt;&lt;D xsi:type="xsd:double"&gt;1853.365&lt;/D&gt;&lt;D xsi:type="xsd:double"&gt;1852.43&lt;/D&gt;&lt;D xsi:type="xsd:double"&gt;1841.4&lt;/D&gt;&lt;D xsi:type="xsd:double"&gt;1851.2&lt;/D&gt;&lt;D xsi:type="xsd:double"&gt;1868.61&lt;/D&gt;&lt;D xsi:type="xsd:double"&gt;1846.5&lt;/D&gt;&lt;D xsi:type="xsd:double"&gt;1838.02&lt;/D&gt;&lt;D xsi:type="xsd:double"&gt;1853.65&lt;/D&gt;&lt;D xsi:type="xsd:double"&gt;1850.58&lt;/D&gt;&lt;D xsi:type="xsd:double"&gt;1853.6&lt;/D&gt;&lt;D xsi:type="xsd:double"&gt;1866.5&lt;/D&gt;&lt;D xsi:type="xsd:double"&gt;1853.45&lt;/D&gt;&lt;D xsi:type="xsd:double"&gt;1846.6&lt;/D&gt;&lt;D xsi:type="xsd:double"&gt;1842.08&lt;/D&gt;&lt;D xsi:type="xsd:double"&gt;1816.7&lt;/D&gt;&lt;D xsi:type="xsd:double"&gt;1814.92&lt;/D&gt;&lt;D xsi:type="xsd:double"&gt;1824.01&lt;/D&gt;&lt;D xsi:type="xsd:double"&gt;1811.9&lt;/D&gt;&lt;D xsi:type="xsd:double"&gt;1821.8&lt;/D&gt;&lt;D xsi:type="xsd:double"&gt;1852.41&lt;/D&gt;&lt;D xsi:type="xsd:double"&gt;1838.36&lt;/D&gt;&lt;D xsi:type="xsd:double"&gt;1854.1&lt;/D&gt;&lt;D xsi:type="xsd:double"&gt;1884&lt;/D&gt;&lt;D xsi:type="xsd:double"&gt;1877.2&lt;/D&gt;&lt;D xsi:type="xsd:double"&gt;1881.5&lt;/D&gt;&lt;D xsi:type="xsd:double"&gt;1868.2&lt;/D&gt;&lt;D xsi:type="xsd:double"&gt;1862.3&lt;/D&gt;&lt;D xsi:type="xsd:double"&gt;1896.795&lt;/D&gt;&lt;D xsi:type="xsd:double"&gt;1894.65&lt;/D&gt;&lt;D xsi:type="xsd:double"&gt;1885.6&lt;/D&gt;&lt;D xsi:type="xsd:double"&gt;1904.6&lt;/D&gt;&lt;D xsi:type="xsd:double"&gt;1898&lt;/D&gt;&lt;D xsi:type="xsd:double"&gt;1930.7&lt;/D&gt;&lt;D xsi:type="xsd:double"&gt;1952&lt;/D&gt;&lt;D xsi:type="xsd:double"&gt;1957.8&lt;/D&gt;&lt;D xsi:type="xsd:double"&gt;1949.84&lt;/D&gt;&lt;D xsi:type="xsd:double"&gt;1973.9&lt;/D&gt;&lt;D xsi:type="xsd:double"&gt;1973.9&lt;/D&gt;&lt;D xsi:type="xsd:double"&gt;1978.47&lt;/D&gt;&lt;D xsi:type="xsd:double"&gt;1966.76&lt;/D&gt;&lt;D xsi:type="xsd:double"&gt;1954.4&lt;/D&gt;&lt;D xsi:type="xsd:double"&gt;1946.8&lt;/D&gt;&lt;D xsi:type="xsd:double"&gt;1931&lt;/D&gt;&lt;D xsi:type="xsd:double"&gt;1926.2&lt;/D&gt;&lt;D xsi:type="xsd:double"&gt;1923.61&lt;/D&gt;&lt;D xsi:type="xsd:double"&gt;1933.7&lt;/D&gt;&lt;D xsi:type="xsd:double"&gt;1925.3&lt;/D&gt;&lt;D xsi:type="xsd:double"&gt;1936.9&lt;/D&gt;&lt;D xsi:type="xsd:double"&gt;1932.905&lt;/D&gt;&lt;D xsi:type="xsd:double"&gt;1919.535&lt;/D&gt;&lt;D xsi:type="xsd:double"&gt;1922.7&lt;/D&gt;&lt;D xsi:type="xsd:double"&gt;1958.205&lt;/D&gt;&lt;D xsi:type="xsd:double"&gt;1957.57&lt;/D&gt;&lt;D xsi:type="xsd:double"&gt;1944.5&lt;/D&gt;&lt;D xsi:type="xsd:double"&gt;1921.7&lt;/D&gt;&lt;D xsi:type="xsd:double"&gt;1936.03&lt;/D&gt;&lt;D xsi:type="xsd:double"&gt;1921.9&lt;/D&gt;&lt;D xsi:type="xsd:double"&gt;1942.92&lt;/D&gt;&lt;D xsi:type="xsd:double"&gt;1927.22&lt;/D&gt;&lt;D xsi:type="xsd:double"&gt;1918.06&lt;/D&gt;&lt;D xsi:type="xsd:double"&gt;1950.4&lt;/D&gt;&lt;D xsi:type="xsd:double"&gt;1988.4&lt;/D&gt;&lt;D xsi:type="xsd:double"&gt;1996.7&lt;/D&gt;&lt;D xsi:type="xsd:double"&gt;1991.7&lt;/D&gt;&lt;D xsi:type="xsd:double"&gt;2049.8&lt;/D&gt;&lt;D xsi:type="xsd:double"&gt;1998.11&lt;/D&gt;&lt;D xsi:type="xsd:double"&gt;1974.5&lt;/D&gt;&lt;D xsi:type="xsd:double"&gt;1935.94&lt;/D&gt;&lt;D xsi:type="xsd:double"&gt;1928.795&lt;/D&gt;&lt;D xsi:type="xsd:double"&gt;1945.21&lt;/D&gt;&lt;D xsi:type="xsd:double"&gt;1909.02&lt;/D&gt;&lt;D xsi:type="xsd:double"&gt;1889.2&lt;/D&gt;&lt;D xsi:type="xsd:double"&gt;1903.91&lt;/D&gt;&lt;D xsi:type="xsd:double"&gt;1908.61&lt;/D&gt;&lt;D xsi:type="xsd:double"&gt;1898.5&lt;/D&gt;&lt;D xsi:type="xsd:double"&gt;1898.2&lt;/D&gt;&lt;D xsi:type="xsd:double"&gt;1898.2&lt;/D&gt;&lt;D xsi:type="xsd:double"&gt;1869.7&lt;/D&gt;&lt;D xsi:type="xsd:double"&gt;1853.7&lt;/D&gt;&lt;D xsi:type="xsd:double"&gt;1871.49&lt;/D&gt;&lt;D xsi:type="xsd:double"&gt;1858.465&lt;/D&gt;&lt;D xsi:type="xsd:double"&gt;1826.93&lt;/D&gt;&lt;D xsi:type="xsd:double"&gt;1833.2&lt;/D&gt;&lt;D xsi:type="xsd:double"&gt;1825.95&lt;/D&gt;&lt;D xsi:type="xsd:double"&gt;1820.53&lt;/D&gt;&lt;D xsi:type="xsd:double"&gt;1808.025&lt;/D&gt;&lt;D xsi:type="xsd:double"&gt;1804.85&lt;/D&gt;&lt;D xsi:type="xsd:double"&gt;1806.9&lt;/D&gt;&lt;D xsi:type="xsd:double"&gt;1801.01&lt;/D&gt;&lt;D xsi:type="xsd:double"&gt;1797.08&lt;/D&gt;&lt;D xsi:type="xsd:double"&gt;1791.9&lt;/D&gt;&lt;D xsi:type="xsd:double"&gt;1797.42&lt;/D&gt;&lt;D xsi:type="xsd:double"&gt;1819.77&lt;/D&gt;&lt;D xsi:type="xsd:double"&gt;1848.15&lt;/D&gt;&lt;D xsi:type="xsd:double"&gt;1843.8&lt;/D&gt;&lt;D xsi:type="xsd:double"&gt;1833.6&lt;/D&gt;&lt;D xsi:type="xsd:double"&gt;1839.4&lt;/D&gt;&lt;D xsi:type="xsd:double"&gt;1840.25&lt;/D&gt;&lt;D xsi:type="xsd:double"&gt;1813.81&lt;/D&gt;&lt;D xsi:type="xsd:double"&gt;1817.7&lt;/D&gt;&lt;D xsi:type="xsd:double"&gt;1822.8&lt;/D&gt;&lt;D xsi:type="xsd:double"&gt;1826.3&lt;/D&gt;&lt;D xsi:type="xsd:double"&gt;1821.65&lt;/D&gt;&lt;D xsi:type="xsd:double"&gt;1801.735&lt;/D&gt;&lt;D xsi:type="xsd:double"&gt;1796.425&lt;/D&gt;&lt;D xsi:type="xsd:double"&gt;1791.375&lt;/D&gt;&lt;D xsi:type="xsd:double"&gt;1810.27&lt;/D&gt;&lt;D xsi:type="xsd:double"&gt;1814.5&lt;/D&gt;&lt;D xsi:type="xsd:double"&gt;1801.4&lt;/D&gt;&lt;D xsi:type="xsd:double"&gt;1821.9&lt;/D&gt;&lt;D xsi:type="xsd:double"&gt;1802.27&lt;/D&gt;&lt;D xsi:type="xsd:double"&gt;1804.47&lt;/D&gt;&lt;D xsi:type="xsd:double"&gt;1806.285&lt;/D&gt;&lt;D xsi:type="xsd:double"&gt;1812.1&lt;/D&gt;&lt;D xsi:type="xsd:double"&gt;1808.45&lt;/D&gt;&lt;D xsi:type="xsd:double"&gt;1803.61&lt;/D&gt;&lt;D xsi:type="xsd:double"&gt;1788.8&lt;/D&gt;&lt;D xsi:type="xsd:double"&gt;1790.72&lt;/D&gt;&lt;D xsi:type="xsd:double"&gt;1797.95&lt;/D&gt;&lt;D xsi:type="xsd:double"&gt;1799.275&lt;/D&gt;&lt;D xsi:type="xsd:double"&gt;1776.875&lt;/D&gt;&lt;D xsi:type="xsd:double"&gt;1770.5&lt;/D&gt;&lt;D xsi:type="xsd:double"&gt;1786.6&lt;/D&gt;&lt;D xsi:type="xsd:double"&gt;1782.905&lt;/D&gt;&lt;D xsi:type="xsd:double"&gt;1775&lt;/D&gt;&lt;D xsi:type="xsd:double"&gt;1783.09&lt;/D&gt;&lt;D xsi:type="xsd:double"&gt;1784.15&lt;/D&gt;&lt;D xsi:type="xsd:double"&gt;1778.3&lt;/D&gt;&lt;D xsi:type="xsd:double"&gt;1783.3&lt;/D&gt;&lt;D xsi:type="xsd:double"&gt;1767.7&lt;/D&gt;&lt;D xsi:type="xsd:double"&gt;1782.04&lt;/D&gt;&lt;D xsi:type="xsd:double"&gt;1774.88&lt;/D&gt;&lt;D xsi:type="xsd:double"&gt;1784.66&lt;/D&gt;&lt;D xsi:type="xsd:double"&gt;1792.28&lt;/D&gt;&lt;D xsi:type="xsd:double"&gt;1788.7&lt;/D&gt;&lt;D xsi:type="xsd:double"&gt;1789.16&lt;/D&gt;&lt;D xsi:type="xsd:double"&gt;1804.72&lt;/D&gt;&lt;D xsi:type="xsd:double"&gt;1845.68&lt;/D&gt;&lt;D xsi:type="xsd:double"&gt;1858.85&lt;/D&gt;&lt;D xsi:type="xsd:double"&gt;1867.63&lt;/D&gt;&lt;D xsi:type="xsd:double"&gt;1850.53&lt;/D&gt;&lt;D xsi:type="xsd:double"&gt;1862.79&lt;/D&gt;&lt;D xsi:type="xsd:double"&gt;1864.855&lt;/D&gt;&lt;D xsi:type="xsd:double"&gt;1862.08&lt;/D&gt;&lt;D xsi:type="xsd:double"&gt;1848.89&lt;/D&gt;&lt;D xsi:type="xsd:double"&gt;1831.91&lt;/D&gt;&lt;D xsi:type="xsd:double"&gt;1824&lt;/D&gt;&lt;D xsi:type="xsd:double"&gt;1817.7&lt;/D&gt;&lt;D xsi:type="xsd:double"&gt;1791.62&lt;/D&gt;&lt;D xsi:type="xsd:double"&gt;1769.4&lt;/D&gt;&lt;D xsi:type="xsd:double"&gt;1788.04&lt;/D&gt;&lt;D xsi:type="xsd:double"&gt;1793.27&lt;/D&gt;&lt;D xsi:type="xsd:double"&gt;1783.505&lt;/D&gt;&lt;D xsi:type="xsd:double"&gt;1798.78&lt;/D&gt;&lt;D xsi:type="xsd:double"&gt;1796.93&lt;/D&gt;&lt;D xsi:type="xsd:double"&gt;1792.845&lt;/D&gt;&lt;D xsi:type="xsd:double"&gt;1807.8&lt;/D&gt;&lt;D xsi:type="xsd:double"&gt;1792.7&lt;/D&gt;&lt;D xsi:type="xsd:double"&gt;1782.8&lt;/D&gt;&lt;D xsi:type="xsd:double"&gt;1782.22&lt;/D&gt;&lt;D xsi:type="xsd:double"&gt;1769.15&lt;/D&gt;&lt;D xsi:type="xsd:double"&gt;1764.91&lt;/D&gt;&lt;D xsi:type="xsd:double"&gt;1767.61&lt;/D&gt;&lt;D xsi:type="xsd:double"&gt;1795.82&lt;/D&gt;&lt;D xsi:type="xsd:double"&gt;1793.125&lt;/D&gt;&lt;D xsi:type="xsd:double"&gt;1759.9&lt;/D&gt;&lt;D xsi:type="xsd:double"&gt;1753.9&lt;/D&gt;&lt;D xsi:type="xsd:double"&gt;1757.235&lt;/D&gt;&lt;D xsi:type="xsd:double"&gt;1755.985&lt;/D&gt;&lt;D xsi:type="xsd:double"&gt;1762.735&lt;/D&gt;&lt;D xsi:type="xsd:double"&gt;1760&lt;/D&gt;&lt;D xsi:type="xsd:double"&gt;1769.4&lt;/D&gt;&lt;D xsi:type="xsd:double"&gt;1760.925&lt;/D&gt;&lt;D xsi:type="xsd:double"&gt;1756.9&lt;/D&gt;&lt;D xsi:type="xsd:double"&gt;1727.2&lt;/D&gt;&lt;D xsi:type="xsd:double"&gt;1734.3&lt;/D&gt;&lt;D xsi:type="xsd:double"&gt;1750.8&lt;/D&gt;&lt;D xsi:type="xsd:double"&gt;1750.5&lt;/D&gt;&lt;D xsi:type="xsd:double"&gt;1742.92&lt;/D&gt;&lt;D xsi:type="xsd:double"&gt;1768.1&lt;/D&gt;&lt;D xsi:type="xsd:double"&gt;1774.315&lt;/D&gt;&lt;D xsi:type="xsd:double"&gt;1764.26&lt;/D&gt;&lt;D xsi:type="xsd:double"&gt;1754.5&lt;/D&gt;&lt;D xsi:type="xsd:double"&gt;1753.4&lt;/D&gt;&lt;D xsi:type="xsd:double"&gt;1793.9&lt;/D&gt;&lt;D xsi:type="xsd:double"&gt;1804.1&lt;/D&gt;&lt;D xsi:type="xsd:double"&gt;1793.7&lt;/D&gt;&lt;D xsi:type="xsd:double"&gt;1787.65&lt;/D&gt;&lt;D xsi:type="xsd:double"&gt;1794.5&lt;/D&gt;&lt;D xsi:type="xsd:double"&gt;1789&lt;/D&gt;&lt;D xsi:type="xsd:double"&gt;1793.8&lt;/D&gt;&lt;D xsi:type="xsd:double"&gt;1827.1&lt;/D&gt;&lt;D xsi:type="xsd:double"&gt;1809.785&lt;/D&gt;&lt;D xsi:type="xsd:double"&gt;1814.2&lt;/D&gt;&lt;D xsi:type="xsd:double"&gt;1813.7&lt;/D&gt;&lt;D xsi:type="xsd:double"&gt;1810&lt;/D&gt;&lt;D xsi:type="xsd:double"&gt;1817.1&lt;/D&gt;&lt;D xsi:type="xsd:double"&gt;1791.2&lt;/D&gt;&lt;D xsi:type="xsd:double"&gt;1790.38&lt;/D&gt;&lt;D xsi:type="xsd:double"&gt;1802.8514&lt;/D&gt;&lt;D xsi:type="xsd:double"&gt;1805.36&lt;/D&gt;&lt;D xsi:type="xsd:double"&gt;1781.075&lt;/D&gt;&lt;D xsi:type="xsd:double"&gt;1779.6&lt;/D&gt;&lt;D xsi:type="xsd:double"&gt;1787&lt;/D&gt;&lt;D xsi:type="xsd:double"&gt;1785.8&lt;/D&gt;&lt;D xsi:type="xsd:double"&gt;1787.3416&lt;/D&gt;&lt;D xsi:type="xsd:double"&gt;1779.76&lt;/D&gt;&lt;D xsi:type="xsd:double"&gt;1752.875&lt;/D&gt;&lt;D xsi:type="xsd:double"&gt;1750.9&lt;/D&gt;&lt;D xsi:type="xsd:double"&gt;1729&lt;/D&gt;&lt;D xsi:type="xsd:double"&gt;1729.4&lt;/D&gt;&lt;D xsi:type="xsd:double"&gt;1763&lt;/D&gt;&lt;D xsi:type="xsd:double"&gt;1804.5&lt;/D&gt;&lt;D xsi:type="xsd:double"&gt;1812&lt;/D&gt;&lt;D xsi:type="xsd:double"&gt;1810.635&lt;/D&gt;&lt;D xsi:type="xsd:double"&gt;1812.7&lt;/D&gt;&lt;D xsi:type="xsd:double"&gt;1814.01&lt;/D&gt;&lt;D xsi:type="xsd:double"&gt;1828.1&lt;/D&gt;&lt;D xsi:type="xsd:double"&gt;1806.5&lt;/D&gt;&lt;D xsi:type="xsd:double"&gt;1798.6&lt;/D&gt;&lt;D xsi:type="xsd:double"&gt;1797.6&lt;/D&gt;&lt;D xsi:type="xsd:double"&gt;1802.175&lt;/D&gt;&lt;D xsi:type="xsd:double"&gt;1806.9&lt;/D&gt;&lt;D xsi:type="xsd:double"&gt;1804&lt;/D&gt;&lt;D xsi:type="xsd:double"&gt;1810.2&lt;/D&gt;&lt;D xsi:type="xsd:double"&gt;1813.4&lt;/D&gt;&lt;D xsi:type="xsd:double"&gt;1811.8&lt;/D&gt;&lt;D xsi:type="xsd:double"&gt;1829.4&lt;/D&gt;&lt;D xsi:type="xsd:double"&gt;1827.5&lt;/D&gt;&lt;D xsi:type="xsd:double"&gt;1808.2&lt;/D&gt;&lt;D xsi:type="xsd:double"&gt;1806.6&lt;/D&gt;&lt;D xsi:type="xsd:double"&gt;1808.6&lt;/D&gt;&lt;D xsi:type="xsd:double"&gt;1802.835&lt;/D&gt;&lt;D xsi:type="xsd:double"&gt;1803.8&lt;/D&gt;&lt;D xsi:type="xsd:double"&gt;1797.6&lt;/D&gt;&lt;D xsi:type="xsd:double"&gt;1787.35&lt;/D&gt;&lt;D xsi:type="xsd:double"&gt;1776.4&lt;/D&gt;&lt;D xsi:type="xsd:double"&gt;1770.3&lt;/D&gt;&lt;D xsi:type="xsd:double"&gt;1761&lt;/D&gt;&lt;D xsi:type="xsd:double"&gt;1778.36&lt;/D&gt;&lt;D xsi:type="xsd:double"&gt;1781.3&lt;/D&gt;&lt;D xsi:type="xsd:double"&gt;1775.105&lt;/D&gt;&lt;D xsi:type="xsd:double"&gt;1778.9&lt;/D&gt;&lt;D xsi:type="xsd:double"&gt;1778.6&lt;/D&gt;&lt;D xsi:type="xsd:double"&gt;1783.2&lt;/D&gt;&lt;D xsi:type="xsd:double"&gt;1764.3&lt;/D&gt;&lt;D xsi:type="xsd:double"&gt;1773.4&lt;/D&gt;&lt;D xsi:type="xsd:double"&gt;1812.3&lt;/D&gt;&lt;D xsi:type="xsd:double"&gt;1858.2&lt;/D&gt;&lt;D xsi:type="xsd:double"&gt;1866.25&lt;/D&gt;&lt;D xsi:type="xsd:double"&gt;1877.6&lt;/D&gt;&lt;D xsi:type="xsd:double"&gt;1897.8&lt;/D&gt;&lt;D xsi:type="xsd:double"&gt;1888.8&lt;/D&gt;&lt;D xsi:type="xsd:double"&gt;1892.9065&lt;/D&gt;&lt;D xsi:type="xsd:double"&gt;1898.98&lt;/D&gt;&lt;D xsi:type="xsd:double"&gt;1891.485&lt;/D&gt;&lt;D xsi:type="xsd:double"&gt;1870.3&lt;/D&gt;&lt;D xsi:type="xsd:double"&gt;1907.7&lt;/D&gt;&lt;D xsi:type="xsd:double"&gt;1900.4&lt;/D&gt;&lt;D xsi:type="xsd:double"&gt;1903.445&lt;/D&gt;&lt;D xsi:type="xsd:double"&gt;1896.7&lt;/D&gt;&lt;D xsi:type="xsd:double"&gt;1896.51&lt;/D&gt;&lt;D xsi:type="xsd:double"&gt;1899.1&lt;/D&gt;&lt;D xsi:type="xsd:double"&gt;1880.2&lt;/D&gt;&lt;D xsi:type="xsd:double"&gt;1881.3&lt;/D&gt;&lt;D xsi:type="xsd:double"&gt;1877.5&lt;/D&gt;&lt;D xsi:type="xsd:double"&gt;1869.5&lt;/D&gt;&lt;D xsi:type="xsd:double"&gt;1869.9&lt;/D&gt;&lt;D xsi:type="xsd:double"&gt;1865.7&lt;/D&gt;&lt;D xsi:type="xsd:double"&gt;1843.1&lt;/D&gt;&lt;D xsi:type="xsd:double"&gt;1826.6014&lt;/D&gt;&lt;D xsi:type="xsd:double"&gt;1816&lt;/D&gt;&lt;D xsi:type="xsd:double"&gt;1837.3&lt;/D&gt;&lt;D xsi:type="xsd:double"&gt;1835.9&lt;/D&gt;&lt;D xsi:type="xsd:double"&gt;1831.02&lt;/D&gt;&lt;D xsi:type="xsd:double"&gt;1815.6&lt;/D&gt;&lt;D xsi:type="xsd:double"&gt;1786&lt;/D&gt;&lt;D xsi:type="xsd:double"&gt;1779&lt;/D&gt;&lt;D xsi:type="xsd:double"&gt;1792.3&lt;/D&gt;&lt;D xsi:type="xsd:double"&gt;1769.13&lt;/D&gt;&lt;D xsi:type="xsd:double"&gt;1770.8&lt;/D&gt;&lt;D xsi:type="xsd:double"&gt;1780.9&lt;/D&gt;&lt;D xsi:type="xsd:double"&gt;1776.905&lt;/D&gt;&lt;D xsi:type="xsd:double"&gt;1780.5&lt;/D&gt;&lt;D xsi:type="xsd:double"&gt;1777.46&lt;/D&gt;&lt;D xsi:type="xsd:double"&gt;1784.2&lt;/D&gt;&lt;D xsi:type="xsd:double"&gt;1793.4&lt;/D&gt;&lt;D xsi:type="xsd:double"&gt;1778&lt;/D&gt;&lt;D xsi:type="xsd:double"&gt;1770.3&lt;/D&gt;&lt;D xsi:type="xsd:double"&gt;1776.345&lt;/D&gt;&lt;D xsi:type="xsd:double"&gt;1763.83&lt;/D&gt;&lt;D xsi:type="xsd:double"&gt;1737&lt;/D&gt;&lt;D xsi:type="xsd:double"&gt;1745.27&lt;/D&gt;&lt;D xsi:type="xsd:double"&gt;1733.4&lt;/D&gt;&lt;D xsi:type="xsd:double"&gt;1743.75&lt;/D&gt;&lt;D xsi:type="xsd:double"&gt;1755.425&lt;/D&gt;&lt;D xsi:type="xsd:double"&gt;1737.6&lt;/D&gt;&lt;D xsi:type="xsd:double"&gt;1744.2&lt;/D&gt;&lt;D xsi:type="xsd:double"&gt;1729.875&lt;/D&gt;&lt;D xsi:type="xsd:double"&gt;1729.875&lt;/D&gt;&lt;D xsi:type="xsd:double"&gt;1707.2&lt;/D&gt;&lt;D xsi:type="xsd:double"&gt;1685.25&lt;/D&gt;&lt;D xsi:type="xsd:double"&gt;1712.3&lt;/D&gt;&lt;D xsi:type="xsd:double"&gt;1732.695&lt;/D&gt;&lt;D xsi:type="xsd:double"&gt;1727.4&lt;/D&gt;&lt;D xsi:type="xsd:double"&gt;1734.965&lt;/D&gt;&lt;D xsi:type="xsd:double"&gt;1726.955&lt;/D&gt;&lt;D xsi:type="xsd:double"&gt;1738.8&lt;/D&gt;&lt;D xsi:type="xsd:double"&gt;1743.9495&lt;/D&gt;&lt;D xsi:type="xsd:double"&gt;1734.2&lt;/D&gt;&lt;D xsi:type="xsd:double"&gt;1745.25&lt;/D&gt;&lt;D xsi:type="xsd:double"&gt;1730.9&lt;/D&gt;&lt;D xsi:type="xsd:double"&gt;1731.7&lt;/D&gt;&lt;D xsi:type="xsd:double"&gt;1727.36&lt;/D&gt;&lt;D xsi:type="xsd:double"&gt;1722.7&lt;/D&gt;&lt;D xsi:type="xsd:double"&gt;1726.7264&lt;/D&gt;&lt;D xsi:type="xsd:double"&gt;1716.055&lt;/D&gt;&lt;D xsi:type="xsd:double"&gt;1684.55&lt;/D&gt;&lt;D xsi:type="xsd:double"&gt;1700.8&lt;/D&gt;&lt;D xsi:type="xsd:double"&gt;1698.39&lt;/D&gt;&lt;D xsi:type="xsd:double"&gt;1710.3&lt;/D&gt;&lt;D xsi:type="xsd:double"&gt;1738.2&lt;/D&gt;&lt;D xsi:type="xsd:double"&gt;1724.7&lt;/D&gt;&lt;D xsi:type="xsd:double"&gt;1733.9&lt;/D&gt;&lt;D xsi:type="xsd:double"&gt;1769.9&lt;/D&gt;&lt;D xsi:type="xsd:double"&gt;1805&lt;/D&gt;&lt;D xsi:type="xsd:double"&gt;1805.45&lt;/D&gt;&lt;D xsi:type="xsd:double"&gt;1809.4&lt;/D&gt;&lt;D xsi:type="xsd:double"&gt;1784.05&lt;/D&gt;&lt;D xsi:type="xsd:double"&gt;1775.7&lt;/D&gt;&lt;D xsi:type="xsd:double"&gt;1776.325&lt;/D&gt;&lt;D xsi:type="xsd:double"&gt;1794.625&lt;/D&gt;&lt;D xsi:type="xsd:double"&gt;1823.85&lt;/D&gt;&lt;D xsi:type="xsd:double"&gt;1825.475&lt;/D&gt;&lt;D xsi:type="xsd:double"&gt;1843.325&lt;/D&gt;&lt;D xsi:type="xsd:double"&gt;1838.85&lt;/D&gt;&lt;D xsi:type="xsd:double"&gt;1830.575&lt;/D&gt;&lt;D xsi:type="xsd:double"&gt;1811.95&lt;/D&gt;&lt;D xsi:type="xsd:double"&gt;1794&lt;/D&gt;&lt;D xsi:type="xsd:double"&gt;1834.05&lt;/D&gt;&lt;D xsi:type="xsd:double"&gt;1837.825&lt;/D&gt;&lt;D xsi:type="xsd:double"&gt;1860.03&lt;/D&gt;&lt;D xsi:type="xsd:double"&gt;1847.76&lt;/D&gt;&lt;D xsi:type="xsd:double"&gt;1842.525&lt;/D&gt;&lt;D xsi:type="xsd:double"&gt;1843.675&lt;/D&gt;&lt;D xsi:type="xsd:double"&gt;1851.075&lt;/D&gt;&lt;D xsi:type="xsd:double"&gt;1856.125&lt;/D&gt;&lt;D xsi:type="xsd:double"&gt;1855.9&lt;/D&gt;&lt;D xsi:type="xsd:double"&gt;1869.925&lt;/D&gt;&lt;D xsi:type="xsd:double"&gt;1871.95&lt;/D&gt;&lt;D xsi:type="xsd:double"&gt;1839.75&lt;/D&gt;&lt;D xsi:type="xsd:double"&gt;1828.45&lt;/D&gt;&lt;D xsi:type="xsd:double"&gt;1846.1&lt;/D&gt;&lt;D xsi:type="xsd:double"&gt;1844.975&lt;/D&gt;&lt;D xsi:type="xsd:double"&gt;1854.85&lt;/D&gt;&lt;D xsi:type="xsd:double"&gt;1843.25&lt;/D&gt;&lt;D xsi:type="xsd:double"&gt;1848.88&lt;/D&gt;&lt;D xsi:type="xsd:double"&gt;1913.325&lt;/D&gt;&lt;D xsi:type="xsd:double"&gt;1919.05&lt;/D&gt;&lt;D xsi:type="xsd:double"&gt;1949.625&lt;/D&gt;&lt;D xsi:type="xsd:double"&gt;1942.55&lt;/D&gt;&lt;D xsi:type="xsd:double"&gt;1898.9&lt;/D&gt;&lt;D xsi:type="xsd:double"&gt;1894.7&lt;/D&gt;&lt;D xsi:type="xsd:double"&gt;1878.45&lt;/D&gt;&lt;D xsi:type="xsd:double"&gt;1874.025&lt;/D&gt;&lt;D xsi:type="xsd:double"&gt;1877.1&lt;/D&gt;&lt;D xsi:type="xsd:double"&gt;1872.75&lt;/D&gt;&lt;D xsi:type="xsd:double"&gt;1860.25&lt;/D&gt;&lt;D xsi:type="xsd:double"&gt;1877.075&lt;/D&gt;&lt;D xsi:type="xsd:double"&gt;1882.43&lt;/D&gt;&lt;D xsi:type="xsd:double"&gt;1885.65&lt;/D&gt;&lt;D xsi:type="xsd:double"&gt;1864.975&lt;/D&gt;&lt;D xsi:type="xsd:double"&gt;1853.5&lt;/D&gt;&lt;D xsi:type="xsd:double"&gt;1827.35&lt;/D&gt;&lt;D xsi:type="xsd:double"&gt;1838.53&lt;/D&gt;&lt;D xsi:type="xsd:double"&gt;1836.4&lt;/D&gt;&lt;D xsi:type="xsd:double"&gt;1840.15&lt;/D&gt;&lt;D xsi:type="xsd:double"&gt;1870.325&lt;/D&gt;&lt;D xsi:type="xsd:double"&gt;1861.9&lt;/D&gt;&lt;D xsi:type="xsd:double"&gt;1839.54&lt;/D&gt;&lt;D xsi:type="xsd:double"&gt;1841.1&lt;/D&gt;&lt;D xsi:type="xsd:double"&gt;1830.75&lt;/D&gt;&lt;D xsi:type="xsd:double"&gt;1815&lt;/D&gt;&lt;D xsi:type="xsd:double"&gt;1777.1&lt;/D&gt;&lt;D xsi:type="xsd:double"&gt;1788.5&lt;/D&gt;&lt;D xsi:type="xsd:double"&gt;1807.6&lt;/D&gt;&lt;D xsi:type="xsd:double"&gt;1807.55&lt;/D&gt;&lt;D xsi:type="xsd:double"&gt;1838.225&lt;/D&gt;&lt;D xsi:type="xsd:double"&gt;1870.14&lt;/D&gt;&lt;D xsi:type="xsd:double"&gt;1866.9&lt;/D&gt;&lt;D xsi:type="xsd:double"&gt;1872.5&lt;/D&gt;&lt;D xsi:type="xsd:double"&gt;1879.3&lt;/D&gt;&lt;D xsi:type="xsd:double"&gt;1888.63&lt;/D&gt;&lt;D xsi:type="xsd:double"&gt;1890.41&lt;/D&gt;&lt;D xsi:type="xsd:double"&gt;1877.3&lt;/D&gt;&lt;D xsi:type="xsd:double"&gt;1865.45&lt;/D&gt;&lt;D xsi:type="xsd:double"&gt;1877.6&lt;/D&gt;&lt;D xsi:type="xsd:double"&gt;1861.68&lt;/D&gt;&lt;D xsi:type="xsd:double"&gt;1951.25&lt;/D&gt;&lt;D xsi:type="xsd:double"&gt;1949.35&lt;/D&gt;&lt;D xsi:type="xsd:double"&gt;1902.925&lt;/D&gt;&lt;D xsi:type="xsd:double"&gt;1910.15&lt;/D&gt;&lt;D xsi:type="xsd:double"&gt;1894.78&lt;/D&gt;&lt;D xsi:type="xsd:double"&gt;1878.95&lt;/D&gt;&lt;D xsi:type="xsd:double"&gt;1867.825&lt;/D&gt;&lt;D xsi:type="xsd:double"&gt;1877.1&lt;/D&gt;&lt;D xsi:type="xsd:double"&gt;1907.425&lt;/D&gt;&lt;D xsi:type="xsd:double"&gt;1901.925&lt;/D&gt;&lt;D xsi:type="xsd:double"&gt;1901.85&lt;/D&gt;&lt;D xsi:type="xsd:double"&gt;1904.4&lt;/D&gt;&lt;D xsi:type="xsd:double"&gt;1924.7&lt;/D&gt;&lt;D xsi:type="xsd:double"&gt;1906.65&lt;/D&gt;&lt;D xsi:type="xsd:double"&gt;1904.35&lt;/D&gt;&lt;D xsi:type="xsd:double"&gt;1899.075&lt;/D&gt;&lt;D xsi:type="xsd:double"&gt;1908&lt;/D&gt;&lt;D xsi:type="xsd:double"&gt;1901.4&lt;/D&gt;&lt;D xsi:type="xsd:double"&gt;1891.2&lt;/D&gt;&lt;D xsi:type="xsd:double"&gt;1922.75&lt;/D&gt;&lt;D xsi:type="xsd:double"&gt;1930.43&lt;/D&gt;&lt;D xsi:type="xsd:double"&gt;1893.95&lt;/D&gt;&lt;D xsi:type="xsd:double"&gt;1887.5&lt;/D&gt;&lt;D xsi:type="xsd:double"&gt;1877.55&lt;/D&gt;&lt;D xsi:type="xsd:double"&gt;1913.275&lt;/D&gt;&lt;D xsi:type="xsd:double"&gt;1899.7&lt;/D&gt;&lt;D xsi:type="xsd:double"&gt;1905.4&lt;/D&gt;&lt;D xsi:type="xsd:double"&gt;1885.75&lt;/D&gt;&lt;D xsi:type="xsd:double"&gt;1897.575&lt;/D&gt;&lt;D xsi:type="xsd:double"&gt;1881.45&lt;/D&gt;&lt;D xsi:type="xsd:double"&gt;1861.05&lt;/D&gt;&lt;D xsi:type="xsd:double"&gt;1868.475&lt;/D&gt;&lt;D xsi:type="xsd:double"&gt;1863.65&lt;/D&gt;&lt;D xsi:type="xsd:double"&gt;1900.225&lt;/D&gt;&lt;D xsi:type="xsd:double"&gt;1912.6&lt;/D&gt;&lt;D xsi:type="xsd:double"&gt;1951.33&lt;/D&gt;&lt;D xsi:type="xsd:double"&gt;1944.275&lt;/D&gt;&lt;D xsi:type="xsd:double"&gt;1959.85&lt;/D&gt;&lt;D xsi:type="xsd:double"&gt;1953.88&lt;/D&gt;&lt;D xsi:type="xsd:double"&gt;1956.725&lt;/D&gt;&lt;D xsi:type="xsd:double"&gt;1940.4&lt;/D&gt;&lt;D xsi:type="xsd:double"&gt;1946.5&lt;/D&gt;&lt;D xsi:type="xsd:double"&gt;1947.05&lt;/D&gt;&lt;D xsi:type="xsd:double"&gt;1931.275&lt;/D&gt;&lt;D xsi:type="xsd:double"&gt;1933.83&lt;/D&gt;&lt;D xsi:type="xsd:double"&gt;1930.4&lt;/D&gt;&lt;D xsi:type="xsd:double"&gt;1942.85&lt;/D&gt;&lt;D xsi:type="xsd:double"&gt;1970.575&lt;/D&gt;&lt;D xsi:type="xsd:double"&gt;1967.9&lt;/D&gt;&lt;D xsi:type="xsd:double"&gt;1964.95&lt;/D&gt;&lt;D xsi:type="xsd:double"&gt;1929.225&lt;/D&gt;&lt;D xsi:type="xsd:double"&gt;1954.025&lt;/D&gt;&lt;D xsi:type="xsd:double"&gt;1928.525&lt;/D&gt;&lt;D xsi:type="xsd:double"&gt;1927.95&lt;/D&gt;&lt;D xsi:type="xsd:double"&gt;1940.23&lt;/D&gt;&lt;D xsi:type="xsd:double"&gt;1946.45&lt;/D&gt;&lt;D xsi:type="xsd:double"&gt;1929.825&lt;/D&gt;&lt;D xsi:type="xsd:double"&gt;2001.9&lt;/D&gt;&lt;D xsi:type="xsd:double"&gt;1984.475&lt;/D&gt;&lt;D xsi:type="xsd:double"&gt;1945.35&lt;/D&gt;&lt;D xsi:type="xsd:double"&gt;1954.03&lt;/D&gt;&lt;D xsi:type="xsd:double"&gt;1914.39&lt;/D&gt;&lt;D xsi:type="xsd:double"&gt;1926.7&lt;/D&gt;&lt;D xsi:type="xsd:double"&gt;2027.925&lt;/D&gt;&lt;D xsi:type="xsd:double"&gt;2035.99&lt;/D&gt;&lt;D xsi:type="xsd:double"&gt;2063.8&lt;/D&gt;&lt;D xsi:type="xsd:double"&gt;2038.275&lt;/D&gt;&lt;D xsi:type="xsd:double"&gt;2018.625&lt;/D&gt;&lt;D xsi:type="xsd:double"&gt;1976.9&lt;/D&gt;&lt;D xsi:type="xsd:double"&gt;1975.9&lt;/D&gt;&lt;D xsi:type="xsd:double"&gt;1956.025&lt;/D&gt;&lt;D xsi:type="xsd:double"&gt;1970.675&lt;/D&gt;&lt;D xsi:type="xsd:double"&gt;1959.2&lt;/D&gt;&lt;D xsi:type="xsd:double"&gt;1942.55&lt;/D&gt;&lt;D xsi:type="xsd:double"&gt;1901.65&lt;/D&gt;&lt;D xsi:type="xsd:double"&gt;1887.425&lt;/D&gt;&lt;D xsi:type="xsd:double"&gt;1872.1&lt;/D&gt;&lt;D xsi:type="xsd:double"&gt;1842&lt;/D&gt;&lt;D xsi:type="xsd:double"&gt;1817.325&lt;/D&gt;&lt;D xsi:type="xsd:double"&gt;1809.9&lt;/D&gt;&lt;D xsi:type="xsd:double"&gt;1797.425&lt;/D&gt;&lt;D xsi:type="xsd:double"&gt;1813.2&lt;/D&gt;&lt;D xsi:type="xsd:double"&gt;1809.525&lt;/D&gt;&lt;D xsi:type="xsd:double"&gt;1802.675&lt;/D&gt;&lt;D xsi:type="xsd:double"&gt;1798.9&lt;/D&gt;&lt;D xsi:type="xsd:double"&gt;1803.175&lt;/D&gt;&lt;D xsi:type="xsd:double"&gt;1808.975&lt;/D&gt;&lt;D xsi:type="xsd:double"&gt;1794.7&lt;/D&gt;&lt;D xsi:type="xsd:double"&gt;1783.725&lt;/D&gt;&lt;D xsi:type="xsd:double"&gt;1775.425&lt;/D&gt;&lt;D xsi:type="xsd:double"&gt;1770.325&lt;/D&gt;&lt;D xsi:type="xsd:double"&gt;1779.55&lt;/D&gt;&lt;D xsi:type="xsd:double"&gt;1771.4&lt;/D&gt;&lt;D xsi:type="xsd:double"&gt;1771.475&lt;/D&gt;&lt;D xsi:type="xsd:double"&gt;1762.8&lt;/D&gt;&lt;D xsi:type="xsd:double"&gt;1762.3&lt;/D&gt;&lt;D xsi:type="xsd:double"&gt;1767.55&lt;/D&gt;&lt;D xsi:type="xsd:double"&gt;1755.7&lt;/D&gt;&lt;D xsi:type="xsd:double"&gt;1743.95&lt;/D&gt;&lt;D xsi:type="xsd:double"&gt;1721.9&lt;/D&gt;&lt;D xsi:type="xsd:double"&gt;1726.9&lt;/D&gt;&lt;D xsi:type="xsd:double"&gt;1726.8&lt;/D&gt;&lt;D xsi:type="xsd:double"&gt;1725.7&lt;/D&gt;&lt;D xsi:type="xsd:double"&gt;1730.8&lt;/D&gt;&lt;D xsi:type="xsd:double"&gt;1727.4&lt;/D&gt;&lt;D xsi:type="xsd:double"&gt;1737.6&lt;/D&gt;&lt;D xsi:type="xsd:double"&gt;1714.55&lt;/D&gt;&lt;D xsi:type="xsd:double"&gt;1698.55&lt;/D&gt;&lt;D xsi:type="xsd:double"&gt;1684.43&lt;/D&gt;&lt;D xsi:type="xsd:double"&gt;1714.8&lt;/D&gt;&lt;D xsi:type="xsd:double"&gt;1698.65&lt;/D&gt;&lt;D xsi:type="xsd:double"&gt;1727.9&lt;/D&gt;&lt;D xsi:type="xsd:double"&gt;1740&lt;/D&gt;&lt;D xsi:type="xsd:double"&gt;1730.35&lt;/D&gt;&lt;D xsi:type="xsd:double"&gt;1718.45&lt;/D&gt;&lt;D xsi:type="xsd:double"&gt;1709&lt;/D&gt;&lt;D xsi:type="xsd:double"&gt;1710.9&lt;/D&gt;&lt;D xsi:type="xsd:double"&gt;1735.45&lt;/D&gt;&lt;D xsi:type="xsd:double"&gt;1727.1&lt;/D&gt;&lt;D xsi:type="xsd:double"&gt;1748.1&lt;/D&gt;&lt;D xsi:type="xsd:double"&gt;1745.1&lt;/D&gt;&lt;D xsi:type="xsd:double"&gt;1732.8&lt;/D&gt;&lt;D xsi:type="xsd:double"&gt;1743&lt;/D&gt;&lt;D xsi:type="xsd:double"&gt;1730.5&lt;/D&gt;&lt;D xsi:type="xsd:double"&gt;1715.65&lt;/D&gt;&lt;D xsi:type="xsd:double"&gt;1702.35&lt;/D&gt;&lt;D xsi:type="xsd:double"&gt;1697.35&lt;/D&gt;&lt;D xsi:type="xsd:double"&gt;1702.65&lt;/D&gt;&lt;D xsi:type="xsd:double"&gt;1717.95&lt;/D&gt;&lt;D xsi:type="xsd:double"&gt;1685.9&lt;/D&gt;&lt;D xsi:type="xsd:double"&gt;1707.05&lt;/D&gt;&lt;D xsi:type="xsd:double"&gt;1701.7&lt;/D&gt;&lt;D xsi:type="xsd:double"&gt;1700.4&lt;/D&gt;&lt;D xsi:type="xsd:double"&gt;1686.9&lt;/D&gt;&lt;D xsi:type="xsd:double"&gt;1712.85&lt;/D&gt;&lt;D xsi:type="xsd:double"&gt;1708.65&lt;/D&gt;&lt;D xsi:type="xsd:double"&gt;1715.55&lt;/D&gt;&lt;D xsi:type="xsd:double"&gt;1729.45&lt;/D&gt;&lt;D xsi:type="xsd:double"&gt;1731.55&lt;/D&gt;&lt;D xsi:type="xsd:double"&gt;1714.8&lt;/D&gt;&lt;D xsi:type="xsd:double"&gt;1687&lt;/D&gt;&lt;D xsi:type="xsd:double"&gt;1695.4&lt;/D&gt;&lt;D xsi:type="xsd:double"&gt;1684.7&lt;/D&gt;&lt;D xsi:type="xsd:double"&gt;1717.7&lt;/D&gt;&lt;D xsi:type="xsd:double"&gt;1716.7&lt;/D&gt;&lt;D xsi:type="xsd:double"&gt;1727.85&lt;/D&gt;&lt;D xsi:type="xsd:double"&gt;1714.25&lt;/D&gt;&lt;D xsi:type="xsd:double"&gt;1683.25&lt;/D&gt;&lt;D xsi:type="xsd:double"&gt;1646.15&lt;/D&gt;&lt;D xsi:type="xsd:double"&gt;1648.6&lt;/D&gt;&lt;D xsi:type="xsd:double"&gt;1662.25&lt;/D&gt;&lt;D xsi:type="xsd:double"&gt;1618.45&lt;/D&gt;&lt;D xsi:type="xsd:double"&gt;1614.45&lt;/D&gt;&lt;D xsi:type="xsd:double"&gt;1591.55&lt;/D&gt;&lt;D xsi:type="xsd:double"&gt;1577.55&lt;/D&gt;&lt;D xsi:type="xsd:double"&gt;1623.05&lt;/D&gt;&lt;D xsi:type="xsd:double"&gt;1623.5&lt;/D&gt;&lt;D xsi:type="xsd:double"&gt;1630.85&lt;/D&gt;&lt;D xsi:type="xsd:double"&gt;1617.35&lt;/D&gt;&lt;D xsi:type="xsd:double"&gt;1627.8&lt;/D&gt;&lt;D xsi:type="xsd:double"&gt;1554.05&lt;/D&gt;&lt;D xsi:type="xsd:double"&gt;1498.6&lt;/D&gt;&lt;D xsi:type="xsd:double"&gt;1471&lt;/D&gt;&lt;D xsi:type="xsd:double"&gt;1486.3&lt;/D&gt;&lt;D xsi:type="xsd:double"&gt;1528.5&lt;/D&gt;&lt;D xsi:type="xsd:double"&gt;1514.6&lt;/D&gt;&lt;D xsi:type="xsd:double"&gt;1529.7&lt;/D&gt;&lt;D xsi:type="xsd:double"&gt;1577.1&lt;/D&gt;&lt;D xsi:type="xsd:double"&gt;1635&lt;/D&gt;&lt;D xsi:type="xsd:double"&gt;1649.4&lt;/D&gt;&lt;D xsi:type="xsd:double"&gt;1679.8&lt;/D&gt;&lt;D xsi:type="xsd:double"&gt;1673.75&lt;/D&gt;&lt;D xsi:type="xsd:double"&gt;1672.35&lt;/D&gt;&lt;D xsi:type="xsd:double"&gt;1636.85&lt;/D&gt;&lt;D xsi:type="xsd:double"&gt;1640.75&lt;/D&gt;&lt;D xsi:type="xsd:double"&gt;1589.55&lt;/D&gt;&lt;D xsi:type="xsd:double"&gt;1585.85&lt;/D&gt;&lt;D xsi:type="xsd:double"&gt;1644.8&lt;/D&gt;&lt;D xsi:type="xsd:double"&gt;1640.95&lt;/D&gt;&lt;D xsi:type="xsd:double"&gt;1634.95&lt;/D&gt;&lt;D xsi:type="xsd:double"&gt;1659.25&lt;/D&gt;&lt;D xsi:type="xsd:double"&gt;1643.45&lt;/D&gt;&lt;D xsi:type="xsd:double"&gt;1619.8&lt;/D&gt;&lt;D xsi:type="xsd:double"&gt;1611.4&lt;/D&gt;&lt;D xsi:type="xsd:double"&gt;1601.45&lt;/D&gt;&lt;D xsi:type="xsd:double"&gt;1583.8&lt;/D&gt;&lt;D xsi:type="xsd:double"&gt;1576.05&lt;/D&gt;&lt;D xsi:type="xsd:double"&gt;1565.9&lt;/D&gt;&lt;D xsi:type="xsd:double"&gt;1568&lt;/D&gt;&lt;D xsi:type="xsd:double"&gt;1572.15&lt;/D&gt;&lt;D xsi:type="xsd:double"&gt;1574.85&lt;/D&gt;&lt;D xsi:type="xsd:double"&gt;1566.45&lt;/D&gt;&lt;D xsi:type="xsd:double"&gt;1556.25&lt;/D&gt;&lt;D xsi:type="xsd:double"&gt;1552.65&lt;/D&gt;&lt;D xsi:type="xsd:double"&gt;1576.85&lt;/D&gt;&lt;D xsi:type="xsd:double"&gt;1589.65&lt;/D&gt;&lt;D xsi:type="xsd:double"&gt;1574&lt;/D&gt;&lt;D xsi:type="xsd:double"&gt;1577.05&lt;/D&gt;&lt;D xsi:type="xsd:double"&gt;1567.2&lt;/D&gt;&lt;D xsi:type="xsd:double"&gt;1581.85&lt;/D&gt;&lt;D xsi:type="xsd:double"&gt;1571.85&lt;/D&gt;&lt;D xsi:type="xsd:double"&gt;1562.95&lt;/D&gt;&lt;D xsi:type="xsd:double"&gt;1558.75&lt;/D&gt;&lt;D xsi:type="xsd:double"&gt;1558.5&lt;/D&gt;&lt;D xsi:type="xsd:double"&gt;1557.3&lt;/D&gt;&lt;D xsi:type="xsd:double"&gt;1552.55&lt;/D&gt;&lt;D xsi:type="xsd:double"&gt;1556.4&lt;/D&gt;&lt;D xsi:type="xsd:double"&gt;1546.5&lt;/D&gt;&lt;D xsi:type="xsd:double"&gt;1548.1&lt;/D&gt;&lt;D xsi:type="xsd:double"&gt;1562.34&lt;/D&gt;&lt;D xsi:type="xsd:double"&gt;1551.8&lt;/D&gt;&lt;D xsi:type="xsd:double"&gt;1556.6&lt;/D&gt;&lt;D xsi:type="xsd:double"&gt;1574.3&lt;/D&gt;&lt;D xsi:type="xsd:double"&gt;1565.9&lt;/D&gt;&lt;D xsi:type="xsd:double"&gt;1552.35&lt;/D&gt;&lt;D xsi:type="xsd:double"&gt;1529.15&lt;/D&gt;&lt;D xsi:type="xsd:double"&gt;1517.3&lt;/D&gt;&lt;D xsi:type="xsd:double"&gt;1514.95&lt;/D&gt;&lt;D xsi:type="xsd:double"&gt;1511.4&lt;/D&gt;&lt;D xsi:type="xsd:double"&gt;1511&lt;/D&gt;&lt;D xsi:type="xsd:double"&gt;1499.55&lt;/D&gt;&lt;D xsi:type="xsd:double"&gt;1485.55&lt;/D&gt;&lt;D xsi:type="xsd:double"&gt;1478.05&lt;/D&gt;&lt;D xsi:type="xsd:double"&gt;1479.15&lt;/D&gt;&lt;D xsi:type="xsd:double"&gt;1475.45&lt;/D&gt;&lt;D xsi:type="xsd:double"&gt;1476.3&lt;/D&gt;&lt;D xsi:type="xsd:double"&gt;1475.9&lt;/D&gt;&lt;D xsi:type="xsd:double"&gt;1475.9&lt;/D&gt;&lt;D xsi:type="xsd:double"&gt;1469.6&lt;/D&gt;&lt;D xsi:type="xsd:double"&gt;1474.94&lt;/D&gt;&lt;D xsi:type="xsd:double"&gt;1464.44&lt;/D&gt;&lt;D xsi:type="xsd:double"&gt;1461.51&lt;/D&gt;&lt;D xsi:type="xsd:double"&gt;1460.25&lt;/D&gt;&lt;D xsi:type="xsd:double"&gt;1476.01&lt;/D&gt;&lt;D xsi:type="xsd:double"&gt;1474.56&lt;/D&gt;&lt;D xsi:type="xsd:double"&gt;1477.54&lt;/D&gt;&lt;D xsi:type="xsd:double"&gt;1462.69&lt;/D&gt;&lt;D xsi:type="xsd:double"&gt;1466.48&lt;/D&gt;&lt;D xsi:type="xsd:double"&gt;1454.41&lt;/D&gt;&lt;D xsi:type="xsd:double"&gt;1461.38&lt;/D&gt;&lt;D xsi:type="xsd:double"&gt;1455.3&lt;/D&gt;&lt;D xsi:type="xsd:double"&gt;1462.05&lt;/D&gt;&lt;D xsi:type="xsd:double"&gt;1464.63&lt;/D&gt;&lt;D xsi:type="xsd:double"&gt;1471.44&lt;/D&gt;&lt;D xsi:type="xsd:double"&gt;1472.64&lt;/D&gt;&lt;D xsi:type="xsd:double"&gt;1471.33&lt;/D&gt;&lt;D xsi:type="xsd:double"&gt;1466.55&lt;/D&gt;&lt;D xsi:type="xsd:double"&gt;1471.17&lt;/D&gt;&lt;D xsi:type="xsd:double"&gt;1463.56&lt;/D&gt;&lt;D xsi:type="xsd:double"&gt;1456.44&lt;/D&gt;&lt;D xsi:type="xsd:double"&gt;1455.81&lt;/D&gt;&lt;D xsi:type="xsd:double"&gt;1458.75&lt;/D&gt;&lt;D xsi:type="xsd:double"&gt;1468.8&lt;/D&gt;&lt;D xsi:type="xsd:double"&gt;1490.49&lt;/D&gt;&lt;D xsi:type="xsd:double"&gt;1483.75&lt;/D&gt;&lt;D xsi:type="xsd:double"&gt;1509.72&lt;/D&gt;&lt;D xsi:type="xsd:double"&gt;1513.95&lt;/D&gt;&lt;D xsi:type="xsd:double"&gt;1513&lt;/D&gt;&lt;D xsi:type="xsd:double"&gt;1495.9&lt;/D&gt;&lt;D xsi:type="xsd:double"&gt;1487.82&lt;/D&gt;&lt;D xsi:type="xsd:double"&gt;1492.63&lt;/D&gt;&lt;D xsi:type="xsd:double"&gt;1504.73&lt;/D&gt;&lt;D xsi:type="xsd:double"&gt;1503.66&lt;/D&gt;&lt;D xsi:type="xsd:double"&gt;1492.1&lt;/D&gt;&lt;D xsi:type="xsd:double"&gt;1487.75&lt;/D&gt;&lt;D xsi:type="xsd:double"&gt;1484.5&lt;/D&gt;&lt;D xsi:type="xsd:double"&gt;1490.1&lt;/D&gt;&lt;D xsi:type="xsd:double"&gt;1491.9&lt;/D&gt;&lt;D xsi:type="xsd:double"&gt;1490.08&lt;/D&gt;&lt;D xsi:type="xsd:double"&gt;1481.26&lt;/D&gt;&lt;D xsi:type="xsd:double"&gt;1493.06&lt;/D&gt;&lt;D xsi:type="xsd:double"&gt;1489.85&lt;/D&gt;&lt;D xsi:type="xsd:double"&gt;1494.15&lt;/D&gt;&lt;D xsi:type="xsd:double"&gt;1505.41&lt;/D&gt;&lt;D xsi:type="xsd:double"&gt;1505.43&lt;/D&gt;&lt;D xsi:type="xsd:double"&gt;1493.55&lt;/D&gt;&lt;D xsi:type="xsd:double"&gt;1504.6&lt;/D&gt;&lt;D xsi:type="xsd:double"&gt;1505.06&lt;/D&gt;&lt;D xsi:type="xsd:double"&gt;1499.56&lt;/D&gt;&lt;D xsi:type="xsd:double"&gt;1479.19&lt;/D&gt;&lt;D xsi:type="xsd:double"&gt;1472.59&lt;/D&gt;&lt;D xsi:type="xsd:double"&gt;1496.95&lt;/D&gt;&lt;D xsi:type="xsd:double"&gt;1504.75&lt;/D&gt;&lt;D xsi:type="xsd:double"&gt;1504.13&lt;/D&gt;&lt;D xsi:type="xsd:double"&gt;1531.95&lt;/D&gt;&lt;D xsi:type="xsd:double"&gt;1522.31&lt;/D&gt;&lt;D xsi:type="xsd:double"&gt;1517.15&lt;/D&gt;&lt;D xsi:type="xsd:double"&gt;1498.95&lt;/D&gt;&lt;D xsi:type="xsd:double"&gt;1494.13&lt;/D&gt;&lt;D xsi:type="xsd:double"&gt;1501.65&lt;/D&gt;&lt;D xsi:type="xsd:double"&gt;1498.6&lt;/D&gt;&lt;D xsi:type="xsd:double"&gt;1483.25&lt;/D&gt;&lt;D xsi:type="xsd:double"&gt;1498.94&lt;/D&gt;&lt;D xsi:type="xsd:double"&gt;1497.09&lt;/D&gt;&lt;D xsi:type="xsd:double"&gt;1485.85&lt;/D&gt;&lt;D xsi:type="xsd:double"&gt;1499.05&lt;/D&gt;&lt;D xsi:type="xsd:double"&gt;1502.15&lt;/D&gt;&lt;D xsi:type="xsd:double"&gt;1519.27&lt;/D&gt;&lt;D xsi:type="xsd:double"&gt;1552.6&lt;/D&gt;&lt;D xsi:type="xsd:double"&gt;1547.43&lt;/D&gt;&lt;D xsi:type="xsd:double"&gt;1520.25&lt;/D&gt;&lt;D xsi:type="xsd:double"&gt;1527.7&lt;/D&gt;&lt;D xsi:type="xsd:double"&gt;1539.1&lt;/D&gt;&lt;D xsi:type="xsd:double"&gt;1542.78&lt;/D&gt;&lt;D xsi:type="xsd:double"&gt;1527.33&lt;/D&gt;&lt;D xsi:type="xsd:double"&gt;1526.85&lt;/D&gt;&lt;D xsi:type="xsd:double"&gt;1498.25&lt;/D&gt;&lt;D xsi:type="xsd:double"&gt;1502.58&lt;/D&gt;&lt;D xsi:type="xsd:double"&gt;1507.23&lt;/D&gt;&lt;D xsi:type="xsd:double"&gt;1495.85&lt;/D&gt;&lt;D xsi:type="xsd:double"&gt;1514.15&lt;/D&gt;&lt;D xsi:type="xsd:double"&gt;1523.21&lt;/D&gt;&lt;D xsi:type="xsd:double"&gt;1516.34&lt;/D&gt;&lt;D xsi:type="xsd:double"&gt;1501.39&lt;/D&gt;&lt;D xsi:type="xsd:double"&gt;1511.41&lt;/D&gt;&lt;D xsi:type="xsd:double"&gt;1495.25&lt;/D&gt;&lt;D xsi:type="xsd:double"&gt;1500.65&lt;/D&gt;&lt;D xsi:type="xsd:double"&gt;1501.3&lt;/D&gt;&lt;D xsi:type="xsd:double"&gt;1474.38&lt;/D&gt;&lt;D xsi:type="xsd:double"&gt;1464.09&lt;/D&gt;&lt;D xsi:type="xsd:double"&gt;1440.71&lt;/D&gt;&lt;D xsi:type="xsd:double"&gt;1446.05&lt;/D&gt;&lt;D xsi:type="xsd:double"&gt;1413.8&lt;/D&gt;&lt;D xsi:type="xsd:double"&gt;1430.85&lt;/D&gt;&lt;D xsi:type="xsd:double"&gt;1426.94&lt;/D&gt;&lt;D xsi:type="xsd:double"&gt;1418.7&lt;/D&gt;&lt;D xsi:type="xsd:double"&gt;1414.7&lt;/D&gt;&lt;D xsi:type="xsd:double"&gt;1425.57&lt;/D&gt;&lt;D xsi:type="xsd:double"&gt;1417.5&lt;/D&gt;&lt;D xsi:type="xsd:double"&gt;1425.03&lt;/D&gt;&lt;D xsi:type="xsd:double"&gt;1425.3&lt;/D&gt;&lt;D xsi:type="xsd:double"&gt;1446.09&lt;/D&gt;&lt;D xsi:type="xsd:double"&gt;1426.51&lt;/D&gt;&lt;D xsi:type="xsd:double"&gt;1406.21&lt;/D&gt;&lt;D xsi:type="xsd:double"&gt;1413.94&lt;/D&gt;&lt;D xsi:type="xsd:double"&gt;1415.75&lt;/D&gt;&lt;D xsi:type="xsd:double"&gt;1403.85&lt;/D&gt;&lt;D xsi:type="xsd:double"&gt;1418.89&lt;/D&gt;&lt;D xsi:type="xsd:double"&gt;1397.68&lt;/D&gt;&lt;D xsi:type="xsd:double"&gt;1395.6&lt;/D&gt;&lt;D xsi:type="xsd:double"&gt;1399.95&lt;/D&gt;&lt;D xsi:type="xsd:double"&gt;1418.88&lt;/D&gt;&lt;D xsi:type="xsd:double"&gt;1418.44&lt;/D&gt;&lt;D xsi:type="xsd:double"&gt;1384.31&lt;/D&gt;&lt;D xsi:type="xsd:double"&gt;1409.5&lt;/D&gt;&lt;D xsi:type="xsd:double"&gt;1409.75&lt;/D&gt;&lt;D xsi:type="xsd:double"&gt;1408.75&lt;/D&gt;&lt;D xsi:type="xsd:double"&gt;1423.27&lt;/D&gt;&lt;D xsi:type="xsd:double"&gt;1419.65&lt;/D&gt;&lt;D xsi:type="xsd:double"&gt;1399.05&lt;/D&gt;&lt;D xsi:type="xsd:double"&gt;1388.5&lt;/D&gt;&lt;D xsi:type="xsd:double"&gt;1360.27&lt;/D&gt;&lt;D xsi:type="xsd:double"&gt;1346.52&lt;/D&gt;&lt;D xsi:type="xsd:double"&gt;1339.54&lt;/D&gt;&lt;D xsi:type="xsd:double"&gt;1341.58&lt;/D&gt;&lt;D xsi:type="xsd:double"&gt;1342.36&lt;/D&gt;&lt;D xsi:type="xsd:double"&gt;1333.55&lt;/D&gt;&lt;D xsi:type="xsd:double"&gt;1329.55&lt;/D&gt;&lt;D xsi:type="xsd:double"&gt;1328.09&lt;/D&gt;&lt;D xsi:type="xsd:double"&gt;1340.7&lt;/D&gt;&lt;D xsi:type="xsd:double"&gt;1335.55&lt;/D&gt;&lt;D xsi:type="xsd:double"&gt;1330.25&lt;/D&gt;&lt;D xsi:type="xsd:double"&gt;1325.43&lt;/D&gt;&lt;D xsi:type="xsd:double"&gt;1324.99&lt;/D&gt;&lt;D xsi:type="xsd:double"&gt;1305.65&lt;/D&gt;&lt;D xsi:type="xsd:double"&gt;1288.85&lt;/D&gt;&lt;D xsi:type="xsd:double"&gt;1279.6&lt;/D&gt;&lt;D xsi:type="xsd:double"&gt;1279.5&lt;/D&gt;&lt;D xsi:type="xsd:double"&gt;1284.9&lt;/D&gt;&lt;D xsi:type="xsd:double"&gt;1283.75&lt;/D&gt;&lt;D xsi:type="xsd:double"&gt;1273.62&lt;/D&gt;&lt;D xsi:type="xsd:double"&gt;1274.98&lt;/D&gt;&lt;D xsi:type="xsd:double"&gt;1277.75&lt;/D&gt;&lt;D xsi:type="xsd:double"&gt;1277.55&lt;/D&gt;&lt;D xsi:type="xsd:double"&gt;1286.65&lt;/D&gt;&lt;D xsi:type="xsd:double"&gt;1296.67&lt;/D&gt;&lt;D xsi:type="xsd:double"&gt;1297.03&lt;/D&gt;&lt;D xsi:type="xsd:double"&gt;1299.91&lt;/D&gt;&lt;D xsi:type="xsd:double"&gt;1286&lt;/D&gt;&lt;D xsi:type="xsd:double"&gt;1284.13&lt;/D&gt;&lt;D xsi:type="xsd:double"&gt;1280.88&lt;/D&gt;&lt;D xsi:type="xsd:double"&gt;1285.85&lt;/D&gt;&lt;D xsi:type="xsd:double"&gt;1280.33&lt;/D&gt;&lt;D xsi:type="xsd:double"&gt;1276.65&lt;/D&gt;&lt;D xsi:type="xsd:double"&gt;1270.54&lt;/D&gt;&lt;D xsi:type="xsd:double"&gt;1276.61&lt;/D&gt;&lt;D xsi:type="xsd:double"&gt;1283.6&lt;/D&gt;&lt;D xsi:type="xsd:double"&gt;1279.8&lt;/D&gt;&lt;D xsi:type="xsd:double"&gt;1286.25&lt;/D&gt;&lt;D xsi:type="xsd:double"&gt;1277.21&lt;/D&gt;&lt;D xsi:type="xsd:double"&gt;1275.5&lt;/D&gt;&lt;D xsi:type="xsd:double"&gt;1272.4&lt;/D&gt;&lt;D xsi:type="xsd:double"&gt;1273.25&lt;/D&gt;&lt;D xsi:type="xsd:double"&gt;1275.4&lt;/D&gt;&lt;D xsi:type="xsd:double"&gt;1274.03&lt;/D&gt;&lt;D xsi:type="xsd:double"&gt;1276.9&lt;/D&gt;&lt;D xsi:type="xsd:double"&gt;1287.89&lt;/D&gt;&lt;D xsi:type="xsd:double"&gt;1290.4&lt;/D&gt;&lt;D xsi:type="xsd:double"&gt;1292.6&lt;/D&gt;&lt;D xsi:type="xsd:double"&gt;1308.05&lt;/D&gt;&lt;D xsi:type="xsd:double"&gt;1304.14&lt;/D&gt;&lt;D xsi:type="xsd:double"&gt;1297.42&lt;/D&gt;&lt;D xsi:type="xsd:double"&gt;1290.15&lt;/D&gt;&lt;D xsi:type="xsd:double"&gt;1292.38&lt;/D&gt;&lt;D xsi:type="xsd:double"&gt;1289.91&lt;/D&gt;&lt;D xsi:type="xsd:double"&gt;1293.15&lt;/D&gt;&lt;D xsi:type="xsd:double"&gt;1287.67&lt;/D&gt;&lt;D xsi:type="xsd:double"&gt;1292.15&lt;/D&gt;&lt;D xsi:type="xsd:double"&gt;1290.5&lt;/D&gt;&lt;D xsi:type="xsd:double"&gt;1309.78&lt;/D&gt;&lt;D xsi:type="xsd:double"&gt;1315.51&lt;/D&gt;&lt;D xsi:type="xsd:double"&gt;1321.9&lt;/D&gt;&lt;D xsi:type="xsd:double"&gt;1313.38&lt;/D&gt;&lt;D xsi:type="xsd:double"&gt;1309.39&lt;/D&gt;&lt;D xsi:type="xsd:double"&gt;1312.49&lt;/D&gt;&lt;D xsi:type="xsd:double"&gt;1306.55&lt;/D&gt;&lt;D xsi:type="xsd:double"&gt;1303.68&lt;/D&gt;&lt;D xsi:type="xsd:double"&gt;1301.38&lt;/D&gt;&lt;D xsi:type="xsd:double"&gt;1296.28&lt;/D&gt;&lt;D xsi:type="xsd:double"&gt;1309.18&lt;/D&gt;&lt;D xsi:type="xsd:double"&gt;1301.6&lt;/D&gt;&lt;D xsi:type="xsd:double"&gt;1293.61&lt;/D&gt;&lt;D xsi:type="xsd:double"&gt;1299.275&lt;/D&gt;&lt;D xsi:type="xsd:double"&gt;1285.78&lt;/D&gt;&lt;D xsi:type="xsd:double"&gt;1286.39&lt;/D&gt;&lt;D xsi:type="xsd:double"&gt;1287.83&lt;/D&gt;&lt;D xsi:type="xsd:double"&gt;1286.84&lt;/D&gt;&lt;D xsi:type="xsd:double"&gt;1292.765&lt;/D&gt;&lt;D xsi:type="xsd:double"&gt;1313.57&lt;/D&gt;&lt;D xsi:type="xsd:double"&gt;1319.85&lt;/D&gt;&lt;D xsi:type="xsd:double"&gt;1329.05&lt;/D&gt;&lt;D xsi:type="xsd:double"&gt;1327.44&lt;/D&gt;&lt;D xsi:type="xsd:double"&gt;1327.625&lt;/D&gt;&lt;D xsi:type="xsd:double"&gt;1323.4&lt;/D&gt;&lt;D xsi:type="xsd:double"&gt;1338.52&lt;/D&gt;&lt;D xsi:type="xsd:double"&gt;1341.55&lt;/D&gt;&lt;D xsi:type="xsd:double"&gt;1323.375&lt;/D&gt;&lt;D xsi:type="xsd:double"&gt;1312.49&lt;/D&gt;&lt;D xsi:type="xsd:double"&gt;1306.18&lt;/D&gt;&lt;D xsi:type="xsd:double"&gt;1310.8&lt;/D&gt;&lt;D xsi:type="xsd:</t>
        </r>
      </text>
    </comment>
    <comment ref="A11" authorId="0" shapeId="0" xr:uid="{07D123D9-0D86-4610-9A98-599A0D6D0813}">
      <text>
        <r>
          <rPr>
            <b/>
            <sz val="9"/>
            <color indexed="81"/>
            <rFont val="Tahoma"/>
            <charset val="1"/>
          </rPr>
          <t>double"&gt;1308.17&lt;/D&gt;&lt;D xsi:type="xsd:double"&gt;1314.93&lt;/D&gt;&lt;D xsi:type="xsd:double"&gt;1310.2&lt;/D&gt;&lt;D xsi:type="xsd:double"&gt;1306.5&lt;/D&gt;&lt;D xsi:type="xsd:double"&gt;1315.27&lt;/D&gt;&lt;D xsi:type="xsd:double"&gt;1312.15&lt;/D&gt;&lt;D xsi:type="xsd:double"&gt;1318.625&lt;/D&gt;&lt;D xsi:type="xsd:double"&gt;1322.08&lt;/D&gt;&lt;D xsi:type="xsd:double"&gt;1319.71&lt;/D&gt;&lt;D xsi:type="xsd:double"&gt;1311.5&lt;/D&gt;&lt;D xsi:type="xsd:double"&gt;1303.5&lt;/D&gt;&lt;D xsi:type="xsd:double"&gt;1303.43&lt;/D&gt;&lt;D xsi:type="xsd:double"&gt;1281.17&lt;/D&gt;&lt;D xsi:type="xsd:double"&gt;1282.8&lt;/D&gt;&lt;D xsi:type="xsd:double"&gt;1285.18&lt;/D&gt;&lt;D xsi:type="xsd:double"&gt;1281.21&lt;/D&gt;&lt;D xsi:type="xsd:double"&gt;1291.99&lt;/D&gt;&lt;D xsi:type="xsd:double"&gt;1293.61&lt;/D&gt;&lt;D xsi:type="xsd:double"&gt;1289.85&lt;/D&gt;&lt;D xsi:type="xsd:double"&gt;1291.3&lt;/D&gt;&lt;D xsi:type="xsd:double"&gt;1287.55&lt;/D&gt;&lt;D xsi:type="xsd:double"&gt;1286.4&lt;/D&gt;&lt;D xsi:type="xsd:double"&gt;1293.13&lt;/D&gt;&lt;D xsi:type="xsd:double"&gt;1285.55&lt;/D&gt;&lt;D xsi:type="xsd:double"&gt;1289.14&lt;/D&gt;&lt;D xsi:type="xsd:double"&gt;1284.95&lt;/D&gt;&lt;D xsi:type="xsd:double"&gt;1294.66&lt;/D&gt;&lt;D xsi:type="xsd:double"&gt;1284.55&lt;/D&gt;&lt;D xsi:type="xsd:double"&gt;1282.62&lt;/D&gt;&lt;D xsi:type="xsd:double"&gt;1280.75&lt;/D&gt;&lt;D xsi:type="xsd:double"&gt;1274.84&lt;/D&gt;&lt;D xsi:type="xsd:double"&gt;1267.05&lt;/D&gt;&lt;D xsi:type="xsd:double"&gt;1269.13&lt;/D&gt;&lt;D xsi:type="xsd:double"&gt;1255.66&lt;/D&gt;&lt;D xsi:type="xsd:double"&gt;1259.8&lt;/D&gt;&lt;D xsi:type="xsd:double"&gt;1243.1&lt;/D&gt;&lt;D xsi:type="xsd:double"&gt;1249.49&lt;/D&gt;&lt;D xsi:type="xsd:double"&gt;1245.88&lt;/D&gt;&lt;D xsi:type="xsd:double"&gt;1238.42&lt;/D&gt;&lt;D xsi:type="xsd:double"&gt;1242.05&lt;/D&gt;&lt;D xsi:type="xsd:double"&gt;1245.55&lt;/D&gt;&lt;D xsi:type="xsd:double"&gt;1242.52&lt;/D&gt;&lt;D xsi:type="xsd:double"&gt;1244.47&lt;/D&gt;&lt;D xsi:type="xsd:double"&gt;1248.68&lt;/D&gt;&lt;D xsi:type="xsd:double"&gt;1237.85&lt;/D&gt;&lt;D xsi:type="xsd:double"&gt;1238.63&lt;/D&gt;&lt;D xsi:type="xsd:double"&gt;1230.82&lt;/D&gt;&lt;D xsi:type="xsd:double"&gt;1222.105&lt;/D&gt;&lt;D xsi:type="xsd:double"&gt;1223.97&lt;/D&gt;&lt;D xsi:type="xsd:double"&gt;1221.18&lt;/D&gt;&lt;D xsi:type="xsd:double"&gt;1215.04&lt;/D&gt;&lt;D xsi:type="xsd:double"&gt;1222.27&lt;/D&gt;&lt;D xsi:type="xsd:double"&gt;1223.19&lt;/D&gt;&lt;D xsi:type="xsd:double"&gt;1226.02&lt;/D&gt;&lt;D xsi:type="xsd:double"&gt;1221.69&lt;/D&gt;&lt;D xsi:type="xsd:double"&gt;1224.16&lt;/D&gt;&lt;D xsi:type="xsd:double"&gt;1221.225&lt;/D&gt;&lt;D xsi:type="xsd:double"&gt;1213.38&lt;/D&gt;&lt;D xsi:type="xsd:double"&gt;1210.9&lt;/D&gt;&lt;D xsi:type="xsd:double"&gt;1202.14&lt;/D&gt;&lt;D xsi:type="xsd:double"&gt;1200.66&lt;/D&gt;&lt;D xsi:type="xsd:double"&gt;1209.725&lt;/D&gt;&lt;D xsi:type="xsd:double"&gt;1223.49&lt;/D&gt;&lt;D xsi:type="xsd:double"&gt;1224.82&lt;/D&gt;&lt;D xsi:type="xsd:double"&gt;1226.65&lt;/D&gt;&lt;D xsi:type="xsd:double"&gt;1231.68&lt;/D&gt;&lt;D xsi:type="xsd:double"&gt;1232.89&lt;/D&gt;&lt;D xsi:type="xsd:double"&gt;1233.24&lt;/D&gt;&lt;D xsi:type="xsd:double"&gt;1214.72&lt;/D&gt;&lt;D xsi:type="xsd:double"&gt;1223.15&lt;/D&gt;&lt;D xsi:type="xsd:double"&gt;1229.75&lt;/D&gt;&lt;D xsi:type="xsd:double"&gt;1233.59&lt;/D&gt;&lt;D xsi:type="xsd:double"&gt;1232.23&lt;/D&gt;&lt;D xsi:type="xsd:double"&gt;1234.775&lt;/D&gt;&lt;D xsi:type="xsd:double"&gt;1230.49&lt;/D&gt;&lt;D xsi:type="xsd:double"&gt;1222.17&lt;/D&gt;&lt;D xsi:type="xsd:double"&gt;1226.32&lt;/D&gt;&lt;D xsi:type="xsd:double"&gt;1225.75&lt;/D&gt;&lt;D xsi:type="xsd:double"&gt;1222.67&lt;/D&gt;&lt;D xsi:type="xsd:double"&gt;1224.43&lt;/D&gt;&lt;D xsi:type="xsd:double"&gt;1226.94&lt;/D&gt;&lt;D xsi:type="xsd:double"&gt;1217.93&lt;/D&gt;&lt;D xsi:type="xsd:double"&gt;1224.33&lt;/D&gt;&lt;D xsi:type="xsd:double"&gt;1194.78&lt;/D&gt;&lt;D xsi:type="xsd:double"&gt;1189.62&lt;/D&gt;&lt;D xsi:type="xsd:double"&gt;1188.01&lt;/D&gt;&lt;D xsi:type="xsd:double"&gt;1202.86&lt;/D&gt;&lt;D xsi:type="xsd:double"&gt;1199.66&lt;/D&gt;&lt;D xsi:type="xsd:double"&gt;1197.37&lt;/D&gt;&lt;D xsi:type="xsd:double"&gt;1203.1&lt;/D&gt;&lt;D xsi:type="xsd:double"&gt;1188.47&lt;/D&gt;&lt;D xsi:type="xsd:double"&gt;1192.09&lt;/D&gt;&lt;D xsi:type="xsd:double"&gt;1182.8&lt;/D&gt;&lt;D xsi:type="xsd:double"&gt;1194.46&lt;/D&gt;&lt;D xsi:type="xsd:double"&gt;1201.28&lt;/D&gt;&lt;D xsi:type="xsd:double"&gt;1198.86&lt;/D&gt;&lt;D xsi:type="xsd:double"&gt;1199.55&lt;/D&gt;&lt;D xsi:type="xsd:double"&gt;1207.58&lt;/D&gt;&lt;D xsi:type="xsd:double"&gt;1203.99&lt;/D&gt;&lt;D xsi:type="xsd:double"&gt;1198.35&lt;/D&gt;&lt;D xsi:type="xsd:double"&gt;1200.93&lt;/D&gt;&lt;D xsi:type="xsd:double"&gt;1193.71&lt;/D&gt;&lt;D xsi:type="xsd:double"&gt;1201.44&lt;/D&gt;&lt;D xsi:type="xsd:double"&gt;1206.19&lt;/D&gt;&lt;D xsi:type="xsd:double"&gt;1198.29&lt;/D&gt;&lt;D xsi:type="xsd:double"&gt;1195.88&lt;/D&gt;&lt;D xsi:type="xsd:double"&gt;1195.86&lt;/D&gt;&lt;D xsi:type="xsd:double"&gt;1200.15&lt;/D&gt;&lt;D xsi:type="xsd:double"&gt;1196.75&lt;/D&gt;&lt;D xsi:type="xsd:double"&gt;1191.31&lt;/D&gt;&lt;D xsi:type="xsd:double"&gt;1201.09&lt;/D&gt;&lt;D xsi:type="xsd:double"&gt;1199.88&lt;/D&gt;&lt;D xsi:type="xsd:double"&gt;1206.66&lt;/D&gt;&lt;D xsi:type="xsd:double"&gt;1201.1&lt;/D&gt;&lt;D xsi:type="xsd:double"&gt;1211.35&lt;/D&gt;&lt;D xsi:type="xsd:double"&gt;1205.97&lt;/D&gt;&lt;D xsi:type="xsd:double"&gt;1185.31&lt;/D&gt;&lt;D xsi:type="xsd:double"&gt;1195.51&lt;/D&gt;&lt;D xsi:type="xsd:double"&gt;1196.17&lt;/D&gt;&lt;D xsi:type="xsd:double"&gt;1191.875&lt;/D&gt;&lt;D xsi:type="xsd:double"&gt;1184.77&lt;/D&gt;&lt;D xsi:type="xsd:double"&gt;1174.16&lt;/D&gt;&lt;D xsi:type="xsd:double"&gt;1174.88&lt;/D&gt;&lt;D xsi:type="xsd:double"&gt;1194.03&lt;/D&gt;&lt;D xsi:type="xsd:double"&gt;1193.64&lt;/D&gt;&lt;D xsi:type="xsd:double"&gt;1211.3&lt;/D&gt;&lt;D xsi:type="xsd:double"&gt;1212.35&lt;/D&gt;&lt;D xsi:type="xsd:double"&gt;1213.61&lt;/D&gt;&lt;D xsi:type="xsd:double"&gt;1211.02&lt;/D&gt;&lt;D xsi:type="xsd:double"&gt;1206.94&lt;/D&gt;&lt;D xsi:type="xsd:double"&gt;1213.43&lt;/D&gt;&lt;D xsi:type="xsd:double"&gt;1207.86&lt;/D&gt;&lt;D xsi:type="xsd:double"&gt;1216.06&lt;/D&gt;&lt;D xsi:type="xsd:double"&gt;1223.83&lt;/D&gt;&lt;D xsi:type="xsd:double"&gt;1221.8&lt;/D&gt;&lt;D xsi:type="xsd:double"&gt;1223.38&lt;/D&gt;&lt;D xsi:type="xsd:double"&gt;1222.68&lt;/D&gt;&lt;D xsi:type="xsd:double"&gt;1231.61&lt;/D&gt;&lt;D xsi:type="xsd:double"&gt;1224.55&lt;/D&gt;&lt;D xsi:type="xsd:double"&gt;1224.54&lt;/D&gt;&lt;D xsi:type="xsd:double"&gt;1231.77&lt;/D&gt;&lt;D xsi:type="xsd:double"&gt;1222.8&lt;/D&gt;&lt;D xsi:type="xsd:double"&gt;1227.18&lt;/D&gt;&lt;D xsi:type="xsd:double"&gt;1227.52&lt;/D&gt;&lt;D xsi:type="xsd:double"&gt;1240.82&lt;/D&gt;&lt;D xsi:type="xsd:double"&gt;1241.52&lt;/D&gt;&lt;D xsi:type="xsd:double"&gt;1247.15&lt;/D&gt;&lt;D xsi:type="xsd:double"&gt;1242.16&lt;/D&gt;&lt;D xsi:type="xsd:double"&gt;1255.65&lt;/D&gt;&lt;D xsi:type="xsd:double"&gt;1257.72&lt;/D&gt;&lt;D xsi:type="xsd:double"&gt;1254.99&lt;/D&gt;&lt;D xsi:type="xsd:double"&gt;1257.76&lt;/D&gt;&lt;D xsi:type="xsd:double"&gt;1252.93&lt;/D&gt;&lt;D xsi:type="xsd:double"&gt;1241.97&lt;/D&gt;&lt;D xsi:type="xsd:double"&gt;1253&lt;/D&gt;&lt;D xsi:type="xsd:double"&gt;1248.25&lt;/D&gt;&lt;D xsi:type="xsd:double"&gt;1252.02&lt;/D&gt;&lt;D xsi:type="xsd:double"&gt;1258.99&lt;/D&gt;&lt;D xsi:type="xsd:double"&gt;1266&lt;/D&gt;&lt;D xsi:type="xsd:double"&gt;1269.28&lt;/D&gt;&lt;D xsi:type="xsd:double"&gt;1267.2&lt;/D&gt;&lt;D xsi:type="xsd:double"&gt;1268.03&lt;/D&gt;&lt;D xsi:type="xsd:double"&gt;1274.72&lt;/D&gt;&lt;D xsi:type="xsd:double"&gt;1278.31&lt;/D&gt;&lt;D xsi:type="xsd:double"&gt;1279.84&lt;/D&gt;&lt;D xsi:type="xsd:double"&gt;1302.22&lt;/D&gt;&lt;D xsi:type="xsd:double"&gt;1299.71&lt;/D&gt;&lt;D xsi:type="xsd:double"&gt;1295.97&lt;/D&gt;&lt;D xsi:type="xsd:double"&gt;1300.15&lt;/D&gt;&lt;D xsi:type="xsd:double"&gt;1298.75&lt;/D&gt;&lt;D xsi:type="xsd:double"&gt;1297.125&lt;/D&gt;&lt;D xsi:type="xsd:double"&gt;1297&lt;/D&gt;&lt;D xsi:type="xsd:double"&gt;1296.14&lt;/D&gt;&lt;D xsi:type="xsd:double"&gt;1292.06&lt;/D&gt;&lt;D xsi:type="xsd:double"&gt;1293.15&lt;/D&gt;&lt;D xsi:type="xsd:double"&gt;1297.75&lt;/D&gt;&lt;D xsi:type="xsd:double"&gt;1301.48&lt;/D&gt;&lt;D xsi:type="xsd:double"&gt;1298.86&lt;/D&gt;&lt;D xsi:type="xsd:double"&gt;1301.61&lt;/D&gt;&lt;D xsi:type="xsd:double"&gt;1304.88&lt;/D&gt;&lt;D xsi:type="xsd:double"&gt;1293.75&lt;/D&gt;&lt;D xsi:type="xsd:double"&gt;1291.32&lt;/D&gt;&lt;D xsi:type="xsd:double"&gt;1294.68&lt;/D&gt;&lt;D xsi:type="xsd:double"&gt;1292.5&lt;/D&gt;&lt;D xsi:type="xsd:double"&gt;1291&lt;/D&gt;&lt;D xsi:type="xsd:double"&gt;1291.03&lt;/D&gt;&lt;D xsi:type="xsd:double"&gt;1290.67&lt;/D&gt;&lt;D xsi:type="xsd:double"&gt;1312.82&lt;/D&gt;&lt;D xsi:type="xsd:double"&gt;1318.22&lt;/D&gt;&lt;D xsi:type="xsd:double"&gt;1321.4&lt;/D&gt;&lt;D xsi:type="xsd:double"&gt;1312.78&lt;/D&gt;&lt;D xsi:type="xsd:double"&gt;1315.71&lt;/D&gt;&lt;D xsi:type="xsd:double"&gt;1314.3&lt;/D&gt;&lt;D xsi:type="xsd:double"&gt;1315.05&lt;/D&gt;&lt;D xsi:type="xsd:double"&gt;1312.09&lt;/D&gt;&lt;D xsi:type="xsd:double"&gt;1304.85&lt;/D&gt;&lt;D xsi:type="xsd:double"&gt;1303.98&lt;/D&gt;&lt;D xsi:type="xsd:double"&gt;1315.36&lt;/D&gt;&lt;D xsi:type="xsd:double"&gt;1322.8&lt;/D&gt;&lt;D xsi:type="xsd:double"&gt;1317.27&lt;/D&gt;&lt;D xsi:type="xsd:double"&gt;1323.33&lt;/D&gt;&lt;D xsi:type="xsd:double"&gt;1330.68&lt;/D&gt;&lt;D xsi:type="xsd:double"&gt;1325&lt;/D&gt;&lt;D xsi:type="xsd:double"&gt;1335.13&lt;/D&gt;&lt;D xsi:type="xsd:double"&gt;1345.6&lt;/D&gt;&lt;D xsi:type="xsd:double"&gt;1349.32&lt;/D&gt;&lt;D xsi:type="xsd:double"&gt;1347.29&lt;/D&gt;&lt;D xsi:type="xsd:double"&gt;1345.92&lt;/D&gt;&lt;D xsi:type="xsd:double"&gt;1345.46&lt;/D&gt;&lt;D xsi:type="xsd:double"&gt;1335.47&lt;/D&gt;&lt;D xsi:type="xsd:double"&gt;1353.29&lt;/D&gt;&lt;D xsi:type="xsd:double"&gt;1340.875&lt;/D&gt;&lt;D xsi:type="xsd:double"&gt;1336.25&lt;/D&gt;&lt;D xsi:type="xsd:double"&gt;1333&lt;/D&gt;&lt;D xsi:type="xsd:double"&gt;1326.55&lt;/D&gt;&lt;D xsi:type="xsd:double"&gt;1333.35&lt;/D&gt;&lt;D xsi:type="xsd:double"&gt;1332.8&lt;/D&gt;&lt;D xsi:type="xsd:double"&gt;1336.4&lt;/D&gt;&lt;D xsi:type="xsd:double"&gt;1325&lt;/D&gt;&lt;D xsi:type="xsd:double"&gt;1325&lt;/D&gt;&lt;D xsi:type="xsd:double"&gt;1344.71&lt;/D&gt;&lt;D xsi:type="xsd:double"&gt;1353.5&lt;/D&gt;&lt;D xsi:type="xsd:double"&gt;1347.22&lt;/D&gt;&lt;D xsi:type="xsd:double"&gt;1330.65&lt;/D&gt;&lt;D xsi:type="xsd:double"&gt;1332.18&lt;/D&gt;&lt;D xsi:type="xsd:double"&gt;1308.5&lt;/D&gt;&lt;D xsi:type="xsd:double"&gt;1314.5&lt;/D&gt;&lt;D xsi:type="xsd:double"&gt;1313.85&lt;/D&gt;&lt;D xsi:type="xsd:double"&gt;1313.125&lt;/D&gt;&lt;D xsi:type="xsd:double"&gt;1325&lt;/D&gt;&lt;D xsi:type="xsd:double"&gt;1331.5&lt;/D&gt;&lt;D xsi:type="xsd:double"&gt;1323.05&lt;/D&gt;&lt;D xsi:type="xsd:double"&gt;1323.5&lt;/D&gt;&lt;D xsi:type="xsd:double"&gt;1322.07&lt;/D&gt;&lt;D xsi:type="xsd:double"&gt;1323.85&lt;/D&gt;&lt;D xsi:type="xsd:double"&gt;1334.69&lt;/D&gt;&lt;D xsi:type="xsd:double"&gt;1320.43&lt;/D&gt;&lt;D xsi:type="xsd:double"&gt;1322.5&lt;/D&gt;&lt;D xsi:type="xsd:double"&gt;1317.03&lt;/D&gt;&lt;D xsi:type="xsd:double"&gt;1320&lt;/D&gt;&lt;D xsi:type="xsd:double"&gt;1318.59&lt;/D&gt;&lt;D xsi:type="xsd:double"&gt;1329.725&lt;/D&gt;&lt;D xsi:type="xsd:double"&gt;1328.95&lt;/D&gt;&lt;D xsi:type="xsd:double"&gt;1331.96&lt;/D&gt;&lt;D xsi:type="xsd:double"&gt;1323.5&lt;/D&gt;&lt;D xsi:type="xsd:double"&gt;1328.125&lt;/D&gt;&lt;D xsi:type="xsd:double"&gt;1352.4&lt;/D&gt;&lt;D xsi:type="xsd:double"&gt;1353.39&lt;/D&gt;&lt;D xsi:type="xsd:double"&gt;1350.42&lt;/D&gt;&lt;D xsi:type="xsd:double"&gt;1329.16&lt;/D&gt;&lt;D xsi:type="xsd:double"&gt;1322.6&lt;/D&gt;&lt;D xsi:type="xsd:double"&gt;1316.25&lt;/D&gt;&lt;D xsi:type="xsd:double"&gt;1319.04&lt;/D&gt;&lt;D xsi:type="xsd:double"&gt;1319.19&lt;/D&gt;&lt;D xsi:type="xsd:double"&gt;1324.65&lt;/D&gt;&lt;D xsi:type="xsd:double"&gt;1339.45&lt;/D&gt;&lt;D xsi:type="xsd:double"&gt;1333.17&lt;/D&gt;&lt;D xsi:type="xsd:double"&gt;1348.92&lt;/D&gt;&lt;D xsi:type="xsd:double"&gt;1345&lt;/D&gt;&lt;D xsi:type="xsd:double"&gt;1338.71&lt;/D&gt;&lt;D xsi:type="xsd:double"&gt;1337.625&lt;/D&gt;&lt;D xsi:type="xsd:double"&gt;1351.875&lt;/D&gt;&lt;D xsi:type="xsd:double"&gt;1347.5&lt;/D&gt;&lt;D xsi:type="xsd:double"&gt;1358.5&lt;/D&gt;&lt;D xsi:type="xsd:double"&gt;1339.8&lt;/D&gt;&lt;D xsi:type="xsd:double"&gt;1334.01&lt;/D&gt;&lt;D xsi:type="xsd:double"&gt;1331.6&lt;/D&gt;&lt;D xsi:type="xsd:double"&gt;1324.7&lt;/D&gt;&lt;D xsi:type="xsd:double"&gt;1326.34&lt;/D&gt;&lt;D xsi:type="xsd:double"&gt;1338.49&lt;/D&gt;&lt;D xsi:type="xsd:double"&gt;1335.5&lt;/D&gt;&lt;D xsi:type="xsd:double"&gt;1322.42&lt;/D&gt;&lt;D xsi:type="xsd:double"&gt;1316.86&lt;/D&gt;&lt;D xsi:type="xsd:double"&gt;1311.1&lt;/D&gt;&lt;D xsi:type="xsd:double"&gt;1320.5&lt;/D&gt;&lt;D xsi:type="xsd:double"&gt;1319.59&lt;/D&gt;&lt;D xsi:type="xsd:double"&gt;1327.875&lt;/D&gt;&lt;D xsi:type="xsd:double"&gt;1313.21&lt;/D&gt;&lt;D xsi:type="xsd:double"&gt;1317.6&lt;/D&gt;&lt;D xsi:type="xsd:double"&gt;1302.8&lt;/D&gt;&lt;D xsi:type="xsd:double"&gt;1295.01&lt;/D&gt;&lt;D xsi:type="xsd:double"&gt;1287.16&lt;/D&gt;&lt;D xsi:type="xsd:double"&gt;1284&lt;/D&gt;&lt;D xsi:type="xsd:double"&gt;1275.25&lt;/D&gt;&lt;D xsi:type="xsd:double"&gt;1266.68&lt;/D&gt;&lt;D xsi:type="xsd:double"&gt;1265.45&lt;/D&gt;&lt;D xsi:type="xsd:double"&gt;1261.7&lt;/D&gt;&lt;D xsi:type="xsd:double"&gt;1261.73&lt;/D&gt;&lt;D xsi:type="xsd:double"&gt;1254.3&lt;/D&gt;&lt;D xsi:type="xsd:double"&gt;1253&lt;/D&gt;&lt;D xsi:type="xsd:double"&gt;1255.72&lt;/D&gt;&lt;D xsi:type="xsd:double"&gt;1244.4&lt;/D&gt;&lt;D xsi:type="xsd:double"&gt;1242.18&lt;/D&gt;&lt;D xsi:type="xsd:double"&gt;1248.35&lt;/D&gt;&lt;D xsi:type="xsd:double"&gt;1246.75&lt;/D&gt;&lt;D xsi:type="xsd:double"&gt;1264.5&lt;/D&gt;&lt;D xsi:type="xsd:double"&gt;1265.97&lt;/D&gt;&lt;D xsi:type="xsd:double"&gt;1276.18&lt;/D&gt;&lt;D xsi:type="xsd:double"&gt;1280.505&lt;/D&gt;&lt;D xsi:type="xsd:double"&gt;1274.83&lt;/D&gt;&lt;D xsi:type="xsd:double"&gt;1278.93&lt;/D&gt;&lt;D xsi:type="xsd:double"&gt;1294.07&lt;/D&gt;&lt;D xsi:type="xsd:double"&gt;1294.36&lt;/D&gt;&lt;D xsi:type="xsd:double"&gt;1288.23&lt;/D&gt;&lt;D xsi:type="xsd:double"&gt;1292.17&lt;/D&gt;&lt;D xsi:type="xsd:double"&gt;1280.53&lt;/D&gt;&lt;D xsi:type="xsd:double"&gt;1276.95&lt;/D&gt;&lt;D xsi:type="xsd:double"&gt;1294.37&lt;/D&gt;&lt;D xsi:type="xsd:double"&gt;1278.55&lt;/D&gt;&lt;D xsi:type="xsd:double"&gt;1278.4&lt;/D&gt;&lt;D xsi:type="xsd:double"&gt;1280.1&lt;/D&gt;&lt;D xsi:type="xsd:double"&gt;1278.35&lt;/D&gt;&lt;D xsi:type="xsd:double"&gt;1276.14&lt;/D&gt;&lt;D xsi:type="xsd:double"&gt;1285&lt;/D&gt;&lt;D xsi:type="xsd:double"&gt;1281.46&lt;/D&gt;&lt;D xsi:type="xsd:double"&gt;1275.32&lt;/D&gt;&lt;D xsi:type="xsd:double"&gt;1282.05&lt;/D&gt;&lt;D xsi:type="xsd:double"&gt;1269.85&lt;/D&gt;&lt;D xsi:type="xsd:double"&gt;1276&lt;/D&gt;&lt;D xsi:type="xsd:double"&gt;1274.4&lt;/D&gt;&lt;D xsi:type="xsd:double"&gt;1271.58&lt;/D&gt;&lt;D xsi:type="xsd:double"&gt;1276.25&lt;/D&gt;&lt;D xsi:type="xsd:double"&gt;1273.35&lt;/D&gt;&lt;D xsi:type="xsd:double"&gt;1267.11&lt;/D&gt;&lt;D xsi:type="xsd:double"&gt;1277.41&lt;/D&gt;&lt;D xsi:type="xsd:double"&gt;1276.73&lt;/D&gt;&lt;D xsi:type="xsd:double"&gt;1282.07&lt;/D&gt;&lt;D xsi:type="xsd:double"&gt;1280.73&lt;/D&gt;&lt;D xsi:type="xsd:double"&gt;1289.79&lt;/D&gt;&lt;D xsi:type="xsd:double"&gt;1281.17&lt;/D&gt;&lt;D xsi:type="xsd:double"&gt;1285.2&lt;/D&gt;&lt;D xsi:type="xsd:double"&gt;1294.74&lt;/D&gt;&lt;D xsi:type="xsd:double"&gt;1304.88&lt;/D&gt;&lt;D xsi:type="xsd:double"&gt;1293.75&lt;/D&gt;&lt;D xsi:type="xsd:double"&gt;1291.8&lt;/D&gt;&lt;D xsi:type="xsd:double"&gt;1287.85&lt;/D&gt;&lt;D xsi:type="xsd:double"&gt;1284.11&lt;/D&gt;&lt;D xsi:type="xsd:double"&gt;1276.03&lt;/D&gt;&lt;D xsi:type="xsd:double"&gt;1268.05&lt;/D&gt;&lt;D xsi:type="xsd:double"&gt;1274.7&lt;/D&gt;&lt;D xsi:type="xsd:double"&gt;1271.36&lt;/D&gt;&lt;D xsi:type="xsd:double"&gt;1271.13&lt;/D&gt;&lt;D xsi:type="xsd:double"&gt;1279.45&lt;/D&gt;&lt;D xsi:type="xsd:double"&gt;1287.3&lt;/D&gt;&lt;D xsi:type="xsd:double"&gt;1281.13&lt;/D&gt;&lt;D xsi:type="xsd:double"&gt;1293.9&lt;/D&gt;&lt;D xsi:type="xsd:double"&gt;1310.55&lt;/D&gt;&lt;D xsi:type="xsd:double"&gt;1297.38&lt;/D&gt;&lt;D xsi:type="xsd:double"&gt;1291.4&lt;/D&gt;&lt;D xsi:type="xsd:double"&gt;1301.03&lt;/D&gt;&lt;D xsi:type="xsd:double"&gt;1311.28&lt;/D&gt;&lt;D xsi:type="xsd:double"&gt;1307.57&lt;/D&gt;&lt;D xsi:type="xsd:double"&gt;1319.63&lt;/D&gt;&lt;D xsi:type="xsd:double"&gt;1329.83&lt;/D&gt;&lt;D xsi:type="xsd:double"&gt;1323.25&lt;/D&gt;&lt;D xsi:type="xsd:double"&gt;1331.94&lt;/D&gt;&lt;D xsi:type="xsd:double"&gt;1327.32&lt;/D&gt;&lt;D xsi:type="xsd:double"&gt;1346.71&lt;/D&gt;&lt;D xsi:type="xsd:double"&gt;1349.2&lt;/D&gt;&lt;D xsi:type="xsd:double"&gt;1334.15&lt;/D&gt;&lt;D xsi:type="xsd:double"&gt;1339.33&lt;/D&gt;&lt;D xsi:type="xsd:double"&gt;1324.97&lt;/D&gt;&lt;D xsi:type="xsd:double"&gt;1322.07&lt;/D&gt;&lt;D xsi:type="xsd:double"&gt;1308.76&lt;/D&gt;&lt;D xsi:type="xsd:double"&gt;1309.5&lt;/D&gt;&lt;D xsi:type="xsd:double"&gt;1310.49&lt;/D&gt;&lt;D xsi:type="xsd:double"&gt;1291.16&lt;/D&gt;&lt;D xsi:type="xsd:double"&gt;1286.33&lt;/D&gt;&lt;D xsi:type="xsd:double"&gt;1290.62&lt;/D&gt;&lt;D xsi:type="xsd:double"&gt;1284.73&lt;/D&gt;&lt;D xsi:type="xsd:double"&gt;1291.23&lt;/D&gt;&lt;D xsi:type="xsd:double"&gt;1284.5&lt;/D&gt;&lt;/FQL&gt;&lt;FQL&gt;&lt;Q&gt;^CONVERT_DATE(FDS_ECON_STARTDATE('ISMPRI@M', M),'YYYYMMDD')&lt;/Q&gt;&lt;R&gt;1&lt;/R&gt;&lt;C&gt;1&lt;/C&gt;&lt;D xsi:type="xsd:string"&gt;19480130&lt;/D&gt;&lt;/FQL&gt;&lt;FQL&gt;&lt;Q&gt;ACWX-US^FMA_EPS(NTMA,0,-5AY,W,USD,"PORTAGG","MEANR")&lt;/Q&gt;&lt;R&gt;261&lt;/R&gt;&lt;C&gt;1&lt;/C&gt;&lt;D xsi:type="xsd:double"&gt;4.14481848578028&lt;/D&gt;&lt;D xsi:type="xsd:double"&gt;4.11222308481642&lt;/D&gt;&lt;D xsi:type="xsd:double"&gt;4.054434486903&lt;/D&gt;&lt;D xsi:type="xsd:double"&gt;4.04446554113712&lt;/D&gt;&lt;D xsi:type="xsd:double"&gt;4.00237032436136&lt;/D&gt;&lt;D xsi:type="xsd:double"&gt;4.02313329963616&lt;/D&gt;&lt;D xsi:type="xsd:double"&gt;3.99641909579356&lt;/D&gt;&lt;D xsi:type="xsd:double"&gt;3.96116270619081&lt;/D&gt;&lt;D xsi:type="xsd:double"&gt;3.94606320255269&lt;/D&gt;&lt;D xsi:type="xsd:double"&gt;3.94126799206508&lt;/D&gt;&lt;D xsi:type="xsd:double"&gt;3.99163459248383&lt;/D&gt;&lt;D xsi:type="xsd:double"&gt;4.01987811264785&lt;/D&gt;&lt;D xsi:type="xsd:double"&gt;4.00194470280624&lt;/D&gt;&lt;D xsi:type="xsd:double"&gt;3.99606995406975&lt;/D&gt;&lt;D xsi:type="xsd:double"&gt;3.95139175825634&lt;/D&gt;&lt;D xsi:type="xsd:double"&gt;3.96102431126557&lt;/D&gt;&lt;D xsi:type="xsd:double"&gt;3.90876823743707&lt;/D&gt;&lt;D xsi:type="xsd:double"&gt;3.88498054737802&lt;/D&gt;&lt;D xsi:type="xsd:double"&gt;3.84097368000898&lt;/D&gt;&lt;D xsi:type="xsd:double"&gt;3.91001837149111&lt;/D&gt;&lt;D xsi:type="xsd:double"&gt;3.89921911973093&lt;/D&gt;&lt;D xsi:type="xsd:double"&gt;3.87253085381352&lt;/D&gt;&lt;D xsi:type="xsd:double"&gt;3.90362452815055&lt;/D&gt;&lt;D xsi:type="xsd:double"&gt;3.89742086908811&lt;/D&gt;&lt;D xsi:type="xsd:double"&gt;3.87192949405335&lt;/D&gt;&lt;D xsi:type="xsd:double"&gt;3.87535707335847&lt;/D&gt;&lt;D xsi:type="xsd:double"&gt;3.85362856999255&lt;/D&gt;&lt;D xsi:type="xsd:double"&gt;3.87055186020704&lt;/D&gt;&lt;D xsi:type="xsd:double"&gt;3.8644006882356&lt;/D&gt;&lt;D xsi:type="xsd:double"&gt;3.88314403874489&lt;/D&gt;&lt;D xsi:type="xsd:double"&gt;3.90200917022527&lt;/D&gt;&lt;D xsi:type="xsd:double"&gt;3.91719006043779&lt;/D&gt;&lt;D xsi:type="xsd:double"&gt;3.9223155796291&lt;/D&gt;&lt;D xsi:type="xsd:double"&gt;3.95809376761966&lt;/D&gt;&lt;D xsi:type="xsd:double"&gt;3.9585151172965&lt;/D&gt;&lt;D xsi:type="xsd:double"&gt;3.95836673429542&lt;/D&gt;&lt;D xsi:type="xsd:double"&gt;3.94941080878964&lt;/D&gt;&lt;D xsi:type="xsd:double"&gt;3.96659845817691&lt;/D&gt;&lt;D xsi:type="xsd:double"&gt;3.94716677503121&lt;/D&gt;&lt;D xsi:type="xsd:double"&gt;3.92943180842242&lt;/D&gt;&lt;D xsi:type="xsd:double"&gt;3.8930522877639&lt;/D&gt;&lt;D xsi:type="xsd:double"&gt;3.90270128645324&lt;/D&gt;&lt;D xsi:type="xsd:double"&gt;3.80837659171195&lt;/D&gt;&lt;D xsi:type="xsd:double"&gt;3.8136829197546&lt;/D&gt;&lt;D xsi:type="xsd:double"&gt;3.81182101862038&lt;/D&gt;&lt;D xsi:type="xsd:double"&gt;3.84568357648324&lt;/D&gt;&lt;D xsi:type="xsd:double"&gt;3.80803943789732&lt;/D&gt;&lt;D xsi:type="xsd:double"&gt;3.81710246134517&lt;/D&gt;&lt;D xsi:type="xsd:double"&gt;3.81351922703724&lt;/D&gt;&lt;D xsi:type="xsd:double"&gt;3.80988912997353&lt;/D&gt;&lt;D xsi:type="xsd:double"&gt;3.84745059257172&lt;/D&gt;&lt;D xsi:type="xsd:double"&gt;3.85230282085711&lt;/D&gt;&lt;D xsi:type="xsd:double"&gt;3.8359884760796&lt;/D&gt;&lt;D xsi:type="xsd:double"&gt;3.84570928375451&lt;/D&gt;&lt;D xsi:type="xsd:double"&gt;3.85853290010093&lt;/D&gt;&lt;D xsi:type="xsd:double"&gt;3.89692835562436&lt;/D&gt;&lt;D xsi:type="xsd:double"&gt;3.88798024556017&lt;/D&gt;&lt;D xsi:type="xsd:double"&gt;3.90276700435841&lt;/D&gt;&lt;D xsi:type="xsd:double"&gt;3.85826027599964&lt;/D&gt;&lt;D xsi:type="xsd:double"&gt;3.83297780302516&lt;/D&gt;&lt;D xsi:type="xsd:double"&gt;3.8215847004958&lt;/D&gt;&lt;D xsi:type="xsd:double"&gt;3.84850245341422&lt;/D&gt;&lt;D xsi:type="xsd:double"&gt;3.82807532294887&lt;/D&gt;&lt;D xsi:type="xsd:double"&gt;3.89107175437031&lt;/D&gt;&lt;D xsi:type="xsd:double"&gt;3.87990659838505&lt;/D&gt;&lt;D xsi:type="xsd:double"&gt;3.87948286218184&lt;/D&gt;&lt;D xsi:type="xsd:double"&gt;3.88314983372978&lt;/D&gt;&lt;D xsi:type="xsd:double"&gt;3.91742014418547&lt;/D&gt;&lt;D xsi:type="xsd:double"&gt;3.8819857659609&lt;/D&gt;&lt;D xsi:type="xsd:double"&gt;3.86254387762572&lt;/D&gt;&lt;D xsi:type="xsd:double"&gt;3.87252686862684&lt;/D&gt;&lt;D xsi:type="xsd:double"&gt;3.87214345664516&lt;/D&gt;&lt;D xsi:type="xsd:double"&gt;3.85327026153862&lt;/D&gt;&lt;D xsi:type="xsd:double"&gt;3.84715269563377&lt;/D&gt;&lt;D xsi:type="xsd:double"&gt;3.79556791769073&lt;/D&gt;&lt;D xsi:type="xsd:double"&gt;3.75231725525005&lt;/D&gt;&lt;D xsi:type="xsd:double"&gt;3.79661978679601&lt;/D&gt;&lt;D xsi:type="xsd:double"&gt;3.75291621617484&lt;/D&gt;&lt;D xsi:type="xsd:double"&gt;3.79268469213304&lt;/D&gt;&lt;D xsi:type="xsd:double"&gt;3.80734224826737&lt;/D&gt;&lt;D xsi:type="xsd:double"&gt;3.81675494048919&lt;/D&gt;&lt;D xsi:type="xsd:double"&gt;3.8663043047828&lt;/D&gt;&lt;D xsi:type="xsd:double"&gt;3.87534411995014&lt;/D&gt;&lt;D xsi:type="xsd:double"&gt;3.88506212435338&lt;/D&gt;&lt;D xsi:type="xsd:double"&gt;3.84978314319809&lt;/D&gt;&lt;D xsi:type="xsd:double"&gt;3.81800391379304&lt;/D&gt;&lt;D xsi:type="xsd:double"&gt;3.81616470727201&lt;/D&gt;&lt;D xsi:type="xsd:double"&gt;3.7939108987002&lt;/D&gt;&lt;D xsi:type="xsd:double"&gt;3.81283530129458&lt;/D&gt;&lt;D xsi:type="xsd:double"&gt;3.86037092333773&lt;/D&gt;&lt;D xsi:type="xsd:double"&gt;3.81460557578778&lt;/D&gt;&lt;D xsi:type="xsd:double"&gt;3.79842631100666&lt;/D&gt;&lt;D xsi:type="xsd:double"&gt;3.83845020600101&lt;/D&gt;&lt;D xsi:type="xsd:double"&gt;3.75105997070726&lt;/D&gt;&lt;D xsi:type="xsd:double"&gt;3.73911804547222&lt;/D&gt;&lt;D xsi:type="xsd:double"&gt;3.74087952723976&lt;/D&gt;&lt;D xsi:type="xsd:double"&gt;3.65421442343776&lt;/D&gt;&lt;D xsi:type="xsd:double"&gt;3.69465231539157&lt;/D&gt;&lt;D xsi:type="xsd:double"&gt;3.71926740426468&lt;/D&gt;&lt;D xsi:type="xsd:double"&gt;3.72093551279973&lt;/D&gt;&lt;D xsi:type="xsd:double"&gt;3.79621305055506&lt;/D&gt;&lt;D xsi:type="xsd:double"&gt;3.83830780234823&lt;/D&gt;&lt;D xsi:type="xsd:double"&gt;3.77902861699333&lt;/D&gt;&lt;D xsi:type="xsd:double"&gt;3.81872893226884&lt;/D&gt;&lt;D xsi:type="xsd:double"&gt;3.8542382300346&lt;/D&gt;&lt;D xsi:type="xsd:double"&gt;3.95059336525246&lt;/D&gt;&lt;D xsi:type="xsd:double"&gt;3.89314817675607&lt;/D&gt;&lt;D xsi:type="xsd:double"&gt;3.91527523924694&lt;/D&gt;&lt;D xsi:type="xsd:double"&gt;3.83000315658327&lt;/D&gt;&lt;D xsi:type="xsd:double"&gt;3.84227868772856&lt;/D&gt;&lt;D xsi:type="xsd:double"&gt;3.86601266559969&lt;/D&gt;&lt;D xsi:type="xsd:double"&gt;3.92934998220508&lt;/D&gt;&lt;D xsi:type="xsd:double"&gt;3.93850871835132&lt;/D&gt;&lt;D xsi:type="xsd:double"&gt;3.88765404588828&lt;/D&gt;&lt;D xsi:type="xsd:double"&gt;3.87496455190728&lt;/D&gt;&lt;D xsi:type="xsd:double"&gt;4.01704651364595&lt;/D&gt;&lt;D xsi:type="xsd:double"&gt;4.04846497760711&lt;/D&gt;&lt;D xsi:type="xsd:double"&gt;3.97766201617554&lt;/D&gt;&lt;D xsi:type="xsd:double"&gt;3.93542357709843&lt;/D&gt;&lt;D xsi:type="xsd:double"&gt;3.92375920507751&lt;/D&gt;&lt;D xsi:type="xsd:double"&gt;3.88170506977388&lt;/D&gt;&lt;D xsi:type="xsd:double"&gt;3.92377518250785&lt;/D&gt;&lt;D xsi:type="xsd:double"&gt;3.97033972142992&lt;/D&gt;&lt;D xsi:type="xsd:double"&gt;3.98653289470708&lt;/D&gt;&lt;D xsi:type="xsd:double"&gt;4.01221052645732&lt;/D&gt;&lt;D xsi:type="xsd:double"&gt;3.98323471101999&lt;/D&gt;&lt;D xsi:type="xsd:double"&gt;3.98142705131341&lt;/D&gt;&lt;D xsi:type="xsd:double"&gt;3.88135628234711&lt;/D&gt;&lt;D xsi:type="xsd:double"&gt;3.90366355660529&lt;/D&gt;&lt;D xsi:type="xsd:double"&gt;4.07755893798604&lt;/D&gt;&lt;D xsi:type="xsd:double"&gt;4.02482920173511&lt;/D&gt;&lt;D xsi:type="xsd:double"&gt;3.96092165558302&lt;/D&gt;&lt;D xsi:type="xsd:double"&gt;4.00429913543209&lt;/D&gt;&lt;D xsi:type="xsd:double"&gt;3.95618085793564&lt;/D&gt;&lt;D xsi:type="xsd:double"&gt;3.93021904855626&lt;/D&gt;&lt;D xsi:type="xsd:double"&gt;3.96959708465534&lt;/D&gt;&lt;D xsi:type="xsd:double"&gt;3.91770460287404&lt;/D&gt;&lt;D xsi:type="xsd:double"&gt;3.89809224970854&lt;/D&gt;&lt;D xsi:type="xsd:double"&gt;3.91380728156099&lt;/D&gt;&lt;D xsi:type="xsd:double"&gt;3.86972060409644&lt;/D&gt;&lt;D xsi:type="xsd:double"&gt;3.95236298682944&lt;/D&gt;&lt;D xsi:type="xsd:double"&gt;3.91890136727921&lt;/D&gt;&lt;D xsi:type="xsd:double"&gt;3.92139585131165&lt;/D&gt;&lt;D xsi:type="xsd:double"&gt;3.93723010986469&lt;/D&gt;&lt;D xsi:type="xsd:double"&gt;3.96595003395619&lt;/D&gt;&lt;D xsi:type="xsd:double"&gt;3.96946564188669&lt;/D&gt;&lt;D xsi:type="xsd:double"&gt;3.95207787061833&lt;/D&gt;&lt;D xsi:type="xsd:double"&gt;3.94836556310648&lt;/D&gt;&lt;D xsi:type="xsd:double"&gt;3.92300103955821&lt;/D&gt;&lt;D xsi:type="xsd:double"&gt;3.90296989332905&lt;/D&gt;&lt;D xsi:type="xsd:double"&gt;3.92574921325914&lt;/D&gt;&lt;D xsi:type="xsd:double"&gt;3.90006582429229&lt;/D&gt;&lt;D xsi:type="xsd:double"&gt;3.90307194773763&lt;/D&gt;&lt;D xsi:type="xsd:double"&gt;3.90191493418962&lt;/D&gt;&lt;D xsi:type="xsd:double"&gt;3.92776904734965&lt;/D&gt;&lt;D xsi:type="xsd:double"&gt;3.58185364696271&lt;/D&gt;&lt;D xsi:type="xsd:double"&gt;3.8766110781873&lt;/D&gt;&lt;D xsi:type="xsd:double"&gt;3.87251351354557&lt;/D&gt;&lt;D xsi:type="xsd:double"&gt;3.85328014352998&lt;/D&gt;&lt;D xsi:type="xsd:double"&gt;3.83612280047212&lt;/D&gt;&lt;D xsi:type="xsd:double"&gt;3.78012932655142&lt;/D&gt;&lt;D xsi:type="xsd:double"&gt;3.74501931637151&lt;/D&gt;&lt;D xsi:type="xsd:double"&gt;3.77332629359498&lt;/D&gt;&lt;D xsi:type="xsd:double"&gt;3.72864818905052&lt;/D&gt;&lt;D xsi:type="xsd:double"&gt;3.71701733662337&lt;/D&gt;&lt;D xsi:type="xsd:double"&gt;3.65953920339176&lt;/D&gt;&lt;D xsi:type="xsd:double"&gt;3.72436017906744&lt;/D&gt;&lt;D xsi:type="xsd:double"&gt;3.75714165249005&lt;/D&gt;&lt;D xsi:type="xsd:double"&gt;3.72109277350152&lt;/D&gt;&lt;D xsi:type="xsd:double"&gt;3.71385901661756&lt;/D&gt;&lt;D xsi:type="xsd:double"&gt;3.7094644991697&lt;/D&gt;&lt;D xsi:type="xsd:double"&gt;3.68452118826517&lt;/D&gt;&lt;D xsi:type="xsd:double"&gt;3.6052581934991&lt;/D&gt;&lt;D xsi:type="xsd:double"&gt;3.56784751522347&lt;/D&gt;&lt;D xsi:type="xsd:double"&gt;3.52729262684458&lt;/D&gt;&lt;D xsi:type="xsd:double"&gt;3.49397627660925&lt;/D&gt;&lt;D xsi:type="xsd:double"&gt;3.46400034290897&lt;/D&gt;&lt;D xsi:type="xsd:double"&gt;3.44712260446197&lt;/D&gt;&lt;D xsi:type="xsd:double"&gt;3.42838287308617&lt;/D&gt;&lt;D xsi:type="xsd:double"&gt;3.40266046225076&lt;/D&gt;&lt;D xsi:type="xsd:double"&gt;3.39210851130713&lt;/D&gt;&lt;D xsi:type="xsd:double"&gt;3.36713868252792&lt;/D&gt;&lt;D xsi:type="xsd:double"&gt;3.36091029345133&lt;/D&gt;&lt;D xsi:type="xsd:double"&gt;3.33896340146356&lt;/D&gt;&lt;D xsi:type="xsd:double"&gt;3.29410827765837&lt;/D&gt;&lt;D xsi:type="xsd:double"&gt;3.26773414392121&lt;/D&gt;&lt;D xsi:type="xsd:double"&gt;3.26806978462332&lt;/D&gt;&lt;D xsi:type="xsd:double"&gt;3.23593012379314&lt;/D&gt;&lt;D xsi:type="xsd:double"&gt;3.24600337534745&lt;/D&gt;&lt;D xsi:type="xsd:double"&gt;3.20661589720153&lt;/D&gt;&lt;D xsi:type="xsd:double"&gt;3.19121109209953&lt;/D&gt;&lt;D xsi:type="xsd:double"&gt;3.18273178245953&lt;/D&gt;&lt;D xsi:type="xsd:double"&gt;3.17484222303301&lt;/D&gt;&lt;D xsi:type="xsd:double"&gt;3.14844632052605&lt;/D&gt;&lt;D xsi:type="xsd:double"&gt;3.11872118534602&lt;/D&gt;&lt;D xsi:type="xsd:double"&gt;3.08685328109614&lt;/D&gt;&lt;D xsi:type="xsd:double"&gt;3.05658890255585&lt;/D&gt;&lt;D xsi:type="xsd:double"&gt;3.03091609542794&lt;/D&gt;&lt;D xsi:type="xsd:double"&gt;2.9708832225469&lt;/D&gt;&lt;D xsi:type="xsd:double"&gt;2.96817942707389&lt;/D&gt;&lt;D xsi:type="xsd:double"&gt;2.93565462680065&lt;/D&gt;&lt;D xsi:type="xsd:double"&gt;2.92946478953557&lt;/D&gt;&lt;D xsi:type="xsd:double"&gt;2.8953098091069&lt;/D&gt;&lt;D xsi:type="xsd:double"&gt;2.85869245678323&lt;/D&gt;&lt;D xsi:type="xsd:double"&gt;2.85477526949431&lt;/D&gt;&lt;D xsi:type="xsd:double"&gt;2.82829655401422&lt;/D&gt;&lt;D xsi:type="xsd:double"&gt;2.8353916455306&lt;/D&gt;&lt;D xsi:type="xsd:double"&gt;2.84112465547764&lt;/D&gt;&lt;D xsi:type="xsd:double"&gt;2.80551348725623&lt;/D&gt;&lt;D xsi:type="xsd:double"&gt;2.78996386041896&lt;/D&gt;&lt;D xsi:type="xsd:double"&gt;2.77135822043307&lt;/D&gt;&lt;D xsi:type="xsd:double"&gt;2.75027033552366&lt;/D&gt;&lt;D xsi:type="xsd:double"&gt;2.72732935763029&lt;/D&gt;&lt;D xsi:type="xsd:double"&gt;2.69897616329957&lt;/D&gt;&lt;D xsi:type="xsd:double"&gt;2.6913238438217&lt;/D&gt;&lt;D xsi:type="xsd:double"&gt;2.6598458952982&lt;/D&gt;&lt;D xsi:type="xsd:double"&gt;2.63527861519886&lt;/D&gt;&lt;D xsi:type="xsd:double"&gt;2.62148652783812&lt;/D&gt;&lt;D xsi:type="xsd:double"&gt;2.68919570373663&lt;/D&gt;&lt;D xsi:type="xsd:double"&gt;2.68992873146864&lt;/D&gt;&lt;D xsi:type="xsd:double"&gt;2.6942545312899&lt;/D&gt;&lt;D xsi:type="xsd:double"&gt;2.69167686546508&lt;/D&gt;&lt;D xsi:type="xsd:double"&gt;2.68919124807249&lt;/D&gt;&lt;D xsi:type="xsd:double"&gt;2.73157156252043&lt;/D&gt;&lt;D xsi:type="xsd:double"&gt;2.70403320597296&lt;/D&gt;&lt;D xsi:type="xsd:double"&gt;2.82038307761556&lt;/D&gt;&lt;D xsi:type="xsd:double"&gt;2.86194019489681&lt;/D&gt;&lt;D xsi:type="xsd:double"&gt;2.95302586765652&lt;/D&gt;&lt;D xsi:type="xsd:double"&gt;2.96777876717006&lt;/D&gt;&lt;D xsi:type="xsd:double"&gt;3.08768665964481&lt;/D&gt;&lt;D xsi:type="xsd:double"&gt;3.06972073836337&lt;/D&gt;&lt;D xsi:type="xsd:double"&gt;3.3941292519841&lt;/D&gt;&lt;D xsi:type="xsd:double"&gt;3.42588592813348&lt;/D&gt;&lt;D xsi:type="xsd:double"&gt;3.42545732108425&lt;/D&gt;&lt;D xsi:type="xsd:double"&gt;3.38721228795076&lt;/D&gt;&lt;D xsi:type="xsd:double"&gt;3.42121117545586&lt;/D&gt;&lt;D xsi:type="xsd:double"&gt;3.41687519582925&lt;/D&gt;&lt;D xsi:type="xsd:double"&gt;3.43840784483256&lt;/D&gt;&lt;D xsi:type="xsd:double"&gt;3.44891944539764&lt;/D&gt;&lt;D xsi:type="xsd:double"&gt;3.47622763697473&lt;/D&gt;&lt;D xsi:type="xsd:double"&gt;3.46289720444135&lt;/D&gt;&lt;D xsi:type="xsd:double"&gt;3.45760195631141&lt;/D&gt;&lt;D xsi:type="xsd:double"&gt;3.45829468870582&lt;/D&gt;&lt;D xsi:type="xsd:double"&gt;3.44784054851336&lt;/D&gt;&lt;D xsi:type="xsd:double"&gt;3.51364346228945&lt;/D&gt;&lt;D xsi:type="xsd:double"&gt;3.50051966274805&lt;/D&gt;&lt;D xsi:type="xsd:double"&gt;3.48537990210443&lt;/D&gt;&lt;D xsi:type="xsd:double"&gt;3.49827323001089&lt;/D&gt;&lt;D xsi:type="xsd:double"&gt;3.50941558536702&lt;/D&gt;&lt;D xsi:type="xsd:double"&gt;3.50949223885488&lt;/D&gt;&lt;D xsi:type="xsd:double"&gt;3.5345818564222&lt;/D&gt;&lt;D xsi:type="xsd:double"&gt;3.51572973328702&lt;/D&gt;&lt;D xsi:type="xsd:double"&gt;3.5185427315591&lt;/D&gt;&lt;D xsi:type="xsd:double"&gt;3.50907416333626&lt;/D&gt;&lt;D xsi:type="xsd:double"&gt;3.51103681910524&lt;/D&gt;&lt;D xsi:type="xsd:double"&gt;3.47249688367038&lt;/D&gt;&lt;D xsi:type="xsd:double"&gt;3.48759145427027&lt;/D&gt;&lt;D xsi:type="xsd:double"&gt;3.50773174225257&lt;/D&gt;&lt;D xsi:type="xsd:double"&gt;3.49424285255851&lt;/D&gt;&lt;D xsi:type="xsd:double"&gt;3.48539577570193&lt;/D&gt;&lt;D xsi:type="xsd:double"&gt;3.4703710856961&lt;/D&gt;&lt;/FQL&gt;&lt;FQL&gt;&lt;Q&gt;^FDS_ECON_DESCRIPTION('ISMPRD@M')&lt;/Q&gt;&lt;R&gt;1&lt;/R&gt;&lt;C&gt;1&lt;/C&gt;&lt;D xsi:type="xsd:string"&gt;ISM Manufacturing PMI, Production - United States&lt;/D&gt;&lt;/FQL&gt;&lt;FQL&gt;&lt;Q&gt;^FDS_ECON_DATA('USSU2929307',0,-20AY,W,STEP,AVERAGENP,1)&lt;/Q&gt;&lt;R&gt;1044&lt;/R&gt;&lt;C&gt;1&lt;/C&gt;&lt;D xsi:type="xsd:string"&gt;@NA&lt;/D&gt;&lt;D xsi:type="xsd:double"&gt;21.5&lt;/D&gt;&lt;D xsi:type="xsd:double"&gt;18.7&lt;/D&gt;&lt;D xsi:type="xsd:double"&gt;15.6&lt;/D&gt;&lt;D xsi:type="xsd:double"&gt;14.9&lt;/D&gt;&lt;D xsi:type="xsd:double"&gt;16.7&lt;/D&gt;&lt;D xsi:type="xsd:double"&gt;17.9&lt;/D&gt;&lt;D xsi:type="xsd:double"&gt;16.9&lt;/D&gt;&lt;D xsi:type="xsd:double"&gt;18.5&lt;/D&gt;&lt;D xsi:type="xsd:double"&gt;17.9&lt;/D&gt;&lt;D xsi:type="xsd:double"&gt;17.6&lt;/D&gt;&lt;D xsi:type="xsd:double"&gt;18.2&lt;/D&gt;&lt;D xsi:type="xsd:double"&gt;17.9&lt;/D&gt;&lt;D xsi:type="xsd:double"&gt;17.2&lt;/D&gt;&lt;D xsi:type="xsd:double"&gt;17.7&lt;/D&gt;&lt;D xsi:type="xsd:double"&gt;18.7&lt;/D&gt;&lt;D xsi:type="xsd:double"&gt;19.7&lt;/D&gt;&lt;D xsi:type="xsd:double"&gt;21.5&lt;/D&gt;&lt;D xsi:type="xsd:double"&gt;14.5&lt;/D&gt;&lt;D xsi:type="xsd:double"&gt;14.5&lt;/D&gt;&lt;D xsi:type="xsd:double"&gt;14.1&lt;/D&gt;&lt;D xsi:type="xsd:double"&gt;15.2&lt;/D&gt;&lt;D xsi:type="xsd:double"&gt;14.7&lt;/D&gt;&lt;D xsi:type="xsd:double"&gt;14.5&lt;/D&gt;&lt;D xsi:type="xsd:double"&gt;16&lt;/D&gt;&lt;D xsi:type="xsd:double"&gt;16.7&lt;/D&gt;&lt;D xsi:type="xsd:double"&gt;16.2&lt;/D&gt;&lt;D xsi:type="xsd:double"&gt;17.7&lt;/D&gt;&lt;D xsi:type="xsd:double"&gt;17.1&lt;/D&gt;&lt;D xsi:type="xsd:double"&gt;16.9&lt;/D&gt;&lt;D xsi:type="xsd:double"&gt;17.1&lt;/D&gt;&lt;D xsi:type="xsd:double"&gt;19.1&lt;/D&gt;&lt;D xsi:type="xsd:double"&gt;17.7&lt;/D&gt;&lt;D xsi:type="xsd:double"&gt;17.2&lt;/D&gt;&lt;D xsi:type="xsd:string"&gt;@NA&lt;/D&gt;&lt;D xsi:type="xsd:double"&gt;18.1&lt;/D&gt;&lt;D xsi:type="xsd:double"&gt;19.4&lt;/D&gt;&lt;D xsi:type="xsd:double"&gt;21.7&lt;/D&gt;&lt;D xsi:type="xsd:double"&gt;21.4&lt;/D&gt;&lt;D xsi:type="xsd:double"&gt;22.4&lt;/D&gt;&lt;D xsi:type="xsd:double"&gt;23.2&lt;/D&gt;&lt;D xsi:type="xsd:double"&gt;23.9&lt;/D&gt;&lt;D xsi:type="xsd:double"&gt;25.7&lt;/D&gt;&lt;D xsi:type="xsd:double"&gt;24.3&lt;/D&gt;&lt;D xsi:type="xsd:double"&gt;22.2&lt;/D&gt;&lt;D xsi:type="xsd:double"&gt;22.8&lt;/D&gt;&lt;D xsi:type="xsd:double"&gt;23.9&lt;/D&gt;&lt;D xsi:type="xsd:double"&gt;23.9&lt;/D&gt;&lt;D xsi:type="xsd:double"&gt;22.8&lt;/D&gt;&lt;D xsi:type="xsd:double"&gt;22.5&lt;/D&gt;&lt;D xsi:type="xsd:double"&gt;21.9&lt;/D&gt;&lt;D xsi:type="xsd:double"&gt;20.8&lt;/D&gt;&lt;D xsi:type="xsd:double"&gt;18.6&lt;/D&gt;&lt;D xsi:type="xsd:double"&gt;20&lt;/D&gt;&lt;D xsi:type="xsd:double"&gt;19.4&lt;/D&gt;&lt;D xsi:type="xsd:double"&gt;18.6&lt;/D&gt;&lt;D xsi:type="xsd:double"&gt;19.4&lt;/D&gt;&lt;D xsi:type="xsd:double"&gt;18&lt;/D&gt;&lt;D xsi:type="xsd:double"&gt;18.1&lt;/D&gt;&lt;D xsi:type="xsd:double"&gt;18.3&lt;/D&gt;&lt;D xsi:type="xsd:double"&gt;18.6&lt;/D&gt;&lt;D xsi:type="xsd:double"&gt;20&lt;/D&gt;&lt;D xsi:type="xsd:double"&gt;20.6&lt;/D&gt;&lt;D xsi:type="xsd:double"&gt;21.6&lt;/D&gt;&lt;D xsi:type="xsd:double"&gt;23.3&lt;/D&gt;&lt;D xsi:type="xsd:double"&gt;23.9&lt;/D&gt;&lt;D xsi:type="xsd:double"&gt;24.7&lt;/D&gt;&lt;D xsi:type="xsd:double"&gt;24.3&lt;/D&gt;&lt;D xsi:type="xsd:double"&gt;23.6&lt;/D&gt;&lt;D xsi:type="xsd:double"&gt;25&lt;/D&gt;&lt;D xsi:type="xsd:double"&gt;24&lt;/D&gt;&lt;D xsi:type="xsd:double"&gt;24.3&lt;/D&gt;&lt;D xsi:type="xsd:double"&gt;25&lt;/D&gt;&lt;D xsi:type="xsd:double"&gt;26.8&lt;/D&gt;&lt;D xsi:type="xsd:double"&gt;28.8&lt;/D&gt;&lt;D xsi:type="xsd:double"&gt;27.8&lt;/D&gt;&lt;D xsi:type="xsd:double"&gt;24.7&lt;/D&gt;&lt;D xsi:type="xsd:double"&gt;28.8&lt;/D&gt;&lt;D xsi:type="xsd:double"&gt;26.4&lt;/D&gt;&lt;D xsi:type="xsd:double"&gt;26.8&lt;/D&gt;&lt;D xsi:type="xsd:double"&gt;25.7&lt;/D&gt;&lt;D xsi:type="xsd:double"&gt;27.2&lt;/D&gt;&lt;D xsi:type="xsd:double"&gt;28.2&lt;/D&gt;&lt;D xsi:type="xsd:double"&gt;29.6&lt;/D&gt;&lt;D xsi:type="xsd:double"&gt;32.9&lt;/D&gt;&lt;D xsi:type="xsd:double"&gt;33.8&lt;/D&gt;&lt;D xsi:type="xsd:string"&gt;@NA&lt;/D&gt;&lt;D xsi:type="xsd:double"&gt;33.3&lt;/D&gt;&lt;D xsi:type="xsd:double"&gt;31.4&lt;/D&gt;&lt;D xsi:type="xsd:double"&gt;32.4&lt;/D&gt;&lt;D xsi:type="xsd:double"&gt;31.5&lt;/D&gt;&lt;D xsi:type="xsd:double"&gt;30.5&lt;/D&gt;&lt;D xsi:type="xsd:double"&gt;32.8&lt;/D&gt;&lt;D xsi:type="xsd:double"&gt;36.6&lt;/D&gt;&lt;D xsi:type="xsd:double"&gt;37.3&lt;/D&gt;&lt;D xsi:type="xsd:double"&gt;38.5&lt;/D&gt;&lt;D xsi:type="xsd:double"&gt;40.3&lt;/D&gt;&lt;D xsi:type="xsd:double"&gt;44.1&lt;/D&gt;&lt;D xsi:type="xsd:double"&gt;41.8&lt;/D&gt;&lt;D xsi:type="xsd:double"&gt;34.3&lt;/D&gt;&lt;D xsi:type="xsd:double"&gt;31.4&lt;/D&gt;&lt;D xsi:type="xsd:double"&gt;28.2&lt;/D&gt;&lt;D xsi:type="xsd:double"&gt;29.7&lt;/D&gt;&lt;D xsi:type="xsd:double"&gt;30.1&lt;/D&gt;&lt;D xsi:type="xsd:double"&gt;29.6&lt;/D&gt;&lt;D xsi:type="xsd:double"&gt;27.5&lt;/D&gt;&lt;D xsi:type="xsd:double"&gt;27.8&lt;/D&gt;&lt;D xsi:type="xsd:double"&gt;30.1&lt;/D&gt;&lt;D xsi:type="xsd:double"&gt;33.3&lt;/D&gt;&lt;D xsi:type="xsd:double"&gt;35.2&lt;/D&gt;&lt;D xsi:type="xsd:double"&gt;36.6&lt;/D&gt;&lt;D xsi:type="xsd:double"&gt;40.3&lt;/D&gt;&lt;D xsi:type="xsd:double"&gt;40&lt;/D&gt;&lt;D xsi:type="xsd:double"&gt;44.1&lt;/D&gt;&lt;D xsi:type="xsd:double"&gt;42.7&lt;/D&gt;&lt;D xsi:type="xsd:double"&gt;40&lt;/D&gt;&lt;D xsi:type="xsd:double"&gt;38&lt;/D&gt;&lt;D xsi:type="xsd:double"&gt;40.8&lt;/D&gt;&lt;D xsi:type="xsd:double"&gt;43&lt;/D&gt;&lt;D xsi:type="xsd:double"&gt;40.8&lt;/D&gt;&lt;D xsi:type="xsd:double"&gt;39.3&lt;/D&gt;&lt;D xsi:type="xsd:double"&gt;32.9&lt;/D&gt;&lt;D xsi:type="xsd:double"&gt;33.3&lt;/D&gt;&lt;D xsi:type="xsd:double"&gt;32.1&lt;/D&gt;&lt;D xsi:type="xsd:double"&gt;31&lt;/D&gt;&lt;D xsi:type="xsd:double"&gt;34.1&lt;/D&gt;&lt;D xsi:type="xsd:double"&gt;35.3&lt;/D&gt;&lt;D xsi:type="xsd:double"&gt;36.5&lt;/D&gt;&lt;D xsi:type="xsd:double"&gt;35.6&lt;/D&gt;&lt;D xsi:type="xsd:double"&gt;34.5&lt;/D&gt;&lt;D xsi:type="xsd:double"&gt;31&lt;/D&gt;&lt;D xsi:type="xsd:double"&gt;27.9&lt;/D&gt;&lt;D xsi:type="xsd:double"&gt;25.9&lt;/D&gt;&lt;D xsi:type="xsd:double"&gt;25&lt;/D&gt;&lt;D xsi:type="xsd:double"&gt;26.7&lt;/D&gt;&lt;D xsi:type="xsd:double"&gt;25&lt;/D&gt;&lt;D xsi:type="xsd:double"&gt;23&lt;/D&gt;&lt;D xsi:type="xsd:double"&gt;23.5&lt;/D&gt;&lt;D xsi:type="xsd:string"&gt;@NA&lt;/D&gt;&lt;D xsi:type="xsd:double"&gt;24.1&lt;/D&gt;&lt;D xsi:type="xsd:double"&gt;24.4&lt;/D&gt;&lt;D xsi:type="xsd:double"&gt;25.3&lt;/D&gt;&lt;D xsi:type="xsd:double"&gt;24.7&lt;/D&gt;&lt;D xsi:type="xsd:double"&gt;21.7&lt;/D&gt;&lt;D xsi:type="xsd:double"&gt;21.4&lt;/D&gt;&lt;D xsi:type="xsd:double"&gt;22.3&lt;/D&gt;&lt;D xsi:type="xsd:double"&gt;24.1&lt;/D&gt;&lt;D xsi:type="xsd:double"&gt;23.8&lt;/D&gt;&lt;D xsi:type="xsd:double"&gt;23.9&lt;/D&gt;&lt;D xsi:type="xsd:double"&gt;22.7&lt;/D&gt;&lt;D xsi:type="xsd:double"&gt;22.5&lt;/D&gt;&lt;D xsi:type="xsd:double"&gt;22.1&lt;/D&gt;&lt;D xsi:type="xsd:double"&gt;22.3&lt;/D&gt;&lt;D xsi:type="xsd:double"&gt;22.1&lt;/D&gt;&lt;D xsi:type="xsd:double"&gt;21.1&lt;/D&gt;&lt;D xsi:type="xsd:double"&gt;21.3&lt;/D&gt;&lt;D xsi:type="xsd:double"&gt;18.5&lt;/D&gt;&lt;D xsi:type="xsd:double"&gt;18.5&lt;/D&gt;&lt;D xsi:type="xsd:double"&gt;15.9&lt;/D&gt;&lt;D xsi:type="xsd:double"&gt;16.3&lt;/D&gt;&lt;D xsi:type="xsd:double"&gt;16.5&lt;/D&gt;&lt;D xsi:type="xsd:double"&gt;16.7&lt;/D&gt;&lt;D xsi:type="xsd:double"&gt;15.3&lt;/D&gt;&lt;D xsi:type="xsd:double"&gt;15.5&lt;/D&gt;&lt;D xsi:type="xsd:double"&gt;16.2&lt;/D&gt;&lt;D xsi:type="xsd:double"&gt;15.8&lt;/D&gt;&lt;D xsi:type="xsd:double"&gt;16.3&lt;/D&gt;&lt;D xsi:type="xsd:double"&gt;16.2&lt;/D&gt;&lt;D xsi:type="xsd:double"&gt;16.5&lt;/D&gt;&lt;D xsi:type="xsd:double"&gt;16.8&lt;/D&gt;&lt;D xsi:type="xsd:double"&gt;17.2&lt;/D&gt;&lt;D xsi:type="xsd:double"&gt;17.2&lt;/D&gt;&lt;D xsi:type="xsd:double"&gt;16.8&lt;/D&gt;&lt;D xsi:type="xsd:double"&gt;16.5&lt;/D&gt;&lt;D xsi:type="xsd:double"&gt;16.7&lt;/D&gt;&lt;D xsi:type="xsd:double"&gt;16.8&lt;/D&gt;&lt;D xsi:type="xsd:double"&gt;16.7&lt;/D&gt;&lt;D xsi:type="xsd:double"&gt;17.5&lt;/D&gt;&lt;D xsi:type="xsd:double"&gt;18.8&lt;/D&gt;&lt;D xsi:type="xsd:double"&gt;19.6&lt;/D&gt;&lt;D xsi:type="xsd:double"&gt;20.6&lt;/D&gt;&lt;D xsi:type="xsd:double"&gt;18.6&lt;/D&gt;&lt;D xsi:type="xsd:double"&gt;18.5&lt;/D&gt;&lt;D xsi:type="xsd:double"&gt;18.1&lt;/D&gt;&lt;D xsi:type="xsd:double"&gt;18.3&lt;/D&gt;&lt;D xsi:type="xsd:double"&gt;16.7&lt;/D&gt;&lt;D xsi:type="xsd:double"&gt;16.5&lt;/D&gt;&lt;D xsi:type="xsd:double"&gt;16.8&lt;/D&gt;&lt;D xsi:type="xsd:double"&gt;16.7&lt;/D&gt;&lt;D xsi:type="xsd:double"&gt;17.5&lt;/D&gt;&lt;D xsi:type="xsd:string"&gt;@NA&lt;/D&gt;&lt;D xsi:type="xsd:double"&gt;16.8&lt;/D&gt;&lt;D xsi:type="xsd:double"&gt;17.2&lt;/D&gt;&lt;D xsi:type="xsd:double"&gt;16.8&lt;/D&gt;&lt;D xsi:type="xsd:double"&gt;16.7&lt;/D&gt;&lt;D xsi:type="xsd:double"&gt;17.2&lt;/D&gt;&lt;D xsi:type="xsd:double"&gt;18.2&lt;/D&gt;&lt;D xsi:type="xsd:double"&gt;19.4&lt;/D&gt;&lt;D xsi:type="xsd:double"&gt;20.6&lt;/D&gt;&lt;D xsi:type="xsd:double"&gt;20.2&lt;/D&gt;&lt;D xsi:type="xsd:double"&gt;20.4&lt;/D&gt;&lt;D xsi:type="xsd:double"&gt;21.2&lt;/D&gt;&lt;D xsi:type="xsd:double"&gt;23.2&lt;/D&gt;&lt;D xsi:type="xsd:double"&gt;21.8&lt;/D&gt;&lt;D xsi:type="xsd:double"&gt;19.4&lt;/D&gt;&lt;D xsi:type="xsd:double"&gt;18.3&lt;/D&gt;&lt;D xsi:type="xsd:double"&gt;16.2&lt;/D&gt;&lt;D xsi:type="xsd:double"&gt;16.4&lt;/D&gt;&lt;D xsi:type="xsd:double"&gt;16.2&lt;/D&gt;&lt;D xsi:type="xsd:double"&gt;16.5&lt;/D&gt;&lt;D xsi:type="xsd:double"&gt;16.2&lt;/D&gt;&lt;D xsi:type="xsd:double"&gt;17.3&lt;/D&gt;&lt;D xsi:type="xsd:double"&gt;17.5&lt;/D&gt;&lt;D xsi:type="xsd:double"&gt;17.3&lt;/D&gt;&lt;D xsi:type="xsd:double"&gt;18.1&lt;/D&gt;&lt;D xsi:type="xsd:double"&gt;18.3&lt;/D&gt;&lt;D xsi:type="xsd:double"&gt;19.8&lt;/D&gt;&lt;D xsi:type="xsd:double"&gt;18.4&lt;/D&gt;&lt;D xsi:type="xsd:double"&gt;18.6&lt;/D&gt;&lt;D xsi:type="xsd:double"&gt;20.6&lt;/D&gt;&lt;D xsi:type="xsd:double"&gt;23.7&lt;/D&gt;&lt;D xsi:type="xsd:double"&gt;23.8&lt;/D&gt;&lt;D xsi:type="xsd</t>
        </r>
      </text>
    </comment>
    <comment ref="A12" authorId="0" shapeId="0" xr:uid="{A59BDFBF-676C-428C-9972-3F41BADA838B}">
      <text>
        <r>
          <rPr>
            <b/>
            <sz val="9"/>
            <color indexed="81"/>
            <rFont val="Tahoma"/>
            <charset val="1"/>
          </rPr>
          <t>:double"&gt;24.1&lt;/D&gt;&lt;D xsi:type="xsd:double"&gt;26&lt;/D&gt;&lt;D xsi:type="xsd:double"&gt;26.9&lt;/D&gt;&lt;D xsi:type="xsd:double"&gt;29.1&lt;/D&gt;&lt;D xsi:type="xsd:double"&gt;30.8&lt;/D&gt;&lt;D xsi:type="xsd:double"&gt;32.4&lt;/D&gt;&lt;D xsi:type="xsd:double"&gt;36.2&lt;/D&gt;&lt;D xsi:type="xsd:double"&gt;36.3&lt;/D&gt;&lt;D xsi:type="xsd:double"&gt;41.7&lt;/D&gt;&lt;D xsi:type="xsd:double"&gt;32.7&lt;/D&gt;&lt;D xsi:type="xsd:double"&gt;22.9&lt;/D&gt;&lt;D xsi:type="xsd:double"&gt;20.4&lt;/D&gt;&lt;D xsi:type="xsd:double"&gt;19.2&lt;/D&gt;&lt;D xsi:type="xsd:double"&gt;18.9&lt;/D&gt;&lt;D xsi:type="xsd:double"&gt;19.2&lt;/D&gt;&lt;D xsi:type="xsd:double"&gt;19.1&lt;/D&gt;&lt;D xsi:type="xsd:double"&gt;18.9&lt;/D&gt;&lt;D xsi:type="xsd:double"&gt;17.9&lt;/D&gt;&lt;D xsi:type="xsd:double"&gt;17.8&lt;/D&gt;&lt;D xsi:type="xsd:double"&gt;17.8&lt;/D&gt;&lt;D xsi:type="xsd:double"&gt;17.8&lt;/D&gt;&lt;D xsi:type="xsd:string"&gt;@NA&lt;/D&gt;&lt;D xsi:type="xsd:double"&gt;17.3&lt;/D&gt;&lt;D xsi:type="xsd:double"&gt;17.2&lt;/D&gt;&lt;D xsi:type="xsd:double"&gt;17.3&lt;/D&gt;&lt;D xsi:type="xsd:double"&gt;17.1&lt;/D&gt;&lt;D xsi:type="xsd:double"&gt;17.1&lt;/D&gt;&lt;D xsi:type="xsd:double"&gt;17.9&lt;/D&gt;&lt;D xsi:type="xsd:double"&gt;18.1&lt;/D&gt;&lt;D xsi:type="xsd:double"&gt;17.8&lt;/D&gt;&lt;D xsi:type="xsd:double"&gt;17.9&lt;/D&gt;&lt;D xsi:type="xsd:double"&gt;17&lt;/D&gt;&lt;D xsi:type="xsd:double"&gt;17.2&lt;/D&gt;&lt;D xsi:type="xsd:double"&gt;17.1&lt;/D&gt;&lt;D xsi:type="xsd:double"&gt;16.8&lt;/D&gt;&lt;D xsi:type="xsd:double"&gt;17&lt;/D&gt;&lt;D xsi:type="xsd:double"&gt;17.9&lt;/D&gt;&lt;D xsi:type="xsd:double"&gt;18.7&lt;/D&gt;&lt;D xsi:type="xsd:double"&gt;18.7&lt;/D&gt;&lt;D xsi:type="xsd:double"&gt;17.9&lt;/D&gt;&lt;D xsi:type="xsd:double"&gt;18.1&lt;/D&gt;&lt;D xsi:type="xsd:double"&gt;17.9&lt;/D&gt;&lt;D xsi:type="xsd:double"&gt;17.1&lt;/D&gt;&lt;D xsi:type="xsd:double"&gt;16.8&lt;/D&gt;&lt;D xsi:type="xsd:double"&gt;16.8&lt;/D&gt;&lt;D xsi:type="xsd:double"&gt;18.3&lt;/D&gt;&lt;D xsi:type="xsd:double"&gt;18.1&lt;/D&gt;&lt;D xsi:type="xsd:double"&gt;18.1&lt;/D&gt;&lt;D xsi:type="xsd:double"&gt;18.4&lt;/D&gt;&lt;D xsi:type="xsd:double"&gt;18.3&lt;/D&gt;&lt;D xsi:type="xsd:double"&gt;18.5&lt;/D&gt;&lt;D xsi:type="xsd:double"&gt;17.3&lt;/D&gt;&lt;D xsi:type="xsd:double"&gt;17.2&lt;/D&gt;&lt;D xsi:type="xsd:double"&gt;17.5&lt;/D&gt;&lt;D xsi:type="xsd:double"&gt;17.8&lt;/D&gt;&lt;D xsi:type="xsd:double"&gt;17.8&lt;/D&gt;&lt;D xsi:type="xsd:double"&gt;18.4&lt;/D&gt;&lt;D xsi:type="xsd:double"&gt;19.2&lt;/D&gt;&lt;D xsi:type="xsd:double"&gt;19.2&lt;/D&gt;&lt;D xsi:type="xsd:double"&gt;19.4&lt;/D&gt;&lt;D xsi:type="xsd:double"&gt;20.6&lt;/D&gt;&lt;D xsi:type="xsd:double"&gt;20.6&lt;/D&gt;&lt;D xsi:type="xsd:double"&gt;21.4&lt;/D&gt;&lt;D xsi:type="xsd:double"&gt;20.6&lt;/D&gt;&lt;D xsi:type="xsd:double"&gt;20.4&lt;/D&gt;&lt;D xsi:type="xsd:double"&gt;20.7&lt;/D&gt;&lt;D xsi:type="xsd:double"&gt;21.5&lt;/D&gt;&lt;D xsi:type="xsd:double"&gt;20.6&lt;/D&gt;&lt;D xsi:type="xsd:double"&gt;20.6&lt;/D&gt;&lt;D xsi:type="xsd:double"&gt;21.3&lt;/D&gt;&lt;D xsi:type="xsd:double"&gt;25.2&lt;/D&gt;&lt;D xsi:type="xsd:double"&gt;29.4&lt;/D&gt;&lt;D xsi:type="xsd:double"&gt;34.6&lt;/D&gt;&lt;D xsi:type="xsd:string"&gt;@NA&lt;/D&gt;&lt;D xsi:type="xsd:double"&gt;21.4&lt;/D&gt;&lt;D xsi:type="xsd:double"&gt;20.4&lt;/D&gt;&lt;D xsi:type="xsd:double"&gt;21.5&lt;/D&gt;&lt;D xsi:type="xsd:double"&gt;20.6&lt;/D&gt;&lt;D xsi:type="xsd:double"&gt;19.8&lt;/D&gt;&lt;D xsi:type="xsd:double"&gt;19&lt;/D&gt;&lt;D xsi:type="xsd:double"&gt;19.8&lt;/D&gt;&lt;D xsi:type="xsd:double"&gt;19.8&lt;/D&gt;&lt;D xsi:type="xsd:double"&gt;19&lt;/D&gt;&lt;D xsi:type="xsd:double"&gt;18.3&lt;/D&gt;&lt;D xsi:type="xsd:double"&gt;18.5&lt;/D&gt;&lt;D xsi:type="xsd:double"&gt;18.6&lt;/D&gt;&lt;D xsi:type="xsd:double"&gt;18.3&lt;/D&gt;&lt;D xsi:type="xsd:double"&gt;18.1&lt;/D&gt;&lt;D xsi:type="xsd:double"&gt;18.3&lt;/D&gt;&lt;D xsi:type="xsd:double"&gt;18.1&lt;/D&gt;&lt;D xsi:type="xsd:double"&gt;18.3&lt;/D&gt;&lt;D xsi:type="xsd:double"&gt;18.3&lt;/D&gt;&lt;D xsi:type="xsd:double"&gt;18.4&lt;/D&gt;&lt;D xsi:type="xsd:double"&gt;18.6&lt;/D&gt;&lt;D xsi:type="xsd:double"&gt;18.8&lt;/D&gt;&lt;D xsi:type="xsd:double"&gt;18.6&lt;/D&gt;&lt;D xsi:type="xsd:double"&gt;18.5&lt;/D&gt;&lt;D xsi:type="xsd:double"&gt;18.5&lt;/D&gt;&lt;D xsi:type="xsd:double"&gt;18.6&lt;/D&gt;&lt;D xsi:type="xsd:double"&gt;18.4&lt;/D&gt;&lt;D xsi:type="xsd:double"&gt;17.6&lt;/D&gt;&lt;D xsi:type="xsd:double"&gt;17.8&lt;/D&gt;&lt;D xsi:type="xsd:double"&gt;17.7&lt;/D&gt;&lt;D xsi:type="xsd:double"&gt;19.2&lt;/D&gt;&lt;D xsi:type="xsd:double"&gt;19.2&lt;/D&gt;&lt;D xsi:type="xsd:double"&gt;19.4&lt;/D&gt;&lt;D xsi:type="xsd:double"&gt;20.6&lt;/D&gt;&lt;D xsi:type="xsd:double"&gt;20.8&lt;/D&gt;&lt;D xsi:type="xsd:double"&gt;19.6&lt;/D&gt;&lt;D xsi:type="xsd:double"&gt;19.8&lt;/D&gt;&lt;D xsi:type="xsd:double"&gt;18.6&lt;/D&gt;&lt;D xsi:type="xsd:double"&gt;18.1&lt;/D&gt;&lt;D xsi:type="xsd:double"&gt;17.5&lt;/D&gt;&lt;D xsi:type="xsd:double"&gt;16.8&lt;/D&gt;&lt;D xsi:type="xsd:double"&gt;15.7&lt;/D&gt;&lt;D xsi:type="xsd:double"&gt;15.5&lt;/D&gt;&lt;D xsi:type="xsd:double"&gt;14.4&lt;/D&gt;&lt;D xsi:type="xsd:double"&gt;14.6&lt;/D&gt;&lt;D xsi:type="xsd:double"&gt;14.4&lt;/D&gt;&lt;D xsi:type="xsd:double"&gt;15.5&lt;/D&gt;&lt;D xsi:type="xsd:double"&gt;12.6&lt;/D&gt;&lt;D xsi:type="xsd:double"&gt;12.8&lt;/D&gt;&lt;D xsi:type="xsd:double"&gt;12.7&lt;/D&gt;&lt;D xsi:type="xsd:double"&gt;13.5&lt;/D&gt;&lt;D xsi:type="xsd:double"&gt;15.2&lt;/D&gt;&lt;D xsi:type="xsd:string"&gt;@NA&lt;/D&gt;&lt;D xsi:type="xsd:double"&gt;15.1&lt;/D&gt;&lt;D xsi:type="xsd:double"&gt;15.2&lt;/D&gt;&lt;D xsi:type="xsd:double"&gt;15.1&lt;/D&gt;&lt;D xsi:type="xsd:double"&gt;15.1&lt;/D&gt;&lt;D xsi:type="xsd:double"&gt;15.4&lt;/D&gt;&lt;D xsi:type="xsd:double"&gt;15.4&lt;/D&gt;&lt;D xsi:type="xsd:double"&gt;14.4&lt;/D&gt;&lt;D xsi:type="xsd:double"&gt;14.4&lt;/D&gt;&lt;D xsi:type="xsd:double"&gt;15.1&lt;/D&gt;&lt;D xsi:type="xsd:double"&gt;15.2&lt;/D&gt;&lt;D xsi:type="xsd:double"&gt;15.1&lt;/D&gt;&lt;D xsi:type="xsd:double"&gt;17&lt;/D&gt;&lt;D xsi:type="xsd:double"&gt;17.1&lt;/D&gt;&lt;D xsi:type="xsd:double"&gt;19&lt;/D&gt;&lt;D xsi:type="xsd:double"&gt;20.2&lt;/D&gt;&lt;D xsi:type="xsd:double"&gt;19.1&lt;/D&gt;&lt;D xsi:type="xsd:double"&gt;19.1&lt;/D&gt;&lt;D xsi:type="xsd:double"&gt;18.3&lt;/D&gt;&lt;D xsi:type="xsd:double"&gt;18.1&lt;/D&gt;&lt;D xsi:type="xsd:double"&gt;17&lt;/D&gt;&lt;D xsi:type="xsd:double"&gt;16.2&lt;/D&gt;&lt;D xsi:type="xsd:double"&gt;16.5&lt;/D&gt;&lt;D xsi:type="xsd:double"&gt;16.7&lt;/D&gt;&lt;D xsi:type="xsd:double"&gt;18.6&lt;/D&gt;&lt;D xsi:type="xsd:double"&gt;18.8&lt;/D&gt;&lt;D xsi:type="xsd:double"&gt;18.6&lt;/D&gt;&lt;D xsi:type="xsd:double"&gt;19.4&lt;/D&gt;&lt;D xsi:type="xsd:double"&gt;18.6&lt;/D&gt;&lt;D xsi:type="xsd:double"&gt;18.3&lt;/D&gt;&lt;D xsi:type="xsd:double"&gt;19.2&lt;/D&gt;&lt;D xsi:type="xsd:double"&gt;18.3&lt;/D&gt;&lt;D xsi:type="xsd:double"&gt;17.1&lt;/D&gt;&lt;D xsi:type="xsd:double"&gt;17.3&lt;/D&gt;&lt;D xsi:type="xsd:double"&gt;17.9&lt;/D&gt;&lt;D xsi:type="xsd:double"&gt;17.9&lt;/D&gt;&lt;D xsi:type="xsd:double"&gt;18.3&lt;/D&gt;&lt;D xsi:type="xsd:double"&gt;17.5&lt;/D&gt;&lt;D xsi:type="xsd:double"&gt;18.3&lt;/D&gt;&lt;D xsi:type="xsd:double"&gt;18.1&lt;/D&gt;&lt;D xsi:type="xsd:double"&gt;17.3&lt;/D&gt;&lt;D xsi:type="xsd:double"&gt;17.5&lt;/D&gt;&lt;D xsi:type="xsd:double"&gt;17.3&lt;/D&gt;&lt;D xsi:type="xsd:double"&gt;16.5&lt;/D&gt;&lt;D xsi:type="xsd:double"&gt;17.5&lt;/D&gt;&lt;D xsi:type="xsd:double"&gt;17.6&lt;/D&gt;&lt;D xsi:type="xsd:double"&gt;16.7&lt;/D&gt;&lt;D xsi:type="xsd:double"&gt;17.6&lt;/D&gt;&lt;D xsi:type="xsd:double"&gt;17.5&lt;/D&gt;&lt;D xsi:type="xsd:double"&gt;17.3&lt;/D&gt;&lt;D xsi:type="xsd:double"&gt;18.3&lt;/D&gt;&lt;D xsi:type="xsd:double"&gt;18.4&lt;/D&gt;&lt;D xsi:type="xsd:string"&gt;@NA&lt;/D&gt;&lt;D xsi:type="xsd:double"&gt;19.6&lt;/D&gt;&lt;D xsi:type="xsd:double"&gt;19.2&lt;/D&gt;&lt;D xsi:type="xsd:double"&gt;19.6&lt;/D&gt;&lt;D xsi:type="xsd:double"&gt;22.3&lt;/D&gt;&lt;D xsi:type="xsd:double"&gt;21.6&lt;/D&gt;&lt;D xsi:type="xsd:double"&gt;23.5&lt;/D&gt;&lt;D xsi:type="xsd:double"&gt;25.7&lt;/D&gt;&lt;D xsi:type="xsd:double"&gt;24.3&lt;/D&gt;&lt;D xsi:type="xsd:double"&gt;23.1&lt;/D&gt;&lt;D xsi:type="xsd:double"&gt;23.8&lt;/D&gt;&lt;D xsi:type="xsd:double"&gt;23.1&lt;/D&gt;&lt;D xsi:type="xsd:double"&gt;22.8&lt;/D&gt;&lt;D xsi:type="xsd:double"&gt;23.1&lt;/D&gt;&lt;D xsi:type="xsd:double"&gt;24.3&lt;/D&gt;&lt;D xsi:type="xsd:double"&gt;22.6&lt;/D&gt;&lt;D xsi:type="xsd:double"&gt;22.8&lt;/D&gt;&lt;D xsi:type="xsd:double"&gt;20.6&lt;/D&gt;&lt;D xsi:type="xsd:double"&gt;20.2&lt;/D&gt;&lt;D xsi:type="xsd:double"&gt;20&lt;/D&gt;&lt;D xsi:type="xsd:double"&gt;20.9&lt;/D&gt;&lt;D xsi:type="xsd:double"&gt;21.2&lt;/D&gt;&lt;D xsi:type="xsd:double"&gt;21.6&lt;/D&gt;&lt;D xsi:type="xsd:double"&gt;23.3&lt;/D&gt;&lt;D xsi:type="xsd:double"&gt;24.7&lt;/D&gt;&lt;D xsi:type="xsd:double"&gt;24.5&lt;/D&gt;&lt;D xsi:type="xsd:double"&gt;23.8&lt;/D&gt;&lt;D xsi:type="xsd:double"&gt;23.2&lt;/D&gt;&lt;D xsi:type="xsd:double"&gt;23.5&lt;/D&gt;&lt;D xsi:type="xsd:double"&gt;23.8&lt;/D&gt;&lt;D xsi:type="xsd:double"&gt;23.7&lt;/D&gt;&lt;D xsi:type="xsd:double"&gt;24&lt;/D&gt;&lt;D xsi:type="xsd:double"&gt;21.7&lt;/D&gt;&lt;D xsi:type="xsd:double"&gt;21.6&lt;/D&gt;&lt;D xsi:type="xsd:double"&gt;21.7&lt;/D&gt;&lt;D xsi:type="xsd:double"&gt;20.6&lt;/D&gt;&lt;D xsi:type="xsd:double"&gt;21.7&lt;/D&gt;&lt;D xsi:type="xsd:double"&gt;27.8&lt;/D&gt;&lt;D xsi:type="xsd:double"&gt;27.8&lt;/D&gt;&lt;D xsi:type="xsd:double"&gt;28.9&lt;/D&gt;&lt;D xsi:type="xsd:double"&gt;27.8&lt;/D&gt;&lt;D xsi:type="xsd:double"&gt;30.3&lt;/D&gt;&lt;D xsi:type="xsd:double"&gt;35.4&lt;/D&gt;&lt;D xsi:type="xsd:double"&gt;34.3&lt;/D&gt;&lt;D xsi:type="xsd:double"&gt;35.7&lt;/D&gt;&lt;D xsi:type="xsd:double"&gt;39.8&lt;/D&gt;&lt;D xsi:type="xsd:double"&gt;39.2&lt;/D&gt;&lt;D xsi:type="xsd:double"&gt;38.1&lt;/D&gt;&lt;D xsi:type="xsd:double"&gt;35.4&lt;/D&gt;&lt;D xsi:type="xsd:double"&gt;36.1&lt;/D&gt;&lt;D xsi:type="xsd:double"&gt;35.7&lt;/D&gt;&lt;D xsi:type="xsd:double"&gt;31.6&lt;/D&gt;&lt;D xsi:type="xsd:string"&gt;@NA&lt;/D&gt;&lt;D xsi:type="xsd:double"&gt;29.6&lt;/D&gt;&lt;D xsi:type="xsd:double"&gt;29.6&lt;/D&gt;&lt;D xsi:type="xsd:double"&gt;27.6&lt;/D&gt;&lt;D xsi:type="xsd:double"&gt;26.8&lt;/D&gt;&lt;D xsi:type="xsd:double"&gt;26.8&lt;/D&gt;&lt;D xsi:type="xsd:double"&gt;26.8&lt;/D&gt;&lt;D xsi:type="xsd:double"&gt;28.9&lt;/D&gt;&lt;D xsi:type="xsd:double"&gt;28.1&lt;/D&gt;&lt;D xsi:type="xsd:double"&gt;29.2&lt;/D&gt;&lt;D xsi:type="xsd:double"&gt;31.3&lt;/D&gt;&lt;D xsi:type="xsd:double"&gt;31.2&lt;/D&gt;&lt;D xsi:type="xsd:double"&gt;34.4&lt;/D&gt;&lt;D xsi:type="xsd:double"&gt;35.1&lt;/D&gt;&lt;D xsi:type="xsd:double"&gt;30.2&lt;/D&gt;&lt;D xsi:type="xsd:double"&gt;26.8&lt;/D&gt;&lt;D xsi:type="xsd:double"&gt;27.9&lt;/D&gt;&lt;D xsi:type="xsd:double"&gt;26.8&lt;/D&gt;&lt;D xsi:type="xsd:double"&gt;22.5&lt;/D&gt;&lt;D xsi:type="xsd:double"&gt;18.4&lt;/D&gt;&lt;D xsi:type="xsd:double"&gt;18.6&lt;/D&gt;&lt;D xsi:type="xsd:double"&gt;17.5&lt;/D&gt;&lt;D xsi:type="xsd:double"&gt;17.5&lt;/D&gt;&lt;D xsi:type="xsd:double"&gt;15.6&lt;/D&gt;&lt;D xsi:type="xsd:double"&gt;15.6&lt;/D&gt;&lt;D xsi:type="xsd:double"&gt;15.6&lt;/D&gt;&lt;D xsi:type="xsd:double"&gt;15.4&lt;/D&gt;&lt;D xsi:type="xsd:double"&gt;15.4&lt;/D&gt;&lt;D xsi:type="xsd:double"&gt;16.5&lt;/D&gt;&lt;D xsi:type="xsd:double"&gt;16.5&lt;/D&gt;&lt;D xsi:type="xsd:double"&gt;15.8&lt;/D&gt;&lt;D xsi:type="xsd:double"&gt;14.9&lt;/D&gt;&lt;D xsi:type="xsd:double"&gt;15.8&lt;/D&gt;&lt;D xsi:type="xsd:double"&gt;15.8&lt;/D&gt;&lt;D xsi:type="xsd:double"&gt;13.9&lt;/D&gt;&lt;D xsi:type="xsd:double"&gt;13.9&lt;/D&gt;&lt;D xsi:type="xsd:double"&gt;15.2&lt;/D&gt;&lt;D xsi:type="xsd:double"&gt;13.9&lt;/D&gt;&lt;D xsi:type="xsd:double"&gt;14.2&lt;/D&gt;&lt;D xsi:type="xsd:double"&gt;14.2&lt;/D&gt;&lt;D xsi:type="xsd:double"&gt;14.1&lt;/D&gt;&lt;D xsi:type="xsd:double"&gt;14.3&lt;/D&gt;&lt;D xsi:type="xsd:double"&gt;14.1&lt;/D&gt;&lt;D xsi:type="xsd:double"&gt;14.1&lt;/D&gt;&lt;D xsi:type="xsd:double"&gt;14.1&lt;/D&gt;&lt;D xsi:type="xsd:double"&gt;14.1&lt;/D&gt;&lt;D xsi:type="xsd:double"&gt;15.2&lt;/D&gt;&lt;D xsi:type="xsd:double"&gt;16.3&lt;/D&gt;&lt;D xsi:type="xsd:double"&gt;16.3&lt;/D&gt;&lt;D xsi:type="xsd:double"&gt;17.4&lt;/D&gt;&lt;D xsi:type="xsd:double"&gt;16.3&lt;/D&gt;&lt;D xsi:type="xsd:double"&gt;15.2&lt;/D&gt;&lt;D xsi:type="xsd:double"&gt;14.9&lt;/D&gt;&lt;D xsi:type="xsd:double"&gt;15.8&lt;/D&gt;&lt;D xsi:type="xsd:double"&gt;14.9&lt;/D&gt;&lt;D xsi:type="xsd:double"&gt;14.8&lt;/D&gt;&lt;D xsi:type="xsd:double"&gt;13.9&lt;/D&gt;&lt;D xsi:type="xsd:double"&gt;13.8&lt;/D&gt;&lt;D xsi:type="xsd:double"&gt;14.9&lt;/D&gt;&lt;D xsi:type="xsd:double"&gt;14.8&lt;/D&gt;&lt;D xsi:type="xsd:double"&gt;15.1&lt;/D&gt;&lt;D xsi:type="xsd:double"&gt;16.3&lt;/D&gt;&lt;D xsi:type="xsd:double"&gt;18.2&lt;/D&gt;&lt;D xsi:type="xsd:double"&gt;17.3&lt;/D&gt;&lt;D xsi:type="xsd:double"&gt;14.1&lt;/D&gt;&lt;D xsi:type="xsd:double"&gt;15.1&lt;/D&gt;&lt;D xsi:type="xsd:double"&gt;15.3&lt;/D&gt;&lt;D xsi:type="xsd:double"&gt;15.2&lt;/D&gt;&lt;D xsi:type="xsd:double"&gt;14.1&lt;/D&gt;&lt;D xsi:type="xsd:double"&gt;13.3&lt;/D&gt;&lt;D xsi:type="xsd:double"&gt;15.1&lt;/D&gt;&lt;D xsi:type="xsd:double"&gt;16.2&lt;/D&gt;&lt;D xsi:type="xsd:double"&gt;16.2&lt;/D&gt;&lt;D xsi:type="xsd:double"&gt;17.1&lt;/D&gt;&lt;D xsi:type="xsd:double"&gt;16.2&lt;/D&gt;&lt;D xsi:type="xsd:double"&gt;17.2&lt;/D&gt;&lt;D xsi:type="xsd:double"&gt;15.1&lt;/D&gt;&lt;D xsi:type="xsd:double"&gt;15.2&lt;/D&gt;&lt;D xsi:type="xsd:double"&gt;16.1&lt;/D&gt;&lt;D xsi:type="xsd:double"&gt;16.3&lt;/D&gt;&lt;D xsi:type="xsd:double"&gt;16.3&lt;/D&gt;&lt;D xsi:type="xsd:double"&gt;17.2&lt;/D&gt;&lt;D xsi:type="xsd:double"&gt;17.4&lt;/D&gt;&lt;D xsi:type="xsd:double"&gt;17.3&lt;/D&gt;&lt;D xsi:type="xsd:double"&gt;18.3&lt;/D&gt;&lt;D xsi:type="xsd:double"&gt;19.4&lt;/D&gt;&lt;D xsi:type="xsd:double"&gt;19.7&lt;/D&gt;&lt;D xsi:type="xsd:double"&gt;20.6&lt;/D&gt;&lt;D xsi:type="xsd:double"&gt;21.7&lt;/D&gt;&lt;D xsi:type="xsd:double"&gt;20.6&lt;/D&gt;&lt;D xsi:type="xsd:double"&gt;18.6&lt;/D&gt;&lt;D xsi:type="xsd:double"&gt;18.6&lt;/D&gt;&lt;D xsi:type="xsd:double"&gt;17.5&lt;/D&gt;&lt;D xsi:type="xsd:double"&gt;17.4&lt;/D&gt;&lt;D xsi:type="xsd:double"&gt;17.4&lt;/D&gt;&lt;D xsi:type="xsd:double"&gt;15.1&lt;/D&gt;&lt;D xsi:type="xsd:double"&gt;17.2&lt;/D&gt;&lt;D xsi:type="xsd:double"&gt;17.2&lt;/D&gt;&lt;D xsi:type="xsd:double"&gt;17.4&lt;/D&gt;&lt;D xsi:type="xsd:double"&gt;17.4&lt;/D&gt;&lt;D xsi:type="xsd:double"&gt;15.3&lt;/D&gt;&lt;D xsi:type="xsd:double"&gt;15.1&lt;/D&gt;&lt;D xsi:type="xsd:double"&gt;15.3&lt;/D&gt;&lt;D xsi:type="xsd:double"&gt;15.2&lt;/D&gt;&lt;D xsi:type="xsd:double"&gt;15.2&lt;/D&gt;&lt;D xsi:type="xsd:double"&gt;14.1&lt;/D&gt;&lt;D xsi:type="xsd:double"&gt;14.3&lt;/D&gt;&lt;D xsi:type="xsd:double"&gt;14.3&lt;/D&gt;&lt;D xsi:type="xsd:double"&gt;14.3&lt;/D&gt;&lt;D xsi:type="xsd:double"&gt;14.4&lt;/D&gt;&lt;D xsi:type="xsd:double"&gt;15.5&lt;/D&gt;&lt;D xsi:type="xsd:double"&gt;15.5&lt;/D&gt;&lt;D xsi:type="xsd:double"&gt;15.6&lt;/D&gt;&lt;D xsi:type="xsd:double"&gt;16.5&lt;/D&gt;&lt;D xsi:type="xsd:double"&gt;18.5&lt;/D&gt;&lt;D xsi:type="xsd:double"&gt;21.6&lt;/D&gt;&lt;D xsi:type="xsd:double"&gt;20.6&lt;/D&gt;&lt;D xsi:type="xsd:double"&gt;18.6&lt;/D&gt;&lt;D xsi:type="xsd:double"&gt;20.6&lt;/D&gt;&lt;D xsi:type="xsd:double"&gt;21.6&lt;/D&gt;&lt;D xsi:type="xsd:double"&gt;22.7&lt;/D&gt;&lt;D xsi:type="xsd:double"&gt;23.7&lt;/D&gt;&lt;D xsi:type="xsd:double"&gt;23.8&lt;/D&gt;&lt;D xsi:type="xsd:double"&gt;21.6&lt;/D&gt;&lt;D xsi:type="xsd:double"&gt;20.6&lt;/D&gt;&lt;D xsi:type="xsd:double"&gt;18.5&lt;/D&gt;&lt;D xsi:type="xsd:double"&gt;19.6&lt;/D&gt;&lt;D xsi:type="xsd:double"&gt;19.6&lt;/D&gt;&lt;D xsi:type="xsd:double"&gt;19.8&lt;/D&gt;&lt;D xsi:type="xsd:double"&gt;22.9&lt;/D&gt;&lt;D xsi:type="xsd:double"&gt;20.8&lt;/D&gt;&lt;D xsi:type="xsd:double"&gt;25&lt;/D&gt;&lt;D xsi:type="xsd:double"&gt;21.9&lt;/D&gt;&lt;D xsi:type="xsd:double"&gt;22.9&lt;/D&gt;&lt;D xsi:type="xsd:double"&gt;20.8&lt;/D&gt;&lt;D xsi:type="xsd:double"&gt;19.8&lt;/D&gt;&lt;D xsi:type="xsd:double"&gt;18.8&lt;/D&gt;&lt;D xsi:type="xsd:double"&gt;19.8&lt;/D&gt;&lt;D xsi:type="xsd:double"&gt;19.8&lt;/D&gt;&lt;D xsi:type="xsd:double"&gt;18.8&lt;/D&gt;&lt;D xsi:type="xsd:double"&gt;19.6&lt;/D&gt;&lt;D xsi:type="xsd:double"&gt;20.6&lt;/D&gt;&lt;D xsi:type="xsd:double"&gt;20.6&lt;/D&gt;&lt;D xsi:type="xsd:double"&gt;19.4&lt;/D&gt;&lt;D xsi:type="xsd:double"&gt;19.6&lt;/D&gt;&lt;D xsi:type="xsd:double"&gt;18.6&lt;/D&gt;&lt;D xsi:type="xsd:double"&gt;18.8&lt;/D&gt;&lt;D xsi:type="xsd:double"&gt;21.1&lt;/D&gt;&lt;D xsi:type="xsd:double"&gt;21.1&lt;/D&gt;&lt;D xsi:type="xsd:double"&gt;22.1&lt;/D&gt;&lt;D xsi:type="xsd:double"&gt;21.1&lt;/D&gt;&lt;D xsi:type="xsd:double"&gt;21.1&lt;/D&gt;&lt;D xsi:type="xsd:double"&gt;22.3&lt;/D&gt;&lt;D xsi:type="xsd:double"&gt;22.3&lt;/D&gt;&lt;D xsi:type="xsd:double"&gt;22.3&lt;/D&gt;&lt;D xsi:type="xsd:double"&gt;23.4&lt;/D&gt;&lt;D xsi:type="xsd:double"&gt;24.5&lt;/D&gt;&lt;D xsi:type="xsd:double"&gt;24.5&lt;/D&gt;&lt;D xsi:type="xsd:double"&gt;24.5&lt;/D&gt;&lt;D xsi:type="xsd:double"&gt;23.4&lt;/D&gt;&lt;D xsi:type="xsd:double"&gt;25.5&lt;/D&gt;&lt;D xsi:type="xsd:double"&gt;27.7&lt;/D&gt;&lt;D xsi:type="xsd:double"&gt;27.7&lt;/D&gt;&lt;D xsi:type="xsd:double"&gt;28.7&lt;/D&gt;&lt;D xsi:type="xsd:double"&gt;27.7&lt;/D&gt;&lt;D xsi:type="xsd:double"&gt;27.7&lt;/D&gt;&lt;D xsi:type="xsd:double"&gt;27.7&lt;/D&gt;&lt;D xsi:type="xsd:double"&gt;26.6&lt;/D&gt;&lt;D xsi:type="xsd:double"&gt;25.5&lt;/D&gt;&lt;D xsi:type="xsd:double"&gt;25.5&lt;/D&gt;&lt;D xsi:type="xsd:double"&gt;24.5&lt;/D&gt;&lt;D xsi:type="xsd:double"&gt;24.5&lt;/D&gt;&lt;D xsi:type="xsd:double"&gt;25.5&lt;/D&gt;&lt;D xsi:type="xsd:double"&gt;24.5&lt;/D&gt;&lt;D xsi:type="xsd:double"&gt;24.5&lt;/D&gt;&lt;D xsi:type="xsd:double"&gt;24.7&lt;/D&gt;&lt;D xsi:type="xsd:double"&gt;26.6&lt;/D&gt;&lt;D xsi:type="xsd:double"&gt;25.5&lt;/D&gt;&lt;D xsi:type="xsd:double"&gt;27.7&lt;/D&gt;&lt;D xsi:type="xsd:double"&gt;26.6&lt;/D&gt;&lt;D xsi:type="xsd:double"&gt;24.5&lt;/D&gt;&lt;D xsi:type="xsd:double"&gt;24.5&lt;/D&gt;&lt;D xsi:type="xsd:double"&gt;24.5&lt;/D&gt;&lt;D xsi:type="xsd:double"&gt;24.7&lt;/D&gt;&lt;D xsi:type="xsd:double"&gt;25.6&lt;/D&gt;&lt;D xsi:type="xsd:double"&gt;26.6&lt;/D&gt;&lt;D xsi:type="xsd:double"&gt;26.6&lt;/D&gt;&lt;D xsi:type="xsd:double"&gt;24.5&lt;/D&gt;&lt;D xsi:type="xsd:double"&gt;26.6&lt;/D&gt;&lt;D xsi:type="xsd:double"&gt;22.3&lt;/D&gt;&lt;D xsi:type="xsd:double"&gt;20.4&lt;/D&gt;&lt;D xsi:type="xsd:double"&gt;20.4&lt;/D&gt;&lt;D xsi:type="xsd:double"&gt;23.7&lt;/D&gt;&lt;D xsi:type="xsd:double"&gt;23.7&lt;/D&gt;&lt;D xsi:type="xsd:double"&gt;21.5&lt;/D&gt;&lt;D xsi:type="xsd:double"&gt;21.5&lt;/D&gt;&lt;D xsi:type="xsd:double"&gt;22.6&lt;/D&gt;&lt;D xsi:type="xsd:double"&gt;23.6&lt;/D&gt;&lt;D xsi:type="xsd:double"&gt;26.6&lt;/D&gt;&lt;D xsi:type="xsd:double"&gt;26.6&lt;/D&gt;&lt;D xsi:type="xsd:double"&gt;25.5&lt;/D&gt;&lt;D xsi:type="xsd:double"&gt;26.6&lt;/D&gt;&lt;D xsi:type="xsd:double"&gt;25.8&lt;/D&gt;&lt;D xsi:type="xsd:double"&gt;28.7&lt;/D&gt;&lt;D xsi:type="xsd:double"&gt;29.8&lt;/D&gt;&lt;D xsi:type="xsd:double"&gt;28.7&lt;/D&gt;&lt;D xsi:type="xsd:double"&gt;29.8&lt;/D&gt;&lt;D xsi:type="xsd:double"&gt;29.8&lt;/D&gt;&lt;D xsi:type="xsd:double"&gt;30.5&lt;/D&gt;&lt;D xsi:type="xsd:double"&gt;29.5&lt;/D&gt;&lt;D xsi:type="xsd:double"&gt;30.5&lt;/D&gt;&lt;D xsi:type="xsd:double"&gt;30.5&lt;/D&gt;&lt;D xsi:type="xsd:double"&gt;29.5&lt;/D&gt;&lt;D xsi:type="xsd:double"&gt;30.5&lt;/D&gt;&lt;D xsi:type="xsd:double"&gt;32.6&lt;/D&gt;&lt;D xsi:type="xsd:double"&gt;32.6&lt;/D&gt;&lt;D xsi:type="xsd:double"&gt;34.7&lt;/D&gt;&lt;D xsi:type="xsd:double"&gt;36.8&lt;/D&gt;&lt;D xsi:type="xsd:double"&gt;37.9&lt;/D&gt;&lt;D xsi:type="xsd:double"&gt;41&lt;/D&gt;&lt;D xsi:type="xsd:double"&gt;46.3&lt;/D&gt;&lt;D xsi:type="xsd:double"&gt;45.2&lt;/D&gt;&lt;D xsi:type="xsd:double"&gt;40.9&lt;/D&gt;&lt;D xsi:type="xsd:double"&gt;39.8&lt;/D&gt;&lt;D xsi:type="xsd:double"&gt;40.9&lt;/D&gt;&lt;D xsi:type="xsd:double"&gt;37.6&lt;/D&gt;&lt;D xsi:type="xsd:double"&gt;36.6&lt;/D&gt;&lt;D xsi:type="xsd:double"&gt;33.3&lt;/D&gt;&lt;D xsi:type="xsd:double"&gt;23.7&lt;/D&gt;&lt;D xsi:type="xsd:double"&gt;23.7&lt;/D&gt;&lt;D xsi:type="xsd:double"&gt;24.7&lt;/D&gt;&lt;D xsi:type="xsd:double"&gt;21.5&lt;/D&gt;&lt;D xsi:type="xsd:double"&gt;21.5&lt;/D&gt;&lt;D xsi:type="xsd:double"&gt;22.6&lt;/D&gt;&lt;D xsi:type="xsd:double"&gt;24.7&lt;/D&gt;&lt;D xsi:type="xsd:double"&gt;26.9&lt;/D&gt;&lt;D xsi:type="xsd:double"&gt;28&lt;/D&gt;&lt;D xsi:type="xsd:double"&gt;26&lt;/D&gt;&lt;D xsi:type="xsd:double"&gt;22.6&lt;/D&gt;&lt;D xsi:type="xsd:double"&gt;20.4&lt;/D&gt;&lt;D xsi:type="xsd:double"&gt;19.4&lt;/D&gt;&lt;D xsi:type="xsd:double"&gt;19.6&lt;/D&gt;&lt;D xsi:type="xsd:double"&gt;18.5&lt;/D&gt;&lt;D xsi:type="xsd:double"&gt;16.5&lt;/D&gt;&lt;D xsi:type="xsd:double"&gt;18.5&lt;/D&gt;&lt;D xsi:type="xsd:double"&gt;19.2&lt;/D&gt;&lt;D xsi:type="xsd:double"&gt;16.3&lt;/D&gt;&lt;D xsi:type="xsd:double"&gt;15.7&lt;/D&gt;&lt;D xsi:type="xsd:double"&gt;23.1&lt;/D&gt;&lt;D xsi:type="xsd:double"&gt;22.4&lt;/D&gt;&lt;D xsi:type="xsd:double"&gt;22.3&lt;/D&gt;&lt;D xsi:type="xsd:double"&gt;21.1&lt;/D&gt;&lt;D xsi:type="xsd:double"&gt;19.5&lt;/D&gt;&lt;D xsi:type="xsd:double"&gt;18.9&lt;/D&gt;&lt;D xsi:type="xsd:double"&gt;19.6&lt;/D&gt;&lt;D xsi:type="xsd:double"&gt;23.3&lt;/D&gt;&lt;D xsi:type="xsd:double"&gt;22&lt;/D&gt;&lt;D xsi:type="xsd:double"&gt;19.1&lt;/D&gt;&lt;D xsi:type="xsd:double"&gt;20.9&lt;/D&gt;&lt;D xsi:type="xsd:double"&gt;19.1&lt;/D&gt;&lt;D xsi:type="xsd:double"&gt;20.5&lt;/D&gt;&lt;D xsi:type="xsd:double"&gt;20&lt;/D&gt;&lt;D xsi:type="xsd:double"&gt;20.6&lt;/D&gt;&lt;D xsi:type="xsd:double"&gt;20.5&lt;/D&gt;&lt;D xsi:type="xsd:double"&gt;21.3&lt;/D&gt;&lt;D xsi:type="xsd:double"&gt;21.8&lt;/D&gt;&lt;D xsi:type="xsd:double"&gt;21.6&lt;/D&gt;&lt;D xsi:type="xsd:double"&gt;20.2&lt;/D&gt;&lt;D xsi:type="xsd:double"&gt;23.1&lt;/D&gt;&lt;D xsi:type="xsd:double"&gt;24.4&lt;/D&gt;&lt;D xsi:type="xsd:double"&gt;24.4&lt;/D&gt;&lt;D xsi:type="xsd:double"&gt;22&lt;/D&gt;&lt;D xsi:type="xsd:double"&gt;24.7&lt;/D&gt;&lt;D xsi:type="xsd:double"&gt;28.3&lt;/D&gt;&lt;D xsi:type="xsd:double"&gt;27.8&lt;/D&gt;&lt;D xsi:type="xsd:double"&gt;29.3&lt;/D&gt;&lt;D xsi:type="xsd:double"&gt;31.1&lt;/D&gt;&lt;D xsi:type="xsd:double"&gt;32.2&lt;/D&gt;&lt;D xsi:type="xsd:double"&gt;37.7&lt;/D&gt;&lt;D xsi:type="xsd:double"&gt;31.2&lt;/D&gt;&lt;D xsi:type="xsd:double"&gt;31.1&lt;/D&gt;&lt;D xsi:type="xsd:double"&gt;27.5&lt;/D&gt;&lt;D xsi:type="xsd:double"&gt;33.3&lt;/D&gt;&lt;D xsi:type="xsd:double"&gt;34.9&lt;/D&gt;&lt;D xsi:type="xsd:double"&gt;35.6&lt;/D&gt;&lt;D xsi:type="xsd:double"&gt;34.8&lt;/D&gt;&lt;D xsi:type="xsd:double"&gt;34.8&lt;/D&gt;&lt;D xsi:type="xsd:double"&gt;33.3&lt;/D&gt;&lt;D xsi:type="xsd:double"&gt;31.1&lt;/D&gt;&lt;D xsi:type="xsd:double"&gt;32.6&lt;/D&gt;&lt;D xsi:type="xsd:double"&gt;31.9&lt;/D&gt;&lt;D xsi:type="xsd:double"&gt;28.4&lt;/D&gt;&lt;D xsi:type="xsd:double"&gt;29.2&lt;/D&gt;&lt;D xsi:type="xsd:double"&gt;24.7&lt;/D&gt;&lt;D xsi:type="xsd:double"&gt;24.7&lt;/D&gt;&lt;D xsi:type="xsd:double"&gt;18.7&lt;/D&gt;&lt;D xsi:type="xsd:double"&gt;18&lt;/D&gt;&lt;D xsi:type="xsd:double"&gt;17.4&lt;/D&gt;&lt;D xsi:type="xsd:double"&gt;18.9&lt;/D&gt;&lt;D xsi:type="xsd:double"&gt;18.9&lt;/D&gt;&lt;D xsi:type="xsd:double"&gt;19.1&lt;/D&gt;&lt;D xsi:type="xsd:double"&gt;20.5&lt;/D&gt;&lt;D xsi:type="xsd:double"&gt;21.3&lt;/D&gt;&lt;D xsi:type="xsd:double"&gt;23.6&lt;/D&gt;&lt;D xsi:type="xsd:double"&gt;22.7&lt;/D&gt;&lt;D xsi:type="xsd:double"&gt;23.3&lt;/D&gt;&lt;D xsi:type="xsd:double"&gt;27.8&lt;/D&gt;&lt;D xsi:type="xsd:double"&gt;26.1&lt;/D&gt;&lt;D xsi:type="xsd:double"&gt;22.2&lt;/D&gt;&lt;D xsi:type="xsd:double"&gt;23.3&lt;/D&gt;&lt;D xsi:type="xsd:double"&gt;18.9&lt;/D&gt;&lt;D xsi:type="xsd:double"&gt;15.9&lt;/D&gt;&lt;D xsi:type="xsd:double"&gt;16.9&lt;/D&gt;&lt;D xsi:type="xsd:double"&gt;15.6&lt;/D&gt;&lt;D xsi:type="xsd:double"&gt;16.7&lt;/D&gt;&lt;D xsi:type="xsd:double"&gt;16.7&lt;/D&gt;&lt;D xsi:type="xsd:double"&gt;16.5&lt;/D&gt;&lt;D xsi:type="xsd:double"&gt;16.7&lt;/D&gt;&lt;D xsi:type="xsd:double"&gt;17.6&lt;/D&gt;&lt;D xsi:type="xsd:double"&gt;21.3&lt;/D&gt;&lt;D xsi:type="xsd:double"&gt;26.7&lt;/D&gt;&lt;D xsi:type="xsd:double"&gt;24.7&lt;/D&gt;&lt;D xsi:type="xsd:double"&gt;22.5&lt;/D&gt;&lt;D xsi:type="xsd:double"&gt;23.1&lt;/D&gt;&lt;D xsi:type="xsd:double"&gt;26.4&lt;/D&gt;&lt;D xsi:type="xsd:double"&gt;24.4&lt;/D&gt;&lt;D xsi:type="xsd:double"&gt;23.6&lt;/D&gt;&lt;D xsi:type="xsd:double"&gt;24.4&lt;/D&gt;&lt;D xsi:type="xsd:double"&gt;24.4&lt;/D&gt;&lt;D xsi:type="xsd:double"&gt;23.6&lt;/D&gt;&lt;D xsi:type="xsd:double"&gt;24.1&lt;/D&gt;&lt;D xsi:type="xsd:double"&gt;19.8&lt;/D&gt;&lt;D xsi:type="xsd:double"&gt;23.1&lt;/D&gt;&lt;D xsi:type="xsd:double"&gt;21.3&lt;/D&gt;&lt;D xsi:type="xsd:double"&gt;25.8&lt;/D&gt;&lt;D xsi:type="xsd:double"&gt;31.1&lt;/D&gt;&lt;D xsi:type="xsd:double"&gt;35.6&lt;/D&gt;&lt;D xsi:type="xsd:double"&gt;35.6&lt;/D&gt;&lt;D xsi:type="xsd:double"&gt;30.3&lt;/D&gt;&lt;D xsi:type="xsd:double"&gt;29.9&lt;/D&gt;&lt;D xsi:type="xsd:double"&gt;28.7&lt;/D&gt;&lt;D xsi:type="xsd:double"&gt;26.4&lt;/D&gt;&lt;D xsi:type="xsd:double"&gt;23.3&lt;/D&gt;&lt;D xsi:type="xsd:double"&gt;25.3&lt;/D&gt;&lt;D xsi:type="xsd:double"&gt;28.4&lt;/D&gt;&lt;D xsi:type="xsd:double"&gt;29.1&lt;/D&gt;&lt;D xsi:type="xsd:double"&gt;33.7&lt;/D&gt;&lt;D xsi:type="xsd:double"&gt;31.5&lt;/D&gt;&lt;D xsi:type="xsd:double"&gt;37.2&lt;/D&gt;&lt;D xsi:type="xsd:double"&gt;34.5&lt;/D&gt;&lt;D xsi:type="xsd:double"&gt;34.1&lt;/D&gt;&lt;D xsi:type="xsd:double"&gt;37.1&lt;/D&gt;&lt;D xsi:type="xsd:double"&gt;38&lt;/D&gt;&lt;D xsi:type="xsd:double"&gt;43.3&lt;/D&gt;&lt;D xsi:type="xsd:double"&gt;44.3&lt;/D&gt;&lt;D xsi:type="xsd:double"&gt;47.2&lt;/D&gt;&lt;D xsi:type="xsd:double"&gt;44&lt;/D&gt;&lt;D xsi:type="xsd:double"&gt;45.1&lt;/D&gt;&lt;D xsi:type="xsd:double"&gt;41.1&lt;/D&gt;&lt;D xsi:type="xsd:double"&gt;38.7&lt;/D&gt;&lt;D xsi:type="xsd:double"&gt;36.3&lt;/D&gt;&lt;D xsi:type="xsd:double"&gt;38&lt;/D&gt;&lt;D xsi:type="xsd:double"&gt;37.6&lt;/D&gt;&lt;D xsi:type="xsd:double"&gt;34.4&lt;/D&gt;&lt;D xsi:type="xsd:double"&gt;34.1&lt;/D&gt;&lt;D xsi:type="xsd:double"&gt;38.5&lt;/D&gt;&lt;D xsi:type="xsd:double"&gt;38.3&lt;/D&gt;&lt;D xsi:type="xsd:double"&gt;47.3&lt;/D&gt;&lt;D xsi:type="xsd:double"&gt;46.2&lt;/D&gt;&lt;D xsi:type="xsd:double"&gt;49.5&lt;/D&gt;&lt;D xsi:type="xsd:double"&gt;44.1&lt;/D&gt;&lt;D xsi:type="xsd:double"&gt;43.6&lt;/D&gt;&lt;D xsi:type="xsd:double"&gt;46.1&lt;/D&gt;&lt;D xsi:type="xsd:double"&gt;48.3&lt;/D&gt;&lt;D xsi:type="xsd:double"&gt;52.7&lt;/D&gt;&lt;D xsi:type="xsd:double"&gt;54.4&lt;/D&gt;&lt;D xsi:type="xsd:double"&gt;52.9&lt;/D&gt;&lt;D xsi:type="xsd:double"&gt;53&lt;/D&gt;&lt;D xsi:type="xsd:double"&gt;47.2&lt;/D&gt;&lt;D xsi:type="xsd:double"&gt;40.9&lt;/D&gt;&lt;D xsi:type="xsd:double"&gt;43.7&lt;/D&gt;&lt;D xsi:type="xsd:double"&gt;41.6&lt;/D&gt;&lt;D xsi:type="xsd:double"&gt;40&lt;/D&gt;&lt;D xsi:type="xsd:double"&gt;39.3&lt;/D&gt;&lt;D xsi:type="xsd:double"&gt;38.4&lt;/D&gt;&lt;D xsi:type="xsd:double"&gt;45.5&lt;/D&gt;&lt;D xsi:type="xsd:double"&gt;43.6&lt;/D&gt;&lt;D xsi:type="xsd:double"&gt;50&lt;/D&gt;&lt;D xsi:type="xsd:double"&gt;49.4&lt;/D&gt;&lt;D xsi:type="xsd:double"&gt;48.9&lt;/D&gt;&lt;D xsi:type="xsd:double"&gt;47.3&lt;/D&gt;&lt;D xsi:type="xsd:double"&gt;44.7&lt;/D&gt;&lt;D xsi:type="xsd:double"&gt;39.3&lt;/D&gt;&lt;D xsi:type="xsd:double"&gt;37.4&lt;/D&gt;&lt;D xsi:type="xsd:double"&gt;32.6&lt;/D&gt;&lt;D xsi:type="xsd:double"&gt;31.1&lt;/D&gt;&lt;D xsi:type="xsd:double"&gt;32.2&lt;/D&gt;&lt;D xsi:type="xsd:double"&gt;30.8&lt;/D&gt;&lt;D xsi:type="xsd:double"&gt;29.9&lt;/D&gt;&lt;D xsi:type="xsd:double"&gt;32.3&lt;/D&gt;&lt;D xsi:type="xsd:double"&gt;31.8&lt;/D&gt;&lt;D xsi:type="xsd:double"&gt;35.6&lt;/D&gt;&lt;D xsi:type="xsd:double"&gt;38.9&lt;/D&gt;&lt;D xsi:type="xsd:double"&gt;38.5&lt;/D&gt;&lt;D xsi:type="xsd:double"&gt;37.5&lt;/D&gt;&lt;D xsi:type="xsd:double"&gt;41.1&lt;/D&gt;&lt;D xsi:type="xsd:double"&gt;44.7&lt;/D&gt;&lt;D xsi:type="xsd:double"&gt;43.3&lt;/D&gt;&lt;D xsi:type="xsd:double"&gt;36.6&lt;/D&gt;&lt;D xsi:type="xsd:double"&gt;36.4&lt;/D&gt;&lt;D xsi:type="xsd:double"&gt;33.7&lt;/D&gt;&lt;D xsi:type="xsd:double"&gt;35.6&lt;/D&gt;&lt;D xsi:type="xsd:double"&gt;32.6&lt;/D&gt;&lt;D xsi:type="xsd:double"&gt;32.2&lt;/D&gt;&lt;D xsi:type="xsd:double"&gt;31.5&lt;/D&gt;&lt;D xsi:type="xsd:double"&gt;26.7&lt;/D&gt;&lt;D xsi:type="xsd:double"&gt;25.8&lt;/D&gt;&lt;D xsi:type="xsd:double"&gt;24.5&lt;/D&gt;&lt;D xsi:type="xsd:double"&gt;23.1&lt;/D&gt;&lt;D xsi:type="xsd:double"&gt;22.4&lt;/D&gt;&lt;D xsi:type="xsd:double"&gt;25.6&lt;/D&gt;&lt;D xsi:type="xsd:double"&gt;27.6&lt;/D&gt;&lt;D xsi:type="xsd:double"&gt;29&lt;/D&gt;&lt;D xsi:type="xsd:double"&gt;26.6&lt;/D&gt;&lt;D xsi:type="xsd:double"&gt;26.7&lt;/D&gt;&lt;D xsi:type="xsd:double"&gt;22.2&lt;/D&gt;&lt;D xsi:type="xsd:double"&gt;23.1&lt;/D&gt;&lt;D xsi:type="xsd:double"&gt;22.9&lt;/D&gt;&lt;D xsi:type="xsd:double"&gt;19.6&lt;/D&gt;&lt;D xsi:type="xsd:double"&gt;21.5&lt;/D&gt;&lt;D xsi:type="xsd:double"&gt;25&lt;/D&gt;&lt;D xsi:type="xsd:double"&gt;25.6&lt;/D&gt;&lt;D xsi:type="xsd:double"&gt;27&lt;/D&gt;&lt;D xsi:type="xsd:double"&gt;31&lt;/D&gt;&lt;D xsi:type="xsd:double"&gt;37.4&lt;/D&gt;&lt;D xsi:type="xsd:double"&gt;37.4&lt;/D&gt;&lt;D xsi:type="xsd:double"&gt;37.4&lt;/D&gt;&lt;D xsi:type="xsd:double"&gt;32.6&lt;/D&gt;&lt;D xsi:type="xsd:double"&gt;31.5&lt;/D&gt;&lt;D xsi:type="xsd:double"&gt;26.4&lt;/D&gt;&lt;D xsi:type="xsd:double"&gt;18&lt;/D&gt;&lt;D xsi:type="xsd:double"&gt;19.3&lt;/D&gt;&lt;D xsi:type="xsd:double"&gt;21.3&lt;/D&gt;&lt;D xsi:type="xsd:double"&gt;18&lt;/D&gt;&lt;D xsi:type="xsd:double"&gt;20.4&lt;/D&gt;&lt;D xsi:type="xsd:double"&gt;18.9&lt;/D&gt;&lt;D xsi:type="xsd:double"&gt;21.1&lt;/D&gt;&lt;D xsi:type="xsd:double"&gt;22.8&lt;/D&gt;&lt;D xsi:type="xsd:double"&gt;21.5&lt;/D&gt;&lt;D xsi:type="xsd:double"&gt;20.7&lt;/D&gt;&lt;D xsi:type="xsd:double"&gt;19.6&lt;/D&gt;&lt;D xsi:type="xsd:double"&gt;20&lt;/D&gt;&lt;D xsi:type="xsd:double"&gt;24.7&lt;/D&gt;&lt;D xsi:type="xsd:double"&gt;26.1&lt;/D&gt;&lt;D xsi:type="xsd:double"&gt;25.3&lt;/D&gt;&lt;D xsi:type="xsd:double"&gt;27.5&lt;/D&gt;&lt;D xsi:type="xsd:double"&gt;25.8&lt;/D&gt;&lt;D xsi:type="xsd:double"&gt;27.5&lt;/D&gt;&lt;D xsi:type="xsd:double"&gt;28.4&lt;/D&gt;&lt;D xsi:type="xsd:double"&gt;28.9&lt;/D&gt;&lt;D xsi:type="xsd:double"&gt;26.9&lt;/D&gt;&lt;D xsi:type="xsd:double"&gt;24.2&lt;/D&gt;&lt;D xsi:type="xsd:double"&gt;22.2&lt;/D&gt;&lt;D xsi:type="xsd:double"&gt;21.1&lt;/D&gt;&lt;D xsi:type="xsd:double"&gt;22.2&lt;/D&gt;&lt;D xsi:type="xsd:double"&gt;21.1&lt;/D&gt;&lt;D xsi:type="xsd:double"&gt;20.9&lt;/D&gt;&lt;D xsi:type="xsd:double"&gt;22.1&lt;/D&gt;&lt;D xsi:type="xsd:double"&gt;20.7&lt;/D&gt;&lt;D xsi:type="xsd:double"&gt;21.3&lt;/D&gt;&lt;D xsi:type="xsd:double"&gt;19.6&lt;/D&gt;&lt;D xsi:type="xsd:double"&gt;20.6&lt;/D&gt;&lt;D xsi:type="xsd:double"&gt;21.3&lt;/D&gt;&lt;D xsi:type="xsd:double"&gt;23.9&lt;/D&gt;&lt;D xsi:type="xsd:double"&gt;22.3&lt;/D&gt;&lt;D xsi:type="xsd:double"&gt;22.3&lt;/D&gt;&lt;D xsi:type="xsd:double"&gt;22.3&lt;/D&gt;&lt;D xsi:type="xsd:double"&gt;26&lt;/D&gt;&lt;D xsi:type="xsd:double"&gt;28.4&lt;/D&gt;&lt;D xsi:type="xsd:double"&gt;30.1&lt;/D&gt;&lt;D xsi:type="xsd:double"&gt;30&lt;/D&gt;&lt;D xsi:type="xsd:double"&gt;30.4&lt;/D&gt;&lt;D xsi:type="xsd:double"&gt;33.3&lt;/D&gt;&lt;D xsi:type="xsd:double"&gt;33.7&lt;/D&gt;&lt;D xsi:type="xsd:double"&gt;33.7&lt;/D&gt;&lt;D xsi:type="xsd:double"&gt;35.4&lt;/D&gt;&lt;D xsi:type="xsd:double"&gt;33.7&lt;/D&gt;&lt;D xsi:type="xsd:double"&gt;33.7&lt;/D&gt;&lt;D xsi:type="xsd:double"&gt;34.7&lt;/D&gt;&lt;D xsi:type="xsd:double"&gt;36.6&lt;/D&gt;&lt;D xsi:type="xsd:double"&gt;37.1&lt;/D&gt;&lt;D xsi:type="xsd:double"&gt;36.2&lt;/D&gt;&lt;D xsi:type="xsd:double"&gt;34.5&lt;/D&gt;&lt;D xsi:type="xsd:double"&gt;33.7&lt;/D&gt;&lt;D xsi:type="xsd:double"&gt;33.3&lt;/D&gt;&lt;D xsi:type="xsd:double"&gt;34.4&lt;/D&gt;&lt;D xsi:type="xsd:double"&gt;36.3&lt;/D&gt;&lt;D xsi:type="xsd:double"&gt;35.6&lt;/D&gt;&lt;D xsi:type="xsd:double"&gt;34.4&lt;/D&gt;&lt;D xsi:type="xsd:double"&gt;31.5&lt;/D&gt;&lt;D xsi:type="xsd:double"&gt;29.8&lt;/D&gt;&lt;D xsi:type="xsd:double"&gt;27.6&lt;/D&gt;&lt;D xsi:type="xsd:double"&gt;25.3&lt;/D&gt;&lt;D xsi:type="xsd:double"&gt;26.8&lt;/D&gt;&lt;D xsi:type="xsd:double"&gt;28.6&lt;/D&gt;&lt;D xsi:type="xsd:double"&gt;25.8&lt;/D&gt;&lt;D xsi:type="xsd:double"&gt;26&lt;/D&gt;&lt;D xsi:type="xsd:double"&gt;24.5&lt;/D&gt;&lt;D xsi:type="xsd:double"&gt;27.8&lt;/D&gt;&lt;D xsi:type="xsd:double"&gt;28.3&lt;/D&gt;&lt;D xsi:type="xsd:double"&gt;30.5&lt;/D&gt;&lt;D xsi:type="xsd:double"&gt;33&lt;/D&gt;&lt;D xsi:type="xsd:double"&gt;31.3&lt;/D&gt;&lt;D xsi:type="xsd:double"&gt;30.8&lt;/D&gt;&lt;D xsi:type="xsd:double"&gt;29.5&lt;/D&gt;&lt;D xsi:type="xsd:double"&gt;27.7&lt;/D&gt;&lt;D xsi:type="xsd:double"&gt;25.3&lt;/D&gt;&lt;D xsi:type="xsd:double"&gt;25.8&lt;/D&gt;&lt;D xsi:type="xsd:double"&gt;25.3&lt;/D&gt;&lt;D xsi:type="xsd:double"&gt;22.9&lt;/D&gt;&lt;D xsi:type="xsd:double"&gt;22.1&lt;/D&gt;&lt;D xsi:type="xsd:double"&gt;23.7&lt;/D&gt;&lt;D xsi:type="xsd:double"&gt;20.8&lt;/D&gt;&lt;D xsi:type="xsd:double"&gt;21&lt;/D&gt;&lt;D xsi:type="xsd:double"&gt;21.6&lt;/D&gt;&lt;D xsi:type="xsd:double"&gt;21.9&lt;/D&gt;&lt;D xsi:type="xsd:double"&gt;21.1&lt;/D&gt;&lt;D xsi:type="xsd:double"&gt;23.2&lt;/D&gt;&lt;D xsi:type="xsd:double"&gt;22.9&lt;/D&gt;&lt;D xsi:type="xsd:double"&gt;24.7&lt;/D&gt;&lt;D xsi:type="xsd:double"&gt;26.8&lt;/D&gt;&lt;D xsi:type="xsd:double"&gt;29.2&lt;/D&gt;&lt;D xsi:type="xsd:double"&gt;29.5&lt;/D&gt;&lt;D xsi:type="xsd:double"&gt;29.2&lt;/D&gt;&lt;D xsi:type="xsd:double"&gt;27.8&lt;/D&gt;&lt;D xsi:type="xsd:double"&gt;26.6&lt;/D&gt;&lt;D xsi:type="xsd:double"&gt;25.5&lt;/D&gt;&lt;D xsi:type="xsd:double"&gt;26.6&lt;/D&gt;&lt;D xsi:type="xsd:double"&gt;28.1&lt;/D&gt;&lt;D xsi:type="xsd:double"&gt;27.3&lt;/D&gt;&lt;D xsi:type="xsd:double"&gt;25&lt;/D&gt;&lt;D xsi:type="xsd:double"&gt;22.5&lt;/D&gt;&lt;D xsi:type="xsd:double"&gt;19.3&lt;/D&gt;&lt;D xsi:type="xsd:double"&gt;22.5&lt;/D&gt;&lt;D xsi:type="xsd:double"&gt;22.6&lt;/D&gt;&lt;D xsi:type="xsd:double"&gt;23.1&lt;/D&gt;&lt;D xsi:type="xsd:double"&gt;22.2&lt;/D&gt;&lt;D xsi:type="xsd:double"&gt;21.4&lt;/D&gt;&lt;D xsi:type="xsd:double"&gt;19.1&lt;/D&gt;&lt;D xsi:type="xsd:double"&gt;20.2&lt;/D&gt;&lt;D xsi:type="xsd:double"&gt;20.4&lt;/D&gt;&lt;D xsi:type="xsd:double"&gt;20.9&lt;/D&gt;&lt;D xsi:type="xsd:double"&gt;25&lt;/D&gt;&lt;D xsi:type="xsd:double"&gt;26.1&lt;/D&gt;&lt;D xsi:type="xsd:double"&gt;28.6&lt;/D&gt;&lt;D xsi:type="xsd:double"&gt;28&lt;/D&gt;&lt;D xsi:type="xsd:double"&gt;30.4&lt;/D&gt;&lt;D xsi:type="xsd:double"&gt;29.7&lt;/D&gt;&lt;D xsi:type="xsd:double"&gt;26.9&lt;/D&gt;&lt;D xsi:type="xsd:double"&gt;29&lt;/D&gt;&lt;D xsi:type="xsd:double"&gt;29.2&lt;/D&gt;&lt;D xsi:type="xsd:double"&gt;28&lt;/D&gt;&lt;D xsi:type="xsd:double"&gt;27.8&lt;/D&gt;&lt;D xsi:type="xsd:double"&gt;24.3&lt;/D&gt;&lt;D xsi:type="xsd:double"&gt;21.6&lt;/D&gt;&lt;D xsi:type="xsd:double"&gt;22.1&lt;/D&gt;&lt;D xsi:type="xsd:double"&gt;21.4&lt;/D&gt;&lt;D xsi:type="xsd:double"&gt;21.2&lt;/D&gt;&lt;D xsi:type="xsd:double"&gt;23.2&lt;/D&gt;&lt;D xsi:type="xsd:double"&gt;25.3&lt;/D&gt;&lt;D xsi:type="xsd:double"&gt;24&lt;/D&gt;&lt;D xsi:type="xsd:double"&gt;24.7&lt;/D&gt;&lt;D xsi:type="xsd:double"&gt;22.9&lt;/D&gt;&lt;D xsi:type="xsd:double"&gt;20.6&lt;/D&gt;&lt;D xsi:type="xsd:double"&gt;19.6&lt;/D&gt;&lt;D xsi:type="xsd:double"&gt;20.4&lt;/D&gt;&lt;D xsi:type="xsd:double"&gt;21.1&lt;/D&gt;&lt;D xsi:type="xsd:double"&gt;21.7&lt;/D&gt;&lt;D xsi:type="xsd:double"&gt;22.9&lt;/D&gt;&lt;D xsi:type="xsd:double"&gt;23.5&lt;/D&gt;&lt;D xsi:type="xsd:double"&gt;22.4&lt;/D&gt;&lt;D xsi:type="xsd:double"&gt;22.6&lt;/D&gt;&lt;D xsi:type="xsd:double"&gt;23.7&lt;/D&gt;&lt;D xsi:type="xsd:double"&gt;25.5&lt;/D&gt;&lt;D xsi:type="xsd:double"&gt;22.1&lt;/D&gt;&lt;D xsi:type="xsd:double"&gt;23.5&lt;/D&gt;&lt;D xsi:type="xsd:double"&gt;24.2&lt;/D&gt;&lt;D xsi:type="xsd:double"&gt;22.9&lt;/D&gt;&lt;D xsi:type="xsd:double"&gt;22.9&lt;/D&gt;&lt;D xsi:type="xsd:double"&gt;24.5&lt;/D&gt;&lt;D xsi:type="xsd:double"&gt;26.5&lt;/D&gt;&lt;D xsi:type="xsd:double"&gt;27.7&lt;/D&gt;&lt;D xsi:type="xsd:double"&gt;30.2&lt;/D&gt;&lt;/FQL&gt;&lt;FQL&gt;&lt;Q&gt;^FDS_ECON_DATA('ISMBUS@NM',0,0/0/-10,M,STEP,AVERAGE,1)&lt;/Q&gt;&lt;R&gt;120&lt;/R&gt;&lt;C&gt;1&lt;/C&gt;&lt;D xsi:type="xsd:double"&gt;54.5&lt;/D&gt;&lt;D xsi:type="xsd:double"&gt;49.6&lt;/D&gt;&lt;D xsi:type="xsd:double"&gt;61.2&lt;/D&gt;&lt;D xsi:type="xsd:double"&gt;50.9&lt;/D&gt;&lt;D xsi:type="xsd:double"&gt;57.4&lt;/D&gt;&lt;D xsi:type="xsd:double"&gt;57.2&lt;/D&gt;&lt;D xsi:type="xsd:double"&gt;55.8&lt;/D&gt;&lt;D xsi:type="xsd:double"&gt;55.8&lt;/D&gt;&lt;D xsi:type="xsd:double"&gt;54.9&lt;/D&gt;&lt;D xsi:type="xsd:double"&gt;54.5&lt;/D&gt;&lt;D xsi:type="xsd:double"&gt;58.1&lt;/D&gt;&lt;D xsi:type="xsd:double"&gt;57.1&lt;/D&gt;&lt;D xsi:type="xsd:double"&gt;57&lt;/D&gt;&lt;D xsi:type="xsd:double"&gt;58.2&lt;/D&gt;&lt;D xsi:type="xsd:double"&gt;52.9&lt;/D&gt;&lt;D xsi:type="xsd:double"&gt;53.3&lt;/D&gt;&lt;D xsi:type="xsd:double"&gt;55.4&lt;/D&gt;&lt;D xsi:type="xsd:double"&gt;56.7&lt;/D&gt;&lt;D xsi:type="xsd:double"&gt;59.2&lt;/D&gt;&lt;D xsi:type="xsd:double"&gt;52.7&lt;/D&gt;&lt;D xsi:type="xsd:double"&gt;61.2&lt;/D&gt;&lt;D xsi:type="xsd:double"&gt;56.3&lt;/D&gt;&lt;D xsi:type="xsd:double"&gt;57.5&lt;/D&gt;&lt;D xsi:type="xsd:double"&gt;59.2&lt;/D&gt;&lt;D xsi:type="xsd:double"&gt;58.7&lt;/D&gt;&lt;D xsi:type="xsd:double"&gt;56.7&lt;/D&gt;&lt;D xsi:type="xsd:double"&gt;56.9&lt;/D&gt;&lt;D xsi:type="xsd:double"&gt;60.2&lt;/D&gt;&lt;D xsi:type="xsd:double"&gt;57.6&lt;/D&gt;&lt;D xsi:type="xsd:double"&gt;56.7&lt;/D&gt;&lt;D xsi:type="xsd:double"&gt;60.5&lt;/D&gt;&lt;D xsi:type="xsd:double"&gt;65.8&lt;/D&gt;&lt;D xsi:type="xsd:double"&gt;69.5&lt;/D&gt;&lt;D xsi:type="xsd:double"&gt;68.8&lt;/D&gt;&lt;D xsi:type="xsd:double"&gt;62.8&lt;/D&gt;&lt;D xsi:type="xsd:double"&gt;60&lt;/D&gt;&lt;D xsi:type="xsd:double"&gt;65.8&lt;/D&gt;&lt;D xsi:type="xsd:double"&gt;61.8&lt;/D&gt;&lt;D xsi:type="xsd:double"&gt;67.2&lt;/D&gt;&lt;D xsi:type="xsd:double"&gt;64.1&lt;/D&gt;&lt;D xsi:type="xsd:double"&gt;68.6&lt;/D&gt;&lt;D xsi:type="xsd:double"&gt;58.2&lt;/D&gt;&lt;D xsi:type="xsd:double"&gt;60&lt;/D&gt;&lt;D xsi:type="xsd:double"&gt;59.8&lt;/D&gt;&lt;D xsi:type="xsd:double"&gt;57.4&lt;/D&gt;&lt;D xsi:type="xsd:double"&gt;60.3&lt;/D&gt;&lt;D xsi:type="xsd:double"&gt;62.5&lt;/D&gt;&lt;D xsi:type="xsd:double"&gt;62.1&lt;/D&gt;&lt;D xsi:type="xsd:double"&gt;63.9&lt;/D&gt;&lt;D xsi:type="xsd:double"&gt;65.3&lt;/D&gt;&lt;D xsi:type="xsd:double"&gt;41.2&lt;/D&gt;&lt;D xsi:type="xsd:double"&gt;26.1&lt;/D&gt;&lt;D xsi:type="xsd:double"&gt;49&lt;/D&gt;&lt;D xsi:type="xsd:double"&gt;60.5&lt;/D&gt;&lt;D xsi:type="xsd:double"&gt;61.6&lt;/D&gt;&lt;D xsi:type="xsd:double"&gt;58.6&lt;/D&gt;&lt;D xsi:type="xsd:double"&gt;52.2&lt;/D&gt;&lt;D xsi:type="xsd:double"&gt;56&lt;/D&gt;&lt;D xsi:type="xsd:double"&gt;56.7&lt;/D&gt;&lt;D xsi:type="xsd:double"&gt;60&lt;/D&gt;&lt;D xsi:type="xsd:double"&gt;54.6&lt;/D&gt;&lt;D xsi:type="xsd:double"&gt;58&lt;/D&gt;&lt;D xsi:type="xsd:double"&gt;59.7&lt;/D&gt;&lt;D xsi:type="xsd:double"&gt;58.9&lt;/D&gt;&lt;D xsi:type="xsd:double"&gt;58.4&lt;/D&gt;&lt;D xsi:type="xsd:double"&gt;65.1&lt;/D&gt;&lt;D xsi:type="xsd:double"&gt;58.3&lt;/D&gt;&lt;D xsi:type="xsd:double"&gt;61.7&lt;/D&gt;&lt;D xsi:type="xsd:double"&gt;64.1&lt;/D&gt;&lt;D xsi:type="xsd:double"&gt;63.7&lt;/D&gt;&lt;D xsi:type="xsd:double"&gt;63.6&lt;/D&gt;&lt;D xsi:type="xsd:double"&gt;62.1&lt;/D&gt;&lt;D xsi:type="xsd:double"&gt;59.7&lt;/D&gt;&lt;D xsi:type="xsd:double"&gt;62.3&lt;/D&gt;&lt;D xsi:type="xsd:double"&gt;59.1&lt;/D&gt;&lt;D xsi:type="xsd:double"&gt;60.1&lt;/D&gt;&lt;D xsi:type="xsd:double"&gt;59.6&lt;/D&gt;&lt;D xsi:type="xsd:double"&gt;62.1&lt;/D&gt;&lt;D xsi:type="xsd:double"&gt;60.9&lt;/D&gt;&lt;D xsi:type="xsd:double"&gt;59.1&lt;/D&gt;&lt;D xsi:type="xsd:double"&gt;60.1&lt;/D&gt;&lt;D xsi:type="xsd:double"&gt;62.7&lt;/D&gt;&lt;D xsi:type="xsd:double"&gt;59.2&lt;/D&gt;&lt;D xsi:type="xsd:double"&gt;58&lt;/D&gt;&lt;D xsi:type="xsd:double"&gt;58.7&lt;/D&gt;&lt;D xsi:type="xsd:double"&gt;59.1&lt;/D&gt;&lt;D xsi:type="xsd:double"&gt;61.1&lt;/D&gt;&lt;D xsi:type="xsd:double"&gt;61.1&lt;/D&gt;&lt;D xsi:type="xsd:double"&gt;60.7&lt;/D&gt;&lt;D xsi:type="xsd:double"&gt;62.2&lt;/D&gt;&lt;D xsi:type="xsd:double"&gt;61.7&lt;/D&gt;&lt;D xsi:type="xsd:double"&gt;59.9&lt;/D&gt;&lt;D xsi:type="xsd:double"&gt;60&lt;/D&gt;&lt;D xsi:type="xsd:double"&gt;57.6&lt;/D&gt;&lt;D xsi:type="xsd:double"&gt;58&lt;/D&gt;&lt;D xsi:type="xsd:double"&gt;54.3&lt;/D&gt;&lt;D xsi:type="xsd:double"&gt;61.5&lt;/D&gt;&lt;D xsi:type="xsd:double"&gt;58&lt;/D&gt;&lt;D xsi:type="xsd:double"&gt;56.6&lt;/D&gt;&lt;D xsi:type="xsd:double"&gt;57.4&lt;/D&gt;&lt;D xsi:type="xsd:double"&gt;60.5&lt;/D&gt;&lt;D xsi:type="xsd:double"&gt;55.9&lt;/D&gt;&lt;D xsi:type="xsd:double"&gt;54.8&lt;/D&gt;&lt;D xsi:type="xsd:double"&gt;59.3&lt;/D&gt;&lt;D xsi:type="xsd:double"&gt;58.4&lt;/D&gt;&lt;D xsi:type="xsd:double"&gt;59.6&lt;/D&gt;&lt;D xsi:type="xsd:double"&gt;59.9&lt;/D&gt;&lt;D xsi:type="xsd:double"&gt;63.1&lt;/D&gt;&lt;D xsi:type="xsd:double"&gt;65.3&lt;/D&gt;&lt;D xsi:type="xsd:double"&gt;60.8&lt;/D&gt;&lt;D xsi:type="xsd:double"&gt;60.8&lt;/D&gt;&lt;D xsi:type="xsd:double"&gt;60.3&lt;/D&gt;&lt;D xsi:type="xsd:double"&gt;61.2&lt;/D&gt;&lt;D xsi:type="xsd:double"&gt;60.2&lt;/D&gt;&lt;D xsi:type="xsd:double"&gt;59.9&lt;/D&gt;&lt;D xsi:type="xsd:double"&gt;61.1&lt;/D&gt;&lt;D xsi:type="xsd:double"&gt;62.1&lt;/D&gt;&lt;D xsi:type="xsd:double"&gt;59.1&lt;/D&gt;&lt;D xsi:type="xsd:double"&gt;61.6&lt;/D&gt;&lt;D xsi:type="xsd:double"&gt;61.9&lt;/D&gt;&lt;/FQL&gt;&lt;FQL&gt;&lt;Q&gt;^ECON_EXPR_SOURCE('RETURNS(FDS_ECON[US.LMCLAIMS,DIST=STEP,CONV=AVERAGE], -1AY)')&lt;/Q&gt;&lt;R&gt;1&lt;/R&gt;&lt;C&gt;1&lt;/C&gt;&lt;D xsi:type="xsd:string"&gt;DOL - US Department of Labor&lt;/D&gt;&lt;/FQL&gt;&lt;FQL&gt;&lt;Q&gt;ACWX-US^FMA_PE(NTMA,NOW,-10AY,W,"PORTAGG","MEANR")&lt;/Q&gt;&lt;R&gt;522&lt;/R&gt;&lt;C&gt;1&lt;/C&gt;&lt;D xsi:type="xsd:double"&gt;13.1076527441647&lt;/D&gt;&lt;D xsi:type="xsd:double"&gt;12.8341312995983&lt;/D&gt;&lt;D xsi:type="xsd:double"&gt;12.9023578721772&lt;/D&gt;&lt;D xsi:type="xsd:double"&gt;13.2960321344875&lt;/D&gt;&lt;D xsi:type="xsd:double"&gt;13.4807269847253&lt;/D&gt;&lt;D xsi:type="xsd:double"&gt;13.8132586289546&lt;/D&gt;&lt;D xsi:type="xsd:double"&gt;13.631048592342&lt;/D&gt;&lt;D xsi:type="xsd:double"&gt;13.4507538487895&lt;/D&gt;&lt;D xsi:type="xsd:double"&gt;13.4401865930423&lt;/D&gt;&lt;D xsi:type="xsd:double"&gt;13.415337986718&lt;/D&gt;&lt;D xsi:type="xsd:double"&gt;13.6269912417466&lt;/D&gt;&lt;D xsi:type="xsd:double"&gt;13.5058944186047&lt;/D&gt;&lt;D xsi:type="xsd:double"&gt;13.6657172607937&lt;/D&gt;&lt;D xsi:type="xsd:double"&gt;13.8258772406356&lt;/D&gt;&lt;D xsi:type="xsd:double"&gt;13.7083981368374&lt;/D&gt;&lt;D xsi:type="xsd:double"&gt;13.5151535905165&lt;/D&gt;&lt;D xsi:type="xsd:double"&gt;13.472283991411&lt;/D&gt;&lt;D xsi:type="xsd:double"&gt;13.1998206644551&lt;/D&gt;&lt;D xsi:type="xsd:double"&gt;13.5613032163212&lt;/D&gt;&lt;D xsi:type="xsd:double"&gt;13.6099958890217&lt;/D&gt;&lt;D xsi:type="xsd:double"&gt;13.7209722334702&lt;/D&gt;&lt;D xsi:type="xsd:double"&gt;13.7521840466212&lt;/D&gt;&lt;D xsi:type="xsd:double"&gt;13.5510979727838&lt;/D&gt;&lt;D xsi:type="xsd:double"&gt;13.6198490248554&lt;/D&gt;&lt;D xsi:type="xsd:double"&gt;13.518549729834&lt;/D&gt;&lt;D xsi:type="xsd:double"&gt;13.4445613882274&lt;/D&gt;&lt;D xsi:type="xsd:double"&gt;13.3105595082718&lt;/D&gt;&lt;D xsi:type="xsd:double"&gt;13.110450000683&lt;/D&gt;&lt;D xsi:type="xsd:double"&gt;13.0276008830314&lt;/D&gt;&lt;D xsi:type="xsd:double"&gt;12.9778743265082&lt;/D&gt;&lt;D xsi:type="xsd:double"&gt;12.7304937577126&lt;/D&gt;&lt;D xsi:type="xsd:double"&gt;12.8780411666974&lt;/D&gt;&lt;D xsi:type="xsd:double"&gt;</t>
        </r>
      </text>
    </comment>
    <comment ref="A13" authorId="0" shapeId="0" xr:uid="{809241F2-95F4-4386-A2C6-55EACB028D68}">
      <text>
        <r>
          <rPr>
            <b/>
            <sz val="9"/>
            <color indexed="81"/>
            <rFont val="Tahoma"/>
            <charset val="1"/>
          </rPr>
          <t>12.8027763411586&lt;/D&gt;&lt;D xsi:type="xsd:double"&gt;12.8956875391573&lt;/D&gt;&lt;D xsi:type="xsd:double"&gt;12.747243416576&lt;/D&gt;&lt;D xsi:type="xsd:double"&gt;12.7294031986064&lt;/D&gt;&lt;D xsi:type="xsd:double"&gt;12.5348025097418&lt;/D&gt;&lt;D xsi:type="xsd:double"&gt;12.5504356968253&lt;/D&gt;&lt;D xsi:type="xsd:double"&gt;12.5197425778035&lt;/D&gt;&lt;D xsi:type="xsd:double"&gt;12.4711563809706&lt;/D&gt;&lt;D xsi:type="xsd:double"&gt;12.170701380301&lt;/D&gt;&lt;D xsi:type="xsd:double"&gt;12.2110317695943&lt;/D&gt;&lt;D xsi:type="xsd:double"&gt;11.8265673111373&lt;/D&gt;&lt;D xsi:type="xsd:double"&gt;11.9429099210029&lt;/D&gt;&lt;D xsi:type="xsd:double"&gt;12.2887557835286&lt;/D&gt;&lt;D xsi:type="xsd:double"&gt;12.1686194551629&lt;/D&gt;&lt;D xsi:type="xsd:double"&gt;12.3661775334605&lt;/D&gt;&lt;D xsi:type="xsd:double"&gt;12.5139856123577&lt;/D&gt;&lt;D xsi:type="xsd:double"&gt;12.7997112394138&lt;/D&gt;&lt;D xsi:type="xsd:double"&gt;12.6282391171392&lt;/D&gt;&lt;D xsi:type="xsd:double"&gt;12.7429415600177&lt;/D&gt;&lt;D xsi:type="xsd:double"&gt;12.4793926837192&lt;/D&gt;&lt;D xsi:type="xsd:double"&gt;12.4391441464724&lt;/D&gt;&lt;D xsi:type="xsd:double"&gt;12.8128628063361&lt;/D&gt;&lt;D xsi:type="xsd:double"&gt;12.865504499319&lt;/D&gt;&lt;D xsi:type="xsd:double"&gt;13.1531653681008&lt;/D&gt;&lt;D xsi:type="xsd:double"&gt;12.9817626801437&lt;/D&gt;&lt;D xsi:type="xsd:double"&gt;12.9481069766769&lt;/D&gt;&lt;D xsi:type="xsd:double"&gt;12.5934870439588&lt;/D&gt;&lt;D xsi:type="xsd:double"&gt;12.8724896409762&lt;/D&gt;&lt;D xsi:type="xsd:double"&gt;12.6735543009308&lt;/D&gt;&lt;D xsi:type="xsd:double"&gt;13.0400957411417&lt;/D&gt;&lt;D xsi:type="xsd:double"&gt;12.7877506981467&lt;/D&gt;&lt;D xsi:type="xsd:double"&gt;12.706537609795&lt;/D&gt;&lt;D xsi:type="xsd:double"&gt;12.6181618823797&lt;/D&gt;&lt;D xsi:type="xsd:double"&gt;12.8096693571137&lt;/D&gt;&lt;D xsi:type="xsd:double"&gt;12.7096645442063&lt;/D&gt;&lt;D xsi:type="xsd:double"&gt;12.7725468973246&lt;/D&gt;&lt;D xsi:type="xsd:double"&gt;12.8247065131001&lt;/D&gt;&lt;D xsi:type="xsd:double"&gt;12.883859194774&lt;/D&gt;&lt;D xsi:type="xsd:double"&gt;12.8779660474052&lt;/D&gt;&lt;D xsi:type="xsd:double"&gt;12.6702788171272&lt;/D&gt;&lt;D xsi:type="xsd:double"&gt;12.678608575966&lt;/D&gt;&lt;D xsi:type="xsd:double"&gt;12.2758864996504&lt;/D&gt;&lt;D xsi:type="xsd:double"&gt;12.1482731429526&lt;/D&gt;&lt;D xsi:type="xsd:double"&gt;12.4866286071561&lt;/D&gt;&lt;D xsi:type="xsd:double"&gt;12.8017540853314&lt;/D&gt;&lt;D xsi:type="xsd:double"&gt;12.5990657840037&lt;/D&gt;&lt;D xsi:type="xsd:double"&gt;12.850289092585&lt;/D&gt;&lt;D xsi:type="xsd:double"&gt;12.8172548095425&lt;/D&gt;&lt;D xsi:type="xsd:double"&gt;12.9213789606873&lt;/D&gt;&lt;D xsi:type="xsd:double"&gt;12.9120580023729&lt;/D&gt;&lt;D xsi:type="xsd:double"&gt;12.7490112158492&lt;/D&gt;&lt;D xsi:type="xsd:double"&gt;12.6253394419105&lt;/D&gt;&lt;D xsi:type="xsd:double"&gt;12.3109404630789&lt;/D&gt;&lt;D xsi:type="xsd:double"&gt;11.9172262861511&lt;/D&gt;&lt;D xsi:type="xsd:double"&gt;11.946582317900999&lt;/D&gt;&lt;D xsi:type="xsd:double"&gt;11.9534426930945&lt;/D&gt;&lt;D xsi:type="xsd:double"&gt;12.2114854981835&lt;/D&gt;&lt;D xsi:type="xsd:double"&gt;12.2321166053928&lt;/D&gt;&lt;D xsi:type="xsd:double"&gt;12.0984780593044&lt;/D&gt;&lt;D xsi:type="xsd:double"&gt;11.9657815651993&lt;/D&gt;&lt;D xsi:type="xsd:double"&gt;11.9088039008619&lt;/D&gt;&lt;D xsi:type="xsd:double"&gt;11.4079370020886&lt;/D&gt;&lt;D xsi:type="xsd:double"&gt;11.1690171198745&lt;/D&gt;&lt;D xsi:type="xsd:double"&gt;10.9877777085749&lt;/D&gt;&lt;D xsi:type="xsd:double"&gt;10.8708247436456&lt;/D&gt;&lt;D xsi:type="xsd:double"&gt;11.0038760782687&lt;/D&gt;&lt;D xsi:type="xsd:double"&gt;10.7593832314956&lt;/D&gt;&lt;D xsi:type="xsd:double"&gt;10.9431380418763&lt;/D&gt;&lt;D xsi:type="xsd:double"&gt;11.3691905565942&lt;/D&gt;&lt;D xsi:type="xsd:double"&gt;11.6250760523151&lt;/D&gt;&lt;D xsi:type="xsd:double"&gt;11.5137911038534&lt;/D&gt;&lt;D xsi:type="xsd:double"&gt;11.7974216120649&lt;/D&gt;&lt;D xsi:type="xsd:double"&gt;11.9199797452395&lt;/D&gt;&lt;D xsi:type="xsd:double"&gt;11.9915873900638&lt;/D&gt;&lt;D xsi:type="xsd:double"&gt;11.842526489259&lt;/D&gt;&lt;D xsi:type="xsd:double"&gt;11.8871600200766&lt;/D&gt;&lt;D xsi:type="xsd:double"&gt;11.7847698116066&lt;/D&gt;&lt;D xsi:type="xsd:double"&gt;11.423933644036&lt;/D&gt;&lt;D xsi:type="xsd:double"&gt;11.6241663905368&lt;/D&gt;&lt;D xsi:type="xsd:double"&gt;11.4523706960334&lt;/D&gt;&lt;D xsi:type="xsd:double"&gt;11.6270628672787&lt;/D&gt;&lt;D xsi:type="xsd:double"&gt;11.4190327040121&lt;/D&gt;&lt;D xsi:type="xsd:double"&gt;12.0192466891864&lt;/D&gt;&lt;D xsi:type="xsd:double"&gt;12.3110477359051&lt;/D&gt;&lt;D xsi:type="xsd:double"&gt;12.2677457102862&lt;/D&gt;&lt;D xsi:type="xsd:double"&gt;12.0683610895516&lt;/D&gt;&lt;D xsi:type="xsd:double"&gt;12.0251722683975&lt;/D&gt;&lt;D xsi:type="xsd:double"&gt;12.1540403580344&lt;/D&gt;&lt;D xsi:type="xsd:double"&gt;12.5731666803733&lt;/D&gt;&lt;D xsi:type="xsd:double"&gt;12.6815182957354&lt;/D&gt;&lt;D xsi:type="xsd:double"&gt;12.903072842319&lt;/D&gt;&lt;D xsi:type="xsd:double"&gt;13.0102566741686&lt;/D&gt;&lt;D xsi:type="xsd:double"&gt;13.1640062748834&lt;/D&gt;&lt;D xsi:type="xsd:double"&gt;13.1516135154523&lt;/D&gt;&lt;D xsi:type="xsd:double"&gt;13.1683166450608&lt;/D&gt;&lt;D xsi:type="xsd:double"&gt;12.6257890171495&lt;/D&gt;&lt;D xsi:type="xsd:double"&gt;12.7812706606352&lt;/D&gt;&lt;D xsi:type="xsd:double"&gt;13.064588844881&lt;/D&gt;&lt;D xsi:type="xsd:double"&gt;13.4036216637002&lt;/D&gt;&lt;D xsi:type="xsd:double"&gt;13.6794375029988&lt;/D&gt;&lt;D xsi:type="xsd:double"&gt;13.5529280581447&lt;/D&gt;&lt;D xsi:type="xsd:double"&gt;13.4262168601311&lt;/D&gt;&lt;D xsi:type="xsd:double"&gt;13.8396311619843&lt;/D&gt;&lt;D xsi:type="xsd:double"&gt;14.1421110490178&lt;/D&gt;&lt;D xsi:type="xsd:double"&gt;14.1931083802423&lt;/D&gt;&lt;D xsi:type="xsd:double"&gt;14.2633874311613&lt;/D&gt;&lt;D xsi:type="xsd:double"&gt;14.1737943727021&lt;/D&gt;&lt;D xsi:type="xsd:double"&gt;14.0361290387951&lt;/D&gt;&lt;D xsi:type="xsd:double"&gt;14.1962082627417&lt;/D&gt;&lt;D xsi:type="xsd:double"&gt;13.9633293215359&lt;/D&gt;&lt;D xsi:type="xsd:double"&gt;13.9776926569214&lt;/D&gt;&lt;D xsi:type="xsd:double"&gt;14.4936987963561&lt;/D&gt;&lt;D xsi:type="xsd:double"&gt;14.608950833825&lt;/D&gt;&lt;D xsi:type="xsd:double"&gt;14.5540442188618&lt;/D&gt;&lt;D xsi:type="xsd:double"&gt;14.4467604955087&lt;/D&gt;&lt;D xsi:type="xsd:double"&gt;14.5633335045074&lt;/D&gt;&lt;D xsi:type="xsd:double"&gt;14.5657371158481&lt;/D&gt;&lt;D xsi:type="xsd:double"&gt;14.2820686190049&lt;/D&gt;&lt;D xsi:type="xsd:double"&gt;14.1917890681405&lt;/D&gt;&lt;D xsi:type="xsd:double"&gt;14.5316548507649&lt;/D&gt;&lt;D xsi:type="xsd:double"&gt;14.5826231354577&lt;/D&gt;&lt;D xsi:type="xsd:double"&gt;14.7771748090483&lt;/D&gt;&lt;D xsi:type="xsd:double"&gt;14.8692192183626&lt;/D&gt;&lt;D xsi:type="xsd:double"&gt;15.9841123914668&lt;/D&gt;&lt;D xsi:type="xsd:double"&gt;14.4133649817864&lt;/D&gt;&lt;D xsi:type="xsd:double"&gt;14.8632296743933&lt;/D&gt;&lt;D xsi:type="xsd:double"&gt;14.8296603862719&lt;/D&gt;&lt;D xsi:type="xsd:double"&gt;14.7630006497109&lt;/D&gt;&lt;D xsi:type="xsd:double"&gt;15.0378878923332&lt;/D&gt;&lt;D xsi:type="xsd:double"&gt;15.1353441108625&lt;/D&gt;&lt;D xsi:type="xsd:double"&gt;15.2172006268678&lt;/D&gt;&lt;D xsi:type="xsd:double"&gt;15.4665381911652&lt;/D&gt;&lt;D xsi:type="xsd:double"&gt;15.6731497338354&lt;/D&gt;&lt;D xsi:type="xsd:double"&gt;15.594125759418&lt;/D&gt;&lt;D xsi:type="xsd:double"&gt;15.7608395863748&lt;/D&gt;&lt;D xsi:type="xsd:double"&gt;15.7734188017509&lt;/D&gt;&lt;D xsi:type="xsd:double"&gt;15.7110533983858&lt;/D&gt;&lt;D xsi:type="xsd:double"&gt;15.4872480530523&lt;/D&gt;&lt;D xsi:type="xsd:double"&gt;15.4171571092784&lt;/D&gt;&lt;D xsi:type="xsd:double"&gt;15.7717939534734&lt;/D&gt;&lt;D xsi:type="xsd:double"&gt;15.7334401666926&lt;/D&gt;&lt;D xsi:type="xsd:double"&gt;16.0650636485926&lt;/D&gt;&lt;D xsi:type="xsd:double"&gt;16.2751980689735&lt;/D&gt;&lt;D xsi:type="xsd:double"&gt;16.1865859529138&lt;/D&gt;&lt;D xsi:type="xsd:double"&gt;16.1899389176897&lt;/D&gt;&lt;D xsi:type="xsd:double"&gt;16.1522735436691&lt;/D&gt;&lt;D xsi:type="xsd:double"&gt;16.306466822802&lt;/D&gt;&lt;D xsi:type="xsd:double"&gt;16.4214263201965&lt;/D&gt;&lt;D xsi:type="xsd:double"&gt;16.1868124896195&lt;/D&gt;&lt;D xsi:type="xsd:double"&gt;16.1464481849191&lt;/D&gt;&lt;D xsi:type="xsd:double"&gt;16.8890619317932&lt;/D&gt;&lt;D xsi:type="xsd:double"&gt;17.0119596039148&lt;/D&gt;&lt;D xsi:type="xsd:double"&gt;16.8286199596602&lt;/D&gt;&lt;D xsi:type="xsd:double"&gt;16.3010687833399&lt;/D&gt;&lt;D xsi:type="xsd:double"&gt;16.9687217413222&lt;/D&gt;&lt;D xsi:type="xsd:double"&gt;16.8808058130662&lt;/D&gt;&lt;D xsi:type="xsd:double"&gt;17.0626022733749&lt;/D&gt;&lt;D xsi:type="xsd:double"&gt;16.5408024223571&lt;/D&gt;&lt;D xsi:type="xsd:double"&gt;16.4088113136465&lt;/D&gt;&lt;D xsi:type="xsd:double"&gt;16.5851126482993&lt;/D&gt;&lt;D xsi:type="xsd:double"&gt;16.5479799766824&lt;/D&gt;&lt;D xsi:type="xsd:double"&gt;16.7622552237567&lt;/D&gt;&lt;D xsi:type="xsd:double"&gt;16.7296688971428&lt;/D&gt;&lt;D xsi:type="xsd:double"&gt;16.579287376552&lt;/D&gt;&lt;D xsi:type="xsd:double"&gt;16.5024853295602&lt;/D&gt;&lt;D xsi:type="xsd:double"&gt;16.1258674996449&lt;/D&gt;&lt;D xsi:type="xsd:double"&gt;15.3230513314109&lt;/D&gt;&lt;D xsi:type="xsd:double"&gt;16.1266312296197&lt;/D&gt;&lt;D xsi:type="xsd:double"&gt;16.2430130146529&lt;/D&gt;&lt;D xsi:type="xsd:double"&gt;16.4733927041119&lt;/D&gt;&lt;D xsi:type="xsd:double"&gt;16.1772143441524&lt;/D&gt;&lt;D xsi:type="xsd:double"&gt;16.1207955462281&lt;/D&gt;&lt;D xsi:type="xsd:double"&gt;16.6697901352176&lt;/D&gt;&lt;D xsi:type="xsd:double"&gt;16.7286388263102&lt;/D&gt;&lt;D xsi:type="xsd:double"&gt;16.7087569065222&lt;/D&gt;&lt;D xsi:type="xsd:double"&gt;16.9891819565382&lt;/D&gt;&lt;D xsi:type="xsd:double"&gt;16.8485302238758&lt;/D&gt;&lt;D xsi:type="xsd:double"&gt;17.0113872084537&lt;/D&gt;&lt;D xsi:type="xsd:double"&gt;16.8926627725509&lt;/D&gt;&lt;D xsi:type="xsd:double"&gt;16.6572725774618&lt;/D&gt;&lt;D xsi:type="xsd:double"&gt;16.9475021091881&lt;/D&gt;&lt;D xsi:type="xsd:double"&gt;17.1253022763974&lt;/D&gt;&lt;D xsi:type="xsd:double"&gt;16.9974697513871&lt;/D&gt;&lt;D xsi:type="xsd:double"&gt;16.8744118164828&lt;/D&gt;&lt;D xsi:type="xsd:double"&gt;16.5658826185487&lt;/D&gt;&lt;D xsi:type="xsd:double"&gt;16.7742322132772&lt;/D&gt;&lt;D xsi:type="xsd:double"&gt;16.3715991180093&lt;/D&gt;&lt;D xsi:type="xsd:double"&gt;16.9526114056204&lt;/D&gt;&lt;D xsi:type="xsd:double"&gt;15.777180655821&lt;/D&gt;&lt;D xsi:type="xsd:double"&gt;15.1392211754203&lt;/D&gt;&lt;D xsi:type="xsd:double"&gt;14.7495864205929&lt;/D&gt;&lt;D xsi:type="xsd:double"&gt;14.8920679989953&lt;/D&gt;&lt;D xsi:type="xsd:double"&gt;14.5838285879105&lt;/D&gt;&lt;D xsi:type="xsd:double"&gt;13.9474825677401&lt;/D&gt;&lt;D xsi:type="xsd:double"&gt;13.8638522569692&lt;/D&gt;&lt;D xsi:type="xsd:double"&gt;13.3056184874435&lt;/D&gt;&lt;D xsi:type="xsd:double"&gt;12.1622574716428&lt;/D&gt;&lt;D xsi:type="xsd:double"&gt;12.0262726041267&lt;/D&gt;&lt;D xsi:type="xsd:double"&gt;10.9129514279406&lt;/D&gt;&lt;D xsi:type="xsd:double"&gt;11.1878801514812&lt;/D&gt;&lt;D xsi:type="xsd:double"&gt;12.8701119063296&lt;/D&gt;&lt;D xsi:type="xsd:double"&gt;12.94526192577&lt;/D&gt;&lt;D xsi:type="xsd:double"&gt;14.2414208817124&lt;/D&gt;&lt;D xsi:type="xsd:double"&gt;14.3105979130101&lt;/D&gt;&lt;D xsi:type="xsd:double"&gt;14.2119311656279&lt;/D&gt;&lt;D xsi:type="xsd:double"&gt;13.8062462670824&lt;/D&gt;&lt;D xsi:type="xsd:double"&gt;14.2436632945303&lt;/D&gt;&lt;D xsi:type="xsd:double"&gt;14.3888135336849&lt;/D&gt;&lt;D xsi:type="xsd:double"&gt;14.2398109742997&lt;/D&gt;&lt;D xsi:type="xsd:double"&gt;14.1957721605549&lt;/D&gt;&lt;D xsi:type="xsd:double"&gt;14.2335487633576&lt;/D&gt;&lt;D xsi:type="xsd:double"&gt;14.1712111732332&lt;/D&gt;&lt;D xsi:type="xsd:double"&gt;14.0184670985601&lt;/D&gt;&lt;D xsi:type="xsd:double"&gt;13.8010815747209&lt;/D&gt;&lt;D xsi:type="xsd:double"&gt;13.7621470204772&lt;/D&gt;&lt;D xsi:type="xsd:double"&gt;13.7011357817657&lt;/D&gt;&lt;D xsi:type="xsd:double"&gt;13.7448408953322&lt;/D&gt;&lt;D xsi:type="xsd:double"&gt;13.7892701960411&lt;/D&gt;&lt;D xsi:type="xsd:double"&gt;13.5908336349502&lt;/D&gt;&lt;D xsi:type="xsd:double"&gt;13.4836520584316&lt;/D&gt;&lt;D xsi:type="xsd:double"&gt;13.311836549738&lt;/D&gt;&lt;D xsi:type="xsd:double"&gt;13.2286146493446&lt;/D&gt;&lt;D xsi:type="xsd:double"&gt;12.9914509233103&lt;/D&gt;&lt;D xsi:type="xsd:double"&gt;13.2291948547502&lt;/D&gt;&lt;D xsi:type="xsd:double"&gt;13.3392969967811&lt;/D&gt;&lt;D xsi:type="xsd:double"&gt;13.3498098109898&lt;/D&gt;&lt;D xsi:type="xsd:double"&gt;13.138725985367&lt;/D&gt;&lt;D xsi:type="xsd:double"&gt;12.8910976836161&lt;/D&gt;&lt;D xsi:type="xsd:double"&gt;12.6649550162354&lt;/D&gt;&lt;D xsi:type="xsd:double"&gt;12.5848979577127&lt;/D&gt;&lt;D xsi:type="xsd:double"&gt;12.7126463552121&lt;/D&gt;&lt;D xsi:type="xsd:double"&gt;12.9070976087539&lt;/D&gt;&lt;D xsi:type="xsd:double"&gt;13.2827990127375&lt;/D&gt;&lt;D xsi:type="xsd:double"&gt;13.235647072902&lt;/D&gt;&lt;D xsi:type="xsd:double"&gt;13.205853587395&lt;/D&gt;&lt;D xsi:type="xsd:double"&gt;13.3131849200274&lt;/D&gt;&lt;D xsi:type="xsd:double"&gt;13.1539119170407&lt;/D&gt;&lt;D xsi:type="xsd:double"&gt;13.1557976399837&lt;/D&gt;&lt;D xsi:type="xsd:double"&gt;12.8911570162571&lt;/D&gt;&lt;D xsi:type="xsd:double"&gt;12.8305149083818&lt;/D&gt;&lt;D xsi:type="xsd:double"&gt;12.5832182884413&lt;/D&gt;&lt;D xsi:type="xsd:double"&gt;12.6511705281974&lt;/D&gt;&lt;D xsi:type="xsd:double"&gt;12.8027706641816&lt;/D&gt;&lt;D xsi:type="xsd:double"&gt;12.8098032056243&lt;/D&gt;&lt;D xsi:type="xsd:double"&gt;13.2616284106&lt;/D&gt;&lt;D xsi:type="xsd:double"&gt;13.2508508349316&lt;/D&gt;&lt;D xsi:type="xsd:double"&gt;13.2586571319737&lt;/D&gt;&lt;D xsi:type="xsd:double"&gt;13.2019473124386&lt;/D&gt;&lt;D xsi:type="xsd:double"&gt;13.2266291284672&lt;/D&gt;&lt;D xsi:type="xsd:double"&gt;12.9437444334331&lt;/D&gt;&lt;D xsi:type="xsd:double"&gt;12.9388489691681&lt;/D&gt;&lt;D xsi:type="xsd:double"&gt;12.9803821911245&lt;/D&gt;&lt;D xsi:type="xsd:double"&gt;12.6887632990826&lt;/D&gt;&lt;D xsi:type="xsd:double"&gt;12.8973999364814&lt;/D&gt;&lt;D xsi:type="xsd:double"&gt;12.798499648739&lt;/D&gt;&lt;D xsi:type="xsd:double"&gt;12.6217150396577&lt;/D&gt;&lt;D xsi:type="xsd:double"&gt;12.3682507094187&lt;/D&gt;&lt;D xsi:type="xsd:double"&gt;12.4089826804097&lt;/D&gt;&lt;D xsi:type="xsd:double"&gt;12.2682911223406&lt;/D&gt;&lt;D xsi:type="xsd:double"&gt;12.1700851792313&lt;/D&gt;&lt;D xsi:type="xsd:double"&gt;11.8571017210135&lt;/D&gt;&lt;D xsi:type="xsd:double"&gt;11.4456919228489&lt;/D&gt;&lt;D xsi:type="xsd:double"&gt;11.3498618635466&lt;/D&gt;&lt;D xsi:type="xsd:double"&gt;11.3298134544379&lt;/D&gt;&lt;D xsi:type="xsd:double"&gt;11.7134995236123&lt;/D&gt;&lt;D xsi:type="xsd:double"&gt;11.7058809657037&lt;/D&gt;&lt;D xsi:type="xsd:double"&gt;11.9231093120479&lt;/D&gt;&lt;D xsi:type="xsd:double"&gt;11.7412238334714&lt;/D&gt;&lt;D xsi:type="xsd:double"&gt;11.8656928318104&lt;/D&gt;&lt;D xsi:type="xsd:double"&gt;11.9778380786669&lt;/D&gt;&lt;D xsi:type="xsd:double"&gt;11.9913238692215&lt;/D&gt;&lt;D xsi:type="xsd:double"&gt;11.5721390331997&lt;/D&gt;&lt;D xsi:type="xsd:double"&gt;11.948418896018&lt;/D&gt;&lt;D xsi:type="xsd:double"&gt;11.9650544807556&lt;/D&gt;&lt;D xsi:type="xsd:double"&gt;12.4768911752933&lt;/D&gt;&lt;D xsi:type="xsd:double"&gt;12.7879162762822&lt;/D&gt;&lt;D xsi:type="xsd:double"&gt;12.8351674050313&lt;/D&gt;&lt;D xsi:type="xsd:double"&gt;12.5520196067554&lt;/D&gt;&lt;D xsi:type="xsd:double"&gt;12.4158911229122&lt;/D&gt;&lt;D xsi:type="xsd:double"&gt;12.7943626952751&lt;/D&gt;&lt;D xsi:type="xsd:double"&gt;12.8049828150621&lt;/D&gt;&lt;D xsi:type="xsd:double"&gt;12.6893851339067&lt;/D&gt;&lt;D xsi:type="xsd:double"&gt;12.8983138421306&lt;/D&gt;&lt;D xsi:type="xsd:double"&gt;13.0291508229828&lt;/D&gt;&lt;D xsi:type="xsd:double"&gt;13.239463677227&lt;/D&gt;&lt;D xsi:type="xsd:double"&gt;13.0894255499747&lt;/D&gt;&lt;D xsi:type="xsd:double"&gt;13.068659803093&lt;/D&gt;&lt;D xsi:type="xsd:double"&gt;12.9449985788409&lt;/D&gt;&lt;D xsi:type="xsd:double"&gt;12.9598114297658&lt;/D&gt;&lt;D xsi:type="xsd:double"&gt;13.1003172003318&lt;/D&gt;&lt;D xsi:type="xsd:double"&gt;13.272349743699&lt;/D&gt;&lt;D xsi:type="xsd:double"&gt;13.2823683256112&lt;/D&gt;&lt;D xsi:type="xsd:double"&gt;13.2333709570837&lt;/D&gt;&lt;D xsi:type="xsd:double"&gt;13.3898249154833&lt;/D&gt;&lt;D xsi:type="xsd:double"&gt;13.5651134631876&lt;/D&gt;&lt;D xsi:type="xsd:double"&gt;13.6061015493507&lt;/D&gt;&lt;D xsi:type="xsd:double"&gt;13.4440834893986&lt;/D&gt;&lt;D xsi:type="xsd:double"&gt;13.4846065077945&lt;/D&gt;&lt;D xsi:type="xsd:double"&gt;13.4321220031812&lt;/D&gt;&lt;D xsi:type="xsd:double"&gt;13.348990772688&lt;/D&gt;&lt;D xsi:type="xsd:double"&gt;13.3103698471029&lt;/D&gt;&lt;D xsi:type="xsd:double"&gt;13.2021203572812&lt;/D&gt;&lt;D xsi:type="xsd:double"&gt;13.1204297066704&lt;/D&gt;&lt;D xsi:type="xsd:double"&gt;13.5719586046267&lt;/D&gt;&lt;D xsi:type="xsd:double"&gt;13.5662117111392&lt;/D&gt;&lt;D xsi:type="xsd:double"&gt;13.2667342562148&lt;/D&gt;&lt;D xsi:type="xsd:double"&gt;13.7503568075148&lt;/D&gt;&lt;D xsi:type="xsd:double"&gt;13.7837626359489&lt;/D&gt;&lt;D xsi:type="xsd:double"&gt;13.4101227173541&lt;/D&gt;&lt;D xsi:type="xsd:double"&gt;14.2556811171278&lt;/D&gt;&lt;D xsi:type="xsd:double"&gt;14.6704008314643&lt;/D&gt;&lt;D xsi:type="xsd:double"&gt;14.648337455483&lt;/D&gt;&lt;D xsi:type="xsd:double"&gt;14.6127872376511&lt;/D&gt;&lt;D xsi:type="xsd:double"&gt;14.6207407233188&lt;/D&gt;&lt;D xsi:type="xsd:double"&gt;14.3506965062763&lt;/D&gt;&lt;D xsi:type="xsd:double"&gt;14.3370196007171&lt;/D&gt;&lt;D xsi:type="xsd:double"&gt;14.1829856593245&lt;/D&gt;&lt;D xsi:type="xsd:double"&gt;14.2313285086349&lt;/D&gt;&lt;D xsi:type="xsd:double"&gt;14.1964570152656&lt;/D&gt;&lt;D xsi:type="xsd:double"&gt;14.3982488840634&lt;/D&gt;&lt;D xsi:type="xsd:double"&gt;14.2980498516539&lt;/D&gt;&lt;D xsi:type="xsd:double"&gt;14.4387752172082&lt;/D&gt;&lt;D xsi:type="xsd:double"&gt;14.5405240018148&lt;/D&gt;&lt;D xsi:type="xsd:double"&gt;14.4571356516749&lt;/D&gt;&lt;D xsi:type="xsd:double"&gt;14.4221312463519&lt;/D&gt;&lt;D xsi:type="xsd:double"&gt;14.4053841432698&lt;/D&gt;&lt;D xsi:type="xsd:double"&gt;14.3333860501153&lt;/D&gt;&lt;D xsi:type="xsd:double"&gt;14.2490421599554&lt;/D&gt;&lt;D xsi:type="xsd:double"&gt;14.2496209301761&lt;/D&gt;&lt;D xsi:type="xsd:double"&gt;14.1413916316325&lt;/D&gt;&lt;D xsi:type="xsd:double"&gt;13.9915168311435&lt;/D&gt;&lt;D xsi:type="xsd:double"&gt;14.099665068443&lt;/D&gt;&lt;D xsi:type="xsd:double"&gt;14.0807644893253&lt;/D&gt;&lt;D xsi:type="xsd:double"&gt;14.008254950743&lt;/D&gt;&lt;D xsi:type="xsd:double"&gt;14.0142879301839&lt;/D&gt;&lt;D xsi:type="xsd:double"&gt;14.3466307040765&lt;/D&gt;&lt;D xsi:type="xsd:double"&gt;14.2598842008321&lt;/D&gt;&lt;D xsi:type="xsd:double"&gt;14.2973592703799&lt;/D&gt;&lt;D xsi:type="xsd:double"&gt;14.3323475085218&lt;/D&gt;&lt;D xsi:type="xsd:double"&gt;14.0556373902617&lt;/D&gt;&lt;D xsi:type="xsd:double"&gt;14.0907414155991&lt;/D&gt;&lt;D xsi:type="xsd:double"&gt;14.2273262685285&lt;/D&gt;&lt;D xsi:type="xsd:double"&gt;14.2230843656916&lt;/D&gt;&lt;D xsi:type="xsd:double"&gt;14.318832301272&lt;/D&gt;&lt;D xsi:type="xsd:double"&gt;14.4339336821736&lt;/D&gt;&lt;D xsi:type="xsd:double"&gt;14.3503721524104&lt;/D&gt;&lt;D xsi:type="xsd:double"&gt;14.3078078389093&lt;/D&gt;&lt;D xsi:type="xsd:double"&gt;14.3946068170526&lt;/D&gt;&lt;D xsi:type="xsd:double"&gt;14.2874602941241&lt;/D&gt;&lt;D xsi:type="xsd:double"&gt;14.1615961145599&lt;/D&gt;&lt;D xsi:type="xsd:double"&gt;13.9107917213787&lt;/D&gt;&lt;D xsi:type="xsd:double"&gt;13.9777519243905&lt;/D&gt;&lt;D xsi:type="xsd:double"&gt;14.0884755056022&lt;/D&gt;&lt;D xsi:type="xsd:double"&gt;14.1166867675133&lt;/D&gt;&lt;D xsi:type="xsd:double"&gt;14.1711442441316&lt;/D&gt;&lt;D xsi:type="xsd:double"&gt;14.2808846791685&lt;/D&gt;&lt;D xsi:type="xsd:double"&gt;14.1539669758028&lt;/D&gt;&lt;D xsi:type="xsd:double"&gt;14.1797051015185&lt;/D&gt;&lt;D xsi:type="xsd:double"&gt;14.1056085721659&lt;/D&gt;&lt;D xsi:type="xsd:double"&gt;14.2055712567156&lt;/D&gt;&lt;D xsi:type="xsd:double"&gt;14.1552192721115&lt;/D&gt;&lt;D xsi:type="xsd:double"&gt;14.0515058278157&lt;/D&gt;&lt;D xsi:type="xsd:double"&gt;14.2047951089895&lt;/D&gt;&lt;D xsi:type="xsd:double"&gt;14.0940373087865&lt;/D&gt;&lt;D xsi:type="xsd:double"&gt;14.2360326055036&lt;/D&gt;&lt;D xsi:type="xsd:double"&gt;14.207429922835&lt;/D&gt;&lt;D xsi:type="xsd:double"&gt;14.0480643315665&lt;/D&gt;&lt;D xsi:type="xsd:double"&gt;14.0229464620286&lt;/D&gt;&lt;D xsi:type="xsd:double"&gt;14.1108668403522&lt;/D&gt;&lt;D xsi:type="xsd:double"&gt;14.1550923251044&lt;/D&gt;&lt;D xsi:type="xsd:double"&gt;13.7720066055115&lt;/D&gt;&lt;D xsi:type="xsd:double"&gt;13.8786156104019&lt;/D&gt;&lt;D xsi:type="xsd:double"&gt;13.7263572120236&lt;/D&gt;&lt;D xsi:type="xsd:double"&gt;13.6921168735024&lt;/D&gt;&lt;D xsi:type="xsd:double"&gt;13.567872817075&lt;/D&gt;&lt;D xsi:type="xsd:double"&gt;14.0290596945017&lt;/D&gt;&lt;D xsi:type="xsd:double"&gt;14.1237473550961&lt;/D&gt;&lt;D xsi:type="xsd:double"&gt;13.9990727517756&lt;/D&gt;&lt;D xsi:type="xsd:double"&gt;14.1012959948005&lt;/D&gt;&lt;D xsi:type="xsd:double"&gt;14.077136801036&lt;/D&gt;&lt;D xsi:type="xsd:double"&gt;14.2585347126774&lt;/D&gt;&lt;D xsi:type="xsd:double"&gt;13.9246666434995&lt;/D&gt;&lt;D xsi:type="xsd:double"&gt;14.2627424060334&lt;/D&gt;&lt;D xsi:type="xsd:double"&gt;14.357410096023001&lt;/D&gt;&lt;D xsi:type="xsd:double"&gt;14.1938200691792&lt;/D&gt;&lt;D xsi:type="xsd:double"&gt;14.2500900712014&lt;/D&gt;&lt;D xsi:type="xsd:double"&gt;14.4016130245825&lt;/D&gt;&lt;D xsi:type="xsd:double"&gt;14.1127192382884&lt;/D&gt;&lt;D xsi:type="xsd:double"&gt;14.2083417910666&lt;/D&gt;&lt;D xsi:type="xsd:double"&gt;14.2501885881297&lt;/D&gt;&lt;D xsi:type="xsd:double"&gt;14.2181178173865&lt;/D&gt;&lt;D xsi:type="xsd:double"&gt;13.6541008023738&lt;/D&gt;&lt;D xsi:type="xsd:double"&gt;13.8250139755556&lt;/D&gt;&lt;D xsi:type="xsd:double"&gt;13.3404069216351&lt;/D&gt;&lt;D xsi:type="xsd:double"&gt;13.4754866574545&lt;/D&gt;&lt;D xsi:type="xsd:double"&gt;13.8891659739176&lt;/D&gt;&lt;D xsi:type="xsd:double"&gt;14.0882370584576&lt;/D&gt;&lt;D xsi:type="xsd:double"&gt;14.0840753371687&lt;/D&gt;&lt;D xsi:type="xsd:double"&gt;13.7737396686987&lt;/D&gt;&lt;D xsi:type="xsd:double"&gt;13.7014892564912&lt;/D&gt;&lt;D xsi:type="xsd:double"&gt;13.6137862503981&lt;/D&gt;&lt;D xsi:type="xsd:double"&gt;14.0259111339987&lt;/D&gt;&lt;D xsi:type="xsd:double"&gt;14.3462811955645&lt;/D&gt;&lt;D xsi:type="xsd:double"&gt;14.1514000600709&lt;/D&gt;&lt;D xsi:type="xsd:double"&gt;13.6460320665365&lt;/D&gt;&lt;D xsi:type="xsd:double"&gt;13.7129711260349&lt;/D&gt;&lt;D xsi:type="xsd:double"&gt;13.813815467006&lt;/D&gt;&lt;D xsi:type="xsd:double"&gt;13.9932868734423&lt;/D&gt;&lt;D xsi:type="xsd:double"&gt;13.9169587311095&lt;/D&gt;&lt;D xsi:type="xsd:double"&gt;13.8443525463221&lt;/D&gt;&lt;D xsi:type="xsd:double"&gt;13.2777053512028&lt;/D&gt;&lt;D xsi:type="xsd:double"&gt;13.0835316388463&lt;/D&gt;&lt;D xsi:type="xsd:double"&gt;12.4765929268736&lt;/D&gt;&lt;D xsi:type="xsd:double"&gt;13.1256682398581&lt;/D&gt;&lt;D xsi:type="xsd:double"&gt;13.4288777054993&lt;/D&gt;&lt;D xsi:type="xsd:double"&gt;12.9899711316184&lt;/D&gt;&lt;D xsi:type="xsd:double"&gt;12.7930584875538&lt;/D&gt;&lt;D xsi:type="xsd:double"&gt;13.0372830762513&lt;/D&gt;&lt;D xsi:type="xsd:double"&gt;13.871062635418&lt;/D&gt;&lt;D xsi:type="xsd:double"&gt;13.7374171817215&lt;/D&gt;&lt;D xsi:type="xsd:double"&gt;13.5366712662466&lt;/D&gt;&lt;D xsi:type="xsd:double"&gt;13.3079932937441&lt;/D&gt;&lt;D xsi:type="xsd:double"&gt;13.6903193924622&lt;/D&gt;&lt;D xsi:type="xsd:double"&gt;14.1593428902843&lt;/D&gt;&lt;D xsi:type="xsd:double"&gt;14.2131007856299&lt;/D&gt;&lt;D xsi:type="xsd:double"&gt;13.8697642365085&lt;/D&gt;&lt;D xsi:type="xsd:double"&gt;14.1586960428583&lt;/D&gt;&lt;D xsi:type="xsd:double"&gt;14.028441132801&lt;/D&gt;&lt;D xsi:type="xsd:double"&gt;14.1133401562772&lt;/D&gt;&lt;D xsi:type="xsd:double"&gt;13.8236942269779&lt;/D&gt;&lt;D xsi:type="xsd:double"&gt;13.8135660676181&lt;/D&gt;&lt;D xsi:type="xsd:double"&gt;13.1418996527641&lt;/D&gt;&lt;D xsi:type="xsd:double"&gt;13.0932118367016&lt;/D&gt;&lt;D xsi:type="xsd:double"&gt;13.3633162401339&lt;/D&gt;&lt;D xsi:type="xsd:double"&gt;13.3023879715964&lt;/D&gt;&lt;D xsi:type="xsd:double"&gt;13.0505011297715&lt;/D&gt;&lt;D xsi:type="xsd:double"&gt;13.5372757310806&lt;/D&gt;&lt;D xsi:type="xsd:double"&gt;13.4722682081999&lt;/D&gt;&lt;D xsi:type="xsd:double"&gt;14.2555477283988&lt;/D&gt;&lt;D xsi:type="xsd:double"&gt;14.5237034189235&lt;/D&gt;&lt;D xsi:type="xsd:double"&gt;14.5789667866931&lt;/D&gt;&lt;D xsi:type="xsd:double"&gt;14.4637410269249&lt;/D&gt;&lt;D xsi:type="xsd:double"&gt;14.7275504492415&lt;/D&gt;&lt;D xsi:type="xsd:double"&gt;14.3344892556221&lt;/D&gt;&lt;D xsi:type="xsd:double"&gt;14.4954159216307&lt;/D&gt;&lt;D xsi:type="xsd:double"&gt;14.7591543769009&lt;/D&gt;&lt;D xsi:type="xsd:double"&gt;14.5422276010725&lt;/D&gt;&lt;D xsi:type="xsd:double"&gt;14.7156741118891&lt;/D&gt;&lt;D xsi:type="xsd:double"&gt;14.7753552079261&lt;/D&gt;&lt;D xsi:type="xsd:double"&gt;15.0772071791448&lt;/D&gt;&lt;D xsi:type="xsd:double"&gt;15.2666881919361&lt;/D&gt;&lt;D xsi:type="xsd:double"&gt;15.1646381067113&lt;/D&gt;&lt;D xsi:type="xsd:double"&gt;15.187410485451&lt;/D&gt;&lt;D xsi:type="xsd:double"&gt;15.2113086891802&lt;/D&gt;&lt;D xsi:type="xsd:double"&gt;15.4725549192923&lt;/D&gt;&lt;D xsi:type="xsd:double"&gt;15.2661744410107&lt;/D&gt;&lt;D xsi:type="xsd:double"&gt;15.3985863952688&lt;/D&gt;&lt;D xsi:type="xsd:double"&gt;14.9738859255195&lt;/D&gt;&lt;D xsi:type="xsd:double"&gt;14.856200159829&lt;/D&gt;&lt;D xsi:type="xsd:double"&gt;15.0672987365181&lt;/D&gt;&lt;D xsi:type="xsd:double"&gt;14.6923011180133&lt;/D&gt;&lt;D xsi:type="xsd:double"&gt;14.7956013245085&lt;/D&gt;&lt;D xsi:type="xsd:double"&gt;14.8849533805124&lt;/D&gt;&lt;D xsi:type="xsd:double"&gt;14.6759242895784&lt;/D&gt;&lt;D xsi:type="xsd:double"&gt;14.5214038278934&lt;/D&gt;&lt;D xsi:type="xsd:double"&gt;14.3164163818511&lt;/D&gt;&lt;D xsi:type="xsd:double"&gt;14.039237315911&lt;/D&gt;&lt;D xsi:type="xsd:double"&gt;14.0575075091691&lt;/D&gt;&lt;D xsi:type="xsd:double"&gt;13.4613470590003&lt;/D&gt;&lt;D xsi:type="xsd:double"&gt;13.2641052597517&lt;/D&gt;&lt;D xsi:type="xsd:double"&gt;13.376670971614&lt;/D&gt;&lt;D xsi:type="xsd:double"&gt;13.4739076302669&lt;/D&gt;&lt;D xsi:type="xsd:double"&gt;13.3621039165027&lt;/D&gt;&lt;D xsi:type="xsd:double"&gt;13.1102105877805&lt;/D&gt;&lt;D xsi:type="xsd:double"&gt;13.6124464856678&lt;/D&gt;&lt;D xsi:type="xsd:double"&gt;13.543434095455&lt;/D&gt;&lt;D xsi:type="xsd:double"&gt;13.4939922262285&lt;/D&gt;&lt;D xsi:type="xsd:double"&gt;13.2975443467883&lt;/D&gt;&lt;D xsi:type="xsd:double"&gt;13.1938896923421&lt;/D&gt;&lt;D xsi:type="xsd:double"&gt;13.1812547529948&lt;/D&gt;&lt;D xsi:type="xsd:double"&gt;12.7482069490529&lt;/D&gt;&lt;D xsi:type="xsd:double"&gt;12.4177761630501&lt;/D&gt;&lt;D xsi:type="xsd:double"&gt;12.5657807069133&lt;/D&gt;&lt;D xsi:type="xsd:double"&gt;12.9374354102629&lt;/D&gt;&lt;D xsi:type="xsd:double"&gt;13.2406418854328&lt;/D&gt;&lt;D xsi:type="xsd:double"&gt;13.4892832952567&lt;/D&gt;&lt;D xsi:type="xsd:double"&gt;13.426586023934&lt;/D&gt;&lt;D xsi:type="xsd:double"&gt;13.575704182136&lt;/D&gt;&lt;D xsi:type="xsd:double"&gt;13.454588417326&lt;/D&gt;&lt;D xsi:type="xsd:double"&gt;13.4053380650491&lt;/D&gt;&lt;/FQL&gt;&lt;FQL&gt;&lt;Q&gt;^PSETCAL('FIVEDAY');ECON_DATE(0, -20AY, D, 'DD/MM/YYYY')&lt;/Q&gt;&lt;R&gt;5218&lt;/R&gt;&lt;C&gt;1&lt;/C&gt;&lt;D xsi:type="xsd:string"&gt;20/08/2024&lt;/D&gt;&lt;D xsi:type="xsd:string"&gt;19/08/2024&lt;/D&gt;&lt;D xsi:type="xsd:string"&gt;16/08/2024&lt;/D&gt;&lt;D xsi:type="xsd:string"&gt;15/08/2024&lt;/D&gt;&lt;D xsi:type="xsd:string"&gt;14/08/2024&lt;/D&gt;&lt;D xsi:type="xsd:string"&gt;13/08/2024&lt;/D&gt;&lt;D xsi:type="xsd:string"&gt;12/08/2024&lt;/D&gt;&lt;D xsi:type="xsd:string"&gt;09/08/2024&lt;/D&gt;&lt;D xsi:type="xsd:string"&gt;08/08/2024&lt;/D&gt;&lt;D xsi:type="xsd:string"&gt;07/08/2024&lt;/D&gt;&lt;D xsi:type="xsd:string"&gt;06/08/2024&lt;/D&gt;&lt;D xsi:type="xsd:string"&gt;05/08/2024&lt;/D&gt;&lt;D xsi:type="xsd:string"&gt;02/08/2024&lt;/D&gt;&lt;D xsi:type="xsd:string"&gt;01/08/2024&lt;/D&gt;&lt;D xsi:type="xsd:string"&gt;31/07/2024&lt;/D&gt;&lt;D xsi:type="xsd:string"&gt;30/07/2024&lt;/D&gt;&lt;D xsi:type="xsd:string"&gt;29/07/2024&lt;/D&gt;&lt;D xsi:type="xsd:string"&gt;26/07/2024&lt;/D&gt;&lt;D xsi:type="xsd:string"&gt;25/07/2024&lt;/D&gt;&lt;D xsi:type="xsd:string"&gt;24/07/2024&lt;/D&gt;&lt;D xsi:type="xsd:string"&gt;23/07/2024&lt;/D&gt;&lt;D xsi:type="xsd:string"&gt;22/07/2024&lt;/D&gt;&lt;D xsi:type="xsd:string"&gt;19/07/2024&lt;/D&gt;&lt;D xsi:type="xsd:string"&gt;18/07/2024&lt;/D&gt;&lt;D xsi:type="xsd:string"&gt;17/07/2024&lt;/D&gt;&lt;D xsi:type="xsd:string"&gt;16/07/2024&lt;/D&gt;&lt;D xsi:type="xsd:string"&gt;15/07/2024&lt;/D&gt;&lt;D xsi:type="xsd:string"&gt;12/07/2024&lt;/D&gt;&lt;D xsi:type="xsd:string"&gt;11/07/2024&lt;/D&gt;&lt;D xsi:type="xsd:string"&gt;10/07/2024&lt;/D&gt;&lt;D xsi:type="xsd:string"&gt;09/07/2024&lt;/D&gt;&lt;D xsi:type="xsd:string"&gt;08/07/2024&lt;/D&gt;&lt;D xsi:type="xsd:string"&gt;05/07/2024&lt;/D&gt;&lt;D xsi:type="xsd:string"&gt;04/07/2024&lt;/D&gt;&lt;D xsi:type="xsd:string"&gt;03/07/2024&lt;/D&gt;&lt;D xsi:type="xsd:string"&gt;02/07/2024&lt;/D&gt;&lt;D xsi:type="xsd:string"&gt;01/07/2024&lt;/D&gt;&lt;D xsi:type="xsd:string"&gt;28/06/2024&lt;/D&gt;&lt;D xsi:type="xsd:string"&gt;27/06/2024&lt;/D&gt;&lt;D xsi:type="xsd:string"&gt;26/06/2024&lt;/D&gt;&lt;D xsi:type="xsd:string"&gt;25/06/2024&lt;/D&gt;&lt;D xsi:type="xsd:string"&gt;24/06/2024&lt;/D&gt;&lt;D xsi:type="xsd:string"&gt;21/06/2024&lt;/D&gt;&lt;D xsi:type="xsd:string"&gt;20/06/2024&lt;/D&gt;&lt;D xsi:type="xsd:string"&gt;19/06/2024&lt;/D&gt;&lt;D xsi:type="xsd:string"&gt;18/06/2024&lt;/D&gt;&lt;D xsi:type="xsd:string"&gt;17/06/2024&lt;/D&gt;&lt;D xsi:type="xsd:string"&gt;14/06/2024&lt;/D&gt;&lt;D xsi:type="xsd:string"&gt;13/06/2024&lt;/D&gt;&lt;D xsi:type="xsd:string"&gt;12/06/2024&lt;/D&gt;&lt;D xsi:type="xsd:string"&gt;11/06/2024&lt;/D&gt;&lt;D xsi:type="xsd:string"&gt;10/06/2024&lt;/D&gt;&lt;D xsi:type="xsd:string"&gt;07/06/2024&lt;/D&gt;&lt;D xsi:type="xsd:string"&gt;06/06/2024&lt;/D&gt;&lt;D xsi:type="xsd:string"&gt;05/06/2024&lt;/D&gt;&lt;D xsi:type="xsd:string"&gt;04/06/2024&lt;/D&gt;&lt;D xsi:type="xsd:string"&gt;03/06/2024&lt;/D&gt;&lt;D xsi:type="xsd:string"&gt;31/05/2024&lt;/D&gt;&lt;D xsi:type="xsd:string"&gt;30/05/2024&lt;/D&gt;&lt;D xsi:type="xsd:string"&gt;29/05/2024&lt;/D&gt;&lt;D xsi:type="xsd:string"&gt;28/05/2024&lt;/D&gt;&lt;D xsi:type="xsd:string"&gt;27/05/2024&lt;/D&gt;&lt;D xsi:type="xsd:string"&gt;24/05/2024&lt;/D&gt;&lt;D xsi:type="xsd:string"&gt;23/05/2024&lt;/D&gt;&lt;D xsi:type="xsd:string"&gt;22/05/2024&lt;/D&gt;&lt;D xsi:type="xsd:string"&gt;21/05/2024&lt;/D&gt;&lt;D xsi:type="xsd:string"&gt;20/05/2024&lt;/D&gt;&lt;D xsi:type="xsd:string"&gt;17/05/2024&lt;/D&gt;&lt;D xsi:type="xsd:string"&gt;16/05/2024&lt;/D&gt;&lt;D xsi:type="xsd:string"&gt;15/05/2024&lt;/D&gt;&lt;D xsi:type="xsd:string"&gt;14/05/2024&lt;/D&gt;&lt;D xsi:type="xsd:string"&gt;13/05/2024&lt;/D&gt;&lt;D xsi:type="xsd:string"&gt;10/05/2024&lt;/D&gt;&lt;D xsi:type="xsd:string"&gt;09/05/2024&lt;/D&gt;&lt;D xsi:type="xsd:string"&gt;08/05/2024&lt;/D&gt;&lt;D xsi:type="xsd:string"&gt;07/05/2024&lt;/D&gt;&lt;D xsi:type="xsd:string"&gt;06/05/2024&lt;/D&gt;&lt;D xsi:type="xsd:string"&gt;03/05/2024&lt;/D&gt;&lt;D xsi:type="xsd:string"&gt;02/05/2024&lt;/D&gt;&lt;D xsi:type="xsd:string"&gt;01/05/2024&lt;/D&gt;&lt;D xsi:type="xsd:string"&gt;30/04/2024&lt;/D&gt;&lt;D xsi:type="xsd:string"&gt;29/04/2024&lt;/D&gt;&lt;D xsi:type="xsd:string"&gt;26/04/2024&lt;/D&gt;&lt;D xsi:type="xsd:string"&gt;25/04/2024&lt;/D&gt;&lt;D xsi:type="xsd:string"&gt;24/04/2024&lt;/D&gt;&lt;D xsi:type="xsd:string"&gt;23/04/2024&lt;/D&gt;&lt;D xsi:type="xsd:string"&gt;22/04/2024&lt;/D&gt;&lt;D xsi:type="xsd:string"&gt;19/04/2024&lt;/D&gt;&lt;D xsi:type="xsd:string"&gt;18/04/2024&lt;/D&gt;&lt;D xsi:type="xsd:string"&gt;17/04/2024&lt;/D&gt;&lt;D xsi:type="xsd:string"&gt;16/04/2024&lt;/D&gt;&lt;D xsi:type="xsd:string"&gt;15/04/2024&lt;/D&gt;&lt;D xsi:type="xsd:string"&gt;12/04/2024&lt;/D&gt;&lt;D xsi:type="xsd:string"&gt;11/04/2024&lt;/D&gt;&lt;D xsi:type="xsd:string"&gt;10/04/2024&lt;/D&gt;&lt;D xsi:type="xsd:string"&gt;09/04/2024&lt;/D&gt;&lt;D xsi:type="xsd:string"&gt;08/04/2024&lt;/D&gt;&lt;D xsi:type="xsd:string"&gt;05/04/2024&lt;/D&gt;&lt;D xsi:type="xsd:string"&gt;04/04/2024&lt;/D&gt;&lt;D xsi:type="xsd:string"&gt;03/04/2024&lt;/D&gt;&lt;D xsi:type="xsd:string"&gt;02/04/2024&lt;/D&gt;&lt;D xsi:type="xsd:string"&gt;01/04/2024&lt;/D&gt;&lt;D xsi:type="xsd:string"&gt;29/03/2024&lt;/D&gt;&lt;D xsi:type="xsd:string"&gt;28/03/2024&lt;/D&gt;&lt;D xsi:type="xsd:string"&gt;27/03/2024&lt;/D&gt;&lt;D xsi:type="xsd:string"&gt;26/03/2024&lt;/D&gt;&lt;D xsi:type="xsd:string"&gt;25/03/2024&lt;/D&gt;&lt;D xsi:type="xsd:string"&gt;22/03/2024&lt;/D&gt;&lt;D xsi:type="xsd:string"&gt;21/03/2024&lt;/D&gt;&lt;D xsi:type="xsd:string"&gt;20/03/2024&lt;/D&gt;&lt;D xsi:type="xsd:string"&gt;19/03/2024&lt;/D&gt;&lt;D xsi:type="xsd:string"&gt;18/03/2024&lt;/D&gt;&lt;D xsi:type="xsd:string"&gt;15/03/2024&lt;/D&gt;&lt;D xsi:type="xsd:string"&gt;14/03/2024&lt;/D&gt;&lt;D xsi:type="xsd:string"&gt;13/03/2024&lt;/D&gt;&lt;D xsi:type="xsd:string"&gt;12/03/2024&lt;/D&gt;&lt;D xsi:type="xsd:string"&gt;11/03/2024&lt;/D&gt;&lt;D xsi:type="xsd:string"&gt;08/03/2024&lt;/D&gt;&lt;D xsi:type="xsd:string"&gt;07/03/2024&lt;/D&gt;&lt;D xsi:type="xsd:string"&gt;06/03/2024&lt;/D&gt;&lt;D xsi:type="xsd:string"&gt;05/03/2024&lt;/D&gt;&lt;D xsi:type="xsd:string"&gt;04/03/2024&lt;/D&gt;&lt;D xsi:type="xsd:string"&gt;01/03/2024&lt;/D&gt;&lt;D xsi:type="xsd:string"&gt;29/02/2024&lt;/D&gt;&lt;D xsi:type="xsd:string"&gt;28/02/2024&lt;/D&gt;&lt;D xsi:type="xsd:string"&gt;27/02/2024&lt;/D&gt;&lt;D xsi:type="xsd:string"&gt;26/02/2024&lt;/D&gt;&lt;D xsi:type="xsd:string"&gt;23/02/2024&lt;/D&gt;&lt;D xsi:type="xsd:string"&gt;22/02/2024&lt;/D&gt;&lt;D xsi:type="xsd:string"&gt;21/02/2024&lt;/D&gt;&lt;D xsi:type="xsd:string"&gt;20/02/2024&lt;/D&gt;&lt;D xsi:type="xsd:string"&gt;19/02/2024&lt;/D&gt;&lt;D xsi:type="xsd:string"&gt;16/02/2024&lt;/D&gt;&lt;D xsi:type="xsd:string"&gt;15/02/2024&lt;/D&gt;&lt;D xsi:type="xsd:string"&gt;14/02/2024&lt;/D&gt;&lt;D xsi:type="xsd:string"&gt;13/02/2024&lt;/D&gt;&lt;D xsi:type="xsd:string"&gt;12/02/2024&lt;/D&gt;&lt;D xsi:type="xsd:string"&gt;09/02/2024&lt;/D&gt;&lt;D xsi:type="xsd:string"&gt;08/02/2024&lt;/D&gt;&lt;D xsi:type="xsd:string"&gt;07/02/2024&lt;/D&gt;&lt;D xsi:type="xsd:string"&gt;06/02/2024&lt;/D&gt;&lt;D xsi:type="xsd:string"&gt;05/02/2024&lt;/D&gt;&lt;D xsi:type="xsd:string"&gt;02/02/2024&lt;/D&gt;&lt;D xsi:type="xsd:string"&gt;01/02/2024&lt;/D&gt;&lt;D xsi:type="xsd:string"&gt;31/01/2024&lt;/D&gt;&lt;D xsi:type="xsd:string"&gt;30/01/2024&lt;/D&gt;&lt;D xsi:type="xsd:string"&gt;29/01/2024&lt;/D&gt;&lt;D xsi:type="xsd:string"&gt;26/01/2024&lt;/D&gt;&lt;D xsi:type="xsd:string"&gt;25/01/2024&lt;/D&gt;&lt;D xsi:type="xsd:string"&gt;24/01/2024&lt;/D&gt;&lt;D xsi:type="xsd:string"&gt;23/01/2024&lt;/D&gt;&lt;D xsi:type="xsd:string"&gt;22/01/2024&lt;/D&gt;&lt;D xsi:type="xsd:string"&gt;19/01/2024&lt;/D&gt;&lt;D xsi:type="xsd:string"&gt;18/01/2024&lt;/D&gt;&lt;D xsi:type="xsd:string"&gt;17/01/2024&lt;/D&gt;&lt;D xsi:type="xsd:string"&gt;16/01/2024&lt;/D&gt;&lt;D xsi:type="xsd:string"&gt;15/01/2024&lt;/D&gt;&lt;D xsi:type="xsd:string"&gt;12/01/2024&lt;/D&gt;&lt;D xsi:type="xsd:string"&gt;11/01/2024&lt;/D&gt;&lt;D xsi:type="xsd:string"&gt;10/01/2024&lt;/D&gt;&lt;D xsi:type="xsd:string"&gt;09/01/2024&lt;/D&gt;&lt;D xsi:type="xsd:string"&gt;08/01/2024&lt;/D&gt;&lt;D xsi:type="xsd:string"&gt;05/01/2024&lt;/D&gt;&lt;D xsi:type="xsd:string"&gt;04/01/2024&lt;/D&gt;&lt;D xsi:type="xsd:string"&gt;03/01/2024&lt;/D&gt;&lt;D xsi:type="xsd:string"&gt;02/01/2024&lt;/D&gt;&lt;D xsi:type="xsd:string"&gt;01/01/2024&lt;/D&gt;&lt;D xsi:type="xsd:string"&gt;29/12/2023&lt;/D&gt;&lt;D xsi:type="xsd:string"&gt;28/12/2023&lt;/D&gt;&lt;D xsi:type="xsd:string"&gt;27/12/2023&lt;/D&gt;&lt;D xsi:type="xsd:string"&gt;26/12/2023&lt;/D&gt;&lt;D xsi:type="xsd:string"&gt;25/12/2023&lt;/D&gt;&lt;D xsi:type="xsd:string"&gt;22/12/2023&lt;/D&gt;&lt;D xsi:type="xsd:string"&gt;21/12/2023&lt;/D&gt;&lt;D xsi:type="xsd:string"&gt;20/12/2023&lt;/D&gt;&lt;D xsi:type="xsd:string"&gt;19/12/2023&lt;/D&gt;&lt;D xsi:type="xsd:string"&gt;18/12/2023&lt;/D&gt;&lt;D xsi:type="xsd:string"&gt;15/12/2023&lt;/D&gt;&lt;D xsi:type="xsd:string"&gt;14/12/2023&lt;/D&gt;&lt;D xsi:type="xsd:string"&gt;13/12/2023&lt;/D&gt;&lt;D xsi:type="xsd:string"&gt;12/12/2023&lt;/D&gt;&lt;D xsi:type="xsd:string"&gt;11/12/2023&lt;/D&gt;&lt;D xsi:type="xsd:string"&gt;08/12/2023&lt;/D&gt;&lt;D xsi:type="xsd:string"&gt;07/12/2023&lt;/D&gt;&lt;D xsi:type="xsd:string"&gt;06/12/2023&lt;/D&gt;&lt;D xsi:type="xsd:string"&gt;05/12/2023&lt;/D&gt;&lt;D xsi:type="xsd:string"&gt;04/12/2023&lt;/D&gt;&lt;D xsi:type="xsd:string"&gt;01/12/2023&lt;/D&gt;&lt;D xsi:type="xsd:string"&gt;30/11/2023&lt;/D&gt;&lt;D xsi:type="xsd:string"&gt;29/11/2023&lt;/D&gt;&lt;D xsi:type="xsd:string"&gt;28/11/2023&lt;/D&gt;&lt;D xsi:type="xsd:string"&gt;27/11/2023&lt;/D&gt;&lt;D xsi:type="xsd:string"&gt;24/11/2023&lt;/D&gt;&lt;D xsi:type="xsd:string"&gt;23/11/2023&lt;/D&gt;&lt;D xsi:type="xsd:string"&gt;22/11/2023&lt;/D&gt;&lt;D xsi:type="xsd:string"&gt;21/11/2023&lt;/D&gt;&lt;D xsi:type="xsd:string"&gt;20/11/2023&lt;/D&gt;&lt;D xsi:type="xsd:string"&gt;17/11/2023&lt;/D&gt;&lt;D xsi:type="xsd:string"&gt;16/11/2023&lt;/D&gt;&lt;D xsi:type="xsd:string"&gt;15/11/2023&lt;/D&gt;&lt;D xsi:type="xsd:string"&gt;14/11/2023&lt;/D&gt;&lt;D xsi:type="xsd:string"&gt;13/11/2023&lt;/D&gt;&lt;D xsi:type="xsd:string"&gt;10/11/2023&lt;/D&gt;&lt;D xsi:type="xsd:string"&gt;09/11/2023&lt;/D&gt;&lt;D xsi:type="xsd:string"&gt;08/11/2023&lt;/D&gt;&lt;D xsi:type="xsd:string"&gt;07/11/2023&lt;/D&gt;&lt;D xsi:type="xsd:string"&gt;06/11/2023&lt;/D&gt;&lt;D xsi:type="xsd:string"&gt;03/11/2023&lt;/D&gt;&lt;D xsi:type="xsd:string"&gt;02/11/2023&lt;/D&gt;&lt;D xsi:type="xsd:string"&gt;01/11/2023&lt;/D&gt;&lt;D xsi:type="xsd:string"&gt;31/10/2023&lt;/D&gt;&lt;D xsi:type="xsd:string"&gt;30/10/2023&lt;/D&gt;&lt;D xsi:type="xsd:string"&gt;27/10/2023&lt;/D&gt;&lt;D xsi:type="xsd:string"&gt;26/10/2023&lt;/D&gt;&lt;D xsi:type="xsd:string"&gt;25/10/2023&lt;/D&gt;&lt;D xsi:type="xsd:string"&gt;24/10/2023&lt;/D&gt;&lt;D xsi:type="xsd:string"&gt;23/10/2023&lt;/D&gt;&lt;D xsi:type="xsd:string"&gt;20/10/2023&lt;/D&gt;&lt;D xsi:type="xsd:string"&gt;19/10/2023&lt;/D&gt;&lt;D xsi:type="xsd:string"&gt;18/10/2023&lt;/D&gt;&lt;D xsi:type="xsd:string"&gt;17/10/2023&lt;/D&gt;&lt;D xsi:type="xsd:string"&gt;16/10/2023&lt;/D&gt;&lt;D xsi:type="xsd:string"&gt;13/10/2023&lt;/D&gt;&lt;D xsi:type="xsd:string"&gt;12/10/2023&lt;/D&gt;&lt;D xsi:type="xsd:string"&gt;11/10/2023&lt;/D&gt;&lt;D xsi:type="xsd:string"&gt;10/10/2023&lt;/D&gt;&lt;D xsi:type="xsd:string"&gt;09/10/2023&lt;/D&gt;&lt;D xsi:type="xsd:string"&gt;06/10/2023&lt;/D&gt;&lt;D xsi:type="xsd:string"&gt;05/10/2023&lt;/D&gt;&lt;D xsi:type="xsd:string"&gt;04/10/2023&lt;/D&gt;&lt;D xsi:type="xsd:string"&gt;03/10/2023&lt;/D&gt;&lt;D xsi:type="xsd:string"&gt;02/10/2023&lt;/D&gt;&lt;D xsi:type="xsd:string"&gt;29/09/2023&lt;/D&gt;&lt;D xsi:type="xsd:string"&gt;28/09/2023&lt;/D&gt;&lt;D xsi:type="xsd:string"&gt;27/09/2023&lt;/D&gt;&lt;D xsi:type="xsd:string"&gt;26/09/2023&lt;/D&gt;&lt;D xsi:type="xsd:string"&gt;25/09/2023&lt;/D&gt;&lt;D xsi:type="xsd:string"&gt;22/09/2023&lt;/D&gt;&lt;D xsi:type="xsd:string"&gt;21/09/2023&lt;/D&gt;&lt;D xsi:type="xsd:string"&gt;20/09/2023&lt;/D&gt;&lt;D xsi:type="xsd:string"&gt;19/09/2023&lt;/D&gt;&lt;D xsi:type="xsd:string"&gt;18/09/2023&lt;/D&gt;&lt;D xsi:type="xsd:string"&gt;15/09/2023&lt;/D&gt;&lt;D xsi:type="xsd:string"&gt;14/09/2023&lt;/D&gt;&lt;D xsi:type="xsd:string"&gt;13/09/2023&lt;/D&gt;&lt;D xsi:type="xsd:string"&gt;12/09/2023&lt;/D&gt;&lt;D xsi:type="xsd:string"&gt;11/09/2023&lt;/D&gt;&lt;D xsi:type="xsd:string"&gt;08/09/2023&lt;/D&gt;&lt;D xsi:type="xsd:string"&gt;07/09/2023&lt;/D&gt;&lt;D xsi:type="xsd:string"&gt;06/09/2023&lt;/D&gt;&lt;D xsi:type="xsd:string"&gt;05/09/2023&lt;/D&gt;&lt;D xsi:type="xsd:string"&gt;04/09/2023&lt;/D&gt;&lt;D xsi:type="xsd:string"&gt;01/09/2023&lt;/D&gt;&lt;D xsi:type="xsd:string"&gt;31/08/2023&lt;/D&gt;&lt;D xsi:type="xsd:string"&gt;30/08/2023&lt;/D&gt;&lt;D xsi:type="xsd:string"&gt;29/08/2023&lt;/D&gt;&lt;D xsi:type="xsd:string"&gt;28/08/2023&lt;/D&gt;&lt;D xsi:type="xsd:string"&gt;25/08/2023&lt;/D&gt;&lt;D xsi:type="xsd:string"&gt;24/08/2023&lt;/D&gt;&lt;D xsi:type="xsd:string"&gt;23/08/2023&lt;/D&gt;&lt;D xsi:type="xsd:string"&gt;22/08/2023&lt;/D&gt;&lt;D xsi:type="xsd:string"&gt;21/08/2023&lt;/D&gt;&lt;D xsi:type="xsd:string"&gt;18/08/2023&lt;/D&gt;&lt;D xsi:type="xsd:string"&gt;17/08/2023&lt;/D&gt;&lt;D xsi:type="xsd:string"&gt;16/08/2023&lt;/D&gt;&lt;D xsi:type="xsd:string"&gt;15/08/2023&lt;/D&gt;&lt;D xsi:type="xsd:string"&gt;14/08/2023&lt;/D&gt;&lt;D xsi:type="xsd:string"&gt;11/08/2023&lt;/D&gt;&lt;D xsi:type="xsd:string"&gt;10/08/2023&lt;/D&gt;&lt;D xsi:type="xsd:string"&gt;09/08/2023&lt;/D&gt;&lt;D xsi:type="xsd:string"&gt;08/08/2023&lt;/D&gt;&lt;D xsi:type="xsd:string"&gt;07/08/2023&lt;/D&gt;&lt;D xsi:type="xsd:string"&gt;04/08/2023&lt;/D&gt;&lt;D xsi:type="xsd:string"&gt;03/08/2023&lt;/D&gt;&lt;D xsi:</t>
        </r>
      </text>
    </comment>
    <comment ref="A14" authorId="0" shapeId="0" xr:uid="{9C0CA0AB-16DD-4280-8A5D-CC90A3A7D795}">
      <text>
        <r>
          <rPr>
            <b/>
            <sz val="9"/>
            <color indexed="81"/>
            <rFont val="Tahoma"/>
            <charset val="1"/>
          </rPr>
          <t>type="xsd:string"&gt;02/08/2023&lt;/D&gt;&lt;D xsi:type="xsd:string"&gt;01/08/2023&lt;/D&gt;&lt;D xsi:type="xsd:string"&gt;31/07/2023&lt;/D&gt;&lt;D xsi:type="xsd:string"&gt;28/07/2023&lt;/D&gt;&lt;D xsi:type="xsd:string"&gt;27/07/2023&lt;/D&gt;&lt;D xsi:type="xsd:string"&gt;26/07/2023&lt;/D&gt;&lt;D xsi:type="xsd:string"&gt;25/07/2023&lt;/D&gt;&lt;D xsi:type="xsd:string"&gt;24/07/2023&lt;/D&gt;&lt;D xsi:type="xsd:string"&gt;21/07/2023&lt;/D&gt;&lt;D xsi:type="xsd:string"&gt;20/07/2023&lt;/D&gt;&lt;D xsi:type="xsd:string"&gt;19/07/2023&lt;/D&gt;&lt;D xsi:type="xsd:string"&gt;18/07/2023&lt;/D&gt;&lt;D xsi:type="xsd:string"&gt;17/07/2023&lt;/D&gt;&lt;D xsi:type="xsd:string"&gt;14/07/2023&lt;/D&gt;&lt;D xsi:type="xsd:string"&gt;13/07/2023&lt;/D&gt;&lt;D xsi:type="xsd:string"&gt;12/07/2023&lt;/D&gt;&lt;D xsi:type="xsd:string"&gt;11/07/2023&lt;/D&gt;&lt;D xsi:type="xsd:string"&gt;10/07/2023&lt;/D&gt;&lt;D xsi:type="xsd:string"&gt;07/07/2023&lt;/D&gt;&lt;D xsi:type="xsd:string"&gt;06/07/2023&lt;/D&gt;&lt;D xsi:type="xsd:string"&gt;05/07/2023&lt;/D&gt;&lt;D xsi:type="xsd:string"&gt;04/07/2023&lt;/D&gt;&lt;D xsi:type="xsd:string"&gt;03/07/2023&lt;/D&gt;&lt;D xsi:type="xsd:string"&gt;30/06/2023&lt;/D&gt;&lt;D xsi:type="xsd:string"&gt;29/06/2023&lt;/D&gt;&lt;D xsi:type="xsd:string"&gt;28/06/2023&lt;/D&gt;&lt;D xsi:type="xsd:string"&gt;27/06/2023&lt;/D&gt;&lt;D xsi:type="xsd:string"&gt;26/06/2023&lt;/D&gt;&lt;D xsi:type="xsd:string"&gt;23/06/2023&lt;/D&gt;&lt;D xsi:type="xsd:string"&gt;22/06/2023&lt;/D&gt;&lt;D xsi:type="xsd:string"&gt;21/06/2023&lt;/D&gt;&lt;D xsi:type="xsd:string"&gt;20/06/2023&lt;/D&gt;&lt;D xsi:type="xsd:string"&gt;19/06/2023&lt;/D&gt;&lt;D xsi:type="xsd:string"&gt;16/06/2023&lt;/D&gt;&lt;D xsi:type="xsd:string"&gt;15/06/2023&lt;/D&gt;&lt;D xsi:type="xsd:string"&gt;14/06/2023&lt;/D&gt;&lt;D xsi:type="xsd:string"&gt;13/06/2023&lt;/D&gt;&lt;D xsi:type="xsd:string"&gt;12/06/2023&lt;/D&gt;&lt;D xsi:type="xsd:string"&gt;09/06/2023&lt;/D&gt;&lt;D xsi:type="xsd:string"&gt;08/06/2023&lt;/D&gt;&lt;D xsi:type="xsd:string"&gt;07/06/2023&lt;/D&gt;&lt;D xsi:type="xsd:string"&gt;06/06/2023&lt;/D&gt;&lt;D xsi:type="xsd:string"&gt;05/06/2023&lt;/D&gt;&lt;D xsi:type="xsd:string"&gt;02/06/2023&lt;/D&gt;&lt;D xsi:type="xsd:string"&gt;01/06/2023&lt;/D&gt;&lt;D xsi:type="xsd:string"&gt;31/05/2023&lt;/D&gt;&lt;D xsi:type="xsd:string"&gt;30/05/2023&lt;/D&gt;&lt;D xsi:type="xsd:string"&gt;29/05/2023&lt;/D&gt;&lt;D xsi:type="xsd:string"&gt;26/05/2023&lt;/D&gt;&lt;D xsi:type="xsd:string"&gt;25/05/2023&lt;/D&gt;&lt;D xsi:type="xsd:string"&gt;24/05/2023&lt;/D&gt;&lt;D xsi:type="xsd:string"&gt;23/05/2023&lt;/D&gt;&lt;D xsi:type="xsd:string"&gt;22/05/2023&lt;/D&gt;&lt;D xsi:type="xsd:string"&gt;19/05/2023&lt;/D&gt;&lt;D xsi:type="xsd:string"&gt;18/05/2023&lt;/D&gt;&lt;D xsi:type="xsd:string"&gt;17/05/2023&lt;/D&gt;&lt;D xsi:type="xsd:string"&gt;16/05/2023&lt;/D&gt;&lt;D xsi:type="xsd:string"&gt;15/05/2023&lt;/D&gt;&lt;D xsi:type="xsd:string"&gt;12/05/2023&lt;/D&gt;&lt;D xsi:type="xsd:string"&gt;11/05/2023&lt;/D&gt;&lt;D xsi:type="xsd:string"&gt;10/05/2023&lt;/D&gt;&lt;D xsi:type="xsd:string"&gt;09/05/2023&lt;/D&gt;&lt;D xsi:type="xsd:string"&gt;08/05/2023&lt;/D&gt;&lt;D xsi:type="xsd:string"&gt;05/05/2023&lt;/D&gt;&lt;D xsi:type="xsd:string"&gt;04/05/2023&lt;/D&gt;&lt;D xsi:type="xsd:string"&gt;03/05/2023&lt;/D&gt;&lt;D xsi:type="xsd:string"&gt;02/05/2023&lt;/D&gt;&lt;D xsi:type="xsd:string"&gt;01/05/2023&lt;/D&gt;&lt;D xsi:type="xsd:string"&gt;28/04/2023&lt;/D&gt;&lt;D xsi:type="xsd:string"&gt;27/04/2023&lt;/D&gt;&lt;D xsi:type="xsd:string"&gt;26/04/2023&lt;/D&gt;&lt;D xsi:type="xsd:string"&gt;25/04/2023&lt;/D&gt;&lt;D xsi:type="xsd:string"&gt;24/04/2023&lt;/D&gt;&lt;D xsi:type="xsd:string"&gt;21/04/2023&lt;/D&gt;&lt;D xsi:type="xsd:string"&gt;20/04/2023&lt;/D&gt;&lt;D xsi:type="xsd:string"&gt;19/04/2023&lt;/D&gt;&lt;D xsi:type="xsd:string"&gt;18/04/2023&lt;/D&gt;&lt;D xsi:type="xsd:string"&gt;17/04/2023&lt;/D&gt;&lt;D xsi:type="xsd:string"&gt;14/04/2023&lt;/D&gt;&lt;D xsi:type="xsd:string"&gt;13/04/2023&lt;/D&gt;&lt;D xsi:type="xsd:string"&gt;12/04/2023&lt;/D&gt;&lt;D xsi:type="xsd:string"&gt;11/04/2023&lt;/D&gt;&lt;D xsi:type="xsd:string"&gt;10/04/2023&lt;/D&gt;&lt;D xsi:type="xsd:string"&gt;07/04/2023&lt;/D&gt;&lt;D xsi:type="xsd:string"&gt;06/04/2023&lt;/D&gt;&lt;D xsi:type="xsd:string"&gt;05/04/2023&lt;/D&gt;&lt;D xsi:type="xsd:string"&gt;04/04/2023&lt;/D&gt;&lt;D xsi:type="xsd:string"&gt;03/04/2023&lt;/D&gt;&lt;D xsi:type="xsd:string"&gt;31/03/2023&lt;/D&gt;&lt;D xsi:type="xsd:string"&gt;30/03/2023&lt;/D&gt;&lt;D xsi:type="xsd:string"&gt;29/03/2023&lt;/D&gt;&lt;D xsi:type="xsd:string"&gt;28/03/2023&lt;/D&gt;&lt;D xsi:type="xsd:string"&gt;27/03/2023&lt;/D&gt;&lt;D xsi:type="xsd:string"&gt;24/03/2023&lt;/D&gt;&lt;D xsi:type="xsd:string"&gt;23/03/2023&lt;/D&gt;&lt;D xsi:type="xsd:string"&gt;22/03/2023&lt;/D&gt;&lt;D xsi:type="xsd:string"&gt;21/03/2023&lt;/D&gt;&lt;D xsi:type="xsd:string"&gt;20/03/2023&lt;/D&gt;&lt;D xsi:type="xsd:string"&gt;17/03/2023&lt;/D&gt;&lt;D xsi:type="xsd:string"&gt;16/03/2023&lt;/D&gt;&lt;D xsi:type="xsd:string"&gt;15/03/2023&lt;/D&gt;&lt;D xsi:type="xsd:string"&gt;14/03/2023&lt;/D&gt;&lt;D xsi:type="xsd:string"&gt;13/03/2023&lt;/D&gt;&lt;D xsi:type="xsd:string"&gt;10/03/2023&lt;/D&gt;&lt;D xsi:type="xsd:string"&gt;09/03/2023&lt;/D&gt;&lt;D xsi:type="xsd:string"&gt;08/03/2023&lt;/D&gt;&lt;D xsi:type="xsd:string"&gt;07/03/2023&lt;/D&gt;&lt;D xsi:type="xsd:string"&gt;06/03/2023&lt;/D&gt;&lt;D xsi:type="xsd:string"&gt;03/03/2023&lt;/D&gt;&lt;D xsi:type="xsd:string"&gt;02/03/2023&lt;/D&gt;&lt;D xsi:type="xsd:string"&gt;01/03/2023&lt;/D&gt;&lt;D xsi:type="xsd:string"&gt;28/02/2023&lt;/D&gt;&lt;D xsi:type="xsd:string"&gt;27/02/2023&lt;/D&gt;&lt;D xsi:type="xsd:string"&gt;24/02/2023&lt;/D&gt;&lt;D xsi:type="xsd:string"&gt;23/02/2023&lt;/D&gt;&lt;D xsi:type="xsd:string"&gt;22/02/2023&lt;/D&gt;&lt;D xsi:type="xsd:string"&gt;21/02/2023&lt;/D&gt;&lt;D xsi:type="xsd:string"&gt;20/02/2023&lt;/D&gt;&lt;D xsi:type="xsd:string"&gt;17/02/2023&lt;/D&gt;&lt;D xsi:type="xsd:string"&gt;16/02/2023&lt;/D&gt;&lt;D xsi:type="xsd:string"&gt;15/02/2023&lt;/D&gt;&lt;D xsi:type="xsd:string"&gt;14/02/2023&lt;/D&gt;&lt;D xsi:type="xsd:string"&gt;13/02/2023&lt;/D&gt;&lt;D xsi:type="xsd:string"&gt;10/02/2023&lt;/D&gt;&lt;D xsi:type="xsd:string"&gt;09/02/2023&lt;/D&gt;&lt;D xsi:type="xsd:string"&gt;08/02/2023&lt;/D&gt;&lt;D xsi:type="xsd:string"&gt;07/02/2023&lt;/D&gt;&lt;D xsi:type="xsd:string"&gt;06/02/2023&lt;/D&gt;&lt;D xsi:type="xsd:string"&gt;03/02/2023&lt;/D&gt;&lt;D xsi:type="xsd:string"&gt;02/02/2023&lt;/D&gt;&lt;D xsi:type="xsd:string"&gt;01/02/2023&lt;/D&gt;&lt;D xsi:type="xsd:string"&gt;31/01/2023&lt;/D&gt;&lt;D xsi:type="xsd:string"&gt;30/01/2023&lt;/D&gt;&lt;D xsi:type="xsd:string"&gt;27/01/2023&lt;/D&gt;&lt;D xsi:type="xsd:string"&gt;26/01/2023&lt;/D&gt;&lt;D xsi:type="xsd:string"&gt;25/01/2023&lt;/D&gt;&lt;D xsi:type="xsd:string"&gt;24/01/2023&lt;/D&gt;&lt;D xsi:type="xsd:string"&gt;23/01/2023&lt;/D&gt;&lt;D xsi:type="xsd:string"&gt;20/01/2023&lt;/D&gt;&lt;D xsi:type="xsd:string"&gt;19/01/2023&lt;/D&gt;&lt;D xsi:type="xsd:string"&gt;18/01/2023&lt;/D&gt;&lt;D xsi:type="xsd:string"&gt;17/01/2023&lt;/D&gt;&lt;D xsi:type="xsd:string"&gt;16/01/2023&lt;/D&gt;&lt;D xsi:type="xsd:string"&gt;13/01/2023&lt;/D&gt;&lt;D xsi:type="xsd:string"&gt;12/01/2023&lt;/D&gt;&lt;D xsi:type="xsd:string"&gt;11/01/2023&lt;/D&gt;&lt;D xsi:type="xsd:string"&gt;10/01/2023&lt;/D&gt;&lt;D xsi:type="xsd:string"&gt;09/01/2023&lt;/D&gt;&lt;D xsi:type="xsd:string"&gt;06/01/2023&lt;/D&gt;&lt;D xsi:type="xsd:string"&gt;05/01/2023&lt;/D&gt;&lt;D xsi:type="xsd:string"&gt;04/01/2023&lt;/D&gt;&lt;D xsi:type="xsd:string"&gt;03/01/2023&lt;/D&gt;&lt;D xsi:type="xsd:string"&gt;02/01/2023&lt;/D&gt;&lt;D xsi:type="xsd:string"&gt;30/12/2022&lt;/D&gt;&lt;D xsi:type="xsd:string"&gt;29/12/2022&lt;/D&gt;&lt;D xsi:type="xsd:string"&gt;28/12/2022&lt;/D&gt;&lt;D xsi:type="xsd:string"&gt;27/12/2022&lt;/D&gt;&lt;D xsi:type="xsd:string"&gt;26/12/2022&lt;/D&gt;&lt;D xsi:type="xsd:string"&gt;23/12/2022&lt;/D&gt;&lt;D xsi:type="xsd:string"&gt;22/12/2022&lt;/D&gt;&lt;D xsi:type="xsd:string"&gt;21/12/2022&lt;/D&gt;&lt;D xsi:type="xsd:string"&gt;20/12/2022&lt;/D&gt;&lt;D xsi:type="xsd:string"&gt;19/12/2022&lt;/D&gt;&lt;D xsi:type="xsd:string"&gt;16/12/2022&lt;/D&gt;&lt;D xsi:type="xsd:string"&gt;15/12/2022&lt;/D&gt;&lt;D xsi:type="xsd:string"&gt;14/12/2022&lt;/D&gt;&lt;D xsi:type="xsd:string"&gt;13/12/2022&lt;/D&gt;&lt;D xsi:type="xsd:string"&gt;12/12/2022&lt;/D&gt;&lt;D xsi:type="xsd:string"&gt;09/12/2022&lt;/D&gt;&lt;D xsi:type="xsd:string"&gt;08/12/2022&lt;/D&gt;&lt;D xsi:type="xsd:string"&gt;07/12/2022&lt;/D&gt;&lt;D xsi:type="xsd:string"&gt;06/12/2022&lt;/D&gt;&lt;D xsi:type="xsd:string"&gt;05/12/2022&lt;/D&gt;&lt;D xsi:type="xsd:string"&gt;02/12/2022&lt;/D&gt;&lt;D xsi:type="xsd:string"&gt;01/12/2022&lt;/D&gt;&lt;D xsi:type="xsd:string"&gt;30/11/2022&lt;/D&gt;&lt;D xsi:type="xsd:string"&gt;29/11/2022&lt;/D&gt;&lt;D xsi:type="xsd:string"&gt;28/11/2022&lt;/D&gt;&lt;D xsi:type="xsd:string"&gt;25/11/2022&lt;/D&gt;&lt;D xsi:type="xsd:string"&gt;24/11/2022&lt;/D&gt;&lt;D xsi:type="xsd:string"&gt;23/11/2022&lt;/D&gt;&lt;D xsi:type="xsd:string"&gt;22/11/2022&lt;/D&gt;&lt;D xsi:type="xsd:string"&gt;21/11/2022&lt;/D&gt;&lt;D xsi:type="xsd:string"&gt;18/11/2022&lt;/D&gt;&lt;D xsi:type="xsd:string"&gt;17/11/2022&lt;/D&gt;&lt;D xsi:type="xsd:string"&gt;16/11/2022&lt;/D&gt;&lt;D xsi:type="xsd:string"&gt;15/11/2022&lt;/D&gt;&lt;D xsi:type="xsd:string"&gt;14/11/2022&lt;/D&gt;&lt;D xsi:type="xsd:string"&gt;11/11/2022&lt;/D&gt;&lt;D xsi:type="xsd:string"&gt;10/11/2022&lt;/D&gt;&lt;D xsi:type="xsd:string"&gt;09/11/2022&lt;/D&gt;&lt;D xsi:type="xsd:string"&gt;08/11/2022&lt;/D&gt;&lt;D xsi:type="xsd:string"&gt;07/11/2022&lt;/D&gt;&lt;D xsi:type="xsd:string"&gt;04/11/2022&lt;/D&gt;&lt;D xsi:type="xsd:string"&gt;03/11/2022&lt;/D&gt;&lt;D xsi:type="xsd:string"&gt;02/11/2022&lt;/D&gt;&lt;D xsi:type="xsd:string"&gt;01/11/2022&lt;/D&gt;&lt;D xsi:type="xsd:string"&gt;31/10/2022&lt;/D&gt;&lt;D xsi:type="xsd:string"&gt;28/10/2022&lt;/D&gt;&lt;D xsi:type="xsd:string"&gt;27/10/2022&lt;/D&gt;&lt;D xsi:type="xsd:string"&gt;26/10/2022&lt;/D&gt;&lt;D xsi:type="xsd:string"&gt;25/10/2022&lt;/D&gt;&lt;D xsi:type="xsd:string"&gt;24/10/2022&lt;/D&gt;&lt;D xsi:type="xsd:string"&gt;21/10/2022&lt;/D&gt;&lt;D xsi:type="xsd:string"&gt;20/10/2022&lt;/D&gt;&lt;D xsi:type="xsd:string"&gt;19/10/2022&lt;/D&gt;&lt;D xsi:type="xsd:string"&gt;18/10/2022&lt;/D&gt;&lt;D xsi:type="xsd:string"&gt;17/10/2022&lt;/D&gt;&lt;D xsi:type="xsd:string"&gt;14/10/2022&lt;/D&gt;&lt;D xsi:type="xsd:string"&gt;13/10/2022&lt;/D&gt;&lt;D xsi:type="xsd:string"&gt;12/10/2022&lt;/D&gt;&lt;D xsi:type="xsd:string"&gt;11/10/2022&lt;/D&gt;&lt;D xsi:type="xsd:string"&gt;10/10/2022&lt;/D&gt;&lt;D xsi:type="xsd:string"&gt;07/10/2022&lt;/D&gt;&lt;D xsi:type="xsd:string"&gt;06/10/2022&lt;/D&gt;&lt;D xsi:type="xsd:string"&gt;05/10/2022&lt;/D&gt;&lt;D xsi:type="xsd:string"&gt;04/10/2022&lt;/D&gt;&lt;D xsi:type="xsd:string"&gt;03/10/2022&lt;/D&gt;&lt;D xsi:type="xsd:string"&gt;30/09/2022&lt;/D&gt;&lt;D xsi:type="xsd:string"&gt;29/09/2022&lt;/D&gt;&lt;D xsi:type="xsd:string"&gt;28/09/2022&lt;/D&gt;&lt;D xsi:type="xsd:string"&gt;27/09/2022&lt;/D&gt;&lt;D xsi:type="xsd:string"&gt;26/09/2022&lt;/D&gt;&lt;D xsi:type="xsd:string"&gt;23/09/2022&lt;/D&gt;&lt;D xsi:type="xsd:string"&gt;22/09/2022&lt;/D&gt;&lt;D xsi:type="xsd:string"&gt;21/09/2022&lt;/D&gt;&lt;D xsi:type="xsd:string"&gt;20/09/2022&lt;/D&gt;&lt;D xsi:type="xsd:string"&gt;19/09/2022&lt;/D&gt;&lt;D xsi:type="xsd:string"&gt;16/09/2022&lt;/D&gt;&lt;D xsi:type="xsd:string"&gt;15/09/2022&lt;/D&gt;&lt;D xsi:type="xsd:string"&gt;14/09/2022&lt;/D&gt;&lt;D xsi:type="xsd:string"&gt;13/09/2022&lt;/D&gt;&lt;D xsi:type="xsd:string"&gt;12/09/2022&lt;/D&gt;&lt;D xsi:type="xsd:string"&gt;09/09/2022&lt;/D&gt;&lt;D xsi:type="xsd:string"&gt;08/09/2022&lt;/D&gt;&lt;D xsi:type="xsd:string"&gt;07/09/2022&lt;/D&gt;&lt;D xsi:type="xsd:string"&gt;06/09/2022&lt;/D&gt;&lt;D xsi:type="xsd:string"&gt;05/09/2022&lt;/D&gt;&lt;D xsi:type="xsd:string"&gt;02/09/2022&lt;/D&gt;&lt;D xsi:type="xsd:string"&gt;01/09/2022&lt;/D&gt;&lt;D xsi:type="xsd:string"&gt;31/08/2022&lt;/D&gt;&lt;D xsi:type="xsd:string"&gt;30/08/2022&lt;/D&gt;&lt;D xsi:type="xsd:string"&gt;29/08/2022&lt;/D&gt;&lt;D xsi:type="xsd:string"&gt;26/08/2022&lt;/D&gt;&lt;D xsi:type="xsd:string"&gt;25/08/2022&lt;/D&gt;&lt;D xsi:type="xsd:string"&gt;24/08/2022&lt;/D&gt;&lt;D xsi:type="xsd:string"&gt;23/08/2022&lt;/D&gt;&lt;D xsi:type="xsd:string"&gt;22/08/2022&lt;/D&gt;&lt;D xsi:type="xsd:string"&gt;19/08/2022&lt;/D&gt;&lt;D xsi:type="xsd:string"&gt;18/08/2022&lt;/D&gt;&lt;D xsi:type="xsd:string"&gt;17/08/2022&lt;/D&gt;&lt;D xsi:type="xsd:string"&gt;16/08/2022&lt;/D&gt;&lt;D xsi:type="xsd:string"&gt;15/08/2022&lt;/D&gt;&lt;D xsi:type="xsd:string"&gt;12/08/2022&lt;/D&gt;&lt;D xsi:type="xsd:string"&gt;11/08/2022&lt;/D&gt;&lt;D xsi:type="xsd:string"&gt;10/08/2022&lt;/D&gt;&lt;D xsi:type="xsd:string"&gt;09/08/2022&lt;/D&gt;&lt;D xsi:type="xsd:string"&gt;08/08/2022&lt;/D&gt;&lt;D xsi:type="xsd:string"&gt;05/08/2022&lt;/D&gt;&lt;D xsi:type="xsd:string"&gt;04/08/2022&lt;/D&gt;&lt;D xsi:type="xsd:string"&gt;03/08/2022&lt;/D&gt;&lt;D xsi:type="xsd:string"&gt;02/08/2022&lt;/D&gt;&lt;D xsi:type="xsd:string"&gt;01/08/2022&lt;/D&gt;&lt;D xsi:type="xsd:string"&gt;29/07/2022&lt;/D&gt;&lt;D xsi:type="xsd:string"&gt;28/07/2022&lt;/D&gt;&lt;D xsi:type="xsd:string"&gt;27/07/2022&lt;/D&gt;&lt;D xsi:type="xsd:string"&gt;26/07/2022&lt;/D&gt;&lt;D xsi:type="xsd:string"&gt;25/07/2022&lt;/D&gt;&lt;D xsi:type="xsd:string"&gt;22/07/2022&lt;/D&gt;&lt;D xsi:type="xsd:string"&gt;21/07/2022&lt;/D&gt;&lt;D xsi:type="xsd:string"&gt;20/07/2022&lt;/D&gt;&lt;D xsi:type="xsd:string"&gt;19/07/2022&lt;/D&gt;&lt;D xsi:type="xsd:string"&gt;18/07/2022&lt;/D&gt;&lt;D xsi:type="xsd:string"&gt;15/07/2022&lt;/D&gt;&lt;D xsi:type="xsd:string"&gt;14/07/2022&lt;/D&gt;&lt;D xsi:type="xsd:string"&gt;13/07/2022&lt;/D&gt;&lt;D xsi:type="xsd:string"&gt;12/07/2022&lt;/D&gt;&lt;D xsi:type="xsd:string"&gt;11/07/2022&lt;/D&gt;&lt;D xsi:type="xsd:string"&gt;08/07/2022&lt;/D&gt;&lt;D xsi:type="xsd:string"&gt;07/07/2022&lt;/D&gt;&lt;D xsi:type="xsd:string"&gt;06/07/2022&lt;/D&gt;&lt;D xsi:type="xsd:string"&gt;05/07/2022&lt;/D&gt;&lt;D xsi:type="xsd:string"&gt;04/07/2022&lt;/D&gt;&lt;D xsi:type="xsd:string"&gt;01/07/2022&lt;/D&gt;&lt;D xsi:type="xsd:string"&gt;30/06/2022&lt;/D&gt;&lt;D xsi:type="xsd:string"&gt;29/06/2022&lt;/D&gt;&lt;D xsi:type="xsd:string"&gt;28/06/2022&lt;/D&gt;&lt;D xsi:type="xsd:string"&gt;27/06/2022&lt;/D&gt;&lt;D xsi:type="xsd:string"&gt;24/06/2022&lt;/D&gt;&lt;D xsi:type="xsd:string"&gt;23/06/2022&lt;/D&gt;&lt;D xsi:type="xsd:string"&gt;22/06/2022&lt;/D&gt;&lt;D xsi:type="xsd:string"&gt;21/06/2022&lt;/D&gt;&lt;D xsi:type="xsd:string"&gt;20/06/2022&lt;/D&gt;&lt;D xsi:type="xsd:string"&gt;17/06/2022&lt;/D&gt;&lt;D xsi:type="xsd:string"&gt;16/06/2022&lt;/D&gt;&lt;D xsi:type="xsd:string"&gt;15/06/2022&lt;/D&gt;&lt;D xsi:type="xsd:string"&gt;14/06/2022&lt;/D&gt;&lt;D xsi:type="xsd:string"&gt;13/06/2022&lt;/D&gt;&lt;D xsi:type="xsd:string"&gt;10/06/2022&lt;/D&gt;&lt;D xsi:type="xsd:string"&gt;09/06/2022&lt;/D&gt;&lt;D xsi:type="xsd:string"&gt;08/06/2022&lt;/D&gt;&lt;D xsi:type="xsd:string"&gt;07/06/2022&lt;/D&gt;&lt;D xsi:type="xsd:string"&gt;06/06/2022&lt;/D&gt;&lt;D xsi:type="xsd:string"&gt;03/06/2022&lt;/D&gt;&lt;D xsi:type="xsd:string"&gt;02/06/2022&lt;/D&gt;&lt;D xsi:type="xsd:string"&gt;01/06/2022&lt;/D&gt;&lt;D xsi:type="xsd:string"&gt;31/05/2022&lt;/D&gt;&lt;D xsi:type="xsd:string"&gt;30/05/2022&lt;/D&gt;&lt;D xsi:type="xsd:string"&gt;27/05/2022&lt;/D&gt;&lt;D xsi:type="xsd:string"&gt;26/05/2022&lt;/D&gt;&lt;D xsi:type="xsd:string"&gt;25/05/2022&lt;/D&gt;&lt;D xsi:type="xsd:string"&gt;24/05/2022&lt;/D&gt;&lt;D xsi:type="xsd:string"&gt;23/05/2022&lt;/D&gt;&lt;D xsi:type="xsd:string"&gt;20/05/2022&lt;/D&gt;&lt;D xsi:type="xsd:string"&gt;19/05/2022&lt;/D&gt;&lt;D xsi:type="xsd:string"&gt;18/05/2022&lt;/D&gt;&lt;D xsi:type="xsd:string"&gt;17/05/2022&lt;/D&gt;&lt;D xsi:type="xsd:string"&gt;16/05/2022&lt;/D&gt;&lt;D xsi:type="xsd:string"&gt;13/05/2022&lt;/D&gt;&lt;D xsi:type="xsd:string"&gt;12/05/2022&lt;/D&gt;&lt;D xsi:type="xsd:string"&gt;11/05/2022&lt;/D&gt;&lt;D xsi:type="xsd:string"&gt;10/05/2022&lt;/D&gt;&lt;D xsi:type="xsd:string"&gt;09/05/2022&lt;/D&gt;&lt;D xsi:type="xsd:string"&gt;06/05/2022&lt;/D&gt;&lt;D xsi:type="xsd:string"&gt;05/05/2022&lt;/D&gt;&lt;D xsi:type="xsd:string"&gt;04/05/2022&lt;/D&gt;&lt;D xsi:type="xsd:string"&gt;03/05/2022&lt;/D&gt;&lt;D xsi:type="xsd:string"&gt;02/05/2022&lt;/D&gt;&lt;D xsi:type="xsd:string"&gt;29/04/2022&lt;/D&gt;&lt;D xsi:type="xsd:string"&gt;28/04/2022&lt;/D&gt;&lt;D xsi:type="xsd:string"&gt;27/04/2022&lt;/D&gt;&lt;D xsi:type="xsd:string"&gt;26/04/2022&lt;/D&gt;&lt;D xsi:type="xsd:string"&gt;25/04/2022&lt;/D&gt;&lt;D xsi:type="xsd:string"&gt;22/04/2022&lt;/D&gt;&lt;D xsi:type="xsd:string"&gt;21/04/2022&lt;/D&gt;&lt;D xsi:type="xsd:string"&gt;20/04/2022&lt;/D&gt;&lt;D xsi:type="xsd:string"&gt;19/04/2022&lt;/D&gt;&lt;D xsi:type="xsd:string"&gt;18/04/2022&lt;/D&gt;&lt;D xsi:type="xsd:string"&gt;15/04/2022&lt;/D&gt;&lt;D xsi:type="xsd:string"&gt;14/04/2022&lt;/D&gt;&lt;D xsi:type="xsd:string"&gt;13/04/2022&lt;/D&gt;&lt;D xsi:type="xsd:string"&gt;12/04/2022&lt;/D&gt;&lt;D xsi:type="xsd:string"&gt;11/04/2022&lt;/D&gt;&lt;D xsi:type="xsd:string"&gt;08/04/2022&lt;/D&gt;&lt;D xsi:type="xsd:string"&gt;07/04/2022&lt;/D&gt;&lt;D xsi:type="xsd:string"&gt;06/04/2022&lt;/D&gt;&lt;D xsi:type="xsd:string"&gt;05/04/2022&lt;/D&gt;&lt;D xsi:type="xsd:string"&gt;04/04/2022&lt;/D&gt;&lt;D xsi:type="xsd:string"&gt;01/04/2022&lt;/D&gt;&lt;D xsi:type="xsd:string"&gt;31/03/2022&lt;/D&gt;&lt;D xsi:type="xsd:string"&gt;30/03/2022&lt;/D&gt;&lt;D xsi:type="xsd:string"&gt;29/03/2022&lt;/D&gt;&lt;D xsi:type="xsd:string"&gt;28/03/2022&lt;/D&gt;&lt;D xsi:type="xsd:string"&gt;25/03/2022&lt;/D&gt;&lt;D xsi:type="xsd:string"&gt;24/03/2022&lt;/D&gt;&lt;D xsi:type="xsd:string"&gt;23/03/2022&lt;/D&gt;&lt;D xsi:type="xsd:string"&gt;22/03/2022&lt;/D&gt;&lt;D xsi:type="xsd:string"&gt;21/03/2022&lt;/D&gt;&lt;D xsi:type="xsd:string"&gt;18/03/2022&lt;/D&gt;&lt;D xsi:type="xsd:string"&gt;17/03/2022&lt;/D&gt;&lt;D xsi:type="xsd:string"&gt;16/03/2022&lt;/D&gt;&lt;D xsi:type="xsd:string"&gt;15/03/2022&lt;/D&gt;&lt;D xsi:type="xsd:string"&gt;14/03/2022&lt;/D&gt;&lt;D xsi:type="xsd:string"&gt;11/03/2022&lt;/D&gt;&lt;D xsi:type="xsd:string"&gt;10/03/2022&lt;/D&gt;&lt;D xsi:type="xsd:string"&gt;09/03/2022&lt;/D&gt;&lt;D xsi:type="xsd:string"&gt;08/03/2022&lt;/D&gt;&lt;D xsi:type="xsd:string"&gt;07/03/2022&lt;/D&gt;&lt;D xsi:type="xsd:string"&gt;04/03/2022&lt;/D&gt;&lt;D xsi:type="xsd:string"&gt;03/03/2022&lt;/D&gt;&lt;D xsi:type="xsd:string"&gt;02/03/2022&lt;/D&gt;&lt;D xsi:type="xsd:string"&gt;01/03/2022&lt;/D&gt;&lt;D xsi:type="xsd:string"&gt;28/02/2022&lt;/D&gt;&lt;D xsi:type="xsd:string"&gt;25/02/2022&lt;/D&gt;&lt;D xsi:type="xsd:string"&gt;24/02/2022&lt;/D&gt;&lt;D xsi:type="xsd:string"&gt;23/02/2022&lt;/D&gt;&lt;D xsi:type="xsd:string"&gt;22/02/2022&lt;/D&gt;&lt;D xsi:type="xsd:string"&gt;21/02/2022&lt;/D&gt;&lt;D xsi:type="xsd:string"&gt;18/02/2022&lt;/D&gt;&lt;D xsi:type="xsd:string"&gt;17/02/2022&lt;/D&gt;&lt;D xsi:type="xsd:string"&gt;16/02/2022&lt;/D&gt;&lt;D xsi:type="xsd:string"&gt;15/02/2022&lt;/D&gt;&lt;D xsi:type="xsd:string"&gt;14/02/2022&lt;/D&gt;&lt;D xsi:type="xsd:string"&gt;11/02/2022&lt;/D&gt;&lt;D xsi:type="xsd:string"&gt;10/02/2022&lt;/D&gt;&lt;D xsi:type="xsd:string"&gt;09/02/2022&lt;/D&gt;&lt;D xsi:type="xsd:string"&gt;08/02/2022&lt;/D&gt;&lt;D xsi:type="xsd:string"&gt;07/02/2022&lt;/D&gt;&lt;D xsi:type="xsd:string"&gt;04/02/2022&lt;/D&gt;&lt;D xsi:type="xsd:string"&gt;03/02/2022&lt;/D&gt;&lt;D xsi:type="xsd:string"&gt;02/02/2022&lt;/D&gt;&lt;D xsi:type="xsd:string"&gt;01/02/2022&lt;/D&gt;&lt;D xsi:type="xsd:string"&gt;31/01/2022&lt;/D&gt;&lt;D xsi:type="xsd:string"&gt;28/01/2022&lt;/D&gt;&lt;D xsi:type="xsd:string"&gt;27/01/2022&lt;/D&gt;&lt;D xsi:type="xsd:string"&gt;26/01/2022&lt;/D&gt;&lt;D xsi:type="xsd:string"&gt;25/01/2022&lt;/D&gt;&lt;D xsi:type="xsd:string"&gt;24/01/2022&lt;/D&gt;&lt;D xsi:type="xsd:string"&gt;21/01/2022&lt;/D&gt;&lt;D xsi:type="xsd:string"&gt;20/01/2022&lt;/D&gt;&lt;D xsi:type="xsd:string"&gt;19/01/2022&lt;/D&gt;&lt;D xsi:type="xsd:string"&gt;18/01/2022&lt;/D&gt;&lt;D xsi:type="xsd:string"&gt;17/01/2022&lt;/D&gt;&lt;D xsi:type="xsd:string"&gt;14/01/2022&lt;/D&gt;&lt;D xsi:type="xsd:string"&gt;13/01/2022&lt;/D&gt;&lt;D xsi:type="xsd:string"&gt;12/01/2022&lt;/D&gt;&lt;D xsi:type="xsd:string"&gt;11/01/2022&lt;/D&gt;&lt;D xsi:type="xsd:string"&gt;10/01/2022&lt;/D&gt;&lt;D xsi:type="xsd:string"&gt;07/01/2022&lt;/D&gt;&lt;D xsi:type="xsd:string"&gt;06/01/2022&lt;/D&gt;&lt;D xsi:type="xsd:string"&gt;05/01/2022&lt;/D&gt;&lt;D xsi:type="xsd:string"&gt;04/01/2022&lt;/D&gt;&lt;D xsi:type="xsd:string"&gt;03/01/2022&lt;/D&gt;&lt;D xsi:type="xsd:string"&gt;31/12/2021&lt;/D&gt;&lt;D xsi:type="xsd:string"&gt;30/12/2021&lt;/D&gt;&lt;D xsi:type="xsd:string"&gt;29/12/2021&lt;/D&gt;&lt;D xsi:type="xsd:string"&gt;28/12/2021&lt;/D&gt;&lt;D xsi:type="xsd:string"&gt;27/12/2021&lt;/D&gt;&lt;D xsi:type="xsd:string"&gt;24/12/2021&lt;/D&gt;&lt;D xsi:type="xsd:string"&gt;23/12/2021&lt;/D&gt;&lt;D xsi:type="xsd:string"&gt;22/12/2021&lt;/D&gt;&lt;D xsi:type="xsd:string"&gt;21/12/2021&lt;/D&gt;&lt;D xsi:type="xsd:string"&gt;20/12/2021&lt;/D&gt;&lt;D xsi:type="xsd:string"&gt;17/12/2021&lt;/D&gt;&lt;D xsi:type="xsd:string"&gt;16/12/2021&lt;/D&gt;&lt;D xsi:type="xsd:string"&gt;15/12/2021&lt;/D&gt;&lt;D xsi:type="xsd:string"&gt;14/12/2021&lt;/D&gt;&lt;D xsi:type="xsd:string"&gt;13/12/2021&lt;/D&gt;&lt;D xsi:type="xsd:string"&gt;10/12/2021&lt;/D&gt;&lt;D xsi:type="xsd:string"&gt;09/12/2021&lt;/D&gt;&lt;D xsi:type="xsd:string"&gt;08/12/2021&lt;/D&gt;&lt;D xsi:type="xsd:string"&gt;07/12/2021&lt;/D&gt;&lt;D xsi:type="xsd:string"&gt;06/12/2021&lt;/D&gt;&lt;D xsi:type="xsd:string"&gt;03/12/2021&lt;/D&gt;&lt;D xsi:type="xsd:string"&gt;02/12/2021&lt;/D&gt;&lt;D xsi:type="xsd:string"&gt;01/12/2021&lt;/D&gt;&lt;D xsi:type="xsd:string"&gt;30/11/2021&lt;/D&gt;&lt;D xsi:type="xsd:string"&gt;29/11/2021&lt;/D&gt;&lt;D xsi:type="xsd:string"&gt;26/11/2021&lt;/D&gt;&lt;D xsi:type="xsd:string"&gt;25/11/2021&lt;/D&gt;&lt;D xsi:type="xsd:string"&gt;24/11/2021&lt;/D&gt;&lt;D xsi:type="xsd:string"&gt;23/11/2021&lt;/D&gt;&lt;D xsi:type="xsd:string"&gt;22/11/2021&lt;/D&gt;&lt;D xsi:type="xsd:string"&gt;19/11/2021&lt;/D&gt;&lt;D xsi:type="xsd:string"&gt;18/11/2021&lt;/D&gt;&lt;D xsi:type="xsd:string"&gt;17/11/2021&lt;/D&gt;&lt;D xsi:type="xsd:string"&gt;16/11/2021&lt;/D&gt;&lt;D xsi:type="xsd:string"&gt;15/11/2021&lt;/D&gt;&lt;D xsi:type="xsd:string"&gt;12/11/2021&lt;/D&gt;&lt;D xsi:type="xsd:string"&gt;11/11/2021&lt;/D&gt;&lt;D xsi:type="xsd:string"&gt;10/11/2021&lt;/D&gt;&lt;D xsi:type="xsd:string"&gt;09/11/2021&lt;/D&gt;&lt;D xsi:type="xsd:string"&gt;08/11/2021&lt;/D&gt;&lt;D xsi:type="xsd:string"&gt;05/11/2021&lt;/D&gt;&lt;D xsi:type="xsd:string"&gt;04/11/2021&lt;/D&gt;&lt;D xsi:type="xsd:string"&gt;03/11/2021&lt;/D&gt;&lt;D xsi:type="xsd:string"&gt;02/11/2021&lt;/D&gt;&lt;D xsi:type="xsd:string"&gt;01/11/2021&lt;/D&gt;&lt;D xsi:type="xsd:string"&gt;29/10/2021&lt;/D&gt;&lt;D xsi:type="xsd:string"&gt;28/10/2021&lt;/D&gt;&lt;D xsi:type="xsd:string"&gt;27/10/2021&lt;/D&gt;&lt;D xsi:type="xsd:string"&gt;26/10/2021&lt;/D&gt;&lt;D xsi:type="xsd:string"&gt;25/10/2021&lt;/D&gt;&lt;D xsi:type="xsd:string"&gt;22/10/2021&lt;/D&gt;&lt;D xsi:type="xsd:string"&gt;21/10/2021&lt;/D&gt;&lt;D xsi:type="xsd:string"&gt;20/10/2021&lt;/D&gt;&lt;D xsi:type="xsd:string"&gt;19/10/2021&lt;/D&gt;&lt;D xsi:type="xsd:string"&gt;18/10/2021&lt;/D&gt;&lt;D xsi:type="xsd:string"&gt;15/10/2021&lt;/D&gt;&lt;D xsi:type="xsd:string"&gt;14/10/2021&lt;/D&gt;&lt;D xsi:type="xsd:string"&gt;13/10/2021&lt;/D&gt;&lt;D xsi:type="xsd:string"&gt;12/10/2021&lt;/D&gt;&lt;D xsi:type="xsd:string"&gt;11/10/2021&lt;/D&gt;&lt;D xsi:type="xsd:string"&gt;08/10/2021&lt;/D&gt;&lt;D xsi:type="xsd:string"&gt;07/10/2021&lt;/D&gt;&lt;D xsi:type="xsd:string"&gt;06/10/2021&lt;/D&gt;&lt;D xsi:type="xsd:string"&gt;05/10/2021&lt;/D&gt;&lt;D xsi:type="xsd:string"&gt;04/10/2021&lt;/D&gt;&lt;D xsi:type="xsd:string"&gt;01/10/2021&lt;/D&gt;&lt;D xsi:type="xsd:string"&gt;30/09/2021&lt;/D&gt;&lt;D xsi:type="xsd:string"&gt;29/09/2021&lt;/D&gt;&lt;D xsi:type="xsd:string"&gt;28/09/2021&lt;/D&gt;&lt;D xsi:type="xsd:string"&gt;27/09/2021&lt;/D&gt;&lt;D xsi:type="xsd:string"&gt;24/09/2021&lt;/D&gt;&lt;D xsi:type="xsd:string"&gt;23/09/2021&lt;/D&gt;&lt;D xsi:type="xsd:string"&gt;22/09/2021&lt;/D&gt;&lt;D xsi:type="xsd:string"&gt;21/09/2021&lt;/D&gt;&lt;D xsi:type="xsd:string"&gt;20/09/2021&lt;/D&gt;&lt;D xsi:type="xsd:string"&gt;17/09/2021&lt;/D&gt;&lt;D xsi:type="xsd:string"&gt;16/09/2021&lt;/D&gt;&lt;D xsi:type="xsd:string"&gt;15/09/2021&lt;/D&gt;&lt;D xsi:type="xsd:string"&gt;14/09/2021&lt;/D&gt;&lt;D xsi:type="xsd:string"&gt;13/09/2021&lt;/D&gt;&lt;D xsi:type="xsd:string"&gt;10/09/2021&lt;/D&gt;&lt;D xsi:type="xsd:string"&gt;09/09/2021&lt;/D&gt;&lt;D xsi:type="xsd:string"&gt;08/09/2021&lt;/D&gt;&lt;D xsi:type="xsd:string"&gt;07/09/2021&lt;/D&gt;&lt;D xsi:type="xsd:string"&gt;06/09/2021&lt;/D&gt;&lt;D xsi:type="xsd:string"&gt;03/09/2021&lt;/D&gt;&lt;D xsi:type="xsd:string"&gt;02/09/2021&lt;/D&gt;&lt;D xsi:type="xsd:string"&gt;01/09/2021&lt;/D&gt;&lt;D xsi:type="xsd:string"&gt;31/08/2021&lt;/D&gt;&lt;D xsi:type="xsd:string"&gt;30/08/2021&lt;/D&gt;&lt;D xsi:type="xsd:string"&gt;27/08/2021&lt;/D&gt;&lt;D xsi:type="xsd:string"&gt;26/08/2021&lt;/D&gt;&lt;D xsi:type="xsd:string"&gt;25/08/2021&lt;/D&gt;&lt;D xsi:type="xsd:string"&gt;24/08/2021&lt;/D&gt;&lt;D xsi:type="xsd:string"&gt;23/08/2021&lt;/D&gt;&lt;D xsi:type="xsd:string"&gt;20/08/2021&lt;/D&gt;&lt;D xsi:type="xsd:string"&gt;19/08/2021&lt;/D&gt;&lt;D xsi:type="xsd:string"&gt;18/08/2021&lt;/D&gt;&lt;D xsi:type="xsd:string"&gt;17/08/2021&lt;/D&gt;&lt;D xsi:type="xsd:string"&gt;16/08/2021&lt;/D&gt;&lt;D xsi:type="xsd:string"&gt;13/08/2021&lt;/D&gt;&lt;D xsi:type="xsd:string"&gt;12/08/2021&lt;/D&gt;&lt;D xsi:type="xsd:string"&gt;11/08/2021&lt;/D&gt;&lt;D xsi:type="xsd:string"&gt;10/08/2021&lt;/D&gt;&lt;D xsi:type="xsd:string"&gt;09/08/2021&lt;/D&gt;&lt;D xsi:type="xsd:string"&gt;06/08/2021&lt;/D&gt;&lt;D xsi:type="xsd:string"&gt;05/08/2021&lt;/D&gt;&lt;D xsi:type="xsd:string"&gt;04/08/2021&lt;/D&gt;&lt;D xsi:type="xsd:string"&gt;03/08/2021&lt;/D&gt;&lt;D xsi:type="xsd:string"&gt;02/08/2021&lt;/D&gt;&lt;D xsi:type="xsd:string"&gt;30/07/2021&lt;/D&gt;&lt;D xsi:type="xsd:string"&gt;29/07/2021&lt;/D&gt;&lt;D xsi:type="xsd:string"&gt;28/07/2021&lt;/D&gt;&lt;D xsi:type="xsd:string"&gt;27/07/2021&lt;/D&gt;&lt;D xsi:type="xsd:string"&gt;26/07/2021&lt;/D&gt;&lt;D xsi:type="xsd:string"&gt;23/07/2021&lt;/D&gt;&lt;D xsi:type="xsd:string"&gt;22/07/2021&lt;/D&gt;&lt;D xsi:type="xsd:string"&gt;21/07/2021&lt;/D&gt;&lt;D xsi:type="xsd:string"&gt;20/07/2021&lt;/D&gt;&lt;D xsi:type="xsd:string"&gt;19/07/2021&lt;/D&gt;&lt;D xsi:type="xsd:string"&gt;16/07/2021&lt;/D&gt;&lt;D xsi:type="xsd:string"&gt;15/07/2021&lt;/D&gt;&lt;D xsi:type="xsd:string"&gt;14/07/2021&lt;/D&gt;&lt;D xsi:type="xsd:string"&gt;13/07/2021&lt;/D&gt;&lt;D xsi:type="xsd:string"&gt;12/07/2021&lt;/D&gt;&lt;D xsi:type="xsd:string"&gt;09/07/2021&lt;/D&gt;&lt;D xsi:type="xsd:string"&gt;08/07/2021&lt;/D&gt;&lt;D xsi:type="xsd:string"&gt;07/07/2021&lt;/D&gt;&lt;D xsi:type="xsd:string"&gt;06/07/2021&lt;/D&gt;&lt;D xsi:type="xsd:string"&gt;05/07/2021&lt;/D&gt;&lt;D xsi:type="xsd:string"&gt;02/07/2021&lt;/D&gt;&lt;D xsi:type="xsd:string"&gt;01/07/2021&lt;/D&gt;&lt;D xsi:type="xsd:string"&gt;30/06/2021&lt;/D&gt;&lt;D xsi:type="xsd:string"&gt;29/06/2021&lt;/D&gt;&lt;D xsi:type="xsd:string"&gt;28/06/2021&lt;/D&gt;&lt;D xsi:type="xsd:string"&gt;25/06/2021&lt;/D&gt;&lt;D xsi:type="xsd:string"&gt;24/06/2021&lt;/D&gt;&lt;D xsi:type="xsd:string"&gt;23/06/2021&lt;/D&gt;&lt;D xsi:type="xsd:string"&gt;22/06/2021&lt;/D&gt;&lt;D xsi:type="xsd:string"&gt;21/06/2021&lt;/D&gt;&lt;D xsi:type="xsd:string"&gt;18/06/2021&lt;/D&gt;&lt;D xsi:type="xsd:string"&gt;17/06/2021&lt;/D&gt;&lt;D xsi:type="xsd:string"&gt;16/06/2021&lt;/D&gt;&lt;D xsi:type="xsd:string"&gt;15/06/2021&lt;/D&gt;&lt;D xsi:type="xsd:string"&gt;14/06/2021&lt;/D&gt;&lt;D xsi:type="xsd:string"&gt;11/06/2021&lt;/D&gt;&lt;D xsi:type="xsd:string"&gt;10/06/2021&lt;/D&gt;&lt;D xsi:type="xsd:string"&gt;09/06/2021&lt;/D&gt;&lt;D xsi:type="xsd:string"&gt;08/06/2021&lt;/D&gt;&lt;D xsi:type="xsd:string"&gt;07/06/2021&lt;/D&gt;&lt;D xsi:type="xsd:string"&gt;04/06/2021&lt;/D&gt;&lt;D xsi:type="xsd:string"&gt;03/06/2021&lt;/D&gt;&lt;D xsi:type="xsd:string"&gt;02/06/2021&lt;/D&gt;&lt;D xsi:type="xsd:string"&gt;01/06/2021&lt;/D&gt;&lt;D xsi:type="xsd:string"&gt;31/05/2021&lt;/D&gt;&lt;D xsi:type="xsd:string"&gt;28/05/2021&lt;/D&gt;&lt;D xsi:type="xsd:string"&gt;27/05/2021&lt;/D&gt;&lt;D xsi:type="xsd:string"&gt;26/05/2021&lt;/D&gt;&lt;D xsi:type="xsd:string"&gt;25/05/2021&lt;/D&gt;&lt;D xsi:type="xsd:string"&gt;24/05/2021&lt;/D&gt;&lt;D xsi:type="xsd:string"&gt;21/05/2021&lt;/D&gt;&lt;D xsi:type="xsd:string"&gt;20/05/2021&lt;/D&gt;&lt;D xsi:type="xsd:string"&gt;19/05/2021&lt;/D&gt;&lt;D xsi:type="xsd:string"&gt;18/05/2021&lt;/D&gt;&lt;D xsi:type="xsd:string"&gt;17/05/2021&lt;/D&gt;&lt;D xsi:type="xsd:string"&gt;14/05/2021&lt;/D&gt;&lt;D xsi:type="xsd:string"&gt;13/05/2021&lt;/D&gt;&lt;D xsi:type="xsd:string"&gt;12/05/2021&lt;/D&gt;&lt;D xsi:type="xsd:string"&gt;11/05/2021&lt;/D&gt;&lt;D xsi:type="xsd:string"&gt;10/05/2021&lt;/D&gt;&lt;D xsi:type="xsd:string"&gt;07/05/2021&lt;/D&gt;&lt;D xsi:type="xsd:string"&gt;06/05/2021&lt;/D&gt;&lt;D xsi:type="xsd:string"&gt;05/05/2021&lt;/D&gt;&lt;D xsi:type="xsd:string"&gt;04/05/2021&lt;/D&gt;&lt;D xsi:type="xsd:string"&gt;03/05/2021&lt;/D&gt;&lt;D xsi:type="xsd:string"&gt;30/04/2021&lt;/D&gt;&lt;D xsi:type="xsd:string"&gt;29/04/2021&lt;/D&gt;&lt;D xsi:type="xsd:string"&gt;28/04/2021&lt;/D&gt;&lt;D xsi:type="xsd:string"&gt;27/04/2021&lt;/D&gt;&lt;D xsi:type="xsd:string"&gt;26/04/2021&lt;/D&gt;&lt;D xsi:type="xsd:string"&gt;23/04/2021&lt;/D&gt;&lt;D xsi:type="xsd:string"&gt;22/04/2021&lt;/D&gt;&lt;D xsi:type="xsd:string"&gt;21/04/2021&lt;/D&gt;&lt;D xsi:type="xsd:string"&gt;20/04/2021&lt;/D&gt;&lt;D xsi:type="xsd:string"&gt;19/04/2021&lt;/D&gt;&lt;D xsi:type="xsd:string"&gt;16/04/2021&lt;/D&gt;&lt;D xsi:type="xsd:string"&gt;15/04/2021&lt;/D&gt;&lt;D xsi:type="xsd:string"&gt;14/04/2021&lt;/D&gt;&lt;D xsi:type="xsd:string"&gt;13/04/2021&lt;/D&gt;&lt;D xsi:type="xsd:string"&gt;12/04/2021&lt;/D&gt;&lt;D xsi:type="xsd:string"&gt;09/04/2021&lt;/D&gt;&lt;D xsi:type="xsd:string"&gt;08/04/2021&lt;/D&gt;&lt;D xsi:type="xsd:string"&gt;07/04/2021&lt;/D&gt;&lt;D xsi:type="xsd:string"&gt;06/04/2021&lt;/D&gt;&lt;D xsi:type="xsd:string"&gt;05/04/2021&lt;/D&gt;&lt;D xsi:type="xsd:string"&gt;02/04/2021&lt;/D&gt;&lt;D xsi:type="xsd:string"&gt;01/04/2021&lt;/D&gt;&lt;D xsi:type="xsd:string"&gt;31/03/2021&lt;/D&gt;&lt;D xsi:type="xsd:string"&gt;30/03/2021&lt;/D&gt;&lt;D xsi:type="xsd:string"&gt;29/03/2021&lt;/D&gt;&lt;D xsi:type="xsd:string"&gt;26/03/2021&lt;/D&gt;&lt;D xsi:type="xsd:string"&gt;25/03/2021&lt;/D&gt;&lt;D xsi:type="xsd:string"&gt;24/03/2021&lt;/D&gt;&lt;D xsi:type="xsd:string"&gt;23/03/2021&lt;/D&gt;&lt;D xsi:type="xsd:string"&gt;22/03/2021&lt;/D&gt;&lt;D xsi:type="xsd:string"&gt;19/03/2021&lt;/D&gt;&lt;D xsi:type="xsd:string"&gt;18/03/2021&lt;/D&gt;&lt;D xsi:type="xsd:string"&gt;17/03/2021&lt;/D&gt;&lt;D xsi:type="xsd:string"&gt;16/03/2021&lt;/D&gt;&lt;D xsi:type="xsd:string"&gt;15/03/2021&lt;/D&gt;&lt;D xsi:type="xsd:string"&gt;12/03/2021&lt;/D&gt;&lt;D xsi:type="xsd:string"&gt;11/03/2021&lt;/D&gt;&lt;D xsi:type="xsd:string"&gt;10/03/2021&lt;/D&gt;&lt;D xsi:type="xsd:string"&gt;09/03/2021&lt;/D&gt;&lt;D xsi:type="xsd:string"&gt;08/03/2021&lt;/D&gt;&lt;D xsi:type="xsd:string"&gt;05/03/2021&lt;/D&gt;&lt;D xsi:type="xsd:string"&gt;04/03/2021&lt;/D&gt;&lt;D xsi:type="xsd:string"&gt;03/03/2021&lt;/D&gt;&lt;D xsi:type="xsd:string"&gt;02/03/2021&lt;/D&gt;&lt;D xsi:type="xsd:string"&gt;01/03/2021&lt;/D&gt;&lt;D xsi:type="xsd:string"&gt;26/02/2021&lt;/D&gt;&lt;D xsi:type="xsd:string"&gt;25/02/2021&lt;/D&gt;&lt;D xsi:type="xsd:string"&gt;24/02/2021&lt;/D&gt;&lt;D xsi:type="xsd:string"&gt;23/02/2021&lt;/D&gt;&lt;D xsi:type="xsd:string"&gt;22/02/2021&lt;/D&gt;&lt;D xsi:type="xsd:string"&gt;19/02/2021&lt;/D&gt;&lt;D xsi:type="xsd:string"&gt;18/02/2021&lt;/D&gt;&lt;D xsi:type="xsd:string"&gt;17/02/2021&lt;/D&gt;&lt;D xsi:type="xsd:string"&gt;16/02/2021&lt;/D&gt;&lt;D xsi:type="xsd:string"&gt;15/02/2021&lt;/D&gt;&lt;D xsi:type="xsd:string"&gt;12/02/2021&lt;/D&gt;&lt;D xsi:type="xsd:string"&gt;11/02/2021&lt;/D&gt;&lt;D xsi:type="xsd:string"&gt;10/02/2021&lt;/D&gt;&lt;D xsi:type="xsd:string"&gt;09/02/2021&lt;/D&gt;&lt;D xsi:type="xsd:string"&gt;08/02/2021&lt;/D&gt;&lt;D xsi:type="xsd:string"&gt;05/02/2021&lt;/D&gt;&lt;D xsi:type="xsd:string"&gt;04/02/2021&lt;/D&gt;&lt;D xsi:type="xsd:string"&gt;03/02/2021&lt;/D&gt;&lt;D xsi:type="xsd:string"&gt;02/02/2021&lt;/D&gt;&lt;D xsi:type="xsd:string"&gt;01/02/2021&lt;/D&gt;&lt;D xsi:type="xsd:string"&gt;29/01/2021&lt;/D&gt;&lt;D xsi:type="xsd:string"&gt;28/01/2021&lt;/D&gt;&lt;D xsi:type="xsd:string"&gt;27/01/2021&lt;/D&gt;&lt;D xsi:type="xsd:string"&gt;26/01/2021&lt;/D&gt;&lt;D xsi:type="xsd:string"&gt;25/01/2021&lt;/D&gt;&lt;D xsi:type="xsd:string"&gt;22/01/2021&lt;/D&gt;&lt;D xsi:type="xsd:string"&gt;21/01/2021&lt;/D&gt;&lt;D xsi:type="xsd:string"&gt;20/01/2021&lt;/D&gt;&lt;D xsi:type="xsd:string"&gt;19/01/2021&lt;/D&gt;&lt;D xsi:type="xsd:string"&gt;18/01/2021&lt;/D&gt;&lt;D xsi:type="xsd:string"&gt;15/01/2021&lt;/D&gt;&lt;D xsi:type="xsd:string"&gt;14/01/2021&lt;/D&gt;&lt;D xsi:type="xsd:string"&gt;13/01/2021&lt;/D&gt;&lt;D xsi:type="xsd:string"&gt;12/01/2021&lt;/D&gt;&lt;D xsi:type="xsd:string"&gt;11/01/2021&lt;/D&gt;&lt;D xsi:type="xsd:string"&gt;08/01/2021&lt;/D&gt;&lt;D xsi:type="xsd:string"&gt;07/01/2021&lt;/D&gt;&lt;D xsi:type="xsd:string"&gt;06/01/2021&lt;/D&gt;&lt;D xsi:type="xsd:string"&gt;05/01/2021&lt;/D&gt;&lt;D xsi:type="xsd:string"&gt;04/01/2021&lt;/D&gt;&lt;D xsi:type="xsd:string"&gt;01/01/2021&lt;/D&gt;&lt;D xsi:type="xsd:string"&gt;31/12/2020&lt;/D&gt;&lt;D xsi:type="xsd:string"&gt;30/12/2020&lt;/D&gt;&lt;D xsi:type="xsd:string"&gt;29/12/2020&lt;/D&gt;&lt;D xsi:type="xsd:string"&gt;28/12/2020&lt;/D&gt;&lt;D xsi:type="xsd:string"&gt;25/12/2020&lt;/D&gt;&lt;D xsi:type="xsd:string"&gt;24/12/2020&lt;/D&gt;&lt;D xsi:type="xsd:string"&gt;23/12/2020&lt;/D&gt;&lt;D xsi:type="xsd:string"&gt;22/12/2020&lt;/D&gt;&lt;D xsi:type="xsd:string"&gt;21/12/2020&lt;/D&gt;&lt;D xsi:type="xsd:string"&gt;18/12/2020&lt;/D&gt;&lt;D xsi:type="xsd:string"&gt;17/12/2020&lt;/D&gt;&lt;D xsi:type="xsd:string"&gt;16/12/2020&lt;/D&gt;&lt;D xsi:type="xsd:string"&gt;15/12/2020&lt;/D&gt;&lt;D xsi:type="xsd:string"&gt;14/12/2020&lt;/D&gt;&lt;D xsi:type="xsd:string"&gt;11/12/2020&lt;/D&gt;&lt;D xsi:type="xsd:string"&gt;10/12/2020&lt;/D&gt;&lt;D xsi:type="xsd:string"&gt;09/12/2020&lt;/D&gt;&lt;D xsi:type="xsd:string"&gt;08/12/2020&lt;/D&gt;&lt;D xsi:type="xsd:string"&gt;07/12/2020&lt;/D&gt;&lt;D xsi:type="xsd:string"&gt;04/12/2020&lt;/D&gt;&lt;D xsi:type="xsd:string"&gt;03/12/2020&lt;/D&gt;&lt;D xsi:type="xsd:string"&gt;02/12/2020&lt;/D&gt;&lt;D xsi:type="xsd:string"&gt;01/12/2020&lt;/D&gt;&lt;D xsi:type="xsd:string"&gt;30/11/2020&lt;/D&gt;&lt;D xsi:type="xsd:string"&gt;27/11/2020&lt;/D&gt;&lt;D xsi:type="xsd:string"&gt;26/11/2020&lt;/D&gt;&lt;D xsi:type="xsd:string"&gt;25/11/2020&lt;/D&gt;&lt;D xsi:type="xsd:string"&gt;24/11/2020&lt;/D&gt;&lt;D xsi:type="xsd:string"&gt;23/11/2020&lt;/D&gt;&lt;D xsi:type="xsd:string"&gt;20/11/2020&lt;/D&gt;&lt;D xsi:type="xsd:string"&gt;19/11/2020&lt;/D&gt;&lt;D xsi:type="xsd:string"&gt;18/11/2020&lt;/D&gt;&lt;D xsi:type="xsd:string"&gt;17/11/2020&lt;/D&gt;&lt;D xsi:type="xsd:string"&gt;16/11/2020&lt;/D&gt;&lt;D xsi:type="xsd:string"&gt;13/11/2020&lt;/D&gt;&lt;D xsi:type="xsd:string"&gt;12/11/2020&lt;/D&gt;&lt;D xsi:type="xsd:string"&gt;11/11/2020&lt;/D&gt;&lt;D xsi:type="xsd:string"&gt;10/11/2020&lt;/D&gt;&lt;D xsi:type="xsd:string"&gt;09/11/2020&lt;/D&gt;&lt;D xsi:type="xsd:string"&gt;06/11/2020&lt;/D&gt;&lt;D xsi:type="xsd:string"&gt;05/11/2020&lt;/D&gt;&lt;D xsi:type="xsd:string"&gt;04/11/2020&lt;/D&gt;&lt;D xsi:type="xsd:string"&gt;03/11/2020&lt;/D&gt;&lt;D xsi:type="xsd:string"&gt;02/11/2020&lt;/D&gt;&lt;D xsi:type="xsd:string"&gt;30/10/2020&lt;/D&gt;&lt;D xsi:type="xsd:string"&gt;29/10/2020&lt;/D&gt;&lt;D xsi:type="xsd:string"&gt;28/10/2020&lt;/D&gt;&lt;D xsi:type="xsd:string"&gt;27/10/2020&lt;/D&gt;&lt;D xsi:type="xsd:string"&gt;26/10/2020&lt;/D&gt;&lt;D xsi:type="xsd:string"&gt;23/10/2020&lt;/D&gt;&lt;D xsi:type="xsd:string"&gt;22/10/2020&lt;/D&gt;&lt;D xsi:type="xsd:string"&gt;21/10/2020&lt;/D&gt;&lt;D xsi:type="xsd:string"&gt;20/10/2020&lt;/D&gt;&lt;D xsi:type="xsd:string"&gt;19/10/2020&lt;/D&gt;&lt;D xsi:type="xsd:string"&gt;16/10/2020&lt;/D&gt;&lt;D xsi:type="xsd:string"&gt;15/10/2020&lt;/D&gt;&lt;D xsi:type="xsd:string"&gt;14/10/2020&lt;/D&gt;&lt;D xsi:type="xsd:string"&gt;13/10/2020&lt;/D&gt;&lt;D xsi:type="xsd:string"&gt;12/10/2020&lt;/D&gt;&lt;D xsi:type="xsd:string"&gt;09/10/2020&lt;/D&gt;&lt;D xsi:type="xsd:string"&gt;08/10/2020&lt;/D&gt;&lt;D xsi:type="xsd:string"&gt;07/10/2020&lt;/D&gt;&lt;D xsi:type="xsd:string"&gt;06/10/2020&lt;/D&gt;&lt;D xsi:type="xsd:string"&gt;05/10/2020&lt;/D&gt;&lt;D xsi:type="xsd:string"&gt;02/10/2020&lt;/D&gt;&lt;D xsi:type="xsd:string"&gt;01/10/2020&lt;/D&gt;&lt;D xsi:type="xsd:string"&gt;30/09/2020&lt;/D&gt;&lt;D xsi:type="xsd:string"&gt;29/09/2020&lt;/D&gt;&lt;D xsi:type="xsd:string"&gt;28/09/2020&lt;/D&gt;&lt;D xsi:type="xsd:string"&gt;25/09/2020&lt;/D&gt;&lt;D xsi:type="xsd:string"&gt;24/09/2020&lt;/D&gt;&lt;D xsi:type="xsd:string"&gt;23/09/2020&lt;/D&gt;&lt;D xsi:type="xsd:string"&gt;22/09/2020&lt;/D&gt;&lt;D xsi:type="xsd:string"&gt;21/09/2020&lt;/D&gt;&lt;D xsi:type="xsd:string"&gt;18/09/2020&lt;/D&gt;&lt;D xsi:type="xsd:string"&gt;17/09/2020&lt;/D&gt;&lt;D xsi:type="xsd:string"&gt;16/09/2020&lt;/D&gt;&lt;D xsi:type="xsd:string"&gt;15/09/2020&lt;/D&gt;&lt;D xsi:type="xsd:string"&gt;14/09/2020&lt;/D&gt;&lt;D xsi:type="xsd:string"&gt;11/09/2020&lt;/D&gt;&lt;D xsi:type="xsd:string"&gt;10/09/2020&lt;/D&gt;&lt;D xsi:type="xsd:string"&gt;09/09/2020&lt;/D&gt;&lt;D xsi:type="xsd:string"&gt;08/09/2020&lt;/D&gt;&lt;D xsi:type="xsd:string"&gt;07/09/2020&lt;/D&gt;&lt;D xsi:type="xsd:string"&gt;04/09/2020&lt;/D&gt;&lt;D xsi:type="xsd:string"&gt;03/09/2020&lt;/D&gt;&lt;D xsi:type="xsd:string"&gt;02/09/2020&lt;/D&gt;&lt;D xsi:type="xsd:string"&gt;01/09/2020&lt;/D&gt;&lt;D xsi:type="xsd:string"&gt;31/08/2020&lt;/D&gt;&lt;D xsi:type="xsd:string"&gt;28/08/2020&lt;/D&gt;&lt;D xsi:type="xsd:string"&gt;27/08/2020&lt;/D&gt;&lt;D xsi:type="xsd:string"&gt;26/08/2020&lt;/D&gt;&lt;D xsi:type="xsd:string"&gt;25/08/2020&lt;/D&gt;&lt;D xsi:type="xsd:string"&gt;24/08/2020&lt;/D&gt;&lt;D xsi:type="xsd:string"&gt;21/08/2020&lt;/D&gt;&lt;D xsi:type="xsd:string"&gt;20/08/2020&lt;/D&gt;&lt;D xsi:type="xsd:string"&gt;19/08/2020&lt;/D&gt;&lt;D xsi:type="xsd:string"&gt;18/08/2020&lt;/D&gt;&lt;D xsi:type="xsd:string"&gt;17/08/2020&lt;/D&gt;&lt;D xsi:type="xsd:string"&gt;14/08/2020&lt;/D&gt;&lt;D xsi:type="xsd:string"&gt;13/08/2020&lt;/D&gt;&lt;D xsi:type="xsd:string"&gt;12/08/2020&lt;/D&gt;&lt;D xsi:type="xsd:string"&gt;11/08/2020&lt;/D&gt;&lt;D xsi:type="xsd:string"&gt;10/08/2020&lt;/D&gt;&lt;D xsi:type="xsd:string"&gt;07/08/2020&lt;/D&gt;&lt;D xsi:type="xsd:string"&gt;06/08/2020&lt;/D&gt;&lt;D xsi:type="xsd:string"&gt;05/08/2020&lt;/D&gt;&lt;D xsi:type="xsd:string"&gt;04/08/2020&lt;/D&gt;&lt;D xsi:type="xsd:string"&gt;03/08/2020&lt;/D&gt;&lt;D xsi:type="xsd:string"&gt;31/07/2020&lt;/D&gt;&lt;D xsi:type="xsd:string"&gt;30/07/2020&lt;/D&gt;&lt;D xsi:type="xsd:string"&gt;29/07/2020&lt;/D&gt;&lt;D xsi:type="xsd:string"&gt;28/07/2020&lt;/D&gt;&lt;D xsi:type="xsd:string"&gt;27/07/2020&lt;/D&gt;&lt;D xsi:type="xsd:string"&gt;24/07/2020&lt;/D&gt;&lt;D xsi:type="xsd:string"&gt;23/07/2020&lt;/D&gt;&lt;D xsi:type="xsd:string"&gt;22/07/2020&lt;/D&gt;&lt;D xsi:type="xsd:string"&gt;21/07/2020&lt;/D&gt;&lt;D xsi:type="xsd:string"&gt;20/07/2020&lt;/D&gt;&lt;D xsi:type="xsd:string"&gt;17/07/2020&lt;/D&gt;&lt;D xsi:type="xsd:string"&gt;16/07/2020&lt;/D&gt;&lt;D xsi:type="xsd:string"&gt;15/07/2020&lt;/D&gt;&lt;D xsi:type="xsd:string"&gt;14/07/2020&lt;/D&gt;&lt;D xsi:type="xsd:string"&gt;13/07/2020&lt;/D&gt;&lt;D xsi:type="xsd:string"&gt;10/07/2020&lt;/D&gt;&lt;D xsi:type="xsd:string"&gt;09/07/2020&lt;/D&gt;&lt;D xsi:type="xsd:string"&gt;08/07/2020&lt;/D&gt;&lt;D xsi:type="xsd:string"&gt;07/07/2020&lt;/D&gt;&lt;D xsi:type="xsd:string"&gt;06/07/2020&lt;/D&gt;&lt;D xsi:type="xsd:string"&gt;03/07/2020&lt;/D&gt;&lt;D xsi:type="xsd:string"&gt;02/07/2020&lt;/D&gt;&lt;D xsi:type="xsd:string"&gt;01/07/2020&lt;/D&gt;&lt;D xsi:type="xsd:string"&gt;30/06/2020&lt;/D&gt;&lt;D xsi:type="xsd:string"&gt;29/06/2020&lt;/D&gt;&lt;D xsi:type="xsd:string"&gt;26/06/2020&lt;/D&gt;&lt;D xsi:type="xsd:string"&gt;25/06/2020&lt;/D&gt;&lt;D xsi:type="xsd:string"&gt;24/06/2020&lt;/D&gt;&lt;D xsi:type="xsd:string"&gt;23/06/2020&lt;/D&gt;&lt;D xsi:type="xsd:string"&gt;22/06/2020&lt;/D&gt;&lt;D xsi:type="xsd:string"&gt;19/06/2020&lt;/D&gt;&lt;D xsi:type="xsd:string"&gt;18/06/2020&lt;/D&gt;&lt;D xsi:type="xsd:string"&gt;17/06/2020&lt;/D&gt;&lt;D xsi:type="xsd:string"&gt;16/06/2020&lt;/D&gt;&lt;D xsi:type="xsd:string"&gt;15/06/2020&lt;/D&gt;&lt;D xsi:type="xsd:string"&gt;12/06/2020&lt;/D&gt;&lt;D xsi:type="xsd:string"&gt;11/06/2020&lt;/D&gt;&lt;D xsi:type="xsd:string"&gt;10/06/2020&lt;/D&gt;&lt;D xsi:type="xsd:string"&gt;09/06/2020&lt;/D&gt;&lt;D xsi:type="xsd:string"&gt;08/06/2020&lt;/D&gt;&lt;D xsi:type="xsd:string"&gt;05/06/2020&lt;/D&gt;&lt;D xsi:type="xsd:string"&gt;04/06/2020&lt;/D&gt;&lt;D xsi:type="xsd:string"&gt;03/06/2020&lt;/D&gt;&lt;D xsi:type="xsd:string"&gt;02/06/2020&lt;/D&gt;&lt;D xsi:type="xsd:string"&gt;01/06/2020&lt;/D&gt;&lt;D xsi:type="xsd:string"&gt;29/05/2020&lt;/D&gt;&lt;D xsi:type="xsd:string"&gt;28/05/2020&lt;/D&gt;&lt;D xsi:type="xsd:string"&gt;27/05/2020&lt;/D&gt;&lt;D xsi:type="xsd:string"&gt;26/05/2020&lt;/D&gt;&lt;D xsi:type="xsd:string"&gt;25/05/2020&lt;/D&gt;&lt;D xsi:type="xsd:string"&gt;22/05/2020&lt;/D&gt;&lt;D xsi:type="xsd:string"&gt;21/05/2020&lt;/D&gt;&lt;D xsi:type="xsd:string"&gt;20/05/2020&lt;/D&gt;&lt;D xsi:type="xsd:string"&gt;19/05/2020&lt;/D&gt;&lt;D xsi:type="xsd:string"&gt;18/05/2020&lt;/D&gt;&lt;D xsi:type="xsd:string"&gt;15/05/2020&lt;/D&gt;&lt;D xsi:type="xsd:string"&gt;14/05/2020&lt;/D&gt;&lt;D xsi:type="</t>
        </r>
      </text>
    </comment>
    <comment ref="A15" authorId="0" shapeId="0" xr:uid="{2E026AD7-88F5-42E0-AC3E-61C357E9F0E1}">
      <text>
        <r>
          <rPr>
            <b/>
            <sz val="9"/>
            <color indexed="81"/>
            <rFont val="Tahoma"/>
            <charset val="1"/>
          </rPr>
          <t>xsd:string"&gt;13/05/2020&lt;/D&gt;&lt;D xsi:type="xsd:string"&gt;12/05/2020&lt;/D&gt;&lt;D xsi:type="xsd:string"&gt;11/05/2020&lt;/D&gt;&lt;D xsi:type="xsd:string"&gt;08/05/2020&lt;/D&gt;&lt;D xsi:type="xsd:string"&gt;07/05/2020&lt;/D&gt;&lt;D xsi:type="xsd:string"&gt;06/05/2020&lt;/D&gt;&lt;D xsi:type="xsd:string"&gt;05/05/2020&lt;/D&gt;&lt;D xsi:type="xsd:string"&gt;04/05/2020&lt;/D&gt;&lt;D xsi:type="xsd:string"&gt;01/05/2020&lt;/D&gt;&lt;D xsi:type="xsd:string"&gt;30/04/2020&lt;/D&gt;&lt;D xsi:type="xsd:string"&gt;29/04/2020&lt;/D&gt;&lt;D xsi:type="xsd:string"&gt;28/04/2020&lt;/D&gt;&lt;D xsi:type="xsd:string"&gt;27/04/2020&lt;/D&gt;&lt;D xsi:type="xsd:string"&gt;24/04/2020&lt;/D&gt;&lt;D xsi:type="xsd:string"&gt;23/04/2020&lt;/D&gt;&lt;D xsi:type="xsd:string"&gt;22/04/2020&lt;/D&gt;&lt;D xsi:type="xsd:string"&gt;21/04/2020&lt;/D&gt;&lt;D xsi:type="xsd:string"&gt;20/04/2020&lt;/D&gt;&lt;D xsi:type="xsd:string"&gt;17/04/2020&lt;/D&gt;&lt;D xsi:type="xsd:string"&gt;16/04/2020&lt;/D&gt;&lt;D xsi:type="xsd:string"&gt;15/04/2020&lt;/D&gt;&lt;D xsi:type="xsd:string"&gt;14/04/2020&lt;/D&gt;&lt;D xsi:type="xsd:string"&gt;13/04/2020&lt;/D&gt;&lt;D xsi:type="xsd:string"&gt;10/04/2020&lt;/D&gt;&lt;D xsi:type="xsd:string"&gt;09/04/2020&lt;/D&gt;&lt;D xsi:type="xsd:string"&gt;08/04/2020&lt;/D&gt;&lt;D xsi:type="xsd:string"&gt;07/04/2020&lt;/D&gt;&lt;D xsi:type="xsd:string"&gt;06/04/2020&lt;/D&gt;&lt;D xsi:type="xsd:string"&gt;03/04/2020&lt;/D&gt;&lt;D xsi:type="xsd:string"&gt;02/04/2020&lt;/D&gt;&lt;D xsi:type="xsd:string"&gt;01/04/2020&lt;/D&gt;&lt;D xsi:type="xsd:string"&gt;31/03/2020&lt;/D&gt;&lt;D xsi:type="xsd:string"&gt;30/03/2020&lt;/D&gt;&lt;D xsi:type="xsd:string"&gt;27/03/2020&lt;/D&gt;&lt;D xsi:type="xsd:string"&gt;26/03/2020&lt;/D&gt;&lt;D xsi:type="xsd:string"&gt;25/03/2020&lt;/D&gt;&lt;D xsi:type="xsd:string"&gt;24/03/2020&lt;/D&gt;&lt;D xsi:type="xsd:string"&gt;23/03/2020&lt;/D&gt;&lt;D xsi:type="xsd:string"&gt;20/03/2020&lt;/D&gt;&lt;D xsi:type="xsd:string"&gt;19/03/2020&lt;/D&gt;&lt;D xsi:type="xsd:string"&gt;18/03/2020&lt;/D&gt;&lt;D xsi:type="xsd:string"&gt;17/03/2020&lt;/D&gt;&lt;D xsi:type="xsd:string"&gt;16/03/2020&lt;/D&gt;&lt;D xsi:type="xsd:string"&gt;13/03/2020&lt;/D&gt;&lt;D xsi:type="xsd:string"&gt;12/03/2020&lt;/D&gt;&lt;D xsi:type="xsd:string"&gt;11/03/2020&lt;/D&gt;&lt;D xsi:type="xsd:string"&gt;10/03/2020&lt;/D&gt;&lt;D xsi:type="xsd:string"&gt;09/03/2020&lt;/D&gt;&lt;D xsi:type="xsd:string"&gt;06/03/2020&lt;/D&gt;&lt;D xsi:type="xsd:string"&gt;05/03/2020&lt;/D&gt;&lt;D xsi:type="xsd:string"&gt;04/03/2020&lt;/D&gt;&lt;D xsi:type="xsd:string"&gt;03/03/2020&lt;/D&gt;&lt;D xsi:type="xsd:string"&gt;02/03/2020&lt;/D&gt;&lt;D xsi:type="xsd:string"&gt;28/02/2020&lt;/D&gt;&lt;D xsi:type="xsd:string"&gt;27/02/2020&lt;/D&gt;&lt;D xsi:type="xsd:string"&gt;26/02/2020&lt;/D&gt;&lt;D xsi:type="xsd:string"&gt;25/02/2020&lt;/D&gt;&lt;D xsi:type="xsd:string"&gt;24/02/2020&lt;/D&gt;&lt;D xsi:type="xsd:string"&gt;21/02/2020&lt;/D&gt;&lt;D xsi:type="xsd:string"&gt;20/02/2020&lt;/D&gt;&lt;D xsi:type="xsd:string"&gt;19/02/2020&lt;/D&gt;&lt;D xsi:type="xsd:string"&gt;18/02/2020&lt;/D&gt;&lt;D xsi:type="xsd:string"&gt;17/02/2020&lt;/D&gt;&lt;D xsi:type="xsd:string"&gt;14/02/2020&lt;/D&gt;&lt;D xsi:type="xsd:string"&gt;13/02/2020&lt;/D&gt;&lt;D xsi:type="xsd:string"&gt;12/02/2020&lt;/D&gt;&lt;D xsi:type="xsd:string"&gt;11/02/2020&lt;/D&gt;&lt;D xsi:type="xsd:string"&gt;10/02/2020&lt;/D&gt;&lt;D xsi:type="xsd:string"&gt;07/02/2020&lt;/D&gt;&lt;D xsi:type="xsd:string"&gt;06/02/2020&lt;/D&gt;&lt;D xsi:type="xsd:string"&gt;05/02/2020&lt;/D&gt;&lt;D xsi:type="xsd:string"&gt;04/02/2020&lt;/D&gt;&lt;D xsi:type="xsd:string"&gt;03/02/2020&lt;/D&gt;&lt;D xsi:type="xsd:string"&gt;31/01/2020&lt;/D&gt;&lt;D xsi:type="xsd:string"&gt;30/01/2020&lt;/D&gt;&lt;D xsi:type="xsd:string"&gt;29/01/2020&lt;/D&gt;&lt;D xsi:type="xsd:string"&gt;28/01/2020&lt;/D&gt;&lt;D xsi:type="xsd:string"&gt;27/01/2020&lt;/D&gt;&lt;D xsi:type="xsd:string"&gt;24/01/2020&lt;/D&gt;&lt;D xsi:type="xsd:string"&gt;23/01/2020&lt;/D&gt;&lt;D xsi:type="xsd:string"&gt;22/01/2020&lt;/D&gt;&lt;D xsi:type="xsd:string"&gt;21/01/2020&lt;/D&gt;&lt;D xsi:type="xsd:string"&gt;20/01/2020&lt;/D&gt;&lt;D xsi:type="xsd:string"&gt;17/01/2020&lt;/D&gt;&lt;D xsi:type="xsd:string"&gt;16/01/2020&lt;/D&gt;&lt;D xsi:type="xsd:string"&gt;15/01/2020&lt;/D&gt;&lt;D xsi:type="xsd:string"&gt;14/01/2020&lt;/D&gt;&lt;D xsi:type="xsd:string"&gt;13/01/2020&lt;/D&gt;&lt;D xsi:type="xsd:string"&gt;10/01/2020&lt;/D&gt;&lt;D xsi:type="xsd:string"&gt;09/01/2020&lt;/D&gt;&lt;D xsi:type="xsd:string"&gt;08/01/2020&lt;/D&gt;&lt;D xsi:type="xsd:string"&gt;07/01/2020&lt;/D&gt;&lt;D xsi:type="xsd:string"&gt;06/01/2020&lt;/D&gt;&lt;D xsi:type="xsd:string"&gt;03/01/2020&lt;/D&gt;&lt;D xsi:type="xsd:string"&gt;02/01/2020&lt;/D&gt;&lt;D xsi:type="xsd:string"&gt;01/01/2020&lt;/D&gt;&lt;D xsi:type="xsd:string"&gt;31/12/2019&lt;/D&gt;&lt;D xsi:type="xsd:string"&gt;30/12/2019&lt;/D&gt;&lt;D xsi:type="xsd:string"&gt;27/12/2019&lt;/D&gt;&lt;D xsi:type="xsd:string"&gt;26/12/2019&lt;/D&gt;&lt;D xsi:type="xsd:string"&gt;25/12/2019&lt;/D&gt;&lt;D xsi:type="xsd:string"&gt;24/12/2019&lt;/D&gt;&lt;D xsi:type="xsd:string"&gt;23/12/2019&lt;/D&gt;&lt;D xsi:type="xsd:string"&gt;20/12/2019&lt;/D&gt;&lt;D xsi:type="xsd:string"&gt;19/12/2019&lt;/D&gt;&lt;D xsi:type="xsd:string"&gt;18/12/2019&lt;/D&gt;&lt;D xsi:type="xsd:string"&gt;17/12/2019&lt;/D&gt;&lt;D xsi:type="xsd:string"&gt;16/12/2019&lt;/D&gt;&lt;D xsi:type="xsd:string"&gt;13/12/2019&lt;/D&gt;&lt;D xsi:type="xsd:string"&gt;12/12/2019&lt;/D&gt;&lt;D xsi:type="xsd:string"&gt;11/12/2019&lt;/D&gt;&lt;D xsi:type="xsd:string"&gt;10/12/2019&lt;/D&gt;&lt;D xsi:type="xsd:string"&gt;09/12/2019&lt;/D&gt;&lt;D xsi:type="xsd:string"&gt;06/12/2019&lt;/D&gt;&lt;D xsi:type="xsd:string"&gt;05/12/2019&lt;/D&gt;&lt;D xsi:type="xsd:string"&gt;04/12/2019&lt;/D&gt;&lt;D xsi:type="xsd:string"&gt;03/12/2019&lt;/D&gt;&lt;D xsi:type="xsd:string"&gt;02/12/2019&lt;/D&gt;&lt;D xsi:type="xsd:string"&gt;29/11/2019&lt;/D&gt;&lt;D xsi:type="xsd:string"&gt;28/11/2019&lt;/D&gt;&lt;D xsi:type="xsd:string"&gt;27/11/2019&lt;/D&gt;&lt;D xsi:type="xsd:string"&gt;26/11/2019&lt;/D&gt;&lt;D xsi:type="xsd:string"&gt;25/11/2019&lt;/D&gt;&lt;D xsi:type="xsd:string"&gt;22/11/2019&lt;/D&gt;&lt;D xsi:type="xsd:string"&gt;21/11/2019&lt;/D&gt;&lt;D xsi:type="xsd:string"&gt;20/11/2019&lt;/D&gt;&lt;D xsi:type="xsd:string"&gt;19/11/2019&lt;/D&gt;&lt;D xsi:type="xsd:string"&gt;18/11/2019&lt;/D&gt;&lt;D xsi:type="xsd:string"&gt;15/11/2019&lt;/D&gt;&lt;D xsi:type="xsd:string"&gt;14/11/2019&lt;/D&gt;&lt;D xsi:type="xsd:string"&gt;13/11/2019&lt;/D&gt;&lt;D xsi:type="xsd:string"&gt;12/11/2019&lt;/D&gt;&lt;D xsi:type="xsd:string"&gt;11/11/2019&lt;/D&gt;&lt;D xsi:type="xsd:string"&gt;08/11/2019&lt;/D&gt;&lt;D xsi:type="xsd:string"&gt;07/11/2019&lt;/D&gt;&lt;D xsi:type="xsd:string"&gt;06/11/2019&lt;/D&gt;&lt;D xsi:type="xsd:string"&gt;05/11/2019&lt;/D&gt;&lt;D xsi:type="xsd:string"&gt;04/11/2019&lt;/D&gt;&lt;D xsi:type="xsd:string"&gt;01/11/2019&lt;/D&gt;&lt;D xsi:type="xsd:string"&gt;31/10/2019&lt;/D&gt;&lt;D xsi:type="xsd:string"&gt;30/10/2019&lt;/D&gt;&lt;D xsi:type="xsd:string"&gt;29/10/2019&lt;/D&gt;&lt;D xsi:type="xsd:string"&gt;28/10/2019&lt;/D&gt;&lt;D xsi:type="xsd:string"&gt;25/10/2019&lt;/D&gt;&lt;D xsi:type="xsd:string"&gt;24/10/2019&lt;/D&gt;&lt;D xsi:type="xsd:string"&gt;23/10/2019&lt;/D&gt;&lt;D xsi:type="xsd:string"&gt;22/10/2019&lt;/D&gt;&lt;D xsi:type="xsd:string"&gt;21/10/2019&lt;/D&gt;&lt;D xsi:type="xsd:string"&gt;18/10/2019&lt;/D&gt;&lt;D xsi:type="xsd:string"&gt;17/10/2019&lt;/D&gt;&lt;D xsi:type="xsd:string"&gt;16/10/2019&lt;/D&gt;&lt;D xsi:type="xsd:string"&gt;15/10/2019&lt;/D&gt;&lt;D xsi:type="xsd:string"&gt;14/10/2019&lt;/D&gt;&lt;D xsi:type="xsd:string"&gt;11/10/2019&lt;/D&gt;&lt;D xsi:type="xsd:string"&gt;10/10/2019&lt;/D&gt;&lt;D xsi:type="xsd:string"&gt;09/10/2019&lt;/D&gt;&lt;D xsi:type="xsd:string"&gt;08/10/2019&lt;/D&gt;&lt;D xsi:type="xsd:string"&gt;07/10/2019&lt;/D&gt;&lt;D xsi:type="xsd:string"&gt;04/10/2019&lt;/D&gt;&lt;D xsi:type="xsd:string"&gt;03/10/2019&lt;/D&gt;&lt;D xsi:type="xsd:string"&gt;02/10/2019&lt;/D&gt;&lt;D xsi:type="xsd:string"&gt;01/10/2019&lt;/D&gt;&lt;D xsi:type="xsd:string"&gt;30/09/2019&lt;/D&gt;&lt;D xsi:type="xsd:string"&gt;27/09/2019&lt;/D&gt;&lt;D xsi:type="xsd:string"&gt;26/09/2019&lt;/D&gt;&lt;D xsi:type="xsd:string"&gt;25/09/2019&lt;/D&gt;&lt;D xsi:type="xsd:string"&gt;24/09/2019&lt;/D&gt;&lt;D xsi:type="xsd:string"&gt;23/09/2019&lt;/D&gt;&lt;D xsi:type="xsd:string"&gt;20/09/2019&lt;/D&gt;&lt;D xsi:type="xsd:string"&gt;19/09/2019&lt;/D&gt;&lt;D xsi:type="xsd:string"&gt;18/09/2019&lt;/D&gt;&lt;D xsi:type="xsd:string"&gt;17/09/2019&lt;/D&gt;&lt;D xsi:type="xsd:string"&gt;16/09/2019&lt;/D&gt;&lt;D xsi:type="xsd:string"&gt;13/09/2019&lt;/D&gt;&lt;D xsi:type="xsd:string"&gt;12/09/2019&lt;/D&gt;&lt;D xsi:type="xsd:string"&gt;11/09/2019&lt;/D&gt;&lt;D xsi:type="xsd:string"&gt;10/09/2019&lt;/D&gt;&lt;D xsi:type="xsd:string"&gt;09/09/2019&lt;/D&gt;&lt;D xsi:type="xsd:string"&gt;06/09/2019&lt;/D&gt;&lt;D xsi:type="xsd:string"&gt;05/09/2019&lt;/D&gt;&lt;D xsi:type="xsd:string"&gt;04/09/2019&lt;/D&gt;&lt;D xsi:type="xsd:string"&gt;03/09/2019&lt;/D&gt;&lt;D xsi:type="xsd:string"&gt;02/09/2019&lt;/D&gt;&lt;D xsi:type="xsd:string"&gt;30/08/2019&lt;/D&gt;&lt;D xsi:type="xsd:string"&gt;29/08/2019&lt;/D&gt;&lt;D xsi:type="xsd:string"&gt;28/08/2019&lt;/D&gt;&lt;D xsi:type="xsd:string"&gt;27/08/2019&lt;/D&gt;&lt;D xsi:type="xsd:string"&gt;26/08/2019&lt;/D&gt;&lt;D xsi:type="xsd:string"&gt;23/08/2019&lt;/D&gt;&lt;D xsi:type="xsd:string"&gt;22/08/2019&lt;/D&gt;&lt;D xsi:type="xsd:string"&gt;21/08/2019&lt;/D&gt;&lt;D xsi:type="xsd:string"&gt;20/08/2019&lt;/D&gt;&lt;D xsi:type="xsd:string"&gt;19/08/2019&lt;/D&gt;&lt;D xsi:type="xsd:string"&gt;16/08/2019&lt;/D&gt;&lt;D xsi:type="xsd:string"&gt;15/08/2019&lt;/D&gt;&lt;D xsi:type="xsd:string"&gt;14/08/2019&lt;/D&gt;&lt;D xsi:type="xsd:string"&gt;13/08/2019&lt;/D&gt;&lt;D xsi:type="xsd:string"&gt;12/08/2019&lt;/D&gt;&lt;D xsi:type="xsd:string"&gt;09/08/2019&lt;/D&gt;&lt;D xsi:type="xsd:string"&gt;08/08/2019&lt;/D&gt;&lt;D xsi:type="xsd:string"&gt;07/08/2019&lt;/D&gt;&lt;D xsi:type="xsd:string"&gt;06/08/2019&lt;/D&gt;&lt;D xsi:type="xsd:string"&gt;05/08/2019&lt;/D&gt;&lt;D xsi:type="xsd:string"&gt;02/08/2019&lt;/D&gt;&lt;D xsi:type="xsd:string"&gt;01/08/2019&lt;/D&gt;&lt;D xsi:type="xsd:string"&gt;31/07/2019&lt;/D&gt;&lt;D xsi:type="xsd:string"&gt;30/07/2019&lt;/D&gt;&lt;D xsi:type="xsd:string"&gt;29/07/2019&lt;/D&gt;&lt;D xsi:type="xsd:string"&gt;26/07/2019&lt;/D&gt;&lt;D xsi:type="xsd:string"&gt;25/07/2019&lt;/D&gt;&lt;D xsi:type="xsd:string"&gt;24/07/2019&lt;/D&gt;&lt;D xsi:type="xsd:string"&gt;23/07/2019&lt;/D&gt;&lt;D xsi:type="xsd:string"&gt;22/07/2019&lt;/D&gt;&lt;D xsi:type="xsd:string"&gt;19/07/2019&lt;/D&gt;&lt;D xsi:type="xsd:string"&gt;18/07/2019&lt;/D&gt;&lt;D xsi:type="xsd:string"&gt;17/07/2019&lt;/D&gt;&lt;D xsi:type="xsd:string"&gt;16/07/2019&lt;/D&gt;&lt;D xsi:type="xsd:string"&gt;15/07/2019&lt;/D&gt;&lt;D xsi:type="xsd:string"&gt;12/07/2019&lt;/D&gt;&lt;D xsi:type="xsd:string"&gt;11/07/2019&lt;/D&gt;&lt;D xsi:type="xsd:string"&gt;10/07/2019&lt;/D&gt;&lt;D xsi:type="xsd:string"&gt;09/07/2019&lt;/D&gt;&lt;D xsi:type="xsd:string"&gt;08/07/2019&lt;/D&gt;&lt;D xsi:type="xsd:string"&gt;05/07/2019&lt;/D&gt;&lt;D xsi:type="xsd:string"&gt;04/07/2019&lt;/D&gt;&lt;D xsi:type="xsd:string"&gt;03/07/2019&lt;/D&gt;&lt;D xsi:type="xsd:string"&gt;02/07/2019&lt;/D&gt;&lt;D xsi:type="xsd:string"&gt;01/07/2019&lt;/D&gt;&lt;D xsi:type="xsd:string"&gt;28/06/2019&lt;/D&gt;&lt;D xsi:type="xsd:string"&gt;27/06/2019&lt;/D&gt;&lt;D xsi:type="xsd:string"&gt;26/06/2019&lt;/D&gt;&lt;D xsi:type="xsd:string"&gt;25/06/2019&lt;/D&gt;&lt;D xsi:type="xsd:string"&gt;24/06/2019&lt;/D&gt;&lt;D xsi:type="xsd:string"&gt;21/06/2019&lt;/D&gt;&lt;D xsi:type="xsd:string"&gt;20/06/2019&lt;/D&gt;&lt;D xsi:type="xsd:string"&gt;19/06/2019&lt;/D&gt;&lt;D xsi:type="xsd:string"&gt;18/06/2019&lt;/D&gt;&lt;D xsi:type="xsd:string"&gt;17/06/2019&lt;/D&gt;&lt;D xsi:type="xsd:string"&gt;14/06/2019&lt;/D&gt;&lt;D xsi:type="xsd:string"&gt;13/06/2019&lt;/D&gt;&lt;D xsi:type="xsd:string"&gt;12/06/2019&lt;/D&gt;&lt;D xsi:type="xsd:string"&gt;11/06/2019&lt;/D&gt;&lt;D xsi:type="xsd:string"&gt;10/06/2019&lt;/D&gt;&lt;D xsi:type="xsd:string"&gt;07/06/2019&lt;/D&gt;&lt;D xsi:type="xsd:string"&gt;06/06/2019&lt;/D&gt;&lt;D xsi:type="xsd:string"&gt;05/06/2019&lt;/D&gt;&lt;D xsi:type="xsd:string"&gt;04/06/2019&lt;/D&gt;&lt;D xsi:type="xsd:string"&gt;03/06/2019&lt;/D&gt;&lt;D xsi:type="xsd:string"&gt;31/05/2019&lt;/D&gt;&lt;D xsi:type="xsd:string"&gt;30/05/2019&lt;/D&gt;&lt;D xsi:type="xsd:string"&gt;29/05/2019&lt;/D&gt;&lt;D xsi:type="xsd:string"&gt;28/05/2019&lt;/D&gt;&lt;D xsi:type="xsd:string"&gt;27/05/2019&lt;/D&gt;&lt;D xsi:type="xsd:string"&gt;24/05/2019&lt;/D&gt;&lt;D xsi:type="xsd:string"&gt;23/05/2019&lt;/D&gt;&lt;D xsi:type="xsd:string"&gt;22/05/2019&lt;/D&gt;&lt;D xsi:type="xsd:string"&gt;21/05/2019&lt;/D&gt;&lt;D xsi:type="xsd:string"&gt;20/05/2019&lt;/D&gt;&lt;D xsi:type="xsd:string"&gt;17/05/2019&lt;/D&gt;&lt;D xsi:type="xsd:string"&gt;16/05/2019&lt;/D&gt;&lt;D xsi:type="xsd:string"&gt;15/05/2019&lt;/D&gt;&lt;D xsi:type="xsd:string"&gt;14/05/2019&lt;/D&gt;&lt;D xsi:type="xsd:string"&gt;13/05/2019&lt;/D&gt;&lt;D xsi:type="xsd:string"&gt;10/05/2019&lt;/D&gt;&lt;D xsi:type="xsd:string"&gt;09/05/2019&lt;/D&gt;&lt;D xsi:type="xsd:string"&gt;08/05/2019&lt;/D&gt;&lt;D xsi:type="xsd:string"&gt;07/05/2019&lt;/D&gt;&lt;D xsi:type="xsd:string"&gt;06/05/2019&lt;/D&gt;&lt;D xsi:type="xsd:string"&gt;03/05/2019&lt;/D&gt;&lt;D xsi:type="xsd:string"&gt;02/05/2019&lt;/D&gt;&lt;D xsi:type="xsd:string"&gt;01/05/2019&lt;/D&gt;&lt;D xsi:type="xsd:string"&gt;30/04/2019&lt;/D&gt;&lt;D xsi:type="xsd:string"&gt;29/04/2019&lt;/D&gt;&lt;D xsi:type="xsd:string"&gt;26/04/2019&lt;/D&gt;&lt;D xsi:type="xsd:string"&gt;25/04/2019&lt;/D&gt;&lt;D xsi:type="xsd:string"&gt;24/04/2019&lt;/D&gt;&lt;D xsi:type="xsd:string"&gt;23/04/2019&lt;/D&gt;&lt;D xsi:type="xsd:string"&gt;22/04/2019&lt;/D&gt;&lt;D xsi:type="xsd:string"&gt;19/04/2019&lt;/D&gt;&lt;D xsi:type="xsd:string"&gt;18/04/2019&lt;/D&gt;&lt;D xsi:type="xsd:string"&gt;17/04/2019&lt;/D&gt;&lt;D xsi:type="xsd:string"&gt;16/04/2019&lt;/D&gt;&lt;D xsi:type="xsd:string"&gt;15/04/2019&lt;/D&gt;&lt;D xsi:type="xsd:string"&gt;12/04/2019&lt;/D&gt;&lt;D xsi:type="xsd:string"&gt;11/04/2019&lt;/D&gt;&lt;D xsi:type="xsd:string"&gt;10/04/2019&lt;/D&gt;&lt;D xsi:type="xsd:string"&gt;09/04/2019&lt;/D&gt;&lt;D xsi:type="xsd:string"&gt;08/04/2019&lt;/D&gt;&lt;D xsi:type="xsd:string"&gt;05/04/2019&lt;/D&gt;&lt;D xsi:type="xsd:string"&gt;04/04/2019&lt;/D&gt;&lt;D xsi:type="xsd:string"&gt;03/04/2019&lt;/D&gt;&lt;D xsi:type="xsd:string"&gt;02/04/2019&lt;/D&gt;&lt;D xsi:type="xsd:string"&gt;01/04/2019&lt;/D&gt;&lt;D xsi:type="xsd:string"&gt;29/03/2019&lt;/D&gt;&lt;D xsi:type="xsd:string"&gt;28/03/2019&lt;/D&gt;&lt;D xsi:type="xsd:string"&gt;27/03/2019&lt;/D&gt;&lt;D xsi:type="xsd:string"&gt;26/03/2019&lt;/D&gt;&lt;D xsi:type="xsd:string"&gt;25/03/2019&lt;/D&gt;&lt;D xsi:type="xsd:string"&gt;22/03/2019&lt;/D&gt;&lt;D xsi:type="xsd:string"&gt;21/03/2019&lt;/D&gt;&lt;D xsi:type="xsd:string"&gt;20/03/2019&lt;/D&gt;&lt;D xsi:type="xsd:string"&gt;19/03/2019&lt;/D&gt;&lt;D xsi:type="xsd:string"&gt;18/03/2019&lt;/D&gt;&lt;D xsi:type="xsd:string"&gt;15/03/2019&lt;/D&gt;&lt;D xsi:type="xsd:string"&gt;14/03/2019&lt;/D&gt;&lt;D xsi:type="xsd:string"&gt;13/03/2019&lt;/D&gt;&lt;D xsi:type="xsd:string"&gt;12/03/2019&lt;/D&gt;&lt;D xsi:type="xsd:string"&gt;11/03/2019&lt;/D&gt;&lt;D xsi:type="xsd:string"&gt;08/03/2019&lt;/D&gt;&lt;D xsi:type="xsd:string"&gt;07/03/2019&lt;/D&gt;&lt;D xsi:type="xsd:string"&gt;06/03/2019&lt;/D&gt;&lt;D xsi:type="xsd:string"&gt;05/03/2019&lt;/D&gt;&lt;D xsi:type="xsd:string"&gt;04/03/2019&lt;/D&gt;&lt;D xsi:type="xsd:string"&gt;01/03/2019&lt;/D&gt;&lt;D xsi:type="xsd:string"&gt;28/02/2019&lt;/D&gt;&lt;D xsi:type="xsd:string"&gt;27/02/2019&lt;/D&gt;&lt;D xsi:type="xsd:string"&gt;26/02/2019&lt;/D&gt;&lt;D xsi:type="xsd:string"&gt;25/02/2019&lt;/D&gt;&lt;D xsi:type="xsd:string"&gt;22/02/2019&lt;/D&gt;&lt;D xsi:type="xsd:string"&gt;21/02/2019&lt;/D&gt;&lt;D xsi:type="xsd:string"&gt;20/02/2019&lt;/D&gt;&lt;D xsi:type="xsd:string"&gt;19/02/2019&lt;/D&gt;&lt;D xsi:type="xsd:string"&gt;18/02/2019&lt;/D&gt;&lt;D xsi:type="xsd:string"&gt;15/02/2019&lt;/D&gt;&lt;D xsi:type="xsd:string"&gt;14/02/2019&lt;/D&gt;&lt;D xsi:type="xsd:string"&gt;13/02/2019&lt;/D&gt;&lt;D xsi:type="xsd:string"&gt;12/02/2019&lt;/D&gt;&lt;D xsi:type="xsd:string"&gt;11/02/2019&lt;/D&gt;&lt;D xsi:type="xsd:string"&gt;08/02/2019&lt;/D&gt;&lt;D xsi:type="xsd:string"&gt;07/02/2019&lt;/D&gt;&lt;D xsi:type="xsd:string"&gt;06/02/2019&lt;/D&gt;&lt;D xsi:type="xsd:string"&gt;05/02/2019&lt;/D&gt;&lt;D xsi:type="xsd:string"&gt;04/02/2019&lt;/D&gt;&lt;D xsi:type="xsd:string"&gt;01/02/2019&lt;/D&gt;&lt;D xsi:type="xsd:string"&gt;31/01/2019&lt;/D&gt;&lt;D xsi:type="xsd:string"&gt;30/01/2019&lt;/D&gt;&lt;D xsi:type="xsd:string"&gt;29/01/2019&lt;/D&gt;&lt;D xsi:type="xsd:string"&gt;28/01/2019&lt;/D&gt;&lt;D xsi:type="xsd:string"&gt;25/01/2019&lt;/D&gt;&lt;D xsi:type="xsd:string"&gt;24/01/2019&lt;/D&gt;&lt;D xsi:type="xsd:string"&gt;23/01/2019&lt;/D&gt;&lt;D xsi:type="xsd:string"&gt;22/01/2019&lt;/D&gt;&lt;D xsi:type="xsd:string"&gt;21/01/2019&lt;/D&gt;&lt;D xsi:type="xsd:string"&gt;18/01/2019&lt;/D&gt;&lt;D xsi:type="xsd:string"&gt;17/01/2019&lt;/D&gt;&lt;D xsi:type="xsd:string"&gt;16/01/2019&lt;/D&gt;&lt;D xsi:type="xsd:string"&gt;15/01/2019&lt;/D&gt;&lt;D xsi:type="xsd:string"&gt;14/01/2019&lt;/D&gt;&lt;D xsi:type="xsd:string"&gt;11/01/2019&lt;/D&gt;&lt;D xsi:type="xsd:string"&gt;10/01/2019&lt;/D&gt;&lt;D xsi:type="xsd:string"&gt;09/01/2019&lt;/D&gt;&lt;D xsi:type="xsd:string"&gt;08/01/2019&lt;/D&gt;&lt;D xsi:type="xsd:string"&gt;07/01/2019&lt;/D&gt;&lt;D xsi:type="xsd:string"&gt;04/01/2019&lt;/D&gt;&lt;D xsi:type="xsd:string"&gt;03/01/2019&lt;/D&gt;&lt;D xsi:type="xsd:string"&gt;02/01/2019&lt;/D&gt;&lt;D xsi:type="xsd:string"&gt;01/01/2019&lt;/D&gt;&lt;D xsi:type="xsd:string"&gt;31/12/2018&lt;/D&gt;&lt;D xsi:type="xsd:string"&gt;28/12/2018&lt;/D&gt;&lt;D xsi:type="xsd:string"&gt;27/12/2018&lt;/D&gt;&lt;D xsi:type="xsd:string"&gt;26/12/2018&lt;/D&gt;&lt;D xsi:type="xsd:string"&gt;25/12/2018&lt;/D&gt;&lt;D xsi:type="xsd:string"&gt;24/12/2018&lt;/D&gt;&lt;D xsi:type="xsd:string"&gt;21/12/2018&lt;/D&gt;&lt;D xsi:type="xsd:string"&gt;20/12/2018&lt;/D&gt;&lt;D xsi:type="xsd:string"&gt;19/12/2018&lt;/D&gt;&lt;D xsi:type="xsd:string"&gt;18/12/2018&lt;/D&gt;&lt;D xsi:type="xsd:string"&gt;17/12/2018&lt;/D&gt;&lt;D xsi:type="xsd:string"&gt;14/12/2018&lt;/D&gt;&lt;D xsi:type="xsd:string"&gt;13/12/2018&lt;/D&gt;&lt;D xsi:type="xsd:string"&gt;12/12/2018&lt;/D&gt;&lt;D xsi:type="xsd:string"&gt;11/12/2018&lt;/D&gt;&lt;D xsi:type="xsd:string"&gt;10/12/2018&lt;/D&gt;&lt;D xsi:type="xsd:string"&gt;07/12/2018&lt;/D&gt;&lt;D xsi:type="xsd:string"&gt;06/12/2018&lt;/D&gt;&lt;D xsi:type="xsd:string"&gt;05/12/2018&lt;/D&gt;&lt;D xsi:type="xsd:string"&gt;04/12/2018&lt;/D&gt;&lt;D xsi:type="xsd:string"&gt;03/12/2018&lt;/D&gt;&lt;D xsi:type="xsd:string"&gt;30/11/2018&lt;/D&gt;&lt;D xsi:type="xsd:string"&gt;29/11/2018&lt;/D&gt;&lt;D xsi:type="xsd:string"&gt;28/11/2018&lt;/D&gt;&lt;D xsi:type="xsd:string"&gt;27/11/2018&lt;/D&gt;&lt;D xsi:type="xsd:string"&gt;26/11/2018&lt;/D&gt;&lt;D xsi:type="xsd:string"&gt;23/11/2018&lt;/D&gt;&lt;D xsi:type="xsd:string"&gt;22/11/2018&lt;/D&gt;&lt;D xsi:type="xsd:string"&gt;21/11/2018&lt;/D&gt;&lt;D xsi:type="xsd:string"&gt;20/11/2018&lt;/D&gt;&lt;D xsi:type="xsd:string"&gt;19/11/2018&lt;/D&gt;&lt;D xsi:type="xsd:string"&gt;16/11/2018&lt;/D&gt;&lt;D xsi:type="xsd:string"&gt;15/11/2018&lt;/D&gt;&lt;D xsi:type="xsd:string"&gt;14/11/2018&lt;/D&gt;&lt;D xsi:type="xsd:string"&gt;13/11/2018&lt;/D&gt;&lt;D xsi:type="xsd:string"&gt;12/11/2018&lt;/D&gt;&lt;D xsi:type="xsd:string"&gt;09/11/2018&lt;/D&gt;&lt;D xsi:type="xsd:string"&gt;08/11/2018&lt;/D&gt;&lt;D xsi:type="xsd:string"&gt;07/11/2018&lt;/D&gt;&lt;D xsi:type="xsd:string"&gt;06/11/2018&lt;/D&gt;&lt;D xsi:type="xsd:string"&gt;05/11/2018&lt;/D&gt;&lt;D xsi:type="xsd:string"&gt;02/11/2018&lt;/D&gt;&lt;D xsi:type="xsd:string"&gt;01/11/2018&lt;/D&gt;&lt;D xsi:type="xsd:string"&gt;31/10/2018&lt;/D&gt;&lt;D xsi:type="xsd:string"&gt;30/10/2018&lt;/D&gt;&lt;D xsi:type="xsd:string"&gt;29/10/2018&lt;/D&gt;&lt;D xsi:type="xsd:string"&gt;26/10/2018&lt;/D&gt;&lt;D xsi:type="xsd:string"&gt;25/10/2018&lt;/D&gt;&lt;D xsi:type="xsd:string"&gt;24/10/2018&lt;/D&gt;&lt;D xsi:type="xsd:string"&gt;23/10/2018&lt;/D&gt;&lt;D xsi:type="xsd:string"&gt;22/10/2018&lt;/D&gt;&lt;D xsi:type="xsd:string"&gt;19/10/2018&lt;/D&gt;&lt;D xsi:type="xsd:string"&gt;18/10/2018&lt;/D&gt;&lt;D xsi:type="xsd:string"&gt;17/10/2018&lt;/D&gt;&lt;D xsi:type="xsd:string"&gt;16/10/2018&lt;/D&gt;&lt;D xsi:type="xsd:string"&gt;15/10/2018&lt;/D&gt;&lt;D xsi:type="xsd:string"&gt;12/10/2018&lt;/D&gt;&lt;D xsi:type="xsd:string"&gt;11/10/2018&lt;/D&gt;&lt;D xsi:type="xsd:string"&gt;10/10/2018&lt;/D&gt;&lt;D xsi:type="xsd:string"&gt;09/10/2018&lt;/D&gt;&lt;D xsi:type="xsd:string"&gt;08/10/2018&lt;/D&gt;&lt;D xsi:type="xsd:string"&gt;05/10/2018&lt;/D&gt;&lt;D xsi:type="xsd:string"&gt;04/10/2018&lt;/D&gt;&lt;D xsi:type="xsd:string"&gt;03/10/2018&lt;/D&gt;&lt;D xsi:type="xsd:string"&gt;02/10/2018&lt;/D&gt;&lt;D xsi:type="xsd:string"&gt;01/10/2018&lt;/D&gt;&lt;D xsi:type="xsd:string"&gt;28/09/2018&lt;/D&gt;&lt;D xsi:type="xsd:string"&gt;27/09/2018&lt;/D&gt;&lt;D xsi:type="xsd:string"&gt;26/09/2018&lt;/D&gt;&lt;D xsi:type="xsd:string"&gt;25/09/2018&lt;/D&gt;&lt;D xsi:type="xsd:string"&gt;24/09/2018&lt;/D&gt;&lt;D xsi:type="xsd:string"&gt;21/09/2018&lt;/D&gt;&lt;D xsi:type="xsd:string"&gt;20/09/2018&lt;/D&gt;&lt;D xsi:type="xsd:string"&gt;19/09/2018&lt;/D&gt;&lt;D xsi:type="xsd:string"&gt;18/09/2018&lt;/D&gt;&lt;D xsi:type="xsd:string"&gt;17/09/2018&lt;/D&gt;&lt;D xsi:type="xsd:string"&gt;14/09/2018&lt;/D&gt;&lt;D xsi:type="xsd:string"&gt;13/09/2018&lt;/D&gt;&lt;D xsi:type="xsd:string"&gt;12/09/2018&lt;/D&gt;&lt;D xsi:type="xsd:string"&gt;11/09/2018&lt;/D&gt;&lt;D xsi:type="xsd:string"&gt;10/09/2018&lt;/D&gt;&lt;D xsi:type="xsd:string"&gt;07/09/2018&lt;/D&gt;&lt;D xsi:type="xsd:string"&gt;06/09/2018&lt;/D&gt;&lt;D xsi:type="xsd:string"&gt;05/09/2018&lt;/D&gt;&lt;D xsi:type="xsd:string"&gt;04/09/2018&lt;/D&gt;&lt;D xsi:type="xsd:string"&gt;03/09/2018&lt;/D&gt;&lt;D xsi:type="xsd:string"&gt;31/08/2018&lt;/D&gt;&lt;D xsi:type="xsd:string"&gt;30/08/2018&lt;/D&gt;&lt;D xsi:type="xsd:string"&gt;29/08/2018&lt;/D&gt;&lt;D xsi:type="xsd:string"&gt;28/08/2018&lt;/D&gt;&lt;D xsi:type="xsd:string"&gt;27/08/2018&lt;/D&gt;&lt;D xsi:type="xsd:string"&gt;24/08/2018&lt;/D&gt;&lt;D xsi:type="xsd:string"&gt;23/08/2018&lt;/D&gt;&lt;D xsi:type="xsd:string"&gt;22/08/2018&lt;/D&gt;&lt;D xsi:type="xsd:string"&gt;21/08/2018&lt;/D&gt;&lt;D xsi:type="xsd:string"&gt;20/08/2018&lt;/D&gt;&lt;D xsi:type="xsd:string"&gt;17/08/2018&lt;/D&gt;&lt;D xsi:type="xsd:string"&gt;16/08/2018&lt;/D&gt;&lt;D xsi:type="xsd:string"&gt;15/08/2018&lt;/D&gt;&lt;D xsi:type="xsd:string"&gt;14/08/2018&lt;/D&gt;&lt;D xsi:type="xsd:string"&gt;13/08/2018&lt;/D&gt;&lt;D xsi:type="xsd:string"&gt;10/08/2018&lt;/D&gt;&lt;D xsi:type="xsd:string"&gt;09/08/2018&lt;/D&gt;&lt;D xsi:type="xsd:string"&gt;08/08/2018&lt;/D&gt;&lt;D xsi:type="xsd:string"&gt;07/08/2018&lt;/D&gt;&lt;D xsi:type="xsd:string"&gt;06/08/2018&lt;/D&gt;&lt;D xsi:type="xsd:string"&gt;03/08/2018&lt;/D&gt;&lt;D xsi:type="xsd:string"&gt;02/08/2018&lt;/D&gt;&lt;D xsi:type="xsd:string"&gt;01/08/2018&lt;/D&gt;&lt;D xsi:type="xsd:string"&gt;31/07/2018&lt;/D&gt;&lt;D xsi:type="xsd:string"&gt;30/07/2018&lt;/D&gt;&lt;D xsi:type="xsd:string"&gt;27/07/2018&lt;/D&gt;&lt;D xsi:type="xsd:string"&gt;26/07/2018&lt;/D&gt;&lt;D xsi:type="xsd:string"&gt;25/07/2018&lt;/D&gt;&lt;D xsi:type="xsd:string"&gt;24/07/2018&lt;/D&gt;&lt;D xsi:type="xsd:string"&gt;23/07/2018&lt;/D&gt;&lt;D xsi:type="xsd:string"&gt;20/07/2018&lt;/D&gt;&lt;D xsi:type="xsd:string"&gt;19/07/2018&lt;/D&gt;&lt;D xsi:type="xsd:string"&gt;18/07/2018&lt;/D&gt;&lt;D xsi:type="xsd:string"&gt;17/07/2018&lt;/D&gt;&lt;D xsi:type="xsd:string"&gt;16/07/2018&lt;/D&gt;&lt;D xsi:type="xsd:string"&gt;13/07/2018&lt;/D&gt;&lt;D xsi:type="xsd:string"&gt;12/07/2018&lt;/D&gt;&lt;D xsi:type="xsd:string"&gt;11/07/2018&lt;/D&gt;&lt;D xsi:type="xsd:string"&gt;10/07/2018&lt;/D&gt;&lt;D xsi:type="xsd:string"&gt;09/07/2018&lt;/D&gt;&lt;D xsi:type="xsd:string"&gt;06/07/2018&lt;/D&gt;&lt;D xsi:type="xsd:string"&gt;05/07/2018&lt;/D&gt;&lt;D xsi:type="xsd:string"&gt;04/07/2018&lt;/D&gt;&lt;D xsi:type="xsd:string"&gt;03/07/2018&lt;/D&gt;&lt;D xsi:type="xsd:string"&gt;02/07/2018&lt;/D&gt;&lt;D xsi:type="xsd:string"&gt;29/06/2018&lt;/D&gt;&lt;D xsi:type="xsd:string"&gt;28/06/2018&lt;/D&gt;&lt;D xsi:type="xsd:string"&gt;27/06/2018&lt;/D&gt;&lt;D xsi:type="xsd:string"&gt;26/06/2018&lt;/D&gt;&lt;D xsi:type="xsd:string"&gt;25/06/2018&lt;/D&gt;&lt;D xsi:type="xsd:string"&gt;22/06/2018&lt;/D&gt;&lt;D xsi:type="xsd:string"&gt;21/06/2018&lt;/D&gt;&lt;D xsi:type="xsd:string"&gt;20/06/2018&lt;/D&gt;&lt;D xsi:type="xsd:string"&gt;19/06/2018&lt;/D&gt;&lt;D xsi:type="xsd:string"&gt;18/06/2018&lt;/D&gt;&lt;D xsi:type="xsd:string"&gt;15/06/2018&lt;/D&gt;&lt;D xsi:type="xsd:string"&gt;14/06/2018&lt;/D&gt;&lt;D xsi:type="xsd:string"&gt;13/06/2018&lt;/D&gt;&lt;D xsi:type="xsd:string"&gt;12/06/2018&lt;/D&gt;&lt;D xsi:type="xsd:string"&gt;11/06/2018&lt;/D&gt;&lt;D xsi:type="xsd:string"&gt;08/06/2018&lt;/D&gt;&lt;D xsi:type="xsd:string"&gt;07/06/2018&lt;/D&gt;&lt;D xsi:type="xsd:string"&gt;06/06/2018&lt;/D&gt;&lt;D xsi:type="xsd:string"&gt;05/06/2018&lt;/D&gt;&lt;D xsi:type="xsd:string"&gt;04/06/2018&lt;/D&gt;&lt;D xsi:type="xsd:string"&gt;01/06/2018&lt;/D&gt;&lt;D xsi:type="xsd:string"&gt;31/05/2018&lt;/D&gt;&lt;D xsi:type="xsd:string"&gt;30/05/2018&lt;/D&gt;&lt;D xsi:type="xsd:string"&gt;29/05/2018&lt;/D&gt;&lt;D xsi:type="xsd:string"&gt;28/05/2018&lt;/D&gt;&lt;D xsi:type="xsd:string"&gt;25/05/2018&lt;/D&gt;&lt;D xsi:type="xsd:string"&gt;24/05/2018&lt;/D&gt;&lt;D xsi:type="xsd:string"&gt;23/05/2018&lt;/D&gt;&lt;D xsi:type="xsd:string"&gt;22/05/2018&lt;/D&gt;&lt;D xsi:type="xsd:string"&gt;21/05/2018&lt;/D&gt;&lt;D xsi:type="xsd:string"&gt;18/05/2018&lt;/D&gt;&lt;D xsi:type="xsd:string"&gt;17/05/2018&lt;/D&gt;&lt;D xsi:type="xsd:string"&gt;16/05/2018&lt;/D&gt;&lt;D xsi:type="xsd:string"&gt;15/05/2018&lt;/D&gt;&lt;D xsi:type="xsd:string"&gt;14/05/2018&lt;/D&gt;&lt;D xsi:type="xsd:string"&gt;11/05/2018&lt;/D&gt;&lt;D xsi:type="xsd:string"&gt;10/05/2018&lt;/D&gt;&lt;D xsi:type="xsd:string"&gt;09/05/2018&lt;/D&gt;&lt;D xsi:type="xsd:string"&gt;08/05/2018&lt;/D&gt;&lt;D xsi:type="xsd:string"&gt;07/05/2018&lt;/D&gt;&lt;D xsi:type="xsd:string"&gt;04/05/2018&lt;/D&gt;&lt;D xsi:type="xsd:string"&gt;03/05/2018&lt;/D&gt;&lt;D xsi:type="xsd:string"&gt;02/05/2018&lt;/D&gt;&lt;D xsi:type="xsd:string"&gt;01/05/2018&lt;/D&gt;&lt;D xsi:type="xsd:string"&gt;30/04/2018&lt;/D&gt;&lt;D xsi:type="xsd:string"&gt;27/04/2018&lt;/D&gt;&lt;D xsi:type="xsd:string"&gt;26/04/2018&lt;/D&gt;&lt;D xsi:type="xsd:string"&gt;25/04/2018&lt;/D&gt;&lt;D xsi:type="xsd:string"&gt;24/04/2018&lt;/D&gt;&lt;D xsi:type="xsd:string"&gt;23/04/2018&lt;/D&gt;&lt;D xsi:type="xsd:string"&gt;20/04/2018&lt;/D&gt;&lt;D xsi:type="xsd:string"&gt;19/04/2018&lt;/D&gt;&lt;D xsi:type="xsd:string"&gt;18/04/2018&lt;/D&gt;&lt;D xsi:type="xsd:string"&gt;17/04/2018&lt;/D&gt;&lt;D xsi:type="xsd:string"&gt;16/04/2018&lt;/D&gt;&lt;D xsi:type="xsd:string"&gt;13/04/2018&lt;/D&gt;&lt;D xsi:type="xsd:string"&gt;12/04/2018&lt;/D&gt;&lt;D xsi:type="xsd:string"&gt;11/04/2018&lt;/D&gt;&lt;D xsi:type="xsd:string"&gt;10/04/2018&lt;/D&gt;&lt;D xsi:type="xsd:string"&gt;09/04/2018&lt;/D&gt;&lt;D xsi:type="xsd:string"&gt;06/04/2018&lt;/D&gt;&lt;D xsi:type="xsd:string"&gt;05/04/2018&lt;/D&gt;&lt;D xsi:type="xsd:string"&gt;04/04/2018&lt;/D&gt;&lt;D xsi:type="xsd:string"&gt;03/04/2018&lt;/D&gt;&lt;D xsi:type="xsd:string"&gt;02/04/2018&lt;/D&gt;&lt;D xsi:type="xsd:string"&gt;30/03/2018&lt;/D&gt;&lt;D xsi:type="xsd:string"&gt;29/03/2018&lt;/D&gt;&lt;D xsi:type="xsd:string"&gt;28/03/2018&lt;/D&gt;&lt;D xsi:type="xsd:string"&gt;27/03/2018&lt;/D&gt;&lt;D xsi:type="xsd:string"&gt;26/03/2018&lt;/D&gt;&lt;D xsi:type="xsd:string"&gt;23/03/2018&lt;/D&gt;&lt;D xsi:type="xsd:string"&gt;22/03/2018&lt;/D&gt;&lt;D xsi:type="xsd:string"&gt;21/03/2018&lt;/D&gt;&lt;D xsi:type="xsd:string"&gt;20/03/2018&lt;/D&gt;&lt;D xsi:type="xsd:string"&gt;19/03/2018&lt;/D&gt;&lt;D xsi:type="xsd:string"&gt;16/03/2018&lt;/D&gt;&lt;D xsi:type="xsd:string"&gt;15/03/2018&lt;/D&gt;&lt;D xsi:type="xsd:string"&gt;14/03/2018&lt;/D&gt;&lt;D xsi:type="xsd:string"&gt;13/03/2018&lt;/D&gt;&lt;D xsi:type="xsd:string"&gt;12/03/2018&lt;/D&gt;&lt;D xsi:type="xsd:string"&gt;09/03/2018&lt;/D&gt;&lt;D xsi:type="xsd:string"&gt;08/03/2018&lt;/D&gt;&lt;D xsi:type="xsd:string"&gt;07/03/2018&lt;/D&gt;&lt;D xsi:type="xsd:string"&gt;06/03/2018&lt;/D&gt;&lt;D xsi:type="xsd:string"&gt;05/03/2018&lt;/D&gt;&lt;D xsi:type="xsd:string"&gt;02/03/2018&lt;/D&gt;&lt;D xsi:type="xsd:string"&gt;01/03/2018&lt;/D&gt;&lt;D xsi:type="xsd:string"&gt;28/02/2018&lt;/D&gt;&lt;D xsi:type="xsd:string"&gt;27/02/2018&lt;/D&gt;&lt;D xsi:type="xsd:string"&gt;26/02/2018&lt;/D&gt;&lt;D xsi:type="xsd:string"&gt;23/02/2018&lt;/D&gt;&lt;D xsi:type="xsd:string"&gt;22/02/2018&lt;/D&gt;&lt;D xsi:type="xsd:string"&gt;21/02/2018&lt;/D&gt;&lt;D xsi:type="xsd:string"&gt;20/02/2018&lt;/D&gt;&lt;D xsi:type="xsd:string"&gt;19/02/2018&lt;/D&gt;&lt;D xsi:type="xsd:string"&gt;16/02/2018&lt;/D&gt;&lt;D xsi:type="xsd:string"&gt;15/02/2018&lt;/D&gt;&lt;D xsi:type="xsd:string"&gt;14/02/2018&lt;/D&gt;&lt;D xsi:type="xsd:string"&gt;13/02/2018&lt;/D&gt;&lt;D xsi:type="xsd:string"&gt;12/02/2018&lt;/D&gt;&lt;D xsi:type="xsd:string"&gt;09/02/2018&lt;/D&gt;&lt;D xsi:type="xsd:string"&gt;08/02/2018&lt;/D&gt;&lt;D xsi:type="xsd:string"&gt;07/02/2018&lt;/D&gt;&lt;D xsi:type="xsd:string"&gt;06/02/2018&lt;/D&gt;&lt;D xsi:type="xsd:string"&gt;05/02/2018&lt;/D&gt;&lt;D xsi:type="xsd:string"&gt;02/02/2018&lt;/D&gt;&lt;D xsi:type="xsd:string"&gt;01/02/2018&lt;/D&gt;&lt;D xsi:type="xsd:string"&gt;31/01/2018&lt;/D&gt;&lt;D xsi:type="xsd:string"&gt;30/01/2018&lt;/D&gt;&lt;D xsi:type="xsd:string"&gt;29/01/2018&lt;/D&gt;&lt;D xsi:type="xsd:string"&gt;26/01/2018&lt;/D&gt;&lt;D xsi:type="xsd:string"&gt;25/01/2018&lt;/D&gt;&lt;D xsi:type="xsd:string"&gt;24/01/2018&lt;/D&gt;&lt;D xsi:type="xsd:string"&gt;23/01/2018&lt;/D&gt;&lt;D xsi:type="xsd:string"&gt;22/01/2018&lt;/D&gt;&lt;D xsi:type="xsd:string"&gt;19/01/2018&lt;/D&gt;&lt;D xsi:type="xsd:string"&gt;18/01/2018&lt;/D&gt;&lt;D xsi:type="xsd:string"&gt;17/01/2018&lt;/D&gt;&lt;D xsi:type="xsd:string"&gt;16/01/2018&lt;/D&gt;&lt;D xsi:type="xsd:string"&gt;15/01/2018&lt;/D&gt;&lt;D xsi:type="xsd:string"&gt;12/01/2018&lt;/D&gt;&lt;D xsi:type="xsd:string"&gt;11/01/2018&lt;/D&gt;&lt;D xsi:type="xsd:string"&gt;10/01/2018&lt;/D&gt;&lt;D xsi:type="xsd:string"&gt;09/01/2018&lt;/D&gt;&lt;D xsi:type="xsd:string"&gt;08/01/2018&lt;/D&gt;&lt;D xsi:type="xsd:string"&gt;05/01/2018&lt;/D&gt;&lt;D xsi:type="xsd:string"&gt;04/01/2018&lt;/D&gt;&lt;D xsi:type="xsd:string"&gt;03/01/2018&lt;/D&gt;&lt;D xsi:type="xsd:string"&gt;02/01/2018&lt;/D&gt;&lt;D xsi:type="xsd:string"&gt;01/01/2018&lt;/D&gt;&lt;D xsi:type="xsd:string"&gt;29/12/2017&lt;/D&gt;&lt;D xsi:type="xsd:string"&gt;28/12/2017&lt;/D&gt;&lt;D xsi:type="xsd:string"&gt;27/12/2017&lt;/D&gt;&lt;D xsi:type="xsd:string"&gt;26/12/2017&lt;/D&gt;&lt;D xsi:type="xsd:string"&gt;25/12/2017&lt;/D&gt;&lt;D xsi:type="xsd:string"&gt;22/12/2017&lt;/D&gt;&lt;D xsi:type="xsd:string"&gt;21/12/2017&lt;/D&gt;&lt;D xsi:type="xsd:string"&gt;20/12/2017&lt;/D&gt;&lt;D xsi:type="xsd:string"&gt;19/12/2017&lt;/D&gt;&lt;D xsi:type="xsd:string"&gt;18/12/2017&lt;/D&gt;&lt;D xsi:type="xsd:string"&gt;15/12/2017&lt;/D&gt;&lt;D xsi:type="xsd:string"&gt;14/12/2017&lt;/D&gt;&lt;D xsi:type="xsd:string"&gt;13/12/2017&lt;/D&gt;&lt;D xsi:type="xsd:string"&gt;12/12/2017&lt;/D&gt;&lt;D xsi:type="xsd:string"&gt;11/12/2017&lt;/D&gt;&lt;D xsi:type="xsd:string"&gt;08/12/2017&lt;/D&gt;&lt;D xsi:type="xsd:string"&gt;07/12/2017&lt;/D&gt;&lt;D xsi:type="xsd:string"&gt;06/12/2017&lt;/D&gt;&lt;D xsi:type="xsd:string"&gt;05/12/2017&lt;/D&gt;&lt;D xsi:type="xsd:string"&gt;04/12/2017&lt;/D&gt;&lt;D xsi:type="xsd:string"&gt;01/12/2017&lt;/D&gt;&lt;D xsi:type="xsd:string"&gt;30/11/2017&lt;/D&gt;&lt;D xsi:type="xsd:string"&gt;29/11/2017&lt;/D&gt;&lt;D xsi:type="xsd:string"&gt;28/11/2017&lt;/D&gt;&lt;D xsi:type="xsd:string"&gt;27/11/2017&lt;/D&gt;&lt;D xsi:type="xsd:string"&gt;24/11/2017&lt;/D&gt;&lt;D xsi:type="xsd:string"&gt;23/11/2017&lt;/D&gt;&lt;D xsi:type="xsd:string"&gt;22/11/2017&lt;/D&gt;&lt;D xsi:type="xsd:string"&gt;21/11/2017&lt;/D&gt;&lt;D xsi:type="xsd:string"&gt;20/11/2017&lt;/D&gt;&lt;D xsi:type="xsd:string"&gt;17/11/2017&lt;/D&gt;&lt;D xsi:type="xsd:string"&gt;16/11/2017&lt;/D&gt;&lt;D xsi:type="xsd:string"&gt;15/11/2017&lt;/D&gt;&lt;D xsi:type="xsd:string"&gt;14/11/2017&lt;/D&gt;&lt;D xsi:type="xsd:string"&gt;13/11/2017&lt;/D&gt;&lt;D xsi:type="xsd:string"&gt;10/11/2017&lt;/D&gt;&lt;D xsi:type="xsd:string"&gt;09/11/2017&lt;/D&gt;&lt;D xsi:type="xsd:string"&gt;08/11/2017&lt;/D&gt;&lt;D xsi:type="xsd:string"&gt;07/11/2017&lt;/D&gt;&lt;D xsi:type="xsd:string"&gt;06/11/2017&lt;/D&gt;&lt;D xsi:type="xsd:string"&gt;03/11/2017&lt;/D&gt;&lt;D xsi:type="xsd:string"&gt;02/11/2017&lt;/D&gt;&lt;D xsi:type="xsd:string"&gt;01/11/2017&lt;/D&gt;&lt;D xsi:type="xsd:string"&gt;31/10/2017&lt;/D&gt;&lt;D xsi:type="xsd:string"&gt;30/10/2017&lt;/D&gt;&lt;D xsi:type="xsd:string"&gt;27/10/2017&lt;/D&gt;&lt;D xsi:type="xsd:string"&gt;26/10/2017&lt;/D&gt;&lt;D xsi:type="xsd:string"&gt;25/10/2017&lt;/D&gt;&lt;D xsi:type="xsd:string"&gt;24/10/2017&lt;/D&gt;&lt;D xsi:type="xsd:string"&gt;23/10/2017&lt;/D&gt;&lt;D xsi:type="xsd:string"&gt;20/10/2017&lt;/D&gt;&lt;D xsi:type="xsd:string"&gt;19/10/2017&lt;/D&gt;&lt;D xsi:type="xsd:string"&gt;18/10/2017&lt;/D&gt;&lt;D xsi:type="xsd:string"&gt;17/10/2017&lt;/D&gt;&lt;D xsi:type="xsd:string"&gt;16/10/2017&lt;/D&gt;&lt;D xsi:type="xsd:string"&gt;13/10/2017&lt;/D&gt;&lt;D xsi:type="xsd:string"&gt;12/10/2017&lt;/D&gt;&lt;D xsi:type="xsd:string"&gt;11/10/2017&lt;/D&gt;&lt;D xsi:type="xsd:string"&gt;10/10/2017&lt;/D&gt;&lt;D xsi:type="xsd:string"&gt;09/10/2017&lt;/D&gt;&lt;D xsi:type="xsd:string"&gt;06/10/2017&lt;/D&gt;&lt;D xsi:type="xsd:string"&gt;05/10/2017&lt;/D&gt;&lt;D xsi:type="xsd:string"&gt;04/10/2017&lt;/D&gt;&lt;D xsi:type="xsd:string"&gt;03/10/2017&lt;/D&gt;&lt;D xsi:type="xsd:string"&gt;02/10/2017&lt;/D&gt;&lt;D xsi:type="xsd:string"&gt;29/09/2017&lt;/D&gt;&lt;D xsi:type="xsd:string"&gt;28/09/2017&lt;/D&gt;&lt;D xsi:type="xsd:string"&gt;27/09/2017&lt;/D&gt;&lt;D xsi:type="xsd:string"&gt;26/09/2017&lt;/D&gt;&lt;D xsi:type="xsd:string"&gt;25/09/2017&lt;/D&gt;&lt;D xsi:type="xsd:string"&gt;22/09/2017&lt;/D&gt;&lt;D xsi:type="xsd:string"&gt;21/09/2017&lt;/D&gt;&lt;D xsi:type="xsd:string"&gt;20/09/2017&lt;/D&gt;&lt;D xsi:type="xsd:string"&gt;19/09/2017&lt;/D&gt;&lt;D xsi:type="xsd:string"&gt;18/09/2017&lt;/D&gt;&lt;D xsi:type="xsd:string"&gt;15/09/2017&lt;/D&gt;&lt;D xsi:type="xsd:string"&gt;14/09/2017&lt;/D&gt;&lt;D xsi:type="xsd:string"&gt;13/09/2017&lt;/D&gt;&lt;D xsi:type="xsd:string"&gt;12/09/2017&lt;/D&gt;&lt;D xsi:type="xsd:string"&gt;11/09/2017&lt;/D&gt;&lt;D xsi:type="xsd:string"&gt;08/09/2017&lt;/D&gt;&lt;D xsi:type="xsd:string"&gt;07/09/2017&lt;/D&gt;&lt;D xsi:type="xsd:string"&gt;06/09/2017&lt;/D&gt;&lt;D xsi:type="xsd:string"&gt;05/09/2017&lt;/D&gt;&lt;D xsi:type="xsd:string"&gt;04/09/2017&lt;/D&gt;&lt;D xsi:type="xsd:string"&gt;01/09/2017&lt;/D&gt;&lt;D xsi:type="xsd:string"&gt;31/08/2017&lt;/D&gt;&lt;D xsi:type="xsd:string"&gt;30/08/2017&lt;/D&gt;&lt;D xsi:type="xsd:string"&gt;29/08/2017&lt;/D&gt;&lt;D xsi:type="xsd:string"&gt;28/08/2017&lt;/D&gt;&lt;D xsi:type="xsd:string"&gt;25/08/2017&lt;/D&gt;&lt;D xsi:type="xsd:string"&gt;24/08/2017&lt;/D&gt;&lt;D xsi:type="xsd:string"&gt;23/08/2017&lt;/D&gt;&lt;D xsi:type="xsd:string"&gt;22/08/2017&lt;/D&gt;&lt;D xsi:type="xsd:string"&gt;21/08/2017&lt;/D&gt;&lt;D xsi:type="xsd:string"&gt;18/08/2017&lt;/D&gt;&lt;D xsi:type="xsd:string"&gt;17/08/2017&lt;/D&gt;&lt;D xsi:type="xsd:string"&gt;16/08/2017&lt;/D&gt;&lt;D xsi:type="xsd:string"&gt;15/08/2017&lt;/D&gt;&lt;D xsi:type="xsd:string"&gt;14/08/2017&lt;/D&gt;&lt;D xsi:type="xsd:string"&gt;11/08/2017&lt;/D&gt;&lt;D xsi:type="xsd:string"&gt;10/08/2017&lt;/D&gt;&lt;D xsi:type="xsd:string"&gt;09/08/2017&lt;/D&gt;&lt;D xsi:type="xsd:string"&gt;08/08/2017&lt;/D&gt;&lt;D xsi:type="xsd:string"&gt;07/08/2017&lt;/D&gt;&lt;D xsi:type="xsd:string"&gt;04/08/2017&lt;/D&gt;&lt;D xsi:type="xsd:string"&gt;03/08/2017&lt;/D&gt;&lt;D xsi:type="xsd:string"&gt;02/08/2017&lt;/D&gt;&lt;D xsi:type="xsd:string"&gt;01/08/2017&lt;/D&gt;&lt;D xsi:type="xsd:string"&gt;31/07/2017&lt;/D&gt;&lt;D xsi:type="xsd:string"&gt;28/07/2017&lt;/D&gt;&lt;D xsi:type="xsd:string"&gt;27/07/2017&lt;/D&gt;&lt;D xsi:type="xsd:string"&gt;26/07/2017&lt;/D&gt;&lt;D xsi:type="xsd:string"&gt;25/07/2017&lt;/D&gt;&lt;D xsi:type="xsd:string"&gt;24/07/2017&lt;/D&gt;&lt;D xsi:type="xsd:string"&gt;21/07/2017&lt;/D&gt;&lt;D xsi:type="xsd:string"&gt;20/07/2017&lt;/D&gt;&lt;D xsi:type="xsd:string"&gt;19/07/2017&lt;/D&gt;&lt;D xsi:type="xsd:string"&gt;18/07/2017&lt;/D&gt;&lt;D xsi:type="xsd:string"&gt;17/07/2017&lt;/D&gt;&lt;D xsi:type="xsd:string"&gt;14/07/2017&lt;/D&gt;&lt;D xsi:type="xsd:string"&gt;13/07/2017&lt;/D&gt;&lt;D xsi:type="xsd:string"&gt;12/07/2017&lt;/D&gt;&lt;D xsi:type="xsd:string"&gt;11/07/2017&lt;/D&gt;&lt;D xsi:type="xsd:string"&gt;10/07/2017&lt;/D&gt;&lt;D xsi:type="xsd:string"&gt;07/07/2017&lt;/D&gt;&lt;D xsi:type="xsd:string"&gt;06/07/2017&lt;/D&gt;&lt;D xsi:type="xsd:string"&gt;05/07/2017&lt;/D&gt;&lt;D xsi:type="xsd:string"&gt;04/07/2017&lt;/D&gt;&lt;D xsi:type="xsd:string"&gt;03/07/2017&lt;/D&gt;&lt;D xsi:type="xsd:string"&gt;30/06/2017&lt;/D&gt;&lt;D xsi:type="xsd:string"&gt;29/06/2017&lt;/D&gt;&lt;D xsi:type="xsd:string"&gt;28/06/2017&lt;/D&gt;&lt;D xsi:type="xsd:string"&gt;27/06/2017&lt;/D&gt;&lt;D xsi:type="xsd:string"&gt;26/06/2017&lt;/D&gt;&lt;D xsi:type="xsd:string"&gt;23/06/2017&lt;/D&gt;&lt;D xsi:type="xsd:string"&gt;22/06/2017&lt;/D&gt;&lt;D xsi:type="xsd:string"&gt;21/06/2017&lt;/D&gt;&lt;D xsi:type="xsd:string"&gt;20/06/2017&lt;/D&gt;&lt;D xsi:type="xsd:string"&gt;19/06/2017&lt;/D&gt;&lt;D xsi:type="xsd:string"&gt;16/06/2017&lt;/D&gt;&lt;D xsi:type="xsd:string"&gt;15/06/2017&lt;/D&gt;&lt;D xsi:type="xsd:string"&gt;14/06/2017&lt;/D&gt;&lt;D xsi:type="xsd:string"&gt;13/06/2017&lt;/D&gt;&lt;D xsi:type="xsd:string"&gt;12/06/2017&lt;/D&gt;&lt;D xsi:type="xsd:string"&gt;09/06/2017&lt;/D&gt;&lt;D xsi:type="xsd:string"&gt;08/06/2017&lt;/D&gt;&lt;D xsi:type="xsd:string"&gt;07/06/2017&lt;/D&gt;&lt;D xsi:type="xsd:string"&gt;06/06/2017&lt;/D&gt;&lt;D xsi:type="xsd:string"&gt;05/06/2017&lt;/D&gt;&lt;D xsi:type="xsd:string"&gt;02/06/2017&lt;/D&gt;&lt;D xsi:type="xsd:string"&gt;01/06/2017&lt;/D&gt;&lt;D xsi:type="xsd:string"&gt;31/05/2017&lt;/D&gt;&lt;D xsi:type="xsd:string"&gt;30/05/2017&lt;/D&gt;&lt;D xsi:type="xsd:string"&gt;29/05/2017&lt;/D&gt;&lt;D xsi:type="xsd:string"&gt;26/05/2017&lt;/D&gt;&lt;D xsi:type="xsd:string"&gt;25/05/2017&lt;/D&gt;&lt;D xsi:type="xsd:string"&gt;24/05/2017&lt;/D&gt;&lt;D xsi:type="xsd:string"&gt;23/05/2017&lt;/D&gt;&lt;D xsi:type="xsd:string"&gt;22/05/2017&lt;/D&gt;&lt;D xsi:type="xsd:string"&gt;19/05/2017&lt;/D&gt;&lt;D xsi:type="xsd:string"&gt;18/05/2017&lt;/D&gt;&lt;D xsi:type="xsd:string"&gt;17/05/2017&lt;/D&gt;&lt;D xsi:type="xsd:string"&gt;16/05/2017&lt;/D&gt;&lt;D xsi:type="xsd:string"&gt;15/05/2017&lt;/D&gt;&lt;D xsi:type="xsd:string"&gt;12/05/2017&lt;/D&gt;&lt;D xsi:type="xsd:string"&gt;11/05/2017&lt;/D&gt;&lt;D xsi:type="xsd:string"&gt;10/05/2017&lt;/D&gt;&lt;D xsi:type="xsd:string"&gt;09/05/2017&lt;/D&gt;&lt;D xsi:type="xsd:string"&gt;08/05/2017&lt;/D&gt;&lt;D xsi:type="xsd:string"&gt;05/05/2017&lt;/D&gt;&lt;D xsi:type="xsd:string"&gt;04/05/2017&lt;/D&gt;&lt;D xsi:type="xsd:string"&gt;03/05/2017&lt;/D&gt;&lt;D xsi:type="xsd:string"&gt;02/05/2017&lt;/D&gt;&lt;D xsi:type="xsd:string"&gt;01/05/2017&lt;/D&gt;&lt;D xsi:type="xsd:string"&gt;28/04/2017&lt;/D&gt;&lt;D xsi:type="xsd:string"&gt;27/04/2017&lt;/D&gt;&lt;D xsi:type="xsd:string"&gt;26/04/2017&lt;/D&gt;&lt;D xsi:type="xsd:string"&gt;25/04/2017&lt;/D&gt;&lt;D xsi:type="xsd:string"&gt;24/04/2017&lt;/D&gt;&lt;D xsi:type="xsd:string"&gt;21/04/2017&lt;/D&gt;&lt;D xsi:type="xsd:string"&gt;20/04/2017&lt;/D&gt;&lt;D xsi:type="xsd:string"&gt;19/04/2017&lt;/D&gt;&lt;D xsi:type="xsd:string"&gt;18/04/2017&lt;/D&gt;&lt;D xsi:type="xsd:string"&gt;17/04/2017&lt;/D&gt;&lt;D xsi:type="xsd:string"&gt;14/04/2017&lt;/D&gt;&lt;D xsi:type="xsd:string"&gt;13/04/2017&lt;/D&gt;&lt;D xsi:type="xsd:string"&gt;12/04/2017&lt;/D&gt;&lt;D xsi:type="xsd:string"&gt;11/04/2017&lt;/D&gt;&lt;D xsi:type="xsd:string"&gt;10/04/2017&lt;/D&gt;&lt;D xsi:type="xsd:string"&gt;07/04/2017&lt;/D&gt;&lt;D xsi:type="xsd:string"&gt;06/04/2017&lt;/D&gt;&lt;D xsi:type="xsd:string"&gt;05/04/2017&lt;/D&gt;&lt;D xsi:type="xsd:string"&gt;04/04/2017&lt;/D&gt;&lt;D xsi:type="xsd:string"&gt;03/04/2017&lt;/D&gt;&lt;D xsi:type="xsd:string"&gt;31/03/2017&lt;/D&gt;&lt;D xsi:type="xsd:string"&gt;30/03/2017&lt;/D&gt;&lt;D xsi:type="xsd:string"&gt;29/03/2017&lt;/D&gt;&lt;D xsi:type="xsd:string"&gt;28/03/2017&lt;/D&gt;&lt;D xsi:type="xsd:string"&gt;27/03/2017&lt;/D&gt;&lt;D xsi:type="xsd:string"&gt;24/03/2017&lt;/D&gt;&lt;D xsi:type="xsd:string"&gt;23/03/2017&lt;/D&gt;&lt;D xsi:type="xsd:string"&gt;22/03/2017&lt;/D&gt;&lt;D xsi:type="xsd:string"&gt;21/03/2017&lt;/D&gt;&lt;D xsi:type="xsd:string"&gt;20/03/2017&lt;/D&gt;&lt;D xsi:type="xsd:string"&gt;17/03/2017&lt;/D&gt;&lt;D xsi:type="xsd:string"&gt;16/03/2017&lt;/D&gt;&lt;D xsi:type="xsd:string"&gt;15/03/2017&lt;/D&gt;&lt;D xsi:type="xsd:string"&gt;14/03/2017&lt;/D&gt;&lt;D xsi:type="xsd:string"&gt;13/03/2017&lt;/D&gt;&lt;D xsi:type="xsd:string"&gt;10/03/2017&lt;/D&gt;&lt;D xsi:type="xsd:string"&gt;09/03/2017&lt;/D&gt;&lt;D xsi:type="xsd:string"&gt;08/03/2017&lt;/D&gt;&lt;D xsi:type="xsd:string"&gt;07/03/2017&lt;/D&gt;&lt;D xsi:type="xsd:string"&gt;06/03/2017&lt;/D&gt;&lt;D xsi:type="xsd:string"&gt;03/03/2017&lt;/D&gt;&lt;D xsi:type="xsd:string"&gt;02/03/2017&lt;/D&gt;&lt;D xsi:type="xsd:string"&gt;01/03/2017&lt;/D&gt;&lt;D xsi:type="xsd:string"&gt;28/02/2017&lt;/D&gt;&lt;D xsi:type="xsd:string"&gt;27/02/2017&lt;/D&gt;&lt;D xsi:type="xsd:string"&gt;24/02/2017&lt;/D&gt;&lt;D xsi:type="xsd:string"&gt;23/02/2017&lt;/D&gt;&lt;D xsi:type="xsd:st</t>
        </r>
      </text>
    </comment>
    <comment ref="A16" authorId="0" shapeId="0" xr:uid="{ACC8CA41-8E59-4762-B343-19F8480A9F73}">
      <text>
        <r>
          <rPr>
            <b/>
            <sz val="9"/>
            <color indexed="81"/>
            <rFont val="Tahoma"/>
            <charset val="1"/>
          </rPr>
          <t>ring"&gt;22/02/2017&lt;/D&gt;&lt;D xsi:type="xsd:string"&gt;21/02/2017&lt;/D&gt;&lt;D xsi:type="xsd:string"&gt;20/02/2017&lt;/D&gt;&lt;D xsi:type="xsd:string"&gt;17/02/2017&lt;/D&gt;&lt;D xsi:type="xsd:string"&gt;16/02/2017&lt;/D&gt;&lt;D xsi:type="xsd:string"&gt;15/02/2017&lt;/D&gt;&lt;D xsi:type="xsd:string"&gt;14/02/2017&lt;/D&gt;&lt;D xsi:type="xsd:string"&gt;13/02/2017&lt;/D&gt;&lt;D xsi:type="xsd:string"&gt;10/02/2017&lt;/D&gt;&lt;D xsi:type="xsd:string"&gt;09/02/2017&lt;/D&gt;&lt;D xsi:type="xsd:string"&gt;08/02/2017&lt;/D&gt;&lt;D xsi:type="xsd:string"&gt;07/02/2017&lt;/D&gt;&lt;D xsi:type="xsd:string"&gt;06/02/2017&lt;/D&gt;&lt;D xsi:type="xsd:string"&gt;03/02/2017&lt;/D&gt;&lt;D xsi:type="xsd:string"&gt;02/02/2017&lt;/D&gt;&lt;D xsi:type="xsd:string"&gt;01/02/2017&lt;/D&gt;&lt;D xsi:type="xsd:string"&gt;31/01/2017&lt;/D&gt;&lt;D xsi:type="xsd:string"&gt;30/01/2017&lt;/D&gt;&lt;D xsi:type="xsd:string"&gt;27/01/2017&lt;/D&gt;&lt;D xsi:type="xsd:string"&gt;26/01/2017&lt;/D&gt;&lt;D xsi:type="xsd:string"&gt;25/01/2017&lt;/D&gt;&lt;D xsi:type="xsd:string"&gt;24/01/2017&lt;/D&gt;&lt;D xsi:type="xsd:string"&gt;23/01/2017&lt;/D&gt;&lt;D xsi:type="xsd:string"&gt;20/01/2017&lt;/D&gt;&lt;D xsi:type="xsd:string"&gt;19/01/2017&lt;/D&gt;&lt;D xsi:type="xsd:string"&gt;18/01/2017&lt;/D&gt;&lt;D xsi:type="xsd:string"&gt;17/01/2017&lt;/D&gt;&lt;D xsi:type="xsd:string"&gt;16/01/2017&lt;/D&gt;&lt;D xsi:type="xsd:string"&gt;13/01/2017&lt;/D&gt;&lt;D xsi:type="xsd:string"&gt;12/01/2017&lt;/D&gt;&lt;D xsi:type="xsd:string"&gt;11/01/2017&lt;/D&gt;&lt;D xsi:type="xsd:string"&gt;10/01/2017&lt;/D&gt;&lt;D xsi:type="xsd:string"&gt;09/01/2017&lt;/D&gt;&lt;D xsi:type="xsd:string"&gt;06/01/2017&lt;/D&gt;&lt;D xsi:type="xsd:string"&gt;05/01/2017&lt;/D&gt;&lt;D xsi:type="xsd:string"&gt;04/01/2017&lt;/D&gt;&lt;D xsi:type="xsd:string"&gt;03/01/2017&lt;/D&gt;&lt;D xsi:type="xsd:string"&gt;02/01/2017&lt;/D&gt;&lt;D xsi:type="xsd:string"&gt;30/12/2016&lt;/D&gt;&lt;D xsi:type="xsd:string"&gt;29/12/2016&lt;/D&gt;&lt;D xsi:type="xsd:string"&gt;28/12/2016&lt;/D&gt;&lt;D xsi:type="xsd:string"&gt;27/12/2016&lt;/D&gt;&lt;D xsi:type="xsd:string"&gt;26/12/2016&lt;/D&gt;&lt;D xsi:type="xsd:string"&gt;23/12/2016&lt;/D&gt;&lt;D xsi:type="xsd:string"&gt;22/12/2016&lt;/D&gt;&lt;D xsi:type="xsd:string"&gt;21/12/2016&lt;/D&gt;&lt;D xsi:type="xsd:string"&gt;20/12/2016&lt;/D&gt;&lt;D xsi:type="xsd:string"&gt;19/12/2016&lt;/D&gt;&lt;D xsi:type="xsd:string"&gt;16/12/2016&lt;/D&gt;&lt;D xsi:type="xsd:string"&gt;15/12/2016&lt;/D&gt;&lt;D xsi:type="xsd:string"&gt;14/12/2016&lt;/D&gt;&lt;D xsi:type="xsd:string"&gt;13/12/2016&lt;/D&gt;&lt;D xsi:type="xsd:string"&gt;12/12/2016&lt;/D&gt;&lt;D xsi:type="xsd:string"&gt;09/12/2016&lt;/D&gt;&lt;D xsi:type="xsd:string"&gt;08/12/2016&lt;/D&gt;&lt;D xsi:type="xsd:string"&gt;07/12/2016&lt;/D&gt;&lt;D xsi:type="xsd:string"&gt;06/12/2016&lt;/D&gt;&lt;D xsi:type="xsd:string"&gt;05/12/2016&lt;/D&gt;&lt;D xsi:type="xsd:string"&gt;02/12/2016&lt;/D&gt;&lt;D xsi:type="xsd:string"&gt;01/12/2016&lt;/D&gt;&lt;D xsi:type="xsd:string"&gt;30/11/2016&lt;/D&gt;&lt;D xsi:type="xsd:string"&gt;29/11/2016&lt;/D&gt;&lt;D xsi:type="xsd:string"&gt;28/11/2016&lt;/D&gt;&lt;D xsi:type="xsd:string"&gt;25/11/2016&lt;/D&gt;&lt;D xsi:type="xsd:string"&gt;24/11/2016&lt;/D&gt;&lt;D xsi:type="xsd:string"&gt;23/11/2016&lt;/D&gt;&lt;D xsi:type="xsd:string"&gt;22/11/2016&lt;/D&gt;&lt;D xsi:type="xsd:string"&gt;21/11/2016&lt;/D&gt;&lt;D xsi:type="xsd:string"&gt;18/11/2016&lt;/D&gt;&lt;D xsi:type="xsd:string"&gt;17/11/2016&lt;/D&gt;&lt;D xsi:type="xsd:string"&gt;16/11/2016&lt;/D&gt;&lt;D xsi:type="xsd:string"&gt;15/11/2016&lt;/D&gt;&lt;D xsi:type="xsd:string"&gt;14/11/2016&lt;/D&gt;&lt;D xsi:type="xsd:string"&gt;11/11/2016&lt;/D&gt;&lt;D xsi:type="xsd:string"&gt;10/11/2016&lt;/D&gt;&lt;D xsi:type="xsd:string"&gt;09/11/2016&lt;/D&gt;&lt;D xsi:type="xsd:string"&gt;08/11/2016&lt;/D&gt;&lt;D xsi:type="xsd:string"&gt;07/11/2016&lt;/D&gt;&lt;D xsi:type="xsd:string"&gt;04/11/2016&lt;/D&gt;&lt;D xsi:type="xsd:string"&gt;03/11/2016&lt;/D&gt;&lt;D xsi:type="xsd:string"&gt;02/11/2016&lt;/D&gt;&lt;D xsi:type="xsd:string"&gt;01/11/2016&lt;/D&gt;&lt;D xsi:type="xsd:string"&gt;31/10/2016&lt;/D&gt;&lt;D xsi:type="xsd:string"&gt;28/10/2016&lt;/D&gt;&lt;D xsi:type="xsd:string"&gt;27/10/2016&lt;/D&gt;&lt;D xsi:type="xsd:string"&gt;26/10/2016&lt;/D&gt;&lt;D xsi:type="xsd:string"&gt;25/10/2016&lt;/D&gt;&lt;D xsi:type="xsd:string"&gt;24/10/2016&lt;/D&gt;&lt;D xsi:type="xsd:string"&gt;21/10/2016&lt;/D&gt;&lt;D xsi:type="xsd:string"&gt;20/10/2016&lt;/D&gt;&lt;D xsi:type="xsd:string"&gt;19/10/2016&lt;/D&gt;&lt;D xsi:type="xsd:string"&gt;18/10/2016&lt;/D&gt;&lt;D xsi:type="xsd:string"&gt;17/10/2016&lt;/D&gt;&lt;D xsi:type="xsd:string"&gt;14/10/2016&lt;/D&gt;&lt;D xsi:type="xsd:string"&gt;13/10/2016&lt;/D&gt;&lt;D xsi:type="xsd:string"&gt;12/10/2016&lt;/D&gt;&lt;D xsi:type="xsd:string"&gt;11/10/2016&lt;/D&gt;&lt;D xsi:type="xsd:string"&gt;10/10/2016&lt;/D&gt;&lt;D xsi:type="xsd:string"&gt;07/10/2016&lt;/D&gt;&lt;D xsi:type="xsd:string"&gt;06/10/2016&lt;/D&gt;&lt;D xsi:type="xsd:string"&gt;05/10/2016&lt;/D&gt;&lt;D xsi:type="xsd:string"&gt;04/10/2016&lt;/D&gt;&lt;D xsi:type="xsd:string"&gt;03/10/2016&lt;/D&gt;&lt;D xsi:type="xsd:string"&gt;30/09/2016&lt;/D&gt;&lt;D xsi:type="xsd:string"&gt;29/09/2016&lt;/D&gt;&lt;D xsi:type="xsd:string"&gt;28/09/2016&lt;/D&gt;&lt;D xsi:type="xsd:string"&gt;27/09/2016&lt;/D&gt;&lt;D xsi:type="xsd:string"&gt;26/09/2016&lt;/D&gt;&lt;D xsi:type="xsd:string"&gt;23/09/2016&lt;/D&gt;&lt;D xsi:type="xsd:string"&gt;22/09/2016&lt;/D&gt;&lt;D xsi:type="xsd:string"&gt;21/09/2016&lt;/D&gt;&lt;D xsi:type="xsd:string"&gt;20/09/2016&lt;/D&gt;&lt;D xsi:type="xsd:string"&gt;19/09/2016&lt;/D&gt;&lt;D xsi:type="xsd:string"&gt;16/09/2016&lt;/D&gt;&lt;D xsi:type="xsd:string"&gt;15/09/2016&lt;/D&gt;&lt;D xsi:type="xsd:string"&gt;14/09/2016&lt;/D&gt;&lt;D xsi:type="xsd:string"&gt;13/09/2016&lt;/D&gt;&lt;D xsi:type="xsd:string"&gt;12/09/2016&lt;/D&gt;&lt;D xsi:type="xsd:string"&gt;09/09/2016&lt;/D&gt;&lt;D xsi:type="xsd:string"&gt;08/09/2016&lt;/D&gt;&lt;D xsi:type="xsd:string"&gt;07/09/2016&lt;/D&gt;&lt;D xsi:type="xsd:string"&gt;06/09/2016&lt;/D&gt;&lt;D xsi:type="xsd:string"&gt;05/09/2016&lt;/D&gt;&lt;D xsi:type="xsd:string"&gt;02/09/2016&lt;/D&gt;&lt;D xsi:type="xsd:string"&gt;01/09/2016&lt;/D&gt;&lt;D xsi:type="xsd:string"&gt;31/08/2016&lt;/D&gt;&lt;D xsi:type="xsd:string"&gt;30/08/2016&lt;/D&gt;&lt;D xsi:type="xsd:string"&gt;29/08/2016&lt;/D&gt;&lt;D xsi:type="xsd:string"&gt;26/08/2016&lt;/D&gt;&lt;D xsi:type="xsd:string"&gt;25/08/2016&lt;/D&gt;&lt;D xsi:type="xsd:string"&gt;24/08/2016&lt;/D&gt;&lt;D xsi:type="xsd:string"&gt;23/08/2016&lt;/D&gt;&lt;D xsi:type="xsd:string"&gt;22/08/2016&lt;/D&gt;&lt;D xsi:type="xsd:string"&gt;19/08/2016&lt;/D&gt;&lt;D xsi:type="xsd:string"&gt;18/08/2016&lt;/D&gt;&lt;D xsi:type="xsd:string"&gt;17/08/2016&lt;/D&gt;&lt;D xsi:type="xsd:string"&gt;16/08/2016&lt;/D&gt;&lt;D xsi:type="xsd:string"&gt;15/08/2016&lt;/D&gt;&lt;D xsi:type="xsd:string"&gt;12/08/2016&lt;/D&gt;&lt;D xsi:type="xsd:string"&gt;11/08/2016&lt;/D&gt;&lt;D xsi:type="xsd:string"&gt;10/08/2016&lt;/D&gt;&lt;D xsi:type="xsd:string"&gt;09/08/2016&lt;/D&gt;&lt;D xsi:type="xsd:string"&gt;08/08/2016&lt;/D&gt;&lt;D xsi:type="xsd:string"&gt;05/08/2016&lt;/D&gt;&lt;D xsi:type="xsd:string"&gt;04/08/2016&lt;/D&gt;&lt;D xsi:type="xsd:string"&gt;03/08/2016&lt;/D&gt;&lt;D xsi:type="xsd:string"&gt;02/08/2016&lt;/D&gt;&lt;D xsi:type="xsd:string"&gt;01/08/2016&lt;/D&gt;&lt;D xsi:type="xsd:string"&gt;29/07/2016&lt;/D&gt;&lt;D xsi:type="xsd:string"&gt;28/07/2016&lt;/D&gt;&lt;D xsi:type="xsd:string"&gt;27/07/2016&lt;/D&gt;&lt;D xsi:type="xsd:string"&gt;26/07/2016&lt;/D&gt;&lt;D xsi:type="xsd:string"&gt;25/07/2016&lt;/D&gt;&lt;D xsi:type="xsd:string"&gt;22/07/2016&lt;/D&gt;&lt;D xsi:type="xsd:string"&gt;21/07/2016&lt;/D&gt;&lt;D xsi:type="xsd:string"&gt;20/07/2016&lt;/D&gt;&lt;D xsi:type="xsd:string"&gt;19/07/2016&lt;/D&gt;&lt;D xsi:type="xsd:string"&gt;18/07/2016&lt;/D&gt;&lt;D xsi:type="xsd:string"&gt;15/07/2016&lt;/D&gt;&lt;D xsi:type="xsd:string"&gt;14/07/2016&lt;/D&gt;&lt;D xsi:type="xsd:string"&gt;13/07/2016&lt;/D&gt;&lt;D xsi:type="xsd:string"&gt;12/07/2016&lt;/D&gt;&lt;D xsi:type="xsd:string"&gt;11/07/2016&lt;/D&gt;&lt;D xsi:type="xsd:string"&gt;08/07/2016&lt;/D&gt;&lt;D xsi:type="xsd:string"&gt;07/07/2016&lt;/D&gt;&lt;D xsi:type="xsd:string"&gt;06/07/2016&lt;/D&gt;&lt;D xsi:type="xsd:string"&gt;05/07/2016&lt;/D&gt;&lt;D xsi:type="xsd:string"&gt;04/07/2016&lt;/D&gt;&lt;D xsi:type="xsd:string"&gt;01/07/2016&lt;/D&gt;&lt;D xsi:type="xsd:string"&gt;30/06/2016&lt;/D&gt;&lt;D xsi:type="xsd:string"&gt;29/06/2016&lt;/D&gt;&lt;D xsi:type="xsd:string"&gt;28/06/2016&lt;/D&gt;&lt;D xsi:type="xsd:string"&gt;27/06/2016&lt;/D&gt;&lt;D xsi:type="xsd:string"&gt;24/06/2016&lt;/D&gt;&lt;D xsi:type="xsd:string"&gt;23/06/2016&lt;/D&gt;&lt;D xsi:type="xsd:string"&gt;22/06/2016&lt;/D&gt;&lt;D xsi:type="xsd:string"&gt;21/06/2016&lt;/D&gt;&lt;D xsi:type="xsd:string"&gt;20/06/2016&lt;/D&gt;&lt;D xsi:type="xsd:string"&gt;17/06/2016&lt;/D&gt;&lt;D xsi:type="xsd:string"&gt;16/06/2016&lt;/D&gt;&lt;D xsi:type="xsd:string"&gt;15/06/2016&lt;/D&gt;&lt;D xsi:type="xsd:string"&gt;14/06/2016&lt;/D&gt;&lt;D xsi:type="xsd:string"&gt;13/06/2016&lt;/D&gt;&lt;D xsi:type="xsd:string"&gt;10/06/2016&lt;/D&gt;&lt;D xsi:type="xsd:string"&gt;09/06/2016&lt;/D&gt;&lt;D xsi:type="xsd:string"&gt;08/06/2016&lt;/D&gt;&lt;D xsi:type="xsd:string"&gt;07/06/2016&lt;/D&gt;&lt;D xsi:type="xsd:string"&gt;06/06/2016&lt;/D&gt;&lt;D xsi:type="xsd:string"&gt;03/06/2016&lt;/D&gt;&lt;D xsi:type="xsd:string"&gt;02/06/2016&lt;/D&gt;&lt;D xsi:type="xsd:string"&gt;01/06/2016&lt;/D&gt;&lt;D xsi:type="xsd:string"&gt;31/05/2016&lt;/D&gt;&lt;D xsi:type="xsd:string"&gt;30/05/2016&lt;/D&gt;&lt;D xsi:type="xsd:string"&gt;27/05/2016&lt;/D&gt;&lt;D xsi:type="xsd:string"&gt;26/05/2016&lt;/D&gt;&lt;D xsi:type="xsd:string"&gt;25/05/2016&lt;/D&gt;&lt;D xsi:type="xsd:string"&gt;24/05/2016&lt;/D&gt;&lt;D xsi:type="xsd:string"&gt;23/05/2016&lt;/D&gt;&lt;D xsi:type="xsd:string"&gt;20/05/2016&lt;/D&gt;&lt;D xsi:type="xsd:string"&gt;19/05/2016&lt;/D&gt;&lt;D xsi:type="xsd:string"&gt;18/05/2016&lt;/D&gt;&lt;D xsi:type="xsd:string"&gt;17/05/2016&lt;/D&gt;&lt;D xsi:type="xsd:string"&gt;16/05/2016&lt;/D&gt;&lt;D xsi:type="xsd:string"&gt;13/05/2016&lt;/D&gt;&lt;D xsi:type="xsd:string"&gt;12/05/2016&lt;/D&gt;&lt;D xsi:type="xsd:string"&gt;11/05/2016&lt;/D&gt;&lt;D xsi:type="xsd:string"&gt;10/05/2016&lt;/D&gt;&lt;D xsi:type="xsd:string"&gt;09/05/2016&lt;/D&gt;&lt;D xsi:type="xsd:string"&gt;06/05/2016&lt;/D&gt;&lt;D xsi:type="xsd:string"&gt;05/05/2016&lt;/D&gt;&lt;D xsi:type="xsd:string"&gt;04/05/2016&lt;/D&gt;&lt;D xsi:type="xsd:string"&gt;03/05/2016&lt;/D&gt;&lt;D xsi:type="xsd:string"&gt;02/05/2016&lt;/D&gt;&lt;D xsi:type="xsd:string"&gt;29/04/2016&lt;/D&gt;&lt;D xsi:type="xsd:string"&gt;28/04/2016&lt;/D&gt;&lt;D xsi:type="xsd:string"&gt;27/04/2016&lt;/D&gt;&lt;D xsi:type="xsd:string"&gt;26/04/2016&lt;/D&gt;&lt;D xsi:type="xsd:string"&gt;25/04/2016&lt;/D&gt;&lt;D xsi:type="xsd:string"&gt;22/04/2016&lt;/D&gt;&lt;D xsi:type="xsd:string"&gt;21/04/2016&lt;/D&gt;&lt;D xsi:type="xsd:string"&gt;20/04/2016&lt;/D&gt;&lt;D xsi:type="xsd:string"&gt;19/04/2016&lt;/D&gt;&lt;D xsi:type="xsd:string"&gt;18/04/2016&lt;/D&gt;&lt;D xsi:type="xsd:string"&gt;15/04/2016&lt;/D&gt;&lt;D xsi:type="xsd:string"&gt;14/04/2016&lt;/D&gt;&lt;D xsi:type="xsd:string"&gt;13/04/2016&lt;/D&gt;&lt;D xsi:type="xsd:string"&gt;12/04/2016&lt;/D&gt;&lt;D xsi:type="xsd:string"&gt;11/04/2016&lt;/D&gt;&lt;D xsi:type="xsd:string"&gt;08/04/2016&lt;/D&gt;&lt;D xsi:type="xsd:string"&gt;07/04/2016&lt;/D&gt;&lt;D xsi:type="xsd:string"&gt;06/04/2016&lt;/D&gt;&lt;D xsi:type="xsd:string"&gt;05/04/2016&lt;/D&gt;&lt;D xsi:type="xsd:string"&gt;04/04/2016&lt;/D&gt;&lt;D xsi:type="xsd:string"&gt;01/04/2016&lt;/D&gt;&lt;D xsi:type="xsd:string"&gt;31/03/2016&lt;/D&gt;&lt;D xsi:type="xsd:string"&gt;30/03/2016&lt;/D&gt;&lt;D xsi:type="xsd:string"&gt;29/03/2016&lt;/D&gt;&lt;D xsi:type="xsd:string"&gt;28/03/2016&lt;/D&gt;&lt;D xsi:type="xsd:string"&gt;25/03/2016&lt;/D&gt;&lt;D xsi:type="xsd:string"&gt;24/03/2016&lt;/D&gt;&lt;D xsi:type="xsd:string"&gt;23/03/2016&lt;/D&gt;&lt;D xsi:type="xsd:string"&gt;22/03/2016&lt;/D&gt;&lt;D xsi:type="xsd:string"&gt;21/03/2016&lt;/D&gt;&lt;D xsi:type="xsd:string"&gt;18/03/2016&lt;/D&gt;&lt;D xsi:type="xsd:string"&gt;17/03/2016&lt;/D&gt;&lt;D xsi:type="xsd:string"&gt;16/03/2016&lt;/D&gt;&lt;D xsi:type="xsd:string"&gt;15/03/2016&lt;/D&gt;&lt;D xsi:type="xsd:string"&gt;14/03/2016&lt;/D&gt;&lt;D xsi:type="xsd:string"&gt;11/03/2016&lt;/D&gt;&lt;D xsi:type="xsd:string"&gt;10/03/2016&lt;/D&gt;&lt;D xsi:type="xsd:string"&gt;09/03/2016&lt;/D&gt;&lt;D xsi:type="xsd:string"&gt;08/03/2016&lt;/D&gt;&lt;D xsi:type="xsd:string"&gt;07/03/2016&lt;/D&gt;&lt;D xsi:type="xsd:string"&gt;04/03/2016&lt;/D&gt;&lt;D xsi:type="xsd:string"&gt;03/03/2016&lt;/D&gt;&lt;D xsi:type="xsd:string"&gt;02/03/2016&lt;/D&gt;&lt;D xsi:type="xsd:string"&gt;01/03/2016&lt;/D&gt;&lt;D xsi:type="xsd:string"&gt;29/02/2016&lt;/D&gt;&lt;D xsi:type="xsd:string"&gt;26/02/2016&lt;/D&gt;&lt;D xsi:type="xsd:string"&gt;25/02/2016&lt;/D&gt;&lt;D xsi:type="xsd:string"&gt;24/02/2016&lt;/D&gt;&lt;D xsi:type="xsd:string"&gt;23/02/2016&lt;/D&gt;&lt;D xsi:type="xsd:string"&gt;22/02/2016&lt;/D&gt;&lt;D xsi:type="xsd:string"&gt;19/02/2016&lt;/D&gt;&lt;D xsi:type="xsd:string"&gt;18/02/2016&lt;/D&gt;&lt;D xsi:type="xsd:string"&gt;17/02/2016&lt;/D&gt;&lt;D xsi:type="xsd:string"&gt;16/02/2016&lt;/D&gt;&lt;D xsi:type="xsd:string"&gt;15/02/2016&lt;/D&gt;&lt;D xsi:type="xsd:string"&gt;12/02/2016&lt;/D&gt;&lt;D xsi:type="xsd:string"&gt;11/02/2016&lt;/D&gt;&lt;D xsi:type="xsd:string"&gt;10/02/2016&lt;/D&gt;&lt;D xsi:type="xsd:string"&gt;09/02/2016&lt;/D&gt;&lt;D xsi:type="xsd:string"&gt;08/02/2016&lt;/D&gt;&lt;D xsi:type="xsd:string"&gt;05/02/2016&lt;/D&gt;&lt;D xsi:type="xsd:string"&gt;04/02/2016&lt;/D&gt;&lt;D xsi:type="xsd:string"&gt;03/02/2016&lt;/D&gt;&lt;D xsi:type="xsd:string"&gt;02/02/2016&lt;/D&gt;&lt;D xsi:type="xsd:string"&gt;01/02/2016&lt;/D&gt;&lt;D xsi:type="xsd:string"&gt;29/01/2016&lt;/D&gt;&lt;D xsi:type="xsd:string"&gt;28/01/2016&lt;/D&gt;&lt;D xsi:type="xsd:string"&gt;27/01/2016&lt;/D&gt;&lt;D xsi:type="xsd:string"&gt;26/01/2016&lt;/D&gt;&lt;D xsi:type="xsd:string"&gt;25/01/2016&lt;/D&gt;&lt;D xsi:type="xsd:string"&gt;22/01/2016&lt;/D&gt;&lt;D xsi:type="xsd:string"&gt;21/01/2016&lt;/D&gt;&lt;D xsi:type="xsd:string"&gt;20/01/2016&lt;/D&gt;&lt;D xsi:type="xsd:string"&gt;19/01/2016&lt;/D&gt;&lt;D xsi:type="xsd:string"&gt;18/01/2016&lt;/D&gt;&lt;D xsi:type="xsd:string"&gt;15/01/2016&lt;/D&gt;&lt;D xsi:type="xsd:string"&gt;14/01/2016&lt;/D&gt;&lt;D xsi:type="xsd:string"&gt;13/01/2016&lt;/D&gt;&lt;D xsi:type="xsd:string"&gt;12/01/2016&lt;/D&gt;&lt;D xsi:type="xsd:string"&gt;11/01/2016&lt;/D&gt;&lt;D xsi:type="xsd:string"&gt;08/01/2016&lt;/D&gt;&lt;D xsi:type="xsd:string"&gt;07/01/2016&lt;/D&gt;&lt;D xsi:type="xsd:string"&gt;06/01/2016&lt;/D&gt;&lt;D xsi:type="xsd:string"&gt;05/01/2016&lt;/D&gt;&lt;D xsi:type="xsd:string"&gt;04/01/2016&lt;/D&gt;&lt;D xsi:type="xsd:string"&gt;01/01/2016&lt;/D&gt;&lt;D xsi:type="xsd:string"&gt;31/12/2015&lt;/D&gt;&lt;D xsi:type="xsd:string"&gt;30/12/2015&lt;/D&gt;&lt;D xsi:type="xsd:string"&gt;29/12/2015&lt;/D&gt;&lt;D xsi:type="xsd:string"&gt;28/12/2015&lt;/D&gt;&lt;D xsi:type="xsd:string"&gt;25/12/2015&lt;/D&gt;&lt;D xsi:type="xsd:string"&gt;24/12/2015&lt;/D&gt;&lt;D xsi:type="xsd:string"&gt;23/12/2015&lt;/D&gt;&lt;D xsi:type="xsd:string"&gt;22/12/2015&lt;/D&gt;&lt;D xsi:type="xsd:string"&gt;21/12/2015&lt;/D&gt;&lt;D xsi:type="xsd:string"&gt;18/12/2015&lt;/D&gt;&lt;D xsi:type="xsd:string"&gt;17/12/2015&lt;/D&gt;&lt;D xsi:type="xsd:string"&gt;16/12/2015&lt;/D&gt;&lt;D xsi:type="xsd:string"&gt;15/12/2015&lt;/D&gt;&lt;D xsi:type="xsd:string"&gt;14/12/2015&lt;/D&gt;&lt;D xsi:type="xsd:string"&gt;11/12/2015&lt;/D&gt;&lt;D xsi:type="xsd:string"&gt;10/12/2015&lt;/D&gt;&lt;D xsi:type="xsd:string"&gt;09/12/2015&lt;/D&gt;&lt;D xsi:type="xsd:string"&gt;08/12/2015&lt;/D&gt;&lt;D xsi:type="xsd:string"&gt;07/12/2015&lt;/D&gt;&lt;D xsi:type="xsd:string"&gt;04/12/2015&lt;/D&gt;&lt;D xsi:type="xsd:string"&gt;03/12/2015&lt;/D&gt;&lt;D xsi:type="xsd:string"&gt;02/12/2015&lt;/D&gt;&lt;D xsi:type="xsd:string"&gt;01/12/2015&lt;/D&gt;&lt;D xsi:type="xsd:string"&gt;30/11/2015&lt;/D&gt;&lt;D xsi:type="xsd:string"&gt;27/11/2015&lt;/D&gt;&lt;D xsi:type="xsd:string"&gt;26/11/2015&lt;/D&gt;&lt;D xsi:type="xsd:string"&gt;25/11/2015&lt;/D&gt;&lt;D xsi:type="xsd:string"&gt;24/11/2015&lt;/D&gt;&lt;D xsi:type="xsd:string"&gt;23/11/2015&lt;/D&gt;&lt;D xsi:type="xsd:string"&gt;20/11/2015&lt;/D&gt;&lt;D xsi:type="xsd:string"&gt;19/11/2015&lt;/D&gt;&lt;D xsi:type="xsd:string"&gt;18/11/2015&lt;/D&gt;&lt;D xsi:type="xsd:string"&gt;17/11/2015&lt;/D&gt;&lt;D xsi:type="xsd:string"&gt;16/11/2015&lt;/D&gt;&lt;D xsi:type="xsd:string"&gt;13/11/2015&lt;/D&gt;&lt;D xsi:type="xsd:string"&gt;12/11/2015&lt;/D&gt;&lt;D xsi:type="xsd:string"&gt;11/11/2015&lt;/D&gt;&lt;D xsi:type="xsd:string"&gt;10/11/2015&lt;/D&gt;&lt;D xsi:type="xsd:string"&gt;09/11/2015&lt;/D&gt;&lt;D xsi:type="xsd:string"&gt;06/11/2015&lt;/D&gt;&lt;D xsi:type="xsd:string"&gt;05/11/2015&lt;/D&gt;&lt;D xsi:type="xsd:string"&gt;04/11/2015&lt;/D&gt;&lt;D xsi:type="xsd:string"&gt;03/11/2015&lt;/D&gt;&lt;D xsi:type="xsd:string"&gt;02/11/2015&lt;/D&gt;&lt;D xsi:type="xsd:string"&gt;30/10/2015&lt;/D&gt;&lt;D xsi:type="xsd:string"&gt;29/10/2015&lt;/D&gt;&lt;D xsi:type="xsd:string"&gt;28/10/2015&lt;/D&gt;&lt;D xsi:type="xsd:string"&gt;27/10/2015&lt;/D&gt;&lt;D xsi:type="xsd:string"&gt;26/10/2015&lt;/D&gt;&lt;D xsi:type="xsd:string"&gt;23/10/2015&lt;/D&gt;&lt;D xsi:type="xsd:string"&gt;22/10/2015&lt;/D&gt;&lt;D xsi:type="xsd:string"&gt;21/10/2015&lt;/D&gt;&lt;D xsi:type="xsd:string"&gt;20/10/2015&lt;/D&gt;&lt;D xsi:type="xsd:string"&gt;19/10/2015&lt;/D&gt;&lt;D xsi:type="xsd:string"&gt;16/10/2015&lt;/D&gt;&lt;D xsi:type="xsd:string"&gt;15/10/2015&lt;/D&gt;&lt;D xsi:type="xsd:string"&gt;14/10/2015&lt;/D&gt;&lt;D xsi:type="xsd:string"&gt;13/10/2015&lt;/D&gt;&lt;D xsi:type="xsd:string"&gt;12/10/2015&lt;/D&gt;&lt;D xsi:type="xsd:string"&gt;09/10/2015&lt;/D&gt;&lt;D xsi:type="xsd:string"&gt;08/10/2015&lt;/D&gt;&lt;D xsi:type="xsd:string"&gt;07/10/2015&lt;/D&gt;&lt;D xsi:type="xsd:string"&gt;06/10/2015&lt;/D&gt;&lt;D xsi:type="xsd:string"&gt;05/10/2015&lt;/D&gt;&lt;D xsi:type="xsd:string"&gt;02/10/2015&lt;/D&gt;&lt;D xsi:type="xsd:string"&gt;01/10/2015&lt;/D&gt;&lt;D xsi:type="xsd:string"&gt;30/09/2015&lt;/D&gt;&lt;D xsi:type="xsd:string"&gt;29/09/2015&lt;/D&gt;&lt;D xsi:type="xsd:string"&gt;28/09/2015&lt;/D&gt;&lt;D xsi:type="xsd:string"&gt;25/09/2015&lt;/D&gt;&lt;D xsi:type="xsd:string"&gt;24/09/2015&lt;/D&gt;&lt;D xsi:type="xsd:string"&gt;23/09/2015&lt;/D&gt;&lt;D xsi:type="xsd:string"&gt;22/09/2015&lt;/D&gt;&lt;D xsi:type="xsd:string"&gt;21/09/2015&lt;/D&gt;&lt;D xsi:type="xsd:string"&gt;18/09/2015&lt;/D&gt;&lt;D xsi:type="xsd:string"&gt;17/09/2015&lt;/D&gt;&lt;D xsi:type="xsd:string"&gt;16/09/2015&lt;/D&gt;&lt;D xsi:type="xsd:string"&gt;15/09/2015&lt;/D&gt;&lt;D xsi:type="xsd:string"&gt;14/09/2015&lt;/D&gt;&lt;D xsi:type="xsd:string"&gt;11/09/2015&lt;/D&gt;&lt;D xsi:type="xsd:string"&gt;10/09/2015&lt;/D&gt;&lt;D xsi:type="xsd:string"&gt;09/09/2015&lt;/D&gt;&lt;D xsi:type="xsd:string"&gt;08/09/2015&lt;/D&gt;&lt;D xsi:type="xsd:string"&gt;07/09/2015&lt;/D&gt;&lt;D xsi:type="xsd:string"&gt;04/09/2015&lt;/D&gt;&lt;D xsi:type="xsd:string"&gt;03/09/2015&lt;/D&gt;&lt;D xsi:type="xsd:string"&gt;02/09/2015&lt;/D&gt;&lt;D xsi:type="xsd:string"&gt;01/09/2015&lt;/D&gt;&lt;D xsi:type="xsd:string"&gt;31/08/2015&lt;/D&gt;&lt;D xsi:type="xsd:string"&gt;28/08/2015&lt;/D&gt;&lt;D xsi:type="xsd:string"&gt;27/08/2015&lt;/D&gt;&lt;D xsi:type="xsd:string"&gt;26/08/2015&lt;/D&gt;&lt;D xsi:type="xsd:string"&gt;25/08/2015&lt;/D&gt;&lt;D xsi:type="xsd:string"&gt;24/08/2015&lt;/D&gt;&lt;D xsi:type="xsd:string"&gt;21/08/2015&lt;/D&gt;&lt;D xsi:type="xsd:string"&gt;20/08/2015&lt;/D&gt;&lt;D xsi:type="xsd:string"&gt;19/08/2015&lt;/D&gt;&lt;D xsi:type="xsd:string"&gt;18/08/2015&lt;/D&gt;&lt;D xsi:type="xsd:string"&gt;17/08/2015&lt;/D&gt;&lt;D xsi:type="xsd:string"&gt;14/08/2015&lt;/D&gt;&lt;D xsi:type="xsd:string"&gt;13/08/2015&lt;/D&gt;&lt;D xsi:type="xsd:string"&gt;12/08/2015&lt;/D&gt;&lt;D xsi:type="xsd:string"&gt;11/08/2015&lt;/D&gt;&lt;D xsi:type="xsd:string"&gt;10/08/2015&lt;/D&gt;&lt;D xsi:type="xsd:string"&gt;07/08/2015&lt;/D&gt;&lt;D xsi:type="xsd:string"&gt;06/08/2015&lt;/D&gt;&lt;D xsi:type="xsd:string"&gt;05/08/2015&lt;/D&gt;&lt;D xsi:type="xsd:string"&gt;04/08/2015&lt;/D&gt;&lt;D xsi:type="xsd:string"&gt;03/08/2015&lt;/D&gt;&lt;D xsi:type="xsd:string"&gt;31/07/2015&lt;/D&gt;&lt;D xsi:type="xsd:string"&gt;30/07/2015&lt;/D&gt;&lt;D xsi:type="xsd:string"&gt;29/07/2015&lt;/D&gt;&lt;D xsi:type="xsd:string"&gt;28/07/2015&lt;/D&gt;&lt;D xsi:type="xsd:string"&gt;27/07/2015&lt;/D&gt;&lt;D xsi:type="xsd:string"&gt;24/07/2015&lt;/D&gt;&lt;D xsi:type="xsd:string"&gt;23/07/2015&lt;/D&gt;&lt;D xsi:type="xsd:string"&gt;22/07/2015&lt;/D&gt;&lt;D xsi:type="xsd:string"&gt;21/07/2015&lt;/D&gt;&lt;D xsi:type="xsd:string"&gt;20/07/2015&lt;/D&gt;&lt;D xsi:type="xsd:string"&gt;17/07/2015&lt;/D&gt;&lt;D xsi:type="xsd:string"&gt;16/07/2015&lt;/D&gt;&lt;D xsi:type="xsd:string"&gt;15/07/2015&lt;/D&gt;&lt;D xsi:type="xsd:string"&gt;14/07/2015&lt;/D&gt;&lt;D xsi:type="xsd:string"&gt;13/07/2015&lt;/D&gt;&lt;D xsi:type="xsd:string"&gt;10/07/2015&lt;/D&gt;&lt;D xsi:type="xsd:string"&gt;09/07/2015&lt;/D&gt;&lt;D xsi:type="xsd:string"&gt;08/07/2015&lt;/D&gt;&lt;D xsi:type="xsd:string"&gt;07/07/2015&lt;/D&gt;&lt;D xsi:type="xsd:string"&gt;06/07/2015&lt;/D&gt;&lt;D xsi:type="xsd:string"&gt;03/07/2015&lt;/D&gt;&lt;D xsi:type="xsd:string"&gt;02/07/2015&lt;/D&gt;&lt;D xsi:type="xsd:string"&gt;01/07/2015&lt;/D&gt;&lt;D xsi:type="xsd:string"&gt;30/06/2015&lt;/D&gt;&lt;D xsi:type="xsd:string"&gt;29/06/2015&lt;/D&gt;&lt;D xsi:type="xsd:string"&gt;26/06/2015&lt;/D&gt;&lt;D xsi:type="xsd:string"&gt;25/06/2015&lt;/D&gt;&lt;D xsi:type="xsd:string"&gt;24/06/2015&lt;/D&gt;&lt;D xsi:type="xsd:string"&gt;23/06/2015&lt;/D&gt;&lt;D xsi:type="xsd:string"&gt;22/06/2015&lt;/D&gt;&lt;D xsi:type="xsd:string"&gt;19/06/2015&lt;/D&gt;&lt;D xsi:type="xsd:string"&gt;18/06/2015&lt;/D&gt;&lt;D xsi:type="xsd:string"&gt;17/06/2015&lt;/D&gt;&lt;D xsi:type="xsd:string"&gt;16/06/2015&lt;/D&gt;&lt;D xsi:type="xsd:string"&gt;15/06/2015&lt;/D&gt;&lt;D xsi:type="xsd:string"&gt;12/06/2015&lt;/D&gt;&lt;D xsi:type="xsd:string"&gt;11/06/2015&lt;/D&gt;&lt;D xsi:type="xsd:string"&gt;10/06/2015&lt;/D&gt;&lt;D xsi:type="xsd:string"&gt;09/06/2015&lt;/D&gt;&lt;D xsi:type="xsd:string"&gt;08/06/2015&lt;/D&gt;&lt;D xsi:type="xsd:string"&gt;05/06/2015&lt;/D&gt;&lt;D xsi:type="xsd:string"&gt;04/06/2015&lt;/D&gt;&lt;D xsi:type="xsd:string"&gt;03/06/2015&lt;/D&gt;&lt;D xsi:type="xsd:string"&gt;02/06/2015&lt;/D&gt;&lt;D xsi:type="xsd:string"&gt;01/06/2015&lt;/D&gt;&lt;D xsi:type="xsd:string"&gt;29/05/2015&lt;/D&gt;&lt;D xsi:type="xsd:string"&gt;28/05/2015&lt;/D&gt;&lt;D xsi:type="xsd:string"&gt;27/05/2015&lt;/D&gt;&lt;D xsi:type="xsd:string"&gt;26/05/2015&lt;/D&gt;&lt;D xsi:type="xsd:string"&gt;25/05/2015&lt;/D&gt;&lt;D xsi:type="xsd:string"&gt;22/05/2015&lt;/D&gt;&lt;D xsi:type="xsd:string"&gt;21/05/2015&lt;/D&gt;&lt;D xsi:type="xsd:string"&gt;20/05/2015&lt;/D&gt;&lt;D xsi:type="xsd:string"&gt;19/05/2015&lt;/D&gt;&lt;D xsi:type="xsd:string"&gt;18/05/2015&lt;/D&gt;&lt;D xsi:type="xsd:string"&gt;15/05/2015&lt;/D&gt;&lt;D xsi:type="xsd:string"&gt;14/05/2015&lt;/D&gt;&lt;D xsi:type="xsd:string"&gt;13/05/2015&lt;/D&gt;&lt;D xsi:type="xsd:string"&gt;12/05/2015&lt;/D&gt;&lt;D xsi:type="xsd:string"&gt;11/05/2015&lt;/D&gt;&lt;D xsi:type="xsd:string"&gt;08/05/2015&lt;/D&gt;&lt;D xsi:type="xsd:string"&gt;07/05/2015&lt;/D&gt;&lt;D xsi:type="xsd:string"&gt;06/05/2015&lt;/D&gt;&lt;D xsi:type="xsd:string"&gt;05/05/2015&lt;/D&gt;&lt;D xsi:type="xsd:string"&gt;04/05/2015&lt;/D&gt;&lt;D xsi:type="xsd:string"&gt;01/05/2015&lt;/D&gt;&lt;D xsi:type="xsd:string"&gt;30/04/2015&lt;/D&gt;&lt;D xsi:type="xsd:string"&gt;29/04/2015&lt;/D&gt;&lt;D xsi:type="xsd:string"&gt;28/04/2015&lt;/D&gt;&lt;D xsi:type="xsd:string"&gt;27/04/2015&lt;/D&gt;&lt;D xsi:type="xsd:string"&gt;24/04/2015&lt;/D&gt;&lt;D xsi:type="xsd:string"&gt;23/04/2015&lt;/D&gt;&lt;D xsi:type="xsd:string"&gt;22/04/2015&lt;/D&gt;&lt;D xsi:type="xsd:string"&gt;21/04/2015&lt;/D&gt;&lt;D xsi:type="xsd:string"&gt;20/04/2015&lt;/D&gt;&lt;D xsi:type="xsd:string"&gt;17/04/2015&lt;/D&gt;&lt;D xsi:type="xsd:string"&gt;16/04/2015&lt;/D&gt;&lt;D xsi:type="xsd:string"&gt;15/04/2015&lt;/D&gt;&lt;D xsi:type="xsd:string"&gt;14/04/2015&lt;/D&gt;&lt;D xsi:type="xsd:string"&gt;13/04/2015&lt;/D&gt;&lt;D xsi:type="xsd:string"&gt;10/04/2015&lt;/D&gt;&lt;D xsi:type="xsd:string"&gt;09/04/2015&lt;/D&gt;&lt;D xsi:type="xsd:string"&gt;08/04/2015&lt;/D&gt;&lt;D xsi:type="xsd:string"&gt;07/04/2015&lt;/D&gt;&lt;D xsi:type="xsd:string"&gt;06/04/2015&lt;/D&gt;&lt;D xsi:type="xsd:string"&gt;03/04/2015&lt;/D&gt;&lt;D xsi:type="xsd:string"&gt;02/04/2015&lt;/D&gt;&lt;D xsi:type="xsd:string"&gt;01/04/2015&lt;/D&gt;&lt;D xsi:type="xsd:string"&gt;31/03/2015&lt;/D&gt;&lt;D xsi:type="xsd:string"&gt;30/03/2015&lt;/D&gt;&lt;D xsi:type="xsd:string"&gt;27/03/2015&lt;/D&gt;&lt;D xsi:type="xsd:string"&gt;26/03/2015&lt;/D&gt;&lt;D xsi:type="xsd:string"&gt;25/03/2015&lt;/D&gt;&lt;D xsi:type="xsd:string"&gt;24/03/2015&lt;/D&gt;&lt;D xsi:type="xsd:string"&gt;23/03/2015&lt;/D&gt;&lt;D xsi:type="xsd:string"&gt;20/03/2015&lt;/D&gt;&lt;D xsi:type="xsd:string"&gt;19/03/2015&lt;/D&gt;&lt;D xsi:type="xsd:string"&gt;18/03/2015&lt;/D&gt;&lt;D xsi:type="xsd:string"&gt;17/03/2015&lt;/D&gt;&lt;D xsi:type="xsd:string"&gt;16/03/2015&lt;/D&gt;&lt;D xsi:type="xsd:string"&gt;13/03/2015&lt;/D&gt;&lt;D xsi:type="xsd:string"&gt;12/03/2015&lt;/D&gt;&lt;D xsi:type="xsd:string"&gt;11/03/2015&lt;/D&gt;&lt;D xsi:type="xsd:string"&gt;10/03/2015&lt;/D&gt;&lt;D xsi:type="xsd:string"&gt;09/03/2015&lt;/D&gt;&lt;D xsi:type="xsd:string"&gt;06/03/2015&lt;/D&gt;&lt;D xsi:type="xsd:string"&gt;05/03/2015&lt;/D&gt;&lt;D xsi:type="xsd:string"&gt;04/03/2015&lt;/D&gt;&lt;D xsi:type="xsd:string"&gt;03/03/2015&lt;/D&gt;&lt;D xsi:type="xsd:string"&gt;02/03/2015&lt;/D&gt;&lt;D xsi:type="xsd:string"&gt;27/02/2015&lt;/D&gt;&lt;D xsi:type="xsd:string"&gt;26/02/2015&lt;/D&gt;&lt;D xsi:type="xsd:string"&gt;25/02/2015&lt;/D&gt;&lt;D xsi:type="xsd:string"&gt;24/02/2015&lt;/D&gt;&lt;D xsi:type="xsd:string"&gt;23/02/2015&lt;/D&gt;&lt;D xsi:type="xsd:string"&gt;20/02/2015&lt;/D&gt;&lt;D xsi:type="xsd:string"&gt;19/02/2015&lt;/D&gt;&lt;D xsi:type="xsd:string"&gt;18/02/2015&lt;/D&gt;&lt;D xsi:type="xsd:string"&gt;17/02/2015&lt;/D&gt;&lt;D xsi:type="xsd:string"&gt;16/02/2015&lt;/D&gt;&lt;D xsi:type="xsd:string"&gt;13/02/2015&lt;/D&gt;&lt;D xsi:type="xsd:string"&gt;12/02/2015&lt;/D&gt;&lt;D xsi:type="xsd:string"&gt;11/02/2015&lt;/D&gt;&lt;D xsi:type="xsd:string"&gt;10/02/2015&lt;/D&gt;&lt;D xsi:type="xsd:string"&gt;09/02/2015&lt;/D&gt;&lt;D xsi:type="xsd:string"&gt;06/02/2015&lt;/D&gt;&lt;D xsi:type="xsd:string"&gt;05/02/2015&lt;/D&gt;&lt;D xsi:type="xsd:string"&gt;04/02/2015&lt;/D&gt;&lt;D xsi:type="xsd:string"&gt;03/02/2015&lt;/D&gt;&lt;D xsi:type="xsd:string"&gt;02/02/2015&lt;/D&gt;&lt;D xsi:type="xsd:string"&gt;30/01/2015&lt;/D&gt;&lt;D xsi:type="xsd:string"&gt;29/01/2015&lt;/D&gt;&lt;D xsi:type="xsd:string"&gt;28/01/2015&lt;/D&gt;&lt;D xsi:type="xsd:string"&gt;27/01/2015&lt;/D&gt;&lt;D xsi:type="xsd:string"&gt;26/01/2015&lt;/D&gt;&lt;D xsi:type="xsd:string"&gt;23/01/2015&lt;/D&gt;&lt;D xsi:type="xsd:string"&gt;22/01/2015&lt;/D&gt;&lt;D xsi:type="xsd:string"&gt;21/01/2015&lt;/D&gt;&lt;D xsi:type="xsd:string"&gt;20/01/2015&lt;/D&gt;&lt;D xsi:type="xsd:string"&gt;19/01/2015&lt;/D&gt;&lt;D xsi:type="xsd:string"&gt;16/01/2015&lt;/D&gt;&lt;D xsi:type="xsd:string"&gt;15/01/2015&lt;/D&gt;&lt;D xsi:type="xsd:string"&gt;14/01/2015&lt;/D&gt;&lt;D xsi:type="xsd:string"&gt;13/01/2015&lt;/D&gt;&lt;D xsi:type="xsd:string"&gt;12/01/2015&lt;/D&gt;&lt;D xsi:type="xsd:string"&gt;09/01/2015&lt;/D&gt;&lt;D xsi:type="xsd:string"&gt;08/01/2015&lt;/D&gt;&lt;D xsi:type="xsd:string"&gt;07/01/2015&lt;/D&gt;&lt;D xsi:type="xsd:string"&gt;06/01/2015&lt;/D&gt;&lt;D xsi:type="xsd:string"&gt;05/01/2015&lt;/D&gt;&lt;D xsi:type="xsd:string"&gt;02/01/2015&lt;/D&gt;&lt;D xsi:type="xsd:string"&gt;01/01/2015&lt;/D&gt;&lt;D xsi:type="xsd:string"&gt;31/12/2014&lt;/D&gt;&lt;D xsi:type="xsd:string"&gt;30/12/2014&lt;/D&gt;&lt;D xsi:type="xsd:string"&gt;29/12/2014&lt;/D&gt;&lt;D xsi:type="xsd:string"&gt;26/12/2014&lt;/D&gt;&lt;D xsi:type="xsd:string"&gt;25/12/2014&lt;/D&gt;&lt;D xsi:type="xsd:string"&gt;24/12/2014&lt;/D&gt;&lt;D xsi:type="xsd:string"&gt;23/12/2014&lt;/D&gt;&lt;D xsi:type="xsd:string"&gt;22/12/2014&lt;/D&gt;&lt;D xsi:type="xsd:string"&gt;19/12/2014&lt;/D&gt;&lt;D xsi:type="xsd:string"&gt;18/12/2014&lt;/D&gt;&lt;D xsi:type="xsd:string"&gt;17/12/2014&lt;/D&gt;&lt;D xsi:type="xsd:string"&gt;16/12/2014&lt;/D&gt;&lt;D xsi:type="xsd:string"&gt;15/12/2014&lt;/D&gt;&lt;D xsi:type="xsd:string"&gt;12/12/2014&lt;/D&gt;&lt;D xsi:type="xsd:string"&gt;11/12/2014&lt;/D&gt;&lt;D xsi:type="xsd:string"&gt;10/12/2014&lt;/D&gt;&lt;D xsi:type="xsd:string"&gt;09/12/2014&lt;/D&gt;&lt;D xsi:type="xsd:string"&gt;08/12/2014&lt;/D&gt;&lt;D xsi:type="xsd:string"&gt;05/12/2014&lt;/D&gt;&lt;D xsi:type="xsd:string"&gt;04/12/2014&lt;/D&gt;&lt;D xsi:type="xsd:string"&gt;03/12/2014&lt;/D&gt;&lt;D xsi:type="xsd:string"&gt;02/12/2014&lt;/D&gt;&lt;D xsi:type="xsd:string"&gt;01/12/2014&lt;/D&gt;&lt;D xsi:type="xsd:string"&gt;28/11/2014&lt;/D&gt;&lt;D xsi:type="xsd:string"&gt;27/11/2014&lt;/D&gt;&lt;D xsi:type="xsd:string"&gt;26/11/2014&lt;/D&gt;&lt;D xsi:type="xsd:string"&gt;25/11/2014&lt;/D&gt;&lt;D xsi:type="xsd:string"&gt;24/11/2014&lt;/D&gt;&lt;D xsi:type="xsd:string"&gt;21/11/2014&lt;/D&gt;&lt;D xsi:type="xsd:string"&gt;20/11/2014&lt;/D&gt;&lt;D xsi:type="xsd:string"&gt;19/11/2014&lt;/D&gt;&lt;D xsi:type="xsd:string"&gt;18/11/2014&lt;/D&gt;&lt;D xsi:type="xsd:string"&gt;17/11/2014&lt;/D&gt;&lt;D xsi:type="xsd:string"&gt;14/11/2014&lt;/D&gt;&lt;D xsi:type="xsd:string"&gt;13/11/2014&lt;/D&gt;&lt;D xsi:type="xsd:string"&gt;12/11/2014&lt;/D&gt;&lt;D xsi:type="xsd:string"&gt;11/11/2014&lt;/D&gt;&lt;D xsi:type="xsd:string"&gt;10/11/2014&lt;/D&gt;&lt;D xsi:type="xsd:string"&gt;07/11/2014&lt;/D&gt;&lt;D xsi:type="xsd:string"&gt;06/11/2014&lt;/D&gt;&lt;D xsi:type="xsd:string"&gt;05/11/2014&lt;/D&gt;&lt;D xsi:type="xsd:string"&gt;04/11/2014&lt;/D&gt;&lt;D xsi:type="xsd:string"&gt;03/11/2014&lt;/D&gt;&lt;D xsi:type="xsd:string"&gt;31/10/2014&lt;/D&gt;&lt;D xsi:type="xsd:string"&gt;30/10/2014&lt;/D&gt;&lt;D xsi:type="xsd:string"&gt;29/10/2014&lt;/D&gt;&lt;D xsi:type="xsd:string"&gt;28/10/2014&lt;/D&gt;&lt;D xsi:type="xsd:string"&gt;27/10/2014&lt;/D&gt;&lt;D xsi:type="xsd:string"&gt;24/10/2014&lt;/D&gt;&lt;D xsi:type="xsd:string"&gt;23/10/2014&lt;/D&gt;&lt;D xsi:type="xsd:string"&gt;22/10/2014&lt;/D&gt;&lt;D xsi:type="xsd:string"&gt;21/10/2014&lt;/D&gt;&lt;D xsi:type="xsd:string"&gt;20/10/2014&lt;/D&gt;&lt;D xsi:type="xsd:string"&gt;17/10/2014&lt;/D&gt;&lt;D xsi:type="xsd:string"&gt;16/10/2014&lt;/D&gt;&lt;D xsi:type="xsd:string"&gt;15/10/2014&lt;/D&gt;&lt;D xsi:type="xsd:string"&gt;14/10/2014&lt;/D&gt;&lt;D xsi:type="xsd:string"&gt;13/10/2014&lt;/D&gt;&lt;D xsi:type="xsd:string"&gt;10/10/2014&lt;/D&gt;&lt;D xsi:type="xsd:string"&gt;09/10/2014&lt;/D&gt;&lt;D xsi:type="xsd:string"&gt;08/10/2014&lt;/D&gt;&lt;D xsi:type="xsd:string"&gt;07/10/2014&lt;/D&gt;&lt;D xsi:type="xsd:string"&gt;06/10/2014&lt;/D&gt;&lt;D xsi:type="xsd:string"&gt;03/10/2014&lt;/D&gt;&lt;D xsi:type="xsd:string"&gt;02/10/2014&lt;/D&gt;&lt;D xsi:type="xsd:string"&gt;01/10/2014&lt;/D&gt;&lt;D xsi:type="xsd:string"&gt;30/09/2014&lt;/D&gt;&lt;D xsi:type="xsd:string"&gt;29/09/2014&lt;/D&gt;&lt;D xsi:type="xsd:string"&gt;26/09/2014&lt;/D&gt;&lt;D xsi:type="xsd:string"&gt;25/09/2014&lt;/D&gt;&lt;D xsi:type="xsd:string"&gt;24/09/2014&lt;/D&gt;&lt;D xsi:type="xsd:string"&gt;23/09/2014&lt;/D&gt;&lt;D xsi:type="xsd:string"&gt;22/09/2014&lt;/D&gt;&lt;D xsi:type="xsd:string"&gt;19/09/2014&lt;/D&gt;&lt;D xsi:type="xsd:string"&gt;18/09/2014&lt;/D&gt;&lt;D xsi:type="xsd:string"&gt;17/09/2014&lt;/D&gt;&lt;D xsi:type="xsd:string"&gt;16/09/2014&lt;/D&gt;&lt;D xsi:type="xsd:string"&gt;15/09/2014&lt;/D&gt;&lt;D xsi:type="xsd:string"&gt;12/09/2014&lt;/D&gt;&lt;D xsi:type="xsd:string"&gt;11/09/2014&lt;/D&gt;&lt;D xsi:type="xsd:string"&gt;10/09/2014&lt;/D&gt;&lt;D xsi:type="xsd:string"&gt;09/09/2014&lt;/D&gt;&lt;D xsi:type="xsd:string"&gt;08/09/2014&lt;/D&gt;&lt;D xsi:type="xsd:string"&gt;05/09/2014&lt;/D&gt;&lt;D xsi:type="xsd:string"&gt;04/09/2014&lt;/D&gt;&lt;D xsi:type="xsd:string"&gt;03/09/2014&lt;/D&gt;&lt;D xsi:type="xsd:string"&gt;02/09/2014&lt;/D&gt;&lt;D xsi:type="xsd:string"&gt;01/09/2014&lt;/D&gt;&lt;D xsi:type="xsd:string"&gt;29/08/2014&lt;/D&gt;&lt;D xsi:type="xsd:string"&gt;28/08/2014&lt;/D&gt;&lt;D xsi:type="xsd:string"&gt;27/08/2014&lt;/D&gt;&lt;D xsi:type="xsd:string"&gt;26/08/2014&lt;/D&gt;&lt;D xsi:type="xsd:string"&gt;25/08/2014&lt;/D&gt;&lt;D xsi:type="xsd:string"&gt;22/08/2014&lt;/D&gt;&lt;D xsi:type="xsd:string"&gt;21/08/2014&lt;/D&gt;&lt;D xsi:type="xsd:string"&gt;20/08/2014&lt;/D&gt;&lt;D xsi:type="xsd:string"&gt;19/08/2014&lt;/D&gt;&lt;D xsi:type="xsd:string"&gt;18/08/2014&lt;/D&gt;&lt;D xsi:type="xsd:string"&gt;15/08/2014&lt;/D&gt;&lt;D xsi:type="xsd:string"&gt;14/08/2014&lt;/D&gt;&lt;D xsi:type="xsd:string"&gt;13/08/2014&lt;/D&gt;&lt;D xsi:type="xsd:string"&gt;12/08/2014&lt;/D&gt;&lt;D xsi:type="xsd:string"&gt;11/08/2014&lt;/D&gt;&lt;D xsi:type="xsd:string"&gt;08/08/2014&lt;/D&gt;&lt;D xsi:type="xsd:string"&gt;07/08/2014&lt;/D&gt;&lt;D xsi:type="xsd:string"&gt;06/08/2014&lt;/D&gt;&lt;D xsi:type="xsd:string"&gt;05/08/2014&lt;/D&gt;&lt;D xsi:type="xsd:string"&gt;04/08/2014&lt;/D&gt;&lt;D xsi:type="xsd:string"&gt;01/08/2014&lt;/D&gt;&lt;D xsi:type="xsd:string"&gt;31/07/2014&lt;/D&gt;&lt;D xsi:type="xsd:string"&gt;30/07/2014&lt;/D&gt;&lt;D xsi:type="xsd:string"&gt;29/07/2014&lt;/D&gt;&lt;D xsi:type="xsd:string"&gt;28/07/2014&lt;/D&gt;&lt;D xsi:type="xsd:string"&gt;25/07/2014&lt;/D&gt;&lt;D xsi:type="xsd:string"&gt;24/07/2014&lt;/D&gt;&lt;D xsi:type="xsd:string"&gt;23/07/2014&lt;/D&gt;&lt;D xsi:type="xsd:string"&gt;22/07/2014&lt;/D&gt;&lt;D xsi:type="xsd:string"&gt;21/07/2014&lt;/D&gt;&lt;D xsi:type="xsd:string"&gt;18/07/2014&lt;/D&gt;&lt;D xsi:type="xsd:string"&gt;17/07/2014&lt;/D&gt;&lt;D xsi:type="xsd:string"&gt;16/07/2014&lt;/D&gt;&lt;D xsi:type="xsd:string"&gt;15/07/2014&lt;/D&gt;&lt;D xsi:type="xsd:string"&gt;14/07/2014&lt;/D&gt;&lt;D xsi:type="xsd:string"&gt;11/07/2014&lt;/D&gt;&lt;D xsi:type="xsd:string"&gt;10/07/2014&lt;/D&gt;&lt;D xsi:type="xsd:string"&gt;09/07/2014&lt;/D&gt;&lt;D xsi:type="xsd:string"&gt;08/07/2014&lt;/D&gt;&lt;D xsi:type="xsd:string"&gt;07/07/2014&lt;/D&gt;&lt;D xsi:type="xsd:string"&gt;04/07/2014&lt;/D&gt;&lt;D xsi:type="xsd:string"&gt;03/07/2014&lt;/D&gt;&lt;D xsi:type="xsd:string"&gt;02/07/2014&lt;/D&gt;&lt;D xsi:type="xsd:string"&gt;01/07/2014&lt;/D&gt;&lt;D xsi:type="xsd:string"&gt;30/06/2014&lt;/D&gt;&lt;D xsi:type="xsd:string"&gt;27/06/2014&lt;/D&gt;&lt;D xsi:type="xsd:string"&gt;26/06/2014&lt;/D&gt;&lt;D xsi:type="xsd:string"&gt;25/06/2014&lt;/D&gt;&lt;D xsi:type="xsd:string"&gt;24/06/2014&lt;/D&gt;&lt;D xsi:type="xsd:string"&gt;23/06/2014&lt;/D&gt;&lt;D xsi:type="xsd:string"&gt;20/06/2014&lt;/D&gt;&lt;D xsi:type="xsd:string"&gt;19/06/2014&lt;/D&gt;&lt;D xsi:type="xsd:string"&gt;18/06/2014&lt;/D&gt;&lt;D xsi:type="xsd:string"&gt;17/06/2014&lt;/D&gt;&lt;D xsi:type="xsd:string"&gt;16/06/2014&lt;/D&gt;&lt;D xsi:type="xsd:string"&gt;13/06/2014&lt;/D&gt;&lt;D xsi:type="xsd:string"&gt;12/06/2014&lt;/D&gt;&lt;D xsi:type="xsd:string"&gt;11/06/2014&lt;/D&gt;&lt;D xsi:type="xsd:string"&gt;10/06/2014&lt;/D&gt;&lt;D xsi:type="xsd:string"&gt;09/06/2014&lt;/D&gt;&lt;D xsi:type="xsd:string"&gt;06/06/2014&lt;/D&gt;&lt;D xsi:type="xsd:string"&gt;05/06/2014&lt;/D&gt;&lt;D xsi:type="xsd:string"&gt;04/06/2014&lt;/D&gt;&lt;D xsi:type="xsd:string"&gt;03/06/2014&lt;/D&gt;&lt;D xsi:type="xsd:string"&gt;02/06/2014&lt;/D&gt;&lt;D xsi:type="xsd:string"&gt;30/05/2014&lt;/D&gt;&lt;D xsi:type="xsd:string"&gt;29/05/2014&lt;/D&gt;&lt;D xsi:type="xsd:string"&gt;28/05/2014&lt;/D&gt;&lt;D xsi:type="xsd:string"&gt;27/05/2014&lt;/D&gt;&lt;D xsi:type="xsd:string"&gt;26/05/2014&lt;/D&gt;&lt;D xsi:type="xsd:string"&gt;23/05/2014&lt;/D&gt;&lt;D xsi:type="xsd:string"&gt;22/05/2014&lt;/D&gt;&lt;D xsi:type="xsd:string"&gt;21/05/2014&lt;/D&gt;&lt;D xsi:type="xsd:string"&gt;20/05/2014&lt;/D&gt;&lt;D xsi:type="xsd:string"&gt;19/05/2014&lt;/D&gt;&lt;D xsi:type="xsd:string"&gt;16/05/2014&lt;/D&gt;&lt;D xsi:type="xsd:string"&gt;15/05/2014&lt;/D&gt;&lt;D xsi:type="xsd:string"&gt;14/05/2014&lt;/D&gt;&lt;D xsi:type="xsd:string"&gt;13/05/2014&lt;/D&gt;&lt;D xsi:type="xsd:string"&gt;12/05/2014&lt;/D&gt;&lt;D xsi:type="xsd:string"&gt;09/05/2014&lt;/D&gt;&lt;D xsi:type="xsd:string"&gt;08/05/2014&lt;/D&gt;&lt;D xsi:type="xsd:string"&gt;07/05/2014&lt;/D&gt;&lt;D xsi:type="xsd:string"&gt;06/05/2014&lt;/D&gt;&lt;D xsi:type="xsd:string"&gt;05/05/2014&lt;/D&gt;&lt;D xsi:type="xsd:string"&gt;02/05/2014&lt;/D&gt;&lt;D xsi:type="xsd:string"&gt;01/05/2014&lt;/D&gt;&lt;D xsi:type="xsd:string"&gt;30/04/2014&lt;/D&gt;&lt;D xsi:type="xsd:string"&gt;29/04/2014&lt;/D&gt;&lt;D xsi:type="xsd:string"&gt;28/04/2014&lt;/D&gt;&lt;D xsi:type="xsd:string"&gt;25/04/2014&lt;/D&gt;&lt;D xsi:type="xsd:string"&gt;24/04/2014&lt;/D&gt;&lt;D xsi:type="xsd:string"&gt;23/04/2014&lt;/D&gt;&lt;D xsi:type="xsd:string"&gt;22/04/2014&lt;/D&gt;&lt;D xsi:type="xsd:string"&gt;21/04/2014&lt;/D&gt;&lt;D xsi:type="xsd:string"&gt;18/04/2014&lt;/D&gt;&lt;D xsi:type="xsd:string"&gt;17/04/2014&lt;/D&gt;&lt;D xsi:type="xsd:string"&gt;16/04/2014&lt;/D&gt;&lt;D xsi:type="xsd:string"&gt;15/04/2014&lt;/D&gt;&lt;D xsi:type="xsd:string"&gt;14/04/2014&lt;/D&gt;&lt;D xsi:type="xsd:string"&gt;11/04/2014&lt;/D&gt;&lt;D xsi:type="xsd:string"&gt;10/04/2014&lt;/D&gt;&lt;D xsi:type="xsd:string"&gt;09/04/2014&lt;/D&gt;&lt;D xsi:type="xsd:string"&gt;08/04/2014&lt;/D&gt;&lt;D xsi:type="xsd:string"&gt;07/04/2014&lt;/D&gt;&lt;D xsi:type="xsd:string"&gt;04/04/2014&lt;/D&gt;&lt;D xsi:type="xsd:string"&gt;03/04/2014&lt;/D&gt;&lt;D xsi:type="xsd:string"&gt;02/04/2014&lt;/D&gt;&lt;D xsi:type="xsd:string"&gt;01/04/2014&lt;/D&gt;&lt;D xsi:type="xsd:string"&gt;31/03/2014&lt;/D&gt;&lt;D xsi:type="xsd:string"&gt;28/03/2014&lt;/D&gt;&lt;D xsi:type="xsd:string"&gt;27/03/2014&lt;/D&gt;&lt;D xsi:type="xsd:string"&gt;26/03/2014&lt;/D&gt;&lt;D xsi:type="xsd:string"&gt;25/03/2014&lt;/D&gt;&lt;D xsi:type="xsd:string"&gt;24/03/2014&lt;/D&gt;&lt;D xsi:type="xsd:string"&gt;21/03/2014&lt;/D&gt;&lt;D xsi:type="xsd:string"&gt;20/03/2014&lt;/D&gt;&lt;D xsi:type="xsd:string"&gt;19/03/2014&lt;/D&gt;&lt;D xsi:type="xsd:string"&gt;18/03/2014&lt;/D&gt;&lt;D xsi:type="xsd:string"&gt;17/03/2014&lt;/D&gt;&lt;D xsi:type="xsd:string"&gt;14/03/2014&lt;/D&gt;&lt;D xsi:type="xsd:string"&gt;13/03/2014&lt;/D&gt;&lt;D xsi:type="xsd:string"&gt;12/03/2014&lt;/D&gt;&lt;D xsi:type="xsd:string"&gt;11/03/2014&lt;/D&gt;&lt;D xsi:type="xsd:string"&gt;10/03/2014&lt;/D&gt;&lt;D xsi:type="xsd:string"&gt;07/03/2014&lt;/D&gt;&lt;D xsi:type="xsd:string"&gt;06/03/2014&lt;/D&gt;&lt;D xsi:type="xsd:string"&gt;05/03/2014&lt;/D&gt;&lt;D xsi:type="xsd:string"&gt;04/03/2014&lt;/D&gt;&lt;D xsi:type="xsd:string"&gt;03/03/2014&lt;/D&gt;&lt;D xsi:type="xsd:string"&gt;28/02/2014&lt;/D&gt;&lt;D xsi:type="xsd:string"&gt;27/02/2014&lt;/D&gt;&lt;D xsi:type="xsd:string"&gt;26/02/2014&lt;/D&gt;&lt;D xsi:type="xsd:string"&gt;25/02/2014&lt;/D&gt;&lt;D xsi:type="xsd:string"&gt;24/02/2014&lt;/D&gt;&lt;D xsi:type="xsd:string"&gt;21/02/2014&lt;/D&gt;&lt;D xsi:type="xsd:string"&gt;20/02/2014&lt;/D&gt;&lt;D xsi:type="xsd:string"&gt;19/02/2014&lt;/D&gt;&lt;D xsi:type="xsd:string"&gt;18/02/2014&lt;/D&gt;&lt;D xsi:type="xsd:string"&gt;17/02/2014&lt;/D&gt;&lt;D xsi:type="xsd:string"&gt;14/02/2014&lt;/D&gt;&lt;D xsi:type="xsd:string"&gt;13/02/2014&lt;/D&gt;&lt;D xsi:type="xsd:string"&gt;12/02/2014&lt;/D&gt;&lt;D xsi:type="xsd:string"&gt;11/02/2014&lt;/D&gt;&lt;D xsi:type="xsd:string"&gt;10/02/2014&lt;/D&gt;&lt;D xsi:type="xsd:string"&gt;07/02/2014&lt;/D&gt;&lt;D xsi:type="xsd:string"&gt;06/02/2014&lt;/D&gt;&lt;D xsi:type="xsd:string"&gt;05/02/2014&lt;/D&gt;&lt;D xsi:type="xsd:string"&gt;04/02/2014&lt;/D&gt;&lt;D xsi:type="xsd:string"&gt;03/02/2014&lt;/D&gt;&lt;D xsi:type="xsd:string"&gt;31/01/2014&lt;/D&gt;&lt;D xsi:type="xsd:string"&gt;30/01/2014&lt;/D&gt;&lt;D xsi:type="xsd:string"&gt;29/01/2014&lt;/D&gt;&lt;D xsi:type="xsd:string"&gt;28/01/2014&lt;/D&gt;&lt;D xsi:type="xsd:string"&gt;27/01/2014&lt;/D&gt;&lt;D xsi:type="xsd:string"&gt;24/01/2014&lt;/D&gt;&lt;D xsi:type="xsd:string"&gt;23/01/2014&lt;/D&gt;&lt;D xsi:type="xsd:string"&gt;22/01/2014&lt;/D&gt;&lt;D xsi:type="xsd:string"&gt;21/01/2014&lt;/D&gt;&lt;D xsi:type="xsd:string"&gt;20/01/2014&lt;/D&gt;&lt;D xsi:type="xsd:string"&gt;17/01/2014&lt;/D&gt;&lt;D xsi:type="xsd:string"&gt;16/01/2014&lt;/D&gt;&lt;D xsi:type="xsd:string"&gt;15/01/2014&lt;/D&gt;&lt;D xsi:type="xsd:string"&gt;14/01/2014&lt;/D&gt;&lt;D xsi:type="xsd:string"&gt;13/01/2014&lt;/D&gt;&lt;D xsi:type="xsd:string"&gt;10/01/2014&lt;/D&gt;&lt;D xsi:type="xsd:string"&gt;09/01/2014&lt;/D&gt;&lt;D xsi:type="xsd:string"&gt;08/01/2014&lt;/D&gt;&lt;D xsi:type="xsd:string"&gt;07/01/2014&lt;/D&gt;&lt;D xsi:type="xsd:string"&gt;06/01/2014&lt;/D&gt;&lt;D xsi:type="xsd:string"&gt;03/01/2014&lt;/D&gt;&lt;D xsi:type="xsd:string"&gt;02/01/2014&lt;/D&gt;&lt;D xsi:type="xsd:string"&gt;01/01/2014&lt;/D&gt;&lt;D xsi:type="xsd:string"&gt;31/12/2013&lt;/D&gt;&lt;D xsi:type="xsd:string"&gt;30/12/2013&lt;/D&gt;&lt;D xsi:type="xsd:string"&gt;27/12/2013&lt;/D&gt;&lt;D xsi:type="xsd:string"&gt;26/12/2013&lt;/D&gt;&lt;D xsi:type="xsd:string"&gt;25/12/2013&lt;/D&gt;&lt;D xsi:type="xsd:string"&gt;24/12/2013&lt;/D&gt;&lt;D xsi:type="xsd:string"&gt;23/12/2013&lt;/D&gt;&lt;D xsi:type="xsd:string"&gt;20/12/2013&lt;/D&gt;&lt;D xsi:type="xsd:string"&gt;19/12/2013&lt;/D&gt;&lt;D xsi:type="xsd:string"&gt;18/12/2013&lt;/D&gt;&lt;D xsi:type="xsd:string"&gt;17/12/2013&lt;/D&gt;&lt;D xsi:type="xsd:string"&gt;16/12/2013&lt;/D&gt;&lt;D xsi:type="xsd:string"&gt;13/12/2013&lt;/D&gt;&lt;D xsi:type="xsd:string"&gt;12/12/2013&lt;/D&gt;&lt;D xsi:type="xsd:string"&gt;11/12/2013&lt;/D&gt;&lt;D xsi:type="xsd:string"&gt;10/12/2013&lt;/D&gt;&lt;D xsi:type="xsd:string"&gt;09/12/2013&lt;/D&gt;&lt;D xsi:type="xsd:string"&gt;06/12/2013&lt;/D&gt;&lt;D xsi:type="xsd:string"&gt;05/12/2013&lt;/D&gt;&lt;D xsi:type="xsd:string"&gt;</t>
        </r>
      </text>
    </comment>
    <comment ref="A17" authorId="0" shapeId="0" xr:uid="{B524CA9D-7F2C-4A17-B06B-EE5D3EA7C959}">
      <text>
        <r>
          <rPr>
            <b/>
            <sz val="9"/>
            <color indexed="81"/>
            <rFont val="Tahoma"/>
            <charset val="1"/>
          </rPr>
          <t>04/12/2013&lt;/D&gt;&lt;D xsi:type="xsd:string"&gt;03/12/2013&lt;/D&gt;&lt;D xsi:type="xsd:string"&gt;02/12/2013&lt;/D&gt;&lt;D xsi:type="xsd:string"&gt;29/11/2013&lt;/D&gt;&lt;D xsi:type="xsd:string"&gt;28/11/2013&lt;/D&gt;&lt;D xsi:type="xsd:string"&gt;27/11/2013&lt;/D&gt;&lt;D xsi:type="xsd:string"&gt;26/11/2013&lt;/D&gt;&lt;D xsi:type="xsd:string"&gt;25/11/2013&lt;/D&gt;&lt;D xsi:type="xsd:string"&gt;22/11/2013&lt;/D&gt;&lt;D xsi:type="xsd:string"&gt;21/11/2013&lt;/D&gt;&lt;D xsi:type="xsd:string"&gt;20/11/2013&lt;/D&gt;&lt;D xsi:type="xsd:string"&gt;19/11/2013&lt;/D&gt;&lt;D xsi:type="xsd:string"&gt;18/11/2013&lt;/D&gt;&lt;D xsi:type="xsd:string"&gt;15/11/2013&lt;/D&gt;&lt;D xsi:type="xsd:string"&gt;14/11/2013&lt;/D&gt;&lt;D xsi:type="xsd:string"&gt;13/11/2013&lt;/D&gt;&lt;D xsi:type="xsd:string"&gt;12/11/2013&lt;/D&gt;&lt;D xsi:type="xsd:string"&gt;11/11/2013&lt;/D&gt;&lt;D xsi:type="xsd:string"&gt;08/11/2013&lt;/D&gt;&lt;D xsi:type="xsd:string"&gt;07/11/2013&lt;/D&gt;&lt;D xsi:type="xsd:string"&gt;06/11/2013&lt;/D&gt;&lt;D xsi:type="xsd:string"&gt;05/11/2013&lt;/D&gt;&lt;D xsi:type="xsd:string"&gt;04/11/2013&lt;/D&gt;&lt;D xsi:type="xsd:string"&gt;01/11/2013&lt;/D&gt;&lt;D xsi:type="xsd:string"&gt;31/10/2013&lt;/D&gt;&lt;D xsi:type="xsd:string"&gt;30/10/2013&lt;/D&gt;&lt;D xsi:type="xsd:string"&gt;29/10/2013&lt;/D&gt;&lt;D xsi:type="xsd:string"&gt;28/10/2013&lt;/D&gt;&lt;D xsi:type="xsd:string"&gt;25/10/2013&lt;/D&gt;&lt;D xsi:type="xsd:string"&gt;24/10/2013&lt;/D&gt;&lt;D xsi:type="xsd:string"&gt;23/10/2013&lt;/D&gt;&lt;D xsi:type="xsd:string"&gt;22/10/2013&lt;/D&gt;&lt;D xsi:type="xsd:string"&gt;21/10/2013&lt;/D&gt;&lt;D xsi:type="xsd:string"&gt;18/10/2013&lt;/D&gt;&lt;D xsi:type="xsd:string"&gt;17/10/2013&lt;/D&gt;&lt;D xsi:type="xsd:string"&gt;16/10/2013&lt;/D&gt;&lt;D xsi:type="xsd:string"&gt;15/10/2013&lt;/D&gt;&lt;D xsi:type="xsd:string"&gt;14/10/2013&lt;/D&gt;&lt;D xsi:type="xsd:string"&gt;11/10/2013&lt;/D&gt;&lt;D xsi:type="xsd:string"&gt;10/10/2013&lt;/D&gt;&lt;D xsi:type="xsd:string"&gt;09/10/2013&lt;/D&gt;&lt;D xsi:type="xsd:string"&gt;08/10/2013&lt;/D&gt;&lt;D xsi:type="xsd:string"&gt;07/10/2013&lt;/D&gt;&lt;D xsi:type="xsd:string"&gt;04/10/2013&lt;/D&gt;&lt;D xsi:type="xsd:string"&gt;03/10/2013&lt;/D&gt;&lt;D xsi:type="xsd:string"&gt;02/10/2013&lt;/D&gt;&lt;D xsi:type="xsd:string"&gt;01/10/2013&lt;/D&gt;&lt;D xsi:type="xsd:string"&gt;30/09/2013&lt;/D&gt;&lt;D xsi:type="xsd:string"&gt;27/09/2013&lt;/D&gt;&lt;D xsi:type="xsd:string"&gt;26/09/2013&lt;/D&gt;&lt;D xsi:type="xsd:string"&gt;25/09/2013&lt;/D&gt;&lt;D xsi:type="xsd:string"&gt;24/09/2013&lt;/D&gt;&lt;D xsi:type="xsd:string"&gt;23/09/2013&lt;/D&gt;&lt;D xsi:type="xsd:string"&gt;20/09/2013&lt;/D&gt;&lt;D xsi:type="xsd:string"&gt;19/09/2013&lt;/D&gt;&lt;D xsi:type="xsd:string"&gt;18/09/2013&lt;/D&gt;&lt;D xsi:type="xsd:string"&gt;17/09/2013&lt;/D&gt;&lt;D xsi:type="xsd:string"&gt;16/09/2013&lt;/D&gt;&lt;D xsi:type="xsd:string"&gt;13/09/2013&lt;/D&gt;&lt;D xsi:type="xsd:string"&gt;12/09/2013&lt;/D&gt;&lt;D xsi:type="xsd:string"&gt;11/09/2013&lt;/D&gt;&lt;D xsi:type="xsd:string"&gt;10/09/2013&lt;/D&gt;&lt;D xsi:type="xsd:string"&gt;09/09/2013&lt;/D&gt;&lt;D xsi:type="xsd:string"&gt;06/09/2013&lt;/D&gt;&lt;D xsi:type="xsd:string"&gt;05/09/2013&lt;/D&gt;&lt;D xsi:type="xsd:string"&gt;04/09/2013&lt;/D&gt;&lt;D xsi:type="xsd:string"&gt;03/09/2013&lt;/D&gt;&lt;D xsi:type="xsd:string"&gt;02/09/2013&lt;/D&gt;&lt;D xsi:type="xsd:string"&gt;30/08/2013&lt;/D&gt;&lt;D xsi:type="xsd:string"&gt;29/08/2013&lt;/D&gt;&lt;D xsi:type="xsd:string"&gt;28/08/2013&lt;/D&gt;&lt;D xsi:type="xsd:string"&gt;27/08/2013&lt;/D&gt;&lt;D xsi:type="xsd:string"&gt;26/08/2013&lt;/D&gt;&lt;D xsi:type="xsd:string"&gt;23/08/2013&lt;/D&gt;&lt;D xsi:type="xsd:string"&gt;22/08/2013&lt;/D&gt;&lt;D xsi:type="xsd:string"&gt;21/08/2013&lt;/D&gt;&lt;D xsi:type="xsd:string"&gt;20/08/2013&lt;/D&gt;&lt;D xsi:type="xsd:string"&gt;19/08/2013&lt;/D&gt;&lt;D xsi:type="xsd:string"&gt;16/08/2013&lt;/D&gt;&lt;D xsi:type="xsd:string"&gt;15/08/2013&lt;/D&gt;&lt;D xsi:type="xsd:string"&gt;14/08/2013&lt;/D&gt;&lt;D xsi:type="xsd:string"&gt;13/08/2013&lt;/D&gt;&lt;D xsi:type="xsd:string"&gt;12/08/2013&lt;/D&gt;&lt;D xsi:type="xsd:string"&gt;09/08/2013&lt;/D&gt;&lt;D xsi:type="xsd:string"&gt;08/08/2013&lt;/D&gt;&lt;D xsi:type="xsd:string"&gt;07/08/2013&lt;/D&gt;&lt;D xsi:type="xsd:string"&gt;06/08/2013&lt;/D&gt;&lt;D xsi:type="xsd:string"&gt;05/08/2013&lt;/D&gt;&lt;D xsi:type="xsd:string"&gt;02/08/2013&lt;/D&gt;&lt;D xsi:type="xsd:string"&gt;01/08/2013&lt;/D&gt;&lt;D xsi:type="xsd:string"&gt;31/07/2013&lt;/D&gt;&lt;D xsi:type="xsd:string"&gt;30/07/2013&lt;/D&gt;&lt;D xsi:type="xsd:string"&gt;29/07/2013&lt;/D&gt;&lt;D xsi:type="xsd:string"&gt;26/07/2013&lt;/D&gt;&lt;D xsi:type="xsd:string"&gt;25/07/2013&lt;/D&gt;&lt;D xsi:type="xsd:string"&gt;24/07/2013&lt;/D&gt;&lt;D xsi:type="xsd:string"&gt;23/07/2013&lt;/D&gt;&lt;D xsi:type="xsd:string"&gt;22/07/2013&lt;/D&gt;&lt;D xsi:type="xsd:string"&gt;19/07/2013&lt;/D&gt;&lt;D xsi:type="xsd:string"&gt;18/07/2013&lt;/D&gt;&lt;D xsi:type="xsd:string"&gt;17/07/2013&lt;/D&gt;&lt;D xsi:type="xsd:string"&gt;16/07/2013&lt;/D&gt;&lt;D xsi:type="xsd:string"&gt;15/07/2013&lt;/D&gt;&lt;D xsi:type="xsd:string"&gt;12/07/2013&lt;/D&gt;&lt;D xsi:type="xsd:string"&gt;11/07/2013&lt;/D&gt;&lt;D xsi:type="xsd:string"&gt;10/07/2013&lt;/D&gt;&lt;D xsi:type="xsd:string"&gt;09/07/2013&lt;/D&gt;&lt;D xsi:type="xsd:string"&gt;08/07/2013&lt;/D&gt;&lt;D xsi:type="xsd:string"&gt;05/07/2013&lt;/D&gt;&lt;D xsi:type="xsd:string"&gt;04/07/2013&lt;/D&gt;&lt;D xsi:type="xsd:string"&gt;03/07/2013&lt;/D&gt;&lt;D xsi:type="xsd:string"&gt;02/07/2013&lt;/D&gt;&lt;D xsi:type="xsd:string"&gt;01/07/2013&lt;/D&gt;&lt;D xsi:type="xsd:string"&gt;28/06/2013&lt;/D&gt;&lt;D xsi:type="xsd:string"&gt;27/06/2013&lt;/D&gt;&lt;D xsi:type="xsd:string"&gt;26/06/2013&lt;/D&gt;&lt;D xsi:type="xsd:string"&gt;25/06/2013&lt;/D&gt;&lt;D xsi:type="xsd:string"&gt;24/06/2013&lt;/D&gt;&lt;D xsi:type="xsd:string"&gt;21/06/2013&lt;/D&gt;&lt;D xsi:type="xsd:string"&gt;20/06/2013&lt;/D&gt;&lt;D xsi:type="xsd:string"&gt;19/06/2013&lt;/D&gt;&lt;D xsi:type="xsd:string"&gt;18/06/2013&lt;/D&gt;&lt;D xsi:type="xsd:string"&gt;17/06/2013&lt;/D&gt;&lt;D xsi:type="xsd:string"&gt;14/06/2013&lt;/D&gt;&lt;D xsi:type="xsd:string"&gt;13/06/2013&lt;/D&gt;&lt;D xsi:type="xsd:string"&gt;12/06/2013&lt;/D&gt;&lt;D xsi:type="xsd:string"&gt;11/06/2013&lt;/D&gt;&lt;D xsi:type="xsd:string"&gt;10/06/2013&lt;/D&gt;&lt;D xsi:type="xsd:string"&gt;07/06/2013&lt;/D&gt;&lt;D xsi:type="xsd:string"&gt;06/06/2013&lt;/D&gt;&lt;D xsi:type="xsd:string"&gt;05/06/2013&lt;/D&gt;&lt;D xsi:type="xsd:string"&gt;04/06/2013&lt;/D&gt;&lt;D xsi:type="xsd:string"&gt;03/06/2013&lt;/D&gt;&lt;D xsi:type="xsd:string"&gt;31/05/2013&lt;/D&gt;&lt;D xsi:type="xsd:string"&gt;30/05/2013&lt;/D&gt;&lt;D xsi:type="xsd:string"&gt;29/05/2013&lt;/D&gt;&lt;D xsi:type="xsd:string"&gt;28/05/2013&lt;/D&gt;&lt;D xsi:type="xsd:string"&gt;27/05/2013&lt;/D&gt;&lt;D xsi:type="xsd:string"&gt;24/05/2013&lt;/D&gt;&lt;D xsi:type="xsd:string"&gt;23/05/2013&lt;/D&gt;&lt;D xsi:type="xsd:string"&gt;22/05/2013&lt;/D&gt;&lt;D xsi:type="xsd:string"&gt;21/05/2013&lt;/D&gt;&lt;D xsi:type="xsd:string"&gt;20/05/2013&lt;/D&gt;&lt;D xsi:type="xsd:string"&gt;17/05/2013&lt;/D&gt;&lt;D xsi:type="xsd:string"&gt;16/05/2013&lt;/D&gt;&lt;D xsi:type="xsd:string"&gt;15/05/2013&lt;/D&gt;&lt;D xsi:type="xsd:string"&gt;14/05/2013&lt;/D&gt;&lt;D xsi:type="xsd:string"&gt;13/05/2013&lt;/D&gt;&lt;D xsi:type="xsd:string"&gt;10/05/2013&lt;/D&gt;&lt;D xsi:type="xsd:string"&gt;09/05/2013&lt;/D&gt;&lt;D xsi:type="xsd:string"&gt;08/05/2013&lt;/D&gt;&lt;D xsi:type="xsd:string"&gt;07/05/2013&lt;/D&gt;&lt;D xsi:type="xsd:string"&gt;06/05/2013&lt;/D&gt;&lt;D xsi:type="xsd:string"&gt;03/05/2013&lt;/D&gt;&lt;D xsi:type="xsd:string"&gt;02/05/2013&lt;/D&gt;&lt;D xsi:type="xsd:string"&gt;01/05/2013&lt;/D&gt;&lt;D xsi:type="xsd:string"&gt;30/04/2013&lt;/D&gt;&lt;D xsi:type="xsd:string"&gt;29/04/2013&lt;/D&gt;&lt;D xsi:type="xsd:string"&gt;26/04/2013&lt;/D&gt;&lt;D xsi:type="xsd:string"&gt;25/04/2013&lt;/D&gt;&lt;D xsi:type="xsd:string"&gt;24/04/2013&lt;/D&gt;&lt;D xsi:type="xsd:string"&gt;23/04/2013&lt;/D&gt;&lt;D xsi:type="xsd:string"&gt;22/04/2013&lt;/D&gt;&lt;D xsi:type="xsd:string"&gt;19/04/2013&lt;/D&gt;&lt;D xsi:type="xsd:string"&gt;18/04/2013&lt;/D&gt;&lt;D xsi:type="xsd:string"&gt;17/04/2013&lt;/D&gt;&lt;D xsi:type="xsd:string"&gt;16/04/2013&lt;/D&gt;&lt;D xsi:type="xsd:string"&gt;15/04/2013&lt;/D&gt;&lt;D xsi:type="xsd:string"&gt;12/04/2013&lt;/D&gt;&lt;D xsi:type="xsd:string"&gt;11/04/2013&lt;/D&gt;&lt;D xsi:type="xsd:string"&gt;10/04/2013&lt;/D&gt;&lt;D xsi:type="xsd:string"&gt;09/04/2013&lt;/D&gt;&lt;D xsi:type="xsd:string"&gt;08/04/2013&lt;/D&gt;&lt;D xsi:type="xsd:string"&gt;05/04/2013&lt;/D&gt;&lt;D xsi:type="xsd:string"&gt;04/04/2013&lt;/D&gt;&lt;D xsi:type="xsd:string"&gt;03/04/2013&lt;/D&gt;&lt;D xsi:type="xsd:string"&gt;02/04/2013&lt;/D&gt;&lt;D xsi:type="xsd:string"&gt;01/04/2013&lt;/D&gt;&lt;D xsi:type="xsd:string"&gt;29/03/2013&lt;/D&gt;&lt;D xsi:type="xsd:string"&gt;28/03/2013&lt;/D&gt;&lt;D xsi:type="xsd:string"&gt;27/03/2013&lt;/D&gt;&lt;D xsi:type="xsd:string"&gt;26/03/2013&lt;/D&gt;&lt;D xsi:type="xsd:string"&gt;25/03/2013&lt;/D&gt;&lt;D xsi:type="xsd:string"&gt;22/03/2013&lt;/D&gt;&lt;D xsi:type="xsd:string"&gt;21/03/2013&lt;/D&gt;&lt;D xsi:type="xsd:string"&gt;20/03/2013&lt;/D&gt;&lt;D xsi:type="xsd:string"&gt;19/03/2013&lt;/D&gt;&lt;D xsi:type="xsd:string"&gt;18/03/2013&lt;/D&gt;&lt;D xsi:type="xsd:string"&gt;15/03/2013&lt;/D&gt;&lt;D xsi:type="xsd:string"&gt;14/03/2013&lt;/D&gt;&lt;D xsi:type="xsd:string"&gt;13/03/2013&lt;/D&gt;&lt;D xsi:type="xsd:string"&gt;12/03/2013&lt;/D&gt;&lt;D xsi:type="xsd:string"&gt;11/03/2013&lt;/D&gt;&lt;D xsi:type="xsd:string"&gt;08/03/2013&lt;/D&gt;&lt;D xsi:type="xsd:string"&gt;07/03/2013&lt;/D&gt;&lt;D xsi:type="xsd:string"&gt;06/03/2013&lt;/D&gt;&lt;D xsi:type="xsd:string"&gt;05/03/2013&lt;/D&gt;&lt;D xsi:type="xsd:string"&gt;04/03/2013&lt;/D&gt;&lt;D xsi:type="xsd:string"&gt;01/03/2013&lt;/D&gt;&lt;D xsi:type="xsd:string"&gt;28/02/2013&lt;/D&gt;&lt;D xsi:type="xsd:string"&gt;27/02/2013&lt;/D&gt;&lt;D xsi:type="xsd:string"&gt;26/02/2013&lt;/D&gt;&lt;D xsi:type="xsd:string"&gt;25/02/2013&lt;/D&gt;&lt;D xsi:type="xsd:string"&gt;22/02/2013&lt;/D&gt;&lt;D xsi:type="xsd:string"&gt;21/02/2013&lt;/D&gt;&lt;D xsi:type="xsd:string"&gt;20/02/2013&lt;/D&gt;&lt;D xsi:type="xsd:string"&gt;19/02/2013&lt;/D&gt;&lt;D xsi:type="xsd:string"&gt;18/02/2013&lt;/D&gt;&lt;D xsi:type="xsd:string"&gt;15/02/2013&lt;/D&gt;&lt;D xsi:type="xsd:string"&gt;14/02/2013&lt;/D&gt;&lt;D xsi:type="xsd:string"&gt;13/02/2013&lt;/D&gt;&lt;D xsi:type="xsd:string"&gt;12/02/2013&lt;/D&gt;&lt;D xsi:type="xsd:string"&gt;11/02/2013&lt;/D&gt;&lt;D xsi:type="xsd:string"&gt;08/02/2013&lt;/D&gt;&lt;D xsi:type="xsd:string"&gt;07/02/2013&lt;/D&gt;&lt;D xsi:type="xsd:string"&gt;06/02/2013&lt;/D&gt;&lt;D xsi:type="xsd:string"&gt;05/02/2013&lt;/D&gt;&lt;D xsi:type="xsd:string"&gt;04/02/2013&lt;/D&gt;&lt;D xsi:type="xsd:string"&gt;01/02/2013&lt;/D&gt;&lt;D xsi:type="xsd:string"&gt;31/01/2013&lt;/D&gt;&lt;D xsi:type="xsd:string"&gt;30/01/2013&lt;/D&gt;&lt;D xsi:type="xsd:string"&gt;29/01/2013&lt;/D&gt;&lt;D xsi:type="xsd:string"&gt;28/01/2013&lt;/D&gt;&lt;D xsi:type="xsd:string"&gt;25/01/2013&lt;/D&gt;&lt;D xsi:type="xsd:string"&gt;24/01/2013&lt;/D&gt;&lt;D xsi:type="xsd:string"&gt;23/01/2013&lt;/D&gt;&lt;D xsi:type="xsd:string"&gt;22/01/2013&lt;/D&gt;&lt;D xsi:type="xsd:string"&gt;21/01/2013&lt;/D&gt;&lt;D xsi:type="xsd:string"&gt;18/01/2013&lt;/D&gt;&lt;D xsi:type="xsd:string"&gt;17/01/2013&lt;/D&gt;&lt;D xsi:type="xsd:string"&gt;16/01/2013&lt;/D&gt;&lt;D xsi:type="xsd:string"&gt;15/01/2013&lt;/D&gt;&lt;D xsi:type="xsd:string"&gt;14/01/2013&lt;/D&gt;&lt;D xsi:type="xsd:string"&gt;11/01/2013&lt;/D&gt;&lt;D xsi:type="xsd:string"&gt;10/01/2013&lt;/D&gt;&lt;D xsi:type="xsd:string"&gt;09/01/2013&lt;/D&gt;&lt;D xsi:type="xsd:string"&gt;08/01/2013&lt;/D&gt;&lt;D xsi:type="xsd:string"&gt;07/01/2013&lt;/D&gt;&lt;D xsi:type="xsd:string"&gt;04/01/2013&lt;/D&gt;&lt;D xsi:type="xsd:string"&gt;03/01/2013&lt;/D&gt;&lt;D xsi:type="xsd:string"&gt;02/01/2013&lt;/D&gt;&lt;D xsi:type="xsd:string"&gt;01/01/2013&lt;/D&gt;&lt;D xsi:type="xsd:string"&gt;31/12/2012&lt;/D&gt;&lt;D xsi:type="xsd:string"&gt;28/12/2012&lt;/D&gt;&lt;D xsi:type="xsd:string"&gt;27/12/2012&lt;/D&gt;&lt;D xsi:type="xsd:string"&gt;26/12/2012&lt;/D&gt;&lt;D xsi:type="xsd:string"&gt;25/12/2012&lt;/D&gt;&lt;D xsi:type="xsd:string"&gt;24/12/2012&lt;/D&gt;&lt;D xsi:type="xsd:string"&gt;21/12/2012&lt;/D&gt;&lt;D xsi:type="xsd:string"&gt;20/12/2012&lt;/D&gt;&lt;D xsi:type="xsd:string"&gt;19/12/2012&lt;/D&gt;&lt;D xsi:type="xsd:string"&gt;18/12/2012&lt;/D&gt;&lt;D xsi:type="xsd:string"&gt;17/12/2012&lt;/D&gt;&lt;D xsi:type="xsd:string"&gt;14/12/2012&lt;/D&gt;&lt;D xsi:type="xsd:string"&gt;13/12/2012&lt;/D&gt;&lt;D xsi:type="xsd:string"&gt;12/12/2012&lt;/D&gt;&lt;D xsi:type="xsd:string"&gt;11/12/2012&lt;/D&gt;&lt;D xsi:type="xsd:string"&gt;10/12/2012&lt;/D&gt;&lt;D xsi:type="xsd:string"&gt;07/12/2012&lt;/D&gt;&lt;D xsi:type="xsd:string"&gt;06/12/2012&lt;/D&gt;&lt;D xsi:type="xsd:string"&gt;05/12/2012&lt;/D&gt;&lt;D xsi:type="xsd:string"&gt;04/12/2012&lt;/D&gt;&lt;D xsi:type="xsd:string"&gt;03/12/2012&lt;/D&gt;&lt;D xsi:type="xsd:string"&gt;30/11/2012&lt;/D&gt;&lt;D xsi:type="xsd:string"&gt;29/11/2012&lt;/D&gt;&lt;D xsi:type="xsd:string"&gt;28/11/2012&lt;/D&gt;&lt;D xsi:type="xsd:string"&gt;27/11/2012&lt;/D&gt;&lt;D xsi:type="xsd:string"&gt;26/11/2012&lt;/D&gt;&lt;D xsi:type="xsd:string"&gt;23/11/2012&lt;/D&gt;&lt;D xsi:type="xsd:string"&gt;22/11/2012&lt;/D&gt;&lt;D xsi:type="xsd:string"&gt;21/11/2012&lt;/D&gt;&lt;D xsi:type="xsd:string"&gt;20/11/2012&lt;/D&gt;&lt;D xsi:type="xsd:string"&gt;19/11/2012&lt;/D&gt;&lt;D xsi:type="xsd:string"&gt;16/11/2012&lt;/D&gt;&lt;D xsi:type="xsd:string"&gt;15/11/2012&lt;/D&gt;&lt;D xsi:type="xsd:string"&gt;14/11/2012&lt;/D&gt;&lt;D xsi:type="xsd:string"&gt;13/11/2012&lt;/D&gt;&lt;D xsi:type="xsd:string"&gt;12/11/2012&lt;/D&gt;&lt;D xsi:type="xsd:string"&gt;09/11/2012&lt;/D&gt;&lt;D xsi:type="xsd:string"&gt;08/11/2012&lt;/D&gt;&lt;D xsi:type="xsd:string"&gt;07/11/2012&lt;/D&gt;&lt;D xsi:type="xsd:string"&gt;06/11/2012&lt;/D&gt;&lt;D xsi:type="xsd:string"&gt;05/11/2012&lt;/D&gt;&lt;D xsi:type="xsd:string"&gt;02/11/2012&lt;/D&gt;&lt;D xsi:type="xsd:string"&gt;01/11/2012&lt;/D&gt;&lt;D xsi:type="xsd:string"&gt;31/10/2012&lt;/D&gt;&lt;D xsi:type="xsd:string"&gt;30/10/2012&lt;/D&gt;&lt;D xsi:type="xsd:string"&gt;29/10/2012&lt;/D&gt;&lt;D xsi:type="xsd:string"&gt;26/10/2012&lt;/D&gt;&lt;D xsi:type="xsd:string"&gt;25/10/2012&lt;/D&gt;&lt;D xsi:type="xsd:string"&gt;24/10/2012&lt;/D&gt;&lt;D xsi:type="xsd:string"&gt;23/10/2012&lt;/D&gt;&lt;D xsi:type="xsd:string"&gt;22/10/2012&lt;/D&gt;&lt;D xsi:type="xsd:string"&gt;19/10/2012&lt;/D&gt;&lt;D xsi:type="xsd:string"&gt;18/10/2012&lt;/D&gt;&lt;D xsi:type="xsd:string"&gt;17/10/2012&lt;/D&gt;&lt;D xsi:type="xsd:string"&gt;16/10/2012&lt;/D&gt;&lt;D xsi:type="xsd:string"&gt;15/10/2012&lt;/D&gt;&lt;D xsi:type="xsd:string"&gt;12/10/2012&lt;/D&gt;&lt;D xsi:type="xsd:string"&gt;11/10/2012&lt;/D&gt;&lt;D xsi:type="xsd:string"&gt;10/10/2012&lt;/D&gt;&lt;D xsi:type="xsd:string"&gt;09/10/2012&lt;/D&gt;&lt;D xsi:type="xsd:string"&gt;08/10/2012&lt;/D&gt;&lt;D xsi:type="xsd:string"&gt;05/10/2012&lt;/D&gt;&lt;D xsi:type="xsd:string"&gt;04/10/2012&lt;/D&gt;&lt;D xsi:type="xsd:string"&gt;03/10/2012&lt;/D&gt;&lt;D xsi:type="xsd:string"&gt;02/10/2012&lt;/D&gt;&lt;D xsi:type="xsd:string"&gt;01/10/2012&lt;/D&gt;&lt;D xsi:type="xsd:string"&gt;28/09/2012&lt;/D&gt;&lt;D xsi:type="xsd:string"&gt;27/09/2012&lt;/D&gt;&lt;D xsi:type="xsd:string"&gt;26/09/2012&lt;/D&gt;&lt;D xsi:type="xsd:string"&gt;25/09/2012&lt;/D&gt;&lt;D xsi:type="xsd:string"&gt;24/09/2012&lt;/D&gt;&lt;D xsi:type="xsd:string"&gt;21/09/2012&lt;/D&gt;&lt;D xsi:type="xsd:string"&gt;20/09/2012&lt;/D&gt;&lt;D xsi:type="xsd:string"&gt;19/09/2012&lt;/D&gt;&lt;D xsi:type="xsd:string"&gt;18/09/2012&lt;/D&gt;&lt;D xsi:type="xsd:string"&gt;17/09/2012&lt;/D&gt;&lt;D xsi:type="xsd:string"&gt;14/09/2012&lt;/D&gt;&lt;D xsi:type="xsd:string"&gt;13/09/2012&lt;/D&gt;&lt;D xsi:type="xsd:string"&gt;12/09/2012&lt;/D&gt;&lt;D xsi:type="xsd:string"&gt;11/09/2012&lt;/D&gt;&lt;D xsi:type="xsd:string"&gt;10/09/2012&lt;/D&gt;&lt;D xsi:type="xsd:string"&gt;07/09/2012&lt;/D&gt;&lt;D xsi:type="xsd:string"&gt;06/09/2012&lt;/D&gt;&lt;D xsi:type="xsd:string"&gt;05/09/2012&lt;/D&gt;&lt;D xsi:type="xsd:string"&gt;04/09/2012&lt;/D&gt;&lt;D xsi:type="xsd:string"&gt;03/09/2012&lt;/D&gt;&lt;D xsi:type="xsd:string"&gt;31/08/2012&lt;/D&gt;&lt;D xsi:type="xsd:string"&gt;30/08/2012&lt;/D&gt;&lt;D xsi:type="xsd:string"&gt;29/08/2012&lt;/D&gt;&lt;D xsi:type="xsd:string"&gt;28/08/2012&lt;/D&gt;&lt;D xsi:type="xsd:string"&gt;27/08/2012&lt;/D&gt;&lt;D xsi:type="xsd:string"&gt;24/08/2012&lt;/D&gt;&lt;D xsi:type="xsd:string"&gt;23/08/2012&lt;/D&gt;&lt;D xsi:type="xsd:string"&gt;22/08/2012&lt;/D&gt;&lt;D xsi:type="xsd:string"&gt;21/08/2012&lt;/D&gt;&lt;D xsi:type="xsd:string"&gt;20/08/2012&lt;/D&gt;&lt;D xsi:type="xsd:string"&gt;17/08/2012&lt;/D&gt;&lt;D xsi:type="xsd:string"&gt;16/08/2012&lt;/D&gt;&lt;D xsi:type="xsd:string"&gt;15/08/2012&lt;/D&gt;&lt;D xsi:type="xsd:string"&gt;14/08/2012&lt;/D&gt;&lt;D xsi:type="xsd:string"&gt;13/08/2012&lt;/D&gt;&lt;D xsi:type="xsd:string"&gt;10/08/2012&lt;/D&gt;&lt;D xsi:type="xsd:string"&gt;09/08/2012&lt;/D&gt;&lt;D xsi:type="xsd:string"&gt;08/08/2012&lt;/D&gt;&lt;D xsi:type="xsd:string"&gt;07/08/2012&lt;/D&gt;&lt;D xsi:type="xsd:string"&gt;06/08/2012&lt;/D&gt;&lt;D xsi:type="xsd:string"&gt;03/08/2012&lt;/D&gt;&lt;D xsi:type="xsd:string"&gt;02/08/2012&lt;/D&gt;&lt;D xsi:type="xsd:string"&gt;01/08/2012&lt;/D&gt;&lt;D xsi:type="xsd:string"&gt;31/07/2012&lt;/D&gt;&lt;D xsi:type="xsd:string"&gt;30/07/2012&lt;/D&gt;&lt;D xsi:type="xsd:string"&gt;27/07/2012&lt;/D&gt;&lt;D xsi:type="xsd:string"&gt;26/07/2012&lt;/D&gt;&lt;D xsi:type="xsd:string"&gt;25/07/2012&lt;/D&gt;&lt;D xsi:type="xsd:string"&gt;24/07/2012&lt;/D&gt;&lt;D xsi:type="xsd:string"&gt;23/07/2012&lt;/D&gt;&lt;D xsi:type="xsd:string"&gt;20/07/2012&lt;/D&gt;&lt;D xsi:type="xsd:string"&gt;19/07/2012&lt;/D&gt;&lt;D xsi:type="xsd:string"&gt;18/07/2012&lt;/D&gt;&lt;D xsi:type="xsd:string"&gt;17/07/2012&lt;/D&gt;&lt;D xsi:type="xsd:string"&gt;16/07/2012&lt;/D&gt;&lt;D xsi:type="xsd:string"&gt;13/07/2012&lt;/D&gt;&lt;D xsi:type="xsd:string"&gt;12/07/2012&lt;/D&gt;&lt;D xsi:type="xsd:string"&gt;11/07/2012&lt;/D&gt;&lt;D xsi:type="xsd:string"&gt;10/07/2012&lt;/D&gt;&lt;D xsi:type="xsd:string"&gt;09/07/2012&lt;/D&gt;&lt;D xsi:type="xsd:string"&gt;06/07/2012&lt;/D&gt;&lt;D xsi:type="xsd:string"&gt;05/07/2012&lt;/D&gt;&lt;D xsi:type="xsd:string"&gt;04/07/2012&lt;/D&gt;&lt;D xsi:type="xsd:string"&gt;03/07/2012&lt;/D&gt;&lt;D xsi:type="xsd:string"&gt;02/07/2012&lt;/D&gt;&lt;D xsi:type="xsd:string"&gt;29/06/2012&lt;/D&gt;&lt;D xsi:type="xsd:string"&gt;28/06/2012&lt;/D&gt;&lt;D xsi:type="xsd:string"&gt;27/06/2012&lt;/D&gt;&lt;D xsi:type="xsd:string"&gt;26/06/2012&lt;/D&gt;&lt;D xsi:type="xsd:string"&gt;25/06/2012&lt;/D&gt;&lt;D xsi:type="xsd:string"&gt;22/06/2012&lt;/D&gt;&lt;D xsi:type="xsd:string"&gt;21/06/2012&lt;/D&gt;&lt;D xsi:type="xsd:string"&gt;20/06/2012&lt;/D&gt;&lt;D xsi:type="xsd:string"&gt;19/06/2012&lt;/D&gt;&lt;D xsi:type="xsd:string"&gt;18/06/2012&lt;/D&gt;&lt;D xsi:type="xsd:string"&gt;15/06/2012&lt;/D&gt;&lt;D xsi:type="xsd:string"&gt;14/06/2012&lt;/D&gt;&lt;D xsi:type="xsd:string"&gt;13/06/2012&lt;/D&gt;&lt;D xsi:type="xsd:string"&gt;12/06/2012&lt;/D&gt;&lt;D xsi:type="xsd:string"&gt;11/06/2012&lt;/D&gt;&lt;D xsi:type="xsd:string"&gt;08/06/2012&lt;/D&gt;&lt;D xsi:type="xsd:string"&gt;07/06/2012&lt;/D&gt;&lt;D xsi:type="xsd:string"&gt;06/06/2012&lt;/D&gt;&lt;D xsi:type="xsd:string"&gt;05/06/2012&lt;/D&gt;&lt;D xsi:type="xsd:string"&gt;04/06/2012&lt;/D&gt;&lt;D xsi:type="xsd:string"&gt;01/06/2012&lt;/D&gt;&lt;D xsi:type="xsd:string"&gt;31/05/2012&lt;/D&gt;&lt;D xsi:type="xsd:string"&gt;30/05/2012&lt;/D&gt;&lt;D xsi:type="xsd:string"&gt;29/05/2012&lt;/D&gt;&lt;D xsi:type="xsd:string"&gt;28/05/2012&lt;/D&gt;&lt;D xsi:type="xsd:string"&gt;25/05/2012&lt;/D&gt;&lt;D xsi:type="xsd:string"&gt;24/05/2012&lt;/D&gt;&lt;D xsi:type="xsd:string"&gt;23/05/2012&lt;/D&gt;&lt;D xsi:type="xsd:string"&gt;22/05/2012&lt;/D&gt;&lt;D xsi:type="xsd:string"&gt;21/05/2012&lt;/D&gt;&lt;D xsi:type="xsd:string"&gt;18/05/2012&lt;/D&gt;&lt;D xsi:type="xsd:string"&gt;17/05/2012&lt;/D&gt;&lt;D xsi:type="xsd:string"&gt;16/05/2012&lt;/D&gt;&lt;D xsi:type="xsd:string"&gt;15/05/2012&lt;/D&gt;&lt;D xsi:type="xsd:string"&gt;14/05/2012&lt;/D&gt;&lt;D xsi:type="xsd:string"&gt;11/05/2012&lt;/D&gt;&lt;D xsi:type="xsd:string"&gt;10/05/2012&lt;/D&gt;&lt;D xsi:type="xsd:string"&gt;09/05/2012&lt;/D&gt;&lt;D xsi:type="xsd:string"&gt;08/05/2012&lt;/D&gt;&lt;D xsi:type="xsd:string"&gt;07/05/2012&lt;/D&gt;&lt;D xsi:type="xsd:string"&gt;04/05/2012&lt;/D&gt;&lt;D xsi:type="xsd:string"&gt;03/05/2012&lt;/D&gt;&lt;D xsi:type="xsd:string"&gt;02/05/2012&lt;/D&gt;&lt;D xsi:type="xsd:string"&gt;01/05/2012&lt;/D&gt;&lt;D xsi:type="xsd:string"&gt;30/04/2012&lt;/D&gt;&lt;D xsi:type="xsd:string"&gt;27/04/2012&lt;/D&gt;&lt;D xsi:type="xsd:string"&gt;26/04/2012&lt;/D&gt;&lt;D xsi:type="xsd:string"&gt;25/04/2012&lt;/D&gt;&lt;D xsi:type="xsd:string"&gt;24/04/2012&lt;/D&gt;&lt;D xsi:type="xsd:string"&gt;23/04/2012&lt;/D&gt;&lt;D xsi:type="xsd:string"&gt;20/04/2012&lt;/D&gt;&lt;D xsi:type="xsd:string"&gt;19/04/2012&lt;/D&gt;&lt;D xsi:type="xsd:string"&gt;18/04/2012&lt;/D&gt;&lt;D xsi:type="xsd:string"&gt;17/04/2012&lt;/D&gt;&lt;D xsi:type="xsd:string"&gt;16/04/2012&lt;/D&gt;&lt;D xsi:type="xsd:string"&gt;13/04/2012&lt;/D&gt;&lt;D xsi:type="xsd:string"&gt;12/04/2012&lt;/D&gt;&lt;D xsi:type="xsd:string"&gt;11/04/2012&lt;/D&gt;&lt;D xsi:type="xsd:string"&gt;10/04/2012&lt;/D&gt;&lt;D xsi:type="xsd:string"&gt;09/04/2012&lt;/D&gt;&lt;D xsi:type="xsd:string"&gt;06/04/2012&lt;/D&gt;&lt;D xsi:type="xsd:string"&gt;05/04/2012&lt;/D&gt;&lt;D xsi:type="xsd:string"&gt;04/04/2012&lt;/D&gt;&lt;D xsi:type="xsd:string"&gt;03/04/2012&lt;/D&gt;&lt;D xsi:type="xsd:string"&gt;02/04/2012&lt;/D&gt;&lt;D xsi:type="xsd:string"&gt;30/03/2012&lt;/D&gt;&lt;D xsi:type="xsd:string"&gt;29/03/2012&lt;/D&gt;&lt;D xsi:type="xsd:string"&gt;28/03/2012&lt;/D&gt;&lt;D xsi:type="xsd:string"&gt;27/03/2012&lt;/D&gt;&lt;D xsi:type="xsd:string"&gt;26/03/2012&lt;/D&gt;&lt;D xsi:type="xsd:string"&gt;23/03/2012&lt;/D&gt;&lt;D xsi:type="xsd:string"&gt;22/03/2012&lt;/D&gt;&lt;D xsi:type="xsd:string"&gt;21/03/2012&lt;/D&gt;&lt;D xsi:type="xsd:string"&gt;20/03/2012&lt;/D&gt;&lt;D xsi:type="xsd:string"&gt;19/03/2012&lt;/D&gt;&lt;D xsi:type="xsd:string"&gt;16/03/2012&lt;/D&gt;&lt;D xsi:type="xsd:string"&gt;15/03/2012&lt;/D&gt;&lt;D xsi:type="xsd:string"&gt;14/03/2012&lt;/D&gt;&lt;D xsi:type="xsd:string"&gt;13/03/2012&lt;/D&gt;&lt;D xsi:type="xsd:string"&gt;12/03/2012&lt;/D&gt;&lt;D xsi:type="xsd:string"&gt;09/03/2012&lt;/D&gt;&lt;D xsi:type="xsd:string"&gt;08/03/2012&lt;/D&gt;&lt;D xsi:type="xsd:string"&gt;07/03/2012&lt;/D&gt;&lt;D xsi:type="xsd:string"&gt;06/03/2012&lt;/D&gt;&lt;D xsi:type="xsd:string"&gt;05/03/2012&lt;/D&gt;&lt;D xsi:type="xsd:string"&gt;02/03/2012&lt;/D&gt;&lt;D xsi:type="xsd:string"&gt;01/03/2012&lt;/D&gt;&lt;D xsi:type="xsd:string"&gt;29/02/2012&lt;/D&gt;&lt;D xsi:type="xsd:string"&gt;28/02/2012&lt;/D&gt;&lt;D xsi:type="xsd:string"&gt;27/02/2012&lt;/D&gt;&lt;D xsi:type="xsd:string"&gt;24/02/2012&lt;/D&gt;&lt;D xsi:type="xsd:string"&gt;23/02/2012&lt;/D&gt;&lt;D xsi:type="xsd:string"&gt;22/02/2012&lt;/D&gt;&lt;D xsi:type="xsd:string"&gt;21/02/2012&lt;/D&gt;&lt;D xsi:type="xsd:string"&gt;20/02/2012&lt;/D&gt;&lt;D xsi:type="xsd:string"&gt;17/02/2012&lt;/D&gt;&lt;D xsi:type="xsd:string"&gt;16/02/2012&lt;/D&gt;&lt;D xsi:type="xsd:string"&gt;15/02/2012&lt;/D&gt;&lt;D xsi:type="xsd:string"&gt;14/02/2012&lt;/D&gt;&lt;D xsi:type="xsd:string"&gt;13/02/2012&lt;/D&gt;&lt;D xsi:type="xsd:string"&gt;10/02/2012&lt;/D&gt;&lt;D xsi:type="xsd:string"&gt;09/02/2012&lt;/D&gt;&lt;D xsi:type="xsd:string"&gt;08/02/2012&lt;/D&gt;&lt;D xsi:type="xsd:string"&gt;07/02/2012&lt;/D&gt;&lt;D xsi:type="xsd:string"&gt;06/02/2012&lt;/D&gt;&lt;D xsi:type="xsd:string"&gt;03/02/2012&lt;/D&gt;&lt;D xsi:type="xsd:string"&gt;02/02/2012&lt;/D&gt;&lt;D xsi:type="xsd:string"&gt;01/02/2012&lt;/D&gt;&lt;D xsi:type="xsd:string"&gt;31/01/2012&lt;/D&gt;&lt;D xsi:type="xsd:string"&gt;30/01/2012&lt;/D&gt;&lt;D xsi:type="xsd:string"&gt;27/01/2012&lt;/D&gt;&lt;D xsi:type="xsd:string"&gt;26/01/2012&lt;/D&gt;&lt;D xsi:type="xsd:string"&gt;25/01/2012&lt;/D&gt;&lt;D xsi:type="xsd:string"&gt;24/01/2012&lt;/D&gt;&lt;D xsi:type="xsd:string"&gt;23/01/2012&lt;/D&gt;&lt;D xsi:type="xsd:string"&gt;20/01/2012&lt;/D&gt;&lt;D xsi:type="xsd:string"&gt;19/01/2012&lt;/D&gt;&lt;D xsi:type="xsd:string"&gt;18/01/2012&lt;/D&gt;&lt;D xsi:type="xsd:string"&gt;17/01/2012&lt;/D&gt;&lt;D xsi:type="xsd:string"&gt;16/01/2012&lt;/D&gt;&lt;D xsi:type="xsd:string"&gt;13/01/2012&lt;/D&gt;&lt;D xsi:type="xsd:string"&gt;12/01/2012&lt;/D&gt;&lt;D xsi:type="xsd:string"&gt;11/01/2012&lt;/D&gt;&lt;D xsi:type="xsd:string"&gt;10/01/2012&lt;/D&gt;&lt;D xsi:type="xsd:string"&gt;09/01/2012&lt;/D&gt;&lt;D xsi:type="xsd:string"&gt;06/01/2012&lt;/D&gt;&lt;D xsi:type="xsd:string"&gt;05/01/2012&lt;/D&gt;&lt;D xsi:type="xsd:string"&gt;04/01/2012&lt;/D&gt;&lt;D xsi:type="xsd:string"&gt;03/01/2012&lt;/D&gt;&lt;D xsi:type="xsd:string"&gt;02/01/2012&lt;/D&gt;&lt;D xsi:type="xsd:string"&gt;30/12/2011&lt;/D&gt;&lt;D xsi:type="xsd:string"&gt;29/12/2011&lt;/D&gt;&lt;D xsi:type="xsd:string"&gt;28/12/2011&lt;/D&gt;&lt;D xsi:type="xsd:string"&gt;27/12/2011&lt;/D&gt;&lt;D xsi:type="xsd:string"&gt;26/12/2011&lt;/D&gt;&lt;D xsi:type="xsd:string"&gt;23/12/2011&lt;/D&gt;&lt;D xsi:type="xsd:string"&gt;22/12/2011&lt;/D&gt;&lt;D xsi:type="xsd:string"&gt;21/12/2011&lt;/D&gt;&lt;D xsi:type="xsd:string"&gt;20/12/2011&lt;/D&gt;&lt;D xsi:type="xsd:string"&gt;19/12/2011&lt;/D&gt;&lt;D xsi:type="xsd:string"&gt;16/12/2011&lt;/D&gt;&lt;D xsi:type="xsd:string"&gt;15/12/2011&lt;/D&gt;&lt;D xsi:type="xsd:string"&gt;14/12/2011&lt;/D&gt;&lt;D xsi:type="xsd:string"&gt;13/12/2011&lt;/D&gt;&lt;D xsi:type="xsd:string"&gt;12/12/2011&lt;/D&gt;&lt;D xsi:type="xsd:string"&gt;09/12/2011&lt;/D&gt;&lt;D xsi:type="xsd:string"&gt;08/12/2011&lt;/D&gt;&lt;D xsi:type="xsd:string"&gt;07/12/2011&lt;/D&gt;&lt;D xsi:type="xsd:string"&gt;06/12/2011&lt;/D&gt;&lt;D xsi:type="xsd:string"&gt;05/12/2011&lt;/D&gt;&lt;D xsi:type="xsd:string"&gt;02/12/2011&lt;/D&gt;&lt;D xsi:type="xsd:string"&gt;01/12/2011&lt;/D&gt;&lt;D xsi:type="xsd:string"&gt;30/11/2011&lt;/D&gt;&lt;D xsi:type="xsd:string"&gt;29/11/2011&lt;/D&gt;&lt;D xsi:type="xsd:string"&gt;28/11/2011&lt;/D&gt;&lt;D xsi:type="xsd:string"&gt;25/11/2011&lt;/D&gt;&lt;D xsi:type="xsd:string"&gt;24/11/2011&lt;/D&gt;&lt;D xsi:type="xsd:string"&gt;23/11/2011&lt;/D&gt;&lt;D xsi:type="xsd:string"&gt;22/11/2011&lt;/D&gt;&lt;D xsi:type="xsd:string"&gt;21/11/2011&lt;/D&gt;&lt;D xsi:type="xsd:string"&gt;18/11/2011&lt;/D&gt;&lt;D xsi:type="xsd:string"&gt;17/11/2011&lt;/D&gt;&lt;D xsi:type="xsd:string"&gt;16/11/2011&lt;/D&gt;&lt;D xsi:type="xsd:string"&gt;15/11/2011&lt;/D&gt;&lt;D xsi:type="xsd:string"&gt;14/11/2011&lt;/D&gt;&lt;D xsi:type="xsd:string"&gt;11/11/2011&lt;/D&gt;&lt;D xsi:type="xsd:string"&gt;10/11/2011&lt;/D&gt;&lt;D xsi:type="xsd:string"&gt;09/11/2011&lt;/D&gt;&lt;D xsi:type="xsd:string"&gt;08/11/2011&lt;/D&gt;&lt;D xsi:type="xsd:string"&gt;07/11/2011&lt;/D&gt;&lt;D xsi:type="xsd:string"&gt;04/11/2011&lt;/D&gt;&lt;D xsi:type="xsd:string"&gt;03/11/2011&lt;/D&gt;&lt;D xsi:type="xsd:string"&gt;02/11/2011&lt;/D&gt;&lt;D xsi:type="xsd:string"&gt;01/11/2011&lt;/D&gt;&lt;D xsi:type="xsd:string"&gt;31/10/2011&lt;/D&gt;&lt;D xsi:type="xsd:string"&gt;28/10/2011&lt;/D&gt;&lt;D xsi:type="xsd:string"&gt;27/10/2011&lt;/D&gt;&lt;D xsi:type="xsd:string"&gt;26/10/2011&lt;/D&gt;&lt;D xsi:type="xsd:string"&gt;25/10/2011&lt;/D&gt;&lt;D xsi:type="xsd:string"&gt;24/10/2011&lt;/D&gt;&lt;D xsi:type="xsd:string"&gt;21/10/2011&lt;/D&gt;&lt;D xsi:type="xsd:string"&gt;20/10/2011&lt;/D&gt;&lt;D xsi:type="xsd:string"&gt;19/10/2011&lt;/D&gt;&lt;D xsi:type="xsd:string"&gt;18/10/2011&lt;/D&gt;&lt;D xsi:type="xsd:string"&gt;17/10/2011&lt;/D&gt;&lt;D xsi:type="xsd:string"&gt;14/10/2011&lt;/D&gt;&lt;D xsi:type="xsd:string"&gt;13/10/2011&lt;/D&gt;&lt;D xsi:type="xsd:string"&gt;12/10/2011&lt;/D&gt;&lt;D xsi:type="xsd:string"&gt;11/10/2011&lt;/D&gt;&lt;D xsi:type="xsd:string"&gt;10/10/2011&lt;/D&gt;&lt;D xsi:type="xsd:string"&gt;07/10/2011&lt;/D&gt;&lt;D xsi:type="xsd:string"&gt;06/10/2011&lt;/D&gt;&lt;D xsi:type="xsd:string"&gt;05/10/2011&lt;/D&gt;&lt;D xsi:type="xsd:string"&gt;04/10/2011&lt;/D&gt;&lt;D xsi:type="xsd:string"&gt;03/10/2011&lt;/D&gt;&lt;D xsi:type="xsd:string"&gt;30/09/2011&lt;/D&gt;&lt;D xsi:type="xsd:string"&gt;29/09/2011&lt;/D&gt;&lt;D xsi:type="xsd:string"&gt;28/09/2011&lt;/D&gt;&lt;D xsi:type="xsd:string"&gt;27/09/2011&lt;/D&gt;&lt;D xsi:type="xsd:string"&gt;26/09/2011&lt;/D&gt;&lt;D xsi:type="xsd:string"&gt;23/09/2011&lt;/D&gt;&lt;D xsi:type="xsd:string"&gt;22/09/2011&lt;/D&gt;&lt;D xsi:type="xsd:string"&gt;21/09/2011&lt;/D&gt;&lt;D xsi:type="xsd:string"&gt;20/09/2011&lt;/D&gt;&lt;D xsi:type="xsd:string"&gt;19/09/2011&lt;/D&gt;&lt;D xsi:type="xsd:string"&gt;16/09/2011&lt;/D&gt;&lt;D xsi:type="xsd:string"&gt;15/09/2011&lt;/D&gt;&lt;D xsi:type="xsd:string"&gt;14/09/2011&lt;/D&gt;&lt;D xsi:type="xsd:string"&gt;13/09/2011&lt;/D&gt;&lt;D xsi:type="xsd:string"&gt;12/09/2011&lt;/D&gt;&lt;D xsi:type="xsd:string"&gt;09/09/2011&lt;/D&gt;&lt;D xsi:type="xsd:string"&gt;08/09/2011&lt;/D&gt;&lt;D xsi:type="xsd:string"&gt;07/09/2011&lt;/D&gt;&lt;D xsi:type="xsd:string"&gt;06/09/2011&lt;/D&gt;&lt;D xsi:type="xsd:string"&gt;05/09/2011&lt;/D&gt;&lt;D xsi:type="xsd:string"&gt;02/09/2011&lt;/D&gt;&lt;D xsi:type="xsd:string"&gt;01/09/2011&lt;/D&gt;&lt;D xsi:type="xsd:string"&gt;31/08/2011&lt;/D&gt;&lt;D xsi:type="xsd:string"&gt;30/08/2011&lt;/D&gt;&lt;D xsi:type="xsd:string"&gt;29/08/2011&lt;/D&gt;&lt;D xsi:type="xsd:string"&gt;26/08/2011&lt;/D&gt;&lt;D xsi:type="xsd:string"&gt;25/08/2011&lt;/D&gt;&lt;D xsi:type="xsd:string"&gt;24/08/2011&lt;/D&gt;&lt;D xsi:type="xsd:string"&gt;23/08/2011&lt;/D&gt;&lt;D xsi:type="xsd:string"&gt;22/08/2011&lt;/D&gt;&lt;D xsi:type="xsd:string"&gt;19/08/2011&lt;/D&gt;&lt;D xsi:type="xsd:string"&gt;18/08/2011&lt;/D&gt;&lt;D xsi:type="xsd:string"&gt;17/08/2011&lt;/D&gt;&lt;D xsi:type="xsd:string"&gt;16/08/2011&lt;/D&gt;&lt;D xsi:type="xsd:string"&gt;15/08/2011&lt;/D&gt;&lt;D xsi:type="xsd:string"&gt;12/08/2011&lt;/D&gt;&lt;D xsi:type="xsd:string"&gt;11/08/2011&lt;/D&gt;&lt;D xsi:type="xsd:string"&gt;10/08/2011&lt;/D&gt;&lt;D xsi:type="xsd:string"&gt;09/08/2011&lt;/D&gt;&lt;D xsi:type="xsd:string"&gt;08/08/2011&lt;/D&gt;&lt;D xsi:type="xsd:string"&gt;05/08/2011&lt;/D&gt;&lt;D xsi:type="xsd:string"&gt;04/08/2011&lt;/D&gt;&lt;D xsi:type="xsd:string"&gt;03/08/2011&lt;/D&gt;&lt;D xsi:type="xsd:string"&gt;02/08/2011&lt;/D&gt;&lt;D xsi:type="xsd:string"&gt;01/08/2011&lt;/D&gt;&lt;D xsi:type="xsd:string"&gt;29/07/2011&lt;/D&gt;&lt;D xsi:type="xsd:string"&gt;28/07/2011&lt;/D&gt;&lt;D xsi:type="xsd:string"&gt;27/07/2011&lt;/D&gt;&lt;D xsi:type="xsd:string"&gt;26/07/2011&lt;/D&gt;&lt;D xsi:type="xsd:string"&gt;25/07/2011&lt;/D&gt;&lt;D xsi:type="xsd:string"&gt;22/07/2011&lt;/D&gt;&lt;D xsi:type="xsd:string"&gt;21/07/2011&lt;/D&gt;&lt;D xsi:type="xsd:string"&gt;20/07/2011&lt;/D&gt;&lt;D xsi:type="xsd:string"&gt;19/07/2011&lt;/D&gt;&lt;D xsi:type="xsd:string"&gt;18/07/2011&lt;/D&gt;&lt;D xsi:type="xsd:string"&gt;15/07/2011&lt;/D&gt;&lt;D xsi:type="xsd:string"&gt;14/07/2011&lt;/D&gt;&lt;D xsi:type="xsd:string"&gt;13/07/2011&lt;/D&gt;&lt;D xsi:type="xsd:string"&gt;12/07/2011&lt;/D&gt;&lt;D xsi:type="xsd:string"&gt;11/07/2011&lt;/D&gt;&lt;D xsi:type="xsd:string"&gt;08/07/2011&lt;/D&gt;&lt;D xsi:type="xsd:string"&gt;07/07/2011&lt;/D&gt;&lt;D xsi:type="xsd:string"&gt;06/07/2011&lt;/D&gt;&lt;D xsi:type="xsd:string"&gt;05/07/2011&lt;/D&gt;&lt;D xsi:type="xsd:string"&gt;04/07/2011&lt;/D&gt;&lt;D xsi:type="xsd:string"&gt;01/07/2011&lt;/D&gt;&lt;D xsi:type="xsd:string"&gt;30/06/2011&lt;/D&gt;&lt;D xsi:type="xsd:string"&gt;29/06/2011&lt;/D&gt;&lt;D xsi:type="xsd:string"&gt;28/06/2011&lt;/D&gt;&lt;D xsi:type="xsd:string"&gt;27/06/2011&lt;/D&gt;&lt;D xsi:type="xsd:string"&gt;24/06/2011&lt;/D&gt;&lt;D xsi:type="xsd:string"&gt;23/06/2011&lt;/D&gt;&lt;D xsi:type="xsd:string"&gt;22/06/2011&lt;/D&gt;&lt;D xsi:type="xsd:string"&gt;21/06/2011&lt;/D&gt;&lt;D xsi:type="xsd:string"&gt;20/06/2011&lt;/D&gt;&lt;D xsi:type="xsd:string"&gt;17/06/2011&lt;/D&gt;&lt;D xsi:type="xsd:string"&gt;16/06/2011&lt;/D&gt;&lt;D xsi:type="xsd:string"&gt;15/06/2011&lt;/D&gt;&lt;D xsi:type="xsd:string"&gt;14/06/2011&lt;/D&gt;&lt;D xsi:type="xsd:string"&gt;13/06/2011&lt;/D&gt;&lt;D xsi:type="xsd:string"&gt;10/06/2011&lt;/D&gt;&lt;D xsi:type="xsd:string"&gt;09/06/2011&lt;/D&gt;&lt;D xsi:type="xsd:string"&gt;08/06/2011&lt;/D&gt;&lt;D xsi:type="xsd:string"&gt;07/06/2011&lt;/D&gt;&lt;D xsi:type="xsd:string"&gt;06/06/2011&lt;/D&gt;&lt;D xsi:type="xsd:string"&gt;03/06/2011&lt;/D&gt;&lt;D xsi:type="xsd:string"&gt;02/06/2011&lt;/D&gt;&lt;D xsi:type="xsd:string"&gt;01/06/2011&lt;/D&gt;&lt;D xsi:type="xsd:string"&gt;31/05/2011&lt;/D&gt;&lt;D xsi:type="xsd:string"&gt;30/05/2011&lt;/D&gt;&lt;D xsi:type="xsd:string"&gt;27/05/2011&lt;/D&gt;&lt;D xsi:type="xsd:string"&gt;26/05/2011&lt;/D&gt;&lt;D xsi:type="xsd:string"&gt;25/05/2011&lt;/D&gt;&lt;D xsi:type="xsd:string"&gt;24/05/2011&lt;/D&gt;&lt;D xsi:type="xsd:string"&gt;23/05/2011&lt;/D&gt;&lt;D xsi:type="xsd:string"&gt;20/05/2011&lt;/D&gt;&lt;D xsi:type="xsd:string"&gt;19/05/2011&lt;/D&gt;&lt;D xsi:type="xsd:string"&gt;18/05/2011&lt;/D&gt;&lt;D xsi:type="xsd:string"&gt;17/05/2011&lt;/D&gt;&lt;D xsi:type="xsd:string"&gt;16/05/2011&lt;/D&gt;&lt;D xsi:type="xsd:string"&gt;13/05/2011&lt;/D&gt;&lt;D xsi:type="xsd:string"&gt;12/05/2011&lt;/D&gt;&lt;D xsi:type="xsd:string"&gt;11/05/2011&lt;/D&gt;&lt;D xsi:type="xsd:string"&gt;10/05/2011&lt;/D&gt;&lt;D xsi:type="xsd:string"&gt;09/05/2011&lt;/D&gt;&lt;D xsi:type="xsd:string"&gt;06/05/2011&lt;/D&gt;&lt;D xsi:type="xsd:string"&gt;05/05/2011&lt;/D&gt;&lt;D xsi:type="xsd:string"&gt;04/05/2011&lt;/D&gt;&lt;D xsi:type="xsd:string"&gt;03/05/2011&lt;/D&gt;&lt;D xsi:type="xsd:string"&gt;02/05/2011&lt;/D&gt;&lt;D xsi:type="xsd:string"&gt;29/04/2011&lt;/D&gt;&lt;D xsi:type="xsd:string"&gt;28/04/2011&lt;/D&gt;&lt;D xsi:type="xsd:string"&gt;27/04/2011&lt;/D&gt;&lt;D xsi:type="xsd:string"&gt;26/04/2011&lt;/D&gt;&lt;D xsi:type="xsd:string"&gt;25/04/2011&lt;/D&gt;&lt;D xsi:type="xsd:string"&gt;22/04/2011&lt;/D&gt;&lt;D xsi:type="xsd:string"&gt;21/04/2011&lt;/D&gt;&lt;D xsi:type="xsd:string"&gt;20/04/2011&lt;/D&gt;&lt;D xsi:type="xsd:string"&gt;19/04/2011&lt;/D&gt;&lt;D xsi:type="xsd:string"&gt;18/04/2011&lt;/D&gt;&lt;D xsi:type="xsd:string"&gt;15/04/2011&lt;/D&gt;&lt;D xsi:type="xsd:string"&gt;14/04/2011&lt;/D&gt;&lt;D xsi:type="xsd:string"&gt;13/04/2011&lt;/D&gt;&lt;D xsi:type="xsd:string"&gt;12/04/2011&lt;/D&gt;&lt;D xsi:type="xsd:string"&gt;11/04/2011&lt;/D&gt;&lt;D xsi:type="xsd:string"&gt;08/04/2011&lt;/D&gt;&lt;D xsi:type="xsd:string"&gt;07/04/2011&lt;/D&gt;&lt;D xsi:type="xsd:string"&gt;06/04/2011&lt;/D&gt;&lt;D xsi:type="xsd:string"&gt;05/04/2011&lt;/D&gt;&lt;D xsi:type="xsd:string"&gt;04/04/2011&lt;/D&gt;&lt;D xsi:type="xsd:string"&gt;01/04/2011&lt;/D&gt;&lt;D xsi:type="xsd:string"&gt;31/03/2011&lt;/D&gt;&lt;D xsi:type="xsd:string"&gt;30/03/2011&lt;/D&gt;&lt;D xsi:type="xsd:string"&gt;29/03/2011&lt;/D&gt;&lt;D xsi:type="xsd:string"&gt;28/03/2011&lt;/D&gt;&lt;D xsi:type="xsd:string"&gt;25/03/2011&lt;/D&gt;&lt;D xsi:type="xsd:string"&gt;24/03/2011&lt;/D&gt;&lt;D xsi:type="xsd:string"&gt;23/03/2011&lt;/D&gt;&lt;D xsi:type="xsd:string"&gt;22/03/2011&lt;/D&gt;&lt;D xsi:type="xsd:string"&gt;21/03/2011&lt;/D&gt;&lt;D xsi:type="xsd:string"&gt;18/03/2011&lt;/D&gt;&lt;D xsi:type="xsd:string"&gt;17/03/2011&lt;/D&gt;&lt;D xsi:type="xsd:string"&gt;16/03/2011&lt;/D&gt;&lt;D xsi:type="xsd:string"&gt;15/03/2011&lt;/D&gt;&lt;D xsi:type="xsd:string"&gt;14/03/2011&lt;/D&gt;&lt;D xsi:type="xsd:string"&gt;11/03/2011&lt;/D&gt;&lt;D xsi:type="xsd:string"&gt;10/03/2011&lt;/D&gt;&lt;D xsi:type="xsd:string"&gt;09/03/2011&lt;/D&gt;&lt;D xsi:type="xsd:string"&gt;08/03/2011&lt;/D&gt;&lt;D xsi:type="xsd:string"&gt;07/03/2011&lt;/D&gt;&lt;D xsi:type="xsd:string"&gt;04/03/2011&lt;/D&gt;&lt;D xsi:type="xsd:string"&gt;03/03/2011&lt;/D&gt;&lt;D xsi:type="xsd:string"&gt;02/03/2011&lt;/D&gt;&lt;D xsi:type="xsd:string"&gt;01/03/2011&lt;/D&gt;&lt;D xsi:type="xsd:string"&gt;28/02/2011&lt;/D&gt;&lt;D xsi:type="xsd:string"&gt;25/02/2011&lt;/D&gt;&lt;D xsi:type="xsd:string"&gt;24/02/2011&lt;/D&gt;&lt;D xsi:type="xsd:string"&gt;23/02/2011&lt;/D&gt;&lt;D xsi:type="xsd:string"&gt;22/02/2011&lt;/D&gt;&lt;D xsi:type="xsd:string"&gt;21/02/2011&lt;/D&gt;&lt;D xsi:type="xsd:string"&gt;18/02/2011&lt;/D&gt;&lt;D xsi:type="xsd:string"&gt;17/02/2011&lt;/D&gt;&lt;D xsi:type="xsd:string"&gt;16/02/2011&lt;/D&gt;&lt;D xsi:type="xsd:string"&gt;15/02/2011&lt;/D&gt;&lt;D xsi:type="xsd:string"&gt;14/02/2011&lt;/D&gt;&lt;D xsi:type="xsd:string"&gt;11/02/2011&lt;/D&gt;&lt;D xsi:type="xsd:string"&gt;10/02/2011&lt;/D&gt;&lt;D xsi:type="xsd:string"&gt;09/02/2011&lt;/D&gt;&lt;D xsi:type="xsd:string"&gt;08/02/2011&lt;/D&gt;&lt;D xsi:type="xsd:string"&gt;07/02/2011&lt;/D&gt;&lt;D xsi:type="xsd:string"&gt;04/02/2011&lt;/D&gt;&lt;D xsi:type="xsd:string"&gt;03/02/2011&lt;/D&gt;&lt;D xsi:type="xsd:string"&gt;02/02/2011&lt;/D&gt;&lt;D xsi:type="xsd:string"&gt;01/02/2011&lt;/D&gt;&lt;D xsi:type="xsd:string"&gt;31/01/2011&lt;/D&gt;&lt;D xsi:type="xsd:string"&gt;28/01/2011&lt;/D&gt;&lt;D xsi:type="xsd:string"&gt;27/01/2011&lt;/D&gt;&lt;D xsi:type="xsd:string"&gt;26/01/2011&lt;/D&gt;&lt;D xsi:type="xsd:string"&gt;25/01/2011&lt;/D&gt;&lt;D xsi:type="xsd:string"&gt;24/01/2011&lt;/D&gt;&lt;D xsi:type="xsd:string"&gt;21/01/2011&lt;/D&gt;&lt;D xsi:type="xsd:string"&gt;20/01/2011&lt;/D&gt;&lt;D xsi:type="xsd:string"&gt;19/01/2011&lt;/D&gt;&lt;D xsi:type="xsd:string"&gt;18/01/2011&lt;/D&gt;&lt;D xsi:type="xsd:string"&gt;17/01/2011&lt;/D&gt;&lt;D xsi:type="xsd:string"&gt;14/01/2011&lt;/D&gt;&lt;D xsi:type="xsd:string"&gt;13/01/2011&lt;/D&gt;&lt;D xsi:type="xsd:string"&gt;12/01/2011&lt;/D&gt;&lt;D xsi:type="xsd:string"&gt;11/01/2011&lt;/D&gt;&lt;D xsi:type="xsd:string"&gt;10/01/2011&lt;/D&gt;&lt;D xsi:type="xsd:string"&gt;07/01/2011&lt;/D&gt;&lt;D xsi:type="xsd:string"&gt;06/01/2011&lt;/D&gt;&lt;D xsi:type="xsd:string"&gt;05/01/2011&lt;/D&gt;&lt;D xsi:type="xsd:string"&gt;04/01/2011&lt;/D&gt;&lt;D xsi:type="xsd:string"&gt;03/01/2011&lt;/D&gt;&lt;D xsi:type="xsd:string"&gt;31/12/2010&lt;/D&gt;&lt;D xsi:type="xsd:string"&gt;30/12/2010&lt;/D&gt;&lt;D xsi:type="xsd:string"&gt;29/12/2010&lt;/D&gt;&lt;D xsi:type="xsd:string"&gt;28/12/2010&lt;/D&gt;&lt;D xsi:type="xsd:string"&gt;27/12/2010&lt;/D&gt;&lt;D xsi:type="xsd:string"&gt;24/12/2010&lt;/D&gt;&lt;D xsi:type="xsd:string"&gt;23/12/2010&lt;/D&gt;&lt;D xsi:type="xsd:string"&gt;22/12/2010&lt;/D&gt;&lt;D xsi:type="xsd:string"&gt;21/12/2010&lt;/D&gt;&lt;D xsi:type="xsd:string"&gt;20/12/2010&lt;/D&gt;&lt;D xsi:type="xsd:string"&gt;17/12/2010&lt;/D&gt;&lt;D xsi:type="xsd:string"&gt;16/12/2010&lt;/D&gt;&lt;D xsi:type="xsd:string"&gt;15/12/2010&lt;/D&gt;&lt;D xsi:type="xsd:string"&gt;14/12/2010&lt;/D&gt;&lt;D xsi:type="xsd:string"&gt;13/12/2010&lt;/D&gt;&lt;D xsi:type="xsd:string"&gt;10/12/2010&lt;/D&gt;&lt;D xsi:type="xsd:string"&gt;09/12/2010&lt;/D&gt;&lt;D xsi:type="xsd:string"&gt;08/12/2010&lt;/D&gt;&lt;D xsi:type="xsd:string"&gt;07/12/2010&lt;/D&gt;&lt;D xsi:type="xsd:string"&gt;06/12/2010&lt;/D&gt;&lt;D xsi:type="xsd:string"&gt;03/12/2010&lt;/D&gt;&lt;D xsi:type="xsd:string"&gt;02/12/2010&lt;/D&gt;&lt;D xsi:type="xsd:string"&gt;01/12/2010&lt;/D&gt;&lt;D xsi:type="xsd:string"&gt;30/11/2010&lt;/D&gt;&lt;D xsi:type="xsd:string"&gt;29/11/2010&lt;/D&gt;&lt;D xsi:type="xsd:string"&gt;26/11/2010&lt;/D&gt;&lt;D xsi:type="xsd:string"&gt;25/11/2010&lt;/D&gt;&lt;D xsi:type="xsd:string"&gt;24/11/2010&lt;/D&gt;&lt;D xsi:type="xsd:string"&gt;23/11/2010&lt;/D&gt;&lt;D xsi:type="xsd:string"&gt;22/11/2010&lt;/D&gt;&lt;D xsi:type="xsd:string"&gt;19/11/2010&lt;/D&gt;&lt;D xsi:type="xsd:string"&gt;18/11/2010&lt;/D&gt;&lt;D xsi:type="xsd:string"&gt;17/11/2010&lt;/D&gt;&lt;D xsi:type="xsd:string"&gt;16/11/2010&lt;/D&gt;&lt;D xsi:type="xsd:string"&gt;15/11/2010&lt;/D&gt;&lt;D xsi:type="xsd:string"&gt;12/11/2010&lt;/D&gt;&lt;D xsi:type="xsd:string"&gt;11/11/2010&lt;/D&gt;&lt;D xsi:type="xsd:string"&gt;10/11/2010&lt;/D&gt;&lt;D xsi:type="xsd:string"&gt;09/11/2010&lt;/D&gt;&lt;D xsi:type="xsd:string"&gt;08/11/2010&lt;/D&gt;&lt;D xsi:type="xsd:string"&gt;05/11/2010&lt;/D&gt;&lt;D xsi:type="xsd:string"&gt;04/11/2010&lt;/D&gt;&lt;D xsi:type="xsd:string"&gt;03/11/2010&lt;/D&gt;&lt;D xsi:type="xsd:string"&gt;02/11/2010&lt;/D&gt;&lt;D xsi:type="xsd:string"&gt;01/11/2010&lt;/D&gt;&lt;D xsi:type="xsd:string"&gt;29/10/2010&lt;/D&gt;&lt;D xsi:type="xsd:string"&gt;28/10/2010&lt;/D&gt;&lt;D xsi:type="xsd:string"&gt;27/10/2010&lt;/D&gt;&lt;D xsi:type="xsd:string"&gt;26/10/2010&lt;/D&gt;&lt;D xsi:type="xsd:string"&gt;25/10/2010&lt;/D&gt;&lt;D xsi:type="xsd:string"&gt;22/10/2010&lt;/D&gt;&lt;D xsi:type="xsd:string"&gt;21/10/2010&lt;/D&gt;&lt;D xsi:type="xsd:string"&gt;20/10/2010&lt;/D&gt;&lt;D xsi:type="xsd:string"&gt;19/10/2010&lt;/D&gt;&lt;D xsi:type="xsd:string"&gt;18/10/2010&lt;/D&gt;&lt;D xsi:type="xsd:string"&gt;15/10/2010&lt;/D&gt;&lt;D xsi:type="xsd:string"&gt;14/10/2010&lt;/D&gt;&lt;D xsi:type="xsd:string"&gt;13/10/2010&lt;/D&gt;&lt;D xsi:type="xsd:string"&gt;12/10/2010&lt;/D&gt;&lt;D xsi:type="xsd:string"&gt;11/10/2010&lt;/D&gt;&lt;D xsi:type="xsd:string"&gt;08/10/2010&lt;/D&gt;&lt;D xsi:type="xsd:string"&gt;07/10/2010&lt;/D&gt;&lt;D xsi:type="xsd:string"&gt;06/10/2010&lt;/D&gt;&lt;D xsi:type="xsd:string"&gt;05/10/2010&lt;/D&gt;&lt;D xsi:type="xsd:string"&gt;04/10/2010&lt;/D&gt;&lt;D xsi:type="xsd:string"&gt;01/10/2010&lt;/D&gt;&lt;D xsi:type="xsd:string"&gt;30/09/2010&lt;/D&gt;&lt;D xsi:type="xsd:string"&gt;29/09/2010&lt;/D&gt;&lt;D xsi:type="xsd:string"&gt;28/09/2010&lt;/D&gt;&lt;D xsi:type="xsd:string"&gt;27/09/2010&lt;/D&gt;&lt;D xsi:type="xsd:string"&gt;24/09/2010&lt;/D&gt;&lt;D xsi:type="xsd:string"&gt;23/09/2010&lt;/D&gt;&lt;D xsi:type="xsd:string"&gt;22/09/2010&lt;/D&gt;&lt;D xsi:type="xsd:string"&gt;21/09/2010&lt;/D&gt;&lt;D xsi:type="xsd:string"&gt;20/09/2010&lt;/D&gt;&lt;D xsi:type="xsd:string"&gt;17/09/2010&lt;/D&gt;&lt;D xsi:type="xsd:string"&gt;16/09/2010&lt;/D&gt;&lt;D xsi:type="xsd:string"&gt;15/09/</t>
        </r>
      </text>
    </comment>
    <comment ref="A18" authorId="0" shapeId="0" xr:uid="{74F7FE71-B241-446E-9867-1ACE2F7B2EBC}">
      <text>
        <r>
          <rPr>
            <b/>
            <sz val="9"/>
            <color indexed="81"/>
            <rFont val="Tahoma"/>
            <charset val="1"/>
          </rPr>
          <t>2010&lt;/D&gt;&lt;D xsi:type="xsd:string"&gt;14/09/2010&lt;/D&gt;&lt;D xsi:type="xsd:string"&gt;13/09/2010&lt;/D&gt;&lt;D xsi:type="xsd:string"&gt;10/09/2010&lt;/D&gt;&lt;D xsi:type="xsd:string"&gt;09/09/2010&lt;/D&gt;&lt;D xsi:type="xsd:string"&gt;08/09/2010&lt;/D&gt;&lt;D xsi:type="xsd:string"&gt;07/09/2010&lt;/D&gt;&lt;D xsi:type="xsd:string"&gt;06/09/2010&lt;/D&gt;&lt;D xsi:type="xsd:string"&gt;03/09/2010&lt;/D&gt;&lt;D xsi:type="xsd:string"&gt;02/09/2010&lt;/D&gt;&lt;D xsi:type="xsd:string"&gt;01/09/2010&lt;/D&gt;&lt;D xsi:type="xsd:string"&gt;31/08/2010&lt;/D&gt;&lt;D xsi:type="xsd:string"&gt;30/08/2010&lt;/D&gt;&lt;D xsi:type="xsd:string"&gt;27/08/2010&lt;/D&gt;&lt;D xsi:type="xsd:string"&gt;26/08/2010&lt;/D&gt;&lt;D xsi:type="xsd:string"&gt;25/08/2010&lt;/D&gt;&lt;D xsi:type="xsd:string"&gt;24/08/2010&lt;/D&gt;&lt;D xsi:type="xsd:string"&gt;23/08/2010&lt;/D&gt;&lt;D xsi:type="xsd:string"&gt;20/08/2010&lt;/D&gt;&lt;D xsi:type="xsd:string"&gt;19/08/2010&lt;/D&gt;&lt;D xsi:type="xsd:string"&gt;18/08/2010&lt;/D&gt;&lt;D xsi:type="xsd:string"&gt;17/08/2010&lt;/D&gt;&lt;D xsi:type="xsd:string"&gt;16/08/2010&lt;/D&gt;&lt;D xsi:type="xsd:string"&gt;13/08/2010&lt;/D&gt;&lt;D xsi:type="xsd:string"&gt;12/08/2010&lt;/D&gt;&lt;D xsi:type="xsd:string"&gt;11/08/2010&lt;/D&gt;&lt;D xsi:type="xsd:string"&gt;10/08/2010&lt;/D&gt;&lt;D xsi:type="xsd:string"&gt;09/08/2010&lt;/D&gt;&lt;D xsi:type="xsd:string"&gt;06/08/2010&lt;/D&gt;&lt;D xsi:type="xsd:string"&gt;05/08/2010&lt;/D&gt;&lt;D xsi:type="xsd:string"&gt;04/08/2010&lt;/D&gt;&lt;D xsi:type="xsd:string"&gt;03/08/2010&lt;/D&gt;&lt;D xsi:type="xsd:string"&gt;02/08/2010&lt;/D&gt;&lt;D xsi:type="xsd:string"&gt;30/07/2010&lt;/D&gt;&lt;D xsi:type="xsd:string"&gt;29/07/2010&lt;/D&gt;&lt;D xsi:type="xsd:string"&gt;28/07/2010&lt;/D&gt;&lt;D xsi:type="xsd:string"&gt;27/07/2010&lt;/D&gt;&lt;D xsi:type="xsd:string"&gt;26/07/2010&lt;/D&gt;&lt;D xsi:type="xsd:string"&gt;23/07/2010&lt;/D&gt;&lt;D xsi:type="xsd:string"&gt;22/07/2010&lt;/D&gt;&lt;D xsi:type="xsd:string"&gt;21/07/2010&lt;/D&gt;&lt;D xsi:type="xsd:string"&gt;20/07/2010&lt;/D&gt;&lt;D xsi:type="xsd:string"&gt;19/07/2010&lt;/D&gt;&lt;D xsi:type="xsd:string"&gt;16/07/2010&lt;/D&gt;&lt;D xsi:type="xsd:string"&gt;15/07/2010&lt;/D&gt;&lt;D xsi:type="xsd:string"&gt;14/07/2010&lt;/D&gt;&lt;D xsi:type="xsd:string"&gt;13/07/2010&lt;/D&gt;&lt;D xsi:type="xsd:string"&gt;12/07/2010&lt;/D&gt;&lt;D xsi:type="xsd:string"&gt;09/07/2010&lt;/D&gt;&lt;D xsi:type="xsd:string"&gt;08/07/2010&lt;/D&gt;&lt;D xsi:type="xsd:string"&gt;07/07/2010&lt;/D&gt;&lt;D xsi:type="xsd:string"&gt;06/07/2010&lt;/D&gt;&lt;D xsi:type="xsd:string"&gt;05/07/2010&lt;/D&gt;&lt;D xsi:type="xsd:string"&gt;02/07/2010&lt;/D&gt;&lt;D xsi:type="xsd:string"&gt;01/07/2010&lt;/D&gt;&lt;D xsi:type="xsd:string"&gt;30/06/2010&lt;/D&gt;&lt;D xsi:type="xsd:string"&gt;29/06/2010&lt;/D&gt;&lt;D xsi:type="xsd:string"&gt;28/06/2010&lt;/D&gt;&lt;D xsi:type="xsd:string"&gt;25/06/2010&lt;/D&gt;&lt;D xsi:type="xsd:string"&gt;24/06/2010&lt;/D&gt;&lt;D xsi:type="xsd:string"&gt;23/06/2010&lt;/D&gt;&lt;D xsi:type="xsd:string"&gt;22/06/2010&lt;/D&gt;&lt;D xsi:type="xsd:string"&gt;21/06/2010&lt;/D&gt;&lt;D xsi:type="xsd:string"&gt;18/06/2010&lt;/D&gt;&lt;D xsi:type="xsd:string"&gt;17/06/2010&lt;/D&gt;&lt;D xsi:type="xsd:string"&gt;16/06/2010&lt;/D&gt;&lt;D xsi:type="xsd:string"&gt;15/06/2010&lt;/D&gt;&lt;D xsi:type="xsd:string"&gt;14/06/2010&lt;/D&gt;&lt;D xsi:type="xsd:string"&gt;11/06/2010&lt;/D&gt;&lt;D xsi:type="xsd:string"&gt;10/06/2010&lt;/D&gt;&lt;D xsi:type="xsd:string"&gt;09/06/2010&lt;/D&gt;&lt;D xsi:type="xsd:string"&gt;08/06/2010&lt;/D&gt;&lt;D xsi:type="xsd:string"&gt;07/06/2010&lt;/D&gt;&lt;D xsi:type="xsd:string"&gt;04/06/2010&lt;/D&gt;&lt;D xsi:type="xsd:string"&gt;03/06/2010&lt;/D&gt;&lt;D xsi:type="xsd:string"&gt;02/06/2010&lt;/D&gt;&lt;D xsi:type="xsd:string"&gt;01/06/2010&lt;/D&gt;&lt;D xsi:type="xsd:string"&gt;31/05/2010&lt;/D&gt;&lt;D xsi:type="xsd:string"&gt;28/05/2010&lt;/D&gt;&lt;D xsi:type="xsd:string"&gt;27/05/2010&lt;/D&gt;&lt;D xsi:type="xsd:string"&gt;26/05/2010&lt;/D&gt;&lt;D xsi:type="xsd:string"&gt;25/05/2010&lt;/D&gt;&lt;D xsi:type="xsd:string"&gt;24/05/2010&lt;/D&gt;&lt;D xsi:type="xsd:string"&gt;21/05/2010&lt;/D&gt;&lt;D xsi:type="xsd:string"&gt;20/05/2010&lt;/D&gt;&lt;D xsi:type="xsd:string"&gt;19/05/2010&lt;/D&gt;&lt;D xsi:type="xsd:string"&gt;18/05/2010&lt;/D&gt;&lt;D xsi:type="xsd:string"&gt;17/05/2010&lt;/D&gt;&lt;D xsi:type="xsd:string"&gt;14/05/2010&lt;/D&gt;&lt;D xsi:type="xsd:string"&gt;13/05/2010&lt;/D&gt;&lt;D xsi:type="xsd:string"&gt;12/05/2010&lt;/D&gt;&lt;D xsi:type="xsd:string"&gt;11/05/2010&lt;/D&gt;&lt;D xsi:type="xsd:string"&gt;10/05/2010&lt;/D&gt;&lt;D xsi:type="xsd:string"&gt;07/05/2010&lt;/D&gt;&lt;D xsi:type="xsd:string"&gt;06/05/2010&lt;/D&gt;&lt;D xsi:type="xsd:string"&gt;05/05/2010&lt;/D&gt;&lt;D xsi:type="xsd:string"&gt;04/05/2010&lt;/D&gt;&lt;D xsi:type="xsd:string"&gt;03/05/2010&lt;/D&gt;&lt;D xsi:type="xsd:string"&gt;30/04/2010&lt;/D&gt;&lt;D xsi:type="xsd:string"&gt;29/04/2010&lt;/D&gt;&lt;D xsi:type="xsd:string"&gt;28/04/2010&lt;/D&gt;&lt;D xsi:type="xsd:string"&gt;27/04/2010&lt;/D&gt;&lt;D xsi:type="xsd:string"&gt;26/04/2010&lt;/D&gt;&lt;D xsi:type="xsd:string"&gt;23/04/2010&lt;/D&gt;&lt;D xsi:type="xsd:string"&gt;22/04/2010&lt;/D&gt;&lt;D xsi:type="xsd:string"&gt;21/04/2010&lt;/D&gt;&lt;D xsi:type="xsd:string"&gt;20/04/2010&lt;/D&gt;&lt;D xsi:type="xsd:string"&gt;19/04/2010&lt;/D&gt;&lt;D xsi:type="xsd:string"&gt;16/04/2010&lt;/D&gt;&lt;D xsi:type="xsd:string"&gt;15/04/2010&lt;/D&gt;&lt;D xsi:type="xsd:string"&gt;14/04/2010&lt;/D&gt;&lt;D xsi:type="xsd:string"&gt;13/04/2010&lt;/D&gt;&lt;D xsi:type="xsd:string"&gt;12/04/2010&lt;/D&gt;&lt;D xsi:type="xsd:string"&gt;09/04/2010&lt;/D&gt;&lt;D xsi:type="xsd:string"&gt;08/04/2010&lt;/D&gt;&lt;D xsi:type="xsd:string"&gt;07/04/2010&lt;/D&gt;&lt;D xsi:type="xsd:string"&gt;06/04/2010&lt;/D&gt;&lt;D xsi:type="xsd:string"&gt;05/04/2010&lt;/D&gt;&lt;D xsi:type="xsd:string"&gt;02/04/2010&lt;/D&gt;&lt;D xsi:type="xsd:string"&gt;01/04/2010&lt;/D&gt;&lt;D xsi:type="xsd:string"&gt;31/03/2010&lt;/D&gt;&lt;D xsi:type="xsd:string"&gt;30/03/2010&lt;/D&gt;&lt;D xsi:type="xsd:string"&gt;29/03/2010&lt;/D&gt;&lt;D xsi:type="xsd:string"&gt;26/03/2010&lt;/D&gt;&lt;D xsi:type="xsd:string"&gt;25/03/2010&lt;/D&gt;&lt;D xsi:type="xsd:string"&gt;24/03/2010&lt;/D&gt;&lt;D xsi:type="xsd:string"&gt;23/03/2010&lt;/D&gt;&lt;D xsi:type="xsd:string"&gt;22/03/2010&lt;/D&gt;&lt;D xsi:type="xsd:string"&gt;19/03/2010&lt;/D&gt;&lt;D xsi:type="xsd:string"&gt;18/03/2010&lt;/D&gt;&lt;D xsi:type="xsd:string"&gt;17/03/2010&lt;/D&gt;&lt;D xsi:type="xsd:string"&gt;16/03/2010&lt;/D&gt;&lt;D xsi:type="xsd:string"&gt;15/03/2010&lt;/D&gt;&lt;D xsi:type="xsd:string"&gt;12/03/2010&lt;/D&gt;&lt;D xsi:type="xsd:string"&gt;11/03/2010&lt;/D&gt;&lt;D xsi:type="xsd:string"&gt;10/03/2010&lt;/D&gt;&lt;D xsi:type="xsd:string"&gt;09/03/2010&lt;/D&gt;&lt;D xsi:type="xsd:string"&gt;08/03/2010&lt;/D&gt;&lt;D xsi:type="xsd:string"&gt;05/03/2010&lt;/D&gt;&lt;D xsi:type="xsd:string"&gt;04/03/2010&lt;/D&gt;&lt;D xsi:type="xsd:string"&gt;03/03/2010&lt;/D&gt;&lt;D xsi:type="xsd:string"&gt;02/03/2010&lt;/D&gt;&lt;D xsi:type="xsd:string"&gt;01/03/2010&lt;/D&gt;&lt;D xsi:type="xsd:string"&gt;26/02/2010&lt;/D&gt;&lt;D xsi:type="xsd:string"&gt;25/02/2010&lt;/D&gt;&lt;D xsi:type="xsd:string"&gt;24/02/2010&lt;/D&gt;&lt;D xsi:type="xsd:string"&gt;23/02/2010&lt;/D&gt;&lt;D xsi:type="xsd:string"&gt;22/02/2010&lt;/D&gt;&lt;D xsi:type="xsd:string"&gt;19/02/2010&lt;/D&gt;&lt;D xsi:type="xsd:string"&gt;18/02/2010&lt;/D&gt;&lt;D xsi:type="xsd:string"&gt;17/02/2010&lt;/D&gt;&lt;D xsi:type="xsd:string"&gt;16/02/2010&lt;/D&gt;&lt;D xsi:type="xsd:string"&gt;15/02/2010&lt;/D&gt;&lt;D xsi:type="xsd:string"&gt;12/02/2010&lt;/D&gt;&lt;D xsi:type="xsd:string"&gt;11/02/2010&lt;/D&gt;&lt;D xsi:type="xsd:string"&gt;10/02/2010&lt;/D&gt;&lt;D xsi:type="xsd:string"&gt;09/02/2010&lt;/D&gt;&lt;D xsi:type="xsd:string"&gt;08/02/2010&lt;/D&gt;&lt;D xsi:type="xsd:string"&gt;05/02/2010&lt;/D&gt;&lt;D xsi:type="xsd:string"&gt;04/02/2010&lt;/D&gt;&lt;D xsi:type="xsd:string"&gt;03/02/2010&lt;/D&gt;&lt;D xsi:type="xsd:string"&gt;02/02/2010&lt;/D&gt;&lt;D xsi:type="xsd:string"&gt;01/02/2010&lt;/D&gt;&lt;D xsi:type="xsd:string"&gt;29/01/2010&lt;/D&gt;&lt;D xsi:type="xsd:string"&gt;28/01/2010&lt;/D&gt;&lt;D xsi:type="xsd:string"&gt;27/01/2010&lt;/D&gt;&lt;D xsi:type="xsd:string"&gt;26/01/2010&lt;/D&gt;&lt;D xsi:type="xsd:string"&gt;25/01/2010&lt;/D&gt;&lt;D xsi:type="xsd:string"&gt;22/01/2010&lt;/D&gt;&lt;D xsi:type="xsd:string"&gt;21/01/2010&lt;/D&gt;&lt;D xsi:type="xsd:string"&gt;20/01/2010&lt;/D&gt;&lt;D xsi:type="xsd:string"&gt;19/01/2010&lt;/D&gt;&lt;D xsi:type="xsd:string"&gt;18/01/2010&lt;/D&gt;&lt;D xsi:type="xsd:string"&gt;15/01/2010&lt;/D&gt;&lt;D xsi:type="xsd:string"&gt;14/01/2010&lt;/D&gt;&lt;D xsi:type="xsd:string"&gt;13/01/2010&lt;/D&gt;&lt;D xsi:type="xsd:string"&gt;12/01/2010&lt;/D&gt;&lt;D xsi:type="xsd:string"&gt;11/01/2010&lt;/D&gt;&lt;D xsi:type="xsd:string"&gt;08/01/2010&lt;/D&gt;&lt;D xsi:type="xsd:string"&gt;07/01/2010&lt;/D&gt;&lt;D xsi:type="xsd:string"&gt;06/01/2010&lt;/D&gt;&lt;D xsi:type="xsd:string"&gt;05/01/2010&lt;/D&gt;&lt;D xsi:type="xsd:string"&gt;04/01/2010&lt;/D&gt;&lt;D xsi:type="xsd:string"&gt;01/01/2010&lt;/D&gt;&lt;D xsi:type="xsd:string"&gt;31/12/2009&lt;/D&gt;&lt;D xsi:type="xsd:string"&gt;30/12/2009&lt;/D&gt;&lt;D xsi:type="xsd:string"&gt;29/12/2009&lt;/D&gt;&lt;D xsi:type="xsd:string"&gt;28/12/2009&lt;/D&gt;&lt;D xsi:type="xsd:string"&gt;25/12/2009&lt;/D&gt;&lt;D xsi:type="xsd:string"&gt;24/12/2009&lt;/D&gt;&lt;D xsi:type="xsd:string"&gt;23/12/2009&lt;/D&gt;&lt;D xsi:type="xsd:string"&gt;22/12/2009&lt;/D&gt;&lt;D xsi:type="xsd:string"&gt;21/12/2009&lt;/D&gt;&lt;D xsi:type="xsd:string"&gt;18/12/2009&lt;/D&gt;&lt;D xsi:type="xsd:string"&gt;17/12/2009&lt;/D&gt;&lt;D xsi:type="xsd:string"&gt;16/12/2009&lt;/D&gt;&lt;D xsi:type="xsd:string"&gt;15/12/2009&lt;/D&gt;&lt;D xsi:type="xsd:string"&gt;14/12/2009&lt;/D&gt;&lt;D xsi:type="xsd:string"&gt;11/12/2009&lt;/D&gt;&lt;D xsi:type="xsd:string"&gt;10/12/2009&lt;/D&gt;&lt;D xsi:type="xsd:string"&gt;09/12/2009&lt;/D&gt;&lt;D xsi:type="xsd:string"&gt;08/12/2009&lt;/D&gt;&lt;D xsi:type="xsd:string"&gt;07/12/2009&lt;/D&gt;&lt;D xsi:type="xsd:string"&gt;04/12/2009&lt;/D&gt;&lt;D xsi:type="xsd:string"&gt;03/12/2009&lt;/D&gt;&lt;D xsi:type="xsd:string"&gt;02/12/2009&lt;/D&gt;&lt;D xsi:type="xsd:string"&gt;01/12/2009&lt;/D&gt;&lt;D xsi:type="xsd:string"&gt;30/11/2009&lt;/D&gt;&lt;D xsi:type="xsd:string"&gt;27/11/2009&lt;/D&gt;&lt;D xsi:type="xsd:string"&gt;26/11/2009&lt;/D&gt;&lt;D xsi:type="xsd:string"&gt;25/11/2009&lt;/D&gt;&lt;D xsi:type="xsd:string"&gt;24/11/2009&lt;/D&gt;&lt;D xsi:type="xsd:string"&gt;23/11/2009&lt;/D&gt;&lt;D xsi:type="xsd:string"&gt;20/11/2009&lt;/D&gt;&lt;D xsi:type="xsd:string"&gt;19/11/2009&lt;/D&gt;&lt;D xsi:type="xsd:string"&gt;18/11/2009&lt;/D&gt;&lt;D xsi:type="xsd:string"&gt;17/11/2009&lt;/D&gt;&lt;D xsi:type="xsd:string"&gt;16/11/2009&lt;/D&gt;&lt;D xsi:type="xsd:string"&gt;13/11/2009&lt;/D&gt;&lt;D xsi:type="xsd:string"&gt;12/11/2009&lt;/D&gt;&lt;D xsi:type="xsd:string"&gt;11/11/2009&lt;/D&gt;&lt;D xsi:type="xsd:string"&gt;10/11/2009&lt;/D&gt;&lt;D xsi:type="xsd:string"&gt;09/11/2009&lt;/D&gt;&lt;D xsi:type="xsd:string"&gt;06/11/2009&lt;/D&gt;&lt;D xsi:type="xsd:string"&gt;05/11/2009&lt;/D&gt;&lt;D xsi:type="xsd:string"&gt;04/11/2009&lt;/D&gt;&lt;D xsi:type="xsd:string"&gt;03/11/2009&lt;/D&gt;&lt;D xsi:type="xsd:string"&gt;02/11/2009&lt;/D&gt;&lt;D xsi:type="xsd:string"&gt;30/10/2009&lt;/D&gt;&lt;D xsi:type="xsd:string"&gt;29/10/2009&lt;/D&gt;&lt;D xsi:type="xsd:string"&gt;28/10/2009&lt;/D&gt;&lt;D xsi:type="xsd:string"&gt;27/10/2009&lt;/D&gt;&lt;D xsi:type="xsd:string"&gt;26/10/2009&lt;/D&gt;&lt;D xsi:type="xsd:string"&gt;23/10/2009&lt;/D&gt;&lt;D xsi:type="xsd:string"&gt;22/10/2009&lt;/D&gt;&lt;D xsi:type="xsd:string"&gt;21/10/2009&lt;/D&gt;&lt;D xsi:type="xsd:string"&gt;20/10/2009&lt;/D&gt;&lt;D xsi:type="xsd:string"&gt;19/10/2009&lt;/D&gt;&lt;D xsi:type="xsd:string"&gt;16/10/2009&lt;/D&gt;&lt;D xsi:type="xsd:string"&gt;15/10/2009&lt;/D&gt;&lt;D xsi:type="xsd:string"&gt;14/10/2009&lt;/D&gt;&lt;D xsi:type="xsd:string"&gt;13/10/2009&lt;/D&gt;&lt;D xsi:type="xsd:string"&gt;12/10/2009&lt;/D&gt;&lt;D xsi:type="xsd:string"&gt;09/10/2009&lt;/D&gt;&lt;D xsi:type="xsd:string"&gt;08/10/2009&lt;/D&gt;&lt;D xsi:type="xsd:string"&gt;07/10/2009&lt;/D&gt;&lt;D xsi:type="xsd:string"&gt;06/10/2009&lt;/D&gt;&lt;D xsi:type="xsd:string"&gt;05/10/2009&lt;/D&gt;&lt;D xsi:type="xsd:string"&gt;02/10/2009&lt;/D&gt;&lt;D xsi:type="xsd:string"&gt;01/10/2009&lt;/D&gt;&lt;D xsi:type="xsd:string"&gt;30/09/2009&lt;/D&gt;&lt;D xsi:type="xsd:string"&gt;29/09/2009&lt;/D&gt;&lt;D xsi:type="xsd:string"&gt;28/09/2009&lt;/D&gt;&lt;D xsi:type="xsd:string"&gt;25/09/2009&lt;/D&gt;&lt;D xsi:type="xsd:string"&gt;24/09/2009&lt;/D&gt;&lt;D xsi:type="xsd:string"&gt;23/09/2009&lt;/D&gt;&lt;D xsi:type="xsd:string"&gt;22/09/2009&lt;/D&gt;&lt;D xsi:type="xsd:string"&gt;21/09/2009&lt;/D&gt;&lt;D xsi:type="xsd:string"&gt;18/09/2009&lt;/D&gt;&lt;D xsi:type="xsd:string"&gt;17/09/2009&lt;/D&gt;&lt;D xsi:type="xsd:string"&gt;16/09/2009&lt;/D&gt;&lt;D xsi:type="xsd:string"&gt;15/09/2009&lt;/D&gt;&lt;D xsi:type="xsd:string"&gt;14/09/2009&lt;/D&gt;&lt;D xsi:type="xsd:string"&gt;11/09/2009&lt;/D&gt;&lt;D xsi:type="xsd:string"&gt;10/09/2009&lt;/D&gt;&lt;D xsi:type="xsd:string"&gt;09/09/2009&lt;/D&gt;&lt;D xsi:type="xsd:string"&gt;08/09/2009&lt;/D&gt;&lt;D xsi:type="xsd:string"&gt;07/09/2009&lt;/D&gt;&lt;D xsi:type="xsd:string"&gt;04/09/2009&lt;/D&gt;&lt;D xsi:type="xsd:string"&gt;03/09/2009&lt;/D&gt;&lt;D xsi:type="xsd:string"&gt;02/09/2009&lt;/D&gt;&lt;D xsi:type="xsd:string"&gt;01/09/2009&lt;/D&gt;&lt;D xsi:type="xsd:string"&gt;31/08/2009&lt;/D&gt;&lt;D xsi:type="xsd:string"&gt;28/08/2009&lt;/D&gt;&lt;D xsi:type="xsd:string"&gt;27/08/2009&lt;/D&gt;&lt;D xsi:type="xsd:string"&gt;26/08/2009&lt;/D&gt;&lt;D xsi:type="xsd:string"&gt;25/08/2009&lt;/D&gt;&lt;D xsi:type="xsd:string"&gt;24/08/2009&lt;/D&gt;&lt;D xsi:type="xsd:string"&gt;21/08/2009&lt;/D&gt;&lt;D xsi:type="xsd:string"&gt;20/08/2009&lt;/D&gt;&lt;D xsi:type="xsd:string"&gt;19/08/2009&lt;/D&gt;&lt;D xsi:type="xsd:string"&gt;18/08/2009&lt;/D&gt;&lt;D xsi:type="xsd:string"&gt;17/08/2009&lt;/D&gt;&lt;D xsi:type="xsd:string"&gt;14/08/2009&lt;/D&gt;&lt;D xsi:type="xsd:string"&gt;13/08/2009&lt;/D&gt;&lt;D xsi:type="xsd:string"&gt;12/08/2009&lt;/D&gt;&lt;D xsi:type="xsd:string"&gt;11/08/2009&lt;/D&gt;&lt;D xsi:type="xsd:string"&gt;10/08/2009&lt;/D&gt;&lt;D xsi:type="xsd:string"&gt;07/08/2009&lt;/D&gt;&lt;D xsi:type="xsd:string"&gt;06/08/2009&lt;/D&gt;&lt;D xsi:type="xsd:string"&gt;05/08/2009&lt;/D&gt;&lt;D xsi:type="xsd:string"&gt;04/08/2009&lt;/D&gt;&lt;D xsi:type="xsd:string"&gt;03/08/2009&lt;/D&gt;&lt;D xsi:type="xsd:string"&gt;31/07/2009&lt;/D&gt;&lt;D xsi:type="xsd:string"&gt;30/07/2009&lt;/D&gt;&lt;D xsi:type="xsd:string"&gt;29/07/2009&lt;/D&gt;&lt;D xsi:type="xsd:string"&gt;28/07/2009&lt;/D&gt;&lt;D xsi:type="xsd:string"&gt;27/07/2009&lt;/D&gt;&lt;D xsi:type="xsd:string"&gt;24/07/2009&lt;/D&gt;&lt;D xsi:type="xsd:string"&gt;23/07/2009&lt;/D&gt;&lt;D xsi:type="xsd:string"&gt;22/07/2009&lt;/D&gt;&lt;D xsi:type="xsd:string"&gt;21/07/2009&lt;/D&gt;&lt;D xsi:type="xsd:string"&gt;20/07/2009&lt;/D&gt;&lt;D xsi:type="xsd:string"&gt;17/07/2009&lt;/D&gt;&lt;D xsi:type="xsd:string"&gt;16/07/2009&lt;/D&gt;&lt;D xsi:type="xsd:string"&gt;15/07/2009&lt;/D&gt;&lt;D xsi:type="xsd:string"&gt;14/07/2009&lt;/D&gt;&lt;D xsi:type="xsd:string"&gt;13/07/2009&lt;/D&gt;&lt;D xsi:type="xsd:string"&gt;10/07/2009&lt;/D&gt;&lt;D xsi:type="xsd:string"&gt;09/07/2009&lt;/D&gt;&lt;D xsi:type="xsd:string"&gt;08/07/2009&lt;/D&gt;&lt;D xsi:type="xsd:string"&gt;07/07/2009&lt;/D&gt;&lt;D xsi:type="xsd:string"&gt;06/07/2009&lt;/D&gt;&lt;D xsi:type="xsd:string"&gt;03/07/2009&lt;/D&gt;&lt;D xsi:type="xsd:string"&gt;02/07/2009&lt;/D&gt;&lt;D xsi:type="xsd:string"&gt;01/07/2009&lt;/D&gt;&lt;D xsi:type="xsd:string"&gt;30/06/2009&lt;/D&gt;&lt;D xsi:type="xsd:string"&gt;29/06/2009&lt;/D&gt;&lt;D xsi:type="xsd:string"&gt;26/06/2009&lt;/D&gt;&lt;D xsi:type="xsd:string"&gt;25/06/2009&lt;/D&gt;&lt;D xsi:type="xsd:string"&gt;24/06/2009&lt;/D&gt;&lt;D xsi:type="xsd:string"&gt;23/06/2009&lt;/D&gt;&lt;D xsi:type="xsd:string"&gt;22/06/2009&lt;/D&gt;&lt;D xsi:type="xsd:string"&gt;19/06/2009&lt;/D&gt;&lt;D xsi:type="xsd:string"&gt;18/06/2009&lt;/D&gt;&lt;D xsi:type="xsd:string"&gt;17/06/2009&lt;/D&gt;&lt;D xsi:type="xsd:string"&gt;16/06/2009&lt;/D&gt;&lt;D xsi:type="xsd:string"&gt;15/06/2009&lt;/D&gt;&lt;D xsi:type="xsd:string"&gt;12/06/2009&lt;/D&gt;&lt;D xsi:type="xsd:string"&gt;11/06/2009&lt;/D&gt;&lt;D xsi:type="xsd:string"&gt;10/06/2009&lt;/D&gt;&lt;D xsi:type="xsd:string"&gt;09/06/2009&lt;/D&gt;&lt;D xsi:type="xsd:string"&gt;08/06/2009&lt;/D&gt;&lt;D xsi:type="xsd:string"&gt;05/06/2009&lt;/D&gt;&lt;D xsi:type="xsd:string"&gt;04/06/2009&lt;/D&gt;&lt;D xsi:type="xsd:string"&gt;03/06/2009&lt;/D&gt;&lt;D xsi:type="xsd:string"&gt;02/06/2009&lt;/D&gt;&lt;D xsi:type="xsd:string"&gt;01/06/2009&lt;/D&gt;&lt;D xsi:type="xsd:string"&gt;29/05/2009&lt;/D&gt;&lt;D xsi:type="xsd:string"&gt;28/05/2009&lt;/D&gt;&lt;D xsi:type="xsd:string"&gt;27/05/2009&lt;/D&gt;&lt;D xsi:type="xsd:string"&gt;26/05/2009&lt;/D&gt;&lt;D xsi:type="xsd:string"&gt;25/05/2009&lt;/D&gt;&lt;D xsi:type="xsd:string"&gt;22/05/2009&lt;/D&gt;&lt;D xsi:type="xsd:string"&gt;21/05/2009&lt;/D&gt;&lt;D xsi:type="xsd:string"&gt;20/05/2009&lt;/D&gt;&lt;D xsi:type="xsd:string"&gt;19/05/2009&lt;/D&gt;&lt;D xsi:type="xsd:string"&gt;18/05/2009&lt;/D&gt;&lt;D xsi:type="xsd:string"&gt;15/05/2009&lt;/D&gt;&lt;D xsi:type="xsd:string"&gt;14/05/2009&lt;/D&gt;&lt;D xsi:type="xsd:string"&gt;13/05/2009&lt;/D&gt;&lt;D xsi:type="xsd:string"&gt;12/05/2009&lt;/D&gt;&lt;D xsi:type="xsd:string"&gt;11/05/2009&lt;/D&gt;&lt;D xsi:type="xsd:string"&gt;08/05/2009&lt;/D&gt;&lt;D xsi:type="xsd:string"&gt;07/05/2009&lt;/D&gt;&lt;D xsi:type="xsd:string"&gt;06/05/2009&lt;/D&gt;&lt;D xsi:type="xsd:string"&gt;05/05/2009&lt;/D&gt;&lt;D xsi:type="xsd:string"&gt;04/05/2009&lt;/D&gt;&lt;D xsi:type="xsd:string"&gt;01/05/2009&lt;/D&gt;&lt;D xsi:type="xsd:string"&gt;30/04/2009&lt;/D&gt;&lt;D xsi:type="xsd:string"&gt;29/04/2009&lt;/D&gt;&lt;D xsi:type="xsd:string"&gt;28/04/2009&lt;/D&gt;&lt;D xsi:type="xsd:string"&gt;27/04/2009&lt;/D&gt;&lt;D xsi:type="xsd:string"&gt;24/04/2009&lt;/D&gt;&lt;D xsi:type="xsd:string"&gt;23/04/2009&lt;/D&gt;&lt;D xsi:type="xsd:string"&gt;22/04/2009&lt;/D&gt;&lt;D xsi:type="xsd:string"&gt;21/04/2009&lt;/D&gt;&lt;D xsi:type="xsd:string"&gt;20/04/2009&lt;/D&gt;&lt;D xsi:type="xsd:string"&gt;17/04/2009&lt;/D&gt;&lt;D xsi:type="xsd:string"&gt;16/04/2009&lt;/D&gt;&lt;D xsi:type="xsd:string"&gt;15/04/2009&lt;/D&gt;&lt;D xsi:type="xsd:string"&gt;14/04/2009&lt;/D&gt;&lt;D xsi:type="xsd:string"&gt;13/04/2009&lt;/D&gt;&lt;D xsi:type="xsd:string"&gt;10/04/2009&lt;/D&gt;&lt;D xsi:type="xsd:string"&gt;09/04/2009&lt;/D&gt;&lt;D xsi:type="xsd:string"&gt;08/04/2009&lt;/D&gt;&lt;D xsi:type="xsd:string"&gt;07/04/2009&lt;/D&gt;&lt;D xsi:type="xsd:string"&gt;06/04/2009&lt;/D&gt;&lt;D xsi:type="xsd:string"&gt;03/04/2009&lt;/D&gt;&lt;D xsi:type="xsd:string"&gt;02/04/2009&lt;/D&gt;&lt;D xsi:type="xsd:string"&gt;01/04/2009&lt;/D&gt;&lt;D xsi:type="xsd:string"&gt;31/03/2009&lt;/D&gt;&lt;D xsi:type="xsd:string"&gt;30/03/2009&lt;/D&gt;&lt;D xsi:type="xsd:string"&gt;27/03/2009&lt;/D&gt;&lt;D xsi:type="xsd:string"&gt;26/03/2009&lt;/D&gt;&lt;D xsi:type="xsd:string"&gt;25/03/2009&lt;/D&gt;&lt;D xsi:type="xsd:string"&gt;24/03/2009&lt;/D&gt;&lt;D xsi:type="xsd:string"&gt;23/03/2009&lt;/D&gt;&lt;D xsi:type="xsd:string"&gt;20/03/2009&lt;/D&gt;&lt;D xsi:type="xsd:string"&gt;19/03/2009&lt;/D&gt;&lt;D xsi:type="xsd:string"&gt;18/03/2009&lt;/D&gt;&lt;D xsi:type="xsd:string"&gt;17/03/2009&lt;/D&gt;&lt;D xsi:type="xsd:string"&gt;16/03/2009&lt;/D&gt;&lt;D xsi:type="xsd:string"&gt;13/03/2009&lt;/D&gt;&lt;D xsi:type="xsd:string"&gt;12/03/2009&lt;/D&gt;&lt;D xsi:type="xsd:string"&gt;11/03/2009&lt;/D&gt;&lt;D xsi:type="xsd:string"&gt;10/03/2009&lt;/D&gt;&lt;D xsi:type="xsd:string"&gt;09/03/2009&lt;/D&gt;&lt;D xsi:type="xsd:string"&gt;06/03/2009&lt;/D&gt;&lt;D xsi:type="xsd:string"&gt;05/03/2009&lt;/D&gt;&lt;D xsi:type="xsd:string"&gt;04/03/2009&lt;/D&gt;&lt;D xsi:type="xsd:string"&gt;03/03/2009&lt;/D&gt;&lt;D xsi:type="xsd:string"&gt;02/03/2009&lt;/D&gt;&lt;D xsi:type="xsd:string"&gt;27/02/2009&lt;/D&gt;&lt;D xsi:type="xsd:string"&gt;26/02/2009&lt;/D&gt;&lt;D xsi:type="xsd:string"&gt;25/02/2009&lt;/D&gt;&lt;D xsi:type="xsd:string"&gt;24/02/2009&lt;/D&gt;&lt;D xsi:type="xsd:string"&gt;23/02/2009&lt;/D&gt;&lt;D xsi:type="xsd:string"&gt;20/02/2009&lt;/D&gt;&lt;D xsi:type="xsd:string"&gt;19/02/2009&lt;/D&gt;&lt;D xsi:type="xsd:string"&gt;18/02/2009&lt;/D&gt;&lt;D xsi:type="xsd:string"&gt;17/02/2009&lt;/D&gt;&lt;D xsi:type="xsd:string"&gt;16/02/2009&lt;/D&gt;&lt;D xsi:type="xsd:string"&gt;13/02/2009&lt;/D&gt;&lt;D xsi:type="xsd:string"&gt;12/02/2009&lt;/D&gt;&lt;D xsi:type="xsd:string"&gt;11/02/2009&lt;/D&gt;&lt;D xsi:type="xsd:string"&gt;10/02/2009&lt;/D&gt;&lt;D xsi:type="xsd:string"&gt;09/02/2009&lt;/D&gt;&lt;D xsi:type="xsd:string"&gt;06/02/2009&lt;/D&gt;&lt;D xsi:type="xsd:string"&gt;05/02/2009&lt;/D&gt;&lt;D xsi:type="xsd:string"&gt;04/02/2009&lt;/D&gt;&lt;D xsi:type="xsd:string"&gt;03/02/2009&lt;/D&gt;&lt;D xsi:type="xsd:string"&gt;02/02/2009&lt;/D&gt;&lt;D xsi:type="xsd:string"&gt;30/01/2009&lt;/D&gt;&lt;D xsi:type="xsd:string"&gt;29/01/2009&lt;/D&gt;&lt;D xsi:type="xsd:string"&gt;28/01/2009&lt;/D&gt;&lt;D xsi:type="xsd:string"&gt;27/01/2009&lt;/D&gt;&lt;D xsi:type="xsd:string"&gt;26/01/2009&lt;/D&gt;&lt;D xsi:type="xsd:string"&gt;23/01/2009&lt;/D&gt;&lt;D xsi:type="xsd:string"&gt;22/01/2009&lt;/D&gt;&lt;D xsi:type="xsd:string"&gt;21/01/2009&lt;/D&gt;&lt;D xsi:type="xsd:string"&gt;20/01/2009&lt;/D&gt;&lt;D xsi:type="xsd:string"&gt;19/01/2009&lt;/D&gt;&lt;D xsi:type="xsd:string"&gt;16/01/2009&lt;/D&gt;&lt;D xsi:type="xsd:string"&gt;15/01/2009&lt;/D&gt;&lt;D xsi:type="xsd:string"&gt;14/01/2009&lt;/D&gt;&lt;D xsi:type="xsd:string"&gt;13/01/2009&lt;/D&gt;&lt;D xsi:type="xsd:string"&gt;12/01/2009&lt;/D&gt;&lt;D xsi:type="xsd:string"&gt;09/01/2009&lt;/D&gt;&lt;D xsi:type="xsd:string"&gt;08/01/2009&lt;/D&gt;&lt;D xsi:type="xsd:string"&gt;07/01/2009&lt;/D&gt;&lt;D xsi:type="xsd:string"&gt;06/01/2009&lt;/D&gt;&lt;D xsi:type="xsd:string"&gt;05/01/2009&lt;/D&gt;&lt;D xsi:type="xsd:string"&gt;02/01/2009&lt;/D&gt;&lt;D xsi:type="xsd:string"&gt;01/01/2009&lt;/D&gt;&lt;D xsi:type="xsd:string"&gt;31/12/2008&lt;/D&gt;&lt;D xsi:type="xsd:string"&gt;30/12/2008&lt;/D&gt;&lt;D xsi:type="xsd:string"&gt;29/12/2008&lt;/D&gt;&lt;D xsi:type="xsd:string"&gt;26/12/2008&lt;/D&gt;&lt;D xsi:type="xsd:string"&gt;25/12/2008&lt;/D&gt;&lt;D xsi:type="xsd:string"&gt;24/12/2008&lt;/D&gt;&lt;D xsi:type="xsd:string"&gt;23/12/2008&lt;/D&gt;&lt;D xsi:type="xsd:string"&gt;22/12/2008&lt;/D&gt;&lt;D xsi:type="xsd:string"&gt;19/12/2008&lt;/D&gt;&lt;D xsi:type="xsd:string"&gt;18/12/2008&lt;/D&gt;&lt;D xsi:type="xsd:string"&gt;17/12/2008&lt;/D&gt;&lt;D xsi:type="xsd:string"&gt;16/12/2008&lt;/D&gt;&lt;D xsi:type="xsd:string"&gt;15/12/2008&lt;/D&gt;&lt;D xsi:type="xsd:string"&gt;12/12/2008&lt;/D&gt;&lt;D xsi:type="xsd:string"&gt;11/12/2008&lt;/D&gt;&lt;D xsi:type="xsd:string"&gt;10/12/2008&lt;/D&gt;&lt;D xsi:type="xsd:string"&gt;09/12/2008&lt;/D&gt;&lt;D xsi:type="xsd:string"&gt;08/12/2008&lt;/D&gt;&lt;D xsi:type="xsd:string"&gt;05/12/2008&lt;/D&gt;&lt;D xsi:type="xsd:string"&gt;04/12/2008&lt;/D&gt;&lt;D xsi:type="xsd:string"&gt;03/12/2008&lt;/D&gt;&lt;D xsi:type="xsd:string"&gt;02/12/2008&lt;/D&gt;&lt;D xsi:type="xsd:string"&gt;01/12/2008&lt;/D&gt;&lt;D xsi:type="xsd:string"&gt;28/11/2008&lt;/D&gt;&lt;D xsi:type="xsd:string"&gt;27/11/2008&lt;/D&gt;&lt;D xsi:type="xsd:string"&gt;26/11/2008&lt;/D&gt;&lt;D xsi:type="xsd:string"&gt;25/11/2008&lt;/D&gt;&lt;D xsi:type="xsd:string"&gt;24/11/2008&lt;/D&gt;&lt;D xsi:type="xsd:string"&gt;21/11/2008&lt;/D&gt;&lt;D xsi:type="xsd:string"&gt;20/11/2008&lt;/D&gt;&lt;D xsi:type="xsd:string"&gt;19/11/2008&lt;/D&gt;&lt;D xsi:type="xsd:string"&gt;18/11/2008&lt;/D&gt;&lt;D xsi:type="xsd:string"&gt;17/11/2008&lt;/D&gt;&lt;D xsi:type="xsd:string"&gt;14/11/2008&lt;/D&gt;&lt;D xsi:type="xsd:string"&gt;13/11/2008&lt;/D&gt;&lt;D xsi:type="xsd:string"&gt;12/11/2008&lt;/D&gt;&lt;D xsi:type="xsd:string"&gt;11/11/2008&lt;/D&gt;&lt;D xsi:type="xsd:string"&gt;10/11/2008&lt;/D&gt;&lt;D xsi:type="xsd:string"&gt;07/11/2008&lt;/D&gt;&lt;D xsi:type="xsd:string"&gt;06/11/2008&lt;/D&gt;&lt;D xsi:type="xsd:string"&gt;05/11/2008&lt;/D&gt;&lt;D xsi:type="xsd:string"&gt;04/11/2008&lt;/D&gt;&lt;D xsi:type="xsd:string"&gt;03/11/2008&lt;/D&gt;&lt;D xsi:type="xsd:string"&gt;31/10/2008&lt;/D&gt;&lt;D xsi:type="xsd:string"&gt;30/10/2008&lt;/D&gt;&lt;D xsi:type="xsd:string"&gt;29/10/2008&lt;/D&gt;&lt;D xsi:type="xsd:string"&gt;28/10/2008&lt;/D&gt;&lt;D xsi:type="xsd:string"&gt;27/10/2008&lt;/D&gt;&lt;D xsi:type="xsd:string"&gt;24/10/2008&lt;/D&gt;&lt;D xsi:type="xsd:string"&gt;23/10/2008&lt;/D&gt;&lt;D xsi:type="xsd:string"&gt;22/10/2008&lt;/D&gt;&lt;D xsi:type="xsd:string"&gt;21/10/2008&lt;/D&gt;&lt;D xsi:type="xsd:string"&gt;20/10/2008&lt;/D&gt;&lt;D xsi:type="xsd:string"&gt;17/10/2008&lt;/D&gt;&lt;D xsi:type="xsd:string"&gt;16/10/2008&lt;/D&gt;&lt;D xsi:type="xsd:string"&gt;15/10/2008&lt;/D&gt;&lt;D xsi:type="xsd:string"&gt;14/10/2008&lt;/D&gt;&lt;D xsi:type="xsd:string"&gt;13/10/2008&lt;/D&gt;&lt;D xsi:type="xsd:string"&gt;10/10/2008&lt;/D&gt;&lt;D xsi:type="xsd:string"&gt;09/10/2008&lt;/D&gt;&lt;D xsi:type="xsd:string"&gt;08/10/2008&lt;/D&gt;&lt;D xsi:type="xsd:string"&gt;07/10/2008&lt;/D&gt;&lt;D xsi:type="xsd:string"&gt;06/10/2008&lt;/D&gt;&lt;D xsi:type="xsd:string"&gt;03/10/2008&lt;/D&gt;&lt;D xsi:type="xsd:string"&gt;02/10/2008&lt;/D&gt;&lt;D xsi:type="xsd:string"&gt;01/10/2008&lt;/D&gt;&lt;D xsi:type="xsd:string"&gt;30/09/2008&lt;/D&gt;&lt;D xsi:type="xsd:string"&gt;29/09/2008&lt;/D&gt;&lt;D xsi:type="xsd:string"&gt;26/09/2008&lt;/D&gt;&lt;D xsi:type="xsd:string"&gt;25/09/2008&lt;/D&gt;&lt;D xsi:type="xsd:string"&gt;24/09/2008&lt;/D&gt;&lt;D xsi:type="xsd:string"&gt;23/09/2008&lt;/D&gt;&lt;D xsi:type="xsd:string"&gt;22/09/2008&lt;/D&gt;&lt;D xsi:type="xsd:string"&gt;19/09/2008&lt;/D&gt;&lt;D xsi:type="xsd:string"&gt;18/09/2008&lt;/D&gt;&lt;D xsi:type="xsd:string"&gt;17/09/2008&lt;/D&gt;&lt;D xsi:type="xsd:string"&gt;16/09/2008&lt;/D&gt;&lt;D xsi:type="xsd:string"&gt;15/09/2008&lt;/D&gt;&lt;D xsi:type="xsd:string"&gt;12/09/2008&lt;/D&gt;&lt;D xsi:type="xsd:string"&gt;11/09/2008&lt;/D&gt;&lt;D xsi:type="xsd:string"&gt;10/09/2008&lt;/D&gt;&lt;D xsi:type="xsd:string"&gt;09/09/2008&lt;/D&gt;&lt;D xsi:type="xsd:string"&gt;08/09/2008&lt;/D&gt;&lt;D xsi:type="xsd:string"&gt;05/09/2008&lt;/D&gt;&lt;D xsi:type="xsd:string"&gt;04/09/2008&lt;/D&gt;&lt;D xsi:type="xsd:string"&gt;03/09/2008&lt;/D&gt;&lt;D xsi:type="xsd:string"&gt;02/09/2008&lt;/D&gt;&lt;D xsi:type="xsd:string"&gt;01/09/2008&lt;/D&gt;&lt;D xsi:type="xsd:string"&gt;29/08/2008&lt;/D&gt;&lt;D xsi:type="xsd:string"&gt;28/08/2008&lt;/D&gt;&lt;D xsi:type="xsd:string"&gt;27/08/2008&lt;/D&gt;&lt;D xsi:type="xsd:string"&gt;26/08/2008&lt;/D&gt;&lt;D xsi:type="xsd:string"&gt;25/08/2008&lt;/D&gt;&lt;D xsi:type="xsd:string"&gt;22/08/2008&lt;/D&gt;&lt;D xsi:type="xsd:string"&gt;21/08/2008&lt;/D&gt;&lt;D xsi:type="xsd:string"&gt;20/08/2008&lt;/D&gt;&lt;D xsi:type="xsd:string"&gt;19/08/2008&lt;/D&gt;&lt;D xsi:type="xsd:string"&gt;18/08/2008&lt;/D&gt;&lt;D xsi:type="xsd:string"&gt;15/08/2008&lt;/D&gt;&lt;D xsi:type="xsd:string"&gt;14/08/2008&lt;/D&gt;&lt;D xsi:type="xsd:string"&gt;13/08/2008&lt;/D&gt;&lt;D xsi:type="xsd:string"&gt;12/08/2008&lt;/D&gt;&lt;D xsi:type="xsd:string"&gt;11/08/2008&lt;/D&gt;&lt;D xsi:type="xsd:string"&gt;08/08/2008&lt;/D&gt;&lt;D xsi:type="xsd:string"&gt;07/08/2008&lt;/D&gt;&lt;D xsi:type="xsd:string"&gt;06/08/2008&lt;/D&gt;&lt;D xsi:type="xsd:string"&gt;05/08/2008&lt;/D&gt;&lt;D xsi:type="xsd:string"&gt;04/08/2008&lt;/D&gt;&lt;D xsi:type="xsd:string"&gt;01/08/2008&lt;/D&gt;&lt;D xsi:type="xsd:string"&gt;31/07/2008&lt;/D&gt;&lt;D xsi:type="xsd:string"&gt;30/07/2008&lt;/D&gt;&lt;D xsi:type="xsd:string"&gt;29/07/2008&lt;/D&gt;&lt;D xsi:type="xsd:string"&gt;28/07/2008&lt;/D&gt;&lt;D xsi:type="xsd:string"&gt;25/07/2008&lt;/D&gt;&lt;D xsi:type="xsd:string"&gt;24/07/2008&lt;/D&gt;&lt;D xsi:type="xsd:string"&gt;23/07/2008&lt;/D&gt;&lt;D xsi:type="xsd:string"&gt;22/07/2008&lt;/D&gt;&lt;D xsi:type="xsd:string"&gt;21/07/2008&lt;/D&gt;&lt;D xsi:type="xsd:string"&gt;18/07/2008&lt;/D&gt;&lt;D xsi:type="xsd:string"&gt;17/07/2008&lt;/D&gt;&lt;D xsi:type="xsd:string"&gt;16/07/2008&lt;/D&gt;&lt;D xsi:type="xsd:string"&gt;15/07/2008&lt;/D&gt;&lt;D xsi:type="xsd:string"&gt;14/07/2008&lt;/D&gt;&lt;D xsi:type="xsd:string"&gt;11/07/2008&lt;/D&gt;&lt;D xsi:type="xsd:string"&gt;10/07/2008&lt;/D&gt;&lt;D xsi:type="xsd:string"&gt;09/07/2008&lt;/D&gt;&lt;D xsi:type="xsd:string"&gt;08/07/2008&lt;/D&gt;&lt;D xsi:type="xsd:string"&gt;07/07/2008&lt;/D&gt;&lt;D xsi:type="xsd:string"&gt;04/07/2008&lt;/D&gt;&lt;D xsi:type="xsd:string"&gt;03/07/2008&lt;/D&gt;&lt;D xsi:type="xsd:string"&gt;02/07/2008&lt;/D&gt;&lt;D xsi:type="xsd:string"&gt;01/07/2008&lt;/D&gt;&lt;D xsi:type="xsd:string"&gt;30/06/2008&lt;/D&gt;&lt;D xsi:type="xsd:string"&gt;27/06/2008&lt;/D&gt;&lt;D xsi:type="xsd:string"&gt;26/06/2008&lt;/D&gt;&lt;D xsi:type="xsd:string"&gt;25/06/2008&lt;/D&gt;&lt;D xsi:type="xsd:string"&gt;24/06/2008&lt;/D&gt;&lt;D xsi:type="xsd:string"&gt;23/06/2008&lt;/D&gt;&lt;D xsi:type="xsd:string"&gt;20/06/2008&lt;/D&gt;&lt;D xsi:type="xsd:string"&gt;19/06/2008&lt;/D&gt;&lt;D xsi:type="xsd:string"&gt;18/06/2008&lt;/D&gt;&lt;D xsi:type="xsd:string"&gt;17/06/2008&lt;/D&gt;&lt;D xsi:type="xsd:string"&gt;16/06/2008&lt;/D&gt;&lt;D xsi:type="xsd:string"&gt;13/06/2008&lt;/D&gt;&lt;D xsi:type="xsd:string"&gt;12/06/2008&lt;/D&gt;&lt;D xsi:type="xsd:string"&gt;11/06/2008&lt;/D&gt;&lt;D xsi:type="xsd:string"&gt;10/06/2008&lt;/D&gt;&lt;D xsi:type="xsd:string"&gt;09/06/2008&lt;/D&gt;&lt;D xsi:type="xsd:string"&gt;06/06/2008&lt;/D&gt;&lt;D xsi:type="xsd:string"&gt;05/06/2008&lt;/D&gt;&lt;D xsi:type="xsd:string"&gt;04/06/2008&lt;/D&gt;&lt;D xsi:type="xsd:string"&gt;03/06/2008&lt;/D&gt;&lt;D xsi:type="xsd:string"&gt;02/06/2008&lt;/D&gt;&lt;D xsi:type="xsd:string"&gt;30/05/2008&lt;/D&gt;&lt;D xsi:type="xsd:string"&gt;29/05/2008&lt;/D&gt;&lt;D xsi:type="xsd:string"&gt;28/05/2008&lt;/D&gt;&lt;D xsi:type="xsd:string"&gt;27/05/2008&lt;/D&gt;&lt;D xsi:type="xsd:string"&gt;26/05/2008&lt;/D&gt;&lt;D xsi:type="xsd:string"&gt;23/05/2008&lt;/D&gt;&lt;D xsi:type="xsd:string"&gt;22/05/2008&lt;/D&gt;&lt;D xsi:type="xsd:string"&gt;21/05/2008&lt;/D&gt;&lt;D xsi:type="xsd:string"&gt;20/05/2008&lt;/D&gt;&lt;D xsi:type="xsd:string"&gt;19/05/2008&lt;/D&gt;&lt;D xsi:type="xsd:string"&gt;16/05/2008&lt;/D&gt;&lt;D xsi:type="xsd:string"&gt;15/05/2008&lt;/D&gt;&lt;D xsi:type="xsd:string"&gt;14/05/2008&lt;/D&gt;&lt;D xsi:type="xsd:string"&gt;13/05/2008&lt;/D&gt;&lt;D xsi:type="xsd:string"&gt;12/05/2008&lt;/D&gt;&lt;D xsi:type="xsd:string"&gt;09/05/2008&lt;/D&gt;&lt;D xsi:type="xsd:string"&gt;08/05/2008&lt;/D&gt;&lt;D xsi:type="xsd:string"&gt;07/05/2008&lt;/D&gt;&lt;D xsi:type="xsd:string"&gt;06/05/2008&lt;/D&gt;&lt;D xsi:type="xsd:string"&gt;05/05/2008&lt;/D&gt;&lt;D xsi:type="xsd:string"&gt;02/05/2008&lt;/D&gt;&lt;D xsi:type="xsd:string"&gt;01/05/2008&lt;/D&gt;&lt;D xsi:type="xsd:string"&gt;30/04/2008&lt;/D&gt;&lt;D xsi:type="xsd:string"&gt;29/04/2008&lt;/D&gt;&lt;D xsi:type="xsd:string"&gt;28/04/2008&lt;/D&gt;&lt;D xsi:type="xsd:string"&gt;25/04/2008&lt;/D&gt;&lt;D xsi:type="xsd:string"&gt;24/04/2008&lt;/D&gt;&lt;D xsi:type="xsd:string"&gt;23/04/2008&lt;/D&gt;&lt;D xsi:type="xsd:string"&gt;22/04/2008&lt;/D&gt;&lt;D xsi:type="xsd:string"&gt;21/04/2008&lt;/D&gt;&lt;D xsi:type="xsd:string"&gt;18/04/2008&lt;/D&gt;&lt;D xsi:type="xsd:string"&gt;17/04/2008&lt;/D&gt;&lt;D xsi:type="xsd:string"&gt;16/04/2008&lt;/D&gt;&lt;D xsi:type="xsd:string"&gt;15/04/2008&lt;/D&gt;&lt;D xsi:type="xsd:string"&gt;14/04/2008&lt;/D&gt;&lt;D xsi:type="xsd:string"&gt;11/04/2008&lt;/D&gt;&lt;D xsi:type="xsd:string"&gt;10/04/2008&lt;/D&gt;&lt;D xsi:type="xsd:string"&gt;09/04/2008&lt;/D&gt;&lt;D xsi:type="xsd:string"&gt;08/04/2008&lt;/D&gt;&lt;D xsi:type="xsd:string"&gt;07/04/2008&lt;/D&gt;&lt;D xsi:type="xsd:string"&gt;04/04/2008&lt;/D&gt;&lt;D xsi:type="xsd:string"&gt;03/04/2008&lt;/D&gt;&lt;D xsi:type="xsd:string"&gt;02/04/2008&lt;/D&gt;&lt;D xsi:type="xsd:string"&gt;01/04/2008&lt;/D&gt;&lt;D xsi:type="xsd:string"&gt;31/03/2008&lt;/D&gt;&lt;D xsi:type="xsd:string"&gt;28/03/2008&lt;/D&gt;&lt;D xsi:type="xsd:string"&gt;27/03/2008&lt;/D&gt;&lt;D xsi:type="xsd:string"&gt;26/03/2008&lt;/D&gt;&lt;D xsi:type="xsd:string"&gt;25/03/2008&lt;/D&gt;&lt;D xsi:type="xsd:string"&gt;24/03/2008&lt;/D&gt;&lt;D xsi:type="xsd:string"&gt;21/03/2008&lt;/D&gt;&lt;D xsi:type="xsd:string"&gt;20/03/2008&lt;/D&gt;&lt;D xsi:type="xsd:string"&gt;19/03/2008&lt;/D&gt;&lt;D xsi:type="xsd:string"&gt;18/03/2008&lt;/D&gt;&lt;D xsi:type="xsd:string"&gt;17/03/2008&lt;/D&gt;&lt;D xsi:type="xsd:string"&gt;14/03/2008&lt;/D&gt;&lt;D xsi:type="xsd:string"&gt;13/03/2008&lt;/D&gt;&lt;D xsi:type="xsd:string"&gt;12/03/2008&lt;/D&gt;&lt;D xsi:type="xsd:string"&gt;11/03/2008&lt;/D&gt;&lt;D xsi:type="xsd:string"&gt;10/03/2008&lt;/D&gt;&lt;D xsi:type="xsd:string"&gt;07/03/2008&lt;/D&gt;&lt;D xsi:type="xsd:string"&gt;06/03/2008&lt;/D&gt;&lt;D xsi:type="xsd:string"&gt;05/03/2008&lt;/D&gt;&lt;D xsi:type="xsd:string"&gt;04/03/2008&lt;/D&gt;&lt;D xsi:type="xsd:string"&gt;03/03/2008&lt;/D&gt;&lt;D xsi:type="xsd:string"&gt;29/02/2008&lt;/D&gt;&lt;D xsi:type="xsd:string"&gt;28/02/2008&lt;/D&gt;&lt;D xsi:type="xsd:string"&gt;27/02/2008&lt;/D&gt;&lt;D xsi:type="xsd:string"&gt;26/02/2008&lt;/D&gt;&lt;D xsi:type="xsd:string"&gt;25/02/2008&lt;/D&gt;&lt;D xsi:type="xsd:string"&gt;22/02/2008&lt;/D&gt;&lt;D xsi:type="xsd:string"&gt;21/02/2008&lt;/D&gt;&lt;D xsi:type="xsd:string"&gt;20/02/2008&lt;/D&gt;&lt;D xsi:type="xsd:string"&gt;19/02/2008&lt;/D&gt;&lt;D xsi:type="xsd:string"&gt;18/02/2008&lt;/D&gt;&lt;D xsi:type="xsd:string"&gt;15/02/2008&lt;/D&gt;&lt;D xsi:type="xsd:string"&gt;14/02/2008&lt;/D&gt;&lt;D xsi:type="xsd:string"&gt;13/02/2008&lt;/D&gt;&lt;D xsi:type="xsd:string"&gt;12/02/2008&lt;/D&gt;&lt;D xsi:type="xsd:string"&gt;11/02/2008&lt;/D&gt;&lt;D xsi:type="xsd:string"&gt;08/02/2008&lt;/D&gt;&lt;D xsi:type="xsd:string"&gt;07/02/2008&lt;/D&gt;&lt;D xsi:type="xsd:string"&gt;06/02/2008&lt;/D&gt;&lt;D xsi:type="xsd:string"&gt;05/02/2008&lt;/D&gt;&lt;D xsi:type="xsd:string"&gt;04/02/2008&lt;/D&gt;&lt;D xsi:type="xsd:string"&gt;01/02/2008&lt;/D&gt;&lt;D xsi:type="xsd:string"&gt;31/01/2008&lt;/D&gt;&lt;D xsi:type="xsd:string"&gt;30/01/2008&lt;/D&gt;&lt;D xsi:type="xsd:string"&gt;29/01/2008&lt;/D&gt;&lt;D xsi:type="xsd:string"&gt;28/01/2008&lt;/D&gt;&lt;D xsi:type="xsd:string"&gt;25/01/2008&lt;/D&gt;&lt;D xsi:type="xsd:string"&gt;24/01/2008&lt;/D&gt;&lt;D xsi:type="xsd:string"&gt;23/01/2008&lt;/D&gt;&lt;D xsi:type="xsd:string"&gt;22/01/2008&lt;/D&gt;&lt;D xsi:type="xsd:string"&gt;21/01/2008&lt;/D&gt;&lt;D xsi:type="xsd:string"&gt;18/01/2008&lt;/D&gt;&lt;D xsi:type="xsd:string"&gt;17/01/2008&lt;/D&gt;&lt;D xsi:type="xsd:string"&gt;16/01/2008&lt;/D&gt;&lt;D xsi:type="xsd:string"&gt;15/01/2008&lt;/D&gt;&lt;D xsi:type="xsd:string"&gt;14/01/2008&lt;/D&gt;&lt;D xsi:type="xsd:string"&gt;11/01/2008&lt;/D&gt;&lt;D xsi:type="xsd:string"&gt;10/01/2008&lt;/D&gt;&lt;D xsi:type="xsd:string"&gt;09/01/2008&lt;/D&gt;&lt;D xsi:type="xsd:string"&gt;08/01/2008&lt;/D&gt;&lt;D xsi:type="xsd:string"&gt;07/01/2008&lt;/D&gt;&lt;D xsi:type="xsd:string"&gt;04/01/2008&lt;/D&gt;&lt;D xsi:type="xsd:string"&gt;03/01/2008&lt;/D&gt;&lt;D xsi:type="xsd:string"&gt;02/01/2008&lt;/D&gt;&lt;D xsi:type="xsd:string"&gt;01/01/2008&lt;/D&gt;&lt;D xsi:type="xsd:string"&gt;31/12/2007&lt;/D&gt;&lt;D xsi:type="xsd:string"&gt;28/12/2007&lt;/D&gt;&lt;D xsi:type="xsd:string"&gt;27/12/2007&lt;/D&gt;&lt;D xsi:type="xsd:string"&gt;26/12/2007&lt;/D&gt;&lt;D xsi:type="xsd:string"&gt;25/12/2007&lt;/D&gt;&lt;D xsi:type="xsd:string"&gt;24/12/2007&lt;/D&gt;&lt;D xsi:type="xsd:string"&gt;21/12/2007&lt;/D&gt;&lt;D xsi:type="xsd:string"&gt;20/12/2007&lt;/D&gt;&lt;D xsi:type="xsd:string"&gt;19/12/2007&lt;/D&gt;&lt;D xsi:type="xsd:string"&gt;18/12/2007&lt;/D&gt;&lt;D xsi:type="xsd:string"&gt;17/12/2007&lt;/D&gt;&lt;D xsi:type="xsd:string"&gt;14/12/2007&lt;/D&gt;&lt;D xsi:type="xsd:string"&gt;13/12/2007&lt;/D&gt;&lt;D xsi:type="xsd:string"&gt;12/12/2007&lt;/D&gt;&lt;D xsi:type="xsd:string"&gt;11/12/2007&lt;/D&gt;&lt;D xsi:type="xsd:string"&gt;10/12/2007&lt;/D&gt;&lt;D xsi:type="xsd:string"&gt;07/12/2007&lt;/D&gt;&lt;D xsi:type="xsd:string"&gt;06/12/2007&lt;/D&gt;&lt;D xsi:type="xsd:string"&gt;05/12/2007&lt;/D&gt;&lt;D xsi:type="xsd:string"&gt;04/12/2007&lt;/D&gt;&lt;D xsi:type="xsd:string"&gt;03/12/2007&lt;/D&gt;&lt;D xsi:type="xsd:string"&gt;30/11/2007&lt;/D&gt;&lt;D xsi:type="xsd:string"&gt;29/11/2007&lt;/D&gt;&lt;D xsi:type="xsd:string"&gt;28/11/2007&lt;/D&gt;&lt;D xsi:type="xsd:string"&gt;27/11/2007&lt;/D&gt;&lt;D xsi:type="xsd:string"&gt;26/11/2007&lt;/D&gt;&lt;D xsi:type="xsd:string"&gt;23/11/2007&lt;/D&gt;&lt;D xsi:type="xsd:string"&gt;22/11/2007&lt;/D&gt;&lt;D xsi:type="xsd:string"&gt;21/11/2007&lt;/D&gt;&lt;D xsi:type="xsd:string"&gt;20/11/2007&lt;/D&gt;&lt;D xsi:type="xsd:string"&gt;19/11/2007&lt;/D&gt;&lt;D xsi:type="xsd:string"&gt;16/11/2007&lt;/D&gt;&lt;D xsi:type="xsd:string"&gt;15/11/2007&lt;/D&gt;&lt;D xsi:type="xsd:string"&gt;14/11/2007&lt;/D&gt;&lt;D xsi:type="xsd:string"&gt;13/11/2007&lt;/D&gt;&lt;D xsi:type="xsd:string"&gt;12/11/2007&lt;/D&gt;&lt;D xsi:type="xsd:string"&gt;09/11/2007&lt;/D&gt;&lt;D xsi:type="xsd:string"&gt;08/11/2007&lt;/D&gt;&lt;D xsi:type="xsd:string"&gt;07/11/2007&lt;/D&gt;&lt;D xsi:type="xsd:string"&gt;06/11/2007&lt;/D&gt;&lt;D xsi:type="xsd:string"&gt;05/11/2007&lt;/D&gt;&lt;D xsi:type="xsd:string"&gt;02/11/2007&lt;/D&gt;&lt;D xsi:type="xsd:string"&gt;01/11/2007&lt;/D&gt;&lt;D xsi:type="xsd:string"&gt;31/10/2007&lt;/D&gt;&lt;D xsi:type="xsd:string"&gt;30/10/2007&lt;/D&gt;&lt;D xsi:type="xsd:string"&gt;29/10/2007&lt;/D&gt;&lt;D xsi:type="xsd:string"&gt;26/10/2007&lt;/D&gt;&lt;D xsi:type="xsd:string"&gt;25/10/2007&lt;/D&gt;&lt;D xsi:type="xsd:string"&gt;24/10/2007&lt;/D&gt;&lt;D xsi:type="xsd:string"&gt;23/10/2007&lt;/D&gt;&lt;D xsi:type="xsd:string"&gt;22/10/2007&lt;/D&gt;&lt;D xsi:type="xsd:string"&gt;19/10/2007&lt;/D&gt;&lt;D xsi:type="xsd:string"&gt;18/10/2007&lt;/D&gt;&lt;D xsi:type="xsd:string"&gt;17/10/2007&lt;/D&gt;&lt;D xsi:type="xsd:string"&gt;16/10/2007&lt;/D&gt;&lt;D xsi:type="xsd:string"&gt;15/10/2007&lt;/D&gt;&lt;D xsi:type="xsd:string"&gt;12/10/2007&lt;/D&gt;&lt;D xsi:type="xsd:string"&gt;11/10/2007&lt;/D&gt;&lt;D xsi:type="xsd:string"&gt;10/10/2007&lt;/D&gt;&lt;D xsi:type="xsd:string"&gt;09/10/2007&lt;/D&gt;&lt;D xsi:type="xsd:string"&gt;08/10/2007&lt;/D&gt;&lt;D xsi:type="xsd:string"&gt;05/10/2007&lt;/D&gt;&lt;D xsi:type="xsd:string"&gt;04/10/2007&lt;/D&gt;&lt;D xsi:type="xsd:string"&gt;03/10/2007&lt;/D&gt;&lt;D xsi:type="xsd:string"&gt;02/10/2007&lt;/D&gt;&lt;D xsi:type="xsd:string"&gt;01/10/2007&lt;/D&gt;&lt;D xsi:type="xsd:string"&gt;28/09/2007&lt;/D&gt;&lt;D xsi:type="xsd:string"&gt;27/09/2007&lt;/D&gt;&lt;D xsi:type="xsd:string"&gt;26/09/2007&lt;/D&gt;&lt;D xsi:type="xsd:string"&gt;25/09/2007&lt;/D&gt;&lt;D xsi:type="xsd:string"&gt;24/09/2007&lt;/D&gt;&lt;D xsi:type="xsd:string"&gt;21/09/2007&lt;/D&gt;&lt;D xsi:type="xsd:string"&gt;20/09/2007&lt;/D&gt;&lt;D xsi:type="xsd:string"&gt;19/09/2007&lt;/D&gt;&lt;D xsi:type="xsd:string"&gt;18/09/2007&lt;/D&gt;&lt;D xsi:type="xsd:string"&gt;17/09/2007&lt;/D&gt;&lt;D xsi:type="xsd:string"&gt;14/09/2007&lt;/D&gt;&lt;D xsi:type="xsd:string"&gt;13/09/2007&lt;/D&gt;&lt;D xsi:type="xsd:string"&gt;12/09/2007&lt;/D&gt;&lt;D xsi:type="xsd:string"&gt;11/09/2007&lt;/D&gt;&lt;D xsi:type="xsd:string"&gt;10/09/2007&lt;/D&gt;&lt;D xsi:type="xsd:string"&gt;07/09/2007&lt;/D&gt;&lt;D xsi:type="xsd:string"&gt;06/09/2007&lt;/D&gt;&lt;D xsi:type="xsd:string"&gt;05/09/2007&lt;/D&gt;&lt;D xsi:type="xsd:string"&gt;04/09/2007&lt;/D&gt;&lt;D xsi:type="xsd:string"&gt;03/09/2007&lt;/D&gt;&lt;D xsi:type="xsd:string"&gt;31/08/2007&lt;/D&gt;&lt;D xsi:type="xsd:string"&gt;30/08/2007&lt;/D&gt;&lt;D xsi:type="xsd:string"&gt;29/08/2007&lt;/D&gt;&lt;D xsi:type="xsd:string"&gt;28/08/2007&lt;/D&gt;&lt;D xsi:type="xsd:string"&gt;27/08/2007&lt;/D&gt;&lt;D xsi:type="xsd:string"&gt;24/08/2007&lt;/D&gt;&lt;D xsi:type="xsd:string"&gt;23/08/2007&lt;/D&gt;&lt;D xsi:type="xsd:string"&gt;22/08/2007&lt;/D&gt;&lt;D xsi:type="xsd:string"&gt;21/08/2007&lt;/D&gt;&lt;D xsi:type="xsd:string"&gt;20/08/2007&lt;/D&gt;&lt;D xsi:type="xsd:string"&gt;17/08/2007&lt;/D&gt;&lt;D xsi:type="xsd:string"&gt;16/08/2007&lt;/D&gt;&lt;D xsi:type="xsd:string"&gt;15/08/2007&lt;/D&gt;&lt;D xsi:type="xsd:string"&gt;14/08/2007&lt;/D&gt;&lt;D xsi:type="xsd:string"&gt;13/08/2007&lt;/D&gt;&lt;D xsi:type="xsd:string"&gt;10/08/2007&lt;/D&gt;&lt;D xsi:type="xsd:string"&gt;09/08/2007&lt;/D&gt;&lt;D xsi:type="xsd:string"&gt;08/08/2007&lt;/D&gt;&lt;D xsi:type="xsd:string"&gt;07/08/2007&lt;/D&gt;&lt;D xsi:type="xsd:string"&gt;06/08/2007&lt;/D&gt;&lt;D xsi:type="xsd:string"&gt;03/08/2007&lt;/D&gt;&lt;D xsi:type="xsd:string"&gt;02/08/2007&lt;/D&gt;&lt;D xsi:type="xsd:string"&gt;01/08/2007&lt;/D&gt;&lt;D xsi:type="xsd:string"&gt;31/07/2007&lt;/D&gt;&lt;D xsi:type="xsd:string"&gt;30/07/2007&lt;/D&gt;&lt;D xsi:type="xsd:string"&gt;27/07/2007&lt;/D&gt;&lt;D xsi:type="xsd:string"&gt;26/07/2007&lt;/D&gt;&lt;D xsi:type="xsd:string"&gt;25/07/2007&lt;/D&gt;&lt;D xsi:type="xsd:string"&gt;24/07/2007&lt;/D&gt;&lt;D xsi:type="xsd:string"&gt;23/07/2007&lt;/D&gt;&lt;D xsi:type="xsd:string"&gt;20/07/2007&lt;/D&gt;&lt;D xsi:type="xsd:string"&gt;19/07/2007&lt;/D&gt;&lt;D xsi:type="xsd:string"&gt;18/07/2007&lt;/D&gt;&lt;D xsi:type="xsd:string"&gt;17/07/2007&lt;/D&gt;&lt;D xsi:type="xsd:string"&gt;16/07/2007&lt;/D&gt;&lt;D xsi:type="xsd:string"&gt;13/07/2007&lt;/D&gt;&lt;D xsi:type="xsd:string"&gt;12/07/2007&lt;/D&gt;&lt;D xsi:type="xsd:string"&gt;11/07/2007&lt;/D&gt;&lt;D xsi:type="xsd:string"&gt;10/07/2007&lt;/D&gt;&lt;D xsi:type="xsd:string"&gt;09/07/2007&lt;/D&gt;&lt;D xsi:type="xsd:string"&gt;06/07/2007&lt;/D&gt;&lt;D xsi:type="xsd:string"&gt;05/07/2007&lt;/D&gt;&lt;D xsi:type="xsd:string"&gt;04/07/2007&lt;/D&gt;&lt;D xsi:type="xsd:string"&gt;03/07/2007&lt;/D&gt;&lt;D xsi:type="xsd:string"&gt;02/07/2007&lt;/D&gt;&lt;D xsi:type="xsd:string"&gt;29/06/2007&lt;/D&gt;&lt;D xsi:type="xsd:string"&gt;28/06/2007&lt;/D&gt;&lt;D xsi:type="xsd:string"&gt;27/06/2007&lt;/</t>
        </r>
      </text>
    </comment>
    <comment ref="A19" authorId="0" shapeId="0" xr:uid="{CC3E60DD-80C8-4008-B757-7A1DBCBA4081}">
      <text>
        <r>
          <rPr>
            <b/>
            <sz val="9"/>
            <color indexed="81"/>
            <rFont val="Tahoma"/>
            <charset val="1"/>
          </rPr>
          <t>D&gt;&lt;D xsi:type="xsd:string"&gt;26/06/2007&lt;/D&gt;&lt;D xsi:type="xsd:string"&gt;25/06/2007&lt;/D&gt;&lt;D xsi:type="xsd:string"&gt;22/06/2007&lt;/D&gt;&lt;D xsi:type="xsd:string"&gt;21/06/2007&lt;/D&gt;&lt;D xsi:type="xsd:string"&gt;20/06/2007&lt;/D&gt;&lt;D xsi:type="xsd:string"&gt;19/06/2007&lt;/D&gt;&lt;D xsi:type="xsd:string"&gt;18/06/2007&lt;/D&gt;&lt;D xsi:type="xsd:string"&gt;15/06/2007&lt;/D&gt;&lt;D xsi:type="xsd:string"&gt;14/06/2007&lt;/D&gt;&lt;D xsi:type="xsd:string"&gt;13/06/2007&lt;/D&gt;&lt;D xsi:type="xsd:string"&gt;12/06/2007&lt;/D&gt;&lt;D xsi:type="xsd:string"&gt;11/06/2007&lt;/D&gt;&lt;D xsi:type="xsd:string"&gt;08/06/2007&lt;/D&gt;&lt;D xsi:type="xsd:string"&gt;07/06/2007&lt;/D&gt;&lt;D xsi:type="xsd:string"&gt;06/06/2007&lt;/D&gt;&lt;D xsi:type="xsd:string"&gt;05/06/2007&lt;/D&gt;&lt;D xsi:type="xsd:string"&gt;04/06/2007&lt;/D&gt;&lt;D xsi:type="xsd:string"&gt;01/06/2007&lt;/D&gt;&lt;D xsi:type="xsd:string"&gt;31/05/2007&lt;/D&gt;&lt;D xsi:type="xsd:string"&gt;30/05/2007&lt;/D&gt;&lt;D xsi:type="xsd:string"&gt;29/05/2007&lt;/D&gt;&lt;D xsi:type="xsd:string"&gt;28/05/2007&lt;/D&gt;&lt;D xsi:type="xsd:string"&gt;25/05/2007&lt;/D&gt;&lt;D xsi:type="xsd:string"&gt;24/05/2007&lt;/D&gt;&lt;D xsi:type="xsd:string"&gt;23/05/2007&lt;/D&gt;&lt;D xsi:type="xsd:string"&gt;22/05/2007&lt;/D&gt;&lt;D xsi:type="xsd:string"&gt;21/05/2007&lt;/D&gt;&lt;D xsi:type="xsd:string"&gt;18/05/2007&lt;/D&gt;&lt;D xsi:type="xsd:string"&gt;17/05/2007&lt;/D&gt;&lt;D xsi:type="xsd:string"&gt;16/05/2007&lt;/D&gt;&lt;D xsi:type="xsd:string"&gt;15/05/2007&lt;/D&gt;&lt;D xsi:type="xsd:string"&gt;14/05/2007&lt;/D&gt;&lt;D xsi:type="xsd:string"&gt;11/05/2007&lt;/D&gt;&lt;D xsi:type="xsd:string"&gt;10/05/2007&lt;/D&gt;&lt;D xsi:type="xsd:string"&gt;09/05/2007&lt;/D&gt;&lt;D xsi:type="xsd:string"&gt;08/05/2007&lt;/D&gt;&lt;D xsi:type="xsd:string"&gt;07/05/2007&lt;/D&gt;&lt;D xsi:type="xsd:string"&gt;04/05/2007&lt;/D&gt;&lt;D xsi:type="xsd:string"&gt;03/05/2007&lt;/D&gt;&lt;D xsi:type="xsd:string"&gt;02/05/2007&lt;/D&gt;&lt;D xsi:type="xsd:string"&gt;01/05/2007&lt;/D&gt;&lt;D xsi:type="xsd:string"&gt;30/04/2007&lt;/D&gt;&lt;D xsi:type="xsd:string"&gt;27/04/2007&lt;/D&gt;&lt;D xsi:type="xsd:string"&gt;26/04/2007&lt;/D&gt;&lt;D xsi:type="xsd:string"&gt;25/04/2007&lt;/D&gt;&lt;D xsi:type="xsd:string"&gt;24/04/2007&lt;/D&gt;&lt;D xsi:type="xsd:string"&gt;23/04/2007&lt;/D&gt;&lt;D xsi:type="xsd:string"&gt;20/04/2007&lt;/D&gt;&lt;D xsi:type="xsd:string"&gt;19/04/2007&lt;/D&gt;&lt;D xsi:type="xsd:string"&gt;18/04/2007&lt;/D&gt;&lt;D xsi:type="xsd:string"&gt;17/04/2007&lt;/D&gt;&lt;D xsi:type="xsd:string"&gt;16/04/2007&lt;/D&gt;&lt;D xsi:type="xsd:string"&gt;13/04/2007&lt;/D&gt;&lt;D xsi:type="xsd:string"&gt;12/04/2007&lt;/D&gt;&lt;D xsi:type="xsd:string"&gt;11/04/2007&lt;/D&gt;&lt;D xsi:type="xsd:string"&gt;10/04/2007&lt;/D&gt;&lt;D xsi:type="xsd:string"&gt;09/04/2007&lt;/D&gt;&lt;D xsi:type="xsd:string"&gt;06/04/2007&lt;/D&gt;&lt;D xsi:type="xsd:string"&gt;05/04/2007&lt;/D&gt;&lt;D xsi:type="xsd:string"&gt;04/04/2007&lt;/D&gt;&lt;D xsi:type="xsd:string"&gt;03/04/2007&lt;/D&gt;&lt;D xsi:type="xsd:string"&gt;02/04/2007&lt;/D&gt;&lt;D xsi:type="xsd:string"&gt;30/03/2007&lt;/D&gt;&lt;D xsi:type="xsd:string"&gt;29/03/2007&lt;/D&gt;&lt;D xsi:type="xsd:string"&gt;28/03/2007&lt;/D&gt;&lt;D xsi:type="xsd:string"&gt;27/03/2007&lt;/D&gt;&lt;D xsi:type="xsd:string"&gt;26/03/2007&lt;/D&gt;&lt;D xsi:type="xsd:string"&gt;23/03/2007&lt;/D&gt;&lt;D xsi:type="xsd:string"&gt;22/03/2007&lt;/D&gt;&lt;D xsi:type="xsd:string"&gt;21/03/2007&lt;/D&gt;&lt;D xsi:type="xsd:string"&gt;20/03/2007&lt;/D&gt;&lt;D xsi:type="xsd:string"&gt;19/03/2007&lt;/D&gt;&lt;D xsi:type="xsd:string"&gt;16/03/2007&lt;/D&gt;&lt;D xsi:type="xsd:string"&gt;15/03/2007&lt;/D&gt;&lt;D xsi:type="xsd:string"&gt;14/03/2007&lt;/D&gt;&lt;D xsi:type="xsd:string"&gt;13/03/2007&lt;/D&gt;&lt;D xsi:type="xsd:string"&gt;12/03/2007&lt;/D&gt;&lt;D xsi:type="xsd:string"&gt;09/03/2007&lt;/D&gt;&lt;D xsi:type="xsd:string"&gt;08/03/2007&lt;/D&gt;&lt;D xsi:type="xsd:string"&gt;07/03/2007&lt;/D&gt;&lt;D xsi:type="xsd:string"&gt;06/03/2007&lt;/D&gt;&lt;D xsi:type="xsd:string"&gt;05/03/2007&lt;/D&gt;&lt;D xsi:type="xsd:string"&gt;02/03/2007&lt;/D&gt;&lt;D xsi:type="xsd:string"&gt;01/03/2007&lt;/D&gt;&lt;D xsi:type="xsd:string"&gt;28/02/2007&lt;/D&gt;&lt;D xsi:type="xsd:string"&gt;27/02/2007&lt;/D&gt;&lt;D xsi:type="xsd:string"&gt;26/02/2007&lt;/D&gt;&lt;D xsi:type="xsd:string"&gt;23/02/2007&lt;/D&gt;&lt;D xsi:type="xsd:string"&gt;22/02/2007&lt;/D&gt;&lt;D xsi:type="xsd:string"&gt;21/02/2007&lt;/D&gt;&lt;D xsi:type="xsd:string"&gt;20/02/2007&lt;/D&gt;&lt;D xsi:type="xsd:string"&gt;19/02/2007&lt;/D&gt;&lt;D xsi:type="xsd:string"&gt;16/02/2007&lt;/D&gt;&lt;D xsi:type="xsd:string"&gt;15/02/2007&lt;/D&gt;&lt;D xsi:type="xsd:string"&gt;14/02/2007&lt;/D&gt;&lt;D xsi:type="xsd:string"&gt;13/02/2007&lt;/D&gt;&lt;D xsi:type="xsd:string"&gt;12/02/2007&lt;/D&gt;&lt;D xsi:type="xsd:string"&gt;09/02/2007&lt;/D&gt;&lt;D xsi:type="xsd:string"&gt;08/02/2007&lt;/D&gt;&lt;D xsi:type="xsd:string"&gt;07/02/2007&lt;/D&gt;&lt;D xsi:type="xsd:string"&gt;06/02/2007&lt;/D&gt;&lt;D xsi:type="xsd:string"&gt;05/02/2007&lt;/D&gt;&lt;D xsi:type="xsd:string"&gt;02/02/2007&lt;/D&gt;&lt;D xsi:type="xsd:string"&gt;01/02/2007&lt;/D&gt;&lt;D xsi:type="xsd:string"&gt;31/01/2007&lt;/D&gt;&lt;D xsi:type="xsd:string"&gt;30/01/2007&lt;/D&gt;&lt;D xsi:type="xsd:string"&gt;29/01/2007&lt;/D&gt;&lt;D xsi:type="xsd:string"&gt;26/01/2007&lt;/D&gt;&lt;D xsi:type="xsd:string"&gt;25/01/2007&lt;/D&gt;&lt;D xsi:type="xsd:string"&gt;24/01/2007&lt;/D&gt;&lt;D xsi:type="xsd:string"&gt;23/01/2007&lt;/D&gt;&lt;D xsi:type="xsd:string"&gt;22/01/2007&lt;/D&gt;&lt;D xsi:type="xsd:string"&gt;19/01/2007&lt;/D&gt;&lt;D xsi:type="xsd:string"&gt;18/01/2007&lt;/D&gt;&lt;D xsi:type="xsd:string"&gt;17/01/2007&lt;/D&gt;&lt;D xsi:type="xsd:string"&gt;16/01/2007&lt;/D&gt;&lt;D xsi:type="xsd:string"&gt;15/01/2007&lt;/D&gt;&lt;D xsi:type="xsd:string"&gt;12/01/2007&lt;/D&gt;&lt;D xsi:type="xsd:string"&gt;11/01/2007&lt;/D&gt;&lt;D xsi:type="xsd:string"&gt;10/01/2007&lt;/D&gt;&lt;D xsi:type="xsd:string"&gt;09/01/2007&lt;/D&gt;&lt;D xsi:type="xsd:string"&gt;08/01/2007&lt;/D&gt;&lt;D xsi:type="xsd:string"&gt;05/01/2007&lt;/D&gt;&lt;D xsi:type="xsd:string"&gt;04/01/2007&lt;/D&gt;&lt;D xsi:type="xsd:string"&gt;03/01/2007&lt;/D&gt;&lt;D xsi:type="xsd:string"&gt;02/01/2007&lt;/D&gt;&lt;D xsi:type="xsd:string"&gt;01/01/2007&lt;/D&gt;&lt;D xsi:type="xsd:string"&gt;29/12/2006&lt;/D&gt;&lt;D xsi:type="xsd:string"&gt;28/12/2006&lt;/D&gt;&lt;D xsi:type="xsd:string"&gt;27/12/2006&lt;/D&gt;&lt;D xsi:type="xsd:string"&gt;26/12/2006&lt;/D&gt;&lt;D xsi:type="xsd:string"&gt;25/12/2006&lt;/D&gt;&lt;D xsi:type="xsd:string"&gt;22/12/2006&lt;/D&gt;&lt;D xsi:type="xsd:string"&gt;21/12/2006&lt;/D&gt;&lt;D xsi:type="xsd:string"&gt;20/12/2006&lt;/D&gt;&lt;D xsi:type="xsd:string"&gt;19/12/2006&lt;/D&gt;&lt;D xsi:type="xsd:string"&gt;18/12/2006&lt;/D&gt;&lt;D xsi:type="xsd:string"&gt;15/12/2006&lt;/D&gt;&lt;D xsi:type="xsd:string"&gt;14/12/2006&lt;/D&gt;&lt;D xsi:type="xsd:string"&gt;13/12/2006&lt;/D&gt;&lt;D xsi:type="xsd:string"&gt;12/12/2006&lt;/D&gt;&lt;D xsi:type="xsd:string"&gt;11/12/2006&lt;/D&gt;&lt;D xsi:type="xsd:string"&gt;08/12/2006&lt;/D&gt;&lt;D xsi:type="xsd:string"&gt;07/12/2006&lt;/D&gt;&lt;D xsi:type="xsd:string"&gt;06/12/2006&lt;/D&gt;&lt;D xsi:type="xsd:string"&gt;05/12/2006&lt;/D&gt;&lt;D xsi:type="xsd:string"&gt;04/12/2006&lt;/D&gt;&lt;D xsi:type="xsd:string"&gt;01/12/2006&lt;/D&gt;&lt;D xsi:type="xsd:string"&gt;30/11/2006&lt;/D&gt;&lt;D xsi:type="xsd:string"&gt;29/11/2006&lt;/D&gt;&lt;D xsi:type="xsd:string"&gt;28/11/2006&lt;/D&gt;&lt;D xsi:type="xsd:string"&gt;27/11/2006&lt;/D&gt;&lt;D xsi:type="xsd:string"&gt;24/11/2006&lt;/D&gt;&lt;D xsi:type="xsd:string"&gt;23/11/2006&lt;/D&gt;&lt;D xsi:type="xsd:string"&gt;22/11/2006&lt;/D&gt;&lt;D xsi:type="xsd:string"&gt;21/11/2006&lt;/D&gt;&lt;D xsi:type="xsd:string"&gt;20/11/2006&lt;/D&gt;&lt;D xsi:type="xsd:string"&gt;17/11/2006&lt;/D&gt;&lt;D xsi:type="xsd:string"&gt;16/11/2006&lt;/D&gt;&lt;D xsi:type="xsd:string"&gt;15/11/2006&lt;/D&gt;&lt;D xsi:type="xsd:string"&gt;14/11/2006&lt;/D&gt;&lt;D xsi:type="xsd:string"&gt;13/11/2006&lt;/D&gt;&lt;D xsi:type="xsd:string"&gt;10/11/2006&lt;/D&gt;&lt;D xsi:type="xsd:string"&gt;09/11/2006&lt;/D&gt;&lt;D xsi:type="xsd:string"&gt;08/11/2006&lt;/D&gt;&lt;D xsi:type="xsd:string"&gt;07/11/2006&lt;/D&gt;&lt;D xsi:type="xsd:string"&gt;06/11/2006&lt;/D&gt;&lt;D xsi:type="xsd:string"&gt;03/11/2006&lt;/D&gt;&lt;D xsi:type="xsd:string"&gt;02/11/2006&lt;/D&gt;&lt;D xsi:type="xsd:string"&gt;01/11/2006&lt;/D&gt;&lt;D xsi:type="xsd:string"&gt;31/10/2006&lt;/D&gt;&lt;D xsi:type="xsd:string"&gt;30/10/2006&lt;/D&gt;&lt;D xsi:type="xsd:string"&gt;27/10/2006&lt;/D&gt;&lt;D xsi:type="xsd:string"&gt;26/10/2006&lt;/D&gt;&lt;D xsi:type="xsd:string"&gt;25/10/2006&lt;/D&gt;&lt;D xsi:type="xsd:string"&gt;24/10/2006&lt;/D&gt;&lt;D xsi:type="xsd:string"&gt;23/10/2006&lt;/D&gt;&lt;D xsi:type="xsd:string"&gt;20/10/2006&lt;/D&gt;&lt;D xsi:type="xsd:string"&gt;19/10/2006&lt;/D&gt;&lt;D xsi:type="xsd:string"&gt;18/10/2006&lt;/D&gt;&lt;D xsi:type="xsd:string"&gt;17/10/2006&lt;/D&gt;&lt;D xsi:type="xsd:string"&gt;16/10/2006&lt;/D&gt;&lt;D xsi:type="xsd:string"&gt;13/10/2006&lt;/D&gt;&lt;D xsi:type="xsd:string"&gt;12/10/2006&lt;/D&gt;&lt;D xsi:type="xsd:string"&gt;11/10/2006&lt;/D&gt;&lt;D xsi:type="xsd:string"&gt;10/10/2006&lt;/D&gt;&lt;D xsi:type="xsd:string"&gt;09/10/2006&lt;/D&gt;&lt;D xsi:type="xsd:string"&gt;06/10/2006&lt;/D&gt;&lt;D xsi:type="xsd:string"&gt;05/10/2006&lt;/D&gt;&lt;D xsi:type="xsd:string"&gt;04/10/2006&lt;/D&gt;&lt;D xsi:type="xsd:string"&gt;03/10/2006&lt;/D&gt;&lt;D xsi:type="xsd:string"&gt;02/10/2006&lt;/D&gt;&lt;D xsi:type="xsd:string"&gt;29/09/2006&lt;/D&gt;&lt;D xsi:type="xsd:string"&gt;28/09/2006&lt;/D&gt;&lt;D xsi:type="xsd:string"&gt;27/09/2006&lt;/D&gt;&lt;D xsi:type="xsd:string"&gt;26/09/2006&lt;/D&gt;&lt;D xsi:type="xsd:string"&gt;25/09/2006&lt;/D&gt;&lt;D xsi:type="xsd:string"&gt;22/09/2006&lt;/D&gt;&lt;D xsi:type="xsd:string"&gt;21/09/2006&lt;/D&gt;&lt;D xsi:type="xsd:string"&gt;20/09/2006&lt;/D&gt;&lt;D xsi:type="xsd:string"&gt;19/09/2006&lt;/D&gt;&lt;D xsi:type="xsd:string"&gt;18/09/2006&lt;/D&gt;&lt;D xsi:type="xsd:string"&gt;15/09/2006&lt;/D&gt;&lt;D xsi:type="xsd:string"&gt;14/09/2006&lt;/D&gt;&lt;D xsi:type="xsd:string"&gt;13/09/2006&lt;/D&gt;&lt;D xsi:type="xsd:string"&gt;12/09/2006&lt;/D&gt;&lt;D xsi:type="xsd:string"&gt;11/09/2006&lt;/D&gt;&lt;D xsi:type="xsd:string"&gt;08/09/2006&lt;/D&gt;&lt;D xsi:type="xsd:string"&gt;07/09/2006&lt;/D&gt;&lt;D xsi:type="xsd:string"&gt;06/09/2006&lt;/D&gt;&lt;D xsi:type="xsd:string"&gt;05/09/2006&lt;/D&gt;&lt;D xsi:type="xsd:string"&gt;04/09/2006&lt;/D&gt;&lt;D xsi:type="xsd:string"&gt;01/09/2006&lt;/D&gt;&lt;D xsi:type="xsd:string"&gt;31/08/2006&lt;/D&gt;&lt;D xsi:type="xsd:string"&gt;30/08/2006&lt;/D&gt;&lt;D xsi:type="xsd:string"&gt;29/08/2006&lt;/D&gt;&lt;D xsi:type="xsd:string"&gt;28/08/2006&lt;/D&gt;&lt;D xsi:type="xsd:string"&gt;25/08/2006&lt;/D&gt;&lt;D xsi:type="xsd:string"&gt;24/08/2006&lt;/D&gt;&lt;D xsi:type="xsd:string"&gt;23/08/2006&lt;/D&gt;&lt;D xsi:type="xsd:string"&gt;22/08/2006&lt;/D&gt;&lt;D xsi:type="xsd:string"&gt;21/08/2006&lt;/D&gt;&lt;D xsi:type="xsd:string"&gt;18/08/2006&lt;/D&gt;&lt;D xsi:type="xsd:string"&gt;17/08/2006&lt;/D&gt;&lt;D xsi:type="xsd:string"&gt;16/08/2006&lt;/D&gt;&lt;D xsi:type="xsd:string"&gt;15/08/2006&lt;/D&gt;&lt;D xsi:type="xsd:string"&gt;14/08/2006&lt;/D&gt;&lt;D xsi:type="xsd:string"&gt;11/08/2006&lt;/D&gt;&lt;D xsi:type="xsd:string"&gt;10/08/2006&lt;/D&gt;&lt;D xsi:type="xsd:string"&gt;09/08/2006&lt;/D&gt;&lt;D xsi:type="xsd:string"&gt;08/08/2006&lt;/D&gt;&lt;D xsi:type="xsd:string"&gt;07/08/2006&lt;/D&gt;&lt;D xsi:type="xsd:string"&gt;04/08/2006&lt;/D&gt;&lt;D xsi:type="xsd:string"&gt;03/08/2006&lt;/D&gt;&lt;D xsi:type="xsd:string"&gt;02/08/2006&lt;/D&gt;&lt;D xsi:type="xsd:string"&gt;01/08/2006&lt;/D&gt;&lt;D xsi:type="xsd:string"&gt;31/07/2006&lt;/D&gt;&lt;D xsi:type="xsd:string"&gt;28/07/2006&lt;/D&gt;&lt;D xsi:type="xsd:string"&gt;27/07/2006&lt;/D&gt;&lt;D xsi:type="xsd:string"&gt;26/07/2006&lt;/D&gt;&lt;D xsi:type="xsd:string"&gt;25/07/2006&lt;/D&gt;&lt;D xsi:type="xsd:string"&gt;24/07/2006&lt;/D&gt;&lt;D xsi:type="xsd:string"&gt;21/07/2006&lt;/D&gt;&lt;D xsi:type="xsd:string"&gt;20/07/2006&lt;/D&gt;&lt;D xsi:type="xsd:string"&gt;19/07/2006&lt;/D&gt;&lt;D xsi:type="xsd:string"&gt;18/07/2006&lt;/D&gt;&lt;D xsi:type="xsd:string"&gt;17/07/2006&lt;/D&gt;&lt;D xsi:type="xsd:string"&gt;14/07/2006&lt;/D&gt;&lt;D xsi:type="xsd:string"&gt;13/07/2006&lt;/D&gt;&lt;D xsi:type="xsd:string"&gt;12/07/2006&lt;/D&gt;&lt;D xsi:type="xsd:string"&gt;11/07/2006&lt;/D&gt;&lt;D xsi:type="xsd:string"&gt;10/07/2006&lt;/D&gt;&lt;D xsi:type="xsd:string"&gt;07/07/2006&lt;/D&gt;&lt;D xsi:type="xsd:string"&gt;06/07/2006&lt;/D&gt;&lt;D xsi:type="xsd:string"&gt;05/07/2006&lt;/D&gt;&lt;D xsi:type="xsd:string"&gt;04/07/2006&lt;/D&gt;&lt;D xsi:type="xsd:string"&gt;03/07/2006&lt;/D&gt;&lt;D xsi:type="xsd:string"&gt;30/06/2006&lt;/D&gt;&lt;D xsi:type="xsd:string"&gt;29/06/2006&lt;/D&gt;&lt;D xsi:type="xsd:string"&gt;28/06/2006&lt;/D&gt;&lt;D xsi:type="xsd:string"&gt;27/06/2006&lt;/D&gt;&lt;D xsi:type="xsd:string"&gt;26/06/2006&lt;/D&gt;&lt;D xsi:type="xsd:string"&gt;23/06/2006&lt;/D&gt;&lt;D xsi:type="xsd:string"&gt;22/06/2006&lt;/D&gt;&lt;D xsi:type="xsd:string"&gt;21/06/2006&lt;/D&gt;&lt;D xsi:type="xsd:string"&gt;20/06/2006&lt;/D&gt;&lt;D xsi:type="xsd:string"&gt;19/06/2006&lt;/D&gt;&lt;D xsi:type="xsd:string"&gt;16/06/2006&lt;/D&gt;&lt;D xsi:type="xsd:string"&gt;15/06/2006&lt;/D&gt;&lt;D xsi:type="xsd:string"&gt;14/06/2006&lt;/D&gt;&lt;D xsi:type="xsd:string"&gt;13/06/2006&lt;/D&gt;&lt;D xsi:type="xsd:string"&gt;12/06/2006&lt;/D&gt;&lt;D xsi:type="xsd:string"&gt;09/06/2006&lt;/D&gt;&lt;D xsi:type="xsd:string"&gt;08/06/2006&lt;/D&gt;&lt;D xsi:type="xsd:string"&gt;07/06/2006&lt;/D&gt;&lt;D xsi:type="xsd:string"&gt;06/06/2006&lt;/D&gt;&lt;D xsi:type="xsd:string"&gt;05/06/2006&lt;/D&gt;&lt;D xsi:type="xsd:string"&gt;02/06/2006&lt;/D&gt;&lt;D xsi:type="xsd:string"&gt;01/06/2006&lt;/D&gt;&lt;D xsi:type="xsd:string"&gt;31/05/2006&lt;/D&gt;&lt;D xsi:type="xsd:string"&gt;30/05/2006&lt;/D&gt;&lt;D xsi:type="xsd:string"&gt;29/05/2006&lt;/D&gt;&lt;D xsi:type="xsd:string"&gt;26/05/2006&lt;/D&gt;&lt;D xsi:type="xsd:string"&gt;25/05/2006&lt;/D&gt;&lt;D xsi:type="xsd:string"&gt;24/05/2006&lt;/D&gt;&lt;D xsi:type="xsd:string"&gt;23/05/2006&lt;/D&gt;&lt;D xsi:type="xsd:string"&gt;22/05/2006&lt;/D&gt;&lt;D xsi:type="xsd:string"&gt;19/05/2006&lt;/D&gt;&lt;D xsi:type="xsd:string"&gt;18/05/2006&lt;/D&gt;&lt;D xsi:type="xsd:string"&gt;17/05/2006&lt;/D&gt;&lt;D xsi:type="xsd:string"&gt;16/05/2006&lt;/D&gt;&lt;D xsi:type="xsd:string"&gt;15/05/2006&lt;/D&gt;&lt;D xsi:type="xsd:string"&gt;12/05/2006&lt;/D&gt;&lt;D xsi:type="xsd:string"&gt;11/05/2006&lt;/D&gt;&lt;D xsi:type="xsd:string"&gt;10/05/2006&lt;/D&gt;&lt;D xsi:type="xsd:string"&gt;09/05/2006&lt;/D&gt;&lt;D xsi:type="xsd:string"&gt;08/05/2006&lt;/D&gt;&lt;D xsi:type="xsd:string"&gt;05/05/2006&lt;/D&gt;&lt;D xsi:type="xsd:string"&gt;04/05/2006&lt;/D&gt;&lt;D xsi:type="xsd:string"&gt;03/05/2006&lt;/D&gt;&lt;D xsi:type="xsd:string"&gt;02/05/2006&lt;/D&gt;&lt;D xsi:type="xsd:string"&gt;01/05/2006&lt;/D&gt;&lt;D xsi:type="xsd:string"&gt;28/04/2006&lt;/D&gt;&lt;D xsi:type="xsd:string"&gt;27/04/2006&lt;/D&gt;&lt;D xsi:type="xsd:string"&gt;26/04/2006&lt;/D&gt;&lt;D xsi:type="xsd:string"&gt;25/04/2006&lt;/D&gt;&lt;D xsi:type="xsd:string"&gt;24/04/2006&lt;/D&gt;&lt;D xsi:type="xsd:string"&gt;21/04/2006&lt;/D&gt;&lt;D xsi:type="xsd:string"&gt;20/04/2006&lt;/D&gt;&lt;D xsi:type="xsd:string"&gt;19/04/2006&lt;/D&gt;&lt;D xsi:type="xsd:string"&gt;18/04/2006&lt;/D&gt;&lt;D xsi:type="xsd:string"&gt;17/04/2006&lt;/D&gt;&lt;D xsi:type="xsd:string"&gt;14/04/2006&lt;/D&gt;&lt;D xsi:type="xsd:string"&gt;13/04/2006&lt;/D&gt;&lt;D xsi:type="xsd:string"&gt;12/04/2006&lt;/D&gt;&lt;D xsi:type="xsd:string"&gt;11/04/2006&lt;/D&gt;&lt;D xsi:type="xsd:string"&gt;10/04/2006&lt;/D&gt;&lt;D xsi:type="xsd:string"&gt;07/04/2006&lt;/D&gt;&lt;D xsi:type="xsd:string"&gt;06/04/2006&lt;/D&gt;&lt;D xsi:type="xsd:string"&gt;05/04/2006&lt;/D&gt;&lt;D xsi:type="xsd:string"&gt;04/04/2006&lt;/D&gt;&lt;D xsi:type="xsd:string"&gt;03/04/2006&lt;/D&gt;&lt;D xsi:type="xsd:string"&gt;31/03/2006&lt;/D&gt;&lt;D xsi:type="xsd:string"&gt;30/03/2006&lt;/D&gt;&lt;D xsi:type="xsd:string"&gt;29/03/2006&lt;/D&gt;&lt;D xsi:type="xsd:string"&gt;28/03/2006&lt;/D&gt;&lt;D xsi:type="xsd:string"&gt;27/03/2006&lt;/D&gt;&lt;D xsi:type="xsd:string"&gt;24/03/2006&lt;/D&gt;&lt;D xsi:type="xsd:string"&gt;23/03/2006&lt;/D&gt;&lt;D xsi:type="xsd:string"&gt;22/03/2006&lt;/D&gt;&lt;D xsi:type="xsd:string"&gt;21/03/2006&lt;/D&gt;&lt;D xsi:type="xsd:string"&gt;20/03/2006&lt;/D&gt;&lt;D xsi:type="xsd:string"&gt;17/03/2006&lt;/D&gt;&lt;D xsi:type="xsd:string"&gt;16/03/2006&lt;/D&gt;&lt;D xsi:type="xsd:string"&gt;15/03/2006&lt;/D&gt;&lt;D xsi:type="xsd:string"&gt;14/03/2006&lt;/D&gt;&lt;D xsi:type="xsd:string"&gt;13/03/2006&lt;/D&gt;&lt;D xsi:type="xsd:string"&gt;10/03/2006&lt;/D&gt;&lt;D xsi:type="xsd:string"&gt;09/03/2006&lt;/D&gt;&lt;D xsi:type="xsd:string"&gt;08/03/2006&lt;/D&gt;&lt;D xsi:type="xsd:string"&gt;07/03/2006&lt;/D&gt;&lt;D xsi:type="xsd:string"&gt;06/03/2006&lt;/D&gt;&lt;D xsi:type="xsd:string"&gt;03/03/2006&lt;/D&gt;&lt;D xsi:type="xsd:string"&gt;02/03/2006&lt;/D&gt;&lt;D xsi:type="xsd:string"&gt;01/03/2006&lt;/D&gt;&lt;D xsi:type="xsd:string"&gt;28/02/2006&lt;/D&gt;&lt;D xsi:type="xsd:string"&gt;27/02/2006&lt;/D&gt;&lt;D xsi:type="xsd:string"&gt;24/02/2006&lt;/D&gt;&lt;D xsi:type="xsd:string"&gt;23/02/2006&lt;/D&gt;&lt;D xsi:type="xsd:string"&gt;22/02/2006&lt;/D&gt;&lt;D xsi:type="xsd:string"&gt;21/02/2006&lt;/D&gt;&lt;D xsi:type="xsd:string"&gt;20/02/2006&lt;/D&gt;&lt;D xsi:type="xsd:string"&gt;17/02/2006&lt;/D&gt;&lt;D xsi:type="xsd:string"&gt;16/02/2006&lt;/D&gt;&lt;D xsi:type="xsd:string"&gt;15/02/2006&lt;/D&gt;&lt;D xsi:type="xsd:string"&gt;14/02/2006&lt;/D&gt;&lt;D xsi:type="xsd:string"&gt;13/02/2006&lt;/D&gt;&lt;D xsi:type="xsd:string"&gt;10/02/2006&lt;/D&gt;&lt;D xsi:type="xsd:string"&gt;09/02/2006&lt;/D&gt;&lt;D xsi:type="xsd:string"&gt;08/02/2006&lt;/D&gt;&lt;D xsi:type="xsd:string"&gt;07/02/2006&lt;/D&gt;&lt;D xsi:type="xsd:string"&gt;06/02/2006&lt;/D&gt;&lt;D xsi:type="xsd:string"&gt;03/02/2006&lt;/D&gt;&lt;D xsi:type="xsd:string"&gt;02/02/2006&lt;/D&gt;&lt;D xsi:type="xsd:string"&gt;01/02/2006&lt;/D&gt;&lt;D xsi:type="xsd:string"&gt;31/01/2006&lt;/D&gt;&lt;D xsi:type="xsd:string"&gt;30/01/2006&lt;/D&gt;&lt;D xsi:type="xsd:string"&gt;27/01/2006&lt;/D&gt;&lt;D xsi:type="xsd:string"&gt;26/01/2006&lt;/D&gt;&lt;D xsi:type="xsd:string"&gt;25/01/2006&lt;/D&gt;&lt;D xsi:type="xsd:string"&gt;24/01/2006&lt;/D&gt;&lt;D xsi:type="xsd:string"&gt;23/01/2006&lt;/D&gt;&lt;D xsi:type="xsd:string"&gt;20/01/2006&lt;/D&gt;&lt;D xsi:type="xsd:string"&gt;19/01/2006&lt;/D&gt;&lt;D xsi:type="xsd:string"&gt;18/01/2006&lt;/D&gt;&lt;D xsi:type="xsd:string"&gt;17/01/2006&lt;/D&gt;&lt;D xsi:type="xsd:string"&gt;16/01/2006&lt;/D&gt;&lt;D xsi:type="xsd:string"&gt;13/01/2006&lt;/D&gt;&lt;D xsi:type="xsd:string"&gt;12/01/2006&lt;/D&gt;&lt;D xsi:type="xsd:string"&gt;11/01/2006&lt;/D&gt;&lt;D xsi:type="xsd:string"&gt;10/01/2006&lt;/D&gt;&lt;D xsi:type="xsd:string"&gt;09/01/2006&lt;/D&gt;&lt;D xsi:type="xsd:string"&gt;06/01/2006&lt;/D&gt;&lt;D xsi:type="xsd:string"&gt;05/01/2006&lt;/D&gt;&lt;D xsi:type="xsd:string"&gt;04/01/2006&lt;/D&gt;&lt;D xsi:type="xsd:string"&gt;03/01/2006&lt;/D&gt;&lt;D xsi:type="xsd:string"&gt;02/01/2006&lt;/D&gt;&lt;D xsi:type="xsd:string"&gt;30/12/2005&lt;/D&gt;&lt;D xsi:type="xsd:string"&gt;29/12/2005&lt;/D&gt;&lt;D xsi:type="xsd:string"&gt;28/12/2005&lt;/D&gt;&lt;D xsi:type="xsd:string"&gt;27/12/2005&lt;/D&gt;&lt;D xsi:type="xsd:string"&gt;26/12/2005&lt;/D&gt;&lt;D xsi:type="xsd:string"&gt;23/12/2005&lt;/D&gt;&lt;D xsi:type="xsd:string"&gt;22/12/2005&lt;/D&gt;&lt;D xsi:type="xsd:string"&gt;21/12/2005&lt;/D&gt;&lt;D xsi:type="xsd:string"&gt;20/12/2005&lt;/D&gt;&lt;D xsi:type="xsd:string"&gt;19/12/2005&lt;/D&gt;&lt;D xsi:type="xsd:string"&gt;16/12/2005&lt;/D&gt;&lt;D xsi:type="xsd:string"&gt;15/12/2005&lt;/D&gt;&lt;D xsi:type="xsd:string"&gt;14/12/2005&lt;/D&gt;&lt;D xsi:type="xsd:string"&gt;13/12/2005&lt;/D&gt;&lt;D xsi:type="xsd:string"&gt;12/12/2005&lt;/D&gt;&lt;D xsi:type="xsd:string"&gt;09/12/2005&lt;/D&gt;&lt;D xsi:type="xsd:string"&gt;08/12/2005&lt;/D&gt;&lt;D xsi:type="xsd:string"&gt;07/12/2005&lt;/D&gt;&lt;D xsi:type="xsd:string"&gt;06/12/2005&lt;/D&gt;&lt;D xsi:type="xsd:string"&gt;05/12/2005&lt;/D&gt;&lt;D xsi:type="xsd:string"&gt;02/12/2005&lt;/D&gt;&lt;D xsi:type="xsd:string"&gt;01/12/2005&lt;/D&gt;&lt;D xsi:type="xsd:string"&gt;30/11/2005&lt;/D&gt;&lt;D xsi:type="xsd:string"&gt;29/11/2005&lt;/D&gt;&lt;D xsi:type="xsd:string"&gt;28/11/2005&lt;/D&gt;&lt;D xsi:type="xsd:string"&gt;25/11/2005&lt;/D&gt;&lt;D xsi:type="xsd:string"&gt;24/11/2005&lt;/D&gt;&lt;D xsi:type="xsd:string"&gt;23/11/2005&lt;/D&gt;&lt;D xsi:type="xsd:string"&gt;22/11/2005&lt;/D&gt;&lt;D xsi:type="xsd:string"&gt;21/11/2005&lt;/D&gt;&lt;D xsi:type="xsd:string"&gt;18/11/2005&lt;/D&gt;&lt;D xsi:type="xsd:string"&gt;17/11/2005&lt;/D&gt;&lt;D xsi:type="xsd:string"&gt;16/11/2005&lt;/D&gt;&lt;D xsi:type="xsd:string"&gt;15/11/2005&lt;/D&gt;&lt;D xsi:type="xsd:string"&gt;14/11/2005&lt;/D&gt;&lt;D xsi:type="xsd:string"&gt;11/11/2005&lt;/D&gt;&lt;D xsi:type="xsd:string"&gt;10/11/2005&lt;/D&gt;&lt;D xsi:type="xsd:string"&gt;09/11/2005&lt;/D&gt;&lt;D xsi:type="xsd:string"&gt;08/11/2005&lt;/D&gt;&lt;D xsi:type="xsd:string"&gt;07/11/2005&lt;/D&gt;&lt;D xsi:type="xsd:string"&gt;04/11/2005&lt;/D&gt;&lt;D xsi:type="xsd:string"&gt;03/11/2005&lt;/D&gt;&lt;D xsi:type="xsd:string"&gt;02/11/2005&lt;/D&gt;&lt;D xsi:type="xsd:string"&gt;01/11/2005&lt;/D&gt;&lt;D xsi:type="xsd:string"&gt;31/10/2005&lt;/D&gt;&lt;D xsi:type="xsd:string"&gt;28/10/2005&lt;/D&gt;&lt;D xsi:type="xsd:string"&gt;27/10/2005&lt;/D&gt;&lt;D xsi:type="xsd:string"&gt;26/10/2005&lt;/D&gt;&lt;D xsi:type="xsd:string"&gt;25/10/2005&lt;/D&gt;&lt;D xsi:type="xsd:string"&gt;24/10/2005&lt;/D&gt;&lt;D xsi:type="xsd:string"&gt;21/10/2005&lt;/D&gt;&lt;D xsi:type="xsd:string"&gt;20/10/2005&lt;/D&gt;&lt;D xsi:type="xsd:string"&gt;19/10/2005&lt;/D&gt;&lt;D xsi:type="xsd:string"&gt;18/10/2005&lt;/D&gt;&lt;D xsi:type="xsd:string"&gt;17/10/2005&lt;/D&gt;&lt;D xsi:type="xsd:string"&gt;14/10/2005&lt;/D&gt;&lt;D xsi:type="xsd:string"&gt;13/10/2005&lt;/D&gt;&lt;D xsi:type="xsd:string"&gt;12/10/2005&lt;/D&gt;&lt;D xsi:type="xsd:string"&gt;11/10/2005&lt;/D&gt;&lt;D xsi:type="xsd:string"&gt;10/10/2005&lt;/D&gt;&lt;D xsi:type="xsd:string"&gt;07/10/2005&lt;/D&gt;&lt;D xsi:type="xsd:string"&gt;06/10/2005&lt;/D&gt;&lt;D xsi:type="xsd:string"&gt;05/10/2005&lt;/D&gt;&lt;D xsi:type="xsd:string"&gt;04/10/2005&lt;/D&gt;&lt;D xsi:type="xsd:string"&gt;03/10/2005&lt;/D&gt;&lt;D xsi:type="xsd:string"&gt;30/09/2005&lt;/D&gt;&lt;D xsi:type="xsd:string"&gt;29/09/2005&lt;/D&gt;&lt;D xsi:type="xsd:string"&gt;28/09/2005&lt;/D&gt;&lt;D xsi:type="xsd:string"&gt;27/09/2005&lt;/D&gt;&lt;D xsi:type="xsd:string"&gt;26/09/2005&lt;/D&gt;&lt;D xsi:type="xsd:string"&gt;23/09/2005&lt;/D&gt;&lt;D xsi:type="xsd:string"&gt;22/09/2005&lt;/D&gt;&lt;D xsi:type="xsd:string"&gt;21/09/2005&lt;/D&gt;&lt;D xsi:type="xsd:string"&gt;20/09/2005&lt;/D&gt;&lt;D xsi:type="xsd:string"&gt;19/09/2005&lt;/D&gt;&lt;D xsi:type="xsd:string"&gt;16/09/2005&lt;/D&gt;&lt;D xsi:type="xsd:string"&gt;15/09/2005&lt;/D&gt;&lt;D xsi:type="xsd:string"&gt;14/09/2005&lt;/D&gt;&lt;D xsi:type="xsd:string"&gt;13/09/2005&lt;/D&gt;&lt;D xsi:type="xsd:string"&gt;12/09/2005&lt;/D&gt;&lt;D xsi:type="xsd:string"&gt;09/09/2005&lt;/D&gt;&lt;D xsi:type="xsd:string"&gt;08/09/2005&lt;/D&gt;&lt;D xsi:type="xsd:string"&gt;07/09/2005&lt;/D&gt;&lt;D xsi:type="xsd:string"&gt;06/09/2005&lt;/D&gt;&lt;D xsi:type="xsd:string"&gt;05/09/2005&lt;/D&gt;&lt;D xsi:type="xsd:string"&gt;02/09/2005&lt;/D&gt;&lt;D xsi:type="xsd:string"&gt;01/09/2005&lt;/D&gt;&lt;D xsi:type="xsd:string"&gt;31/08/2005&lt;/D&gt;&lt;D xsi:type="xsd:string"&gt;30/08/2005&lt;/D&gt;&lt;D xsi:type="xsd:string"&gt;29/08/2005&lt;/D&gt;&lt;D xsi:type="xsd:string"&gt;26/08/2005&lt;/D&gt;&lt;D xsi:type="xsd:string"&gt;25/08/2005&lt;/D&gt;&lt;D xsi:type="xsd:string"&gt;24/08/2005&lt;/D&gt;&lt;D xsi:type="xsd:string"&gt;23/08/2005&lt;/D&gt;&lt;D xsi:type="xsd:string"&gt;22/08/2005&lt;/D&gt;&lt;D xsi:type="xsd:string"&gt;19/08/2005&lt;/D&gt;&lt;D xsi:type="xsd:string"&gt;18/08/2005&lt;/D&gt;&lt;D xsi:type="xsd:string"&gt;17/08/2005&lt;/D&gt;&lt;D xsi:type="xsd:string"&gt;16/08/2005&lt;/D&gt;&lt;D xsi:type="xsd:string"&gt;15/08/2005&lt;/D&gt;&lt;D xsi:type="xsd:string"&gt;12/08/2005&lt;/D&gt;&lt;D xsi:type="xsd:string"&gt;11/08/2005&lt;/D&gt;&lt;D xsi:type="xsd:string"&gt;10/08/2005&lt;/D&gt;&lt;D xsi:type="xsd:string"&gt;09/08/2005&lt;/D&gt;&lt;D xsi:type="xsd:string"&gt;08/08/2005&lt;/D&gt;&lt;D xsi:type="xsd:string"&gt;05/08/2005&lt;/D&gt;&lt;D xsi:type="xsd:string"&gt;04/08/2005&lt;/D&gt;&lt;D xsi:type="xsd:string"&gt;03/08/2005&lt;/D&gt;&lt;D xsi:type="xsd:string"&gt;02/08/2005&lt;/D&gt;&lt;D xsi:type="xsd:string"&gt;01/08/2005&lt;/D&gt;&lt;D xsi:type="xsd:string"&gt;29/07/2005&lt;/D&gt;&lt;D xsi:type="xsd:string"&gt;28/07/2005&lt;/D&gt;&lt;D xsi:type="xsd:string"&gt;27/07/2005&lt;/D&gt;&lt;D xsi:type="xsd:string"&gt;26/07/2005&lt;/D&gt;&lt;D xsi:type="xsd:string"&gt;25/07/2005&lt;/D&gt;&lt;D xsi:type="xsd:string"&gt;22/07/2005&lt;/D&gt;&lt;D xsi:type="xsd:string"&gt;21/07/2005&lt;/D&gt;&lt;D xsi:type="xsd:string"&gt;20/07/2005&lt;/D&gt;&lt;D xsi:type="xsd:string"&gt;19/07/2005&lt;/D&gt;&lt;D xsi:type="xsd:string"&gt;18/07/2005&lt;/D&gt;&lt;D xsi:type="xsd:string"&gt;15/07/2005&lt;/D&gt;&lt;D xsi:type="xsd:string"&gt;14/07/2005&lt;/D&gt;&lt;D xsi:type="xsd:string"&gt;13/07/2005&lt;/D&gt;&lt;D xsi:type="xsd:string"&gt;12/07/2005&lt;/D&gt;&lt;D xsi:type="xsd:string"&gt;11/07/2005&lt;/D&gt;&lt;D xsi:type="xsd:string"&gt;08/07/2005&lt;/D&gt;&lt;D xsi:type="xsd:string"&gt;07/07/2005&lt;/D&gt;&lt;D xsi:type="xsd:string"&gt;06/07/2005&lt;/D&gt;&lt;D xsi:type="xsd:string"&gt;05/07/2005&lt;/D&gt;&lt;D xsi:type="xsd:string"&gt;04/07/2005&lt;/D&gt;&lt;D xsi:type="xsd:string"&gt;01/07/2005&lt;/D&gt;&lt;D xsi:type="xsd:string"&gt;30/06/2005&lt;/D&gt;&lt;D xsi:type="xsd:string"&gt;29/06/2005&lt;/D&gt;&lt;D xsi:type="xsd:string"&gt;28/06/2005&lt;/D&gt;&lt;D xsi:type="xsd:string"&gt;27/06/2005&lt;/D&gt;&lt;D xsi:type="xsd:string"&gt;24/06/2005&lt;/D&gt;&lt;D xsi:type="xsd:string"&gt;23/06/2005&lt;/D&gt;&lt;D xsi:type="xsd:string"&gt;22/06/2005&lt;/D&gt;&lt;D xsi:type="xsd:string"&gt;21/06/2005&lt;/D&gt;&lt;D xsi:type="xsd:string"&gt;20/06/2005&lt;/D&gt;&lt;D xsi:type="xsd:string"&gt;17/06/2005&lt;/D&gt;&lt;D xsi:type="xsd:string"&gt;16/06/2005&lt;/D&gt;&lt;D xsi:type="xsd:string"&gt;15/06/2005&lt;/D&gt;&lt;D xsi:type="xsd:string"&gt;14/06/2005&lt;/D&gt;&lt;D xsi:type="xsd:string"&gt;13/06/2005&lt;/D&gt;&lt;D xsi:type="xsd:string"&gt;10/06/2005&lt;/D&gt;&lt;D xsi:type="xsd:string"&gt;09/06/2005&lt;/D&gt;&lt;D xsi:type="xsd:string"&gt;08/06/2005&lt;/D&gt;&lt;D xsi:type="xsd:string"&gt;07/06/2005&lt;/D&gt;&lt;D xsi:type="xsd:string"&gt;06/06/2005&lt;/D&gt;&lt;D xsi:type="xsd:string"&gt;03/06/2005&lt;/D&gt;&lt;D xsi:type="xsd:string"&gt;02/06/2005&lt;/D&gt;&lt;D xsi:type="xsd:string"&gt;01/06/2005&lt;/D&gt;&lt;D xsi:type="xsd:string"&gt;31/05/2005&lt;/D&gt;&lt;D xsi:type="xsd:string"&gt;30/05/2005&lt;/D&gt;&lt;D xsi:type="xsd:string"&gt;27/05/2005&lt;/D&gt;&lt;D xsi:type="xsd:string"&gt;26/05/2005&lt;/D&gt;&lt;D xsi:type="xsd:string"&gt;25/05/2005&lt;/D&gt;&lt;D xsi:type="xsd:string"&gt;24/05/2005&lt;/D&gt;&lt;D xsi:type="xsd:string"&gt;23/05/2005&lt;/D&gt;&lt;D xsi:type="xsd:string"&gt;20/05/2005&lt;/D&gt;&lt;D xsi:type="xsd:string"&gt;19/05/2005&lt;/D&gt;&lt;D xsi:type="xsd:string"&gt;18/05/2005&lt;/D&gt;&lt;D xsi:type="xsd:string"&gt;17/05/2005&lt;/D&gt;&lt;D xsi:type="xsd:string"&gt;16/05/2005&lt;/D&gt;&lt;D xsi:type="xsd:string"&gt;13/05/2005&lt;/D&gt;&lt;D xsi:type="xsd:string"&gt;12/05/2005&lt;/D&gt;&lt;D xsi:type="xsd:string"&gt;11/05/2005&lt;/D&gt;&lt;D xsi:type="xsd:string"&gt;10/05/2005&lt;/D&gt;&lt;D xsi:type="xsd:string"&gt;09/05/2005&lt;/D&gt;&lt;D xsi:type="xsd:string"&gt;06/05/2005&lt;/D&gt;&lt;D xsi:type="xsd:string"&gt;05/05/2005&lt;/D&gt;&lt;D xsi:type="xsd:string"&gt;04/05/2005&lt;/D&gt;&lt;D xsi:type="xsd:string"&gt;03/05/2005&lt;/D&gt;&lt;D xsi:type="xsd:string"&gt;02/05/2005&lt;/D&gt;&lt;D xsi:type="xsd:string"&gt;29/04/2005&lt;/D&gt;&lt;D xsi:type="xsd:string"&gt;28/04/2005&lt;/D&gt;&lt;D xsi:type="xsd:string"&gt;27/04/2005&lt;/D&gt;&lt;D xsi:type="xsd:string"&gt;26/04/2005&lt;/D&gt;&lt;D xsi:type="xsd:string"&gt;25/04/2005&lt;/D&gt;&lt;D xsi:type="xsd:string"&gt;22/04/2005&lt;/D&gt;&lt;D xsi:type="xsd:string"&gt;21/04/2005&lt;/D&gt;&lt;D xsi:type="xsd:string"&gt;20/04/2005&lt;/D&gt;&lt;D xsi:type="xsd:string"&gt;19/04/2005&lt;/D&gt;&lt;D xsi:type="xsd:string"&gt;18/04/2005&lt;/D&gt;&lt;D xsi:type="xsd:string"&gt;15/04/2005&lt;/D&gt;&lt;D xsi:type="xsd:string"&gt;14/04/2005&lt;/D&gt;&lt;D xsi:type="xsd:string"&gt;13/04/2005&lt;/D&gt;&lt;D xsi:type="xsd:string"&gt;12/04/2005&lt;/D&gt;&lt;D xsi:type="xsd:string"&gt;11/04/2005&lt;/D&gt;&lt;D xsi:type="xsd:string"&gt;08/04/2005&lt;/D&gt;&lt;D xsi:type="xsd:string"&gt;07/04/2005&lt;/D&gt;&lt;D xsi:type="xsd:string"&gt;06/04/2005&lt;/D&gt;&lt;D xsi:type="xsd:string"&gt;05/04/2005&lt;/D&gt;&lt;D xsi:type="xsd:string"&gt;04/04/2005&lt;/D&gt;&lt;D xsi:type="xsd:string"&gt;01/04/2005&lt;/D&gt;&lt;D xsi:type="xsd:string"&gt;31/03/2005&lt;/D&gt;&lt;D xsi:type="xsd:string"&gt;30/03/2005&lt;/D&gt;&lt;D xsi:type="xsd:string"&gt;29/03/2005&lt;/D&gt;&lt;D xsi:type="xsd:string"&gt;28/03/2005&lt;/D&gt;&lt;D xsi:type="xsd:string"&gt;25/03/2005&lt;/D&gt;&lt;D xsi:type="xsd:string"&gt;24/03/2005&lt;/D&gt;&lt;D xsi:type="xsd:string"&gt;23/03/2005&lt;/D&gt;&lt;D xsi:type="xsd:string"&gt;22/03/2005&lt;/D&gt;&lt;D xsi:type="xsd:string"&gt;21/03/2005&lt;/D&gt;&lt;D xsi:type="xsd:string"&gt;18/03/2005&lt;/D&gt;&lt;D xsi:type="xsd:string"&gt;17/03/2005&lt;/D&gt;&lt;D xsi:type="xsd:string"&gt;16/03/2005&lt;/D&gt;&lt;D xsi:type="xsd:string"&gt;15/03/2005&lt;/D&gt;&lt;D xsi:type="xsd:string"&gt;14/03/2005&lt;/D&gt;&lt;D xsi:type="xsd:string"&gt;11/03/2005&lt;/D&gt;&lt;D xsi:type="xsd:string"&gt;10/03/2005&lt;/D&gt;&lt;D xsi:type="xsd:string"&gt;09/03/2005&lt;/D&gt;&lt;D xsi:type="xsd:string"&gt;08/03/2005&lt;/D&gt;&lt;D xsi:type="xsd:string"&gt;07/03/2005&lt;/D&gt;&lt;D xsi:type="xsd:string"&gt;04/03/2005&lt;/D&gt;&lt;D xsi:type="xsd:string"&gt;03/03/2005&lt;/D&gt;&lt;D xsi:type="xsd:string"&gt;02/03/2005&lt;/D&gt;&lt;D xsi:type="xsd:string"&gt;01/03/2005&lt;/D&gt;&lt;D xsi:type="xsd:string"&gt;28/02/2005&lt;/D&gt;&lt;D xsi:type="xsd:string"&gt;25/02/2005&lt;/D&gt;&lt;D xsi:type="xsd:string"&gt;24/02/2005&lt;/D&gt;&lt;D xsi:type="xsd:string"&gt;23/02/2005&lt;/D&gt;&lt;D xsi:type="xsd:string"&gt;22/02/2005&lt;/D&gt;&lt;D xsi:type="xsd:string"&gt;21/02/2005&lt;/D&gt;&lt;D xsi:type="xsd:string"&gt;18/02/2005&lt;/D&gt;&lt;D xsi:type="xsd:string"&gt;17/02/2005&lt;/D&gt;&lt;D xsi:type="xsd:string"&gt;16/02/2005&lt;/D&gt;&lt;D xsi:type="xsd:string"&gt;15/02/2005&lt;/D&gt;&lt;D xsi:type="xsd:string"&gt;14/02/2005&lt;/D&gt;&lt;D xsi:type="xsd:string"&gt;11/02/2005&lt;/D&gt;&lt;D xsi:type="xsd:string"&gt;10/02/2005&lt;/D&gt;&lt;D xsi:type="xsd:string"&gt;09/02/2005&lt;/D&gt;&lt;D xsi:type="xsd:string"&gt;08/02/2005&lt;/D&gt;&lt;D xsi:type="xsd:string"&gt;07/02/2005&lt;/D&gt;&lt;D xsi:type="xsd:string"&gt;04/02/2005&lt;/D&gt;&lt;D xsi:type="xsd:string"&gt;03/02/2005&lt;/D&gt;&lt;D xsi:type="xsd:string"&gt;02/02/2005&lt;/D&gt;&lt;D xsi:type="xsd:string"&gt;01/02/2005&lt;/D&gt;&lt;D xsi:type="xsd:string"&gt;31/01/2005&lt;/D&gt;&lt;D xsi:type="xsd:string"&gt;28/01/2005&lt;/D&gt;&lt;D xsi:type="xsd:string"&gt;27/01/2005&lt;/D&gt;&lt;D xsi:type="xsd:string"&gt;26/01/2005&lt;/D&gt;&lt;D xsi:type="xsd:string"&gt;25/01/2005&lt;/D&gt;&lt;D xsi:type="xsd:string"&gt;24/01/2005&lt;/D&gt;&lt;D xsi:type="xsd:string"&gt;21/01/2005&lt;/D&gt;&lt;D xsi:type="xsd:string"&gt;20/01/2005&lt;/D&gt;&lt;D xsi:type="xsd:string"&gt;19/01/2005&lt;/D&gt;&lt;D xsi:type="xsd:string"&gt;18/01/2005&lt;/D&gt;&lt;D xsi:type="xsd:string"&gt;17/01/2005&lt;/D&gt;&lt;D xsi:type="xsd:string"&gt;14/01/2005&lt;/D&gt;&lt;D xsi:type="xsd:string"&gt;13/01/2005&lt;/D&gt;&lt;D xsi:type="xsd:string"&gt;12/01/2005&lt;/D&gt;&lt;D xsi:type="xsd:string"&gt;11/01/2005&lt;/D&gt;&lt;D xsi:type="xsd:string"&gt;10/01/2005&lt;/D&gt;&lt;D xsi:type="xsd:string"&gt;07/01/2005&lt;/D&gt;&lt;D xsi:type="xsd:string"&gt;06/01/2005&lt;/D&gt;&lt;D xsi:type="xsd:string"&gt;05/01/2005&lt;/D&gt;&lt;D xsi:type="xsd:string"&gt;04/01/2005&lt;/D&gt;&lt;D xsi:type="xsd:string"&gt;03/01/2005&lt;/D&gt;&lt;D xsi:type="xsd:string"&gt;31/12/2004&lt;/D&gt;&lt;D xsi:type="xsd:string"&gt;30/12/2004&lt;/D&gt;&lt;D xsi:type="xsd:string"&gt;29/12/2004&lt;/D&gt;&lt;D xsi:type="xsd:string"&gt;28/12/2004&lt;/D&gt;&lt;D xsi:type="xsd:string"&gt;27/12/2004&lt;/D&gt;&lt;D xsi:type="xsd:string"&gt;24/12/2004&lt;/D&gt;&lt;D xsi:type="xsd:string"&gt;23/12/2004&lt;/D&gt;&lt;D xsi:type="xsd:string"&gt;22/12/2004&lt;/D&gt;&lt;D xsi:type="xsd:string"&gt;21/12/2004&lt;/D&gt;&lt;D xsi:type="xsd:string"&gt;20/12/2004&lt;/D&gt;&lt;D xsi:type="xsd:string"&gt;17/12/2004&lt;/D&gt;&lt;D xsi:type="xsd:string"&gt;16/12/2004&lt;/D&gt;&lt;D xsi:type="xsd:string"&gt;15/12/2004&lt;/D&gt;&lt;D xsi:type="xsd:string"&gt;14/12/2004&lt;/D&gt;&lt;D xsi:type="xsd:string"&gt;13/12/2004&lt;/D&gt;&lt;D xsi:type="xsd:string"&gt;10/12/2004&lt;/D&gt;&lt;D xsi:type="xsd:string"&gt;09/12/2004&lt;/D&gt;&lt;D xsi:type="xsd:string"&gt;08/12/2004&lt;/D&gt;&lt;D xsi:type="xsd:string"&gt;07/12/2004&lt;/D&gt;&lt;D xsi:type="xsd:string"&gt;06/12/2004&lt;/D&gt;&lt;D xsi:type="xsd:string"&gt;03/12/2004&lt;/D&gt;&lt;D xsi:type="xsd:string"&gt;02/12/2004&lt;/D&gt;&lt;D xsi:type="xsd:string"&gt;01/12/2004&lt;/D&gt;&lt;D xsi:type="xsd:string"&gt;30/11/2004&lt;/D&gt;&lt;D xsi:type="xsd:string"&gt;29/11/2004&lt;/D&gt;&lt;D xsi:type="xsd:string"&gt;26/11/2004&lt;/D&gt;&lt;D xsi:type="xsd:string"&gt;25/11/2004&lt;/D&gt;&lt;D xsi:type="xsd:string"&gt;24/11/2004&lt;/D&gt;&lt;D xsi:type="xsd:string"&gt;23/11/2004&lt;/D&gt;&lt;D xsi:type="xsd:string"&gt;22/11/2004&lt;/D&gt;&lt;D xsi:type="xsd:string"&gt;19/11/2004&lt;/D&gt;&lt;D xsi:type="xsd:string"&gt;18/11/2004&lt;/D&gt;&lt;D xsi:type="xsd:string"&gt;17/11/2004&lt;/D&gt;&lt;D xsi:type="xsd:string"&gt;16/11/2004&lt;/D&gt;&lt;D xsi:type="xsd:string"&gt;15/11/2004&lt;/D&gt;&lt;D xsi:type="xsd:string"&gt;12/11/2004&lt;/D&gt;&lt;D xsi:type="xsd:string"&gt;11/11/2004&lt;/D&gt;&lt;D xsi:type="xsd:string"&gt;10/11/2004&lt;/D&gt;&lt;D xsi:type="xsd:string"&gt;09/11/2004&lt;/D&gt;&lt;D xsi:type="xsd:string"&gt;08/11/2004&lt;/D&gt;&lt;D xsi:type="xsd:string"&gt;05/11/2004&lt;/D&gt;&lt;D xsi:type="xsd:string"&gt;04/11/2004&lt;/D&gt;&lt;D xsi:type="xsd:string"&gt;03/11/2004&lt;/D&gt;&lt;D xsi:type="xsd:string"&gt;02/11/2004&lt;/D&gt;&lt;D xsi:type="xsd:string"&gt;01/11/2004&lt;/D&gt;&lt;D xsi:type="xsd:string"&gt;29/10/2004&lt;/D&gt;&lt;D xsi:type="xsd:string"&gt;28/10/2004&lt;/D&gt;&lt;D xsi:type="xsd:string"&gt;27/10/2004&lt;/D&gt;&lt;D xsi:type="xsd:string"&gt;26/10/2004&lt;/D&gt;&lt;D xsi:type="xsd:string"&gt;25/10/2004&lt;/D&gt;&lt;D xsi:type="xsd:string"&gt;22/10/2004&lt;/D&gt;&lt;D xsi:type="xsd:string"&gt;21/10/2004&lt;/D&gt;&lt;D xsi:type="xsd:string"&gt;20/10/2004&lt;/D&gt;&lt;D xsi:type="xsd:string"&gt;19/10/2004&lt;/D&gt;&lt;D xsi:type="xsd:string"&gt;18/10/2004&lt;/D&gt;&lt;D xsi:type="xsd:string"&gt;15/10/2004&lt;/D&gt;&lt;D xsi:type="xsd:string"&gt;14/10/2004&lt;/D&gt;&lt;D xsi:type="xsd:string"&gt;13/10/2004&lt;/D&gt;&lt;D xsi:type="xsd:string"&gt;12/10/2004&lt;/D&gt;&lt;D xsi:type="xsd:string"&gt;11/10/2004&lt;/D&gt;&lt;D xsi:type="xsd:string"&gt;08/10/2004&lt;/D&gt;&lt;D xsi:type="xsd:string"&gt;07/10/2004&lt;/D&gt;&lt;D xsi:type="xsd:string"&gt;06/10/2004&lt;/D&gt;&lt;D xsi:type="xsd:string"&gt;05/10/2004&lt;/D&gt;&lt;D xsi:type="xsd:string"&gt;04/10/2004&lt;/D&gt;&lt;D xsi:type="xsd:string"&gt;01/10/2004&lt;/D&gt;&lt;D xsi:type="xsd:string"&gt;30/09/2004&lt;/D&gt;&lt;D xsi:type="xsd:string"&gt;29/09/2004&lt;/D&gt;&lt;D xsi:type="xsd:string"&gt;28/09/2004&lt;/D&gt;&lt;D xsi:type="xsd:string"&gt;27/09/2004&lt;/D&gt;&lt;D xsi:type="xsd:string"&gt;24/09/2004&lt;/D&gt;&lt;D xsi:type="xsd:string"&gt;23/09/2004&lt;/D&gt;&lt;D xsi:type="xsd:string"&gt;22/09/2004&lt;/D&gt;&lt;D xsi:type="xsd:string"&gt;21/09/2004&lt;/D&gt;&lt;D xsi:type="xsd:string"&gt;20/09/2004&lt;/D&gt;&lt;D xsi:type="xsd:string"&gt;17/09/2004&lt;/D&gt;&lt;D xsi:type="xsd:string"&gt;16/09/2004&lt;/D&gt;&lt;D xsi:type="xsd:string"&gt;15/09/2004&lt;/D&gt;&lt;D xsi:type="xsd:string"&gt;14/09/2004&lt;/D&gt;&lt;D xsi:type="xsd:string"&gt;13/09/2004&lt;/D&gt;&lt;D xsi:type="xsd:string"&gt;10/09/2004&lt;/D&gt;&lt;D xsi:type="xsd:string"&gt;09/09/2004&lt;/D&gt;&lt;D xsi:type="xsd:string"&gt;08/09/2004&lt;/D&gt;&lt;D xsi:type="xsd:string"&gt;07/09/2004&lt;/D&gt;&lt;D xsi:type="xsd:string"&gt;06/09/2004&lt;/D&gt;&lt;D xsi:type="xsd:string"&gt;03/09/2004&lt;/D&gt;&lt;D xsi:type="xsd:string"&gt;02/09/2004&lt;/D&gt;&lt;D xsi:type="xsd:string"&gt;01/09/2004&lt;/D&gt;&lt;D xsi:type="xsd:string"&gt;31/08/2004&lt;/D&gt;&lt;D xsi:type="xsd:string"&gt;30/08/2004&lt;/D&gt;&lt;D xsi:type="xsd:string"&gt;27/08/2004&lt;/D&gt;&lt;D xsi:type="xsd:string"&gt;26/08/2004&lt;/D&gt;&lt;D xsi:type="xsd:string"&gt;25/08/2004&lt;/D&gt;&lt;D xsi:type="xsd:string"&gt;24/08/2004&lt;/D&gt;&lt;D xsi:type="xsd:string"&gt;23/08/2004&lt;/D&gt;&lt;D xsi:type="xsd:string"&gt;20/08/2004&lt;/D&gt;&lt;/FQL&gt;&lt;FQL&gt;&lt;Q&gt;SP50^FMA_COS_UP("EPS","1M",+1,NOW,-10AY,M,"PORTAGG","MEANR")/(FMA_COS_DOWN("EPS","1M",+1,NOW,-10AY,M,"PORTAGG","MEANR")+FMA_COS_UP("EPS","1M",+1,NOW,-10AY,M,"PORTAGG","MEANR"))&lt;/Q&gt;&lt;R&gt;120&lt;/R&gt;&lt;C&gt;1&lt;/C&gt;&lt;D xsi:type="xsd:double"&gt;0.505910165484634&lt;/D&gt;&lt;D xsi:type="xsd:double"&gt;0.470059880239521&lt;/D&gt;&lt;D xsi:type="xsd:double"&gt;0.583979328165375&lt;/D&gt;&lt;D xsi:type="xsd:double"&gt;0.519138755980861&lt;/D&gt;&lt;D xsi:type="xsd:double"&gt;0.481012658227848&lt;/D&gt;&lt;D xsi:type="xsd:double"&gt;0.725373134328358&lt;/D&gt;&lt;D xsi:type="xsd:double"&gt;0.614427860696517&lt;/D&gt;&lt;D xsi:type="xsd:double"&gt;0.510204081632653&lt;/D&gt;&lt;D xsi:type="xsd:double"&gt;0.585677749360614&lt;/D&gt;&lt;D xsi:type="xsd:double"&gt;0.493023255813954&lt;/D&gt;&lt;D xsi:type="xsd:double"&gt;0.476331360946746&lt;/D&gt;&lt;D xsi:type="xsd:double"&gt;0.579081632653061&lt;/D&gt;&lt;D xsi:type="xsd:double"&gt;0.527777777777778&lt;/D&gt;&lt;D xsi:type="xsd:double"&gt;0.482954545454545&lt;/D&gt;&lt;D xsi:type="xsd:double"&gt;0.580246913580247&lt;/D&gt;&lt;D xsi:type="xsd:double"&gt;0.5&lt;/D&gt;&lt;D xsi:type="xsd:double"&gt;0.460869565217391&lt;/D&gt;&lt;D xsi:type="xsd:double"&gt;0.681818181818182&lt;/D&gt;&lt;D xsi:type="xsd:double"&gt;0.508905852417303&lt;/D&gt;&lt;D xsi:type="xsd:double"&gt;0.470383275261324&lt;/D&gt;&lt;D xsi:type="xsd:double"&gt;0.498644986449864&lt;/D&gt;&lt;D xsi:type="xsd:double"&gt;0.37962962962963&lt;/D&gt;&lt;D xsi:type="xsd:double"&gt;0.391304347826087&lt;/D&gt;&lt;D xsi:type="xsd:double"&gt;0.589285714285714&lt;/D&gt;&lt;D xsi:type="xsd:double"&gt;0.380090497737557&lt;/D&gt;&lt;D xsi:type="xsd:double"&gt;0.420749279538905&lt;/D&gt;&lt;D xsi:type="xsd:double"&gt;0.5625&lt;/D&gt;&lt;D xsi:type="xsd:double"&gt;0.532407407407407&lt;/D&gt;&lt;D xsi:type="xsd:double"&gt;0.433962264150943&lt;/D&gt;&lt;D xsi:type="xsd:double"&gt;0.754545454545455&lt;/D&gt;&lt;D xsi:type="xsd:double"&gt;0.632596685082873&lt;/D&gt;&lt;D xsi:type="xsd:double"&gt;0.611721611721612&lt;/D&gt;&lt;D xsi:type="xsd:double"&gt;0.710875331564987&lt;/D&gt;&lt;D xsi:type="xsd:double"&gt;0.631067961165049&lt;/D&gt;&lt;D xsi:type="xsd:double"&gt;0.570977917981073&lt;/D&gt;&lt;D xsi:type="xsd:double"&gt;0.786458333333333&lt;/D&gt;&lt;D xsi:type="xsd:double"&gt;0.814726840855107&lt;/D&gt;&lt;D xsi:type="xsd:double"&gt;0.752238805970149&lt;/D&gt;&lt;D xsi:type="xsd:double"&gt;0.803571428571429&lt;/D&gt;&lt;D xsi:type="xsd:double"&gt;0.768321513002364&lt;/D&gt;&lt;D xsi:type="xsd:double"&gt;0.635854341736695&lt;/D&gt;&lt;D xsi:type="xsd:double"&gt;0.793269230769231&lt;/D&gt;&lt;D xsi:type="xsd:double"&gt;0.728&lt;/D&gt;&lt;D xsi:type="xsd:double"&gt;0.731292517006803&lt;/D&gt;&lt;D xsi:type="xsd:double"&gt;0.805013927576602&lt;/D&gt;&lt;D xsi:type="xsd:double"&gt;0.80091533180778&lt;/D&gt;&lt;D xsi:type="xsd:double"&gt;0.682098765432099&lt;/D&gt;&lt;D xsi:type="xsd:double"&gt;0.722955145118733&lt;/D&gt;&lt;D xsi:type="xsd:double"&gt;0.70627802690583&lt;/D&gt;&lt;D xsi:type="xsd:double"&gt;0.536388140161725&lt;/D&gt;&lt;D xsi:type="xsd:double"&gt;0.272093023255814&lt;/D&gt;&lt;D xsi:type="xsd:double"&gt;0.0895833333333333&lt;/D&gt;&lt;D xsi:type="xsd:double"&gt;0.0953436807095344&lt;/D&gt;&lt;D xsi:type="xsd:double"&gt;0.676020408163265&lt;/D&gt;&lt;D xsi:type="xsd:double"&gt;0.618075801749271&lt;/D&gt;&lt;D xsi:type="xsd:double"&gt;0.531496062992126&lt;/D&gt;&lt;D xsi:type="xsd:double"&gt;0.567934782608696&lt;/D&gt;&lt;D xsi:type="xsd:double"&gt;0.495121951219512&lt;/D&gt;&lt;D xsi:type="xsd:double"&gt;0.41304347826087&lt;/D&gt;&lt;D xsi:type="xsd:double"&gt;0.546174142480211&lt;/D&gt;&lt;D xsi:type="xsd:double"&gt;0.479545454545455&lt;/D&gt;&lt;D xsi:type="xsd:double"&gt;0.40117994100295&lt;/D&gt;&lt;D xsi:type="xsd:double"&gt;0.577720207253886&lt;/D&gt;&lt;D xsi:type="xsd:double"&gt;0.546067415730337&lt;/D&gt;&lt;D xsi:type="xsd:double"&gt;0.445454545454545&lt;/D&gt;&lt;D xsi:type="xsd:double"&gt;0.672535211267606&lt;/D&gt;&lt;D xsi:type="xsd:double"&gt;0.46927374301676&lt;/D&gt;&lt;D xsi:type="xsd:double"&gt;0.412&lt;/D&gt;&lt;D xsi:type="xsd:double"&gt;0.612121212121212&lt;/D&gt;&lt;D xsi:type="xsd:double"&gt;0.570707070707071&lt;/D&gt;&lt;D xsi:type="xsd:double"&gt;0.529616724738676&lt;/D&gt;&lt;D xsi:type="xsd:double"&gt;0.668604651162791&lt;/D&gt;&lt;D xsi:type="xsd:double"&gt;0.604938271604938&lt;/D&gt;&lt;D xsi:type="xsd:double"&gt;0.537735849056604&lt;/D&gt;&lt;D xsi:type="xsd:double"&gt;0.66578947368421&lt;/D&gt;&lt;D xsi:type="xsd:double"&gt;0.597435897435897&lt;/D&gt;&lt;D xsi:type="xsd:double"&gt;0.570570570570571&lt;/D&gt;&lt;D xsi:type="xsd:double"&gt;0.758169934640523&lt;/D&gt;&lt;D xsi:type="xsd:double"&gt;0.69405099150141</t>
        </r>
      </text>
    </comment>
    <comment ref="A20" authorId="0" shapeId="0" xr:uid="{59FAEB3D-7A24-40C4-A745-4DF03BB013C7}">
      <text>
        <r>
          <rPr>
            <b/>
            <sz val="9"/>
            <color indexed="81"/>
            <rFont val="Tahoma"/>
            <charset val="1"/>
          </rPr>
          <t>6&lt;/D&gt;&lt;D xsi:type="xsd:double"&gt;0.626086956521739&lt;/D&gt;&lt;D xsi:type="xsd:double"&gt;0.659863945578231&lt;/D&gt;&lt;D xsi:type="xsd:double"&gt;0.628865979381443&lt;/D&gt;&lt;D xsi:type="xsd:double"&gt;0.482269503546099&lt;/D&gt;&lt;D xsi:type="xsd:double"&gt;0.567251461988304&lt;/D&gt;&lt;D xsi:type="xsd:double"&gt;0.649350649350649&lt;/D&gt;&lt;D xsi:type="xsd:double"&gt;0.516014234875445&lt;/D&gt;&lt;D xsi:type="xsd:double"&gt;0.608465608465608&lt;/D&gt;&lt;D xsi:type="xsd:double"&gt;0.60545905707196&lt;/D&gt;&lt;D xsi:type="xsd:double"&gt;0.508196721311475&lt;/D&gt;&lt;D xsi:type="xsd:double"&gt;0.697278911564626&lt;/D&gt;&lt;D xsi:type="xsd:double"&gt;0.546031746031746&lt;/D&gt;&lt;D xsi:type="xsd:double"&gt;0.535398230088496&lt;/D&gt;&lt;D xsi:type="xsd:double"&gt;0.5375&lt;/D&gt;&lt;D xsi:type="xsd:double"&gt;0.537037037037037&lt;/D&gt;&lt;D xsi:type="xsd:double"&gt;0.510869565217391&lt;/D&gt;&lt;D xsi:type="xsd:double"&gt;0.524242424242424&lt;/D&gt;&lt;D xsi:type="xsd:double"&gt;0.485&lt;/D&gt;&lt;D xsi:type="xsd:double"&gt;0.398026315789474&lt;/D&gt;&lt;D xsi:type="xsd:double"&gt;0.541547277936963&lt;/D&gt;&lt;D xsi:type="xsd:double"&gt;0.597435897435897&lt;/D&gt;&lt;D xsi:type="xsd:double"&gt;0.471380471380471&lt;/D&gt;&lt;D xsi:type="xsd:double"&gt;0.66304347826087&lt;/D&gt;&lt;D xsi:type="xsd:double"&gt;0.487577639751553&lt;/D&gt;&lt;D xsi:type="xsd:double"&gt;0.418103448275862&lt;/D&gt;&lt;D xsi:type="xsd:double"&gt;0.549488054607508&lt;/D&gt;&lt;D xsi:type="xsd:double"&gt;0.506459948320413&lt;/D&gt;&lt;D xsi:type="xsd:double"&gt;0.40625&lt;/D&gt;&lt;D xsi:type="xsd:double"&gt;0.522727272727273&lt;/D&gt;&lt;D xsi:type="xsd:double"&gt;0.555844155844156&lt;/D&gt;&lt;D xsi:type="xsd:double"&gt;0.452296819787986&lt;/D&gt;&lt;D xsi:type="xsd:double"&gt;0.576819407008086&lt;/D&gt;&lt;D xsi:type="xsd:double"&gt;0.474226804123711&lt;/D&gt;&lt;D xsi:type="xsd:double"&gt;0.377049180327869&lt;/D&gt;&lt;D xsi:type="xsd:double"&gt;0.64306784660767&lt;/D&gt;&lt;D xsi:type="xsd:double"&gt;0.52463768115942&lt;/D&gt;&lt;D xsi:type="xsd:double"&gt;0.481651376146789&lt;/D&gt;&lt;D xsi:type="xsd:double"&gt;0.620991253644315&lt;/D&gt;&lt;D xsi:type="xsd:double"&gt;0.515957446808511&lt;/D&gt;&lt;D xsi:type="xsd:double"&gt;0.483870967741935&lt;/D&gt;&lt;D xsi:type="xsd:double"&gt;0.591194968553459&lt;/D&gt;&lt;/FQL&gt;&lt;FQL&gt;&lt;Q&gt;SP50^FMA_EPS(NTMA,NOW,-10AY,M,,"PORTAGG","MEANR")&lt;/Q&gt;&lt;R&gt;120&lt;/R&gt;&lt;C&gt;1&lt;/C&gt;&lt;D xsi:type="xsd:double"&gt;262.409630882682&lt;/D&gt;&lt;D xsi:type="xsd:double"&gt;259.789611999719&lt;/D&gt;&lt;D xsi:type="xsd:double"&gt;257.362241756139&lt;/D&gt;&lt;D xsi:type="xsd:double"&gt;253.131301936096&lt;/D&gt;&lt;D xsi:type="xsd:double"&gt;249.995050869064&lt;/D&gt;&lt;D xsi:type="xsd:double"&gt;247.191675516654&lt;/D&gt;&lt;D xsi:type="xsd:double"&gt;243.518683367111&lt;/D&gt;&lt;D xsi:type="xsd:double"&gt;242.696635458741&lt;/D&gt;&lt;D xsi:type="xsd:double"&gt;241.840761978867&lt;/D&gt;&lt;D xsi:type="xsd:double"&gt;239.960873014326&lt;/D&gt;&lt;D xsi:type="xsd:double"&gt;238.571618250912&lt;/D&gt;&lt;D xsi:type="xsd:double"&gt;236.617071560528&lt;/D&gt;&lt;D xsi:type="xsd:double"&gt;232.324896258124&lt;/D&gt;&lt;D xsi:type="xsd:double"&gt;230.21328911433&lt;/D&gt;&lt;D xsi:type="xsd:double"&gt;229.281759208998&lt;/D&gt;&lt;D xsi:type="xsd:double"&gt;227.111620123171&lt;/D&gt;&lt;D xsi:type="xsd:double"&gt;224.977926578519&lt;/D&gt;&lt;D xsi:type="xsd:double"&gt;224.027582115474&lt;/D&gt;&lt;D xsi:type="xsd:double"&gt;224.16963032379&lt;/D&gt;&lt;D xsi:type="xsd:double"&gt;227.849413390863&lt;/D&gt;&lt;D xsi:type="xsd:double"&gt;228.058818343993&lt;/D&gt;&lt;D xsi:type="xsd:double"&gt;228.280024736484&lt;/D&gt;&lt;D xsi:type="xsd:double"&gt;233.188608267088&lt;/D&gt;&lt;D xsi:type="xsd:double"&gt;233.173883406968&lt;/D&gt;&lt;D xsi:type="xsd:double"&gt;232.875191077501&lt;/D&gt;&lt;D xsi:type="xsd:double"&gt;236.252920793999&lt;/D&gt;&lt;D xsi:type="xsd:double"&gt;234.715463658631&lt;/D&gt;&lt;D xsi:type="xsd:double"&gt;232.017438387946&lt;/D&gt;&lt;D xsi:type="xsd:double"&gt;229.187297952466&lt;/D&gt;&lt;D xsi:type="xsd:double"&gt;225.39726494749&lt;/D&gt;&lt;D xsi:type="xsd:double"&gt;223.163797370938&lt;/D&gt;&lt;D xsi:type="xsd:double"&gt;220.063869992593&lt;/D&gt;&lt;D xsi:type="xsd:double"&gt;216.526855586368&lt;/D&gt;&lt;D xsi:type="xsd:double"&gt;213.412325378456&lt;/D&gt;&lt;D xsi:type="xsd:double"&gt;210.623520239017&lt;/D&gt;&lt;D xsi:type="xsd:double"&gt;209.266286249803&lt;/D&gt;&lt;D xsi:type="xsd:double"&gt;205.814573967876&lt;/D&gt;&lt;D xsi:type="xsd:double"&gt;198.394967991491&lt;/D&gt;&lt;D xsi:type="xsd:double"&gt;195.633588608369&lt;/D&gt;&lt;D xsi:type="xsd:double"&gt;190.340462452211&lt;/D&gt;&lt;D xsi:type="xsd:double"&gt;179.937801180888&lt;/D&gt;&lt;D xsi:type="xsd:double"&gt;175.38842999446&lt;/D&gt;&lt;D xsi:type="xsd:double"&gt;170.755504946707&lt;/D&gt;&lt;D xsi:type="xsd:double"&gt;163.64770467148&lt;/D&gt;&lt;D xsi:type="xsd:double"&gt;160.296847461818&lt;/D&gt;&lt;D xsi:type="xsd:double"&gt;157.223808108576&lt;/D&gt;&lt;D xsi:type="xsd:double"&gt;152.479412311451&lt;/D&gt;&lt;D xsi:type="xsd:double"&gt;149.147581596502&lt;/D&gt;&lt;D xsi:type="xsd:double"&gt;146.555041531228&lt;/D&gt;&lt;D xsi:type="xsd:double"&gt;140.955543676346&lt;/D&gt;&lt;D xsi:type="xsd:double"&gt;138.189398042377&lt;/D&gt;&lt;D xsi:type="xsd:double"&gt;140.640183412697&lt;/D&gt;&lt;D xsi:type="xsd:double"&gt;161.847034635926&lt;/D&gt;&lt;D xsi:type="xsd:double"&gt;173.776907205601&lt;/D&gt;&lt;D xsi:type="xsd:double"&gt;174.528324418772&lt;/D&gt;&lt;D xsi:type="xsd:double"&gt;174.441553681501&lt;/D&gt;&lt;D xsi:type="xsd:double"&gt;173.17163452931&lt;/D&gt;&lt;D xsi:type="xsd:double"&gt;171.945208175314&lt;/D&gt;&lt;D xsi:type="xsd:double"&gt;172.511922318544&lt;/D&gt;&lt;D xsi:type="xsd:double"&gt;171.396591743431&lt;/D&gt;&lt;D xsi:type="xsd:double"&gt;171.086360123821&lt;/D&gt;&lt;D xsi:type="xsd:double"&gt;171.38607727836&lt;/D&gt;&lt;D xsi:type="xsd:double"&gt;171.070969581985&lt;/D&gt;&lt;D xsi:type="xsd:double"&gt;171.018967715836&lt;/D&gt;&lt;D xsi:type="xsd:double"&gt;169.777327401418&lt;/D&gt;&lt;D xsi:type="xsd:double"&gt;168.648462156892&lt;/D&gt;&lt;D xsi:type="xsd:double"&gt;168.645119129342&lt;/D&gt;&lt;D xsi:type="xsd:double"&gt;170.717617046348&lt;/D&gt;&lt;D xsi:type="xsd:double"&gt;172.098015436111&lt;/D&gt;&lt;D xsi:type="xsd:double"&gt;171.987475260451&lt;/D&gt;&lt;D xsi:type="xsd:double"&gt;170.973787200774&lt;/D&gt;&lt;D xsi:type="xsd:double"&gt;169.457071425682&lt;/D&gt;&lt;D xsi:type="xsd:double"&gt;168.195799123574&lt;/D&gt;&lt;D xsi:type="xsd:double"&gt;165.9677291612&lt;/D&gt;&lt;D xsi:type="xsd:double"&gt;164.078487147521&lt;/D&gt;&lt;D xsi:type="xsd:double"&gt;161.908744220228&lt;/D&gt;&lt;D xsi:type="xsd:double"&gt;158.853700509995&lt;/D&gt;&lt;D xsi:type="xsd:double"&gt;157.205123807653&lt;/D&gt;&lt;D xsi:type="xsd:double"&gt;153.264678485754&lt;/D&gt;&lt;D xsi:type="xsd:double"&gt;144.418460053683&lt;/D&gt;&lt;D xsi:type="xsd:double"&gt;142.118529489395&lt;/D&gt;&lt;D xsi:type="xsd:double"&gt;140.706110791452&lt;/D&gt;&lt;D xsi:type="xsd:double"&gt;139.971149809938&lt;/D&gt;&lt;D xsi:type="xsd:double"&gt;138.924548254279&lt;/D&gt;&lt;D xsi:type="xsd:double"&gt;138.108162795331&lt;/D&gt;&lt;D xsi:type="xsd:double"&gt;137.198028755629&lt;/D&gt;&lt;D xsi:type="xsd:double"&gt;135.722242280572&lt;/D&gt;&lt;D xsi:type="xsd:double"&gt;135.009977067205&lt;/D&gt;&lt;D xsi:type="xsd:double"&gt;133.504423913061&lt;/D&gt;&lt;D xsi:type="xsd:double"&gt;132.261581829509&lt;/D&gt;&lt;D xsi:type="xsd:double"&gt;132.079625159083&lt;/D&gt;&lt;D xsi:type="xsd:double"&gt;131.815654709881&lt;/D&gt;&lt;D xsi:type="xsd:double"&gt;130.585989070418&lt;/D&gt;&lt;D xsi:type="xsd:double"&gt;129.5633454186&lt;/D&gt;&lt;D xsi:type="xsd:double"&gt;128.823168688913&lt;/D&gt;&lt;D xsi:type="xsd:double"&gt;127.668110096841&lt;/D&gt;&lt;D xsi:type="xsd:double"&gt;126.435808573856&lt;/D&gt;&lt;D xsi:type="xsd:double"&gt;125.889042121645&lt;/D&gt;&lt;D xsi:type="xsd:double"&gt;125.085724249168&lt;/D&gt;&lt;D xsi:type="xsd:double"&gt;124.298817453871&lt;/D&gt;&lt;D xsi:type="xsd:double"&gt;124.086619643283&lt;/D&gt;&lt;D xsi:type="xsd:double"&gt;123.666398313109&lt;/D&gt;&lt;D xsi:type="xsd:double"&gt;124.088589638812&lt;/D&gt;&lt;D xsi:type="xsd:double"&gt;126.652617736209&lt;/D&gt;&lt;D xsi:type="xsd:double"&gt;126.829485833154&lt;/D&gt;&lt;D xsi:type="xsd:double"&gt;127.084720781165&lt;/D&gt;&lt;D xsi:type="xsd:double"&gt;127.262085475733&lt;/D&gt;&lt;D xsi:type="xsd:double"&gt;127.598399300524&lt;/D&gt;&lt;D xsi:type="xsd:double"&gt;127.316333051301&lt;/D&gt;&lt;D xsi:type="xsd:double"&gt;127.757604867089&lt;/D&gt;&lt;D xsi:type="xsd:double"&gt;127.092970244947&lt;/D&gt;&lt;D xsi:type="xsd:double"&gt;125.966052183481&lt;/D&gt;&lt;D xsi:type="xsd:double"&gt;125.35445747486&lt;/D&gt;&lt;D xsi:type="xsd:double"&gt;125.092944091601&lt;/D&gt;&lt;D xsi:type="xsd:double"&gt;124.696854487837&lt;/D&gt;&lt;D xsi:type="xsd:double"&gt;128.983468792579&lt;/D&gt;&lt;D xsi:type="xsd:double"&gt;130.212365659076&lt;/D&gt;&lt;D xsi:type="xsd:double"&gt;130.189318773622&lt;/D&gt;&lt;D xsi:type="xsd:double"&gt;131.422213263374&lt;/D&gt;&lt;D xsi:type="xsd:double"&gt;130.724632472725&lt;/D&gt;&lt;/FQL&gt;&lt;FQL&gt;&lt;Q&gt;^FDS_ECON_SOURCE('ISMPRD@M')&lt;/Q&gt;&lt;R&gt;1&lt;/R&gt;&lt;C&gt;1&lt;/C&gt;&lt;D xsi:type="xsd:string"&gt;ISM - Institute for Supply Management&lt;/D&gt;&lt;/FQL&gt;&lt;FQL&gt;&lt;Q&gt;^PSETCAL('FIVEDAY');ECON_DATE(0, -20AY, W, 'YYYYMMDD')&lt;/Q&gt;&lt;R&gt;1044&lt;/R&gt;&lt;C&gt;1&lt;/C&gt;&lt;D xsi:type="xsd:string"&gt;20240816&lt;/D&gt;&lt;D xsi:type="xsd:string"&gt;20240809&lt;/D&gt;&lt;D xsi:type="xsd:string"&gt;20240802&lt;/D&gt;&lt;D xsi:type="xsd:string"&gt;20240726&lt;/D&gt;&lt;D xsi:type="xsd:string"&gt;20240719&lt;/D&gt;&lt;D xsi:type="xsd:string"&gt;20240712&lt;/D&gt;&lt;D xsi:type="xsd:string"&gt;20240705&lt;/D&gt;&lt;D xsi:type="xsd:string"&gt;20240628&lt;/D&gt;&lt;D xsi:type="xsd:string"&gt;20240621&lt;/D&gt;&lt;D xsi:type="xsd:string"&gt;20240614&lt;/D&gt;&lt;D xsi:type="xsd:string"&gt;20240607&lt;/D&gt;&lt;D xsi:type="xsd:string"&gt;20240531&lt;/D&gt;&lt;D xsi:type="xsd:string"&gt;20240524&lt;/D&gt;&lt;D xsi:type="xsd:string"&gt;20240517&lt;/D&gt;&lt;D xsi:type="xsd:string"&gt;20240510&lt;/D&gt;&lt;D xsi:type="xsd:string"&gt;20240503&lt;/D&gt;&lt;D xsi:type="xsd:string"&gt;20240426&lt;/D&gt;&lt;D xsi:type="xsd:string"&gt;20240419&lt;/D&gt;&lt;D xsi:type="xsd:string"&gt;20240412&lt;/D&gt;&lt;D xsi:type="xsd:string"&gt;20240405&lt;/D&gt;&lt;D xsi:type="xsd:string"&gt;20240329&lt;/D&gt;&lt;D xsi:type="xsd:string"&gt;20240322&lt;/D&gt;&lt;D xsi:type="xsd:string"&gt;20240315&lt;/D&gt;&lt;D xsi:type="xsd:string"&gt;20240308&lt;/D&gt;&lt;D xsi:type="xsd:string"&gt;20240301&lt;/D&gt;&lt;D xsi:type="xsd:string"&gt;20240223&lt;/D&gt;&lt;D xsi:type="xsd:string"&gt;20240216&lt;/D&gt;&lt;D xsi:type="xsd:string"&gt;20240209&lt;/D&gt;&lt;D xsi:type="xsd:string"&gt;20240202&lt;/D&gt;&lt;D xsi:type="xsd:string"&gt;20240126&lt;/D&gt;&lt;D xsi:type="xsd:string"&gt;20240119&lt;/D&gt;&lt;D xsi:type="xsd:string"&gt;20240112&lt;/D&gt;&lt;D xsi:type="xsd:string"&gt;20240105&lt;/D&gt;&lt;D xsi:type="xsd:string"&gt;20231229&lt;/D&gt;&lt;D xsi:type="xsd:string"&gt;20231222&lt;/D&gt;&lt;D xsi:type="xsd:string"&gt;20231215&lt;/D&gt;&lt;D xsi:type="xsd:string"&gt;20231208&lt;/D&gt;&lt;D xsi:type="xsd:string"&gt;20231201&lt;/D&gt;&lt;D xsi:type="xsd:string"&gt;20231124&lt;/D&gt;&lt;D xsi:type="xsd:string"&gt;20231117&lt;/D&gt;&lt;D xsi:type="xsd:string"&gt;20231110&lt;/D&gt;&lt;D xsi:type="xsd:string"&gt;20231103&lt;/D&gt;&lt;D xsi:type="xsd:string"&gt;20231027&lt;/D&gt;&lt;D xsi:type="xsd:string"&gt;20231020&lt;/D&gt;&lt;D xsi:type="xsd:string"&gt;20231013&lt;/D&gt;&lt;D xsi:type="xsd:string"&gt;20231006&lt;/D&gt;&lt;D xsi:type="xsd:string"&gt;20230929&lt;/D&gt;&lt;D xsi:type="xsd:string"&gt;20230922&lt;/D&gt;&lt;D xsi:type="xsd:string"&gt;20230915&lt;/D&gt;&lt;D xsi:type="xsd:string"&gt;20230908&lt;/D&gt;&lt;D xsi:type="xsd:string"&gt;20230901&lt;/D&gt;&lt;D xsi:type="xsd:string"&gt;20230825&lt;/D&gt;&lt;D xsi:type="xsd:string"&gt;20230818&lt;/D&gt;&lt;D xsi:type="xsd:string"&gt;20230811&lt;/D&gt;&lt;D xsi:type="xsd:string"&gt;20230804&lt;/D&gt;&lt;D xsi:type="xsd:string"&gt;20230728&lt;/D&gt;&lt;D xsi:type="xsd:string"&gt;20230721&lt;/D&gt;&lt;D xsi:type="xsd:string"&gt;20230714&lt;/D&gt;&lt;D xsi:type="xsd:string"&gt;20230707&lt;/D&gt;&lt;D xsi:type="xsd:string"&gt;20230630&lt;/D&gt;&lt;D xsi:type="xsd:string"&gt;20230623&lt;/D&gt;&lt;D xsi:type="xsd:string"&gt;20230616&lt;/D&gt;&lt;D xsi:type="xsd:string"&gt;20230609&lt;/D&gt;&lt;D xsi:type="xsd:string"&gt;20230602&lt;/D&gt;&lt;D xsi:type="xsd:string"&gt;20230526&lt;/D&gt;&lt;D xsi:type="xsd:string"&gt;20230519&lt;/D&gt;&lt;D xsi:type="xsd:string"&gt;20230512&lt;/D&gt;&lt;D xsi:type="xsd:string"&gt;20230505&lt;/D&gt;&lt;D xsi:type="xsd:string"&gt;20230428&lt;/D&gt;&lt;D xsi:type="xsd:string"&gt;20230421&lt;/D&gt;&lt;D xsi:type="xsd:string"&gt;20230414&lt;/D&gt;&lt;D xsi:type="xsd:string"&gt;20230407&lt;/D&gt;&lt;D xsi:type="xsd:string"&gt;20230331&lt;/D&gt;&lt;D xsi:type="xsd:string"&gt;20230324&lt;/D&gt;&lt;D xsi:type="xsd:string"&gt;20230317&lt;/D&gt;&lt;D xsi:type="xsd:string"&gt;20230310&lt;/D&gt;&lt;D xsi:type="xsd:string"&gt;20230303&lt;/D&gt;&lt;D xsi:type="xsd:string"&gt;20230224&lt;/D&gt;&lt;D xsi:type="xsd:string"&gt;20230217&lt;/D&gt;&lt;D xsi:type="xsd:string"&gt;20230210&lt;/D&gt;&lt;D xsi:type="xsd:string"&gt;20230203&lt;/D&gt;&lt;D xsi:type="xsd:string"&gt;20230127&lt;/D&gt;&lt;D xsi:type="xsd:string"&gt;20230120&lt;/D&gt;&lt;D xsi:type="xsd:string"&gt;20230113&lt;/D&gt;&lt;D xsi:type="xsd:string"&gt;20230106&lt;/D&gt;&lt;D xsi:type="xsd:string"&gt;20221230&lt;/D&gt;&lt;D xsi:type="xsd:string"&gt;20221223&lt;/D&gt;&lt;D xsi:type="xsd:string"&gt;20221216&lt;/D&gt;&lt;D xsi:type="xsd:string"&gt;20221209&lt;/D&gt;&lt;D xsi:type="xsd:string"&gt;20221202&lt;/D&gt;&lt;D xsi:type="xsd:string"&gt;20221125&lt;/D&gt;&lt;D xsi:type="xsd:string"&gt;20221118&lt;/D&gt;&lt;D xsi:type="xsd:string"&gt;20221111&lt;/D&gt;&lt;D xsi:type="xsd:string"&gt;20221104&lt;/D&gt;&lt;D xsi:type="xsd:string"&gt;20221028&lt;/D&gt;&lt;D xsi:type="xsd:string"&gt;20221021&lt;/D&gt;&lt;D xsi:type="xsd:string"&gt;20221014&lt;/D&gt;&lt;D xsi:type="xsd:string"&gt;20221007&lt;/D&gt;&lt;D xsi:type="xsd:string"&gt;20220930&lt;/D&gt;&lt;D xsi:type="xsd:string"&gt;20220923&lt;/D&gt;&lt;D xsi:type="xsd:string"&gt;20220916&lt;/D&gt;&lt;D xsi:type="xsd:string"&gt;20220909&lt;/D&gt;&lt;D xsi:type="xsd:string"&gt;20220902&lt;/D&gt;&lt;D xsi:type="xsd:string"&gt;20220826&lt;/D&gt;&lt;D xsi:type="xsd:string"&gt;20220819&lt;/D&gt;&lt;D xsi:type="xsd:string"&gt;20220812&lt;/D&gt;&lt;D xsi:type="xsd:string"&gt;20220805&lt;/D&gt;&lt;D xsi:type="xsd:string"&gt;20220729&lt;/D&gt;&lt;D xsi:type="xsd:string"&gt;20220722&lt;/D&gt;&lt;D xsi:type="xsd:string"&gt;20220715&lt;/D&gt;&lt;D xsi:type="xsd:string"&gt;20220708&lt;/D&gt;&lt;D xsi:type="xsd:string"&gt;20220701&lt;/D&gt;&lt;D xsi:type="xsd:string"&gt;20220624&lt;/D&gt;&lt;D xsi:type="xsd:string"&gt;20220617&lt;/D&gt;&lt;D xsi:type="xsd:string"&gt;20220610&lt;/D&gt;&lt;D xsi:type="xsd:string"&gt;20220603&lt;/D&gt;&lt;D xsi:type="xsd:string"&gt;20220527&lt;/D&gt;&lt;D xsi:type="xsd:string"&gt;20220520&lt;/D&gt;&lt;D xsi:type="xsd:string"&gt;20220513&lt;/D&gt;&lt;D xsi:type="xsd:string"&gt;20220506&lt;/D&gt;&lt;D xsi:type="xsd:string"&gt;20220429&lt;/D&gt;&lt;D xsi:type="xsd:string"&gt;20220422&lt;/D&gt;&lt;D xsi:type="xsd:string"&gt;20220415&lt;/D&gt;&lt;D xsi:type="xsd:string"&gt;20220408&lt;/D&gt;&lt;D xsi:type="xsd:string"&gt;20220401&lt;/D&gt;&lt;D xsi:type="xsd:string"&gt;20220325&lt;/D&gt;&lt;D xsi:type="xsd:string"&gt;20220318&lt;/D&gt;&lt;D xsi:type="xsd:string"&gt;20220311&lt;/D&gt;&lt;D xsi:type="xsd:string"&gt;20220304&lt;/D&gt;&lt;D xsi:type="xsd:string"&gt;20220225&lt;/D&gt;&lt;D xsi:type="xsd:string"&gt;20220218&lt;/D&gt;&lt;D xsi:type="xsd:string"&gt;20220211&lt;/D&gt;&lt;D xsi:type="xsd:string"&gt;20220204&lt;/D&gt;&lt;D xsi:type="xsd:string"&gt;20220128&lt;/D&gt;&lt;D xsi:type="xsd:string"&gt;20220121&lt;/D&gt;&lt;D xsi:type="xsd:string"&gt;20220114&lt;/D&gt;&lt;D xsi:type="xsd:string"&gt;20220107&lt;/D&gt;&lt;D xsi:type="xsd:string"&gt;20211231&lt;/D&gt;&lt;D xsi:type="xsd:string"&gt;20211224&lt;/D&gt;&lt;D xsi:type="xsd:string"&gt;20211217&lt;/D&gt;&lt;D xsi:type="xsd:string"&gt;20211210&lt;/D&gt;&lt;D xsi:type="xsd:string"&gt;20211203&lt;/D&gt;&lt;D xsi:type="xsd:string"&gt;20211126&lt;/D&gt;&lt;D xsi:type="xsd:string"&gt;20211119&lt;/D&gt;&lt;D xsi:type="xsd:string"&gt;20211112&lt;/D&gt;&lt;D xsi:type="xsd:string"&gt;20211105&lt;/D&gt;&lt;D xsi:type="xsd:string"&gt;20211029&lt;/D&gt;&lt;D xsi:type="xsd:string"&gt;20211022&lt;/D&gt;&lt;D xsi:type="xsd:string"&gt;20211015&lt;/D&gt;&lt;D xsi:type="xsd:string"&gt;20211008&lt;/D&gt;&lt;D xsi:type="xsd:string"&gt;20211001&lt;/D&gt;&lt;D xsi:type="xsd:string"&gt;20210924&lt;/D&gt;&lt;D xsi:type="xsd:string"&gt;20210917&lt;/D&gt;&lt;D xsi:type="xsd:string"&gt;20210910&lt;/D&gt;&lt;D xsi:type="xsd:string"&gt;20210903&lt;/D&gt;&lt;D xsi:type="xsd:string"&gt;20210827&lt;/D&gt;&lt;D xsi:type="xsd:string"&gt;20210820&lt;/D&gt;&lt;D xsi:type="xsd:string"&gt;20210813&lt;/D&gt;&lt;D xsi:type="xsd:string"&gt;20210806&lt;/D&gt;&lt;D xsi:type="xsd:string"&gt;20210730&lt;/D&gt;&lt;D xsi:type="xsd:string"&gt;20210723&lt;/D&gt;&lt;D xsi:type="xsd:string"&gt;20210716&lt;/D&gt;&lt;D xsi:type="xsd:string"&gt;20210709&lt;/D&gt;&lt;D xsi:type="xsd:string"&gt;20210702&lt;/D&gt;&lt;D xsi:type="xsd:string"&gt;20210625&lt;/D&gt;&lt;D xsi:type="xsd:string"&gt;20210618&lt;/D&gt;&lt;D xsi:type="xsd:string"&gt;20210611&lt;/D&gt;&lt;D xsi:type="xsd:string"&gt;20210604&lt;/D&gt;&lt;D xsi:type="xsd:string"&gt;20210528&lt;/D&gt;&lt;D xsi:type="xsd:string"&gt;20210521&lt;/D&gt;&lt;D xsi:type="xsd:string"&gt;20210514&lt;/D&gt;&lt;D xsi:type="xsd:string"&gt;20210507&lt;/D&gt;&lt;D xsi:type="xsd:string"&gt;20210430&lt;/D&gt;&lt;D xsi:type="xsd:string"&gt;20210423&lt;/D&gt;&lt;D xsi:type="xsd:string"&gt;20210416&lt;/D&gt;&lt;D xsi:type="xsd:string"&gt;20210409&lt;/D&gt;&lt;D xsi:type="xsd:string"&gt;20210402&lt;/D&gt;&lt;D xsi:type="xsd:string"&gt;20210326&lt;/D&gt;&lt;D xsi:type="xsd:string"&gt;20210319&lt;/D&gt;&lt;D xsi:type="xsd:string"&gt;20210312&lt;/D&gt;&lt;D xsi:type="xsd:string"&gt;20210305&lt;/D&gt;&lt;D xsi:type="xsd:string"&gt;20210226&lt;/D&gt;&lt;D xsi:type="xsd:string"&gt;20210219&lt;/D&gt;&lt;D xsi:type="xsd:string"&gt;20210212&lt;/D&gt;&lt;D xsi:type="xsd:string"&gt;20210205&lt;/D&gt;&lt;D xsi:type="xsd:string"&gt;20210129&lt;/D&gt;&lt;D xsi:type="xsd:string"&gt;20210122&lt;/D&gt;&lt;D xsi:type="xsd:string"&gt;20210115&lt;/D&gt;&lt;D xsi:type="xsd:string"&gt;20210108&lt;/D&gt;&lt;D xsi:type="xsd:string"&gt;20210101&lt;/D&gt;&lt;D xsi:type="xsd:string"&gt;20201225&lt;/D&gt;&lt;D xsi:type="xsd:string"&gt;20201218&lt;/D&gt;&lt;D xsi:type="xsd:string"&gt;20201211&lt;/D&gt;&lt;D xsi:type="xsd:string"&gt;20201204&lt;/D&gt;&lt;D xsi:type="xsd:string"&gt;20201127&lt;/D&gt;&lt;D xsi:type="xsd:string"&gt;20201120&lt;/D&gt;&lt;D xsi:type="xsd:string"&gt;20201113&lt;/D&gt;&lt;D xsi:type="xsd:string"&gt;20201106&lt;/D&gt;&lt;D xsi:type="xsd:string"&gt;20201030&lt;/D&gt;&lt;D xsi:type="xsd:string"&gt;20201023&lt;/D&gt;&lt;D xsi:type="xsd:string"&gt;20201016&lt;/D&gt;&lt;D xsi:type="xsd:string"&gt;20201009&lt;/D&gt;&lt;D xsi:type="xsd:string"&gt;20201002&lt;/D&gt;&lt;D xsi:type="xsd:string"&gt;20200925&lt;/D&gt;&lt;D xsi:type="xsd:string"&gt;20200918&lt;/D&gt;&lt;D xsi:type="xsd:string"&gt;20200911&lt;/D&gt;&lt;D xsi:type="xsd:string"&gt;20200904&lt;/D&gt;&lt;D xsi:type="xsd:string"&gt;20200828&lt;/D&gt;&lt;D xsi:type="xsd:string"&gt;20200821&lt;/D&gt;&lt;D xsi:type="xsd:string"&gt;20200814&lt;/D&gt;&lt;D xsi:type="xsd:string"&gt;20200807&lt;/D&gt;&lt;D xsi:type="xsd:string"&gt;20200731&lt;/D&gt;&lt;D xsi:type="xsd:string"&gt;20200724&lt;/D&gt;&lt;D xsi:type="xsd:string"&gt;20200717&lt;/D&gt;&lt;D xsi:type="xsd:string"&gt;20200710&lt;/D&gt;&lt;D xsi:type="xsd:string"&gt;20200703&lt;/D&gt;&lt;D xsi:type="xsd:string"&gt;20200626&lt;/D&gt;&lt;D xsi:type="xsd:string"&gt;20200619&lt;/D&gt;&lt;D xsi:type="xsd:string"&gt;20200612&lt;/D&gt;&lt;D xsi:type="xsd:string"&gt;20200605&lt;/D&gt;&lt;D xsi:type="xsd:string"&gt;20200529&lt;/D&gt;&lt;D xsi:type="xsd:string"&gt;20200522&lt;/D&gt;&lt;D xsi:type="xsd:string"&gt;20200515&lt;/D&gt;&lt;D xsi:type="xsd:string"&gt;20200508&lt;/D&gt;&lt;D xsi:type="xsd:string"&gt;20200501&lt;/D&gt;&lt;D xsi:type="xsd:string"&gt;20200424&lt;/D&gt;&lt;D xsi:type="xsd:string"&gt;20200417&lt;/D&gt;&lt;D xsi:type="xsd:string"&gt;20200410&lt;/D&gt;&lt;D xsi:type="xsd:string"&gt;20200403&lt;/D&gt;&lt;D xsi:type="xsd:string"&gt;20200327&lt;/D&gt;&lt;D xsi:type="xsd:string"&gt;20200320&lt;/D&gt;&lt;D xsi:type="xsd:string"&gt;20200313&lt;/D&gt;&lt;D xsi:type="xsd:string"&gt;20200306&lt;/D&gt;&lt;D xsi:type="xsd:string"&gt;20200228&lt;/D&gt;&lt;D xsi:type="xsd:string"&gt;20200221&lt;/D&gt;&lt;D xsi:type="xsd:string"&gt;20200214&lt;/D&gt;&lt;D xsi:type="xsd:string"&gt;20200207&lt;/D&gt;&lt;D xsi:type="xsd:string"&gt;20200131&lt;/D&gt;&lt;D xsi:type="xsd:string"&gt;20200124&lt;/D&gt;&lt;D xsi:type="xsd:string"&gt;20200117&lt;/D&gt;&lt;D xsi:type="xsd:string"&gt;20200110&lt;/D&gt;&lt;D xsi:type="xsd:string"&gt;20200103&lt;/D&gt;&lt;D xsi:type="xsd:string"&gt;20191227&lt;/D&gt;&lt;D xsi:type="xsd:string"&gt;20191220&lt;/D&gt;&lt;D xsi:type="xsd:string"&gt;20191213&lt;/D&gt;&lt;D xsi:type="xsd:string"&gt;20191206&lt;/D&gt;&lt;D xsi:type="xsd:string"&gt;20191129&lt;/D&gt;&lt;D xsi:type="xsd:string"&gt;20191122&lt;/D&gt;&lt;D xsi:type="xsd:string"&gt;20191115&lt;/D&gt;&lt;D xsi:type="xsd:string"&gt;20191108&lt;/D&gt;&lt;D xsi:type="xsd:string"&gt;20191101&lt;/D&gt;&lt;D xsi:type="xsd:string"&gt;20191025&lt;/D&gt;&lt;D xsi:type="xsd:string"&gt;20191018&lt;/D&gt;&lt;D xsi:type="xsd:string"&gt;20191011&lt;/D&gt;&lt;D xsi:type="xsd:string"&gt;20191004&lt;/D&gt;&lt;D xsi:type="xsd:string"&gt;20190927&lt;/D&gt;&lt;D xsi:type="xsd:string"&gt;20190920&lt;/D&gt;&lt;D xsi:type="xsd:string"&gt;20190913&lt;/D&gt;&lt;D xsi:type="xsd:string"&gt;20190906&lt;/D&gt;&lt;D xsi:type="xsd:string"&gt;20190830&lt;/D&gt;&lt;D xsi:type="xsd:string"&gt;20190823&lt;/D&gt;&lt;D xsi:type="xsd:string"&gt;20190816&lt;/D&gt;&lt;D xsi:type="xsd:string"&gt;20190809&lt;/D&gt;&lt;D xsi:type="xsd:string"&gt;20190802&lt;/D&gt;&lt;D xsi:type="xsd:string"&gt;20190726&lt;/D&gt;&lt;D xsi:type="xsd:string"&gt;20190719&lt;/D&gt;&lt;D xsi:type="xsd:string"&gt;20190712&lt;/D&gt;&lt;D xsi:type="xsd:string"&gt;20190705&lt;/D&gt;&lt;D xsi:type="xsd:string"&gt;20190628&lt;/D&gt;&lt;D xsi:type="xsd:string"&gt;20190621&lt;/D&gt;&lt;D xsi:type="xsd:string"&gt;20190614&lt;/D&gt;&lt;D xsi:type="xsd:string"&gt;20190607&lt;/D&gt;&lt;D xsi:type="xsd:string"&gt;20190531&lt;/D&gt;&lt;D xsi:type="xsd:string"&gt;20190524&lt;/D&gt;&lt;D xsi:type="xsd:string"&gt;20190517&lt;/D&gt;&lt;D xsi:type="xsd:string"&gt;20190510&lt;/D&gt;&lt;D xsi:type="xsd:string"&gt;20190503&lt;/D&gt;&lt;D xsi:type="xsd:string"&gt;20190426&lt;/D&gt;&lt;D xsi:type="xsd:string"&gt;20190419&lt;/D&gt;&lt;D xsi:type="xsd:string"&gt;20190412&lt;/D&gt;&lt;D xsi:type="xsd:string"&gt;20190405&lt;/D&gt;&lt;D xsi:type="xsd:string"&gt;20190329&lt;/D&gt;&lt;D xsi:type="xsd:string"&gt;20190322&lt;/D&gt;&lt;D xsi:type="xsd:string"&gt;20190315&lt;/D&gt;&lt;D xsi:type="xsd:string"&gt;20190308&lt;/D&gt;&lt;D xsi:type="xsd:string"&gt;20190301&lt;/D&gt;&lt;D xsi:type="xsd:string"&gt;20190222&lt;/D&gt;&lt;D xsi:type="xsd:string"&gt;20190215&lt;/D&gt;&lt;D xsi:type="xsd:string"&gt;20190208&lt;/D&gt;&lt;D xsi:type="xsd:string"&gt;20190201&lt;/D&gt;&lt;D xsi:type="xsd:string"&gt;20190125&lt;/D&gt;&lt;D xsi:type="xsd:string"&gt;20190118&lt;/D&gt;&lt;D xsi:type="xsd:string"&gt;20190111&lt;/D&gt;&lt;D xsi:type="xsd:string"&gt;20190104&lt;/D&gt;&lt;D xsi:type="xsd:string"&gt;20181228&lt;/D&gt;&lt;D xsi:type="xsd:string"&gt;20181221&lt;/D&gt;&lt;D xsi:type="xsd:string"&gt;20181214&lt;/D&gt;&lt;D xsi:type="xsd:string"&gt;20181207&lt;/D&gt;&lt;D xsi:type="xsd:string"&gt;20181130&lt;/D&gt;&lt;D xsi:type="xsd:string"&gt;20181123&lt;/D&gt;&lt;D xsi:type="xsd:string"&gt;20181116&lt;/D&gt;&lt;D xsi:type="xsd:string"&gt;20181109&lt;/D&gt;&lt;D xsi:type="xsd:string"&gt;20181102&lt;/D&gt;&lt;D xsi:type="xsd:string"&gt;20181026&lt;/D&gt;&lt;D xsi:type="xsd:string"&gt;20181019&lt;/D&gt;&lt;D xsi:type="xsd:string"&gt;20181012&lt;/D&gt;&lt;D xsi:type="xsd:string"&gt;20181005&lt;/D&gt;&lt;D xsi:type="xsd:string"&gt;20180928&lt;/D&gt;&lt;D xsi:type="xsd:string"&gt;20180921&lt;/D&gt;&lt;D xsi:type="xsd:string"&gt;20180914&lt;/D&gt;&lt;D xsi:type="xsd:string"&gt;20180907&lt;/D&gt;&lt;D xsi:type="xsd:string"&gt;20180831&lt;/D&gt;&lt;D xsi:type="xsd:string"&gt;20180824&lt;/D&gt;&lt;D xsi:type="xsd:string"&gt;20180817&lt;/D&gt;&lt;D xsi:type="xsd:string"&gt;20180810&lt;/D&gt;&lt;D xsi:type="xsd:string"&gt;20180803&lt;/D&gt;&lt;D xsi:type="xsd:string"&gt;20180727&lt;/D&gt;&lt;D xsi:type="xsd:string"&gt;20180720&lt;/D&gt;&lt;D xsi:type="xsd:string"&gt;20180713&lt;/D&gt;&lt;D xsi:type="xsd:string"&gt;20180706&lt;/D&gt;&lt;D xsi:type="xsd:string"&gt;20180629&lt;/D&gt;&lt;D xsi:type="xsd:string"&gt;20180622&lt;/D&gt;&lt;D xsi:type="xsd:string"&gt;20180615&lt;/D&gt;&lt;D xsi:type="xsd:string"&gt;20180608&lt;/D&gt;&lt;D xsi:type="xsd:string"&gt;20180601&lt;/D&gt;&lt;D xsi:type="xsd:string"&gt;20180525&lt;/D&gt;&lt;D xsi:type="xsd:string"&gt;20180518&lt;/D&gt;&lt;D xsi:type="xsd:string"&gt;20180511&lt;/D&gt;&lt;D xsi:type="xsd:string"&gt;20180504&lt;/D&gt;&lt;D xsi:type="xsd:string"&gt;20180427&lt;/D&gt;&lt;D xsi:type="xsd:string"&gt;20180420&lt;/D&gt;&lt;D xsi:type="xsd:string"&gt;20180413&lt;/D&gt;&lt;D xsi:type="xsd:string"&gt;20180406&lt;/D&gt;&lt;D xsi:type="xsd:string"&gt;20180330&lt;/D&gt;&lt;D xsi:type="xsd:string"&gt;20180323&lt;/D&gt;&lt;D xsi:type="xsd:string"&gt;20180316&lt;/D&gt;&lt;D xsi:type="xsd:string"&gt;20180309&lt;/D&gt;&lt;D xsi:type="xsd:string"&gt;20180302&lt;/D&gt;&lt;D xsi:type="xsd:string"&gt;20180223&lt;/D&gt;&lt;D xsi:type="xsd:string"&gt;20180216&lt;/D&gt;&lt;D xsi:type="xsd:string"&gt;20180209&lt;/D&gt;&lt;D xsi:type="xsd:string"&gt;20180202&lt;/D&gt;&lt;D xsi:type="xsd:string"&gt;20180126&lt;/D&gt;&lt;D xsi:type="xsd:string"&gt;20180119&lt;/D&gt;&lt;D xsi:type="xsd:string"&gt;20180112&lt;/D&gt;&lt;D xsi:type="xsd:string"&gt;20180105&lt;/D&gt;&lt;D xsi:type="xsd:string"&gt;20171229&lt;/D&gt;&lt;D xsi:type="xsd:string"&gt;20171222&lt;/D&gt;&lt;D xsi:type="xsd:string"&gt;20171215&lt;/D&gt;&lt;D xsi:type="xsd:string"&gt;20171208&lt;/D&gt;&lt;D xsi:type="xsd:string"&gt;20171201&lt;/D&gt;&lt;D xsi:type="xsd:string"&gt;20171124&lt;/D&gt;&lt;D xsi:type="xsd:string"&gt;20171117&lt;/D&gt;&lt;D xsi:type="xsd:string"&gt;20171110&lt;/D&gt;&lt;D xsi:type="xsd:string"&gt;20171103&lt;/D&gt;&lt;D xsi:type="xsd:string"&gt;20171027&lt;/D&gt;&lt;D xsi:type="xsd:string"&gt;20171020&lt;/D&gt;&lt;D xsi:type="xsd:string"&gt;20171013&lt;/D&gt;&lt;D xsi:type="xsd:string"&gt;20171006&lt;/D&gt;&lt;D xsi:type="xsd:string"&gt;20170929&lt;/D&gt;&lt;D xsi:type="xsd:string"&gt;20170922&lt;/D&gt;&lt;D xsi:type="xsd:string"&gt;20170915&lt;/D&gt;&lt;D xsi:type="xsd:string"&gt;20170908&lt;/D&gt;&lt;D xsi:type="xsd:string"&gt;20170901&lt;/D&gt;&lt;D xsi:type="xsd:string"&gt;20170825&lt;/D&gt;&lt;D xsi:type="xsd:string"&gt;20170818&lt;/D&gt;&lt;D xsi:type="xsd:string"&gt;20170811&lt;/D&gt;&lt;D xsi:type="xsd:string"&gt;20170804&lt;/D&gt;&lt;D xsi:type="xsd:string"&gt;20170728&lt;/D&gt;&lt;D xsi:type="xsd:string"&gt;20170721&lt;/D&gt;&lt;D xsi:type="xsd:string"&gt;20170714&lt;/D&gt;&lt;D xsi:type="xsd:string"&gt;20170707&lt;/D&gt;&lt;D xsi:type="xsd:string"&gt;20170630&lt;/D&gt;&lt;D xsi:type="xsd:string"&gt;20170623&lt;/D&gt;&lt;D xsi:type="xsd:string"&gt;20170616&lt;/D&gt;&lt;D xsi:type="xsd:string"&gt;20170609&lt;/D&gt;&lt;D xsi:type="xsd:string"&gt;20170602&lt;/D&gt;&lt;D xsi:type="xsd:string"&gt;20170526&lt;/D&gt;&lt;D xsi:type="xsd:string"&gt;20170519&lt;/D&gt;&lt;D xsi:type="xsd:string"&gt;20170512&lt;/D&gt;&lt;D xsi:type="xsd:string"&gt;20170505&lt;/D&gt;&lt;D xsi:type="xsd:string"&gt;20170428&lt;/D&gt;&lt;D xsi:type="xsd:string"&gt;20170421&lt;/D&gt;&lt;D xsi:type="xsd:string"&gt;20170414&lt;/D&gt;&lt;D xsi:type="xsd:string"&gt;20170407&lt;/D&gt;&lt;D xsi:type="xsd:string"&gt;20170331&lt;/D&gt;&lt;D xsi:type="xsd:string"&gt;20170324&lt;/D&gt;&lt;D xsi:type="xsd:string"&gt;20170317&lt;/D&gt;&lt;D xsi:type="xsd:string"&gt;20170310&lt;/D&gt;&lt;D xsi:type="xsd:string"&gt;20170303&lt;/D&gt;&lt;D xsi:type="xsd:string"&gt;20170224&lt;/D&gt;&lt;D xsi:type="xsd:string"&gt;20170217&lt;/D&gt;&lt;D xsi:type="xsd:string"&gt;20170210&lt;/D&gt;&lt;D xsi:type="xsd:string"&gt;20170203&lt;/D&gt;&lt;D xsi:type="xsd:string"&gt;20170127&lt;/D&gt;&lt;D xsi:type="xsd:string"&gt;20170120&lt;/D&gt;&lt;D xsi:type="xsd:string"&gt;20170113&lt;/D&gt;&lt;D xsi:type="xsd:string"&gt;20170106&lt;/D&gt;&lt;D xsi:type="xsd:string"&gt;20161230&lt;/D&gt;&lt;D xsi:type="xsd:string"&gt;20161223&lt;/D&gt;&lt;D xsi:type="xsd:string"&gt;20161216&lt;/D&gt;&lt;D xsi:type="xsd:string"&gt;20161209&lt;/D&gt;&lt;D xsi:type="xsd:string"&gt;20161202&lt;/D&gt;&lt;D xsi:type="xsd:string"&gt;20161125&lt;/D&gt;&lt;D xsi:type="xsd:string"&gt;20161118&lt;/D&gt;&lt;D xsi:type="xsd:string"&gt;20161111&lt;/D&gt;&lt;D xsi:type="xsd:string"&gt;20161104&lt;/D&gt;&lt;D xsi:type="xsd:string"&gt;20161028&lt;/D&gt;&lt;D xsi:type="xsd:string"&gt;20161021&lt;/D&gt;&lt;D xsi:type="xsd:string"&gt;20161014&lt;/D&gt;&lt;D xsi:type="xsd:string"&gt;20161007&lt;/D&gt;&lt;D xsi:type="xsd:string"&gt;20160930&lt;/D&gt;&lt;D xsi:type="xsd:string"&gt;20160923&lt;/D&gt;&lt;D xsi:type="xsd:string"&gt;20160916&lt;/D&gt;&lt;D xsi:type="xsd:string"&gt;20160909&lt;/D&gt;&lt;D xsi:type="xsd:string"&gt;20160902&lt;/D&gt;&lt;D xsi:type="xsd:string"&gt;20160826&lt;/D&gt;&lt;D xsi:type="xsd:string"&gt;20160819&lt;/D&gt;&lt;D xsi:type="xsd:string"&gt;20160812&lt;/D&gt;&lt;D xsi:type="xsd:string"&gt;20160805&lt;/D&gt;&lt;D xsi:type="xsd:string"&gt;20160729&lt;/D&gt;&lt;D xsi:type="xsd:string"&gt;20160722&lt;/D&gt;&lt;D xsi:type="xsd:string"&gt;20160715&lt;/D&gt;&lt;D xsi:type="xsd:string"&gt;20160708&lt;/D&gt;&lt;D xsi:type="xsd:string"&gt;20160701&lt;/D&gt;&lt;D xsi:type="xsd:string"&gt;20160624&lt;/D&gt;&lt;D xsi:type="xsd:string"&gt;20160617&lt;/D&gt;&lt;D xsi:type="xsd:string"&gt;20160610&lt;/D&gt;&lt;D xsi:type="xsd:string"&gt;20160603&lt;/D&gt;&lt;D xsi:type="xsd:string"&gt;20160527&lt;/D&gt;&lt;D xsi:type="xsd:string"&gt;20160520&lt;/D&gt;&lt;D xsi:type="xsd:string"&gt;20160513&lt;/D&gt;&lt;D xsi:type="xsd:string"&gt;20160506&lt;/D&gt;&lt;D xsi:type="xsd:string"&gt;20160429&lt;/D&gt;&lt;D xsi:type="xsd:string"&gt;20160422&lt;/D&gt;&lt;D xsi:type="xsd:string"&gt;20160415&lt;/D&gt;&lt;D xsi:type="xsd:string"&gt;20160408&lt;/D&gt;&lt;D xsi:type="xsd:string"&gt;20160401&lt;/D&gt;&lt;D xsi:type="xsd:string"&gt;20160325&lt;/D&gt;&lt;D xsi:type="xsd:string"&gt;20160318&lt;/D&gt;&lt;D xsi:type="xsd:string"&gt;20160311&lt;/D&gt;&lt;D xsi:type="xsd:string"&gt;20160304&lt;/D&gt;&lt;D xsi:type="xsd:string"&gt;20160226&lt;/D&gt;&lt;D xsi:type="xsd:string"&gt;20160219&lt;/D&gt;&lt;D xsi:type="xsd:string"&gt;20160212&lt;/D&gt;&lt;D xsi:type="xsd:string"&gt;20160205&lt;/D&gt;&lt;D xsi:type="xsd:string"&gt;20160129&lt;/D&gt;&lt;D xsi:type="xsd:string"&gt;20160122&lt;/D&gt;&lt;D xsi:type="xsd:string"&gt;20160115&lt;/D&gt;&lt;D xsi:type="xsd:string"&gt;20160108&lt;/D&gt;&lt;D xsi:type="xsd:string"&gt;20160101&lt;/D&gt;&lt;D xsi:type="xsd:string"&gt;20151225&lt;/D&gt;&lt;D xsi:type="xsd:string"&gt;20151218&lt;/D&gt;&lt;D xsi:type="xsd:string"&gt;20151211&lt;/D&gt;&lt;D xsi:type="xsd:string"&gt;20151204&lt;/D&gt;&lt;D xsi:type="xsd:string"&gt;20151127&lt;/D&gt;&lt;D xsi:type="xsd:string"&gt;20151120&lt;/D&gt;&lt;D xsi:type="xsd:string"&gt;20151113&lt;/D&gt;&lt;D xsi:type="xsd:string"&gt;20151106&lt;/D&gt;&lt;D xsi:type="xsd:string"&gt;20151030&lt;/D&gt;&lt;D xsi:type="xsd:string"&gt;20151023&lt;/D&gt;&lt;D xsi:type="xsd:string"&gt;20151016&lt;/D&gt;&lt;D xsi:type="xsd:string"&gt;20151009&lt;/D&gt;&lt;D xsi:type="xsd:string"&gt;20151002&lt;/D&gt;&lt;D xsi:type="xsd:string"&gt;20150925&lt;/D&gt;&lt;D xsi:type="xsd:string"&gt;20150918&lt;/D&gt;&lt;D xsi:type="xsd:string"&gt;20150911&lt;/D&gt;&lt;D xsi:type="xsd:string"&gt;20150904&lt;/D&gt;&lt;D xsi:type="xsd:string"&gt;20150828&lt;/D&gt;&lt;D xsi:type="xsd:string"&gt;20150821&lt;/D&gt;&lt;D xsi:type="xsd:string"&gt;20150814&lt;/D&gt;&lt;D xsi:type="xsd:string"&gt;20150807&lt;/D&gt;&lt;D xsi:type="xsd:string"&gt;20150731&lt;/D&gt;&lt;D xsi:type="xsd:string"&gt;20150724&lt;/D&gt;&lt;D xsi:type="xsd:string"&gt;20150717&lt;/D&gt;&lt;D xsi:type="xsd:string"&gt;20150710&lt;/D&gt;&lt;D xsi:type="xsd:string"&gt;20150703&lt;/D&gt;&lt;D xsi:type="xsd:string"&gt;20150626&lt;/D&gt;&lt;D xsi:type="xsd:string"&gt;20150619&lt;/D&gt;&lt;D xsi:type="xsd:string"&gt;20150612&lt;/D&gt;&lt;D xsi:type="xsd:string"&gt;20150605&lt;/D&gt;&lt;D xsi:type="xsd:string"&gt;20150529&lt;/D&gt;&lt;D xsi:type="xsd:string"&gt;20150522&lt;/D&gt;&lt;D xsi:type="xsd:string"&gt;20150515&lt;/D&gt;&lt;D xsi:type="xsd:string"&gt;20150508&lt;/D&gt;&lt;D xsi:type="xsd:string"&gt;20150501&lt;/D&gt;&lt;D xsi:type="xsd:string"&gt;20150424&lt;/D&gt;&lt;D xsi:type="xsd:string"&gt;20150417&lt;/D&gt;&lt;D xsi:type="xsd:string"&gt;20150410&lt;/D&gt;&lt;D xsi:type="xsd:string"&gt;20150403&lt;/D&gt;&lt;D xsi:type="xsd:string"&gt;20150327&lt;/D&gt;&lt;D xsi:type="xsd:string"&gt;20150320&lt;/D&gt;&lt;D xsi:type="xsd:string"&gt;20150313&lt;/D&gt;&lt;D xsi:type="xsd:string"&gt;20150306&lt;/D&gt;&lt;D xsi:type="xsd:string"&gt;20150227&lt;/D&gt;&lt;D xsi:type="xsd:string"&gt;20150220&lt;/D&gt;&lt;D xsi:type="xsd:string"&gt;20150213&lt;/D&gt;&lt;D xsi:type="xsd:string"&gt;20150206&lt;/D&gt;&lt;D xsi:type="xsd:string"&gt;20150130&lt;/D&gt;&lt;D xsi:type="xsd:string"&gt;20150123&lt;/D&gt;&lt;D xsi:type="xsd:string"&gt;20150116&lt;/D&gt;&lt;D xsi:type="xsd:string"&gt;20150109&lt;/D&gt;&lt;D xsi:type="xsd:string"&gt;20150102&lt;/D&gt;&lt;D xsi:type="xsd:string"&gt;20141226&lt;/D&gt;&lt;D xsi:type="xsd:string"&gt;20141219&lt;/D&gt;&lt;D xsi:type="xsd:string"&gt;20141212&lt;/D&gt;&lt;D xsi:type="xsd:string"&gt;20141205&lt;/D&gt;&lt;D xsi:type="xsd:string"&gt;20141128&lt;/D&gt;&lt;D xsi:type="xsd:string"&gt;20141121&lt;/D&gt;&lt;D xsi:type="xsd:string"&gt;20141114&lt;/D&gt;&lt;D xsi:type="xsd:string"&gt;20141107&lt;/D&gt;&lt;D xsi:type="xsd:string"&gt;20141031&lt;/D&gt;&lt;D xsi:type="xsd:string"&gt;20141024&lt;/D&gt;&lt;D xsi:type="xsd:string"&gt;20141017&lt;/D&gt;&lt;D xsi:type="xsd:string"&gt;20141010&lt;/D&gt;&lt;D xsi:type="xsd:string"&gt;20141003&lt;/D&gt;&lt;D xsi:type="xsd:string"&gt;20140926&lt;/D&gt;&lt;D xsi:type="xsd:string"&gt;20140919&lt;/D&gt;&lt;D xsi:type="xsd:string"&gt;20140912&lt;/D&gt;&lt;D xsi:type="xsd:string"&gt;20140905&lt;/D&gt;&lt;D xsi:type="xsd:string"&gt;20140829&lt;/D&gt;&lt;D xsi:type="xsd:string"&gt;20140822&lt;/D&gt;&lt;D xsi:type="xsd:string"&gt;20140815&lt;/D&gt;&lt;D xsi:type="xsd:string"&gt;20140808&lt;/D&gt;&lt;D xsi:type="xsd:string"&gt;20140801&lt;/D&gt;&lt;D xsi:type="xsd:string"&gt;20140725&lt;/D&gt;&lt;D xsi:type="xsd:string"&gt;20140718&lt;/D&gt;&lt;D xsi:type="xsd:string"&gt;20140711&lt;/D&gt;&lt;D xsi:type="xsd:string"&gt;20140704&lt;/D&gt;&lt;D xsi:type="xsd:string"&gt;20140627&lt;/D&gt;&lt;D xsi:type="xsd:string"&gt;20140620&lt;/D&gt;&lt;D xsi:type="xsd:string"&gt;20140613&lt;/D&gt;&lt;D xsi:type="xsd:string"&gt;20140606&lt;/D&gt;&lt;D xsi:type="xsd:string"&gt;20140530&lt;/D&gt;&lt;D xsi:type="xsd:string"&gt;20140523&lt;/D&gt;&lt;D xsi:type="xsd:string"&gt;20140516&lt;/D&gt;&lt;D xsi:type="xsd:string"&gt;20140509&lt;/D&gt;&lt;D xsi:type="xsd:string"&gt;20140502&lt;/D&gt;&lt;D xsi:type="xsd:string"&gt;20140425&lt;/D&gt;&lt;D xsi:type="xsd:string"&gt;20140418&lt;/D&gt;&lt;D xsi:type="xsd:string"&gt;20140411&lt;/D&gt;&lt;D xsi:type="xsd:string"&gt;20140404&lt;/D&gt;&lt;D xsi:type="xsd:string"&gt;20140328&lt;/D&gt;&lt;D xsi:type="xsd:string"&gt;20140321&lt;/D&gt;&lt;D xsi:type="xsd:string"&gt;20140314&lt;/D&gt;&lt;D xsi:type="xsd:string"&gt;20140307&lt;/D&gt;&lt;D xsi:type="xsd:string"&gt;20140228&lt;/D&gt;&lt;D xsi:type="xsd:string"&gt;20140221&lt;/D&gt;&lt;D xsi:type="xsd:string"&gt;20140214&lt;/D&gt;&lt;D xsi:type="xsd:string"&gt;20140207&lt;/D&gt;&lt;D xsi:type="xsd:string"&gt;20140131&lt;/D&gt;&lt;D xsi:type="xsd:string"&gt;20140124&lt;/D&gt;&lt;D xsi:type="xsd:string"&gt;20140117&lt;/D&gt;&lt;D xsi:type="xsd:string"&gt;20140110&lt;/D&gt;&lt;D xsi:type="xsd:string"&gt;20140103&lt;/D&gt;&lt;D xsi:type="xsd:string"&gt;20131227&lt;/D&gt;&lt;D xsi:type="xsd:string"&gt;20131220&lt;/D&gt;&lt;D xsi:type="xsd:string"&gt;20131213&lt;/D&gt;&lt;D xsi:type="xsd:string"&gt;20131206&lt;/D&gt;&lt;D xsi:type="xsd:string"&gt;20131129&lt;/D&gt;&lt;D xsi:type="xsd:string"&gt;20131122&lt;/D&gt;&lt;D xsi:type="xsd:string"&gt;20131115&lt;/D&gt;&lt;D xsi:type="xsd:string"&gt;20131108&lt;/D&gt;&lt;D xsi:type="xsd:string"&gt;20131101&lt;/D&gt;&lt;D xsi:type="xsd:string"&gt;20131025&lt;/D&gt;&lt;D xsi:type="xsd:string"&gt;20131018&lt;/D&gt;&lt;D xsi:type="xsd:string"&gt;20131011&lt;/D&gt;&lt;D xsi:type="xsd:string"&gt;20131004&lt;/D&gt;&lt;D xsi:type="xsd:string"&gt;20130927&lt;/D&gt;&lt;D xsi:type="xsd:string"&gt;20130920&lt;/D&gt;&lt;D xsi:type="xsd:string"&gt;20130913&lt;/D&gt;&lt;D xsi:type="xsd:string"&gt;20130906&lt;/D&gt;&lt;D xsi:type="xsd:string"&gt;20130830&lt;/D&gt;&lt;D xsi:type="xsd:string"&gt;20130823&lt;/D&gt;&lt;D xsi:type="xsd:string"&gt;20130816&lt;/D&gt;&lt;D xsi:type="xsd:string"&gt;20130809&lt;/D&gt;&lt;D xsi:type="xsd:string"&gt;20130802&lt;/D&gt;&lt;D xsi:type="xsd:string"&gt;20130726&lt;/D&gt;&lt;D xsi:type="xsd:string"&gt;20130719&lt;/D&gt;&lt;D xsi:type="xsd:string"&gt;20130712&lt;/D&gt;&lt;D xsi:type="xsd:string"&gt;20130705&lt;/D&gt;&lt;D xsi:type="xsd:string"&gt;20130628&lt;/D&gt;&lt;D xsi:type="xsd:string"&gt;20130621&lt;/D&gt;&lt;D xsi:type="xsd:string"&gt;20130614&lt;/D&gt;&lt;D xsi:type="xsd:string"&gt;20130607&lt;/D&gt;&lt;D xsi:type="xsd:string"&gt;20130531&lt;/D&gt;&lt;D xsi:type="xsd:string"&gt;20130524&lt;/D&gt;&lt;D xsi:type="xsd:string"&gt;20130517&lt;/D&gt;&lt;D xsi:type="xsd:string"&gt;20130510&lt;/D&gt;&lt;D xsi:type="xsd:string"&gt;20130503&lt;/D&gt;&lt;D xsi:type="xsd:string"&gt;20130426&lt;/D&gt;&lt;D xsi:type="xsd:string"&gt;20130419&lt;/D&gt;&lt;D xsi:type="xsd:string"&gt;20130412&lt;/D&gt;&lt;D xsi:type="xsd:string"&gt;20130405&lt;/D&gt;&lt;D xsi:type="xsd:string"&gt;20130329&lt;/D&gt;&lt;D xsi:type="xsd:string"&gt;20130322&lt;/D&gt;&lt;D xsi:type="xsd:string"&gt;20130315&lt;/D&gt;&lt;D xsi:type="xsd:string"&gt;20130308&lt;/D&gt;&lt;D xsi:type="xsd:string"&gt;20130301&lt;/D&gt;&lt;D xsi:type="xsd:string"&gt;20130222&lt;/D&gt;&lt;D xsi:type="xsd:string"&gt;20130215&lt;/D&gt;&lt;D xsi:type="xsd:string"&gt;20130208&lt;/D&gt;&lt;D xsi:type="xsd:string"&gt;20130201&lt;/D&gt;&lt;D xsi:type="xsd:string"&gt;20130125&lt;/D&gt;&lt;D xsi:type="xsd:string"&gt;20130118&lt;/D&gt;&lt;D xsi:type="xsd:string"&gt;20130111&lt;/D&gt;&lt;D xsi:type="xsd:string"&gt;20130104&lt;/D&gt;&lt;D xsi:type="xsd:string"&gt;20121228&lt;/D&gt;&lt;D xsi:type="xsd:string"&gt;20121221&lt;/D&gt;&lt;D xsi:type="xsd:string"&gt;20121214&lt;/D&gt;&lt;D xsi:type="xsd:string"&gt;20121207&lt;/D&gt;&lt;D xsi:type="xsd:string"&gt;20121130&lt;/D&gt;&lt;D xsi:type="xsd:string"&gt;20121123&lt;/D&gt;&lt;D xsi:type="xsd:string"&gt;20121116&lt;/D&gt;&lt;D xsi:type="xsd:string"&gt;20121109&lt;/D&gt;&lt;D xsi:type="xsd:string"&gt;20121102&lt;/D&gt;&lt;D xsi:type="xsd:string"&gt;20121026&lt;/D&gt;&lt;D xsi:type="xsd:string"&gt;20121019&lt;/D&gt;&lt;D xsi:type="xsd:string"&gt;20121012&lt;/D&gt;&lt;D xsi:type="xsd:string"&gt;20121005&lt;/D&gt;&lt;D xsi:type="xsd:string"&gt;20120928&lt;/D&gt;&lt;D xsi:type="xsd:string"&gt;20120921&lt;/D&gt;&lt;D xsi:type="xsd:string"&gt;20120914&lt;/D&gt;&lt;D xsi:type="xsd:string"&gt;20120907&lt;/D&gt;&lt;D xsi:type="xsd:string"&gt;20120831&lt;/D&gt;&lt;D xsi:type="xsd:string"&gt;20120824&lt;/D&gt;&lt;D xsi:type="xsd:string"&gt;20120817&lt;/D&gt;&lt;D xsi:type="xsd:string"&gt;20120810&lt;/D&gt;&lt;D xsi:type="xsd:string"&gt;20120803&lt;/D&gt;&lt;D xsi:type="xsd:string"&gt;20120727&lt;/D&gt;&lt;D xsi:type="xsd:string"&gt;20120720&lt;/D&gt;&lt;D xsi:type="xsd:string"&gt;20120713&lt;/D&gt;&lt;D xsi:type="xsd:string"&gt;20120706&lt;/D&gt;&lt;D xsi:type="xsd:string"&gt;20120629&lt;/D&gt;&lt;D xsi:type="xsd:string"&gt;20120622&lt;/D&gt;&lt;D xsi:type="xsd:string"&gt;20120615&lt;/D&gt;&lt;D xsi:type="xsd:string"&gt;20120608&lt;/D&gt;&lt;D xsi:type="xsd:string"&gt;20120601&lt;/D&gt;&lt;D xsi:type="xsd:string"&gt;20120525&lt;/D&gt;&lt;D xsi:type="xsd:string"&gt;20120518&lt;/D&gt;&lt;D xsi:type="xsd:string"&gt;20120511&lt;/D&gt;&lt;D xsi:type="xsd:string"&gt;20120504&lt;/D&gt;&lt;D xsi:type="xsd:string"&gt;20120427&lt;/D&gt;&lt;D xsi:type="xsd:string"&gt;20120420&lt;/D&gt;&lt;D xsi:type="xsd:string"&gt;20120413&lt;/D&gt;&lt;D xsi:type="xsd:string"&gt;20120406&lt;/D&gt;&lt;D xsi:type="xsd:string"&gt;20120330&lt;/D&gt;&lt;D xsi:type="xsd:string"&gt;20120323&lt;/D&gt;&lt;D xsi:type="xsd:string"&gt;20120316&lt;/D&gt;&lt;D xsi:type="xsd:string"&gt;20120309&lt;/D&gt;&lt;D xsi:type="xsd:string"&gt;20120302&lt;/D&gt;&lt;D xsi:type="xsd:string"&gt;20120224&lt;/D&gt;&lt;D xsi:type="xsd:string"&gt;20120217&lt;/D&gt;&lt;D xsi:type="xsd:string"&gt;20120210&lt;/D&gt;&lt;D xsi:type="xsd:string"&gt;20120203&lt;/D&gt;&lt;D xsi:type="xsd:string"&gt;20120127&lt;/D&gt;&lt;D xsi:type="xsd:string"&gt;20120120&lt;/D&gt;&lt;D xsi:type="xsd:string"&gt;20120113&lt;/D&gt;&lt;D xsi:type="xsd:string"&gt;20120106&lt;/D&gt;&lt;D xsi:type="xsd:string"&gt;20111230&lt;/D&gt;&lt;D xsi:type="xsd:string"&gt;20111223&lt;/D&gt;&lt;D xsi:type="xsd:string"&gt;20111216&lt;/D&gt;&lt;D xsi:type="xsd:string"&gt;20111209&lt;/D&gt;&lt;D xsi:type="xsd:string"&gt;20111202&lt;/D&gt;&lt;D xsi:type="xsd:string"&gt;20111125&lt;/D&gt;&lt;D xsi:type="xsd:string"&gt;20111118&lt;/D&gt;&lt;D xsi:type="xsd:string"&gt;20111111&lt;/D&gt;&lt;D xsi:type="xsd:string"&gt;20111104&lt;/D&gt;&lt;D xsi:type="xsd:string"&gt;20111028&lt;/D&gt;&lt;D xsi:type="xsd:string"&gt;20111021&lt;/D&gt;&lt;D xsi:type="xsd:string"&gt;20111014&lt;/D&gt;&lt;D xsi:type="xsd:string"&gt;20111007&lt;/D&gt;&lt;D xsi:type="xsd:string"&gt;20110930&lt;/D&gt;&lt;D xsi:type="xsd:string"&gt;20110923&lt;/D&gt;&lt;D xsi:type="xsd:string"&gt;20110916&lt;/D&gt;&lt;D xsi:type="xsd:string"&gt;20110909&lt;/D&gt;&lt;D xsi:type="xsd:string"&gt;20110902&lt;/D&gt;&lt;D xsi:type="xsd:string"&gt;20110826&lt;/D&gt;&lt;D xsi:type="xsd:string"&gt;20110819&lt;/D&gt;&lt;D xsi:type="xsd:string"&gt;20110812&lt;/D&gt;&lt;D xsi:type="xsd:string"&gt;20110805&lt;/D&gt;&lt;D xsi:type="xsd:string</t>
        </r>
      </text>
    </comment>
    <comment ref="A21" authorId="0" shapeId="0" xr:uid="{E3258ED7-2894-4E82-BA8C-D5C890C07130}">
      <text>
        <r>
          <rPr>
            <b/>
            <sz val="9"/>
            <color indexed="81"/>
            <rFont val="Tahoma"/>
            <charset val="1"/>
          </rPr>
          <t>"&gt;20110729&lt;/D&gt;&lt;D xsi:type="xsd:string"&gt;20110722&lt;/D&gt;&lt;D xsi:type="xsd:string"&gt;20110715&lt;/D&gt;&lt;D xsi:type="xsd:string"&gt;20110708&lt;/D&gt;&lt;D xsi:type="xsd:string"&gt;20110701&lt;/D&gt;&lt;D xsi:type="xsd:string"&gt;20110624&lt;/D&gt;&lt;D xsi:type="xsd:string"&gt;20110617&lt;/D&gt;&lt;D xsi:type="xsd:string"&gt;20110610&lt;/D&gt;&lt;D xsi:type="xsd:string"&gt;20110603&lt;/D&gt;&lt;D xsi:type="xsd:string"&gt;20110527&lt;/D&gt;&lt;D xsi:type="xsd:string"&gt;20110520&lt;/D&gt;&lt;D xsi:type="xsd:string"&gt;20110513&lt;/D&gt;&lt;D xsi:type="xsd:string"&gt;20110506&lt;/D&gt;&lt;D xsi:type="xsd:string"&gt;20110429&lt;/D&gt;&lt;D xsi:type="xsd:string"&gt;20110422&lt;/D&gt;&lt;D xsi:type="xsd:string"&gt;20110415&lt;/D&gt;&lt;D xsi:type="xsd:string"&gt;20110408&lt;/D&gt;&lt;D xsi:type="xsd:string"&gt;20110401&lt;/D&gt;&lt;D xsi:type="xsd:string"&gt;20110325&lt;/D&gt;&lt;D xsi:type="xsd:string"&gt;20110318&lt;/D&gt;&lt;D xsi:type="xsd:string"&gt;20110311&lt;/D&gt;&lt;D xsi:type="xsd:string"&gt;20110304&lt;/D&gt;&lt;D xsi:type="xsd:string"&gt;20110225&lt;/D&gt;&lt;D xsi:type="xsd:string"&gt;20110218&lt;/D&gt;&lt;D xsi:type="xsd:string"&gt;20110211&lt;/D&gt;&lt;D xsi:type="xsd:string"&gt;20110204&lt;/D&gt;&lt;D xsi:type="xsd:string"&gt;20110128&lt;/D&gt;&lt;D xsi:type="xsd:string"&gt;20110121&lt;/D&gt;&lt;D xsi:type="xsd:string"&gt;20110114&lt;/D&gt;&lt;D xsi:type="xsd:string"&gt;20110107&lt;/D&gt;&lt;D xsi:type="xsd:string"&gt;20101231&lt;/D&gt;&lt;D xsi:type="xsd:string"&gt;20101224&lt;/D&gt;&lt;D xsi:type="xsd:string"&gt;20101217&lt;/D&gt;&lt;D xsi:type="xsd:string"&gt;20101210&lt;/D&gt;&lt;D xsi:type="xsd:string"&gt;20101203&lt;/D&gt;&lt;D xsi:type="xsd:string"&gt;20101126&lt;/D&gt;&lt;D xsi:type="xsd:string"&gt;20101119&lt;/D&gt;&lt;D xsi:type="xsd:string"&gt;20101112&lt;/D&gt;&lt;D xsi:type="xsd:string"&gt;20101105&lt;/D&gt;&lt;D xsi:type="xsd:string"&gt;20101029&lt;/D&gt;&lt;D xsi:type="xsd:string"&gt;20101022&lt;/D&gt;&lt;D xsi:type="xsd:string"&gt;20101015&lt;/D&gt;&lt;D xsi:type="xsd:string"&gt;20101008&lt;/D&gt;&lt;D xsi:type="xsd:string"&gt;20101001&lt;/D&gt;&lt;D xsi:type="xsd:string"&gt;20100924&lt;/D&gt;&lt;D xsi:type="xsd:string"&gt;20100917&lt;/D&gt;&lt;D xsi:type="xsd:string"&gt;20100910&lt;/D&gt;&lt;D xsi:type="xsd:string"&gt;20100903&lt;/D&gt;&lt;D xsi:type="xsd:string"&gt;20100827&lt;/D&gt;&lt;D xsi:type="xsd:string"&gt;20100820&lt;/D&gt;&lt;D xsi:type="xsd:string"&gt;20100813&lt;/D&gt;&lt;D xsi:type="xsd:string"&gt;20100806&lt;/D&gt;&lt;D xsi:type="xsd:string"&gt;20100730&lt;/D&gt;&lt;D xsi:type="xsd:string"&gt;20100723&lt;/D&gt;&lt;D xsi:type="xsd:string"&gt;20100716&lt;/D&gt;&lt;D xsi:type="xsd:string"&gt;20100709&lt;/D&gt;&lt;D xsi:type="xsd:string"&gt;20100702&lt;/D&gt;&lt;D xsi:type="xsd:string"&gt;20100625&lt;/D&gt;&lt;D xsi:type="xsd:string"&gt;20100618&lt;/D&gt;&lt;D xsi:type="xsd:string"&gt;20100611&lt;/D&gt;&lt;D xsi:type="xsd:string"&gt;20100604&lt;/D&gt;&lt;D xsi:type="xsd:string"&gt;20100528&lt;/D&gt;&lt;D xsi:type="xsd:string"&gt;20100521&lt;/D&gt;&lt;D xsi:type="xsd:string"&gt;20100514&lt;/D&gt;&lt;D xsi:type="xsd:string"&gt;20100507&lt;/D&gt;&lt;D xsi:type="xsd:string"&gt;20100430&lt;/D&gt;&lt;D xsi:type="xsd:string"&gt;20100423&lt;/D&gt;&lt;D xsi:type="xsd:string"&gt;20100416&lt;/D&gt;&lt;D xsi:type="xsd:string"&gt;20100409&lt;/D&gt;&lt;D xsi:type="xsd:string"&gt;20100402&lt;/D&gt;&lt;D xsi:type="xsd:string"&gt;20100326&lt;/D&gt;&lt;D xsi:type="xsd:string"&gt;20100319&lt;/D&gt;&lt;D xsi:type="xsd:string"&gt;20100312&lt;/D&gt;&lt;D xsi:type="xsd:string"&gt;20100305&lt;/D&gt;&lt;D xsi:type="xsd:string"&gt;20100226&lt;/D&gt;&lt;D xsi:type="xsd:string"&gt;20100219&lt;/D&gt;&lt;D xsi:type="xsd:string"&gt;20100212&lt;/D&gt;&lt;D xsi:type="xsd:string"&gt;20100205&lt;/D&gt;&lt;D xsi:type="xsd:string"&gt;20100129&lt;/D&gt;&lt;D xsi:type="xsd:string"&gt;20100122&lt;/D&gt;&lt;D xsi:type="xsd:string"&gt;20100115&lt;/D&gt;&lt;D xsi:type="xsd:string"&gt;20100108&lt;/D&gt;&lt;D xsi:type="xsd:string"&gt;20100101&lt;/D&gt;&lt;D xsi:type="xsd:string"&gt;20091225&lt;/D&gt;&lt;D xsi:type="xsd:string"&gt;20091218&lt;/D&gt;&lt;D xsi:type="xsd:string"&gt;20091211&lt;/D&gt;&lt;D xsi:type="xsd:string"&gt;20091204&lt;/D&gt;&lt;D xsi:type="xsd:string"&gt;20091127&lt;/D&gt;&lt;D xsi:type="xsd:string"&gt;20091120&lt;/D&gt;&lt;D xsi:type="xsd:string"&gt;20091113&lt;/D&gt;&lt;D xsi:type="xsd:string"&gt;20091106&lt;/D&gt;&lt;D xsi:type="xsd:string"&gt;20091030&lt;/D&gt;&lt;D xsi:type="xsd:string"&gt;20091023&lt;/D&gt;&lt;D xsi:type="xsd:string"&gt;20091016&lt;/D&gt;&lt;D xsi:type="xsd:string"&gt;20091009&lt;/D&gt;&lt;D xsi:type="xsd:string"&gt;20091002&lt;/D&gt;&lt;D xsi:type="xsd:string"&gt;20090925&lt;/D&gt;&lt;D xsi:type="xsd:string"&gt;20090918&lt;/D&gt;&lt;D xsi:type="xsd:string"&gt;20090911&lt;/D&gt;&lt;D xsi:type="xsd:string"&gt;20090904&lt;/D&gt;&lt;D xsi:type="xsd:string"&gt;20090828&lt;/D&gt;&lt;D xsi:type="xsd:string"&gt;20090821&lt;/D&gt;&lt;D xsi:type="xsd:string"&gt;20090814&lt;/D&gt;&lt;D xsi:type="xsd:string"&gt;20090807&lt;/D&gt;&lt;D xsi:type="xsd:string"&gt;20090731&lt;/D&gt;&lt;D xsi:type="xsd:string"&gt;20090724&lt;/D&gt;&lt;D xsi:type="xsd:string"&gt;20090717&lt;/D&gt;&lt;D xsi:type="xsd:string"&gt;20090710&lt;/D&gt;&lt;D xsi:type="xsd:string"&gt;20090703&lt;/D&gt;&lt;D xsi:type="xsd:string"&gt;20090626&lt;/D&gt;&lt;D xsi:type="xsd:string"&gt;20090619&lt;/D&gt;&lt;D xsi:type="xsd:string"&gt;20090612&lt;/D&gt;&lt;D xsi:type="xsd:string"&gt;20090605&lt;/D&gt;&lt;D xsi:type="xsd:string"&gt;20090529&lt;/D&gt;&lt;D xsi:type="xsd:string"&gt;20090522&lt;/D&gt;&lt;D xsi:type="xsd:string"&gt;20090515&lt;/D&gt;&lt;D xsi:type="xsd:string"&gt;20090508&lt;/D&gt;&lt;D xsi:type="xsd:string"&gt;20090501&lt;/D&gt;&lt;D xsi:type="xsd:string"&gt;20090424&lt;/D&gt;&lt;D xsi:type="xsd:string"&gt;20090417&lt;/D&gt;&lt;D xsi:type="xsd:string"&gt;20090410&lt;/D&gt;&lt;D xsi:type="xsd:string"&gt;20090403&lt;/D&gt;&lt;D xsi:type="xsd:string"&gt;20090327&lt;/D&gt;&lt;D xsi:type="xsd:string"&gt;20090320&lt;/D&gt;&lt;D xsi:type="xsd:string"&gt;20090313&lt;/D&gt;&lt;D xsi:type="xsd:string"&gt;20090306&lt;/D&gt;&lt;D xsi:type="xsd:string"&gt;20090227&lt;/D&gt;&lt;D xsi:type="xsd:string"&gt;20090220&lt;/D&gt;&lt;D xsi:type="xsd:string"&gt;20090213&lt;/D&gt;&lt;D xsi:type="xsd:string"&gt;20090206&lt;/D&gt;&lt;D xsi:type="xsd:string"&gt;20090130&lt;/D&gt;&lt;D xsi:type="xsd:string"&gt;20090123&lt;/D&gt;&lt;D xsi:type="xsd:string"&gt;20090116&lt;/D&gt;&lt;D xsi:type="xsd:string"&gt;20090109&lt;/D&gt;&lt;D xsi:type="xsd:string"&gt;20090102&lt;/D&gt;&lt;D xsi:type="xsd:string"&gt;20081226&lt;/D&gt;&lt;D xsi:type="xsd:string"&gt;20081219&lt;/D&gt;&lt;D xsi:type="xsd:string"&gt;20081212&lt;/D&gt;&lt;D xsi:type="xsd:string"&gt;20081205&lt;/D&gt;&lt;D xsi:type="xsd:string"&gt;20081128&lt;/D&gt;&lt;D xsi:type="xsd:string"&gt;20081121&lt;/D&gt;&lt;D xsi:type="xsd:string"&gt;20081114&lt;/D&gt;&lt;D xsi:type="xsd:string"&gt;20081107&lt;/D&gt;&lt;D xsi:type="xsd:string"&gt;20081031&lt;/D&gt;&lt;D xsi:type="xsd:string"&gt;20081024&lt;/D&gt;&lt;D xsi:type="xsd:string"&gt;20081017&lt;/D&gt;&lt;D xsi:type="xsd:string"&gt;20081010&lt;/D&gt;&lt;D xsi:type="xsd:string"&gt;20081003&lt;/D&gt;&lt;D xsi:type="xsd:string"&gt;20080926&lt;/D&gt;&lt;D xsi:type="xsd:string"&gt;20080919&lt;/D&gt;&lt;D xsi:type="xsd:string"&gt;20080912&lt;/D&gt;&lt;D xsi:type="xsd:string"&gt;20080905&lt;/D&gt;&lt;D xsi:type="xsd:string"&gt;20080829&lt;/D&gt;&lt;D xsi:type="xsd:string"&gt;20080822&lt;/D&gt;&lt;D xsi:type="xsd:string"&gt;20080815&lt;/D&gt;&lt;D xsi:type="xsd:string"&gt;20080808&lt;/D&gt;&lt;D xsi:type="xsd:string"&gt;20080801&lt;/D&gt;&lt;D xsi:type="xsd:string"&gt;20080725&lt;/D&gt;&lt;D xsi:type="xsd:string"&gt;20080718&lt;/D&gt;&lt;D xsi:type="xsd:string"&gt;20080711&lt;/D&gt;&lt;D xsi:type="xsd:string"&gt;20080704&lt;/D&gt;&lt;D xsi:type="xsd:string"&gt;20080627&lt;/D&gt;&lt;D xsi:type="xsd:string"&gt;20080620&lt;/D&gt;&lt;D xsi:type="xsd:string"&gt;20080613&lt;/D&gt;&lt;D xsi:type="xsd:string"&gt;20080606&lt;/D&gt;&lt;D xsi:type="xsd:string"&gt;20080530&lt;/D&gt;&lt;D xsi:type="xsd:string"&gt;20080523&lt;/D&gt;&lt;D xsi:type="xsd:string"&gt;20080516&lt;/D&gt;&lt;D xsi:type="xsd:string"&gt;20080509&lt;/D&gt;&lt;D xsi:type="xsd:string"&gt;20080502&lt;/D&gt;&lt;D xsi:type="xsd:string"&gt;20080425&lt;/D&gt;&lt;D xsi:type="xsd:string"&gt;20080418&lt;/D&gt;&lt;D xsi:type="xsd:string"&gt;20080411&lt;/D&gt;&lt;D xsi:type="xsd:string"&gt;20080404&lt;/D&gt;&lt;D xsi:type="xsd:string"&gt;20080328&lt;/D&gt;&lt;D xsi:type="xsd:string"&gt;20080321&lt;/D&gt;&lt;D xsi:type="xsd:string"&gt;20080314&lt;/D&gt;&lt;D xsi:type="xsd:string"&gt;20080307&lt;/D&gt;&lt;D xsi:type="xsd:string"&gt;20080229&lt;/D&gt;&lt;D xsi:type="xsd:string"&gt;20080222&lt;/D&gt;&lt;D xsi:type="xsd:string"&gt;20080215&lt;/D&gt;&lt;D xsi:type="xsd:string"&gt;20080208&lt;/D&gt;&lt;D xsi:type="xsd:string"&gt;20080201&lt;/D&gt;&lt;D xsi:type="xsd:string"&gt;20080125&lt;/D&gt;&lt;D xsi:type="xsd:string"&gt;20080118&lt;/D&gt;&lt;D xsi:type="xsd:string"&gt;20080111&lt;/D&gt;&lt;D xsi:type="xsd:string"&gt;20080104&lt;/D&gt;&lt;D xsi:type="xsd:string"&gt;20071228&lt;/D&gt;&lt;D xsi:type="xsd:string"&gt;20071221&lt;/D&gt;&lt;D xsi:type="xsd:string"&gt;20071214&lt;/D&gt;&lt;D xsi:type="xsd:string"&gt;20071207&lt;/D&gt;&lt;D xsi:type="xsd:string"&gt;20071130&lt;/D&gt;&lt;D xsi:type="xsd:string"&gt;20071123&lt;/D&gt;&lt;D xsi:type="xsd:string"&gt;20071116&lt;/D&gt;&lt;D xsi:type="xsd:string"&gt;20071109&lt;/D&gt;&lt;D xsi:type="xsd:string"&gt;20071102&lt;/D&gt;&lt;D xsi:type="xsd:string"&gt;20071026&lt;/D&gt;&lt;D xsi:type="xsd:string"&gt;20071019&lt;/D&gt;&lt;D xsi:type="xsd:string"&gt;20071012&lt;/D&gt;&lt;D xsi:type="xsd:string"&gt;20071005&lt;/D&gt;&lt;D xsi:type="xsd:string"&gt;20070928&lt;/D&gt;&lt;D xsi:type="xsd:string"&gt;20070921&lt;/D&gt;&lt;D xsi:type="xsd:string"&gt;20070914&lt;/D&gt;&lt;D xsi:type="xsd:string"&gt;20070907&lt;/D&gt;&lt;D xsi:type="xsd:string"&gt;20070831&lt;/D&gt;&lt;D xsi:type="xsd:string"&gt;20070824&lt;/D&gt;&lt;D xsi:type="xsd:string"&gt;20070817&lt;/D&gt;&lt;D xsi:type="xsd:string"&gt;20070810&lt;/D&gt;&lt;D xsi:type="xsd:string"&gt;20070803&lt;/D&gt;&lt;D xsi:type="xsd:string"&gt;20070727&lt;/D&gt;&lt;D xsi:type="xsd:string"&gt;20070720&lt;/D&gt;&lt;D xsi:type="xsd:string"&gt;20070713&lt;/D&gt;&lt;D xsi:type="xsd:string"&gt;20070706&lt;/D&gt;&lt;D xsi:type="xsd:string"&gt;20070629&lt;/D&gt;&lt;D xsi:type="xsd:string"&gt;20070622&lt;/D&gt;&lt;D xsi:type="xsd:string"&gt;20070615&lt;/D&gt;&lt;D xsi:type="xsd:string"&gt;20070608&lt;/D&gt;&lt;D xsi:type="xsd:string"&gt;20070601&lt;/D&gt;&lt;D xsi:type="xsd:string"&gt;20070525&lt;/D&gt;&lt;D xsi:type="xsd:string"&gt;20070518&lt;/D&gt;&lt;D xsi:type="xsd:string"&gt;20070511&lt;/D&gt;&lt;D xsi:type="xsd:string"&gt;20070504&lt;/D&gt;&lt;D xsi:type="xsd:string"&gt;20070427&lt;/D&gt;&lt;D xsi:type="xsd:string"&gt;20070420&lt;/D&gt;&lt;D xsi:type="xsd:string"&gt;20070413&lt;/D&gt;&lt;D xsi:type="xsd:string"&gt;20070406&lt;/D&gt;&lt;D xsi:type="xsd:string"&gt;20070330&lt;/D&gt;&lt;D xsi:type="xsd:string"&gt;20070323&lt;/D&gt;&lt;D xsi:type="xsd:string"&gt;20070316&lt;/D&gt;&lt;D xsi:type="xsd:string"&gt;20070309&lt;/D&gt;&lt;D xsi:type="xsd:string"&gt;20070302&lt;/D&gt;&lt;D xsi:type="xsd:string"&gt;20070223&lt;/D&gt;&lt;D xsi:type="xsd:string"&gt;20070216&lt;/D&gt;&lt;D xsi:type="xsd:string"&gt;20070209&lt;/D&gt;&lt;D xsi:type="xsd:string"&gt;20070202&lt;/D&gt;&lt;D xsi:type="xsd:string"&gt;20070126&lt;/D&gt;&lt;D xsi:type="xsd:string"&gt;20070119&lt;/D&gt;&lt;D xsi:type="xsd:string"&gt;20070112&lt;/D&gt;&lt;D xsi:type="xsd:string"&gt;20070105&lt;/D&gt;&lt;D xsi:type="xsd:string"&gt;20061229&lt;/D&gt;&lt;D xsi:type="xsd:string"&gt;20061222&lt;/D&gt;&lt;D xsi:type="xsd:string"&gt;20061215&lt;/D&gt;&lt;D xsi:type="xsd:string"&gt;20061208&lt;/D&gt;&lt;D xsi:type="xsd:string"&gt;20061201&lt;/D&gt;&lt;D xsi:type="xsd:string"&gt;20061124&lt;/D&gt;&lt;D xsi:type="xsd:string"&gt;20061117&lt;/D&gt;&lt;D xsi:type="xsd:string"&gt;20061110&lt;/D&gt;&lt;D xsi:type="xsd:string"&gt;20061103&lt;/D&gt;&lt;D xsi:type="xsd:string"&gt;20061027&lt;/D&gt;&lt;D xsi:type="xsd:string"&gt;20061020&lt;/D&gt;&lt;D xsi:type="xsd:string"&gt;20061013&lt;/D&gt;&lt;D xsi:type="xsd:string"&gt;20061006&lt;/D&gt;&lt;D xsi:type="xsd:string"&gt;20060929&lt;/D&gt;&lt;D xsi:type="xsd:string"&gt;20060922&lt;/D&gt;&lt;D xsi:type="xsd:string"&gt;20060915&lt;/D&gt;&lt;D xsi:type="xsd:string"&gt;20060908&lt;/D&gt;&lt;D xsi:type="xsd:string"&gt;20060901&lt;/D&gt;&lt;D xsi:type="xsd:string"&gt;20060825&lt;/D&gt;&lt;D xsi:type="xsd:string"&gt;20060818&lt;/D&gt;&lt;D xsi:type="xsd:string"&gt;20060811&lt;/D&gt;&lt;D xsi:type="xsd:string"&gt;20060804&lt;/D&gt;&lt;D xsi:type="xsd:string"&gt;20060728&lt;/D&gt;&lt;D xsi:type="xsd:string"&gt;20060721&lt;/D&gt;&lt;D xsi:type="xsd:string"&gt;20060714&lt;/D&gt;&lt;D xsi:type="xsd:string"&gt;20060707&lt;/D&gt;&lt;D xsi:type="xsd:string"&gt;20060630&lt;/D&gt;&lt;D xsi:type="xsd:string"&gt;20060623&lt;/D&gt;&lt;D xsi:type="xsd:string"&gt;20060616&lt;/D&gt;&lt;D xsi:type="xsd:string"&gt;20060609&lt;/D&gt;&lt;D xsi:type="xsd:string"&gt;20060602&lt;/D&gt;&lt;D xsi:type="xsd:string"&gt;20060526&lt;/D&gt;&lt;D xsi:type="xsd:string"&gt;20060519&lt;/D&gt;&lt;D xsi:type="xsd:string"&gt;20060512&lt;/D&gt;&lt;D xsi:type="xsd:string"&gt;20060505&lt;/D&gt;&lt;D xsi:type="xsd:string"&gt;20060428&lt;/D&gt;&lt;D xsi:type="xsd:string"&gt;20060421&lt;/D&gt;&lt;D xsi:type="xsd:string"&gt;20060414&lt;/D&gt;&lt;D xsi:type="xsd:string"&gt;20060407&lt;/D&gt;&lt;D xsi:type="xsd:string"&gt;20060331&lt;/D&gt;&lt;D xsi:type="xsd:string"&gt;20060324&lt;/D&gt;&lt;D xsi:type="xsd:string"&gt;20060317&lt;/D&gt;&lt;D xsi:type="xsd:string"&gt;20060310&lt;/D&gt;&lt;D xsi:type="xsd:string"&gt;20060303&lt;/D&gt;&lt;D xsi:type="xsd:string"&gt;20060224&lt;/D&gt;&lt;D xsi:type="xsd:string"&gt;20060217&lt;/D&gt;&lt;D xsi:type="xsd:string"&gt;20060210&lt;/D&gt;&lt;D xsi:type="xsd:string"&gt;20060203&lt;/D&gt;&lt;D xsi:type="xsd:string"&gt;20060127&lt;/D&gt;&lt;D xsi:type="xsd:string"&gt;20060120&lt;/D&gt;&lt;D xsi:type="xsd:string"&gt;20060113&lt;/D&gt;&lt;D xsi:type="xsd:string"&gt;20060106&lt;/D&gt;&lt;D xsi:type="xsd:string"&gt;20051230&lt;/D&gt;&lt;D xsi:type="xsd:string"&gt;20051223&lt;/D&gt;&lt;D xsi:type="xsd:string"&gt;20051216&lt;/D&gt;&lt;D xsi:type="xsd:string"&gt;20051209&lt;/D&gt;&lt;D xsi:type="xsd:string"&gt;20051202&lt;/D&gt;&lt;D xsi:type="xsd:string"&gt;20051125&lt;/D&gt;&lt;D xsi:type="xsd:string"&gt;20051118&lt;/D&gt;&lt;D xsi:type="xsd:string"&gt;20051111&lt;/D&gt;&lt;D xsi:type="xsd:string"&gt;20051104&lt;/D&gt;&lt;D xsi:type="xsd:string"&gt;20051028&lt;/D&gt;&lt;D xsi:type="xsd:string"&gt;20051021&lt;/D&gt;&lt;D xsi:type="xsd:string"&gt;20051014&lt;/D&gt;&lt;D xsi:type="xsd:string"&gt;20051007&lt;/D&gt;&lt;D xsi:type="xsd:string"&gt;20050930&lt;/D&gt;&lt;D xsi:type="xsd:string"&gt;20050923&lt;/D&gt;&lt;D xsi:type="xsd:string"&gt;20050916&lt;/D&gt;&lt;D xsi:type="xsd:string"&gt;20050909&lt;/D&gt;&lt;D xsi:type="xsd:string"&gt;20050902&lt;/D&gt;&lt;D xsi:type="xsd:string"&gt;20050826&lt;/D&gt;&lt;D xsi:type="xsd:string"&gt;20050819&lt;/D&gt;&lt;D xsi:type="xsd:string"&gt;20050812&lt;/D&gt;&lt;D xsi:type="xsd:string"&gt;20050805&lt;/D&gt;&lt;D xsi:type="xsd:string"&gt;20050729&lt;/D&gt;&lt;D xsi:type="xsd:string"&gt;20050722&lt;/D&gt;&lt;D xsi:type="xsd:string"&gt;20050715&lt;/D&gt;&lt;D xsi:type="xsd:string"&gt;20050708&lt;/D&gt;&lt;D xsi:type="xsd:string"&gt;20050701&lt;/D&gt;&lt;D xsi:type="xsd:string"&gt;20050624&lt;/D&gt;&lt;D xsi:type="xsd:string"&gt;20050617&lt;/D&gt;&lt;D xsi:type="xsd:string"&gt;20050610&lt;/D&gt;&lt;D xsi:type="xsd:string"&gt;20050603&lt;/D&gt;&lt;D xsi:type="xsd:string"&gt;20050527&lt;/D&gt;&lt;D xsi:type="xsd:string"&gt;20050520&lt;/D&gt;&lt;D xsi:type="xsd:string"&gt;20050513&lt;/D&gt;&lt;D xsi:type="xsd:string"&gt;20050506&lt;/D&gt;&lt;D xsi:type="xsd:string"&gt;20050429&lt;/D&gt;&lt;D xsi:type="xsd:string"&gt;20050422&lt;/D&gt;&lt;D xsi:type="xsd:string"&gt;20050415&lt;/D&gt;&lt;D xsi:type="xsd:string"&gt;20050408&lt;/D&gt;&lt;D xsi:type="xsd:string"&gt;20050401&lt;/D&gt;&lt;D xsi:type="xsd:string"&gt;20050325&lt;/D&gt;&lt;D xsi:type="xsd:string"&gt;20050318&lt;/D&gt;&lt;D xsi:type="xsd:string"&gt;20050311&lt;/D&gt;&lt;D xsi:type="xsd:string"&gt;20050304&lt;/D&gt;&lt;D xsi:type="xsd:string"&gt;20050225&lt;/D&gt;&lt;D xsi:type="xsd:string"&gt;20050218&lt;/D&gt;&lt;D xsi:type="xsd:string"&gt;20050211&lt;/D&gt;&lt;D xsi:type="xsd:string"&gt;20050204&lt;/D&gt;&lt;D xsi:type="xsd:string"&gt;20050128&lt;/D&gt;&lt;D xsi:type="xsd:string"&gt;20050121&lt;/D&gt;&lt;D xsi:type="xsd:string"&gt;20050114&lt;/D&gt;&lt;D xsi:type="xsd:string"&gt;20050107&lt;/D&gt;&lt;D xsi:type="xsd:string"&gt;20041231&lt;/D&gt;&lt;D xsi:type="xsd:string"&gt;20041224&lt;/D&gt;&lt;D xsi:type="xsd:string"&gt;20041217&lt;/D&gt;&lt;D xsi:type="xsd:string"&gt;20041210&lt;/D&gt;&lt;D xsi:type="xsd:string"&gt;20041203&lt;/D&gt;&lt;D xsi:type="xsd:string"&gt;20041126&lt;/D&gt;&lt;D xsi:type="xsd:string"&gt;20041119&lt;/D&gt;&lt;D xsi:type="xsd:string"&gt;20041112&lt;/D&gt;&lt;D xsi:type="xsd:string"&gt;20041105&lt;/D&gt;&lt;D xsi:type="xsd:string"&gt;20041029&lt;/D&gt;&lt;D xsi:type="xsd:string"&gt;20041022&lt;/D&gt;&lt;D xsi:type="xsd:string"&gt;20041015&lt;/D&gt;&lt;D xsi:type="xsd:string"&gt;20041008&lt;/D&gt;&lt;D xsi:type="xsd:string"&gt;20041001&lt;/D&gt;&lt;D xsi:type="xsd:string"&gt;20040924&lt;/D&gt;&lt;D xsi:type="xsd:string"&gt;20040917&lt;/D&gt;&lt;D xsi:type="xsd:string"&gt;20040910&lt;/D&gt;&lt;D xsi:type="xsd:string"&gt;20040903&lt;/D&gt;&lt;D xsi:type="xsd:string"&gt;20040827&lt;/D&gt;&lt;D xsi:type="xsd:string"&gt;20040820&lt;/D&gt;&lt;/FQL&gt;&lt;FQL&gt;&lt;Q&gt;ACWX-US^FMA_PE(LTMA,NOW,-10AY,W,"PORTAGG","MEANR")&lt;/Q&gt;&lt;R&gt;522&lt;/R&gt;&lt;C&gt;1&lt;/C&gt;&lt;D xsi:type="xsd:double"&gt;14.3185867000235&lt;/D&gt;&lt;D xsi:type="xsd:double"&gt;14.1401156143612&lt;/D&gt;&lt;D xsi:type="xsd:double"&gt;14.1947325690804&lt;/D&gt;&lt;D xsi:type="xsd:double"&gt;14.4332041347732&lt;/D&gt;&lt;D xsi:type="xsd:double"&gt;14.5348652578213&lt;/D&gt;&lt;D xsi:type="xsd:double"&gt;14.7190475683417&lt;/D&gt;&lt;D xsi:type="xsd:double"&gt;14.6043017984666&lt;/D&gt;&lt;D xsi:type="xsd:double"&gt;14.5038893279136&lt;/D&gt;&lt;D xsi:type="xsd:double"&gt;14.4943015199696&lt;/D&gt;&lt;D xsi:type="xsd:double"&gt;14.4826989237161&lt;/D&gt;&lt;D xsi:type="xsd:double"&gt;14.579735184087&lt;/D&gt;&lt;D xsi:type="xsd:double"&gt;14.5272633708174&lt;/D&gt;&lt;D xsi:type="xsd:double"&gt;14.5955485324543&lt;/D&gt;&lt;D xsi:type="xsd:double"&gt;14.6603472545806&lt;/D&gt;&lt;D xsi:type="xsd:double"&gt;14.6184434310266&lt;/D&gt;&lt;D xsi:type="xsd:double"&gt;14.5541224722437&lt;/D&gt;&lt;D xsi:type="xsd:double"&gt;14.5485921446061&lt;/D&gt;&lt;D xsi:type="xsd:double"&gt;14.472709747819&lt;/D&gt;&lt;D xsi:type="xsd:double"&gt;14.5935157221978&lt;/D&gt;&lt;D xsi:type="xsd:double"&gt;14.6160769266076&lt;/D&gt;&lt;D xsi:type="xsd:double"&gt;14.6553363433736&lt;/D&gt;&lt;D xsi:type="xsd:double"&gt;14.6700875683039&lt;/D&gt;&lt;D xsi:type="xsd:double"&gt;14.6370209157866&lt;/D&gt;&lt;D xsi:type="xsd:double"&gt;14.6643160591716&lt;/D&gt;&lt;D xsi:type="xsd:double"&gt;14.660782664291&lt;/D&gt;&lt;D xsi:type="xsd:double"&gt;14.6979381662243&lt;/D&gt;&lt;D xsi:type="xsd:double"&gt;14.4741107529661&lt;/D&gt;&lt;D xsi:type="xsd:double"&gt;14.2616755258219&lt;/D&gt;&lt;D xsi:type="xsd:double"&gt;14.1681676058041&lt;/D&gt;&lt;D xsi:type="xsd:double"&gt;14.1613662403563&lt;/D&gt;&lt;D xsi:type="xsd:double"&gt;13.9153480139775&lt;/D&gt;&lt;D xsi:type="xsd:double"&gt;14.1184182866865&lt;/D&gt;&lt;D xsi:type="xsd:double"&gt;14.0292297093941&lt;/D&gt;&lt;D xsi:type="xsd:double"&gt;14.1195789781748&lt;/D&gt;&lt;D xsi:type="xsd:double"&gt;13.9078102436207&lt;/D&gt;&lt;D xsi:type="xsd:double"&gt;13.8427313247267&lt;/D&gt;&lt;D xsi:type="xsd:double"&gt;13.6147655924214&lt;/D&gt;&lt;D xsi:type="xsd:double"&gt;13.5962316173121&lt;/D&gt;&lt;D xsi:type="xsd:double"&gt;13.5079351874689&lt;/D&gt;&lt;D xsi:type="xsd:double"&gt;13.4392225538087&lt;/D&gt;&lt;D xsi:type="xsd:double"&gt;13.1458068855771&lt;/D&gt;&lt;D xsi:type="xsd:double"&gt;13.1452279872758&lt;/D&gt;&lt;D xsi:type="xsd:double"&gt;12.7907475910708&lt;/D&gt;&lt;D xsi:type="xsd:double"&gt;12.8778156968595&lt;/D&gt;&lt;D xsi:type="xsd:double"&gt;13.1459006800864&lt;/D&gt;&lt;D xsi:type="xsd:double"&gt;13.0190174733998&lt;/D&gt;&lt;D xsi:type="xsd:double"&gt;13.1520595022293&lt;/D&gt;&lt;D xsi:type="xsd:double"&gt;13.2452246217396&lt;/D&gt;&lt;D xsi:type="xsd:double"&gt;13.4294434702204&lt;/D&gt;&lt;D xsi:type="xsd:double"&gt;13.2643015405074&lt;/D&gt;&lt;D xsi:type="xsd:double"&gt;13.3197266542074&lt;/D&gt;&lt;D xsi:type="xsd:double"&gt;13.0965242779565&lt;/D&gt;&lt;D xsi:type="xsd:double"&gt;13.0479052851817&lt;/D&gt;&lt;D xsi:type="xsd:double"&gt;13.274785827822&lt;/D&gt;&lt;D xsi:type="xsd:double"&gt;13.28881557812&lt;/D&gt;&lt;D xsi:type="xsd:double"&gt;13.4328646133704&lt;/D&gt;&lt;D xsi:type="xsd:double"&gt;13.3090708655308&lt;/D&gt;&lt;D xsi:type="xsd:double"&gt;13.2588769858372&lt;/D&gt;&lt;D xsi:type="xsd:double"&gt;13.0377299011896&lt;/D&gt;&lt;D xsi:type="xsd:double"&gt;13.1613523759017&lt;/D&gt;&lt;D xsi:type="xsd:double"&gt;13.0315621484657&lt;/D&gt;&lt;D xsi:type="xsd:double"&gt;13.1852638921081&lt;/D&gt;&lt;D xsi:type="xsd:double"&gt;13.0454710225097&lt;/D&gt;&lt;D xsi:type="xsd:double"&gt;12.9899363335094&lt;/D&gt;&lt;D xsi:type="xsd:double"&gt;12.9342388171903&lt;/D&gt;&lt;D xsi:type="xsd:double"&gt;12.9938707335087&lt;/D&gt;&lt;D xsi:type="xsd:double"&gt;12.940611175248&lt;/D&gt;&lt;D xsi:type="xsd:double"&gt;12.950725640365&lt;/D&gt;&lt;D xsi:type="xsd:double"&gt;12.9554459212471&lt;/D&gt;&lt;D xsi:type="xsd:double"&gt;12.9603111312526&lt;/D&gt;&lt;D xsi:type="xsd:double"&gt;12.9428138437864&lt;/D&gt;&lt;D xsi:type="xsd:double"&gt;12.8692317251153&lt;/D&gt;&lt;D xsi:type="xsd:double"&gt;12.8624352229698&lt;/D&gt;&lt;D xsi:type="xsd:double"&gt;12.7609206248661&lt;/D&gt;&lt;D xsi:type="xsd:double"&gt;12.7342713079217&lt;/D&gt;&lt;D xsi:type="xsd:double"&gt;12.8030713385577&lt;/D&gt;&lt;D xsi:type="xsd:double"&gt;12.8566936603916&lt;/D&gt;&lt;D xsi:type="xsd:double"&gt;12.7822798722152&lt;/D&gt;&lt;D xsi:type="xsd:double"&gt;12.9991278119377&lt;/D&gt;&lt;D xsi:type="xsd:double"&gt;12.9448207132097&lt;/D&gt;&lt;D xsi:type="xsd:double"&gt;13.0284105365288&lt;/D&gt;&lt;D xsi:type="xsd:double"&gt;13.0979276920642&lt;/D&gt;&lt;D xsi:type="xsd:double"&gt;12.9161005724136&lt;/D&gt;&lt;D xsi:type="xsd:double"&gt;12.7662819017144&lt;/D&gt;&lt;D xsi:type="xsd:double"&gt;12.447742385571&lt;/D&gt;&lt;D xsi:type="xsd:double"&gt;12.0613658209063&lt;/D&gt;&lt;D xsi:type="xsd:double"&gt;12.1273944439291&lt;/D&gt;&lt;D xsi:type="xsd:double"&gt;12.1901453171234&lt;/D&gt;&lt;D xsi:type="xsd:double"&gt;12.464866428796&lt;/D&gt;&lt;D xsi:type="xsd:double"&gt;12.5185327273261&lt;/D&gt;&lt;D xsi:type="xsd:double"&gt;12.4586953421971&lt;/D&gt;&lt;D xsi:type="xsd:double"&gt;12.3801222354618&lt;/D&gt;&lt;D xsi:type="xsd:double"&gt;12.3702492727239&lt;/D&gt;&lt;D xsi:type="xsd:double"&gt;11.9997076219481&lt;/D&gt;&lt;D xsi:type="xsd:double"&gt;11.857166846255&lt;/D&gt;&lt;D xsi:type="xsd:double"&gt;11.7998681743963&lt;/D&gt;&lt;D xsi:type="xsd:double"&gt;11.7648051158304&lt;/D&gt;&lt;D xsi:type="xsd:double"&gt;11.9387591002731&lt;/D&gt;&lt;D xsi:type="xsd:double"&gt;11.8236994503278&lt;/D&gt;&lt;D xsi:type="xsd:double"&gt;12.0321142254055&lt;/D&gt;&lt;D xsi:type="xsd:double"&gt;12.3972004573827&lt;/D&gt;&lt;D xsi:type="xsd:double"&gt;12.6231293192641&lt;/D&gt;&lt;D xsi:type="xsd:double"&gt;12.5888078943103&lt;/D&gt;&lt;D xsi:type="xsd:double"&gt;12.8165591525879&lt;/D&gt;&lt;D xsi:type="xsd:double"&gt;12.9383121923497&lt;/D&gt;&lt;D xsi:type="xsd:double"&gt;13.0226016529616&lt;/D&gt;&lt;D xsi:type="xsd:double"&gt;12.9706194367493&lt;/D&gt;&lt;D xsi:type="xsd:double"&gt;13.0612939315714&lt;/D&gt;&lt;D xsi:type="xsd:double"&gt;13.0535127734402&lt;/D&gt;&lt;D xsi:type="xsd:double"&gt;12.8859608572265&lt;/D&gt;&lt;D xsi:type="xsd:double"&gt;13.048327469529&lt;/D&gt;&lt;D xsi:type="xsd:double"&gt;13.0018510207424&lt;/D&gt;&lt;D xsi:type="xsd:double"&gt;13.1353642443535&lt;/D&gt;&lt;D xsi:type="xsd:double"&gt;13.0783284753395&lt;/D&gt;&lt;D xsi:type="xsd:double"&gt;13.3919254789758&lt;/D&gt;&lt;D xsi:type="xsd:double"&gt;13.5466049284723&lt;/D&gt;&lt;D xsi:type="xsd:double"&gt;13.5583032452516&lt;/D&gt;&lt;D xsi:type="xsd:double"&gt;13.5082088875603&lt;/D&gt;&lt;D xsi:type="xsd:double"&gt;13.5263517043782&lt;/D&gt;&lt;D xsi:type="xsd:double"&gt;13.6002093916148&lt;/D&gt;&lt;D xsi:type="xsd:double"&gt;13.7777592850436&lt;/D&gt;&lt;D xsi:type="xsd:double"&gt;13.8392072483651&lt;/D&gt;&lt;D xsi:type="xsd:double"&gt;13.928299948809&lt;/D&gt;&lt;D xsi:type="xsd:double"&gt;13.97037725012&lt;/D&gt;&lt;D xsi:type="xsd:double"&gt;14.0267322789861&lt;/D&gt;&lt;D xsi:type="xsd:double"&gt;14.0381574388496&lt;/D&gt;&lt;D xsi:type="xsd:double"&gt;14.0583450825221&lt;/D&gt;&lt;D xsi:type="xsd:double"&gt;13.9676726919161&lt;/D&gt;&lt;D xsi:type="xsd:double"&gt;14.0203002741344&lt;/D&gt;&lt;D xsi:type="xsd:double"&gt;13.9257895627404&lt;/D&gt;&lt;D xsi:type="xsd:double"&gt;14.2621976675704&lt;/D&gt;&lt;D xsi:type="xsd:double"&gt;14.4996923177182&lt;/D&gt;&lt;D xsi:type="xsd:double"&gt;14.4259453908934&lt;/D&gt;&lt;D xsi:type="xsd:double"&gt;14.2706740917097&lt;/D&gt;&lt;D xsi:type="xsd:double"&gt;14.6474856234074&lt;/D&gt;&lt;D xsi:type="xsd:double"&gt;15.022557928&lt;/D&gt;&lt;D xsi:type="xsd:double"&gt;15.0235356783012&lt;/D&gt;&lt;D xsi:type="xsd:double"&gt;15.0602157890949&lt;/D&gt;&lt;D xsi:type="xsd:double"&gt;15.0925723639367&lt;/D&gt;&lt;D xsi:type="xsd:double"&gt;15.050339464921&lt;/D&gt;&lt;D xsi:type="xsd:double"&gt;15.3102034859007&lt;/D&gt;&lt;D xsi:type="xsd:double"&gt;15.1989902240525&lt;/D&gt;&lt;D xsi:type="xsd:double"&gt;15.3011091240459&lt;/D&gt;&lt;D xsi:type="xsd:double"&gt;15.9059303575908&lt;/D&gt;&lt;D xsi:type="xsd:double"&gt;16.1373074270251&lt;/D&gt;&lt;D xsi:type="xsd:double"&gt;16.2154888969949&lt;/D&gt;&lt;D xsi:type="xsd:double"&gt;16.2447972218243&lt;/D&gt;&lt;D xsi:type="xsd:double"&gt;16.497435549089&lt;/D&gt;&lt;D xsi:type="xsd:double"&gt;16.5903094934905&lt;/D&gt;&lt;D xsi:type="xsd:double"&gt;16.4710686303305&lt;/D&gt;&lt;D xsi:type="xsd:double"&gt;16.5107201022336&lt;/D&gt;&lt;D xsi:type="xsd:double"&gt;16.8812089150442&lt;/D&gt;&lt;D xsi:type="xsd:double"&gt;17.0380486235444&lt;/D&gt;&lt;D xsi:type="xsd:double"&gt;17.292757458341&lt;/D&gt;&lt;D xsi:type="xsd:double"&gt;17.4746767178471&lt;/D&gt;&lt;D xsi:type="xsd:double"&gt;18.4603415010677&lt;/D&gt;&lt;D xsi:type="xsd:double"&gt;17.3969750259873&lt;/D&gt;&lt;D xsi:type="xsd:double"&gt;17.8048818311598&lt;/D&gt;&lt;D xsi:type="xsd:double"&gt;17.9070223176836&lt;/D&gt;&lt;D xsi:type="xsd:double"&gt;18.0292576228807&lt;/D&gt;&lt;D xsi:type="xsd:double"&gt;18.3229640271927&lt;/D&gt;&lt;D xsi:type="xsd:double"&gt;18.4923604421055&lt;/D&gt;&lt;D xsi:type="xsd:double"&gt;18.6462160993415&lt;/D&gt;&lt;D xsi:type="xsd:double"&gt;18.889036351873&lt;/D&gt;&lt;D xsi:type="xsd:double"&gt;19.0955724116382&lt;/D&gt;&lt;D xsi:type="xsd:double"&gt;19.1497797821036&lt;/D&gt;&lt;D xsi:type="xsd:double"&gt;19.316962762338&lt;/D&gt;&lt;D xsi:type="xsd:double"&gt;19.4156105218435&lt;/D&gt;&lt;D xsi:type="xsd:double"&gt;19.4812380479543&lt;/D&gt;&lt;D xsi:type="xsd:double"&gt;19.4824447241577&lt;/D&gt;&lt;D xsi:type="xsd:double"&gt;19.5571886089689&lt;/D&gt;&lt;D xsi:type="xsd:double"&gt;19.7934654358727&lt;/D&gt;&lt;D xsi:type="xsd:double"&gt;19.878088788652&lt;/D&gt;&lt;D xsi:type="xsd:double"&gt;20.0929119085377&lt;/D&gt;&lt;D xsi:type="xsd:double"&gt;20.2493680311966&lt;/D&gt;&lt;D xsi:type="xsd:double"&gt;20.3101165475372&lt;/D&gt;&lt;D xsi:type="xsd:double"&gt;20.4109699543773&lt;/D&gt;&lt;D xsi:type="xsd:double"&gt;20.4778341392719&lt;/D&gt;&lt;D xsi:type="xsd:double"&gt;20.6013669172572&lt;/D&gt;&lt;D xsi:type="xsd:double"&gt;20.7113608131376&lt;/D&gt;&lt;D xsi:type="xsd:double"&gt;20.7559880689012&lt;/D&gt;&lt;D xsi:type="xsd:double"&gt;20.8418918332536&lt;/D&gt;&lt;D xsi:type="xsd:double"&gt;21.8935923934699&lt;/D&gt;&lt;D xsi:type="xsd:double"&gt;22.0977288192377&lt;/D&gt;&lt;D xsi:type="xsd:double"&gt;22.0377197691642&lt;/D&gt;&lt;D xsi:type="xsd:double"&gt;21.3771997966776&lt;/D&gt;&lt;D xsi:type="xsd:double"&gt;22.3168339308734&lt;/D&gt;&lt;D xsi:type="xsd:double"&gt;22.302488152969&lt;/D&gt;&lt;D xsi:type="xsd:double"&gt;22.4720220571542&lt;/D&gt;&lt;D xsi:type="xsd:double"&gt;21.7744112293436&lt;/D&gt;&lt;D xsi:type="xsd:double"&gt;21.30956597502&lt;/D&gt;&lt;D xsi:type="xsd:double"&gt;21.3061519502385&lt;/D&gt;&lt;D xsi:type="xsd:double"&gt;20.917257964635&lt;/D&gt;&lt;D xsi:type="xsd:double"&gt;20.8607182666955&lt;/D&gt;&lt;D xsi:type="xsd:double"&gt;20.6819217899285&lt;/D&gt;&lt;D xsi:type="xsd:double"&gt;20.2779415135637&lt;/D&gt;&lt;D xsi:type="xsd:double"&gt;19.9357517831838&lt;/D&gt;&lt;D xsi:type="xsd:double"&gt;19.2642927555169&lt;/D&gt;&lt;D xsi:type="xsd:double"&gt;18.2865015940629&lt;/D&gt;&lt;D xsi:type="xsd:double"&gt;18.997322549742&lt;/D&gt;&lt;D xsi:type="xsd:double"&gt;18.9279947987961&lt;/D&gt;&lt;D xsi:type="xsd:double"&gt;18.9613493963719&lt;/D&gt;&lt;D xsi:type="xsd:double"&gt;18.5100923365881&lt;/D&gt;&lt;D xsi:type="xsd:double"&gt;18.2738552214847&lt;/D&gt;&lt;D xsi:type="xsd:double"&gt;18.5623190500476&lt;/D&gt;&lt;D xsi:type="xsd:double"&gt;18.4162131088022&lt;/D&gt;&lt;D xsi:type="xsd:double"&gt;18.2000185811315&lt;/D&gt;&lt;D xsi:type="xsd:double"&gt;18.1987392004181&lt;/D&gt;&lt;D xsi:type="xsd:double"&gt;17.8785295204806&lt;/D&gt;&lt;D xsi:type="xsd:double"&gt;17.8242208692252&lt;/D&gt;&lt;D xsi:type="xsd:double"&gt;17.58836395663&lt;/D&gt;&lt;D xsi:type="xsd:double"&gt;17.2343325971972&lt;/D&gt;&lt;D xsi:type="xsd:double"&gt;17.2430886603335&lt;/D&gt;&lt;D xsi:type="xsd:double"&gt;17.1998910371525&lt;/D&gt;&lt;D xsi:type="xsd:double"&gt;16.9583200984381&lt;/D&gt;&lt;D xsi:type="xsd:double"&gt;16.7054457870563&lt;/D&gt;&lt;D xsi:type="xsd:double"&gt;16.3852401062033&lt;/D&gt;&lt;D xsi:type="xsd:double"&gt;16.3653547159876&lt;/D&gt;&lt;D xsi:type="xsd:double"&gt;16.0246510936798&lt;/D&gt;&lt;D xsi:type="xsd:double"&gt;16.1759632068404&lt;/D&gt;&lt;D xsi:type="xsd:double"&gt;15.5212327086282&lt;/D&gt;&lt;D xsi:type="xsd:double"&gt;15.14854587758&lt;/D&gt;&lt;D xsi:type="xsd:double"&gt;14.9030462250898&lt;/D&gt;&lt;D xsi:type="xsd:double"&gt;14.8852032462051&lt;/D&gt;&lt;D xsi:type="xsd:double"&gt;14.704664649229&lt;/D&gt;&lt;D xsi:type="xsd:double"&gt;14.4273859697775&lt;/D&gt;&lt;D xsi:type="xsd:double"&gt;14.3574222680537&lt;/D&gt;&lt;D xsi:type="xsd:double"&gt;14.1582798739358&lt;/D&gt;&lt;D xsi:type="xsd:double"&gt;13.8386631013061&lt;/D&gt;&lt;D xsi:type="xsd:double"&gt;13.8195298146352&lt;/D&gt;&lt;D xsi:type="xsd:double"&gt;13.5933140060133&lt;/D&gt;&lt;D xsi:type="xsd:double"&gt;13.7000528214878&lt;/D&gt;&lt;D xsi:type="xsd:double"&gt;14.0574102249296&lt;/D&gt;&lt;D xsi:type="xsd:double"&gt;14.0872538507799&lt;/D&gt;&lt;D xsi:type="xsd:double"&gt;15.5374210345144&lt;/D&gt;&lt;D xsi:type="xsd:double"&gt;15.5832851854988&lt;/D&gt;&lt;D xsi:type="xsd:double"&gt;15.4388062626798&lt;/D&gt;&lt;D xsi:type="xsd:double"&gt;15.0286711234051&lt;/D&gt;&lt;D xsi:type="xsd:double"&gt;15.4969539450737&lt;/D&gt;&lt;D xsi:type="xsd:double"&gt;15.6817670587569&lt;/D&gt;&lt;D xsi:type="xsd:double"&gt;15.5246178973355&lt;/D&gt;&lt;D xsi:type="xsd:double"&gt;15.4537274731416&lt;/D&gt;&lt;D xsi:type="xsd:double"&gt;15.4531823597728&lt;/D&gt;&lt;D xsi:type="xsd:double"&gt;15.3215370377999&lt;/D&gt;&lt;D xsi:type="xsd:double"&gt;15.0935816428802&lt;/D&gt;&lt;D xsi:type="xsd:double"&gt;14.8168343064868&lt;/D&gt;&lt;D xsi:type="xsd:double"&gt;14.7375587784349&lt;/D&gt;&lt;D xsi:type="xsd:double"&gt;14.6189197049962&lt;/D&gt;&lt;D xsi:type="xsd:double"&gt;14.633998817288&lt;/D&gt;&lt;D xsi:type="xsd:double"&gt;14.6571696051816&lt;/D&gt;&lt;D xsi:type="xsd:double"&gt;14.4396199126884&lt;/D&gt;&lt;D xsi:type="xsd:double"&gt;14.33413314545&lt;/D&gt;&lt;D xsi:type="xsd:double"&gt;14.1508596214201&lt;/D&gt;&lt;D xsi:type="xsd:double"&gt;14.0424331268259&lt;/D&gt;&lt;D xsi:type="xsd:double"&gt;13.8277648293454&lt;/D&gt;&lt;D xsi:type="xsd:double"&gt;13.9995688680756&lt;/D&gt;&lt;D xsi:type="xsd:double"&gt;14.057028586715&lt;/D&gt;&lt;D xsi:type="xsd:double"&gt;14.0465639911037&lt;/D&gt;&lt;D xsi:type="xsd:double"&gt;13.8714836766306&lt;/D&gt;&lt;D xsi:type="xsd:double"&gt;13.6762326714449&lt;/D&gt;&lt;D xsi:type="xsd:double"&gt;13.5108365096878&lt;/D&gt;&lt;D xsi:type="xsd:double"&gt;13.456571905212&lt;/D&gt;&lt;D xsi:type="xsd:double"&gt;13.5382538808562&lt;/D&gt;&lt;D xsi:type="xsd:double"&gt;13.6510830301386&lt;/D&gt;&lt;D xsi:type="xsd:double"&gt;13.8640719298957&lt;/D&gt;&lt;D xsi:type="xsd:double"&gt;13.811672538674&lt;/D&gt;&lt;D xsi:type="xsd:double"&gt;13.7742011034254&lt;/D&gt;&lt;D xsi:type="xsd:double"&gt;13.8182326514826&lt;/D&gt;&lt;D xsi:type="xsd:double"&gt;13.7179876960412&lt;/D&gt;&lt;D xsi:type="xsd:double"&gt;13.7098300353072&lt;/D&gt;&lt;D xsi:type="xsd:double"&gt;13.5730213924297&lt;/D&gt;&lt;D xsi:type="xsd:double"&gt;13.541613380128&lt;/D&gt;&lt;D xsi:type="xsd:double"&gt;13.4337961651238&lt;/D&gt;&lt;D xsi:type="xsd:double"&gt;13.4641047553411&lt;/D&gt;&lt;D xsi:type="xsd:double"&gt;13.5265504767726&lt;/D&gt;&lt;D xsi:type="xsd:double"&gt;13.5265655449759&lt;/D&gt;&lt;D xsi:type="xsd:double"&gt;13.6831114803683&lt;/D&gt;&lt;D xsi:type="xsd:double"&gt;13.6725470207683&lt;/D&gt;&lt;D xsi:type="xsd:double"&gt;13.6666837731927&lt;/D&gt;&lt;D xsi:type="xsd:double"&gt;13.6474104039179&lt;/D&gt;&lt;D xsi:type="xsd:double"&gt;13.6499621674173&lt;/D&gt;&lt;D xsi:type="xsd:double"&gt;13.5782361453836&lt;/D&gt;&lt;D xsi:type="xsd:double"&gt;13.5816288153815&lt;/D&gt;&lt;D xsi:type="xsd:double"&gt;13.5947185442667&lt;/D&gt;&lt;D xsi:type="xsd:double"&gt;13.5449885577866&lt;/D&gt;&lt;D xsi:type="xsd:double"&gt;13.5921103274163&lt;/D&gt;&lt;D xsi:type="xsd:double"&gt;13.5872972316723&lt;/D&gt;&lt;D xsi:type="xsd:double"&gt;13.3788086641774&lt;/D&gt;&lt;D xsi:type="xsd:double"&gt;13.1074970560054&lt;/D&gt;&lt;D xsi:type="xsd:double"&gt;13.1712180719507&lt;/D&gt;&lt;D xsi:type="xsd:double"&gt;13.0174063222481&lt;/D&gt;&lt;D xsi:type="xsd:double"&gt;12.8871641934049&lt;/D&gt;&lt;D xsi:type="xsd:double"&gt;12.6018614752949&lt;/D&gt;&lt;D xsi:type="xsd:double"&gt;12.2283621091566&lt;/D&gt;&lt;D xsi:type="xsd:double"&gt;12.1632795582187&lt;/D&gt;&lt;D xsi:type="xsd:double"&gt;12.1916988177966&lt;/D&gt;&lt;D xsi:type="xsd:double"&gt;12.6498462211886&lt;/D&gt;&lt;D xsi:type="xsd:double"&gt;12.7283726740491&lt;/D&gt;&lt;D xsi:type="xsd:double"&gt;12.9987697983086&lt;/D&gt;&lt;D xsi:type="xsd:double"&gt;12.8700707811414&lt;/D&gt;&lt;D xsi:type="xsd:double"&gt;13.0405795800345&lt;/D&gt;&lt;D xsi:type="xsd:double"&gt;13.1899480196833&lt;/D&gt;&lt;D xsi:type="xsd:double"&gt;13.2513345635486&lt;/D&gt;&lt;D xsi:type="xsd:double"&gt;12.9344956653515&lt;/D&gt;&lt;D xsi:type="xsd:double"&gt;13.3150634018318&lt;/D&gt;&lt;D xsi:type="xsd:double"&gt;13.3587728213372&lt;/D&gt;&lt;D xsi:type="xsd:double"&gt;13.8054304778659&lt;/D&gt;&lt;D xsi:type="xsd:double"&gt;14.0575320351237&lt;/D&gt;&lt;D xsi:type="xsd:double"&gt;14.1079992523014&lt;/D&gt;&lt;D xsi:type="xsd:double"&gt;13.9188792399536&lt;/D&gt;&lt;D xsi:type="xsd:double"&gt;13.8468240078691&lt;/D&gt;&lt;D xsi:type="xsd:double"&gt;14.1377382283841&lt;/D&gt;&lt;D xsi:type="xsd:double"&gt;14.1648183199311&lt;/D&gt;&lt;D xsi:type="xsd:double"&gt;14.1068962014991&lt;/D&gt;&lt;D xsi:type="xsd:double"&gt;14.2662652054152&lt;/D&gt;&lt;D xsi:type="xsd:double"&gt;14.3713556069562&lt;/D&gt;&lt;D xsi:type="xsd:double"&gt;14.52344396461&lt;/D&gt;&lt;D xsi:type="xsd:double"&gt;14.4483137660586&lt;/D&gt;&lt;D xsi:type="xsd:double"&gt;14.4503446140459&lt;/D&gt;&lt;D xsi:type="xsd:double"&gt;14.397449371227&lt;/D&gt;&lt;D xsi:type="xsd:double"&gt;14.4271104342809&lt;/D&gt;&lt;D xsi:type="xsd:double"&gt;14.5209408981471&lt;/D&gt;&lt;D xsi:type="xsd:double"&gt;14.6225170943409&lt;/D&gt;&lt;D xsi:type="xsd:double"&gt;14.645614172999&lt;/D&gt;&lt;D xsi:type="xsd:double"&gt;14.6487237996952&lt;/D&gt;&lt;D xsi:type="xsd:double"&gt;14.7318480931835&lt;/D&gt;&lt;D xsi:type="xsd:double"&gt;14.8229065588822&lt;/D&gt;&lt;D xsi:type="xsd:double"&gt;14.8567690942949&lt;/D&gt;&lt;D xsi:type="xsd:double"&gt;14.8192106216425&lt;/D&gt;&lt;D xsi:type="xsd:double"&gt;14.8542386586163&lt;/D&gt;&lt;D xsi:type="xsd:double"&gt;14.8577012843288&lt;/D&gt;&lt;D xsi:type="xsd:double"&gt;14.8584726001744&lt;/D&gt;&lt;D xsi:type="xsd:double"&gt;14.8743932880347&lt;/D&gt;&lt;D xsi:type="xsd:double"&gt;14.8801083463248&lt;/D&gt;&lt;D xsi:type="xsd:double"&gt;14.8882420345478&lt;/D&gt;&lt;D xsi:type="xsd:double"&gt;15.0158385612958&lt;/D&gt;&lt;D xsi:type="xsd:double"&gt;15.0392801275692&lt;/D&gt;&lt;D xsi:type="xsd:double"&gt;15.01491806197&lt;/D&gt;&lt;D xsi:type="xsd:double"&gt;15.2645934126545&lt;/D&gt;&lt;D xsi:type="xsd:double"&gt;15.3553375581509&lt;/D&gt;&lt;D xsi:type="xsd:double"&gt;14.9521328118014&lt;/D&gt;&lt;D xsi:type="xsd:double"&gt;15.8628031508312&lt;/D&gt;&lt;D xsi:type="xsd:double"&gt;16.3349995703152&lt;/D&gt;&lt;D xsi:type="xsd:double"&gt;16.2170384875094&lt;/D&gt;&lt;D xsi:type="xsd:double"&gt;16.1237175244&lt;/D&gt;&lt;D xsi:type="xsd:double"&gt;16.1215814224552&lt;/D&gt;&lt;D xsi:type="xsd:double"&gt;15.8021481133322&lt;/D&gt;&lt;D xsi:type="xsd:double"&gt;15.7676995707782&lt;/D&gt;&lt;D xsi:type="xsd:double"&gt;15.5928264505261&lt;/D&gt;&lt;D xsi:type="xsd:double"&gt;15.6410707945367&lt;/D&gt;&lt;D xsi:type="xsd:double"&gt;15.5993431089575&lt;/D&gt;&lt;D xsi:type="xsd:double"&gt;15.7733988370415&lt;/D&gt;&lt;D xsi:type="xsd:double"&gt;15.6213294229106&lt;/D&gt;&lt;D xsi:type="xsd:double"&gt;15.7282265259207&lt;/D&gt;&lt;D xsi:type="xsd:double"&gt;15.8009864354052&lt;/D&gt;&lt;D xsi:type="xsd:double"&gt;15.7349206384062&lt;/D&gt;&lt;D xsi:type="xsd:double"&gt;15.7036385886802&lt;/D&gt;&lt;D xsi:type="xsd:double"&gt;15.6860264991819&lt;/D&gt;&lt;D xsi:type="xsd:double"&gt;15.6059805403731&lt;/D&gt;&lt;D xsi:type="xsd:double"&gt;15.5475060651424&lt;/D&gt;&lt;D xsi:type="xsd:double"&gt;15.5657405380888&lt;/D&gt;&lt;D xsi:type="xsd:double"&gt;15.4796440464586&lt;/D&gt;&lt;D xsi:type="xsd:double"&gt;15.3960507928099&lt;/D&gt;&lt;D xsi:type="xsd:double"&gt;15.500886643956&lt;/D&gt;&lt;D xsi:type="xsd:double"&gt;15.512810491226&lt;/D&gt;&lt;D xsi:type="xsd:double"&gt;15.4863266257252&lt;/D&gt;&lt;D xsi:type="xsd:double"&gt;15.5159050100258&lt;/D&gt;&lt;D xsi:type="xsd:double"&gt;15.7541991732094&lt;/D&gt;&lt;D xsi:type="xsd:double"&gt;15.7233817391013&lt;/D&gt;&lt;D xsi:type="xsd:double"&gt;15.7762899754453&lt;/D&gt;&lt;D xsi:type="xsd:double"&gt;15.8156846796907&lt;/D&gt;&lt;D xsi:type="xsd:double"&gt;15.686800500906&lt;/D&gt;&lt;D xsi:type="xsd:double"&gt;15.7321004551667&lt;/D&gt;&lt;D xsi:type="xsd:double"&gt;15.8252973792908&lt;/D&gt;&lt;D xsi:type="xsd:double"&gt;15.8482897861195&lt;/D&gt;&lt;D xsi:type="xsd:double"&gt;15.9186740004911&lt;/D&gt;&lt;D xsi:type="xsd:double"&gt;15.9954190370873&lt;/D&gt;&lt;D xsi:type="xsd:double"&gt;15.9851368881991&lt;/D&gt;&lt;D xsi:type="xsd:double"&gt;15.9962324562648&lt;/D&gt;&lt;D xsi:type="xsd:double"&gt;16.0561094710247&lt;/D&gt;&lt;D xsi:type="xsd:double"&gt;16.0468132802003&lt;/D&gt;&lt;D xsi:type="xsd:double"&gt;16.0357458642719&lt;/D&gt;&lt;D xsi:type="xsd:double"&gt;15.9915656993102&lt;/D&gt;&lt;D xsi:type="xsd:double"&gt;16.0556861056418&lt;/D&gt;&lt;D xsi:type="xsd:double"&gt;16.1191295358587&lt;/D&gt;&lt;D xsi:type="xsd:double"&gt;16.1644463092064&lt;/D&gt;&lt;D xsi:type="xsd:double"&gt;16.2149871707991&lt;/D&gt;&lt;D xsi:type="xsd:double"&gt;16.2762494303693&lt;/D&gt;&lt;D xsi:type="xsd:double"&gt;16.28938199149&lt;/D&gt;&lt;D xsi:type="xsd:double"&gt;16.3343708603753&lt;/D&gt;&lt;D xsi:type="xsd:double"&gt;16.4202002583485&lt;/D&gt;&lt;D xsi:type="xsd:double"&gt;16.3327075257153&lt;/D&gt;&lt;D xsi:type="xsd:double"&gt;16.2402414695768&lt;/D&gt;&lt;D xsi:type="xsd:double"&gt;16.0850250644069&lt;/D&gt;&lt;D xsi:type="xsd:double"&gt;16.2940262700602&lt;/D&gt;&lt;D xsi:type="xsd:double"&gt;16.1438018436151&lt;/D&gt;&lt;D xsi:type="xsd:double"&gt;16.2846878391005&lt;/D&gt;&lt;D xsi:type="xsd:double"&gt;16.258472154945&lt;/D&gt;&lt;D xsi:type="xsd:double"&gt;16.031425873014&lt;/D&gt;&lt;D xsi:type="xsd:double"&gt;15.9366271430037&lt;/D&gt;&lt;D xsi:type="xsd:double"&gt;15.8515448755905&lt;/D&gt;&lt;D xsi:type="xsd:double"&gt;15.7988341966204&lt;/D&gt;&lt;D xsi:type="xsd:double"&gt;15.3050698210573&lt;/D&gt;&lt;D xsi:type="xsd:double"&gt;15.3717886880154&lt;/D&gt;&lt;D xsi:type="xsd:double"&gt;15.1463819949284&lt;/D&gt;&lt;D xsi:type="xsd:double"&gt;15.0690087102382&lt;/D&gt;&lt;D xsi:type="xsd:double"&gt;14.9049832979622&lt;/D&gt;&lt;D xsi:type="xsd:double"&gt;15.3073947761267&lt;/D&gt;&lt;D xsi:type="xsd:double"&gt;15.3381721312388&lt;/D&gt;&lt;D xsi:type="xsd:double"&gt;15.1667558860297&lt;/D&gt;&lt;D xsi:type="xsd:double"&gt;15.1925463932884&lt;/D&gt;&lt;D xsi:type="xsd:double"&gt;15.1112862144687&lt;/D&gt;&lt;D xsi:type="xsd:double"&gt;15.1980684634598&lt;/D&gt;&lt;D xsi:type="xsd:double"&gt;14.9024364926524&lt;/D&gt;&lt;D xsi:type="xsd:double"&gt;15.1148037410123&lt;/D&gt;&lt;D xsi:type="xsd:double"&gt;15.1376680825465&lt;/D&gt;&lt;D xsi:type="xsd:double"&gt;14.9675767402772&lt;/D&gt;&lt;D xsi:type="xsd:double"&gt;14.9681485359148&lt;/D&gt;&lt;D xsi:type="xsd:double"&gt;15.0249837305879&lt;/D&gt;&lt;D xsi:type="xsd:double"&gt;14.7992027401443&lt;/D&gt;&lt;D xsi:type="xsd:double"&gt;14.8211058527429&lt;/D&gt;&lt;D xsi:type="xsd:double"&gt;14.8212136380743&lt;/D&gt;&lt;D xsi:type="xsd:double"&gt;14.7648450360366&lt;/D&gt;&lt;D xsi:type="xsd:double"&gt;14.41972716434&lt;/D&gt;&lt;D xsi:type="xsd:double"&gt;14.4894667257897&lt;/D&gt;&lt;D xsi:type="xsd:double"&gt;14.216859167851&lt;/D&gt;&lt;D xsi:type="xsd:double"&gt;14.2693564794249&lt;/D&gt;&lt;D xsi:type="xsd:double"&gt;14.4531906486237&lt;/D&gt;&lt;D xsi:type="xsd:double"&gt;14.5204413902323&lt;/D&gt;&lt;D xsi:type="xsd:double"&gt;14.</t>
        </r>
      </text>
    </comment>
    <comment ref="A22" authorId="0" shapeId="0" xr:uid="{690A0882-DED7-4C45-8E12-160B49DF2446}">
      <text>
        <r>
          <rPr>
            <b/>
            <sz val="9"/>
            <color indexed="81"/>
            <rFont val="Tahoma"/>
            <charset val="1"/>
          </rPr>
          <t>4870459040376&lt;/D&gt;&lt;D xsi:type="xsd:double"&gt;14.3379045418551&lt;/D&gt;&lt;D xsi:type="xsd:double"&gt;14.2949677411472&lt;/D&gt;&lt;D xsi:type="xsd:double"&gt;14.2479566376958&lt;/D&gt;&lt;D xsi:type="xsd:double"&gt;14.3798451281993&lt;/D&gt;&lt;D xsi:type="xsd:double"&gt;14.4670188648014&lt;/D&gt;&lt;D xsi:type="xsd:double"&gt;14.3872966268657&lt;/D&gt;&lt;D xsi:type="xsd:double"&gt;14.231331065532&lt;/D&gt;&lt;D xsi:type="xsd:double"&gt;14.2460224753728&lt;/D&gt;&lt;D xsi:type="xsd:double"&gt;14.2649455112581&lt;/D&gt;&lt;D xsi:type="xsd:double"&gt;14.2997862785251&lt;/D&gt;&lt;D xsi:type="xsd:double"&gt;14.2773515238868&lt;/D&gt;&lt;D xsi:type="xsd:double"&gt;14.2604674906657&lt;/D&gt;&lt;D xsi:type="xsd:double"&gt;14.1692771119191&lt;/D&gt;&lt;D xsi:type="xsd:double"&gt;13.9609063822062&lt;/D&gt;&lt;D xsi:type="xsd:double"&gt;13.28918585207&lt;/D&gt;&lt;D xsi:type="xsd:double"&gt;13.9602629144574&lt;/D&gt;&lt;D xsi:type="xsd:double"&gt;14.2930656958917&lt;/D&gt;&lt;D xsi:type="xsd:double"&gt;13.8687100036714&lt;/D&gt;&lt;D xsi:type="xsd:double"&gt;13.7018793908184&lt;/D&gt;&lt;D xsi:type="xsd:double"&gt;14.0595072219849&lt;/D&gt;&lt;D xsi:type="xsd:double"&gt;14.9596442715394&lt;/D&gt;&lt;D xsi:type="xsd:double"&gt;14.8320463755932&lt;/D&gt;&lt;D xsi:type="xsd:double"&gt;14.6761592815246&lt;/D&gt;&lt;D xsi:type="xsd:double"&gt;14.4460197319957&lt;/D&gt;&lt;D xsi:type="xsd:double"&gt;14.9764577104912&lt;/D&gt;&lt;D xsi:type="xsd:double"&gt;15.2966915342498&lt;/D&gt;&lt;D xsi:type="xsd:double"&gt;15.337789206468&lt;/D&gt;&lt;D xsi:type="xsd:double"&gt;15.0148265034479&lt;/D&gt;&lt;D xsi:type="xsd:double"&gt;15.2714109364201&lt;/D&gt;&lt;D xsi:type="xsd:double"&gt;15.1696382482616&lt;/D&gt;&lt;D xsi:type="xsd:double"&gt;15.2561861808715&lt;/D&gt;&lt;D xsi:type="xsd:double"&gt;15.0182081649257&lt;/D&gt;&lt;D xsi:type="xsd:double"&gt;15.0172187528814&lt;/D&gt;&lt;D xsi:type="xsd:double"&gt;14.5116411477831&lt;/D&gt;&lt;D xsi:type="xsd:double"&gt;14.4986827907895&lt;/D&gt;&lt;D xsi:type="xsd:double"&gt;14.7311738960291&lt;/D&gt;&lt;D xsi:type="xsd:double"&gt;14.7140657315856&lt;/D&gt;&lt;D xsi:type="xsd:double"&gt;14.5789917647078&lt;/D&gt;&lt;D xsi:type="xsd:double"&gt;14.9539883114946&lt;/D&gt;&lt;D xsi:type="xsd:double"&gt;14.929146335206&lt;/D&gt;&lt;D xsi:type="xsd:double"&gt;15.4616077539604&lt;/D&gt;&lt;D xsi:type="xsd:double"&gt;15.6316473448275&lt;/D&gt;&lt;D xsi:type="xsd:double"&gt;15.6718855076924&lt;/D&gt;&lt;D xsi:type="xsd:double"&gt;15.5854541484209&lt;/D&gt;&lt;D xsi:type="xsd:double"&gt;15.7406955531128&lt;/D&gt;&lt;D xsi:type="xsd:double"&gt;15.52482022622&lt;/D&gt;&lt;D xsi:type="xsd:double"&gt;15.6129536534519&lt;/D&gt;&lt;D xsi:type="xsd:double"&gt;15.7491716683775&lt;/D&gt;&lt;D xsi:type="xsd:double"&gt;15.6339214949797&lt;/D&gt;&lt;D xsi:type="xsd:double"&gt;15.7169523718309&lt;/D&gt;&lt;D xsi:type="xsd:double"&gt;15.7338680953525&lt;/D&gt;&lt;D xsi:type="xsd:double"&gt;15.8551670060092&lt;/D&gt;&lt;D xsi:type="xsd:double"&gt;15.9203841903452&lt;/D&gt;&lt;D xsi:type="xsd:double"&gt;15.8662282988668&lt;/D&gt;&lt;D xsi:type="xsd:double"&gt;15.8624392991536&lt;/D&gt;&lt;D xsi:type="xsd:double"&gt;15.8613316056145&lt;/D&gt;&lt;D xsi:type="xsd:double"&gt;15.9380846091637&lt;/D&gt;&lt;D xsi:type="xsd:double"&gt;15.8634997737528&lt;/D&gt;&lt;D xsi:type="xsd:double"&gt;15.8949988646859&lt;/D&gt;&lt;D xsi:type="xsd:double"&gt;15.7754394758298&lt;/D&gt;&lt;D xsi:type="xsd:double"&gt;15.7482046694463&lt;/D&gt;&lt;D xsi:type="xsd:double"&gt;15.8009936168727&lt;/D&gt;&lt;D xsi:type="xsd:double"&gt;15.7270198157363&lt;/D&gt;&lt;D xsi:type="xsd:double"&gt;15.7573679780083&lt;/D&gt;&lt;D xsi:type="xsd:double"&gt;15.7823775771023&lt;/D&gt;&lt;D xsi:type="xsd:double"&gt;15.540999046145&lt;/D&gt;&lt;D xsi:type="xsd:double"&gt;15.3750601217281&lt;/D&gt;&lt;D xsi:type="xsd:double"&gt;15.1323956508636&lt;/D&gt;&lt;D xsi:type="xsd:double"&gt;14.8346750279713&lt;/D&gt;&lt;D xsi:type="xsd:double"&gt;14.9284159412547&lt;/D&gt;&lt;D xsi:type="xsd:double"&gt;14.3698574249455&lt;/D&gt;&lt;D xsi:type="xsd:double"&gt;14.3039707798535&lt;/D&gt;&lt;D xsi:type="xsd:double"&gt;14.5151411761954&lt;/D&gt;&lt;D xsi:type="xsd:double"&gt;14.6368469977794&lt;/D&gt;&lt;D xsi:type="xsd:double"&gt;14.5014456275221&lt;/D&gt;&lt;D xsi:type="xsd:double"&gt;14.230920825542&lt;/D&gt;&lt;D xsi:type="xsd:double"&gt;14.8286415350148&lt;/D&gt;&lt;D xsi:type="xsd:double"&gt;14.7730036865268&lt;/D&gt;&lt;D xsi:type="xsd:double"&gt;14.7668141004453&lt;/D&gt;&lt;D xsi:type="xsd:double"&gt;14.5189792952054&lt;/D&gt;&lt;D xsi:type="xsd:double"&gt;14.4143440347887&lt;/D&gt;&lt;D xsi:type="xsd:double"&gt;14.4254862613167&lt;/D&gt;&lt;D xsi:type="xsd:double"&gt;14.0621353070327&lt;/D&gt;&lt;D xsi:type="xsd:double"&gt;13.8117242417589&lt;/D&gt;&lt;D xsi:type="xsd:double"&gt;13.9410094167811&lt;/D&gt;&lt;D xsi:type="xsd:double"&gt;14.2280618922498&lt;/D&gt;&lt;D xsi:type="xsd:double"&gt;14.462849412393&lt;/D&gt;&lt;D xsi:type="xsd:double"&gt;14.6446760300543&lt;/D&gt;&lt;D xsi:type="xsd:double"&gt;14.5905360710056&lt;/D&gt;&lt;D xsi:type="xsd:double"&gt;14.6879179245877&lt;/D&gt;&lt;D xsi:type="xsd:double"&gt;14.5934643491784&lt;/D&gt;&lt;D xsi:type="xsd:double"&gt;14.5484520828052&lt;/D&gt;&lt;/FQL&gt;&lt;FQL&gt;&lt;Q&gt;^ECON_EXPR_DESCRIPTION('RETURNS(FDS_ECON[US.LMCLAIMS,DIST=STEP,CONV=AVERAGE], -1AY)')&lt;/Q&gt;&lt;R&gt;1&lt;/R&gt;&lt;C&gt;1&lt;/C&gt;&lt;D xsi:type="xsd:string"&gt;(% 1YR) Unemployment Insurance Continued Claims, SA - United States&lt;/D&gt;&lt;/FQL&gt;&lt;FQL&gt;&lt;Q&gt;ACWX-US^FMA_EPS(NTMA,-1M,,,,"PORTAGG","MEANR")/AVG(FMA_EPS(NTMA,-1M,-200D,,,"PORTAGG","MEANR"))&lt;/Q&gt;&lt;R&gt;1&lt;/R&gt;&lt;C&gt;1&lt;/C&gt;&lt;D xsi:type="xsd:double"&gt;1.0102803151056&lt;/D&gt;&lt;/FQL&gt;&lt;FQL&gt;&lt;Q&gt;VIX^FG_PRICE(-1W,,,USD)&lt;/Q&gt;&lt;R&gt;1&lt;/R&gt;&lt;C&gt;1&lt;/C&gt;&lt;D xsi:type="xsd:double"&gt;20.37&lt;/D&gt;&lt;/FQL&gt;&lt;FQL&gt;&lt;Q&gt;ACWX-US^FG_PRICE(-1W)/FG_PRICE_MAVG(-1W,,,,200)&lt;/Q&gt;&lt;R&gt;1&lt;/R&gt;&lt;C&gt;1&lt;/C&gt;&lt;D xsi:type="xsd:double"&gt;1.0186415467558&lt;/D&gt;&lt;/FQL&gt;&lt;FQL&gt;&lt;Q&gt;ACWX-US^FMA_EPS(NTMA,0,,,,"PORTAGG","MEANR")/AVG(FMA_EPS(NTMA,0,-200D,,,"PORTAGG","MEANR"))&lt;/Q&gt;&lt;R&gt;1&lt;/R&gt;&lt;C&gt;1&lt;/C&gt;&lt;D xsi:type="xsd:double"&gt;1.05109943201795&lt;/D&gt;&lt;/FQL&gt;&lt;FQL&gt;&lt;Q&gt;ACWX-US^FMA_PCT_ABOVE_MAVG(50,0,,,,"PORTAGG")/AVG(FMA_PCT_ABOVE_MAVG(50,0,-200D,,,"PORTAGG"))&lt;/Q&gt;&lt;R&gt;1&lt;/R&gt;&lt;C&gt;1&lt;/C&gt;&lt;D xsi:type="xsd:double"&gt;0.799928715946865&lt;/D&gt;&lt;/FQL&gt;&lt;FQL&gt;&lt;Q&gt;TLT-US^FG_PRICE(-1M)/FG_PRICE_MAVG(-1M,,,,200)&lt;/Q&gt;&lt;R&gt;1&lt;/R&gt;&lt;C&gt;1&lt;/C&gt;&lt;D xsi:type="xsd:double"&gt;0.998229876743952&lt;/D&gt;&lt;/FQL&gt;&lt;FQL&gt;&lt;Q&gt;SPXEKW^FG_PRICE(-1M)/FG_PRICE_MAVG(-1M,,,,200)&lt;/Q&gt;&lt;R&gt;1&lt;/R&gt;&lt;C&gt;1&lt;/C&gt;&lt;D xsi:type="xsd:double"&gt;1.05412639949516&lt;/D&gt;&lt;/FQL&gt;&lt;FQL&gt;&lt;Q&gt;SP50^FMA_PCT_ABOVE_MAVG(50,-1W,,,,"PORTAGG")/AVG(FMA_PCT_ABOVE_MAVG(50,-1W,-200D,,,"PORTAGG"))&lt;/Q&gt;&lt;R&gt;1&lt;/R&gt;&lt;C&gt;1&lt;/C&gt;&lt;D xsi:type="xsd:double"&gt;0.917458810379309&lt;/D&gt;&lt;/FQL&gt;&lt;FQL&gt;&lt;Q&gt;SHY-US^FG_PRICE(-1W)/FG_PRICE_MAVG(-1W,,,,200)&lt;/Q&gt;&lt;R&gt;1&lt;/R&gt;&lt;C&gt;1&lt;/C&gt;&lt;D xsi:type="xsd:double"&gt;1.01055025245378&lt;/D&gt;&lt;/FQL&gt;&lt;FQL&gt;&lt;Q&gt;SHY-US^FG_PRICE(0)/FG_PRICE_MAVG(0,,,,200)&lt;/Q&gt;&lt;R&gt;1&lt;/R&gt;&lt;C&gt;1&lt;/C&gt;&lt;D xsi:type="xsd:double"&gt;1.01183246483564&lt;/D&gt;&lt;/FQL&gt;&lt;FQL&gt;&lt;Q&gt;SPXEKW^FG_PRICE(0)/FG_PRICE_MAVG(0,,,,200)&lt;/Q&gt;&lt;R&gt;1&lt;/R&gt;&lt;C&gt;1&lt;/C&gt;&lt;D xsi:type="xsd:double"&gt;1.065066372992&lt;/D&gt;&lt;/FQL&gt;&lt;FQL&gt;&lt;Q&gt;^FDS_ECON_DESCRIPTION('USSU2929306')&lt;/Q&gt;&lt;R&gt;1&lt;/R&gt;&lt;C&gt;1&lt;/C&gt;&lt;D xsi:type="xsd:string"&gt;Investors Intelligence, Sentiment Data, Bullish, Percent - United States&lt;/D&gt;&lt;/FQL&gt;&lt;FQL&gt;&lt;Q&gt;ACWX^FMA_COS_UP("EPS","1M",+1,0,-7AY,,"PORTAGG","MEANR")/(FMA_COS_UP("EPS","1M",+1,0,-7AY,,"PORTAGG","MEANR")+FMA_COS_DOWN("EPS","1M",+1,0,-7AY,,"PORTAGG","MEANR"))&lt;/Q&gt;&lt;R&gt;1762&lt;/R&gt;&lt;C&gt;1&lt;/C&gt;&lt;D xsi:type="xsd:double"&gt;0.503523382447149&lt;/D&gt;&lt;D xsi:type="xsd:double"&gt;0.503523382447149&lt;/D&gt;&lt;D xsi:type="xsd:double"&gt;0.503523382447149&lt;/D&gt;&lt;D xsi:type="xsd:double"&gt;0.503523382447149&lt;/D&gt;&lt;D xsi:type="xsd:double"&gt;0.502882767456759&lt;/D&gt;&lt;D xsi:type="xsd:double"&gt;0.505798969072165&lt;/D&gt;&lt;D xsi:type="xsd:double"&gt;0.500978473581213&lt;/D&gt;&lt;D xsi:type="xsd:double"&gt;0.494832041343669&lt;/D&gt;&lt;D xsi:type="xsd:double"&gt;0.498696219035202&lt;/D&gt;&lt;D xsi:type="xsd:double"&gt;0.495023224950232&lt;/D&gt;&lt;D xsi:type="xsd:double"&gt;0.490591397849462&lt;/D&gt;&lt;D xsi:type="xsd:double"&gt;0.490835030549898&lt;/D&gt;&lt;D xsi:type="xsd:double"&gt;0.487837837837838&lt;/D&gt;&lt;D xsi:type="xsd:double"&gt;0.482970027247956&lt;/D&gt;&lt;D xsi:type="xsd:double"&gt;0.483321987746766&lt;/D&gt;&lt;D xsi:type="xsd:double"&gt;0.486878453038674&lt;/D&gt;&lt;D xsi:type="xsd:double"&gt;0.483938547486034&lt;/D&gt;&lt;D xsi:type="xsd:double"&gt;0.483781918564527&lt;/D&gt;&lt;D xsi:type="xsd:double"&gt;0.481301939058172&lt;/D&gt;&lt;D xsi:type="xsd:double"&gt;0.485734168406402&lt;/D&gt;&lt;D xsi:type="xsd:double"&gt;0.474705474705475&lt;/D&gt;&lt;D xsi:type="xsd:double"&gt;0.47445766270119&lt;/D&gt;&lt;D xsi:type="xsd:double"&gt;0.479833101529903&lt;/D&gt;&lt;D xsi:type="xsd:double"&gt;0.485355648535565&lt;/D&gt;&lt;D xsi:type="xsd:double"&gt;0.484550561797753&lt;/D&gt;&lt;D xsi:type="xsd:double"&gt;0.487377279102384&lt;/D&gt;&lt;D xsi:type="xsd:double"&gt;0.487857142857143&lt;/D&gt;&lt;D xsi:type="xsd:double"&gt;0.487124463519313&lt;/D&gt;&lt;D xsi:type="xsd:double"&gt;0.488439306358382&lt;/D&gt;&lt;D xsi:type="xsd:double"&gt;0.496732026143791&lt;/D&gt;&lt;D xsi:type="xsd:double"&gt;0.483381502890173&lt;/D&gt;&lt;D xsi:type="xsd:double"&gt;0.490167516387473&lt;/D&gt;&lt;D xsi:type="xsd:double"&gt;0.496708119970739&lt;/D&gt;&lt;D xsi:type="xsd:double"&gt;0.487858719646799&lt;/D&gt;&lt;D xsi:type="xsd:double"&gt;0.494143484626647&lt;/D&gt;&lt;D xsi:type="xsd:double"&gt;0.492216456634544&lt;/D&gt;&lt;D xsi:type="xsd:double"&gt;0.505072463768116&lt;/D&gt;&lt;D xsi:type="xsd:double"&gt;0.509064539521392&lt;/D&gt;&lt;D xsi:type="xsd:double"&gt;0.513454545454545&lt;/D&gt;&lt;D xsi:type="xsd:double"&gt;0.514348785871965&lt;/D&gt;&lt;D xsi:type="xsd:double"&gt;0.517498138495905&lt;/D&gt;&lt;D xsi:type="xsd:double"&gt;0.506163886874547&lt;/D&gt;&lt;D xsi:type="xsd:double"&gt;0.501438848920863&lt;/D&gt;&lt;D xsi:type="xsd:double"&gt;0.500733137829912&lt;/D&gt;&lt;D xsi:type="xsd:double"&gt;0.497432134996332&lt;/D&gt;&lt;D xsi:type="xsd:double"&gt;0.510699001426534&lt;/D&gt;&lt;D xsi:type="xsd:double"&gt;0.518439716312057&lt;/D&gt;&lt;D xsi:type="xsd:double"&gt;0.51958041958042&lt;/D&gt;&lt;D xsi:type="xsd:double"&gt;0.520084566596195&lt;/D&gt;&lt;D xsi:type="xsd:double"&gt;0.522419928825623&lt;/D&gt;&lt;D xsi:type="xsd:double"&gt;0.531292517006803&lt;/D&gt;&lt;D xsi:type="xsd:double"&gt;0.528005464480874&lt;/D&gt;&lt;D xsi:type="xsd:double"&gt;0.532334921715453&lt;/D&gt;&lt;D xsi:type="xsd:double"&gt;0.536618754277892&lt;/D&gt;&lt;D xsi:type="xsd:double"&gt;0.535220994475138&lt;/D&gt;&lt;D xsi:type="xsd:double"&gt;0.524557956777996&lt;/D&gt;&lt;D xsi:type="xsd:double"&gt;0.526281208935611&lt;/D&gt;&lt;D xsi:type="xsd:double"&gt;0.532851511169514&lt;/D&gt;&lt;D xsi:type="xsd:double"&gt;0.528497409326425&lt;/D&gt;&lt;D xsi:type="xsd:double"&gt;0.521433141394754&lt;/D&gt;&lt;D xsi:type="xsd:double"&gt;0.520231213872832&lt;/D&gt;&lt;D xsi:type="xsd:double"&gt;0.512086513994911&lt;/D&gt;&lt;D xsi:type="xsd:double"&gt;0.513994910941476&lt;/D&gt;&lt;D xsi:type="xsd:double"&gt;0.513790891597178&lt;/D&gt;&lt;D xsi:type="xsd:double"&gt;0.512722646310433&lt;/D&gt;&lt;D xsi:type="xsd:double"&gt;0.505732484076433&lt;/D&gt;&lt;D xsi:type="xsd:double"&gt;0.506125080593166&lt;/D&gt;&lt;D xsi:type="xsd:double"&gt;0.502262443438914&lt;/D&gt;&lt;D xsi:type="xsd:double"&gt;0.50295469468155&lt;/D&gt;&lt;D xsi:type="xsd:double"&gt;0.494109947643979&lt;/D&gt;&lt;D xsi:type="xsd:double"&gt;0.488786279683377&lt;/D&gt;&lt;D xsi:type="xsd:double"&gt;0.482689747003995&lt;/D&gt;&lt;D xsi:type="xsd:double"&gt;0.489094514210178&lt;/D&gt;&lt;D xsi:type="xsd:double"&gt;0.487674883411059&lt;/D&gt;&lt;D xsi:type="xsd:double"&gt;0.484231274638633&lt;/D&gt;&lt;D xsi:type="xsd:double"&gt;0.486147757255937&lt;/D&gt;&lt;D xsi:type="xsd:double"&gt;0.483509234828496&lt;/D&gt;&lt;D xsi:type="xsd:double"&gt;0.465131578947368&lt;/D&gt;&lt;D xsi:type="xsd:double"&gt;0.460508701472557&lt;/D&gt;&lt;D xsi:type="xsd:double"&gt;0.443421052631579&lt;/D&gt;&lt;D xsi:type="xsd:double"&gt;0.441001977587343&lt;/D&gt;&lt;D xsi:type="xsd:double"&gt;0.447593935398813&lt;/D&gt;&lt;D xsi:type="xsd:double"&gt;0.447138047138047&lt;/D&gt;&lt;D xsi:type="xsd:double"&gt;0.447297297297297&lt;/D&gt;&lt;D xsi:type="xsd:double"&gt;0.447473404255319&lt;/D&gt;&lt;D xsi:type="xsd:double"&gt;0.452980132450331&lt;/D&gt;&lt;D xsi:type="xsd:double"&gt;0.451783355350066&lt;/D&gt;&lt;D xsi:type="xsd:double"&gt;0.455637091394263&lt;/D&gt;&lt;D xsi:type="xsd:double"&gt;0.454362416107383&lt;/D&gt;&lt;D xsi:type="xsd:double"&gt;0.445910290237467&lt;/D&gt;&lt;D xsi:type="xsd:double"&gt;0.444005270092227&lt;/D&gt;&lt;D xsi:type="xsd:double"&gt;0.439056356487549&lt;/D&gt;&lt;D xsi:type="xsd:double"&gt;0.435441370223979&lt;/D&gt;&lt;D xsi:type="xsd:double"&gt;0.437665782493369&lt;/D&gt;&lt;D xsi:type="xsd:double"&gt;0.439233817701453&lt;/D&gt;&lt;D xsi:type="xsd:double"&gt;0.443633952254642&lt;/D&gt;&lt;D xsi:type="xsd:double"&gt;0.446346280447663&lt;/D&gt;&lt;D xsi:type="xsd:double"&gt;0.444816053511706&lt;/D&gt;&lt;D xsi:type="xsd:double"&gt;0.450201884253028&lt;/D&gt;&lt;D xsi:type="xsd:double"&gt;0.451393609789259&lt;/D&gt;&lt;D xsi:type="xsd:double"&gt;0.467488021902806&lt;/D&gt;&lt;D xsi:type="xsd:double"&gt;0.464359861591696&lt;/D&gt;&lt;D xsi:type="xsd:double"&gt;0.454234972677596&lt;/D&gt;&lt;D xsi:type="xsd:double"&gt;0.455801104972376&lt;/D&gt;&lt;D xsi:type="xsd:double"&gt;0.461538461538462&lt;/D&gt;&lt;D xsi:type="xsd:double"&gt;0.457556935817805&lt;/D&gt;&lt;D xsi:type="xsd:double"&gt;0.458993797381116&lt;/D&gt;&lt;D xsi:type="xsd:double"&gt;0.454794520547945&lt;/D&gt;&lt;D xsi:type="xsd:double"&gt;0.45343303874915&lt;/D&gt;&lt;D xsi:type="xsd:double"&gt;0.454607508532423&lt;/D&gt;&lt;D xsi:type="xsd:double"&gt;0.445652173913043&lt;/D&gt;&lt;D xsi:type="xsd:double"&gt;0.441095890410959&lt;/D&gt;&lt;D xsi:type="xsd:double"&gt;0.444595513256288&lt;/D&gt;&lt;D xsi:type="xsd:double"&gt;0.445126107702795&lt;/D&gt;&lt;D xsi:type="xsd:double"&gt;0.446018893387314&lt;/D&gt;&lt;D xsi:type="xsd:double"&gt;0.435862995298858&lt;/D&gt;&lt;D xsi:type="xsd:double"&gt;0.438975050573162&lt;/D&gt;&lt;D xsi:type="xsd:double"&gt;0.42581503659348&lt;/D&gt;&lt;D xsi:type="xsd:double"&gt;0.407850964737192&lt;/D&gt;&lt;D xsi:type="xsd:double"&gt;0.49614576033637&lt;/D&gt;&lt;D xsi:type="xsd:double"&gt;0.485599464166108&lt;/D&gt;&lt;D xsi:type="xsd:double"&gt;0.484289617486339&lt;/D&gt;&lt;D xsi:type="xsd:double"&gt;0.482142857142857&lt;/D&gt;&lt;D xsi:type="xsd:double"&gt;0.471241830065359&lt;/D&gt;&lt;D xsi:type="xsd:double"&gt;0.471710526315789&lt;/D&gt;&lt;D xsi:type="xsd:double"&gt;0.463835434638354&lt;/D&gt;&lt;D xsi:type="xsd:double"&gt;0.461073825503356&lt;/D&gt;&lt;D xsi:type="xsd:double"&gt;0.445178335535007&lt;/D&gt;&lt;D xsi:type="xsd:double"&gt;0.446428571428571&lt;/D&gt;&lt;D xsi:type="xsd:double"&gt;0.450167224080268&lt;/D&gt;&lt;D xsi:type="xsd:double"&gt;0.445644834571236&lt;/D&gt;&lt;D xsi:type="xsd:double"&gt;0.445047489823609&lt;/D&gt;&lt;D xsi:type="xsd:double"&gt;0.427818061964403&lt;/D&gt;&lt;D xsi:type="xsd:double"&gt;0.420424403183024&lt;/D&gt;&lt;D xsi:type="xsd:double"&gt;0.421157684630739&lt;/D&gt;&lt;D xsi:type="xsd:double"&gt;0.421654337592468&lt;/D&gt;&lt;D xsi:type="xsd:double"&gt;0.424283765347885&lt;/D&gt;&lt;D xsi:type="xsd:double"&gt;0.423051299133911&lt;/D&gt;&lt;D xsi:type="xsd:double"&gt;0.419720186542305&lt;/D&gt;&lt;D xsi:type="xsd:double"&gt;0.42377434519812&lt;/D&gt;&lt;D xsi:type="xsd:double"&gt;0.416497633536173&lt;/D&gt;&lt;D xsi:type="xsd:double"&gt;0.42239010989011&lt;/D&gt;&lt;D xsi:type="xsd:double"&gt;0.424760601915185&lt;/D&gt;&lt;D xsi:type="xsd:double"&gt;0.43035343035343&lt;/D&gt;&lt;D xsi:type="xsd:double"&gt;0.435082872928177&lt;/D&gt;&lt;D xsi:type="xsd:double"&gt;0.436805555555556&lt;/D&gt;&lt;D xsi:type="xsd:double"&gt;0.436058700209644&lt;/D&gt;&lt;D xsi:type="xsd:double"&gt;0.422916666666667&lt;/D&gt;&lt;D xsi:type="xsd:double"&gt;0.425651867512333&lt;/D&gt;&lt;D xsi:type="xsd:double"&gt;0.423966362999299&lt;/D&gt;&lt;D xsi:type="xsd:double"&gt;0.425925925925926&lt;/D&gt;&lt;D xsi:type="xsd:double"&gt;0.432857142857143&lt;/D&gt;&lt;D xsi:type="xsd:double"&gt;0.445501097293343&lt;/D&gt;&lt;D xsi:type="xsd:double"&gt;0.444364161849711&lt;/D&gt;&lt;D xsi:type="xsd:double"&gt;0.452257586972613&lt;/D&gt;&lt;D xsi:type="xsd:double"&gt;0.452272727272727&lt;/D&gt;&lt;D xsi:type="xsd:double"&gt;0.435687732342007&lt;/D&gt;&lt;D xsi:type="xsd:double"&gt;0.429429429429429&lt;/D&gt;&lt;D xsi:type="xsd:double"&gt;0.433734939759036&lt;/D&gt;&lt;D xsi:type="xsd:double"&gt;0.440184049079755&lt;/D&gt;&lt;D xsi:type="xsd:double"&gt;0.437404580152672&lt;/D&gt;&lt;D xsi:type="xsd:double"&gt;0.431970260223048&lt;/D&gt;&lt;D xsi:type="xsd:double"&gt;0.437223042836041&lt;/D&gt;&lt;D xsi:type="xsd:double"&gt;0.441708906589428&lt;/D&gt;&lt;D xsi:type="xsd:double"&gt;0.440334961618981&lt;/D&gt;&lt;D xsi:type="xsd:double"&gt;0.441114982578397&lt;/D&gt;&lt;D xsi:type="xsd:double"&gt;0.453529000698812&lt;/D&gt;&lt;D xsi:type="xsd:double"&gt;0.455994455994456&lt;/D&gt;&lt;D xsi:type="xsd:double"&gt;0.456506610995129&lt;/D&gt;&lt;D xsi:type="xsd:double"&gt;0.450752393980848&lt;/D&gt;&lt;D xsi:type="xsd:double"&gt;0.450340136054422&lt;/D&gt;&lt;D xsi:type="xsd:double"&gt;0.459149223497637&lt;/D&gt;&lt;D xsi:type="xsd:double"&gt;0.462987886944818&lt;/D&gt;&lt;D xsi:type="xsd:double"&gt;0.46070460704607&lt;/D&gt;&lt;D xsi:type="xsd:double"&gt;0.47109634551495&lt;/D&gt;&lt;D xsi:type="xsd:double"&gt;0.480666666666667&lt;/D&gt;&lt;D xsi:type="xsd:double"&gt;0.488992661774516&lt;/D&gt;&lt;D xsi:type="xsd:double"&gt;0.487077534791252&lt;/D&gt;&lt;D xsi:type="xsd:double"&gt;0.48406374501992&lt;/D&gt;&lt;D xsi:type="xsd:double"&gt;0.481723237597911&lt;/D&gt;&lt;D xsi:type="xsd:double"&gt;0.481912144702842&lt;/D&gt;&lt;D xsi:type="xsd:double"&gt;0.471069182389937&lt;/D&gt;&lt;D xsi:type="xsd:double"&gt;0.472485768500949&lt;/D&gt;&lt;D xsi:type="xsd:double"&gt;0.474522292993631&lt;/D&gt;&lt;D xsi:type="xsd:double"&gt;0.469287469287469&lt;/D&gt;&lt;D xsi:type="xsd:double"&gt;0.457846153846154&lt;/D&gt;&lt;D xsi:type="xsd:double"&gt;0.458488228004957&lt;/D&gt;&lt;D xsi:type="xsd:double"&gt;0.454658385093168&lt;/D&gt;&lt;D xsi:type="xsd:double"&gt;0.449969306322897&lt;/D&gt;&lt;D xsi:type="xsd:double"&gt;0.460493827160494&lt;/D&gt;&lt;D xsi:type="xsd:double"&gt;0.460111317254174&lt;/D&gt;&lt;D xsi:type="xsd:double"&gt;0.457605985037406&lt;/D&gt;&lt;D xsi:type="xsd:double"&gt;0.455176767676768&lt;/D&gt;&lt;D xsi:type="xsd:double"&gt;0.460716530483972&lt;/D&gt;&lt;D xsi:type="xsd:double"&gt;0.457215836526181&lt;/D&gt;&lt;D xsi:type="xsd:double"&gt;0.456241956241956&lt;/D&gt;&lt;D xsi:type="xsd:double"&gt;0.443864229765013&lt;/D&gt;&lt;D xsi:type="xsd:double"&gt;0.440052700922266&lt;/D&gt;&lt;D xsi:type="xsd:double"&gt;0.440361057382334&lt;/D&gt;&lt;D xsi:type="xsd:double"&gt;0.434697855750487&lt;/D&gt;&lt;D xsi:type="xsd:double"&gt;0.438688524590164&lt;/D&gt;&lt;D xsi:type="xsd:double"&gt;0.433838051349572&lt;/D&gt;&lt;D xsi:type="xsd:double"&gt;0.435949027498323&lt;/D&gt;&lt;D xsi:type="xsd:double"&gt;0.442779291553134&lt;/D&gt;&lt;D xsi:type="xsd:double"&gt;0.442374051069703&lt;/D&gt;&lt;D xsi:type="xsd:double"&gt;0.44249649368864&lt;/D&gt;&lt;D xsi:type="xsd:double"&gt;0.43941504178273&lt;/D&gt;&lt;D xsi:type="xsd:double"&gt;0.440225035161744&lt;/D&gt;&lt;D xsi:type="xsd:double"&gt;0.443899018232819&lt;/D&gt;&lt;D xsi:type="xsd:double"&gt;0.441549295774648&lt;/D&gt;&lt;D xsi:type="xsd:double"&gt;0.440738112136267&lt;/D&gt;&lt;D xsi:type="xsd:double"&gt;0.442857142857143&lt;/D&gt;&lt;D xsi:type="xsd:double"&gt;0.442181818181818&lt;/D&gt;&lt;D xsi:type="xsd:double"&gt;0.434443656980865&lt;/D&gt;&lt;D xsi:type="xsd:double"&gt;0.434936350777935&lt;/D&gt;&lt;D xsi:type="xsd:double"&gt;0.436389481165601&lt;/D&gt;&lt;D xsi:type="xsd:double"&gt;0.433451957295374&lt;/D&gt;&lt;D xsi:type="xsd:double"&gt;0.437950937950938&lt;/D&gt;&lt;D xsi:type="xsd:double"&gt;0.446032880629021&lt;/D&gt;&lt;D xsi:type="xsd:double"&gt;0.463675213675214&lt;/D&gt;&lt;D xsi:type="xsd:double"&gt;0.473385379701916&lt;/D&gt;&lt;D xsi:type="xsd:double"&gt;0.474769012082445&lt;/D&gt;&lt;D xsi:type="xsd:double"&gt;0.473835125448029&lt;/D&gt;&lt;D xsi:type="xsd:double"&gt;0.476584022038567&lt;/D&gt;&lt;D xsi:type="xsd:double"&gt;0.473575840768703&lt;/D&gt;&lt;D xsi:type="xsd:double"&gt;0.472640218878249&lt;/D&gt;&lt;D xsi:type="xsd:double"&gt;0.474048442906574&lt;/D&gt;&lt;D xsi:type="xsd:double"&gt;0.474635163307853&lt;/D&gt;&lt;D xsi:type="xsd:double"&gt;0.460219478737997&lt;/D&gt;&lt;D xsi:type="xsd:double"&gt;0.458646616541353&lt;/D&gt;&lt;D xsi:type="xsd:double"&gt;0.462938005390836&lt;/D&gt;&lt;D xsi:type="xsd:double"&gt;0.467620995228357&lt;/D&gt;&lt;D xsi:type="xsd:double"&gt;0.473396998635744&lt;/D&gt;&lt;D xsi:type="xsd:double"&gt;0.476943346508564&lt;/D&gt;&lt;D xsi:type="xsd:double"&gt;0.485943775100402&lt;/D&gt;&lt;D xsi:type="xsd:double"&gt;0.47771124417831&lt;/D&gt;&lt;D xsi:type="xsd:double"&gt;0.478552278820375&lt;/D&gt;&lt;D xsi:type="xsd:double"&gt;0.479405806887238&lt;/D&gt;&lt;D xsi:type="xsd:double"&gt;0.492894056847545&lt;/D&gt;&lt;D xsi:type="xsd:double"&gt;0.499357326478149&lt;/D&gt;&lt;D xsi:type="xsd:double"&gt;0.498094027954257&lt;/D&gt;&lt;D xsi:type="xsd:double"&gt;0.492604501607717&lt;/D&gt;&lt;D xsi:type="xsd:double"&gt;0.489055659787367&lt;/D&gt;&lt;D xsi:type="xsd:double"&gt;0.488415779586725&lt;/D&gt;&lt;D xsi:type="xsd:double"&gt;0.495641344956413&lt;/D&gt;&lt;D xsi:type="xsd:double"&gt;0.497791798107256&lt;/D&gt;&lt;D xsi:type="xsd:double"&gt;0.500636132315522&lt;/D&gt;&lt;D xsi:type="xsd:double"&gt;0.502444987775061&lt;/D&gt;&lt;D xsi:type="xsd:double"&gt;0.508912108174554&lt;/D&gt;&lt;D xsi:type="xsd:double"&gt;0.508024691358025&lt;/D&gt;&lt;D xsi:type="xsd:double"&gt;0.513059701492537&lt;/D&gt;&lt;D xsi:type="xsd:double"&gt;0.51219512195122&lt;/D&gt;&lt;D xsi:type="xsd:double"&gt;0.504944375772559&lt;/D&gt;&lt;D xsi:type="xsd:double"&gt;0.503397158739963&lt;/D&gt;&lt;D xsi:type="xsd:double"&gt;0.501237623762376&lt;/D&gt;&lt;D xsi:type="xsd:double"&gt;0.500622665006227&lt;/D&gt;&lt;D xsi:type="xsd:double"&gt;0.506607929515419&lt;/D&gt;&lt;D xsi:type="xsd:double"&gt;0.5&lt;/D&gt;&lt;D xsi:type="xsd:double"&gt;0.494073611977542&lt;/D&gt;&lt;D xsi:type="xsd:double"&gt;0.485786481364498&lt;/D&gt;&lt;D xsi:type="xsd:double"&gt;0.484264611432241&lt;/D&gt;&lt;D xsi:type="xsd:double"&gt;0.481004507405023&lt;/D&gt;&lt;D xsi:type="xsd:double"&gt;0.464672183322724&lt;/D&gt;&lt;D xsi:type="xsd:double"&gt;0.464102564102564&lt;/D&gt;&lt;D xsi:type="xsd:double"&gt;0.452319587628866&lt;/D&gt;&lt;D xsi:type="xsd:double"&gt;0.455613577023499&lt;/D&gt;&lt;D xsi:type="xsd:double"&gt;0.447957839262187&lt;/D&gt;&lt;D xsi:type="xsd:double"&gt;0.441447368421053&lt;/D&gt;&lt;D xsi:type="xsd:double"&gt;0.438120450033091&lt;/D&gt;&lt;D xsi:type="xsd:double"&gt;0.43&lt;/D&gt;&lt;D xsi:type="xsd:double"&gt;0.425333333333333&lt;/D&gt;&lt;D xsi:type="xsd:double"&gt;0.427991886409736&lt;/D&gt;&lt;D xsi:type="xsd:double"&gt;0.425049966688874&lt;/D&gt;&lt;D xsi:type="xsd:double"&gt;0.425302826379542&lt;/D&gt;&lt;D xsi:type="xsd:double"&gt;0.420054200542005&lt;/D&gt;&lt;D xsi:type="xsd:double"&gt;0.414285714285714&lt;/D&gt;&lt;D xsi:type="xsd:double"&gt;0.410825815405968&lt;/D&gt;&lt;D xsi:type="xsd:double"&gt;0.420179682100898&lt;/D&gt;&lt;D xsi:type="xsd:double"&gt;0.421270718232044&lt;/D&gt;&lt;D xsi:type="xsd:double"&gt;0.425399028452464&lt;/D&gt;&lt;D xsi:type="xsd:double"&gt;0.425913163335631&lt;/D&gt;&lt;D xsi:type="xsd:double"&gt;0.429469273743017&lt;/D&gt;&lt;D xsi:type="xsd:double"&gt;0.433922261484099&lt;/D&gt;&lt;D xsi:type="xsd:double"&gt;0.433093525179856&lt;/D&gt;&lt;D xsi:type="xsd:double"&gt;0.443484521238301&lt;/D&gt;&lt;D xsi:type="xsd:double"&gt;0.442682047584715&lt;/D&gt;&lt;D xsi:type="xsd:double"&gt;0.445078459343795&lt;/D&gt;&lt;D xsi:type="xsd:double"&gt;0.446022727272727&lt;/D&gt;&lt;D xsi:type="xsd:double"&gt;0.44578313253012&lt;/D&gt;&lt;D xsi:type="xsd:double"&gt;0.453697056712132&lt;/D&gt;&lt;D xsi:type="xsd:double"&gt;0.457431457431457&lt;/D&gt;&lt;D xsi:type="xsd:double"&gt;0.470049330514447&lt;/D&gt;&lt;D xsi:type="xsd:double"&gt;0.47208480565371&lt;/D&gt;&lt;D xsi:type="xsd:double"&gt;0.474719101123595&lt;/D&gt;&lt;D xsi:type="xsd:double"&gt;0.473239436619718&lt;/D&gt;&lt;D xsi:type="xsd:double"&gt;0.468619246861925&lt;/D&gt;&lt;D xsi:type="xsd:double"&gt;0.464857341684064&lt;/D&gt;&lt;D xsi:type="xsd:double"&gt;0.464409122322046&lt;/D&gt;&lt;D xsi:type="xsd:double"&gt;0.464335664335664&lt;/D&gt;&lt;D xsi:type="xsd:double"&gt;0.464361326746648&lt;/D&gt;&lt;D xsi:type="xsd:double"&gt;0.469830508474576&lt;/D&gt;&lt;D xsi:type="xsd:double"&gt;0.472467709041468&lt;/D&gt;&lt;D xsi:type="xsd:double"&gt;0.474149659863946&lt;/D&gt;&lt;D xsi:type="xsd:double"&gt;0.478825136612022&lt;/D&gt;&lt;D xsi:type="xsd:double"&gt;0.480385409497591&lt;/D&gt;&lt;D xsi:type="xsd:double"&gt;0.491077329808328&lt;/D&gt;&lt;D xsi:type="xsd:double"&gt;0.487433862433862&lt;/D&gt;&lt;D xsi:type="xsd:double"&gt;0.494148244473342&lt;/D&gt;&lt;D xsi:type="xsd:double"&gt;0.491514360313316&lt;/D&gt;&lt;D xsi:type="xsd:double"&gt;0.49618320610687&lt;/D&gt;&lt;D xsi:type="xsd:double"&gt;0.508290816326531&lt;/D&gt;&lt;D xsi:type="xsd:double"&gt;0.513015873015873&lt;/D&gt;&lt;D xsi:type="xsd:double"&gt;0.513888888888889&lt;/D&gt;&lt;D xsi:type="xsd:double"&gt;0.513633481293595&lt;/D&gt;&lt;D xsi:type="xsd:double"&gt;0.505653266331658&lt;/D&gt;&lt;D xsi:type="xsd:double"&gt;0.507210031347962&lt;/D&gt;&lt;D xsi:type="xsd:double"&gt;0.505653266331658&lt;/D&gt;&lt;D xsi:type="xsd:double"&gt;0.49937106918239&lt;/D&gt;&lt;D xsi:type="xsd:double"&gt;0.492043284532145&lt;/D&gt;&lt;D xsi:type="xsd:double"&gt;0.481691919191919&lt;/D&gt;&lt;D xsi:type="xsd:double"&gt;0.474187380497132&lt;/D&gt;&lt;D xsi:type="xsd:double"&gt;0.479611650485437&lt;/D&gt;&lt;D xsi:type="xsd:double"&gt;0.480670103092784&lt;/D&gt;&lt;D xsi:type="xsd:double"&gt;0.481529488010369&lt;/D&gt;&lt;D xsi:type="xsd:double"&gt;0.480544747081712&lt;/D&gt;&lt;D xsi:type="xsd:double"&gt;0.479685452162516&lt;/D&gt;&lt;D xsi:type="xsd:double"&gt;0.472057856673241&lt;/D&gt;&lt;D xsi:type="xsd:double"&gt;0.468915343915344&lt;/D&gt;&lt;D xsi:type="xsd:double"&gt;0.46900269541779&lt;/D&gt;&lt;D xsi:type="xsd:double"&gt;0.45112285336856&lt;/D&gt;&lt;D xsi:type="xsd:double"&gt;0.443704197201865&lt;/D&gt;&lt;D xsi:type="xsd:double"&gt;0.428&lt;/D&gt;&lt;D xsi:type="xsd:double"&gt;0.418463611859838&lt;/D&gt;&lt;D xsi:type="xsd:double"&gt;0.414451261077028&lt;/D&gt;&lt;D xsi:type="xsd:double"&gt;0.421542553191489&lt;/D&gt;&lt;D xsi:type="xsd:double"&gt;0.415106951871658&lt;/D&gt;&lt;D xsi:type="xsd:double"&gt;0.412239408204438&lt;/D&gt;&lt;D xsi:type="xsd:double"&gt;0.403794037940379&lt;/D&gt;&lt;D xsi:type="xsd:double"&gt;0.407534246575342&lt;/D&gt;&lt;D xsi:type="xsd:double"&gt;0.403044341495698&lt;/D&gt;&lt;D xsi:type="xsd:double"&gt;0.407209612817089&lt;/D&gt;&lt;D xsi:type="xsd:double"&gt;0.405566600397614&lt;/D&gt;&lt;D xsi:type="xsd:double"&gt;0.408204438466712&lt;/D&gt;&lt;D xsi:type="xsd:double"&gt;0.404941660947152&lt;/D&gt;&lt;D xsi:type="xsd:double"&gt;0.41672196416722&lt;/D&gt;&lt;D xsi:type="xsd:double"&gt;0.413086582947786&lt;/D&gt;&lt;D xsi:type="xsd:double"&gt;0.420039814200398&lt;/D&gt;&lt;D xsi:type="xsd:double"&gt;0.41566265060241&lt;/D&gt;&lt;D xsi:type="xsd:double"&gt;0.430921052631579&lt;/D&gt;&lt;D xsi:type="xsd:double"&gt;0.437077131258457&lt;/D&gt;&lt;D xsi:type="xsd:double"&gt;0.436853002070393&lt;/D&gt;&lt;D xsi:type="xsd:double"&gt;0.442200557103064&lt;/D&gt;&lt;D xsi:type="xsd:double"&gt;0.447239692522711&lt;/D&gt;&lt;D xsi:type="xsd:double"&gt;0.452937013446568&lt;/D&gt;&lt;D xsi:type="xsd:double"&gt;0.456582633053221&lt;/D&gt;&lt;D xsi:type="xsd:double"&gt;0.45536959553696&lt;/D&gt;&lt;D xsi:type="xsd:double"&gt;0.454035087719298&lt;/D&gt;&lt;D xsi:type="xsd:double"&gt;0.466101694915254&lt;/D&gt;&lt;D xsi:type="xsd:double"&gt;0.468011126564673&lt;/D&gt;&lt;D xsi:type="xsd:double"&gt;0.466994382022472&lt;/D&gt;&lt;D xsi:type="xsd:double"&gt;0.46890286512928&lt;/D&gt;&lt;D xsi:type="xsd:double"&gt;0.467541436464088&lt;/D&gt;&lt;D xsi:type="xsd:double"&gt;0.467586206896552&lt;/D&gt;&lt;D xsi:type="xsd:double"&gt;0.464625850340136&lt;/D&gt;&lt;D xsi:type="xsd:double"&gt;0.465771812080537&lt;/D&gt;&lt;D xsi:type="xsd:double"&gt;0.455577822311289&lt;/D&gt;&lt;D xsi:type="xsd:double"&gt;0.458672086720867&lt;/D&gt;&lt;D xsi:type="xsd:double"&gt;0.456639566395664&lt;/D&gt;&lt;D xsi:type="xsd:double"&gt;0.452842809364549&lt;/D&gt;&lt;D xsi:type="xsd:double"&gt;0.450928381962865&lt;/D&gt;&lt;D xsi:type="xsd:double"&gt;0.447701532311792&lt;/D&gt;&lt;D xsi:type="xsd:double"&gt;0.465686274509804&lt;/D&gt;&lt;D xsi:type="xsd:double"&gt;0.451568894952251&lt;/D&gt;&lt;D xsi:type="xsd:double"&gt;0.440288713910761&lt;/D&gt;&lt;D xsi:type="xsd:double"&gt;0.44137022397892&lt;/D&gt;&lt;D xsi:type="xsd:double"&gt;0.437583001328021&lt;/D&gt;&lt;D xsi:type="xsd:double"&gt;0.43536503683858&lt;/D&gt;&lt;D xsi:type="xsd:double"&gt;0.435526315789474&lt;/D&gt;&lt;D xsi:type="xsd:double"&gt;0.43093192333113&lt;/D&gt;&lt;D xsi:type="xsd:double"&gt;0.428947368421053&lt;/D&gt;&lt;D xsi:type="xsd:double"&gt;0.429047301798801&lt;/D&gt;&lt;D xsi:type="xsd:double"&gt;0.428091397849462&lt;/D&gt;&lt;D xsi:type="xsd:double"&gt;0.42&lt;/D&gt;&lt;D xsi:type="xsd:double"&gt;0.422103861517976&lt;/D&gt;&lt;D xsi:type="xsd:double"&gt;0.421052631578947&lt;/D&gt;&lt;D xsi:type="xsd:double"&gt;0.415374241402562&lt;/D&gt;&lt;D xsi:type="xsd:double"&gt;0.417567567567568&lt;/D&gt;&lt;D xsi:type="xsd:double"&gt;0.409479921000658&lt;/D&gt;&lt;D xsi:type="xsd:double"&gt;0.407824933687003&lt;/D&gt;&lt;D xsi:type="xsd:double"&gt;0.396931287525017&lt;/D&gt;&lt;D xsi:type="xsd:double"&gt;0.401622718052738&lt;/D&gt;&lt;D xsi:type="xsd:double"&gt;0.394900068917988&lt;/D&gt;&lt;D xsi:type="xsd:double"&gt;0.389118457300275&lt;/D&gt;&lt;D xsi:type="xsd:double"&gt;0.393854748603352&lt;/D&gt;&lt;D xsi:type="xsd:double"&gt;0.405633802816901&lt;/D&gt;&lt;D xsi:type="xsd:double"&gt;0.409836065573771&lt;/D&gt;&lt;D xsi:type="xsd:double"&gt;0.410201149425287&lt;/D&gt;&lt;D xsi:type="xsd:double"&gt;0.41067615658363&lt;/D&gt;&lt;D xsi:type="xsd:double"&gt;0.416905444126074&lt;/D&gt;&lt;D xsi:type="xsd:double"&gt;0.413419913419913&lt;/D&gt;&lt;D xsi:type="xsd:double"&gt;0.413970588235294&lt;/D&gt;&lt;D xsi:type="xsd:double"&gt;0.416727272727273&lt;/D&gt;&lt;D xsi:type="xsd:double"&gt;0.419642857142857&lt;/D&gt;&lt;D xsi:type="xsd:double"&gt;0.437361008154188&lt;/D&gt;&lt;D xsi:type="xsd:double"&gt;0.440754716981132&lt;/D&gt;&lt;D xsi:type="xsd:double"&gt;0.445136186770428&lt;/D&gt;&lt;D xsi:type="xsd:double"&gt;0.431268882175227&lt;/D&gt;&lt;D xsi:type="xsd:double"&gt;0.44119907763259&lt;/D&gt;&lt;D xsi:type="xsd:double"&gt;0.445131375579598&lt;/D&gt;&lt;D xsi:type="xsd:double"&gt;0.444797458300238&lt;/D&gt;&lt;D xsi:type="xsd:double"&gt;0.44031007751938&lt;/D&gt;&lt;D xsi:type="xsd:double"&gt;0.448091603053435&lt;/D&gt;&lt;D xsi:type="xsd:double"&gt;0.45059880239521&lt;/D&gt;&lt;D xsi:type="xsd:double"&gt;0.455555555555556&lt;/D&gt;&lt;D xsi:type="xsd:double"&gt;0.451449275362319&lt;/D&gt;&lt;D xsi:type="xsd:double"&gt;0.461812990720914&lt;/D&gt;&lt;D xsi:type="xsd:double"&gt;0.459248759744862&lt;/D&gt;&lt;D xsi:type="xsd:double"&gt;0.468859342197341&lt;/D&gt;&lt;D xsi:type="xsd:double"&gt;0.467696629213483&lt;/D&gt;&lt;D xsi:type="xsd:double"&gt;0.473867595818815&lt;/D&gt;&lt;D xsi:type="xsd:double"&gt;0.480609418282548&lt;/D&gt;&lt;D xsi:type="xsd:double"&gt;0.478350515463918&lt;/D&gt;&lt;D xsi:type="xsd:double"&gt;0.479647218453189&lt;/D&gt;&lt;D xsi:type="xsd:double"&gt;0.477133105802048&lt;/D&gt;&lt;D xsi:type="xsd:double"&gt;0.478779840848806&lt;/D&gt;&lt;D xsi:type="xsd:double"&gt;0.48738379814077&lt;/D&gt;&lt;D xsi:type="xsd:double"&gt;0.47843397478434&lt;/D&gt;&lt;D xsi:type="xsd:double"&gt;0.485380116959064&lt;/D&gt;&lt;D xsi:type="xsd:double"&gt;0.485303723056826&lt;/D&gt;&lt;D xsi:type="xsd:double"&gt;0.49119373776908&lt;/D&gt;&lt;D xsi:type="xsd:double"&gt;0.498049414824447&lt;/D&gt;&lt;D xsi:type="xsd:double"&gt;0.5&lt;/D&gt;&lt;D xsi:type="xsd:double"&gt;0.496402877697842&lt;/D&gt;&lt;D xsi:type="xsd:double"&gt;0.497041420118343&lt;/D&gt;&lt;D xsi:type="xsd:double"&gt;0.493606138107417&lt;/D&gt;&lt;D xsi:type="xsd:double"&gt;0.481835564053537&lt;/D&gt;&lt;D xsi:type="xsd:double"&gt;0.480360592401803&lt;/D&gt;&lt;D xsi:type="xsd:double"&gt;0.481935483870968&lt;/D&gt;&lt;D xsi:type="xsd:double"&gt;0.476342710997442&lt;/D&gt;&lt;D xsi:type="xsd:double"&gt;0.475796178343949&lt;/D&gt;&lt;D xsi:type="xsd:double"&gt;0.46551724137931&lt;/D&gt;&lt;D xsi:type="xsd:double"&gt;0.46975546975547&lt;/D&gt;&lt;D xsi:type="xsd:double"&gt;0.464889466840052&lt;/D&gt;&lt;D xsi:type="xsd:double"&gt;0.462686567164179&lt;/D&gt;&lt;D xsi:type="xsd:double"&gt;0.457925636007828&lt;/D&gt;&lt;D xsi:type="xsd:double"&gt;0.459582790091265&lt;/D&gt;&lt;D xsi:type="xsd:double"&gt;0.457180500658762&lt;/D&gt;&lt;D xsi:type="xsd:double"&gt;0.456536164565362&lt;/D&gt;&lt;D xsi:type="xsd:double"&gt;0.4543063773833&lt;/D&gt;&lt;D xsi:type="xsd:double"&gt;0.458141067897165&lt;/D&gt;&lt;D xsi:type="xsd:double"&gt;0.464572192513369&lt;/D&gt;&lt;D xsi:type="xsd:double"&gt;0.462575859743763&lt;/D&gt;&lt;D xsi:type="xsd:double"&gt;0.460857726344452&lt;/D&gt;&lt;D xsi:type="xsd:double"&gt;0.465809072444144&lt;/D&gt;&lt;D xsi:type="xsd:double"&gt;0.460643394934976&lt;/D&gt;&lt;D xsi:type="xsd:double"&gt;0.455357142857143&lt;/D&gt;&lt;D xsi:type="xsd:double"&gt;0.455106237148732&lt;/D&gt;&lt;D xsi:type="xsd:double"&gt;0.455801104972376&lt;/D&gt;&lt;D xsi:type="xsd:double"&gt;0.465457083042568&lt;/D&gt;&lt;D xsi:type="xsd:double"&gt;0.467741935483871&lt;/D&gt;&lt;D xsi:type="xsd:double"&gt;0.473201692524683&lt;/D&gt;&lt;D xsi:type="xsd:double"&gt;0.473535638673253&lt;/D&gt;&lt;D xsi:type="xsd:double"&gt;0.47997138769671&lt;/D&gt;&lt;D xsi:type="xsd:double"&gt;0.490593342981187&lt;/D&gt;&lt;D xsi:type="xsd:double"&gt;0.493421052631579&lt;/D&gt;&lt;D xsi:type="xsd:double"&gt;0.493421052631579&lt;/D&gt;&lt;D xsi:type="xsd:double"&gt;0.495633187772926&lt;/D&gt;&lt;D xsi:type="xsd:double"&gt;0.508797653958944&lt;/D&gt;&lt;D xsi:type="xsd:double"&gt;0.500741839762611&lt;/D&gt;&lt;D xsi:type="xsd:double"&gt;0.49511645379414&lt;/D&gt;&lt;D xsi:type="xsd:double"&gt;0.493192133131619&lt;/D&gt;&lt;D xsi:type="xsd:double"&gt;0.496983408748115&lt;/D&gt;&lt;D xsi:type="xsd:double"&gt;0.494664634146341&lt;/D&gt;&lt;D xsi:type="xsd:double"&gt;0.484467455621302&lt;/D&gt;&lt;D xsi:type="xsd:double"&gt;0.507669831994156&lt;/D&gt;&lt;D xsi:type="xsd:double"&gt;0.506521739130435&lt;/D&gt;&lt;D xsi:type="xsd:double"&gt;0.51099706744868&lt;/D&gt;&lt;D xsi:type="xsd:double"&gt;0.508955223880597&lt;/D&gt;&lt;D xsi:type="xsd:double"&gt;0.51013024602026&lt;/D&gt;&lt;D xsi:type="xsd:double"&gt;0.511159107271418&lt;/D&gt;&lt;D xsi:type="xsd:double"&gt;0.502853067047076&lt;/D&gt;&lt;D xsi:type="xsd:double"&gt;0.502516175413372&lt;/D&gt;&lt;D xsi:type="xsd:double"&gt;0.4981765134938&lt;/D&gt;&lt;D xsi:type="xsd:double"&gt;0.503114186851211&lt;/D&gt;&lt;D xsi:type="xsd:double"&gt;0.506206896551724&lt;/D&gt;&lt;D xsi:type="xsd:double"&gt;0.508298755186722&lt;/D&gt;&lt;D xsi:type="xsd:double"&gt;0.505939902166317&lt;/D&gt;&lt;D xsi:type="xsd:double"&gt;0.504929577464789&lt;/D&gt;&lt;D xsi:type="xsd:double"&gt;0.506397306397306&lt;/D&gt;&lt;D xsi:type="xsd:double"&gt;0.502018842530283&lt;/D&gt;&lt;D xsi:type="xsd:double"&gt;0.498005319148936&lt;/D&gt;&lt;D xsi:type="xsd:double"&gt;0.498327759197324&lt;/D&gt;&lt;D xsi:type="xsd:double"&gt;0.503583061889251&lt;/D&gt;&lt;D xsi:type="xsd:double"&gt;0.51063829787234&lt;/D&gt;&lt;D xsi:type="xsd:double"&gt;0.52258064516129&lt;/D&gt;&lt;D xsi:type="xsd:double"&gt;0.520182291666667&lt;/D&gt;&lt;D xsi:type="xsd:double"&gt;0.519762845849802&lt;/D&gt;&lt;D xsi:type="xsd:double"&gt;0.52359693877551&lt;/D&gt;&lt;D xsi:type="xsd:double"&gt;0.525239616613419&lt;/D&gt;&lt;D xsi:type="xsd:double"&gt;0.519620253164557&lt;/D&gt;&lt;D xsi:type="xsd:double"&gt;0.519770408163265&lt;/D&gt;&lt;D xsi:type="xsd:double"&gt;0.513808606294155&lt;/D&gt;&lt;D xsi:type="xsd:double"&gt;0.502831969792322&lt;/D&gt;&lt;D xsi:type="xsd:double"&gt;0.505349276274386&lt;/D&gt;&lt;D xsi:type="xsd:double"&gt;0.499059561128527&lt;/D&gt;&lt;D xsi:type="xsd:double"&gt;0.495914519170333&lt;/D&gt;&lt;D xsi:type="xsd:double"&gt;0.495575221238938&lt;/D&gt;&lt;D xsi:type="xsd:double"&gt;0.483931947069943&lt;/D&gt;&lt;D xsi:type="xsd:double"&gt;0.485714285714286&lt;/D&gt;&lt;D xsi:type="xsd:double"&gt;0.4857324032974&lt;/D&gt;&lt;D xsi:type="xsd:double"&gt;0.485567671584349&lt;/D&gt;&lt;D xsi:type="xsd:double"&gt;0.48062015503876&lt;/D&gt;&lt;D xsi:type="xsd:double"&gt;0.483747609942639&lt;/D&gt;&lt;D xsi:type="xsd:double"&gt;0.481004507405023&lt;/D&gt;&lt;D xsi:type="xsd:double"&gt;0.471382636655949&lt;/D&gt;&lt;D xsi:type="xsd:double"&gt;0.46324007807417&lt;/D&gt;&lt;D xsi:type="xsd:double"&gt;0.464215364412344&lt;/D&gt;&lt;D xsi:type="xsd:double"&gt;0.460483344219464&lt;/D&gt;&lt;D xsi:type="xsd:double"&gt;0.450326797385621&lt;/D&gt;&lt;D xsi:type="xsd:double"&gt;0.442244224422442&lt;/D&gt;&lt;D xsi:type="xsd:double"&gt;0.441001977587343&lt;/D&gt;&lt;D xsi:type="xsd:double"&gt;0.439121756487026&lt;/D&gt;&lt;D xsi:type="xsd:double"&gt;0.436591809775429&lt;/D&gt;&lt;D xsi:type="xsd:double"&gt;0.442622950819672&lt;/D&gt;&lt;D xsi:type="xsd:double"&gt;0.444444444444444&lt;/D&gt;&lt;D xsi:type="xsd:double"&gt;0.445551128818061&lt;/D&gt;&lt;D xsi:type="xsd:double"&gt;0.44489247311828&lt;/D&gt;&lt;D xsi:type="xsd:double"&gt;0.441610738255034&lt;/D&gt;&lt;D xsi:type="xsd:double"&gt;0.447386286490156&lt;/D&gt;&lt;D xsi:type="xsd:double"&gt;0.44860449285228&lt;/D&gt;&lt;D xsi:type="xsd:double"&gt;0.452073419442556&lt;/D&gt;&lt;D xsi:type="xsd:double"&gt;0.45467032967033&lt;/D&gt;&lt;D xsi:type="xsd:double"&gt;0.454358270418668&lt;/D&gt;&lt;D xsi:type="xsd:double"&gt;0.455882352941176&lt;/D&gt;&lt;D xsi:type="xsd:double"&gt;0.451090781140042&lt;/D&gt;&lt;D xsi:type="xsd:double"&gt;0.454481792717087&lt;/D&gt;&lt;D xsi:type="xsd:double"&gt;0.473833097595474&lt;/D&gt;&lt;D xsi:type="xsd:double"&gt;0.469285714285714&lt;/D&gt;&lt;D xsi:type="xsd:double"&gt;0.479971890372453&lt;/D&gt;&lt;D xsi:type="xsd:double"&gt;0.481218993621545&lt;/D&gt;&lt;D xsi:type="xsd:double"&gt;0.476735862562634&lt;/D&gt;&lt;D xsi:type="xsd:double"&gt;0.471606648199446&lt;/D&gt;&lt;D xsi:type="xsd:double"&gt;0.473903966597077&lt;/D&gt;&lt;D xsi:type="xsd:double"&gt;0.473103448275862&lt;/D&gt;&lt;D xsi:type="xsd:double"&gt;0.470180305131761&lt;/D&gt;&lt;D xsi:type="xsd:double"&gt;0.469178082191781&lt;/D&gt;&lt;D xsi:type="xsd:double"&gt;0.476027397260274&lt;/D&gt;&lt;D xsi:type="xsd:double"&gt;0.489505754908598&lt;/D&gt;&lt;D xsi:type="xsd:double"&gt;0.488054607508532&lt;/D&gt;&lt;D xsi:type="xsd:double"&gt;0.492455418381344&lt;/D&gt;&lt;D xsi:type="xsd:double"&gt;0.497661990647963&lt;/D&gt;&lt;D xsi:type="xsd:double"&gt;0.507032819825854&lt;/D&gt;&lt;D xsi:type="xsd:double"&gt;0.508736559139785&lt;/D&gt;&lt;D xsi:type="xsd:double"&gt;0.508394895903291&lt;/D&gt;&lt;D xsi:type="xsd:double"&gt;0.510810810810811&lt;/D&gt;&lt;D xsi:type="xsd:double"&gt;0.508541392904074&lt;/D&gt;&lt;D xsi:type="xsd:double"&gt;0.517038007863696&lt;/D&gt;&lt;D xsi:type="xsd:double"&gt;0.518422753716871&lt;/D&gt;&lt;D xsi:type="xsd:double"&gt;0.512476007677543&lt;/D&gt;&lt;D xsi:type="xsd:double"&gt;0.51875&lt;/D&gt;&lt;D xsi:type="xsd:double"&gt;0.515&lt;/D&gt;&lt;D xsi:type="xsd:double"&gt;0.508453350031309&lt;/D&gt;&lt;D xsi:type="xsd:double"&gt;0.508165829145729&lt;/D&gt;&lt;D xsi:type="xsd:double"&gt;0.506632975363234&lt;/D&gt;&lt;D xsi:type="xsd:double"&gt;0.503759398496241&lt;/D&gt;&lt;D xsi:type="xsd:double"&gt;0.50156152404747&lt;/D&gt;&lt;D xsi:type="xsd:double"&gt;0.503443957420163&lt;/D&gt;&lt;D xsi:type="xsd:double"&gt;0.500940438871473&lt;/D&gt;&lt;D xsi:type="xsd:double"&gt;0.50253807106599&lt;/D&gt;&lt;D xsi:type="xsd:double"&gt;0.494325346784363&lt;/D&gt;&lt;D xsi:type="xsd:double"&gt;0.480179028132992&lt;/D&gt;&lt;D xsi:type="xsd:double"&gt;0.479922279792746&lt;/D&gt;&lt;D xsi:type="xsd:double"&gt;0.472384665367121&lt;/D&gt;&lt;D xsi:type="xsd:double"&gt;0.477094240837696&lt;/D&gt;&lt;D xsi:type="xsd:double"&gt;0.465938303341902&lt;/D&gt;&lt;D xsi:type="xsd:double"&gt;0.461637653127015&lt;/D&gt;&lt;D xsi:type="xsd:double"&gt;0.459599224305107&lt;/D&gt;&lt;D xsi:type="xsd:double"&gt;0.459249676584735&lt;/D&gt;&lt;D xsi:type="xsd:double"&gt;0.456733897202342&lt;/D&gt;&lt;D xsi:type="xsd:doubl</t>
        </r>
      </text>
    </comment>
    <comment ref="A23" authorId="0" shapeId="0" xr:uid="{E880452C-BD55-4D37-B6FF-BE2C9BFE52DF}">
      <text>
        <r>
          <rPr>
            <b/>
            <sz val="9"/>
            <color indexed="81"/>
            <rFont val="Tahoma"/>
            <charset val="1"/>
          </rPr>
          <t>e"&gt;0.454952076677316&lt;/D&gt;&lt;D xsi:type="xsd:double"&gt;0.45233525271913&lt;/D&gt;&lt;D xsi:type="xsd:double"&gt;0.446075303126994&lt;/D&gt;&lt;D xsi:type="xsd:double"&gt;0.434894162924952&lt;/D&gt;&lt;D xsi:type="xsd:double"&gt;0.434415584415584&lt;/D&gt;&lt;D xsi:type="xsd:double"&gt;0.427209154481882&lt;/D&gt;&lt;D xsi:type="xsd:double"&gt;0.425111536010198&lt;/D&gt;&lt;D xsi:type="xsd:double"&gt;0.430749682337992&lt;/D&gt;&lt;D xsi:type="xsd:double"&gt;0.431599229287091&lt;/D&gt;&lt;D xsi:type="xsd:double"&gt;0.430609597924773&lt;/D&gt;&lt;D xsi:type="xsd:double"&gt;0.428934010152284&lt;/D&gt;&lt;D xsi:type="xsd:double"&gt;0.428661616161616&lt;/D&gt;&lt;D xsi:type="xsd:double"&gt;0.429389312977099&lt;/D&gt;&lt;D xsi:type="xsd:double"&gt;0.427103403982017&lt;/D&gt;&lt;D xsi:type="xsd:double"&gt;0.429283489096573&lt;/D&gt;&lt;D xsi:type="xsd:double"&gt;0.423919849718222&lt;/D&gt;&lt;D xsi:type="xsd:double"&gt;0.4275&lt;/D&gt;&lt;D xsi:type="xsd:double"&gt;0.42632241813602&lt;/D&gt;&lt;D xsi:type="xsd:double"&gt;0.423199490121096&lt;/D&gt;&lt;D xsi:type="xsd:double"&gt;0.420162805259862&lt;/D&gt;&lt;D xsi:type="xsd:double"&gt;0.433606041535557&lt;/D&gt;&lt;D xsi:type="xsd:double"&gt;0.435279187817259&lt;/D&gt;&lt;D xsi:type="xsd:double"&gt;0.440590879897238&lt;/D&gt;&lt;D xsi:type="xsd:double"&gt;0.443062827225131&lt;/D&gt;&lt;D xsi:type="xsd:double"&gt;0.448684210526316&lt;/D&gt;&lt;D xsi:type="xsd:double"&gt;0.451846965699208&lt;/D&gt;&lt;D xsi:type="xsd:double"&gt;0.456036745406824&lt;/D&gt;&lt;D xsi:type="xsd:double"&gt;0.458279009126467&lt;/D&gt;&lt;D xsi:type="xsd:double"&gt;0.458305975049245&lt;/D&gt;&lt;D xsi:type="xsd:double"&gt;0.451402478799739&lt;/D&gt;&lt;D xsi:type="xsd:double"&gt;0.460622104566512&lt;/D&gt;&lt;D xsi:type="xsd:double"&gt;0.459405940594059&lt;/D&gt;&lt;D xsi:type="xsd:double"&gt;0.45484508899143&lt;/D&gt;&lt;D xsi:type="xsd:double"&gt;0.46006600660066&lt;/D&gt;&lt;D xsi:type="xsd:double"&gt;0.467540983606557&lt;/D&gt;&lt;D xsi:type="xsd:double"&gt;0.478744277305428&lt;/D&gt;&lt;D xsi:type="xsd:double"&gt;0.485045513654096&lt;/D&gt;&lt;D xsi:type="xsd:double"&gt;0.482467532467532&lt;/D&gt;&lt;D xsi:type="xsd:double"&gt;0.483116883116883&lt;/D&gt;&lt;D xsi:type="xsd:double"&gt;0.491569390402075&lt;/D&gt;&lt;D xsi:type="xsd:double"&gt;0.499034127495171&lt;/D&gt;&lt;D xsi:type="xsd:double"&gt;0.502574002574003&lt;/D&gt;&lt;D xsi:type="xsd:double"&gt;0.505188067444877&lt;/D&gt;&lt;D xsi:type="xsd:double"&gt;0.540428472702142&lt;/D&gt;&lt;D xsi:type="xsd:double"&gt;0.531997414350356&lt;/D&gt;&lt;D xsi:type="xsd:double"&gt;0.529754204398448&lt;/D&gt;&lt;D xsi:type="xsd:double"&gt;0.532038834951456&lt;/D&gt;&lt;D xsi:type="xsd:double"&gt;0.529103989535644&lt;/D&gt;&lt;D xsi:type="xsd:double"&gt;0.528728211749516&lt;/D&gt;&lt;D xsi:type="xsd:double"&gt;0.528155339805825&lt;/D&gt;&lt;D xsi:type="xsd:double"&gt;0.532988357050453&lt;/D&gt;&lt;D xsi:type="xsd:double"&gt;0.529641693811075&lt;/D&gt;&lt;D xsi:type="xsd:double"&gt;0.529411764705882&lt;/D&gt;&lt;D xsi:type="xsd:double"&gt;0.53393085787452&lt;/D&gt;&lt;D xsi:type="xsd:double"&gt;0.535851472471191&lt;/D&gt;&lt;D xsi:type="xsd:double"&gt;0.531956100710136&lt;/D&gt;&lt;D xsi:type="xsd:double"&gt;0.528067885117493&lt;/D&gt;&lt;D xsi:type="xsd:double"&gt;0.526420079260238&lt;/D&gt;&lt;D xsi:type="xsd:double"&gt;0.524901703800786&lt;/D&gt;&lt;D xsi:type="xsd:double"&gt;0.52013201320132&lt;/D&gt;&lt;D xsi:type="xsd:double"&gt;0.527296937416778&lt;/D&gt;&lt;D xsi:type="xsd:double"&gt;0.521739130434783&lt;/D&gt;&lt;D xsi:type="xsd:double"&gt;0.526743398781313&lt;/D&gt;&lt;D xsi:type="xsd:double"&gt;0.526954177897574&lt;/D&gt;&lt;D xsi:type="xsd:double"&gt;0.528891910265126&lt;/D&gt;&lt;D xsi:type="xsd:double"&gt;0.537568306010929&lt;/D&gt;&lt;D xsi:type="xsd:double"&gt;0.532781228433402&lt;/D&gt;&lt;D xsi:type="xsd:double"&gt;0.534674063800277&lt;/D&gt;&lt;D xsi:type="xsd:double"&gt;0.530710835058661&lt;/D&gt;&lt;D xsi:type="xsd:double"&gt;0.53088133240805&lt;/D&gt;&lt;D xsi:type="xsd:double"&gt;0.529824561403509&lt;/D&gt;&lt;D xsi:type="xsd:double"&gt;0.528612303290415&lt;/D&gt;&lt;D xsi:type="xsd:double"&gt;0.520284697508897&lt;/D&gt;&lt;D xsi:type="xsd:double"&gt;0.526086956521739&lt;/D&gt;&lt;D xsi:type="xsd:double"&gt;0.523255813953488&lt;/D&gt;&lt;D xsi:type="xsd:double"&gt;0.519731943410276&lt;/D&gt;&lt;D xsi:type="xsd:double"&gt;0.514820592823713&lt;/D&gt;&lt;D xsi:type="xsd:double"&gt;0.511575802837939&lt;/D&gt;&lt;D xsi:type="xsd:double"&gt;0.509505703422053&lt;/D&gt;&lt;D xsi:type="xsd:double"&gt;0.512396694214876&lt;/D&gt;&lt;D xsi:type="xsd:double"&gt;0.513219284603421&lt;/D&gt;&lt;D xsi:type="xsd:double"&gt;0.511517077045274&lt;/D&gt;&lt;D xsi:type="xsd:double"&gt;0.513313609467456&lt;/D&gt;&lt;D xsi:type="xsd:double"&gt;0.510479041916168&lt;/D&gt;&lt;D xsi:type="xsd:double"&gt;0.508928571428571&lt;/D&gt;&lt;D xsi:type="xsd:double"&gt;0.511947863866763&lt;/D&gt;&lt;D xsi:type="xsd:double"&gt;0.510576221735959&lt;/D&gt;&lt;D xsi:type="xsd:double"&gt;0.520365168539326&lt;/D&gt;&lt;D xsi:type="xsd:double"&gt;0.52&lt;/D&gt;&lt;D xsi:type="xsd:double"&gt;0.517501715854496&lt;/D&gt;&lt;D xsi:type="xsd:double"&gt;0.519944979367263&lt;/D&gt;&lt;D xsi:type="xsd:double"&gt;0.524623803009576&lt;/D&gt;&lt;D xsi:type="xsd:double"&gt;0.525752508361204&lt;/D&gt;&lt;D xsi:type="xsd:double"&gt;0.531957390146471&lt;/D&gt;&lt;D xsi:type="xsd:double"&gt;0.534038334434898&lt;/D&gt;&lt;D xsi:type="xsd:double"&gt;0.537184594953519&lt;/D&gt;&lt;D xsi:type="xsd:double"&gt;0.543250327653997&lt;/D&gt;&lt;D xsi:type="xsd:double"&gt;0.54320987654321&lt;/D&gt;&lt;D xsi:type="xsd:double"&gt;0.543024771838331&lt;/D&gt;&lt;D xsi:type="xsd:double"&gt;0.546997389033943&lt;/D&gt;&lt;D xsi:type="xsd:double"&gt;0.549443352979699&lt;/D&gt;&lt;D xsi:type="xsd:double"&gt;0.56142584341184&lt;/D&gt;&lt;D xsi:type="xsd:double"&gt;0.572519083969466&lt;/D&gt;&lt;D xsi:type="xsd:double"&gt;0.571976967370441&lt;/D&gt;&lt;D xsi:type="xsd:double"&gt;0.568627450980392&lt;/D&gt;&lt;D xsi:type="xsd:double"&gt;0.572069186418962&lt;/D&gt;&lt;D xsi:type="xsd:double"&gt;0.564625850340136&lt;/D&gt;&lt;D xsi:type="xsd:double"&gt;0.56207111665627&lt;/D&gt;&lt;D xsi:type="xsd:double"&gt;0.56293049467752&lt;/D&gt;&lt;D xsi:type="xsd:double"&gt;0.562735257214555&lt;/D&gt;&lt;D xsi:type="xsd:double"&gt;0.560540872771973&lt;/D&gt;&lt;D xsi:type="xsd:double"&gt;0.553846153846154&lt;/D&gt;&lt;D xsi:type="xsd:double"&gt;0.551745254133497&lt;/D&gt;&lt;D xsi:type="xsd:double"&gt;0.550742574257426&lt;/D&gt;&lt;D xsi:type="xsd:double"&gt;0.550905683947533&lt;/D&gt;&lt;D xsi:type="xsd:double"&gt;0.546533416614616&lt;/D&gt;&lt;D xsi:type="xsd:double"&gt;0.545741324921136&lt;/D&gt;&lt;D xsi:type="xsd:double"&gt;0.544247787610619&lt;/D&gt;&lt;D xsi:type="xsd:double"&gt;0.533844189016603&lt;/D&gt;&lt;D xsi:type="xsd:double"&gt;0.530625402965828&lt;/D&gt;&lt;D xsi:type="xsd:double"&gt;0.528920308483291&lt;/D&gt;&lt;D xsi:type="xsd:double"&gt;0.526791478373144&lt;/D&gt;&lt;D xsi:type="xsd:double"&gt;0.516318537859008&lt;/D&gt;&lt;D xsi:type="xsd:double"&gt;0.51413543721236&lt;/D&gt;&lt;D xsi:type="xsd:double"&gt;0.512905360688286&lt;/D&gt;&lt;D xsi:type="xsd:double"&gt;0.515436241610738&lt;/D&gt;&lt;D xsi:type="xsd:double"&gt;0.520297699594046&lt;/D&gt;&lt;D xsi:type="xsd:double"&gt;0.51844262295082&lt;/D&gt;&lt;D xsi:type="xsd:double"&gt;0.509459459459459&lt;/D&gt;&lt;D xsi:type="xsd:double"&gt;0.508196721311475&lt;/D&gt;&lt;D xsi:type="xsd:double"&gt;0.517123287671233&lt;/D&gt;&lt;D xsi:type="xsd:double"&gt;0.511740331491713&lt;/D&gt;&lt;D xsi:type="xsd:double"&gt;0.51534170153417&lt;/D&gt;&lt;D xsi:type="xsd:double"&gt;0.520818630910374&lt;/D&gt;&lt;D xsi:type="xsd:double"&gt;0.51960085531005&lt;/D&gt;&lt;D xsi:type="xsd:double"&gt;0.51841155234657&lt;/D&gt;&lt;D xsi:type="xsd:double"&gt;0.523465703971119&lt;/D&gt;&lt;D xsi:type="xsd:double"&gt;0.523297491039427&lt;/D&gt;&lt;D xsi:type="xsd:double"&gt;0.524555160142349&lt;/D&gt;&lt;D xsi:type="xsd:double"&gt;0.527075812274368&lt;/D&gt;&lt;D xsi:type="xsd:double"&gt;0.533812949640288&lt;/D&gt;&lt;D xsi:type="xsd:double"&gt;0.534445250181291&lt;/D&gt;&lt;D xsi:type="xsd:double"&gt;0.540912382331644&lt;/D&gt;&lt;D xsi:type="xsd:double"&gt;0.54910394265233&lt;/D&gt;&lt;D xsi:type="xsd:double"&gt;0.55137481910275&lt;/D&gt;&lt;D xsi:type="xsd:double"&gt;0.554765291607397&lt;/D&gt;&lt;D xsi:type="xsd:double"&gt;0.551674982181041&lt;/D&gt;&lt;D xsi:type="xsd:double"&gt;0.552540013917884&lt;/D&gt;&lt;D xsi:type="xsd:double"&gt;0.554309740714786&lt;/D&gt;&lt;D xsi:type="xsd:double"&gt;0.559914407988588&lt;/D&gt;&lt;D xsi:type="xsd:double"&gt;0.559782608695652&lt;/D&gt;&lt;D xsi:type="xsd:double"&gt;0.568918918918919&lt;/D&gt;&lt;D xsi:type="xsd:double"&gt;0.571143617021277&lt;/D&gt;&lt;D xsi:type="xsd:double"&gt;0.571428571428571&lt;/D&gt;&lt;D xsi:type="xsd:double"&gt;0.564952638700947&lt;/D&gt;&lt;D xsi:type="xsd:double"&gt;0.56348167539267&lt;/D&gt;&lt;D xsi:type="xsd:double"&gt;0.563528637261356&lt;/D&gt;&lt;D xsi:type="xsd:double"&gt;0.574385510996119&lt;/D&gt;&lt;D xsi:type="xsd:double"&gt;0.573738680465718&lt;/D&gt;&lt;D xsi:type="xsd:double"&gt;0.570871261378413&lt;/D&gt;&lt;D xsi:type="xsd:double"&gt;0.585059635907094&lt;/D&gt;&lt;D xsi:type="xsd:double"&gt;0.586272040302267&lt;/D&gt;&lt;D xsi:type="xsd:double"&gt;0.587791063561989&lt;/D&gt;&lt;D xsi:type="xsd:double"&gt;0.5625&lt;/D&gt;&lt;D xsi:type="xsd:double"&gt;0.604218362282878&lt;/D&gt;&lt;D xsi:type="xsd:double"&gt;0.606153846153846&lt;/D&gt;&lt;D xsi:type="xsd:double"&gt;0.603785103785104&lt;/D&gt;&lt;D xsi:type="xsd:double"&gt;0.601471489883507&lt;/D&gt;&lt;D xsi:type="xsd:double"&gt;0.603115264797508&lt;/D&gt;&lt;D xsi:type="xsd:double"&gt;0.65&lt;/D&gt;&lt;D xsi:type="xsd:double"&gt;0.605878824235153&lt;/D&gt;&lt;D xsi:type="xsd:double"&gt;0.605625374027528&lt;/D&gt;&lt;D xsi:type="xsd:double"&gt;0.605278944211158&lt;/D&gt;&lt;D xsi:type="xsd:double"&gt;0.606755126658625&lt;/D&gt;&lt;D xsi:type="xsd:double"&gt;0.608253588516746&lt;/D&gt;&lt;D xsi:type="xsd:double"&gt;0.606950269622529&lt;/D&gt;&lt;D xsi:type="xsd:double"&gt;0.684210526315789&lt;/D&gt;&lt;D xsi:type="xsd:double"&gt;0.607358262967431&lt;/D&gt;&lt;D xsi:type="xsd:double"&gt;0.612590799031477&lt;/D&gt;&lt;D xsi:type="xsd:double"&gt;0.61472915398661&lt;/D&gt;&lt;D xsi:type="xsd:double"&gt;0.612883435582822&lt;/D&gt;&lt;D xsi:type="xsd:double"&gt;0.60772104607721&lt;/D&gt;&lt;D xsi:type="xsd:double"&gt;0.606896551724138&lt;/D&gt;&lt;D xsi:type="xsd:double"&gt;0.609709962168979&lt;/D&gt;&lt;D xsi:type="xsd:double"&gt;0.607610729881472&lt;/D&gt;&lt;D xsi:type="xsd:double"&gt;0.605871330418488&lt;/D&gt;&lt;D xsi:type="xsd:double"&gt;0.609404388714734&lt;/D&gt;&lt;D xsi:type="xsd:double"&gt;0.608253968253968&lt;/D&gt;&lt;D xsi:type="xsd:double"&gt;0.603348358016742&lt;/D&gt;&lt;D xsi:type="xsd:double"&gt;0.612923864363404&lt;/D&gt;&lt;D xsi:type="xsd:double"&gt;0.608974358974359&lt;/D&gt;&lt;D xsi:type="xsd:double"&gt;0.600896860986547&lt;/D&gt;&lt;D xsi:type="xsd:double"&gt;0.599099099099099&lt;/D&gt;&lt;D xsi:type="xsd:double"&gt;0.599609375&lt;/D&gt;&lt;D xsi:type="xsd:double"&gt;0.596289187460013&lt;/D&gt;&lt;D xsi:type="xsd:double"&gt;0.595238095238095&lt;/D&gt;&lt;D xsi:type="xsd:double"&gt;0.59589480436177&lt;/D&gt;&lt;D xsi:type="xsd:double"&gt;0.599615631005766&lt;/D&gt;&lt;D xsi:type="xsd:double"&gt;0.594961240310077&lt;/D&gt;&lt;D xsi:type="xsd:double"&gt;0.598965071151358&lt;/D&gt;&lt;D xsi:type="xsd:double"&gt;0.596365996106424&lt;/D&gt;&lt;D xsi:type="xsd:double"&gt;0.588466579292267&lt;/D&gt;&lt;D xsi:type="xsd:double"&gt;0.593586387434555&lt;/D&gt;&lt;D xsi:type="xsd:double"&gt;0.592445328031809&lt;/D&gt;&lt;D xsi:type="xsd:double"&gt;0.595333333333333&lt;/D&gt;&lt;D xsi:type="xsd:double"&gt;0.592692828146143&lt;/D&gt;&lt;D xsi:type="xsd:double"&gt;0.597437626432906&lt;/D&gt;&lt;D xsi:type="xsd:double"&gt;0.593451568894952&lt;/D&gt;&lt;D xsi:type="xsd:double"&gt;0.591032608695652&lt;/D&gt;&lt;D xsi:type="xsd:double"&gt;0.589237057220708&lt;/D&gt;&lt;D xsi:type="xsd:double"&gt;0.581805838424983&lt;/D&gt;&lt;D xsi:type="xsd:double"&gt;0.582822085889571&lt;/D&gt;&lt;D xsi:type="xsd:double"&gt;0.581443298969072&lt;/D&gt;&lt;D xsi:type="xsd:double"&gt;0.578624914908101&lt;/D&gt;&lt;D xsi:type="xsd:double"&gt;0.571915473755965&lt;/D&gt;&lt;D xsi:type="xsd:double"&gt;0.569178082191781&lt;/D&gt;&lt;D xsi:type="xsd:double"&gt;0.56935817805383&lt;/D&gt;&lt;D xsi:type="xsd:double"&gt;0.56743535988819&lt;/D&gt;&lt;D xsi:type="xsd:double"&gt;0.5700871898055&lt;/D&gt;&lt;D xsi:type="xsd:double"&gt;0.560942760942761&lt;/D&gt;&lt;D xsi:type="xsd:double"&gt;0.560432140445645&lt;/D&gt;&lt;D xsi:type="xsd:double"&gt;0.557510148849797&lt;/D&gt;&lt;D xsi:type="xsd:double"&gt;0.561307901907357&lt;/D&gt;&lt;D xsi:type="xsd:double"&gt;0.574621959237344&lt;/D&gt;&lt;D xsi:type="xsd:double"&gt;0.571241830065359&lt;/D&gt;&lt;D xsi:type="xsd:double"&gt;0.578878748370274&lt;/D&gt;&lt;D xsi:type="xsd:double"&gt;0.578258022265881&lt;/D&gt;&lt;D xsi:type="xsd:double"&gt;0.581072137657181&lt;/D&gt;&lt;D xsi:type="xsd:double"&gt;0.579821200510856&lt;/D&gt;&lt;D xsi:type="xsd:double"&gt;0.579626047711154&lt;/D&gt;&lt;D xsi:type="xsd:double"&gt;0.579349904397706&lt;/D&gt;&lt;D xsi:type="xsd:double"&gt;0.580500320718409&lt;/D&gt;&lt;D xsi:type="xsd:double"&gt;0.583959899749373&lt;/D&gt;&lt;D xsi:type="xsd:double"&gt;0.583696328562539&lt;/D&gt;&lt;D xsi:type="xsd:double"&gt;0.587795765877958&lt;/D&gt;&lt;D xsi:type="xsd:double"&gt;0.594292803970223&lt;/D&gt;&lt;D xsi:type="xsd:double"&gt;0.598503740648379&lt;/D&gt;&lt;D xsi:type="xsd:double"&gt;0.605763335377069&lt;/D&gt;&lt;D xsi:type="xsd:double"&gt;0.60146252285192&lt;/D&gt;&lt;D xsi:type="xsd:double"&gt;0.602923264311815&lt;/D&gt;&lt;D xsi:type="xsd:double"&gt;0.60956416464891&lt;/D&gt;&lt;D xsi:type="xsd:double"&gt;0.608140947752126&lt;/D&gt;&lt;D xsi:type="xsd:double"&gt;0.614689945815774&lt;/D&gt;&lt;D xsi:type="xsd:double"&gt;0.620774431468961&lt;/D&gt;&lt;D xsi:type="xsd:double"&gt;0.609876543209876&lt;/D&gt;&lt;D xsi:type="xsd:double"&gt;0.620087336244541&lt;/D&gt;&lt;D xsi:type="xsd:double"&gt;0.614609571788413&lt;/D&gt;&lt;D xsi:type="xsd:double"&gt;0.617260787992495&lt;/D&gt;&lt;D xsi:type="xsd:double"&gt;0.622404027690371&lt;/D&gt;&lt;D xsi:type="xsd:double"&gt;0.619798234552333&lt;/D&gt;&lt;D xsi:type="xsd:double"&gt;0.60969387755102&lt;/D&gt;&lt;D xsi:type="xsd:double"&gt;0.611681643132221&lt;/D&gt;&lt;D xsi:type="xsd:double"&gt;0.612074502247913&lt;/D&gt;&lt;D xsi:type="xsd:double"&gt;0.607323232323232&lt;/D&gt;&lt;D xsi:type="xsd:double"&gt;0.591194968553459&lt;/D&gt;&lt;D xsi:type="xsd:double"&gt;0.589628681177977&lt;/D&gt;&lt;D xsi:type="xsd:double"&gt;0.585334198572356&lt;/D&gt;&lt;D xsi:type="xsd:double"&gt;0.589955499046408&lt;/D&gt;&lt;D xsi:type="xsd:double"&gt;0.593889242520687&lt;/D&gt;&lt;D xsi:type="xsd:double"&gt;0.591254752851711&lt;/D&gt;&lt;D xsi:type="xsd:double"&gt;0.591259640102828&lt;/D&gt;&lt;D xsi:type="xsd:double"&gt;0.586675291073739&lt;/D&gt;&lt;D xsi:type="xsd:double"&gt;0.577946768060836&lt;/D&gt;&lt;D xsi:type="xsd:double"&gt;0.579260237780713&lt;/D&gt;&lt;D xsi:type="xsd:double"&gt;0.576036866359447&lt;/D&gt;&lt;D xsi:type="xsd:double"&gt;0.573509933774834&lt;/D&gt;&lt;D xsi:type="xsd:double"&gt;0.57589880159787&lt;/D&gt;&lt;D xsi:type="xsd:double"&gt;0.571335504885993&lt;/D&gt;&lt;D xsi:type="xsd:double"&gt;0.573856209150327&lt;/D&gt;&lt;D xsi:type="xsd:double"&gt;0.572459016393443&lt;/D&gt;&lt;D xsi:type="xsd:double"&gt;0.571618037135278&lt;/D&gt;&lt;D xsi:type="xsd:double"&gt;0.570281124497992&lt;/D&gt;&lt;D xsi:type="xsd:double"&gt;0.564002599090318&lt;/D&gt;&lt;D xsi:type="xsd:double"&gt;0.561892417368762&lt;/D&gt;&lt;D xsi:type="xsd:double"&gt;0.563648293963255&lt;/D&gt;&lt;D xsi:type="xsd:double"&gt;0.563984168865435&lt;/D&gt;&lt;D xsi:type="xsd:double"&gt;0.570751523358158&lt;/D&gt;&lt;D xsi:type="xsd:double"&gt;0.564658090724441&lt;/D&gt;&lt;D xsi:type="xsd:double"&gt;0.576043068640646&lt;/D&gt;&lt;D xsi:type="xsd:double"&gt;0.566934404283802&lt;/D&gt;&lt;D xsi:type="xsd:double"&gt;0.562038900067069&lt;/D&gt;&lt;D xsi:type="xsd:double"&gt;0.558&lt;/D&gt;&lt;D xsi:type="xsd:double"&gt;0.563672922252011&lt;/D&gt;&lt;D xsi:type="xsd:double"&gt;0.570564516129032&lt;/D&gt;&lt;D xsi:type="xsd:double"&gt;0.577673167451244&lt;/D&gt;&lt;D xsi:type="xsd:double"&gt;0.576407506702413&lt;/D&gt;&lt;D xsi:type="xsd:double"&gt;0.586738111185533&lt;/D&gt;&lt;D xsi:type="xsd:double"&gt;0.57908669755129&lt;/D&gt;&lt;D xsi:type="xsd:double"&gt;0.582119205298013&lt;/D&gt;&lt;D xsi:type="xsd:double"&gt;0.587725150100067&lt;/D&gt;&lt;D xsi:type="xsd:double"&gt;0.588666666666667&lt;/D&gt;&lt;D xsi:type="xsd:double"&gt;0.585865257595773&lt;/D&gt;&lt;D xsi:type="xsd:double"&gt;0.585461689587426&lt;/D&gt;&lt;D xsi:type="xsd:double"&gt;0.591383812010444&lt;/D&gt;&lt;D xsi:type="xsd:double"&gt;0.588311688311688&lt;/D&gt;&lt;D xsi:type="xsd:double"&gt;0.591264667535854&lt;/D&gt;&lt;D xsi:type="xsd:double"&gt;0.58634274458306&lt;/D&gt;&lt;D xsi:type="xsd:double"&gt;0.575916230366492&lt;/D&gt;&lt;D xsi:type="xsd:double"&gt;0.572372769332452&lt;/D&gt;&lt;D xsi:type="xsd:double"&gt;0.567676767676768&lt;/D&gt;&lt;D xsi:type="xsd:double"&gt;0.562033898305085&lt;/D&gt;&lt;D xsi:type="xsd:double"&gt;0.567017082785808&lt;/D&gt;&lt;D xsi:type="xsd:double"&gt;0.568047337278107&lt;/D&gt;&lt;D xsi:type="xsd:double"&gt;0.568421052631579&lt;/D&gt;&lt;D xsi:type="xsd:double"&gt;0.57313829787234&lt;/D&gt;&lt;D xsi:type="xsd:double"&gt;0.591567852437418&lt;/D&gt;&lt;D xsi:type="xsd:double"&gt;0.58695652173913&lt;/D&gt;&lt;D xsi:type="xsd:double"&gt;0.579776756401838&lt;/D&gt;&lt;D xsi:type="xsd:double"&gt;0.578042328042328&lt;/D&gt;&lt;D xsi:type="xsd:double"&gt;0.580730897009967&lt;/D&gt;&lt;D xsi:type="xsd:double"&gt;0.566013071895425&lt;/D&gt;&lt;D xsi:type="xsd:double"&gt;0.562745098039216&lt;/D&gt;&lt;D xsi:type="xsd:double"&gt;0.559399477806789&lt;/D&gt;&lt;D xsi:type="xsd:double"&gt;0.558920342330481&lt;/D&gt;&lt;D xsi:type="xsd:double"&gt;0.562458249832999&lt;/D&gt;&lt;D xsi:type="xsd:double"&gt;0.565710473649099&lt;/D&gt;&lt;D xsi:type="xsd:double"&gt;0.571428571428571&lt;/D&gt;&lt;D xsi:type="xsd:double"&gt;0.569262577532736&lt;/D&gt;&lt;D xsi:type="xsd:double"&gt;0.560787069571328&lt;/D&gt;&lt;D xsi:type="xsd:double"&gt;0.563610518834399&lt;/D&gt;&lt;D xsi:type="xsd:double"&gt;0.559154929577465&lt;/D&gt;&lt;D xsi:type="xsd:double"&gt;0.553508150248051&lt;/D&gt;&lt;D xsi:type="xsd:double"&gt;0.545260156806842&lt;/D&gt;&lt;D xsi:type="xsd:double"&gt;0.532703488372093&lt;/D&gt;&lt;D xsi:type="xsd:double"&gt;0.535531135531136&lt;/D&gt;&lt;D xsi:type="xsd:double"&gt;0.538059701492537&lt;/D&gt;&lt;D xsi:type="xsd:double"&gt;0.536802973977695&lt;/D&gt;&lt;D xsi:type="xsd:double"&gt;0.540499621498865&lt;/D&gt;&lt;D xsi:type="xsd:double"&gt;0.542594013814275&lt;/D&gt;&lt;D xsi:type="xsd:double"&gt;0.552748885586924&lt;/D&gt;&lt;D xsi:type="xsd:double"&gt;0.548844146159582&lt;/D&gt;&lt;D xsi:type="xsd:double"&gt;0.555473372781065&lt;/D&gt;&lt;D xsi:type="xsd:double"&gt;0.557067271352986&lt;/D&gt;&lt;D xsi:type="xsd:double"&gt;0.558461538461538&lt;/D&gt;&lt;D xsi:type="xsd:double"&gt;0.553129548762737&lt;/D&gt;&lt;D xsi:type="xsd:double"&gt;0.558737151248164&lt;/D&gt;&lt;D xsi:type="xsd:double"&gt;0.556842867487328&lt;/D&gt;&lt;D xsi:type="xsd:double"&gt;0.555474981870921&lt;/D&gt;&lt;D xsi:type="xsd:double"&gt;0.563791874554526&lt;/D&gt;&lt;D xsi:type="xsd:double"&gt;0.561095505617977&lt;/D&gt;&lt;D xsi:type="xsd:double"&gt;0.563888888888889&lt;/D&gt;&lt;D xsi:type="xsd:double"&gt;0.564975677553857&lt;/D&gt;&lt;D xsi:type="xsd:double"&gt;0.57345971563981&lt;/D&gt;&lt;D xsi:type="xsd:double"&gt;0.582995951417004&lt;/D&gt;&lt;D xsi:type="xsd:double"&gt;0.581536388140162&lt;/D&gt;&lt;D xsi:type="xsd:double"&gt;0.577408637873754&lt;/D&gt;&lt;D xsi:type="xsd:double"&gt;0.585743106926698&lt;/D&gt;&lt;D xsi:type="xsd:double"&gt;0.596078431372549&lt;/D&gt;&lt;D xsi:type="xsd:double"&gt;0.597924773022049&lt;/D&gt;&lt;D xsi:type="xsd:double"&gt;0.598440545808967&lt;/D&gt;&lt;D xsi:type="xsd:double"&gt;0.596616785946649&lt;/D&gt;&lt;D xsi:type="xsd:double"&gt;0.593994778067885&lt;/D&gt;&lt;D xsi:type="xsd:double"&gt;0.588688946015424&lt;/D&gt;&lt;D xsi:type="xsd:double"&gt;0.587929915639195&lt;/D&gt;&lt;D xsi:type="xsd:double"&gt;0.585686145764938&lt;/D&gt;&lt;D xsi:type="xsd:double"&gt;0.593045717965229&lt;/D&gt;&lt;D xsi:type="xsd:double"&gt;0.587362991618311&lt;/D&gt;&lt;D xsi:type="xsd:double"&gt;0.593241551939925&lt;/D&gt;&lt;D xsi:type="xsd:double"&gt;0.594968553459119&lt;/D&gt;&lt;D xsi:type="xsd:double"&gt;0.58871989860583&lt;/D&gt;&lt;D xsi:type="xsd:double"&gt;0.594490711082639&lt;/D&gt;&lt;D xsi:type="xsd:double"&gt;0.601641414141414&lt;/D&gt;&lt;D xsi:type="xsd:double"&gt;0.603295310519645&lt;/D&gt;&lt;D xsi:type="xsd:double"&gt;0.595208070617907&lt;/D&gt;&lt;D xsi:type="xsd:double"&gt;0.589467005076142&lt;/D&gt;&lt;D xsi:type="xsd:double"&gt;0.587261146496815&lt;/D&gt;&lt;D xsi:type="xsd:double"&gt;0.58343949044586&lt;/D&gt;&lt;D xsi:type="xsd:double"&gt;0.58766859344894&lt;/D&gt;&lt;D xsi:type="xsd:double"&gt;0.587443946188341&lt;/D&gt;&lt;D xsi:type="xsd:double"&gt;0.585113268608414&lt;/D&gt;&lt;D xsi:type="xsd:double"&gt;0.581196581196581&lt;/D&gt;&lt;D xsi:type="xsd:double"&gt;0.56595191682911&lt;/D&gt;&lt;D xsi:type="xsd:double"&gt;0.562909567496723&lt;/D&gt;&lt;D xsi:type="xsd:double"&gt;0.565104166666667&lt;/D&gt;&lt;D xsi:type="xsd:double"&gt;0.560105680317041&lt;/D&gt;&lt;D xsi:type="xsd:double"&gt;0.558432934926959&lt;/D&gt;&lt;D xsi:type="xsd:double"&gt;0.542531815137307&lt;/D&gt;&lt;D xsi:type="xsd:double"&gt;0.539768864717879&lt;/D&gt;&lt;D xsi:type="xsd:double"&gt;0.531143052703628&lt;/D&gt;&lt;D xsi:type="xsd:double"&gt;0.524176594253679&lt;/D&gt;&lt;D xsi:type="xsd:double"&gt;0.524450744153083&lt;/D&gt;&lt;D xsi:type="xsd:double"&gt;0.518727915194346&lt;/D&gt;&lt;D xsi:type="xsd:double"&gt;0.508058864751226&lt;/D&gt;&lt;D xsi:type="xsd:double"&gt;0.507746478873239&lt;/D&gt;&lt;D xsi:type="xsd:double"&gt;0.502476999292286&lt;/D&gt;&lt;D xsi:type="xsd:double"&gt;0.498923187365398&lt;/D&gt;&lt;D xsi:type="xsd:double"&gt;0.496423462088698&lt;/D&gt;&lt;D xsi:type="xsd:double"&gt;0.5&lt;/D&gt;&lt;D xsi:type="xsd:double"&gt;0.491684743311641&lt;/D&gt;&lt;D xsi:type="xsd:double"&gt;0.496382054992764&lt;/D&gt;&lt;D xsi:type="xsd:double"&gt;0.498897869213813&lt;/D&gt;&lt;D xsi:type="xsd:double"&gt;0.49598832968636&lt;/D&gt;&lt;D xsi:type="xsd:double"&gt;0.482933914306463&lt;/D&gt;&lt;D xsi:type="xsd:double"&gt;0.489423778264041&lt;/D&gt;&lt;D xsi:type="xsd:double"&gt;0.488388969521045&lt;/D&gt;&lt;D xsi:type="xsd:double"&gt;0.490138787436085&lt;/D&gt;&lt;D xsi:type="xsd:double"&gt;0.49525893508388&lt;/D&gt;&lt;D xsi:type="xsd:double"&gt;0.493800145878921&lt;/D&gt;&lt;D xsi:type="xsd:double"&gt;0.484476534296029&lt;/D&gt;&lt;D xsi:type="xsd:double"&gt;0.483274021352313&lt;/D&gt;&lt;D xsi:type="xsd:double"&gt;0.483007953723789&lt;/D&gt;&lt;D xsi:type="xsd:double"&gt;0.481969486823856&lt;/D&gt;&lt;D xsi:type="xsd:double"&gt;0.489554317548747&lt;/D&gt;&lt;D xsi:type="xsd:double"&gt;0.496890117484451&lt;/D&gt;&lt;D xsi:type="xsd:double"&gt;0.491596638655462&lt;/D&gt;&lt;D xsi:type="xsd:double"&gt;0.494334277620397&lt;/D&gt;&lt;D xsi:type="xsd:double"&gt;0.491525423728814&lt;/D&gt;&lt;D xsi:type="xsd:double"&gt;0.495616992582603&lt;/D&gt;&lt;D xsi:type="xsd:double"&gt;0.486850977747808&lt;/D&gt;&lt;D xsi:type="xsd:double"&gt;0.481177275838467&lt;/D&gt;&lt;D xsi:type="xsd:double"&gt;0.4824016563147&lt;/D&gt;&lt;D xsi:type="xsd:double"&gt;0.477887788778878&lt;/D&gt;&lt;D xsi:type="xsd:double"&gt;0.482872200263505&lt;/D&gt;&lt;D xsi:type="xsd:double"&gt;0.480392156862745&lt;/D&gt;&lt;D xsi:type="xsd:double"&gt;0.476912928759894&lt;/D&gt;&lt;D xsi:type="xsd:double"&gt;0.486900958466454&lt;/D&gt;&lt;D xsi:type="xsd:double"&gt;0.486366518706405&lt;/D&gt;&lt;D xsi:type="xsd:double"&gt;0.482715273412948&lt;/D&gt;&lt;D xsi:type="xsd:double"&gt;0.482649842271293&lt;/D&gt;&lt;D xsi:type="xsd:double"&gt;0.480585614258434&lt;/D&gt;&lt;D xsi:type="xsd:double"&gt;0.485573971761817&lt;/D&gt;&lt;D xsi:type="xsd:double"&gt;0.483990147783251&lt;/D&gt;&lt;D xsi:type="xsd:double"&gt;0.485203452527744&lt;/D&gt;&lt;D xsi:type="xsd:double"&gt;0.484210526315789&lt;/D&gt;&lt;D xsi:type="xsd:double"&gt;0.487820112429731&lt;/D&gt;&lt;D xsi:type="xsd:double"&gt;0.484548825710754&lt;/D&gt;&lt;D xsi:type="xsd:double"&gt;0.48740012292563&lt;/D&gt;&lt;D xsi:type="xsd:double"&gt;0.487925696594427&lt;/D&gt;&lt;D xsi:type="xsd:double"&gt;0.485&lt;/D&gt;&lt;D xsi:type="xsd:double"&gt;0.484581497797357&lt;/D&gt;&lt;D xsi:type="xsd:double"&gt;0.488721804511278&lt;/D&gt;&lt;D xsi:type="xsd:double"&gt;0.482866043613707&lt;/D&gt;&lt;D xsi:type="xsd:double"&gt;0.472065285624608&lt;/D&gt;&lt;D xsi:type="xsd:double"&gt;0.479721166032953&lt;/D&gt;&lt;D xsi:type="xsd:double"&gt;0.471264367816092&lt;/D&gt;&lt;D xsi:type="xsd:double"&gt;0.464868255959849&lt;/D&gt;&lt;D xsi:type="xsd:double"&gt;0.458227848101266&lt;/D&gt;&lt;D xsi:type="xsd:double"&gt;0.454026632847178&lt;/D&gt;&lt;D xsi:type="xsd:double"&gt;0.445157152020526&lt;/D&gt;&lt;D xsi:type="xsd:double"&gt;0.44286636539703&lt;/D&gt;&lt;D xsi:type="xsd:double"&gt;0.432673899170389&lt;/D&gt;&lt;D xsi:type="xsd:double"&gt;0.428479381443299&lt;/D&gt;&lt;D xsi:type="xsd:double"&gt;0.422653721682848&lt;/D&gt;&lt;D xsi:type="xsd:double"&gt;0.420846905537459&lt;/D&gt;&lt;D xsi:type="xsd:double"&gt;0.421363040629096&lt;/D&gt;&lt;D xsi:type="xsd:double"&gt;0.408057179987005&lt;/D&gt;&lt;D xsi:type="xsd:double"&gt;0.409090909090909&lt;/D&gt;&lt;D xsi:type="xsd:double"&gt;0.392258064516129&lt;/D&gt;&lt;D xsi:type="xsd:double"&gt;0.395860284605433&lt;/D&gt;&lt;D xsi:type="xsd:double"&gt;0.393998695368558&lt;/D&gt;&lt;D xsi:type="xsd:double"&gt;0.384268214055448&lt;/D&gt;&lt;D xsi:type="xsd:double"&gt;0.377444589308996&lt;/D&gt;&lt;D xsi:type="xsd:double"&gt;0.372715404699739&lt;/D&gt;&lt;D xsi:type="xsd:double"&gt;0.359242325277596&lt;/D&gt;&lt;D xsi:type="xsd:double"&gt;0.354139290407359&lt;/D&gt;&lt;D xsi:type="xsd:double"&gt;0.34865397242285&lt;/D&gt;&lt;D xsi:type="xsd:double"&gt;0.351888667992048&lt;/D&gt;&lt;D xsi:type="xsd:double"&gt;0.348&lt;/D&gt;&lt;D xsi:type="xsd:double"&gt;0.335333333333333&lt;/D&gt;&lt;D xsi:type="xsd:double"&gt;0.336247478143914&lt;/D&gt;&lt;D xsi:type="xsd:double"&gt;0.327679782903664&lt;/D&gt;&lt;D xsi:type="xsd:double"&gt;0.329945799457995&lt;/D&gt;&lt;D xsi:type="xsd:double"&gt;0.322668481960517&lt;/D&gt;&lt;D xsi:type="xsd:double"&gt;0.320027529249828&lt;/D&gt;&lt;D xsi:type="xsd:double"&gt;0.310550763105508&lt;/D&gt;&lt;D xsi:type="xsd:double"&gt;0.309319233311302&lt;/D&gt;&lt;D xsi:type="xsd:double"&gt;0.307133421400264&lt;/D&gt;&lt;D xsi:type="xsd:double"&gt;0.304085733422639&lt;/D&gt;&lt;D xsi:type="xsd:double"&gt;0.309090909090909&lt;/D&gt;&lt;D xsi:type="xsd:double"&gt;0.292164674634794&lt;/D&gt;&lt;D xsi:type="xsd:double"&gt;0.292715231788079&lt;/D&gt;&lt;D xsi:type="xsd:double"&gt;0.282236842105263&lt;/D&gt;&lt;D xsi:type="xsd:double"&gt;0.282493368700265&lt;/D&gt;&lt;D xsi:type="xsd:double"&gt;0.284182305630027&lt;/D&gt;&lt;D xsi:type="xsd:double"&gt;0.285161290322581&lt;/D&gt;&lt;D xsi:type="xsd:double"&gt;0.283582089552239&lt;/D&gt;&lt;D xsi:type="xsd:double"&gt;0.282496782496783&lt;/D&gt;&lt;D xsi:type="xsd:double"&gt;0.274025974025974&lt;/D&gt;&lt;D xsi:type="xsd:double"&gt;0.274278215223097&lt;/D&gt;&lt;D xsi:type="xsd:double"&gt;0.26457399103139&lt;/D&gt;&lt;D xsi:type="xsd:double"&gt;0.257921419518378&lt;/D&gt;&lt;D xsi:type="xsd:double"&gt;0.248271527341295&lt;/D&gt;&lt;D xsi:type="xsd:double"&gt;0.247169811320755&lt;/D&gt;&lt;D xsi:type="xsd:double"&gt;0.245425867507886&lt;/D&gt;&lt;D xsi:type="xsd:double"&gt;0.2398753894081&lt;/D&gt;&lt;D xsi:type="xsd:double"&gt;0.24346201743462&lt;/D&gt;&lt;D xsi:type="xsd:double"&gt;0.233271945979128&lt;/D&gt;&lt;D xsi:type="xsd:double"&gt;0.219914477703115&lt;/D&gt;&lt;D xsi:type="xsd:double"&gt;0.214024390243902&lt;/D&gt;&lt;D xsi:type="xsd:double"&gt;0.20785498489426&lt;/D&gt;&lt;D xsi:type="xsd:double"&gt;0.203039513677812&lt;/D&gt;&lt;D xsi:type="xsd:double"&gt;0.199878861296184&lt;/D&gt;&lt;D xsi:type="xsd:double"&gt;0.198780487804878&lt;/D&gt;&lt;D xsi:type="xsd:double"&gt;0.182750301568154&lt;/D&gt;&lt;D xsi:type="xsd:double"&gt;0.175724637681159&lt;/D&gt;&lt;D xsi:type="xsd:double"&gt;0.168484848484848&lt;/D&gt;&lt;D xsi:type="xsd:double"&gt;0.164626682986536&lt;/D&gt;&lt;D xsi:type="xsd:double"&gt;0.163591635916359&lt;/D&gt;&lt;D xsi:type="xsd:double"&gt;0.16156670746634&lt;/D&gt;&lt;D xsi:type="xsd:double"&gt;0.15661182205972&lt;/D&gt;&lt;D xsi:type="xsd:double"&gt;0.148508825319537&lt;/D&gt;&lt;D xsi:type="xsd:double"&gt;0.140061162079511&lt;/D&gt;&lt;D xsi:type="xsd:double"&gt;0.140758873929009&lt;/D&gt;&lt;D xsi:type="xsd:double"&gt;0.141481035520771&lt;/D&gt;&lt;D xsi:type="xsd:double"&gt;0.140540540540541&lt;/D&gt;&lt;D xsi:type="xsd:double"&gt;0.141852286049238&lt;/D&gt;&lt;D xsi:type="xsd:double"&gt;0.139562389118865&lt;/D&gt;&lt;D xsi:type="xsd:double"&gt;0.140995260663507&lt;/D&gt;&lt;D xsi:type="xsd:double"&gt;0.138550724637681&lt;/D&gt;&lt;D xsi:type="xsd:double"&gt;0.133256083429896&lt;/D&gt;&lt;D xsi:type="xsd:double"&gt;0.1239092495637&lt;/D&gt;&lt;D xsi:type="xsd:double"&gt;0.124121779859485&lt;/D&gt;&lt;D xsi:type="xsd:double"&gt;0.123820754716981&lt;/D&gt;&lt;D xsi:type="xsd:double"&gt;0.126389701579871&lt;/D&gt;&lt;D xsi:type="xsd:double"&gt;0.128310771041789&lt;/D&gt;&lt;D xsi:type="xsd:double"&gt;0.124340175953079&lt;/D&gt;&lt;D xsi:type="xsd:double"&gt;0.127058823529412&lt;/D&gt;&lt;D xsi:type="xsd:double"&gt;0.130973451327434&lt;/D&gt;&lt;D xsi:type="xsd:double"&gt;0.130764740221833&lt;/D&gt;&lt;D xsi:type="xsd:double"&gt;0.125730994152047&lt;/D&gt;&lt;D xsi:type="xsd:double"&gt;0.130511463844797&lt;/D&gt;&lt;D xsi:type="xsd:double"&gt;0.133765468473777&lt;/D&gt;&lt;D xsi:type="xsd:double"&gt;0.137587822014052&lt;/D&gt;&lt;D xsi:type="xsd:double"&gt;0.142102172636524&lt;/D&gt;&lt;D xsi:type="xsd:double"&gt;0.141935483870968&lt;/D&gt;&lt;D xsi:type="xsd:double"&gt;0.148672566371681&lt;/D&gt;&lt;D xsi:type="xsd:double"&gt;0.152934202726734&lt;/D&gt;&lt;D xsi:type="xsd:double"&gt;0.165871121718377&lt;/D&gt;&lt;D xsi:type="xsd:double"&gt;0.17289156626506&lt;/D&gt;&lt;D xsi:type="xsd:double"&gt;0.174833635813672&lt;/D&gt;&lt;D xsi:type="xsd:double"&gt;0.175030599755202&lt;/D&gt;&lt;D xsi:type="xsd:double"&gt;0.187116564417178&lt;/D&gt;&lt;D xsi:type="xsd:double"&gt;0.196650124069479&lt;/D&gt;&lt;D xsi:type="xsd:double"&gt;0.201492537313433&lt;/D&gt;&lt;D xsi:type="xsd:double"&gt;0.212158808933002&lt;/D&gt;&lt;D xsi:type="xsd:double"&gt;0.227642276422764&lt;/D&gt;&lt;D xsi:type="xsd:double"&gt;0.2275&lt;/D&gt;&lt;D xsi:type="xsd:double"&gt;0.239198497182217&lt;/D&gt;&lt;D xsi:type="xsd:double"&gt;0.254164096236891&lt;/D&gt;&lt;D xsi:type="xsd:double"&gt;0.260436137071651&lt;/D&gt;&lt;D xsi:type="xsd:double"&gt;0.279347143753923&lt;/D&gt;&lt;D xsi:type="xsd:double"&gt;0.286972938955318&lt;/D&gt;&lt;D xsi:type="xsd:double"&gt;0.297416509136736&lt;/D&gt;&lt;D xsi:type="xsd:double"&gt;0.299686520376176&lt;/D&gt;&lt;D xsi:type="xsd:double"&gt;0.305381727158949&lt;/D&gt;&lt;D xsi:type="xsd:double"&gt;0.307594936708861&lt;/D&gt;&lt;D xsi:type="xsd:double"&gt;0.313442211055276&lt;/D&gt;&lt;D xsi:type="xsd:double"&gt;0.413281753707286&lt;/D&gt;&lt;D xsi:type="xsd:double"&gt;0.411498708010336&lt;/D&gt;&lt;D xsi:type="xsd:double"&gt;0.412688031393067&lt;/D&gt;&lt;D xsi:type="xsd:double"&gt;0.411214953271028&lt;/D&gt;&lt;D xsi:type="xsd:double"&gt;0.417789757412399&lt;/D&gt;&lt;D xsi:type="xsd:double"&gt;0.410086264100863&lt;/D&gt;&lt;D xsi:type="xsd:double"&gt;0.40878828229028&lt;/D&gt;&lt;D xsi:type="xsd:double"&gt;0.401464713715047&lt;/D&gt;&lt;D xsi:type="xsd:double"&gt;0.400806993947545&lt;/D&gt;&lt;D xsi:type="xsd:double"&gt;0.411764705882353&lt;/D&gt;&lt;D xsi:type="xsd:double"&gt;0.416833667334669&lt;/D&gt;&lt;D xsi:type="xsd:double"&gt;0.413538873994638&lt;/D&gt;&lt;D xsi:type="xsd:double"&gt;0.403924221921516&lt;/D&gt;&lt;D xsi:type="xsd:double"&gt;0.405149051490515&lt;/D&gt;&lt;D xsi:type="xsd:double"&gt;0.410714285714286&lt;/D&gt;&lt;D xsi:type="xsd:double"&gt;0.418496340652029&lt;/D&gt;&lt;D xsi:type="xsd:double"&gt;0.420629604822505&lt;/D&gt;&lt;D xsi:type="xsd:double"&gt;0.42001361470388&lt;/D&gt;&lt;D xsi:type="xsd:double"&gt;0.420260095824778&lt;/D&gt;&lt;D xsi:type="xsd:double"&gt;0.421160409556314&lt;/D&gt;&lt;D xsi:type="xsd:double"&gt;0.423553719008264&lt;/D&gt;&lt;D xsi:type="xsd:double"&gt;0.424221453287197&lt;/D&gt;&lt;D xsi:type="xsd:double"&gt;0.423076923076923&lt;/D&gt;&lt;D xsi:type="xsd:double"&gt;0.424647887323944&lt;/D&gt;&lt;D xsi:type="xsd:double"&gt;0.420679886685552&lt;/D&gt;&lt;D xsi:type="xsd:double"&gt;0.429693076374019&lt;/D&gt;&lt;D xsi:type="xsd:double"&gt;0.43898916967509&lt;/D&gt;&lt;D xsi:type="xsd:double"&gt;0.443065693430657&lt;/D&gt;&lt;D xsi:type="xsd:double"&gt;0.425720620842572&lt;/D&gt;&lt;D xsi:type="xsd:double"&gt;0.426119402985075&lt;/D&gt;&lt;D xsi:type="xsd:double"&gt;0.438478747203579&lt;/D&gt;&lt;D xsi:type="xsd:double"&gt;0.440639269406393&lt;/D&gt;&lt;D xsi:type="xsd:double"&gt;0.433255269320843&lt;/D&gt;&lt;D xsi:type="xsd:double"&gt;0.411720510894065&lt;/D&gt;&lt;D xsi:type="xsd:double"&gt;0.410566037735849&lt;/D&gt;&lt;D xsi:type="xsd:double"&gt;0.407267221801665&lt;/D&gt;&lt;D xsi:type="xsd:double"&gt;0.401419558359621&lt;/D&gt;&lt;D xsi:type="xsd:double"&gt;0.401419558359621&lt;/D&gt;&lt;D xsi:type="xsd:double"&gt;0.396485867074102&lt;/D&gt;&lt;D xsi:type="xsd:double"&gt;0.396512509476876&lt;/D&gt;&lt;D xsi:type="xsd:double"&gt;0.403177004538578&lt;/D&gt;&lt;D xsi:type="xsd:double"&gt;0.407884761182714&lt;/D&gt;&lt;D xsi:type="xsd:double"&gt;0.406485671191554&lt;/D&gt;&lt;D xsi:type="xsd:double"&gt;0.413333333333333&lt;/D&gt;&lt;D xsi:type="xsd:double"&gt;0.417952314165498&lt;/D&gt;&lt;D xsi:type="xsd:double"&gt;0.417837078651685&lt;/D&gt;&lt;D xsi:type="xsd:double"&gt;0.408809359944941&lt;/D&gt;&lt;D xsi:type="xsd:double"&gt;0.413982179575051&lt;/D&gt;&lt;D xsi:type="xsd:double"&gt;0.419157608695652&lt;/D&gt;&lt;D xsi:type="xsd:double"&gt;0.422086720867209&lt;/D&gt;&lt;D xsi:type="xsd:double"&gt;0.427501701837985&lt;/D&gt;&lt;D xsi:type="xsd:double"&gt;0.435897435897436&lt;/D&gt;&lt;D xsi:type="xsd:double"&gt;0.43716577540107&lt;/D&gt;&lt;D xsi:type="xsd:double"&gt;0.445927903871829&lt;/D&gt;&lt;D xsi:type="xsd:double"&gt;0.439444076770351&lt;/D&gt;&lt;D xsi:type="xsd:double"&gt;0.441705529646902&lt;/D&gt;&lt;D xsi:type="xsd:double"&gt;0.449642625081222&lt;/D&gt;&lt;D xsi:type="xsd:double"&gt;0.448900388098318&lt;/D&gt;&lt;D xsi:type="xsd:double"&gt;0.453541260558804&lt;/D&gt;&lt;D xsi:type="xsd:double"&gt;0.461438755670771&lt;/D&gt;&lt;D xsi:type="xsd:double"&gt;0.460234680573664&lt;/D&gt;&lt;D xsi:type="xsd:double"&gt;0.462789243277048&lt;/D&gt;&lt;D xsi:type="xsd:double"&gt;0.458874458874459&lt;/D&gt;&lt;D xsi:type="xsd:double"&gt;0.453947368421053&lt;/D&gt;&lt;D xsi:type="xsd:double"&gt;0.454061251664447&lt;/D&gt;&lt;D xsi:type="xsd:double"&gt;0.44769330734243&lt;/D&gt;&lt;D xsi:type="xsd:double"&gt;0.449086161879896&lt;/D&gt;&lt;D xsi:type="xsd:double"&gt;0.449379490529066&lt;/D&gt;&lt;D xsi:type="xsd:double"&gt;0.447800393959291&lt;/D&gt;&lt;D xsi:type="xsd:double"&gt;0.438151041666667&lt;/D&gt;&lt;D xsi:type="xsd:double"&gt;0.438151041666667&lt;/D&gt;&lt;D xsi:type="xsd:double"&gt;0.433003300330033&lt;/D&gt;&lt;D xsi:type="xsd:double"&gt;0.426174496644295&lt;/D&gt;&lt;D xsi:type="xsd:double"&gt;0.423180592991914&lt;/D&gt;&lt;D xsi:type="xsd:double"&gt;0.418625678119349&lt;/D&gt;&lt;D xsi:type="xsd:double"&gt;0.41541186891054&lt;/D&gt;&lt;D xsi:type="xsd:double"&gt;0.421100090171325&lt;/D&gt;&lt;D xsi:type="xsd:double"&gt;0.421242124212421&lt;/D&gt;&lt;D xsi:type="xsd:double"&gt;0.418264840182648&lt;/D&gt;&lt;D xsi:type="xsd:double"&gt;0.419741697416974&lt;/D&gt;&lt;D xsi:type="xsd:double"&gt;0.408884859474161&lt;/D&gt;&lt;D xsi:type="xsd:double"&gt;0.405132905591201&lt;/D&gt;&lt;D xsi:type="xsd:double"&gt;0.399812734082397&lt;/D&gt;&lt;D xsi:type="xsd:double"&gt;0.393396226415094&lt;/D&gt;&lt;D xsi:type="xsd:double"&gt;0.387832699619772&lt;/D&gt;&lt;D xsi:type="xsd:double"&gt;0.394285714285714&lt;/D&gt;&lt;D xsi:type="xsd:double"&gt;0.383141762452107&lt;/D&gt;&lt;D xsi:type="xsd:double"&gt;0.388349514563107&lt;/D&gt;&lt;D xsi:type="xsd:double"&gt;0.394202898550725&lt;/D&gt;&lt;D xsi:type="xsd:double"&gt;0.392441860465116&lt;/D&gt;&lt;D xsi:type="xsd:double"&gt;0.391682785299807&lt;/D&gt;&lt;D xsi:type="xsd:double"&gt;0.389597644749755&lt;/D&gt;&lt;D xsi:type="xsd:double"&gt;0.398826979472141&lt;/D&gt;&lt;D xsi:type="xsd:double"&gt;0.392441860465116&lt;/D&gt;&lt;D xsi:type="xsd:double"&gt;0.392023346303502&lt;/D&gt;&lt;D xsi:type="xsd:double"&gt;0.391219512195122&lt;/D&gt;&lt;D xsi:type="xsd:double"&gt;0.396902226524685&lt;/D&gt;&lt;D xsi:type="xsd:double"&gt;0.405222437137331&lt;/D&gt;&lt;D xsi:type="xsd:double"&gt;0.411934552454283&lt;/D&gt;&lt;D xsi:type="xsd:double"&gt;0.416666666666667&lt;/D&gt;&lt;D xsi:type="xsd:double"&gt;0.414657666345227&lt;/D&gt;&lt;D xsi:type="xsd:double"&gt;0.414396887159533&lt;/D&gt;&lt;D xsi:type="xsd:double"&gt;0.40748031496063&lt;/D&gt;&lt;D xsi:type="xsd:double"&gt;0.412573673870334&lt;/D&gt;&lt;D xsi:type="xsd:double"&gt;0.40990099009901&lt;/D&gt;&lt;D xsi:type="xsd:double"&gt;0.42314990512334&lt;/D&gt;&lt;D xsi:type="xsd:double"&gt;0.418691588785047&lt;/D&gt;&lt;D xsi:type="xsd:double"&gt;0.419475655430712&lt;/D&gt;&lt;D xsi:type="xsd:double"&gt;0.417300380228137&lt;/D&gt;&lt;D xsi:type="xsd:double"&gt;0.419138755980861&lt;/D&gt;&lt;D xsi:type="xsd:double"&gt;0.405529953917051&lt;/D&gt;&lt;D xsi:type="xsd:double"&gt;0.405529953917051&lt;/D&gt;&lt;D xsi:type="xsd:double"&gt;0.401826484018265&lt;/D&gt;&lt;D xsi:type="xsd:double"&gt;0.403863845446182&lt;/D&gt;&lt;D xsi:type="xsd:double"&gt;0.399443929564411&lt;/D&gt;&lt;D xsi:type="xsd:double"&gt;0.409049773755656&lt;/D&gt;&lt;D xsi:type="xsd:double"&gt;0.415760869565217&lt;/D&gt;&lt;D xsi:type="xsd:double"&gt;0.412398921832884&lt;/D&gt;&lt;D xsi:type="xsd:double"&gt;0.405770964833183&lt;/D&gt;&lt;D xsi:type="xsd:double"&gt;0.40528233151184&lt;/D&gt;&lt;D xsi:type="xsd:double"&gt;0.401960784313726&lt;/D&gt;&lt;D xsi:type="xsd:double"&gt;0.406854130052724&lt;/D&gt;&lt;D xsi:type="xsd:double"&gt;0.40976460331299003&lt;/D&gt;&lt;D xsi:type="xsd:double"&gt;0.406496927129061&lt;/D&gt;&lt;D xsi:type="xsd:double"&gt;0.404436860068259&lt;/D&gt;&lt;D xsi:type="xsd:double"&gt;0.41025641025641&lt;/D&gt;&lt;D xsi:type="xsd:double"&gt;0.407758620689655&lt;/D&gt;&lt;D xsi:type="xsd:double"&gt;0.411453744493392&lt;/D&gt;&lt;D xsi:type="xsd:double"&gt;0.412234042553192&lt;/D&gt;&lt;D xsi:type="xsd:double"&gt;0.403614457831325&lt;/D&gt;&lt;D xsi:type="xsd:double"&gt;0.414445399828031&lt;/D&gt;&lt;D xsi:type="xsd:double"&gt;0.419382504288165&lt;/D&gt;&lt;D xsi:type="xsd:double"&gt;0.422184006878762&lt;/D&gt;&lt;D xsi:type="xsd:double"&gt;0.420464316423044&lt;/D&gt;&lt;D xsi:type="xsd:double"&gt;0.40168776371308&lt;/D&gt;&lt;D xsi:type="xsd:double"&gt;0.399326032013479&lt;/D&gt;&lt;D xsi:type="xsd:double"&gt;0.405699916177703&lt;/D&gt;&lt;D xsi:type="xsd:double"&gt;0.406751054852321&lt;/D&gt;&lt;D xsi:type="xsd:double"&gt;0.402387041773231&lt;/D&gt;&lt;D xsi:type="xsd:double"&gt;0.408284023668639&lt;/D&gt;&lt;D xsi:type="xsd:double"&gt;0.403404255319149&lt;/D&gt;&lt;D xsi:type="xsd:double"&gt;0.417383820998279&lt;/D&gt;&lt;D xsi:type="xsd:double"&gt;0.415584415584416&lt;/D&gt;&lt;D xsi:type="xsd:double"&gt;0.422473867595819&lt;/D&gt;&lt;D xsi:type="xsd:double"&gt;0.411764705882353&lt;/D&gt;&lt;D xsi:type="xsd:double"&gt;0.420454545454545&lt;/D&gt;&lt;D xsi:type="xsd:double"&gt;0.414827890556046&lt;/D&gt;&lt;D xsi:type="xsd:double"&gt;0.409413854351687&lt;/D&gt;&lt;D xsi:type="xsd:double"&gt;0.407906558849955&lt;/D&gt;&lt;D xsi:type="xsd:double"&gt;0.403011514614703&lt;/D&gt;&lt;D xsi:type="xsd:double"&gt;0.409252669039146&lt;/D&gt;&lt;D xsi:type="xsd:double"&gt;0.404274265360641&lt;/D&gt;&lt;D xsi:type="xsd:double"&gt;0.406914893617021&lt;/D&gt;&lt;D xsi:type="xsd:double"&gt;0.410026857654432&lt;/D&gt;&lt;D xsi:type="xsd:double"&gt;0.414374445430346&lt;/D&gt;&lt;D xsi:type="xsd:double"&gt;0.406055209260908&lt;/D&gt;&lt;D xsi:type="xsd:double"&gt;0.408514492753623&lt;/D&gt;&lt;D xsi:type="xsd:double"&gt;0.404159132007233&lt;/D&gt;&lt;D xsi:type="xsd:double"&gt;0.403811252268603&lt;/D&gt;&lt;D xsi:type="xsd:double"&gt;0.391855203619909&lt;/D&gt;&lt;D xsi:type="xsd:double"&gt;0.386690647482014&lt;/D&gt;&lt;D xsi:type="xsd:double"&gt;0.37716894977169&lt;/D&gt;&lt;D xsi:type="xsd:double"&gt;0.372585096596136&lt;/D&gt;&lt;D xsi:type="xsd:double"&gt;0.371086556169429&lt;/D&gt;&lt;D xsi:type="xsd:double"&gt;0.372350230414747&lt;/D&gt;&lt;D xsi:type="xsd:double"&gt;0.373232799245994&lt;/D&gt;&lt;D xsi:type="xsd:double"&gt;0.375586854460094&lt;/D&gt;&lt;D xsi:type="xsd:double"&gt;0.378301886792453&lt;/D&gt;&lt;D xsi:type="xsd:double"&gt;0.377981651376147&lt;/D&gt;&lt;D xsi:type="xsd:double"&gt;0.3785780</t>
        </r>
      </text>
    </comment>
    <comment ref="A24" authorId="0" shapeId="0" xr:uid="{084373DF-EC09-4D17-BADE-0E4C775FE454}">
      <text>
        <r>
          <rPr>
            <b/>
            <sz val="9"/>
            <color indexed="81"/>
            <rFont val="Tahoma"/>
            <charset val="1"/>
          </rPr>
          <t>24007387&lt;/D&gt;&lt;D xsi:type="xsd:double"&gt;0.379247015610652&lt;/D&gt;&lt;D xsi:type="xsd:double"&gt;0.371877890841813&lt;/D&gt;&lt;D xsi:type="xsd:double"&gt;0.372310570626754&lt;/D&gt;&lt;D xsi:type="xsd:double"&gt;0.36986301369863&lt;/D&gt;&lt;D xsi:type="xsd:double"&gt;0.369624885635865&lt;/D&gt;&lt;D xsi:type="xsd:double"&gt;0.370776255707763&lt;/D&gt;&lt;D xsi:type="xsd:double"&gt;0.375344986200552&lt;/D&gt;&lt;D xsi:type="xsd:double"&gt;0.366852886405959&lt;/D&gt;&lt;D xsi:type="xsd:double"&gt;0.380779691749773&lt;/D&gt;&lt;D xsi:type="xsd:double"&gt;0.3905540417802&lt;/D&gt;&lt;D xsi:type="xsd:double"&gt;0.397111913357401&lt;/D&gt;&lt;D xsi:type="xsd:double"&gt;0.400363967242948&lt;/D&gt;&lt;D xsi:type="xsd:double"&gt;0.403828623518687&lt;/D&gt;&lt;D xsi:type="xsd:double"&gt;0.402678571428571&lt;/D&gt;&lt;D xsi:type="xsd:double"&gt;0.409532215357458&lt;/D&gt;&lt;D xsi:type="xsd:double"&gt;0.410983170947741&lt;/D&gt;&lt;D xsi:type="xsd:double"&gt;0.409455842997324&lt;/D&gt;&lt;D xsi:type="xsd:double"&gt;0.417040358744395&lt;/D&gt;&lt;D xsi:type="xsd:double"&gt;0.411663807890223&lt;/D&gt;&lt;D xsi:type="xsd:double"&gt;0.414570685169124&lt;/D&gt;&lt;D xsi:type="xsd:double"&gt;0.422049956933678&lt;/D&gt;&lt;D xsi:type="xsd:double"&gt;0.415700267618198&lt;/D&gt;&lt;D xsi:type="xsd:double"&gt;0.423008849557522&lt;/D&gt;&lt;D xsi:type="xsd:double"&gt;0.435828877005348&lt;/D&gt;&lt;D xsi:type="xsd:double"&gt;0.437444543034605&lt;/D&gt;&lt;D xsi:type="xsd:double"&gt;0.428571428571429&lt;/D&gt;&lt;D xsi:type="xsd:double"&gt;0.432286995515695&lt;/D&gt;&lt;D xsi:type="xsd:double"&gt;0.445235975066785&lt;/D&gt;&lt;D xsi:type="xsd:double"&gt;0.449688334817453&lt;/D&gt;&lt;D xsi:type="xsd:double"&gt;0.447016918967053&lt;/D&gt;&lt;D xsi:type="xsd:double"&gt;0.446140035906643&lt;/D&gt;&lt;D xsi:type="xsd:double"&gt;0.450856627592426&lt;/D&gt;&lt;D xsi:type="xsd:double"&gt;0.44014401440144&lt;/D&gt;&lt;D xsi:type="xsd:double"&gt;0.439819004524887&lt;/D&gt;&lt;D xsi:type="xsd:double"&gt;0.441839495040577&lt;/D&gt;&lt;D xsi:type="xsd:double"&gt;0.438580527752502&lt;/D&gt;&lt;D xsi:type="xsd:double"&gt;0.429880843263061&lt;/D&gt;&lt;D xsi:type="xsd:double"&gt;0.433394160583942&lt;/D&gt;&lt;D xsi:type="xsd:double"&gt;0.426078971533517&lt;/D&gt;&lt;D xsi:type="xsd:double"&gt;0.428966789667897&lt;/D&gt;&lt;D xsi:type="xsd:double"&gt;0.431693989071038&lt;/D&gt;&lt;D xsi:type="xsd:double"&gt;0.421245421245421&lt;/D&gt;&lt;D xsi:type="xsd:double"&gt;0.424242424242424&lt;/D&gt;&lt;D xsi:type="xsd:double"&gt;0.420222634508349&lt;/D&gt;&lt;D xsi:type="xsd:double"&gt;0.416512059369202&lt;/D&gt;&lt;D xsi:type="xsd:double"&gt;0.416824196597353&lt;/D&gt;&lt;D xsi:type="xsd:double"&gt;0.417867435158501&lt;/D&gt;&lt;D xsi:type="xsd:double"&gt;0.416745061147695&lt;/D&gt;&lt;D xsi:type="xsd:double"&gt;0.414150943396226&lt;/D&gt;&lt;D xsi:type="xsd:double"&gt;0.406457739791073&lt;/D&gt;&lt;D xsi:type="xsd:double"&gt;0.397705544933078&lt;/D&gt;&lt;D xsi:type="xsd:double"&gt;0.391223155929038&lt;/D&gt;&lt;D xsi:type="xsd:double"&gt;0.390404515522107&lt;/D&gt;&lt;D xsi:type="xsd:double"&gt;0.397759103641457&lt;/D&gt;&lt;D xsi:type="xsd:double"&gt;0.396011396011396&lt;/D&gt;&lt;D xsi:type="xsd:double"&gt;0.400191938579655&lt;/D&gt;&lt;D xsi:type="xsd:double"&gt;0.393090569561158&lt;/D&gt;&lt;D xsi:type="xsd:double"&gt;0.390449438202247&lt;/D&gt;&lt;D xsi:type="xsd:double"&gt;0.392156862745098&lt;/D&gt;&lt;D xsi:type="xsd:double"&gt;0.391304347826087&lt;/D&gt;&lt;D xsi:type="xsd:double"&gt;0.39541547277937&lt;/D&gt;&lt;D xsi:type="xsd:double"&gt;0.393647738209817&lt;/D&gt;&lt;D xsi:type="xsd:double"&gt;0.392292490118577&lt;/D&gt;&lt;D xsi:type="xsd:double"&gt;0.394059405940594&lt;/D&gt;&lt;D xsi:type="xsd:double"&gt;0.39177277179236&lt;/D&gt;&lt;D xsi:type="xsd:double"&gt;0.388560157790927&lt;/D&gt;&lt;D xsi:type="xsd:double"&gt;0.390029325513196&lt;/D&gt;&lt;D xsi:type="xsd:double"&gt;0.377268385864374&lt;/D&gt;&lt;D xsi:type="xsd:double"&gt;0.370829361296473&lt;/D&gt;&lt;D xsi:type="xsd:double"&gt;0.382436260623229&lt;/D&gt;&lt;D xsi:type="xsd:double"&gt;0.380997177798683&lt;/D&gt;&lt;D xsi:type="xsd:double"&gt;0.381086142322097&lt;/D&gt;&lt;D xsi:type="xsd:double"&gt;0.370232558139535&lt;/D&gt;&lt;D xsi:type="xsd:double"&gt;0.374301675977654&lt;/D&gt;&lt;D xsi:type="xsd:double"&gt;0.365581395348837&lt;/D&gt;&lt;D xsi:type="xsd:double"&gt;0.37095282146161&lt;/D&gt;&lt;D xsi:type="xsd:double"&gt;0.368616527390901&lt;/D&gt;&lt;D xsi:type="xsd:double"&gt;0.373953488372093&lt;/D&gt;&lt;D xsi:type="xsd:double"&gt;0.363636363636364&lt;/D&gt;&lt;D xsi:type="xsd:double"&gt;0.364214350590372&lt;/D&gt;&lt;D xsi:type="xsd:double"&gt;0.357272727272727&lt;/D&gt;&lt;D xsi:type="xsd:double"&gt;0.356498194945848&lt;/D&gt;&lt;D xsi:type="xsd:double"&gt;0.453016815034619&lt;/D&gt;&lt;D xsi:type="xsd:double"&gt;0.430555555555556&lt;/D&gt;&lt;D xsi:type="xsd:double"&gt;0.43767572633552&lt;/D&gt;&lt;D xsi:type="xsd:double"&gt;0.439093484419263&lt;/D&gt;&lt;D xsi:type="xsd:double"&gt;0.431963470319635&lt;/D&gt;&lt;D xsi:type="xsd:double"&gt;0.419651056014692&lt;/D&gt;&lt;D xsi:type="xsd:double"&gt;0.414589104339797&lt;/D&gt;&lt;D xsi:type="xsd:double"&gt;0.407749077490775&lt;/D&gt;&lt;D xsi:type="xsd:double"&gt;0.396330275229358&lt;/D&gt;&lt;D xsi:type="xsd:double"&gt;0.386888273314866&lt;/D&gt;&lt;D xsi:type="xsd:double"&gt;0.379084967320261&lt;/D&gt;&lt;D xsi:type="xsd:double"&gt;0.374412041392286&lt;/D&gt;&lt;D xsi:type="xsd:double"&gt;0.368471035137702&lt;/D&gt;&lt;D xsi:type="xsd:double"&gt;0.378048780487805&lt;/D&gt;&lt;D xsi:type="xsd:double"&gt;0.386342376052385&lt;/D&gt;&lt;D xsi:type="xsd:double"&gt;0.37204910292729&lt;/D&gt;&lt;D xsi:type="xsd:double"&gt;0.367969494756911&lt;/D&gt;&lt;D xsi:type="xsd:double"&gt;0.363896848137536&lt;/D&gt;&lt;D xsi:type="xsd:double"&gt;0.341626794258373&lt;/D&gt;&lt;D xsi:type="xsd:double"&gt;0.341107871720117&lt;/D&gt;&lt;D xsi:type="xsd:double"&gt;0.342465753424658&lt;/D&gt;&lt;D xsi:type="xsd:double"&gt;0.336978131212724&lt;/D&gt;&lt;D xsi:type="xsd:double"&gt;0.336703741152679&lt;/D&gt;&lt;D xsi:type="xsd:double"&gt;0.351570415400203&lt;/D&gt;&lt;D xsi:type="xsd:double"&gt;0.351490236382323&lt;/D&gt;&lt;D xsi:type="xsd:double"&gt;0.351794871794872&lt;/D&gt;&lt;D xsi:type="xsd:double"&gt;0.363636363636364&lt;/D&gt;&lt;D xsi:type="xsd:double"&gt;0.385669125395153&lt;/D&gt;&lt;D xsi:type="xsd:double"&gt;0.38682252922423&lt;/D&gt;&lt;D xsi:type="xsd:double"&gt;0.387473460721868&lt;/D&gt;&lt;D xsi:type="xsd:double"&gt;0.390322580645161&lt;/D&gt;&lt;D xsi:type="xsd:double"&gt;0.393675027262814&lt;/D&gt;&lt;D xsi:type="xsd:double"&gt;0.387062566277837&lt;/D&gt;&lt;D xsi:type="xsd:double"&gt;0.399570354457572&lt;/D&gt;&lt;D xsi:type="xsd:double"&gt;0.39572192513369&lt;/D&gt;&lt;D xsi:type="xsd:double"&gt;0.393839383938394&lt;/D&gt;&lt;D xsi:type="xsd:double"&gt;0.402247191011236&lt;/D&gt;&lt;D xsi:type="xsd:double"&gt;0.399784482758621&lt;/D&gt;&lt;D xsi:type="xsd:double"&gt;0.408140814081408&lt;/D&gt;&lt;D xsi:type="xsd:double"&gt;0.398692810457516&lt;/D&gt;&lt;D xsi:type="xsd:double"&gt;0.4&lt;/D&gt;&lt;D xsi:type="xsd:double"&gt;0.382955771305286&lt;/D&gt;&lt;D xsi:type="xsd:double"&gt;0.376068376068376&lt;/D&gt;&lt;D xsi:type="xsd:double"&gt;0.375264270613108&lt;/D&gt;&lt;D xsi:type="xsd:double"&gt;0.379772961816305&lt;/D&gt;&lt;D xsi:type="xsd:double"&gt;0.385385385385385&lt;/D&gt;&lt;D xsi:type="xsd:double"&gt;0.386158475426279&lt;/D&gt;&lt;D xsi:type="xsd:double"&gt;0.376884422110553&lt;/D&gt;&lt;D xsi:type="xsd:double"&gt;0.382323733862959&lt;/D&gt;&lt;D xsi:type="xsd:double"&gt;0.391044776119403&lt;/D&gt;&lt;D xsi:type="xsd:double"&gt;0.383641674780915&lt;/D&gt;&lt;D xsi:type="xsd:double"&gt;0.389863547758285&lt;/D&gt;&lt;D xsi:type="xsd:double"&gt;0.382583170254403&lt;/D&gt;&lt;D xsi:type="xsd:double"&gt;0.385447394296952&lt;/D&gt;&lt;D xsi:type="xsd:double"&gt;0.385221674876847&lt;/D&gt;&lt;D xsi:type="xsd:double"&gt;0.391013384321224&lt;/D&gt;&lt;D xsi:type="xsd:double"&gt;0.397694524495677&lt;/D&gt;&lt;D xsi:type="xsd:double"&gt;0.389895138226883&lt;/D&gt;&lt;D xsi:type="xsd:double"&gt;0.38623326959847&lt;/D&gt;&lt;D xsi:type="xsd:double"&gt;0.39456419868791&lt;/D&gt;&lt;D xsi:type="xsd:double"&gt;0.396139705882353&lt;/D&gt;&lt;D xsi:type="xsd:double"&gt;0.388331814038286&lt;/D&gt;&lt;D xsi:type="xsd:double"&gt;0.395412844036697&lt;/D&gt;&lt;D xsi:type="xsd:double"&gt;0.393911439114391&lt;/D&gt;&lt;D xsi:type="xsd:double"&gt;0.388181818181818&lt;/D&gt;&lt;D xsi:type="xsd:double"&gt;0.392660550458716&lt;/D&gt;&lt;D xsi:type="xsd:double"&gt;0.388634280476627&lt;/D&gt;&lt;D xsi:type="xsd:double"&gt;0.390984360625575&lt;/D&gt;&lt;D xsi:type="xsd:double"&gt;0.391304347826087&lt;/D&gt;&lt;D xsi:type="xsd:double"&gt;0.396551724137931&lt;/D&gt;&lt;D xsi:type="xsd:double"&gt;0.4&lt;/D&gt;&lt;D xsi:type="xsd:double"&gt;0.390379278445883&lt;/D&gt;&lt;D xsi:type="xsd:double"&gt;0.397779833487512&lt;/D&gt;&lt;D xsi:type="xsd:double"&gt;0.393883225208526&lt;/D&gt;&lt;D xsi:type="xsd:double"&gt;0.396989651928504&lt;/D&gt;&lt;D xsi:type="xsd:double"&gt;0.387947269303202&lt;/D&gt;&lt;D xsi:type="xsd:double"&gt;0.395593869731801&lt;/D&gt;&lt;D xsi:type="xsd:double"&gt;0.4&lt;/D&gt;&lt;D xsi:type="xsd:double"&gt;0.40360873694207&lt;/D&gt;&lt;D xsi:type="xsd:double"&gt;0.404214559386973&lt;/D&gt;&lt;D xsi:type="xsd:double"&gt;0.397299903567985&lt;/D&gt;&lt;D xsi:type="xsd:double"&gt;0.399411187438665&lt;/D&gt;&lt;D xsi:type="xsd:double"&gt;0.400596421471173&lt;/D&gt;&lt;D xsi:type="xsd:double"&gt;0.411648568608095&lt;/D&gt;&lt;D xsi:type="xsd:double"&gt;0.411473788328388&lt;/D&gt;&lt;D xsi:type="xsd:double"&gt;0.398797595190381&lt;/D&gt;&lt;D xsi:type="xsd:double"&gt;0.4&lt;/D&gt;&lt;D xsi:type="xsd:double"&gt;0.397330595482546&lt;/D&gt;&lt;D xsi:type="xsd:double"&gt;0.40080971659919&lt;/D&gt;&lt;D xsi:type="xsd:double"&gt;0.400839454354669&lt;/D&gt;&lt;D xsi:type="xsd:double"&gt;0.410337552742616&lt;/D&gt;&lt;D xsi:type="xsd:double"&gt;0.417721518987342&lt;/D&gt;&lt;D xsi:type="xsd:double"&gt;0.428571428571429&lt;/D&gt;&lt;D xsi:type="xsd:double"&gt;0.430073606729758&lt;/D&gt;&lt;D xsi:type="xsd:double"&gt;0.425887265135699&lt;/D&gt;&lt;D xsi:type="xsd:double"&gt;0.429621848739496&lt;/D&gt;&lt;D xsi:type="xsd:double"&gt;0.430656934306569&lt;/D&gt;&lt;D xsi:type="xsd:double"&gt;0.435978835978836&lt;/D&gt;&lt;D xsi:type="xsd:double"&gt;0.438284518828452&lt;/D&gt;&lt;D xsi:type="xsd:double"&gt;0.442226890756303&lt;/D&gt;&lt;D xsi:type="xsd:double"&gt;0.434332988624612&lt;/D&gt;&lt;D xsi:type="xsd:double"&gt;0.439583333333333&lt;/D&gt;&lt;D xsi:type="xsd:double"&gt;0.437565582371459&lt;/D&gt;&lt;D xsi:type="xsd:double"&gt;0.44321608040201&lt;/D&gt;&lt;D xsi:type="xsd:double"&gt;0.437311935807422&lt;/D&gt;&lt;D xsi:type="xsd:double"&gt;0.440394088669951&lt;/D&gt;&lt;D xsi:type="xsd:double"&gt;0.44047619047619&lt;/D&gt;&lt;D xsi:type="xsd:double"&gt;0.444666001994018&lt;/D&gt;&lt;D xsi:type="xsd:double"&gt;0.462559241706161&lt;/D&gt;&lt;D xsi:type="xsd:double"&gt;0.45722433460076&lt;/D&gt;&lt;D xsi:type="xsd:double"&gt;0.47008547008547&lt;/D&gt;&lt;D xsi:type="xsd:double"&gt;0.470142180094787&lt;/D&gt;&lt;D xsi:type="xsd:double"&gt;0.475915221579961&lt;/D&gt;&lt;D xsi:type="xsd:double"&gt;0.480373831775701&lt;/D&gt;&lt;D xsi:type="xsd:double"&gt;0.475829383886256&lt;/D&gt;&lt;D xsi:type="xsd:double"&gt;0.479166666666667&lt;/D&gt;&lt;D xsi:type="xsd:double"&gt;0.479007633587786&lt;/D&gt;&lt;D xsi:type="xsd:double"&gt;0.475915221579961&lt;/D&gt;&lt;D xsi:type="xsd:double"&gt;0.477251624883937&lt;/D&gt;&lt;D xsi:type="xsd:double"&gt;0.467038068709378&lt;/D&gt;&lt;D xsi:type="xsd:double"&gt;0.473098330241187&lt;/D&gt;&lt;D xsi:type="xsd:double"&gt;0.474178403755869&lt;/D&gt;&lt;D xsi:type="xsd:double"&gt;0.478021978021978&lt;/D&gt;&lt;D xsi:type="xsd:double"&gt;0.480943738656987&lt;/D&gt;&lt;D xsi:type="xsd:double"&gt;0.489611562782295&lt;/D&gt;&lt;D xsi:type="xsd:double"&gt;0.486313868613139&lt;/D&gt;&lt;D xsi:type="xsd:double"&gt;0.491743119266055&lt;/D&gt;&lt;D xsi:type="xsd:double"&gt;0.481548154815482&lt;/D&gt;&lt;D xsi:type="xsd:double"&gt;0.483666061705989&lt;/D&gt;&lt;D xsi:type="xsd:double"&gt;0.48018018018018&lt;/D&gt;&lt;D xsi:type="xsd:double"&gt;0.482695810564663&lt;/D&gt;&lt;D xsi:type="xsd:double"&gt;0.484903934126258&lt;/D&gt;&lt;D xsi:type="xsd:double"&gt;0.488646684831971&lt;/D&gt;&lt;D xsi:type="xsd:double"&gt;0.487826871055004&lt;/D&gt;&lt;D xsi:type="xsd:double"&gt;0.485507246376812&lt;/D&gt;&lt;D xsi:type="xsd:double"&gt;0.487295825771325&lt;/D&gt;&lt;D xsi:type="xsd:double"&gt;0.490842490842491&lt;/D&gt;&lt;D xsi:type="xsd:double"&gt;0.482288828337875&lt;/D&gt;&lt;D xsi:type="xsd:double"&gt;0.481961147086031&lt;/D&gt;&lt;D xsi:type="xsd:double"&gt;0.47962962962963&lt;/D&gt;&lt;D xsi:type="xsd:double"&gt;0.476547842401501&lt;/D&gt;&lt;D xsi:type="xsd:double"&gt;0.481132075471698&lt;/D&gt;&lt;D xsi:type="xsd:double"&gt;0.477611940298507&lt;/D&gt;&lt;D xsi:type="xsd:double"&gt;0.463985032740879&lt;/D&gt;&lt;D xsi:type="xsd:double"&gt;0.456642066420664&lt;/D&gt;&lt;D xsi:type="xsd:double"&gt;0.455056179775281&lt;/D&gt;&lt;D xsi:type="xsd:double"&gt;0.461685823754789&lt;/D&gt;&lt;D xsi:type="xsd:double"&gt;0.459433962264151&lt;/D&gt;&lt;D xsi:type="xsd:double"&gt;0.455854126679463&lt;/D&gt;&lt;D xsi:type="xsd:double"&gt;0.457364341085271&lt;/D&gt;&lt;D xsi:type="xsd:double"&gt;0.459825750242014&lt;/D&gt;&lt;D xsi:type="xsd:double"&gt;0.456500488758553&lt;/D&gt;&lt;D xsi:type="xsd:double"&gt;0.473481195756991&lt;/D&gt;&lt;D xsi:type="xsd:double"&gt;0.47972972972973&lt;/D&gt;&lt;D xsi:type="xsd:double"&gt;0.468992248062016&lt;/D&gt;&lt;D xsi:type="xsd:double"&gt;0.470359572400389&lt;/D&gt;&lt;D xsi:type="xsd:double"&gt;0.465686274509804&lt;/D&gt;&lt;D xsi:type="xsd:double"&gt;0.464980544747082&lt;/D&gt;&lt;D xsi:type="xsd:double"&gt;0.466085271317829&lt;/D&gt;&lt;D xsi:type="xsd:double"&gt;0.473275024295432&lt;/D&gt;&lt;D xsi:type="xsd:double"&gt;0.470645792563601&lt;/D&gt;&lt;D xsi:type="xsd:double"&gt;0.466864490603363&lt;/D&gt;&lt;D xsi:type="xsd:double"&gt;0.4755859375&lt;/D&gt;&lt;D xsi:type="xsd:double"&gt;0.478043912175649&lt;/D&gt;&lt;D xsi:type="xsd:double"&gt;0.47534516765286&lt;/D&gt;&lt;D xsi:type="xsd:double"&gt;0.476523476523477&lt;/D&gt;&lt;D xsi:type="xsd:double"&gt;0.488995215311005&lt;/D&gt;&lt;D xsi:type="xsd:double"&gt;0.501466275659824&lt;/D&gt;&lt;D xsi:type="xsd:double"&gt;0.502918287937743&lt;/D&gt;&lt;D xsi:type="xsd:double"&gt;0.494047619047619&lt;/D&gt;&lt;D xsi:type="xsd:double"&gt;0.49498997995992&lt;/D&gt;&lt;D xsi:type="xsd:double"&gt;0.501460564751704&lt;/D&gt;&lt;D xsi:type="xsd:double"&gt;0.494230769230769&lt;/D&gt;&lt;D xsi:type="xsd:double"&gt;0.489423076923077&lt;/D&gt;&lt;D xsi:type="xsd:double"&gt;0.49124513618677&lt;/D&gt;&lt;D xsi:type="xsd:double"&gt;0.496592015579357&lt;/D&gt;&lt;D xsi:type="xsd:double"&gt;0.502857142857143&lt;/D&gt;&lt;D xsi:type="xsd:double"&gt;0.503311258278146&lt;/D&gt;&lt;D xsi:type="xsd:double"&gt;0.514691943127962&lt;/D&gt;&lt;D xsi:type="xsd:double"&gt;0.512968299711816&lt;/D&gt;&lt;D xsi:type="xsd:double"&gt;0.51063829787234&lt;/D&gt;&lt;D xsi:type="xsd:double"&gt;0.522875816993464&lt;/D&gt;&lt;D xsi:type="xsd:double"&gt;0.519589552238806&lt;/D&gt;&lt;D xsi:type="xsd:double"&gt;0.514705882352941&lt;/D&gt;&lt;D xsi:type="xsd:double"&gt;0.516158818097876&lt;/D&gt;&lt;D xsi:type="xsd:double"&gt;0.518484288354898&lt;/D&gt;&lt;D xsi:type="xsd:double"&gt;0.512151215121512&lt;/D&gt;&lt;D xsi:type="xsd:double"&gt;0.514636449480642&lt;/D&gt;&lt;D xsi:type="xsd:double"&gt;0.506184586108468&lt;/D&gt;&lt;D xsi:type="xsd:double"&gt;0.510516252390057&lt;/D&gt;&lt;D xsi:type="xsd:double"&gt;0.500469483568075&lt;/D&gt;&lt;D xsi:type="xsd:double"&gt;0.496738117427773&lt;/D&gt;&lt;D xsi:type="xsd:double"&gt;0.491129785247432&lt;/D&gt;&lt;D xsi:type="xsd:double"&gt;0.490177736202058&lt;/D&gt;&lt;D xsi:type="xsd:double"&gt;0.491541353383459&lt;/D&gt;&lt;D xsi:type="xsd:double"&gt;0.482209737827715&lt;/D&gt;&lt;D xsi:type="xsd:double"&gt;0.482629107981221&lt;/D&gt;&lt;D xsi:type="xsd:double"&gt;0.474576271186441&lt;/D&gt;&lt;D xsi:type="xsd:double"&gt;0.474323062558357&lt;/D&gt;&lt;D xsi:type="xsd:double"&gt;0.469368520263902&lt;/D&gt;&lt;D xsi:type="xsd:double"&gt;0.459154929577465&lt;/D&gt;&lt;D xsi:type="xsd:double"&gt;0.459639126305793&lt;/D&gt;&lt;D xsi:type="xsd:double"&gt;0.442843419788665&lt;/D&gt;&lt;D xsi:type="xsd:double"&gt;0.4364694471387&lt;/D&gt;&lt;D xsi:type="xsd:double"&gt;0.433040078201369&lt;/D&gt;&lt;D xsi:type="xsd:double"&gt;0.428019323671498&lt;/D&gt;&lt;D xsi:type="xsd:double"&gt;0.430799220272904&lt;/D&gt;&lt;D xsi:type="xsd:double"&gt;0.423795476892822&lt;/D&gt;&lt;D xsi:type="xsd:double"&gt;0.426719840478564&lt;/D&gt;&lt;D xsi:type="xsd:double"&gt;0.424272818455366&lt;/D&gt;&lt;D xsi:type="xsd:double"&gt;0.425615763546798&lt;/D&gt;&lt;D xsi:type="xsd:double"&gt;0.428290766208251&lt;/D&gt;&lt;D xsi:type="xsd:double"&gt;0.427155599603568&lt;/D&gt;&lt;D xsi:type="xsd:double"&gt;0.433867735470942&lt;/D&gt;&lt;D xsi:type="xsd:double"&gt;0.439795918367347&lt;/D&gt;&lt;D xsi:type="xsd:double"&gt;0.442094662638469&lt;/D&gt;&lt;D xsi:type="xsd:double"&gt;0.441532258064516&lt;/D&gt;&lt;D xsi:type="xsd:double"&gt;0.433433433433433&lt;/D&gt;&lt;D xsi:type="xsd:double"&gt;0.429735234215886&lt;/D&gt;&lt;D xsi:type="xsd:double"&gt;0.430769230769231&lt;/D&gt;&lt;D xsi:type="xsd:double"&gt;0.447447447447447&lt;/D&gt;&lt;D xsi:type="xsd:double"&gt;0.452905811623247&lt;/D&gt;&lt;D xsi:type="xsd:double"&gt;0.467871485943775&lt;/D&gt;&lt;D xsi:type="xsd:double"&gt;0.463488843813387&lt;/D&gt;&lt;D xsi:type="xsd:double"&gt;0.467758444216991&lt;/D&gt;&lt;D xsi:type="xsd:double"&gt;0.453346855983773&lt;/D&gt;&lt;D xsi:type="xsd:double"&gt;0.455366098294885&lt;/D&gt;&lt;D xsi:type="xsd:double"&gt;0.453731343283582&lt;/D&gt;&lt;D xsi:type="xsd:double"&gt;0.457542457542458&lt;/D&gt;&lt;D xsi:type="xsd:double"&gt;0.460381143430291&lt;/D&gt;&lt;D xsi:type="xsd:double"&gt;0.464929859719439&lt;/D&gt;&lt;D xsi:type="xsd:double"&gt;0.480162767039674&lt;/D&gt;&lt;D xsi:type="xsd:double"&gt;0.493278179937952&lt;/D&gt;&lt;D xsi:type="xsd:double"&gt;0.487309644670051&lt;/D&gt;&lt;D xsi:type="xsd:double"&gt;0.493374108053007&lt;/D&gt;&lt;D xsi:type="xsd:double"&gt;0.499494438827098&lt;/D&gt;&lt;D xsi:type="xsd:double"&gt;0.500503524672709&lt;/D&gt;&lt;D xsi:type="xsd:double"&gt;0.506454816285998&lt;/D&gt;&lt;D xsi:type="xsd:double"&gt;0.49800796812749&lt;/D&gt;&lt;D xsi:type="xsd:double"&gt;0.52&lt;/D&gt;&lt;D xsi:type="xsd:double"&gt;0.522432701894317&lt;/D&gt;&lt;D xsi:type="xsd:double"&gt;0.52465483234714&lt;/D&gt;&lt;D xsi:type="xsd:double"&gt;0.524752475247525&lt;/D&gt;&lt;D xsi:type="xsd:double"&gt;0.528189910979229&lt;/D&gt;&lt;D xsi:type="xsd:double"&gt;0.531281032770606&lt;/D&gt;&lt;D xsi:type="xsd:double"&gt;0.539370078740158&lt;/D&gt;&lt;D xsi:type="xsd:double"&gt;0.532746823069404&lt;/D&gt;&lt;D xsi:type="xsd:double"&gt;0.532682926829268&lt;/D&gt;&lt;D xsi:type="xsd:double"&gt;0.524461839530333&lt;/D&gt;&lt;D xsi:type="xsd:double"&gt;0.519961051606621&lt;/D&gt;&lt;D xsi:type="xsd:double"&gt;0.52089407191448&lt;/D&gt;&lt;D xsi:type="xsd:double"&gt;0.536072144288577&lt;/D&gt;&lt;D xsi:type="xsd:double"&gt;0.542688910696762&lt;/D&gt;&lt;D xsi:type="xsd:double"&gt;0.544554455445545&lt;/D&gt;&lt;D xsi:type="xsd:double"&gt;0.541310541310541&lt;/D&gt;&lt;D xsi:type="xsd:double"&gt;0.543643263757116&lt;/D&gt;&lt;D xsi:type="xsd:double"&gt;0.529186602870813&lt;/D&gt;&lt;D xsi:type="xsd:double"&gt;0.526112185686654&lt;/D&gt;&lt;D xsi:type="xsd:double"&gt;0.521317829457364&lt;/D&gt;&lt;D xsi:type="xsd:double"&gt;0.5205078125&lt;/D&gt;&lt;D xsi:type="xsd:double"&gt;0.508407517309594&lt;/D&gt;&lt;D xsi:type="xsd:double"&gt;0.50796812749004006&lt;/D&gt;&lt;D xsi:type="xsd:double"&gt;0.505527638190955&lt;/D&gt;&lt;D xsi:type="xsd:double"&gt;0.503496503496504&lt;/D&gt;&lt;D xsi:type="xsd:double"&gt;0.508032128514056&lt;/D&gt;&lt;D xsi:type="xsd:double"&gt;0.511581067472306&lt;/D&gt;&lt;D xsi:type="xsd:double"&gt;0.513184584178499&lt;/D&gt;&lt;D xsi:type="xsd:double"&gt;0.50922131147541&lt;/D&gt;&lt;D xsi:type="xsd:double"&gt;0.511044176706827&lt;/D&gt;&lt;D xsi:type="xsd:double"&gt;0.521651560926485&lt;/D&gt;&lt;D xsi:type="xsd:double"&gt;0.520408163265306&lt;/D&gt;&lt;D xsi:type="xsd:double"&gt;0.522680412371134&lt;/D&gt;&lt;D xsi:type="xsd:double"&gt;0.526205450733753&lt;/D&gt;&lt;D xsi:type="xsd:double"&gt;0.520504731861199&lt;/D&gt;&lt;D xsi:type="xsd:double"&gt;0.522703273495248&lt;/D&gt;&lt;D xsi:type="xsd:double"&gt;0.524520255863539&lt;/D&gt;&lt;D xsi:type="xsd:double"&gt;0.518837459634015&lt;/D&gt;&lt;D xsi:type="xsd:double"&gt;0.509977827050998&lt;/D&gt;&lt;D xsi:type="xsd:double"&gt;0.518805309734513&lt;/D&gt;&lt;D xsi:type="xsd:double"&gt;0.524553571428571&lt;/D&gt;&lt;D xsi:type="xsd:double"&gt;0.524293785310734&lt;/D&gt;&lt;D xsi:type="xsd:double"&gt;0.521939953810624&lt;/D&gt;&lt;D xsi:type="xsd:double"&gt;0.538031319910515&lt;/D&gt;&lt;D xsi:type="xsd:double"&gt;0.548712206047033&lt;/D&gt;&lt;D xsi:type="xsd:double"&gt;0.551876379690949&lt;/D&gt;&lt;D xsi:type="xsd:double"&gt;0.547320410490308&lt;/D&gt;&lt;D xsi:type="xsd:double"&gt;0.55&lt;/D&gt;&lt;D xsi:type="xsd:double"&gt;0.553916004540295&lt;/D&gt;&lt;D xsi:type="xsd:double"&gt;0.543083900226757&lt;/D&gt;&lt;D xsi:type="xsd:double"&gt;0.545762711864407&lt;/D&gt;&lt;D xsi:type="xsd:double"&gt;0.541570438799076&lt;/D&gt;&lt;D xsi:type="xsd:double"&gt;0.541855203619909&lt;/D&gt;&lt;D xsi:type="xsd:double"&gt;0.53217011995638&lt;/D&gt;&lt;D xsi:type="xsd:double"&gt;0.547461368653422&lt;/D&gt;&lt;D xsi:type="xsd:double"&gt;0.55926724137931&lt;/D&gt;&lt;D xsi:type="xsd:double"&gt;0.573576799140709&lt;/D&gt;&lt;D xsi:type="xsd:double"&gt;0.558730158730159&lt;/D&gt;&lt;D xsi:type="xsd:double"&gt;0.548286604361371&lt;/D&gt;&lt;D xsi:type="xsd:double"&gt;0.543121149897331&lt;/D&gt;&lt;D xsi:type="xsd:double"&gt;0.54517453798768&lt;/D&gt;&lt;D xsi:type="xsd:double"&gt;0.548780487804878&lt;/D&gt;&lt;D xsi:type="xsd:double"&gt;0.558494404883011&lt;/D&gt;&lt;D xsi:type="xsd:double"&gt;0.557477110885046&lt;/D&gt;&lt;D xsi:type="xsd:double"&gt;0.551411290322581&lt;/D&gt;&lt;D xsi:type="xsd:double"&gt;0.548484848484848&lt;/D&gt;&lt;D xsi:type="xsd:double"&gt;0.554890219560878&lt;/D&gt;&lt;D xsi:type="xsd:double"&gt;0.556435643564356&lt;/D&gt;&lt;D xsi:type="xsd:double"&gt;0.556324110671937&lt;/D&gt;&lt;D xsi:type="xsd:double"&gt;0.557956777996071&lt;/D&gt;&lt;D xsi:type="xsd:double"&gt;0.560353287536801&lt;/D&gt;&lt;D xsi:type="xsd:double"&gt;0.570038910505837&lt;/D&gt;&lt;D xsi:type="xsd:double"&gt;0.567487684729064&lt;/D&gt;&lt;D xsi:type="xsd:double"&gt;0.569215876089061&lt;/D&gt;&lt;D xsi:type="xsd:double"&gt;0.568472906403941&lt;/D&gt;&lt;D xsi:type="xsd:double"&gt;0.565217391304348&lt;/D&gt;&lt;D xsi:type="xsd:double"&gt;0.566183574879227&lt;/D&gt;&lt;D xsi:type="xsd:double"&gt;0.556088207094918&lt;/D&gt;&lt;D xsi:type="xsd:double"&gt;0.552023121387283&lt;/D&gt;&lt;D xsi:type="xsd:double"&gt;0.556521739130435&lt;/D&gt;&lt;D xsi:type="xsd:double"&gt;0.555555555555556&lt;/D&gt;&lt;D xsi:type="xsd:double"&gt;0.558880308880309&lt;/D&gt;&lt;D xsi:type="xsd:double"&gt;0.552758954501452&lt;/D&gt;&lt;D xsi:type="xsd:double"&gt;0.546341463414634&lt;/D&gt;&lt;D xsi:type="xsd:double"&gt;0.547151277013752&lt;/D&gt;&lt;D xsi:type="xsd:double"&gt;0.543026706231454&lt;/D&gt;&lt;D xsi:type="xsd:double"&gt;0.53968253968254&lt;/D&gt;&lt;D xsi:type="xsd:double"&gt;0.531&lt;/D&gt;&lt;D xsi:type="xsd:double"&gt;0.530901722391084&lt;/D&gt;&lt;D xsi:type="xsd:double"&gt;0.525667351129363&lt;/D&gt;&lt;D xsi:type="xsd:double"&gt;0.519308943089431&lt;/D&gt;&lt;D xsi:type="xsd:double"&gt;0.512664640324215&lt;/D&gt;&lt;D xsi:type="xsd:double"&gt;0.501022494887526&lt;/D&gt;&lt;D xsi:type="xsd:double"&gt;0.50156087408949&lt;/D&gt;&lt;D xsi:type="xsd:double"&gt;0.496280552603613&lt;/D&gt;&lt;D xsi:type="xsd:double"&gt;0.502114164904863&lt;/D&gt;&lt;D xsi:type="xsd:double"&gt;0.4931650893796&lt;/D&gt;&lt;D xsi:type="xsd:double"&gt;0.494204425711275&lt;/D&gt;&lt;D xsi:type="xsd:double"&gt;0.498409331919406&lt;/D&gt;&lt;D xsi:type="xsd:double"&gt;0.511853448275862&lt;/D&gt;&lt;D xsi:type="xsd:double"&gt;0.515311510031679&lt;/D&gt;&lt;D xsi:type="xsd:double"&gt;0.502145922746781&lt;/D&gt;&lt;D xsi:type="xsd:double"&gt;0.497297297297297&lt;/D&gt;&lt;D xsi:type="xsd:double"&gt;0.502702702702703&lt;/D&gt;&lt;D xsi:type="xsd:double"&gt;0.504994450610433&lt;/D&gt;&lt;D xsi:type="xsd:double"&gt;0.514786418400876&lt;/D&gt;&lt;D xsi:type="xsd:double"&gt;0.515986769570011&lt;/D&gt;&lt;D xsi:type="xsd:double"&gt;0.508888888888889&lt;/D&gt;&lt;D xsi:type="xsd:double"&gt;0.512222222222222&lt;/D&gt;&lt;D xsi:type="xsd:double"&gt;0.51290684624018&lt;/D&gt;&lt;D xsi:type="xsd:double"&gt;0.521064301552106&lt;/D&gt;&lt;D xsi:type="xsd:double"&gt;0.516447368421053&lt;/D&gt;&lt;D xsi:type="xsd:double"&gt;0.52354874041621&lt;/D&gt;&lt;D xsi:type="xsd:double"&gt;0.513721185510428&lt;/D&gt;&lt;D xsi:type="xsd:double"&gt;0.508869179600887&lt;/D&gt;&lt;D xsi:type="xsd:double"&gt;0.526709401709402&lt;/D&gt;&lt;D xsi:type="xsd:double"&gt;0.51957671957672&lt;/D&gt;&lt;D xsi:type="xsd:double"&gt;0.517857142857143&lt;/D&gt;&lt;D xsi:type="xsd:double"&gt;0.518046709129512&lt;/D&gt;&lt;D xsi:type="xsd:double"&gt;0.517094017094017&lt;/D&gt;&lt;D xsi:type="xsd:double"&gt;0.521112255406797&lt;/D&gt;&lt;D xsi:type="xsd:double"&gt;0.527291452111226&lt;/D&gt;&lt;D xsi:type="xsd:double"&gt;0.529652351738241&lt;/D&gt;&lt;D xsi:type="xsd:double"&gt;0.525283797729618&lt;/D&gt;&lt;D xsi:type="xsd:double"&gt;0.526694045174538&lt;/D&gt;&lt;D xsi:type="xsd:double"&gt;0.530287984111221&lt;/D&gt;&lt;D xsi:type="xsd:double"&gt;0.529990167158309&lt;/D&gt;&lt;D xsi:type="xsd:double"&gt;0.528543307086614&lt;/D&gt;&lt;D xsi:type="xsd:double"&gt;0.527147087857848&lt;/D&gt;&lt;D xsi:type="xsd:double"&gt;0.533132530120482&lt;/D&gt;&lt;D xsi:type="xsd:double"&gt;0.539778449144008&lt;/D&gt;&lt;D xsi:type="xsd:double"&gt;0.54045954045954&lt;/D&gt;&lt;D xsi:type="xsd:double"&gt;0.549155908639523&lt;/D&gt;&lt;D xsi:type="xsd:double"&gt;0.550550550550551&lt;/D&gt;&lt;D xsi:type="xsd:double"&gt;0.552529182879377&lt;/D&gt;&lt;D xsi:type="xsd:double"&gt;0.553606237816764&lt;/D&gt;&lt;D xsi:type="xsd:double"&gt;0.549610894941634&lt;/D&gt;&lt;D xsi:type="xsd:double"&gt;0.549115913555992&lt;/D&gt;&lt;D xsi:type="xsd:double"&gt;0.546085232903865&lt;/D&gt;&lt;D xsi:type="xsd:double"&gt;0.544761904761905&lt;/D&gt;&lt;D xsi:type="xsd:double"&gt;0.539772727272727&lt;/D&gt;&lt;D xsi:type="xsd:double"&gt;0.535545023696682&lt;/D&gt;&lt;D xsi:type="xsd:double"&gt;0.531548757170172&lt;/D&gt;&lt;D xsi:type="xsd:double"&gt;0.534416826003824&lt;/D&gt;&lt;D xsi:type="xsd:double"&gt;0.522359657469077&lt;/D&gt;&lt;/FQL&gt;&lt;FQL&gt;&lt;Q&gt;SP50^FMA_PE(LTMA,NOW,-10AY,W,"PORTAGG","MEANR")&lt;/Q&gt;&lt;R&gt;522&lt;/R&gt;&lt;C&gt;1&lt;/C&gt;&lt;D xsi:type="xsd:double"&gt;23.1939736349741&lt;/D&gt;&lt;D xsi:type="xsd:double"&gt;22.6693148197943&lt;/D&gt;&lt;D xsi:type="xsd:double"&gt;22.6504063004381&lt;/D&gt;&lt;D xsi:type="xsd:double"&gt;22.9498363286397&lt;/D&gt;&lt;D xsi:type="xsd:double"&gt;23.0466312980584&lt;/D&gt;&lt;D xsi:type="xsd:double"&gt;23.2961403993458&lt;/D&gt;&lt;D xsi:type="xsd:double"&gt;23.1856210992075&lt;/D&gt;&lt;D xsi:type="xsd:double"&gt;22.9696798633126&lt;/D&gt;&lt;D xsi:type="xsd:double"&gt;22.9848092243483&lt;/D&gt;&lt;D xsi:type="xsd:double"&gt;22.9304833794937&lt;/D&gt;&lt;D xsi:type="xsd:double"&gt;22.7995897099087&lt;/D&gt;&lt;D xsi:type="xsd:double"&gt;22.7069709118696&lt;/D&gt;&lt;D xsi:type="xsd:double"&gt;22.7835526128502&lt;/D&gt;&lt;D xsi:type="xsd:double"&gt;22.8289913443429&lt;/D&gt;&lt;D xsi:type="xsd:double"&gt;22.7426882926279&lt;/D&gt;&lt;D xsi:type="xsd:double"&gt;22.64560868687&lt;/D&gt;&lt;D xsi:type="xsd:double"&gt;22.6646542040161&lt;/D&gt;&lt;D xsi:type="xsd:double"&gt;22.5683976052229&lt;/D&gt;&lt;D xsi:type="xsd:double"&gt;22.8104544384774&lt;/D&gt;&lt;D xsi:type="xsd:double"&gt;22.9101464672874&lt;/D&gt;&lt;D xsi:type="xsd:double"&gt;23.0042540163802&lt;/D&gt;&lt;D xsi:type="xsd:double"&gt;23.0125572160199&lt;/D&gt;&lt;D xsi:type="xsd:double"&gt;22.9486492146027&lt;/D&gt;&lt;D xsi:type="xsd:double"&gt;22.9954461823988&lt;/D&gt;&lt;D xsi:type="xsd:double"&gt;23.0504221739096&lt;/D&gt;&lt;D xsi:type="xsd:double"&gt;23.0131853783833&lt;/D&gt;&lt;D xsi:type="xsd:double"&gt;22.6979812976284&lt;/D&gt;&lt;D xsi:type="xsd:double"&gt;22.8460655474893&lt;/D&gt;&lt;D xsi:type="xsd:double"&gt;22.6278135648536&lt;/D&gt;&lt;D xsi:type="xsd:double"&gt;22.4997823306&lt;/D&gt;&lt;D xsi:type="xsd:double"&gt;22.3302709902587&lt;/D&gt;&lt;D xsi:type="xsd:double"&gt;22.0328769675938&lt;/D&gt;&lt;D xsi:type="xsd:double"&gt;21.6020482588896&lt;/D&gt;&lt;D xsi:type="xsd:double"&gt;21.9362549119464&lt;/D&gt;&lt;D xsi:type="xsd:double"&gt;21.7954428686086&lt;/D&gt;&lt;D xsi:type="xsd:double"&gt;21.5479600024925&lt;/D&gt;&lt;D xsi:type="xsd:double"&gt;20.9801454536877&lt;/D&gt;&lt;D xsi:type="xsd:double"&gt;20.8669155390603&lt;/D&gt;&lt;D xsi:type="xsd:double"&gt;20.6629776647206&lt;/D&gt;&lt;D xsi:type="xsd:double"&gt;20.456960937428&lt;/D&gt;&lt;D xsi:type="xsd:double"&gt;20.0307605362184&lt;/D&gt;&lt;D xsi:type="xsd:double"&gt;19.7842690426763&lt;/D&gt;&lt;D xsi:type="xsd:double"&gt;18.8270597652214&lt;/D&gt;&lt;D xsi:type="xsd:double"&gt;19.2437956296577&lt;/D&gt;&lt;D xsi:type="xsd:double"&gt;19.5184419033059&lt;/D&gt;&lt;D xsi:type="xsd:double"&gt;19.453731842032&lt;/D&gt;&lt;D xsi:type="xsd:double"&gt;19.3466639508001&lt;/D&gt;&lt;D xsi:type="xsd:double"&gt;19.4242083790037&lt;/D&gt;&lt;D xsi:type="xsd:double"&gt;19.8353302450751&lt;/D&gt;&lt;D xsi:type="xsd:double"&gt;19.8196554657069&lt;/D&gt;&lt;D xsi:type="xsd:double"&gt;19.9511509144406&lt;/D&gt;&lt;D xsi:type="xsd:double"&gt;19.5636348459245&lt;/D&gt;&lt;D xsi:type="xsd:double"&gt;19.4707261715347&lt;/D&gt;&lt;D xsi:type="xsd:double"&gt;19.7282057173007&lt;/D&gt;&lt;D xsi:type="xsd:double"&gt;19.7455041443258&lt;/D&gt;&lt;D xsi:type="xsd:double"&gt;20.058359968759&lt;/D&gt;&lt;D xsi:type="xsd:double"&gt;19.9521004851339&lt;/D&gt;&lt;D xsi:type="xsd:double"&gt;19.7692059273337&lt;/D&gt;&lt;D xsi:type="xsd:double"&gt;19.45880312061&lt;/D&gt;&lt;D xsi:type="xsd:double"&gt;19.5277647171281&lt;/D&gt;&lt;D xsi:type="xsd:double"&gt;19.2378009222691&lt;/D&gt;&lt;D xsi:type="xsd:double"&gt;19.3321987614924&lt;/D&gt;&lt;D xsi:type="xsd:double"&gt;19.0686988800095&lt;/D&gt;&lt;D xsi:type="xsd:double"&gt;19.0078604362598&lt;/D&gt;&lt;D xsi:type="xsd:double"&gt;18.8445180457032&lt;/D&gt;&lt;D xsi:type="xsd:double"&gt;18.8307012422362&lt;/D&gt;&lt;D xsi:type="xsd:double"&gt;18.7036215031019&lt;/D&gt;&lt;D xsi:type="xsd:double"&gt;18.7089644272348&lt;/D&gt;&lt;D xsi:type="xsd:double"&gt;18.7398172370315&lt;/D&gt;&lt;D xsi:type="xsd:double"&gt;18.7171980221054&lt;/D&gt;&lt;D xsi:type="xsd:double"&gt;18.7052719221338&lt;/D&gt;&lt;D xsi:type="xsd:double"&gt;18.650518062644&lt;/D&gt;&lt;D xsi:type="xsd:double"&gt;18.6426244417682&lt;/D&gt;&lt;D xsi:type="xsd:double"&gt;18.4768818300524&lt;/D&gt;&lt;D xsi:type="xsd:double"&gt;18.4269409776711&lt;/D&gt;&lt;D xsi:type="xsd:double"&gt;18.3881057608497&lt;/D&gt;&lt;D xsi:type="xsd:double"&gt;18.5500811303795&lt;/D&gt;&lt;D xsi:type="xsd:double"&gt;18.5006680438305&lt;/D&gt;&lt;D xsi:type="xsd:double"&gt;18.9785410614662&lt;/D&gt;&lt;D xsi:type="xsd:double"&gt;19.0160987164716&lt;/D&gt;&lt;D xsi:type="xsd:double"&gt;19.2535990003129&lt;/D&gt;&lt;D xsi:type="xsd:double"&gt;18.9195481424494&lt;/D&gt;&lt;D xsi:type="xsd:double"&gt;18.4332593395188&lt;/D&gt;&lt;D xsi:type="xsd:double"&gt;18.5286353358197&lt;/D&gt;&lt;D xsi:type="xsd:double"&gt;18.0542543019423&lt;/D&gt;&lt;D xsi:type="xsd:double"&gt;17.7907892194014&lt;/D&gt;&lt;D xsi:type="xsd:double"&gt;17.8846794609379&lt;/D&gt;&lt;D xsi:type="xsd:double"&gt;17.9869244746867&lt;/D&gt;&lt;D xsi:type="xsd:double"&gt;18.4044721474044&lt;/D&gt;&lt;D xsi:type="xsd:double"&gt;19.0569151838943&lt;/D&gt;&lt;D xsi:type="xsd:double"&gt;18.9099877482677&lt;/D&gt;&lt;D xsi:type="xsd:double"&gt;18.7273695447386&lt;/D&gt;&lt;D xsi:type="xsd:double"&gt;18.8886334966524&lt;/D&gt;&lt;D xsi:type="xsd:double"&gt;18.0886711917919&lt;/D&gt;&lt;D xsi:type="xsd:double"&gt;18.6337898444148&lt;/D&gt;&lt;D xsi:type="xsd:double"&gt;18.0790506332171&lt;/D&gt;&lt;D xsi:type="xsd:double"&gt;17.5086548377675&lt;/D&gt;&lt;D xsi:type="xsd:double"&gt;17.7670839336991&lt;/D&gt;&lt;D xsi:type="xsd:double"&gt;17.6437115184775&lt;/D&gt;&lt;D xsi:type="xsd:double"&gt;18.0562069199143&lt;/D&gt;&lt;D xsi:type="xsd:double"&gt;18.722475444287&lt;/D&gt;&lt;D xsi:type="xsd:double"&gt;19.3864232307871&lt;/D&gt;&lt;D xsi:type="xsd:double"&gt;18.9944999996487&lt;/D&gt;&lt;D xsi:type="xsd:double"&gt;19.454613753334&lt;/D&gt;&lt;D xsi:type="xsd:double"&gt;19.9856170063458&lt;/D&gt;&lt;D xsi:type="xsd:double"&gt;20.1713288176753&lt;/D&gt;&lt;D xsi:type="xsd:double"&gt;19.8161779714388&lt;/D&gt;&lt;D xsi:type="xsd:double"&gt;19.798878295396&lt;/D&gt;&lt;D xsi:type="xsd:double"&gt;19.3369253020067&lt;/D&gt;&lt;D xsi:type="xsd:double"&gt;19.1373769090116&lt;/D&gt;&lt;D xsi:type="xsd:double"&gt;19.2808249037107&lt;/D&gt;&lt;D xsi:type="xsd:double"&gt;19.1933268482036&lt;/D&gt;&lt;D xsi:type="xsd:double"&gt;19.4478848565068&lt;/D&gt;&lt;D xsi:type="xsd:double"&gt;19.033362452329&lt;/D&gt;&lt;D xsi:type="xsd:double"&gt;19.5709806603038&lt;/D&gt;&lt;D xsi:type="xsd:double"&gt;20.0527415138241&lt;/D&gt;&lt;D xsi:type="xsd:double"&gt;20.2049671771173&lt;/D&gt;&lt;D xsi:type="xsd:double"&gt;19.8272902905016&lt;/D&gt;&lt;D xsi:type="xsd:double"&gt;20.1108539752587&lt;/D&gt;&lt;D xsi:type="xsd:double"&gt;20.334071152195&lt;/D&gt;&lt;D xsi:type="xsd:double"&gt;20.4051608017576&lt;/D&gt;&lt;D xsi:type="xsd:double"&gt;20.6125413563826&lt;/D&gt;&lt;D xsi:type="xsd:double"&gt;20.845703927315&lt;/D&gt;&lt;D xsi:type="xsd:double"&gt;21.0097534522319&lt;/D&gt;&lt;D xsi:type="xsd:double"&gt;21.1133243159823&lt;/D&gt;&lt;D xsi:type="xsd:double"&gt;21.1340927730546&lt;/D&gt;&lt;D xsi:type="xsd:double"&gt;21.0838557395074&lt;/D&gt;&lt;D xsi:type="xsd:double"&gt;20.8869958839668&lt;/D&gt;&lt;D xsi:type="xsd:double"&gt;21.0495973033805&lt;/D&gt;&lt;D xsi:type="xsd:double"&gt;21.1676453291483&lt;/D&gt;&lt;D xsi:type="xsd:double"&gt;21.039993179324&lt;/D&gt;&lt;D xsi:type="xsd:double"&gt;21.4081869287228&lt;/D&gt;&lt;D xsi:type="xsd:double"&gt;21.9045037903104&lt;/D&gt;&lt;D xsi:type="xsd:double"&gt;21.7518638717959&lt;/D&gt;&lt;D xsi:type="xsd:double"&gt;21.6195381450144&lt;/D&gt;&lt;D xsi:type="xsd:double"&gt;23.0014676342317&lt;/D&gt;&lt;D xsi:type="xsd:double"&gt;23.1528206760157&lt;/D&gt;&lt;D xsi:type="xsd:double"&gt;23.6707014425711&lt;/D&gt;&lt;D xsi:type="xsd:double"&gt;23.5747790904499&lt;/D&gt;&lt;D xsi:type="xsd:double"&gt;23.1371915827009&lt;/D&gt;&lt;D xsi:type="xsd:double"&gt;23.6760390185061&lt;/D&gt;&lt;D xsi:type="xsd:double"&gt;22.9926663130422&lt;/D&gt;&lt;D xsi:type="xsd:double"&gt;23.3745930299465&lt;/D&gt;&lt;D xsi:type="xsd:double"&gt;23.9451898449382&lt;/D&gt;&lt;D xsi:type="xsd:double"&gt;23.979597341008&lt;/D&gt;&lt;D xsi:type="xsd:double"&gt;24.1656278340218&lt;/D&gt;&lt;D xsi:type="xsd:double"&gt;23.9153258740539&lt;/D&gt;&lt;D xsi:type="xsd:double"&gt;23.8345622406396&lt;/D&gt;&lt;D xsi:type="xsd:double"&gt;23.7265606402215&lt;/D&gt;&lt;D xsi:type="xsd:double"&gt;23.6232872069086&lt;/D&gt;&lt;D xsi:type="xsd:double"&gt;23.6098000038137&lt;/D&gt;&lt;D xsi:type="xsd:double"&gt;24.091340411353&lt;/D&gt;&lt;D xsi:type="xsd:double"&gt;24.1062411191069&lt;/D&gt;&lt;D xsi:type="xsd:double"&gt;24.2909799512708&lt;/D&gt;&lt;D xsi:type="xsd:double"&gt;24.6383927025419&lt;/D&gt;&lt;D xsi:type="xsd:double"&gt;24.6446617189167&lt;/D&gt;&lt;D xsi:type="xsd:double"&gt;24.5282189010945&lt;/D&gt;&lt;D xsi:type="xsd:double"&gt;24.7516428775658&lt;/D&gt;&lt;D xsi:type="xsd:double"&gt;24.7857020184999&lt;/D&gt;&lt;D xsi:type="xsd:double"&gt;24.8425499375823&lt;/D&gt;&lt;D xsi:type="xsd:double"&gt;25.250786265684&lt;/D&gt;&lt;D xsi:type="xsd:double"&gt;25.2103476288852&lt;/D&gt;&lt;D xsi:type="xsd:double"&gt;25.539296611345&lt;/D&gt;&lt;D xsi:type="xsd:double"&gt;25.5928323080358&lt;/D&gt;&lt;D xsi:type="xsd:double"&gt;25.524079897996&lt;/D&gt;&lt;D xsi:type="xsd:double"&gt;25.3583765571435&lt;/D&gt;&lt;D xsi:type="xsd:double"&gt;25.677104520012&lt;/D&gt;&lt;D xsi:type="xsd:double"&gt;25.7464238332749&lt;/D&gt;&lt;D xsi:type="xsd:double"&gt;25.8065808113925&lt;/D&gt;&lt;D xsi:type="xsd:double"&gt;25.8343382484779&lt;/D&gt;&lt;D xsi:type="xsd:double"&gt;26.0102893559486&lt;/D&gt;&lt;D xsi:type="xsd:double"&gt;26.2502699899592&lt;/D&gt;&lt;D xsi:type="xsd:double"&gt;26.3323358141432&lt;/D&gt;&lt;D xsi:type="xsd:double"&gt;26.6290200444692&lt;/D&gt;&lt;D xsi:type="xsd:double"&gt;26.7679538454858&lt;/D&gt;&lt;D xsi:type="xsd:double"&gt;26.863027517688&lt;/D&gt;&lt;D xsi:type="xsd:double"&gt;26.8237640976221&lt;/D&gt;&lt;D xsi:type="xsd:double"&gt;26.8647112344138&lt;/D&gt;&lt;D xsi:type="xsd:double"&gt;26.8956776682666&lt;/D&gt;&lt;D xsi:type="xsd:double"&gt;27.0454110976204&lt;/D&gt;&lt;D xsi:type="xsd:double"&gt;27.0514733427793&lt;/D&gt;&lt;D xsi:type="xsd:double"&gt;27.143285961095&lt;/D&gt;&lt;D xsi:type="xsd:double"&gt;27.9956493908802&lt;/D&gt;&lt;D xsi:type="xsd:double"&gt;28.357254351061&lt;/D&gt;&lt;D xsi:type="xsd:double"&gt;28.1215569931272&lt;/D&gt;&lt;D xsi:type="xsd:double"&gt;27.1772776654405&lt;/D&gt;&lt;D xsi:type="xsd:double"&gt;28.341762174579&lt;/D&gt;&lt;D xsi:type="xsd:double"&gt;28.0544333728771&lt;/D&gt;&lt;D xsi:type="xsd:double"&gt;28.7049396344168&lt;/D&gt;&lt;D xsi:type="xsd:double"&gt;28.356706403671&lt;/D&gt;&lt;D xsi:type="xsd:double"&gt;27.7691533822304&lt;/D&gt;&lt;D xsi:type="xsd:double"&gt;27.6651450726479&lt;/D&gt;&lt;D xsi:type="xsd:double"&gt;27.1358742891459&lt;/D&gt;&lt;D xsi:type="xsd:double"&gt;27.2034553248564&lt;/D&gt;&lt;D xsi:type="xsd:double"&gt;26.6095415670639&lt;/D&gt;&lt;D xsi:type="xsd:double"&gt;25.8633551753169&lt;/D&gt;&lt;D xsi:type="xsd:double"&gt;25.8796716639174&lt;/D&gt;&lt;D xsi:type="xsd:double"&gt;25.3135820685407&lt;/D&gt;&lt;D xsi:type="xsd:double"&gt;23.761450694432&lt;/D&gt;&lt;D xsi:type="xsd:double"&gt;25.2848599254834&lt;/D&gt;&lt;D xsi:type="xsd:double"&gt;25.3510210833594&lt;/D&gt;&lt;D xsi:type="xsd:double"&gt;25.3222204116727&lt;/D&gt;&lt;D xsi:type="xsd:double"&gt;24.4565557737607&lt;/D&gt;&lt;D xsi:type="xsd:double"&gt;24.0076101422025&lt;/D&gt;&lt;D xsi:type="xsd:double"&gt;24.0165284650903&lt;/D&gt;&lt;D xsi:type="xsd:double"&gt;23.9940025258162&lt;/D&gt;&lt;D xsi:type="xsd:double"&gt;24.3486319664186&lt;/D&gt;&lt;D xsi:type="xsd:double"&gt;24.6255245370106&lt;/D&gt;&lt;D xsi:type="xsd:double"&gt;23.9097437693734&lt;/D&gt;&lt;D xsi:type="xsd:double"&gt;23.6457977448026&lt;/D&gt;&lt;D xsi:type="xsd:double"&gt;23.3714946966003&lt;/D&gt;&lt;D xsi:type="xsd:double"&gt;22.9099945586404&lt;/D&gt;&lt;D xsi:type="xsd:double"&gt;22.8612097255153&lt;/D&gt;&lt;D xsi:type="xsd:double"&gt;22.8762864717769&lt;/D&gt;&lt;D xsi:type="xsd:double"&gt;22.6399039812729&lt;/D&gt;&lt;D xsi:type="xsd:double"&gt;22.1769001563131&lt;/D&gt;&lt;D xsi:type="xsd:double"&gt;21.5958415836739&lt;/D&gt;&lt;D xsi:type="xsd:double"&gt;21.7966840541941&lt;/D&gt;&lt;D xsi:type="xsd:double"&gt;21.4482871924792&lt;/D&gt;&lt;D xsi:type="xsd:double"&gt;21.8565414010235&lt;/D&gt;&lt;D xsi:type="xsd:double"&gt;21.2247022060031&lt;/D&gt;&lt;D xsi:type="xsd:double"&gt;20.8074363249169&lt;/D&gt;&lt;D xsi:type="xsd:double"&gt;20.3763138690783&lt;/D&gt;&lt;D xsi:type="xsd:double"&gt;20.4202203897709&lt;/D&gt;&lt;D xsi:type="xsd:double"&gt;19.8942057076964&lt;/D&gt;&lt;D xsi:type="xsd:double"&gt;19.6610705354504&lt;/D&gt;&lt;D xsi:type="xsd:double"&gt;19.4852815272537&lt;/D&gt;&lt;D xsi:type="xsd:double"&gt;18.9329751672652&lt;/D&gt;&lt;D xsi:type="xsd:double"&gt;18.1912125927908&lt;/D&gt;&lt;D xsi:type="xsd:double"&gt;18.1631064531387&lt;/D&gt;&lt;D xsi:type="xsd:double"&gt;17.7897992142543&lt;/D&gt;&lt;D xsi:type="xsd:double"&gt;18.2935878229527&lt;/D&gt;&lt;D xsi:type="xsd:double"&gt;18.5813502949015&lt;/D&gt;&lt;D xsi:type="xsd:double"&gt;18.5682545544269&lt;/D&gt;&lt;D xsi:type="xsd:double"&gt;21.0056960206686&lt;/D&gt;&lt;D xsi:type="xsd:double"&gt;21.2763631851958&lt;/D&gt;&lt;D xsi:type="xsd:double"&gt;20.953130135416&lt;/D&gt;&lt;D xsi:type="xsd:double"&gt;20.3512764772711&lt;/D&gt;&lt;D xsi:type="xsd:double"&gt;20.8194969633518&lt;/D&gt;&lt;D xsi:type="xsd:double"&gt;21.0823420288118&lt;/D&gt;&lt;D xsi:type="xsd:double"&gt;20.6948609108592&lt;/D&gt;&lt;D xsi:type="xsd:double"&gt;20.5036917065083&lt;/D&gt;&lt;D xsi:type="xsd:double"&gt;20.5031363546754&lt;/D&gt;&lt;D xsi:type="xsd:double"&gt;20.3287144971605&lt;/D&gt;&lt;D xsi:type="xsd:double"&gt;19.9465045129997&lt;/D&gt;&lt;D xsi:type="xsd:double"&gt;19.7796641076362&lt;/D&gt;&lt;D xsi:type="xsd:double"&gt;19.7236944049302&lt;/D&gt;&lt;D xsi:type="xsd:double"&gt;19.5007968344333&lt;/D&gt;&lt;D xsi:type="xsd:double"&gt;19.5190305538421&lt;/D&gt;&lt;D xsi:type="xsd:double"&gt;19.3295413739985&lt;/D&gt;&lt;D xsi:type="xsd:double"&gt;19.1273452355936&lt;/D&gt;&lt;D xsi:type="xsd:double"&gt;18.8627629165734&lt;/D&gt;&lt;D xsi:type="xsd:double"&gt;18.6516322036459&lt;/D&gt;&lt;D xsi:type="xsd:double"&gt;1</t>
        </r>
      </text>
    </comment>
    <comment ref="A25" authorId="0" shapeId="0" xr:uid="{6778B8C3-FF88-4B07-802B-4A31E6BDDBB5}">
      <text>
        <r>
          <rPr>
            <b/>
            <sz val="9"/>
            <color indexed="81"/>
            <rFont val="Tahoma"/>
            <charset val="1"/>
          </rPr>
          <t>8.5297400727721&lt;/D&gt;&lt;D xsi:type="xsd:double"&gt;18.385621675606&lt;/D&gt;&lt;D xsi:type="xsd:double"&gt;18.351514622828&lt;/D&gt;&lt;D xsi:type="xsd:double"&gt;18.4683050592758&lt;/D&gt;&lt;D xsi:type="xsd:double"&gt;18.4931508193536&lt;/D&gt;&lt;D xsi:type="xsd:double"&gt;18.3567195753989&lt;/D&gt;&lt;D xsi:type="xsd:double"&gt;18.1178318850341&lt;/D&gt;&lt;D xsi:type="xsd:double"&gt;17.7830870664313&lt;/D&gt;&lt;D xsi:type="xsd:double"&gt;17.9392340611843&lt;/D&gt;&lt;D xsi:type="xsd:double"&gt;18.037705647733&lt;/D&gt;&lt;D xsi:type="xsd:double"&gt;18.026691500232&lt;/D&gt;&lt;D xsi:type="xsd:double"&gt;18.3408621736608&lt;/D&gt;&lt;D xsi:type="xsd:double"&gt;18.1310792499742&lt;/D&gt;&lt;D xsi:type="xsd:double"&gt;18.2022530453758&lt;/D&gt;&lt;D xsi:type="xsd:double"&gt;18.0683486558053&lt;/D&gt;&lt;D xsi:type="xsd:double"&gt;17.8718850235094&lt;/D&gt;&lt;D xsi:type="xsd:double"&gt;17.8819920712109&lt;/D&gt;&lt;D xsi:type="xsd:double"&gt;17.686696310329&lt;/D&gt;&lt;D xsi:type="xsd:double"&gt;17.6361219946823&lt;/D&gt;&lt;D xsi:type="xsd:double"&gt;17.2999952552921&lt;/D&gt;&lt;D xsi:type="xsd:double"&gt;17.4873133417875&lt;/D&gt;&lt;D xsi:type="xsd:double"&gt;17.5704751226069&lt;/D&gt;&lt;D xsi:type="xsd:double"&gt;17.6174322793923&lt;/D&gt;&lt;D xsi:type="xsd:double"&gt;17.7059957523782&lt;/D&gt;&lt;D xsi:type="xsd:double"&gt;17.6878936939375&lt;/D&gt;&lt;D xsi:type="xsd:double"&gt;17.6170223360373&lt;/D&gt;&lt;D xsi:type="xsd:double"&gt;17.6238291023092&lt;/D&gt;&lt;D xsi:type="xsd:double"&gt;17.598928745519&lt;/D&gt;&lt;D xsi:type="xsd:double"&gt;17.5057154794193&lt;/D&gt;&lt;D xsi:type="xsd:double"&gt;17.4675980617104&lt;/D&gt;&lt;D xsi:type="xsd:double"&gt;17.5056396653332&lt;/D&gt;&lt;D xsi:type="xsd:double"&gt;17.4259492933296&lt;/D&gt;&lt;D xsi:type="xsd:double"&gt;17.5038587095988&lt;/D&gt;&lt;D xsi:type="xsd:double"&gt;17.5374851779152&lt;/D&gt;&lt;D xsi:type="xsd:double"&gt;17.4357965532356&lt;/D&gt;&lt;D xsi:type="xsd:double"&gt;17.0270311388949&lt;/D&gt;&lt;D xsi:type="xsd:double"&gt;17.0440764813132&lt;/D&gt;&lt;D xsi:type="xsd:double"&gt;16.7883946597049&lt;/D&gt;&lt;D xsi:type="xsd:double"&gt;16.8413154401041&lt;/D&gt;&lt;D xsi:type="xsd:double"&gt;16.4021650318294&lt;/D&gt;&lt;D xsi:type="xsd:double"&gt;15.9896835826467&lt;/D&gt;&lt;D xsi:type="xsd:double"&gt;15.7166302737639&lt;/D&gt;&lt;D xsi:type="xsd:double"&gt;15.3826190050167&lt;/D&gt;&lt;D xsi:type="xsd:double"&gt;16.5703846060736&lt;/D&gt;&lt;D xsi:type="xsd:double"&gt;16.825178502292&lt;/D&gt;&lt;D xsi:type="xsd:double"&gt;17.6227181982344&lt;/D&gt;&lt;D xsi:type="xsd:double"&gt;16.9639663504622&lt;/D&gt;&lt;D xsi:type="xsd:double"&gt;17.6127548655426&lt;/D&gt;&lt;D xsi:type="xsd:double"&gt;17.9219471195998&lt;/D&gt;&lt;D xsi:type="xsd:double"&gt;17.6833688367148&lt;/D&gt;&lt;D xsi:type="xsd:double"&gt;17.4328112091579&lt;/D&gt;&lt;D xsi:type="xsd:double"&gt;18.1105890214478&lt;/D&gt;&lt;D xsi:type="xsd:double"&gt;18.1644380710107&lt;/D&gt;&lt;D xsi:type="xsd:double"&gt;18.7851031903099&lt;/D&gt;&lt;D xsi:type="xsd:double"&gt;18.9744123276384&lt;/D&gt;&lt;D xsi:type="xsd:double"&gt;19.0976763797582&lt;/D&gt;&lt;D xsi:type="xsd:double"&gt;19.0397960775474&lt;/D&gt;&lt;D xsi:type="xsd:double"&gt;18.9352509054432&lt;/D&gt;&lt;D xsi:type="xsd:double"&gt;19.1221277036835&lt;/D&gt;&lt;D xsi:type="xsd:double"&gt;19.062390982655&lt;/D&gt;&lt;D xsi:type="xsd:double"&gt;19.0145987879816&lt;/D&gt;&lt;D xsi:type="xsd:double"&gt;19.0015217790404&lt;/D&gt;&lt;D xsi:type="xsd:double"&gt;19.0875494907544&lt;/D&gt;&lt;D xsi:type="xsd:double"&gt;19.0781365006177&lt;/D&gt;&lt;D xsi:type="xsd:double"&gt;19.0923645025387&lt;/D&gt;&lt;D xsi:type="xsd:double"&gt;19.1680662051832&lt;/D&gt;&lt;D xsi:type="xsd:double"&gt;19.0880784062909&lt;/D&gt;&lt;D xsi:type="xsd:double"&gt;19.0249653742267&lt;/D&gt;&lt;D xsi:type="xsd:double"&gt;19.2063797506917&lt;/D&gt;&lt;D xsi:type="xsd:double"&gt;19.3514735360899&lt;/D&gt;&lt;D xsi:type="xsd:double"&gt;19.4213797030505&lt;/D&gt;&lt;D xsi:type="xsd:double"&gt;19.3710241820555&lt;/D&gt;&lt;D xsi:type="xsd:double"&gt;19.4062378488473&lt;/D&gt;&lt;D xsi:type="xsd:double"&gt;19.4527069291538&lt;/D&gt;&lt;D xsi:type="xsd:double"&gt;19.5672383518301&lt;/D&gt;&lt;D xsi:type="xsd:double"&gt;19.5037305492648&lt;/D&gt;&lt;D xsi:type="xsd:double"&gt;19.5952829993763&lt;/D&gt;&lt;D xsi:type="xsd:double"&gt;19.7169968834185&lt;/D&gt;&lt;D xsi:type="xsd:double"&gt;19.7685936517722&lt;/D&gt;&lt;D xsi:type="xsd:double"&gt;19.757218543646&lt;/D&gt;&lt;D xsi:type="xsd:double"&gt;19.9027191430304&lt;/D&gt;&lt;D xsi:type="xsd:double"&gt;19.8899631724582&lt;/D&gt;&lt;D xsi:type="xsd:double"&gt;20.1915123766531&lt;/D&gt;&lt;D xsi:type="xsd:double"&gt;20.2888208218766&lt;/D&gt;&lt;D xsi:type="xsd:double"&gt;20.237715344293&lt;/D&gt;&lt;D xsi:type="xsd:double"&gt;20.5483841807924&lt;/D&gt;&lt;D xsi:type="xsd:double"&gt;20.5165710521018&lt;/D&gt;&lt;D xsi:type="xsd:double"&gt;19.7282848613789&lt;/D&gt;&lt;D xsi:type="xsd:double"&gt;20.9093826299433&lt;/D&gt;&lt;D xsi:type="xsd:double"&gt;21.9484519075196&lt;/D&gt;&lt;D xsi:type="xsd:double"&gt;21.5789031237657&lt;/D&gt;&lt;D xsi:type="xsd:double"&gt;21.4534773481784&lt;/D&gt;&lt;D xsi:type="xsd:double"&gt;21.1827683929816&lt;/D&gt;&lt;D xsi:type="xsd:double"&gt;20.6799355251366&lt;/D&gt;&lt;D xsi:type="xsd:double"&gt;20.741557554383&lt;/D&gt;&lt;D xsi:type="xsd:double"&gt;20.7034921883525&lt;/D&gt;&lt;D xsi:type="xsd:double"&gt;20.5151566163286&lt;/D&gt;&lt;D xsi:type="xsd:double"&gt;20.4412641036033&lt;/D&gt;&lt;D xsi:type="xsd:double"&gt;20.1881556104796&lt;/D&gt;&lt;D xsi:type="xsd:double"&gt;20.0202992143603&lt;/D&gt;&lt;D xsi:type="xsd:double"&gt;20.0332975167388&lt;/D&gt;&lt;D xsi:type="xsd:double"&gt;20.0853557903811&lt;/D&gt;&lt;D xsi:type="xsd:double"&gt;20.0608109279117&lt;/D&gt;&lt;D xsi:type="xsd:double"&gt;20.0991258642099&lt;/D&gt;&lt;D xsi:type="xsd:double"&gt;19.9167394086073&lt;/D&gt;&lt;D xsi:type="xsd:double"&gt;19.8564092471894&lt;/D&gt;&lt;D xsi:type="xsd:double"&gt;19.6615269933804&lt;/D&gt;&lt;D xsi:type="xsd:double"&gt;19.5606633312983&lt;/D&gt;&lt;D xsi:type="xsd:double"&gt;19.5545402467078&lt;/D&gt;&lt;D xsi:type="xsd:double"&gt;19.3466369960525&lt;/D&gt;&lt;D xsi:type="xsd:double"&gt;19.4390124490727&lt;/D&gt;&lt;D xsi:type="xsd:double"&gt;19.2956563314058&lt;/D&gt;&lt;D xsi:type="xsd:double"&gt;19.235537575431&lt;/D&gt;&lt;D xsi:type="xsd:double"&gt;19.3288964226107&lt;/D&gt;&lt;D xsi:type="xsd:double"&gt;19.500403083369&lt;/D&gt;&lt;D xsi:type="xsd:double"&gt;19.4958522473217&lt;/D&gt;&lt;D xsi:type="xsd:double"&gt;19.562141296652&lt;/D&gt;&lt;D xsi:type="xsd:double"&gt;19.518350811415&lt;/D&gt;&lt;D xsi:type="xsd:double"&gt;19.3722574201799&lt;/D&gt;&lt;D xsi:type="xsd:double"&gt;19.3930555290315&lt;/D&gt;&lt;D xsi:type="xsd:double"&gt;19.481926518475&lt;/D&gt;&lt;D xsi:type="xsd:double"&gt;19.4874173911422&lt;/D&gt;&lt;D xsi:type="xsd:double"&gt;19.5082130655792&lt;/D&gt;&lt;D xsi:type="xsd:double"&gt;19.5616792338603&lt;/D&gt;&lt;D xsi:type="xsd:double"&gt;19.5089491071824&lt;/D&gt;&lt;D xsi:type="xsd:double"&gt;19.4219391979333&lt;/D&gt;&lt;D xsi:type="xsd:double"&gt;19.4808279561963&lt;/D&gt;&lt;D xsi:type="xsd:double"&gt;19.530140891622&lt;/D&gt;&lt;D xsi:type="xsd:double"&gt;19.5195021844639&lt;/D&gt;&lt;D xsi:type="xsd:double"&gt;19.4866158161059&lt;/D&gt;&lt;D xsi:type="xsd:double"&gt;19.4895623885977&lt;/D&gt;&lt;D xsi:type="xsd:double"&gt;19.5781432887372&lt;/D&gt;&lt;D xsi:type="xsd:double"&gt;19.6279418451779&lt;/D&gt;&lt;D xsi:type="xsd:double"&gt;19.6312967602549&lt;/D&gt;&lt;D xsi:type="xsd:double"&gt;19.7270507584914&lt;/D&gt;&lt;D xsi:type="xsd:double"&gt;19.7507050492185&lt;/D&gt;&lt;D xsi:type="xsd:double"&gt;19.7954806647906&lt;/D&gt;&lt;D xsi:type="xsd:double"&gt;19.8346432000855&lt;/D&gt;&lt;D xsi:type="xsd:double"&gt;19.7306137027126&lt;/D&gt;&lt;D xsi:type="xsd:double"&gt;19.4343410154745&lt;/D&gt;&lt;D xsi:type="xsd:double"&gt;19.2807136776961&lt;/D&gt;&lt;D xsi:type="xsd:double"&gt;19.3295228005901&lt;/D&gt;&lt;D xsi:type="xsd:double"&gt;19.155609452856&lt;/D&gt;&lt;D xsi:type="xsd:double"&gt;19.2226801833864&lt;/D&gt;&lt;D xsi:type="xsd:double"&gt;19.2875936309946&lt;/D&gt;&lt;D xsi:type="xsd:double"&gt;18.9944681778842&lt;/D&gt;&lt;D xsi:type="xsd:double"&gt;19.1559436559405&lt;/D&gt;&lt;D xsi:type="xsd:double"&gt;19.0634520420366&lt;/D&gt;&lt;D xsi:type="xsd:double"&gt;19.0029976833758&lt;/D&gt;&lt;D xsi:type="xsd:double"&gt;18.4149072659208&lt;/D&gt;&lt;D xsi:type="xsd:double"&gt;18.5638404938021&lt;/D&gt;&lt;D xsi:type="xsd:double"&gt;18.2815211509665&lt;/D&gt;&lt;D xsi:type="xsd:double"&gt;18.1149285392669&lt;/D&gt;&lt;D xsi:type="xsd:double"&gt;17.5272314452327&lt;/D&gt;&lt;D xsi:type="xsd:double"&gt;17.7899174585258&lt;/D&gt;&lt;D xsi:type="xsd:double"&gt;17.8733951991822&lt;/D&gt;&lt;D xsi:type="xsd:double"&gt;17.8456133534802&lt;/D&gt;&lt;D xsi:type="xsd:double"&gt;17.9446202266475&lt;/D&gt;&lt;D xsi:type="xsd:double"&gt;18.0106457139805&lt;/D&gt;&lt;D xsi:type="xsd:double"&gt;17.9430942999716&lt;/D&gt;&lt;D xsi:type="xsd:double"&gt;17.7476454357064&lt;/D&gt;&lt;D xsi:type="xsd:double"&gt;17.6441045819989&lt;/D&gt;&lt;D xsi:type="xsd:double"&gt;17.9344964491869&lt;/D&gt;&lt;D xsi:type="xsd:double"&gt;17.8216413049802&lt;/D&gt;&lt;D xsi:type="xsd:double"&gt;17.8559176706977&lt;/D&gt;&lt;D xsi:type="xsd:double"&gt;17.8309884200093&lt;/D&gt;&lt;D xsi:type="xsd:double"&gt;17.787028864202&lt;/D&gt;&lt;D xsi:type="xsd:double"&gt;17.6936061118871&lt;/D&gt;&lt;D xsi:type="xsd:double"&gt;17.6414535672988&lt;/D&gt;&lt;D xsi:type="xsd:double"&gt;17.5360416132&lt;/D&gt;&lt;D xsi:type="xsd:double"&gt;17.3622360792491&lt;/D&gt;&lt;D xsi:type="xsd:double"&gt;17.1986222096766&lt;/D&gt;&lt;D xsi:type="xsd:double"&gt;16.890239739752&lt;/D&gt;&lt;D xsi:type="xsd:double"&gt;17.004241983246&lt;/D&gt;&lt;D xsi:type="xsd:double"&gt;17.0697121623809&lt;/D&gt;&lt;D xsi:type="xsd:double"&gt;17.0545707896045&lt;/D&gt;&lt;D xsi:type="xsd:double"&gt;17.0331652321536&lt;/D&gt;&lt;D xsi:type="xsd:double"&gt;16.8586303087296&lt;/D&gt;&lt;D xsi:type="xsd:double"&gt;16.8184471670855&lt;/D&gt;&lt;D xsi:type="xsd:double"&gt;16.8250265510033&lt;/D&gt;&lt;D xsi:type="xsd:double"&gt;16.8207258549204&lt;/D&gt;&lt;D xsi:type="xsd:double"&gt;16.8619116115308&lt;/D&gt;&lt;D xsi:type="xsd:double"&gt;16.8140088092191&lt;/D&gt;&lt;D xsi:type="xsd:double"&gt;16.7144242296323&lt;/D&gt;&lt;D xsi:type="xsd:double"&gt;16.7444824352299&lt;/D&gt;&lt;D xsi:type="xsd:double"&gt;16.6440323580405&lt;/D&gt;&lt;D xsi:type="xsd:double"&gt;16.6555109697969&lt;/D&gt;&lt;D xsi:type="xsd:double"&gt;16.5964364300538&lt;/D&gt;&lt;D xsi:type="xsd:double"&gt;16.5579351324553&lt;/D&gt;&lt;D xsi:type="xsd:double"&gt;16.5876422042688&lt;/D&gt;&lt;D xsi:type="xsd:double"&gt;16.3367145979373&lt;/D&gt;&lt;D xsi:type="xsd:double"&gt;15.888283854804&lt;/D&gt;&lt;D xsi:type="xsd:double"&gt;16.002905714809&lt;/D&gt;&lt;D xsi:type="xsd:double"&gt;16.5777636571531&lt;/D&gt;&lt;D xsi:type="xsd:double"&gt;16.2606554783617&lt;/D&gt;&lt;D xsi:type="xsd:double"&gt;16.0259074048285&lt;/D&gt;&lt;D xsi:type="xsd:double"&gt;16.3820502788845&lt;/D&gt;&lt;D xsi:type="xsd:double"&gt;17.4241419351726&lt;/D&gt;&lt;D xsi:type="xsd:double"&gt;17.5627348238148&lt;/D&gt;&lt;D xsi:type="xsd:double"&gt;17.1192509830018&lt;/D&gt;&lt;D xsi:type="xsd:double"&gt;17.1451147515761&lt;/D&gt;&lt;D xsi:type="xsd:double"&gt;17.7789759296878&lt;/D&gt;&lt;D xsi:type="xsd:double"&gt;17.7592325193465&lt;/D&gt;&lt;D xsi:type="xsd:double"&gt;17.7484742884058&lt;/D&gt;&lt;D xsi:type="xsd:double"&gt;17.2550535468891&lt;/D&gt;&lt;D xsi:type="xsd:double"&gt;17.8113031531944&lt;/D&gt;&lt;D xsi:type="xsd:double"&gt;17.5917737249249&lt;/D&gt;&lt;D xsi:type="xsd:double"&gt;17.6558824927207&lt;/D&gt;&lt;D xsi:type="xsd:double"&gt;17.3730150352374&lt;/D&gt;&lt;D xsi:type="xsd:double"&gt;17.2744108319492&lt;/D&gt;&lt;D xsi:type="xsd:double"&gt;16.8436260682381&lt;/D&gt;&lt;D xsi:type="xsd:double"&gt;16.7394337452073&lt;/D&gt;&lt;D xsi:type="xsd:double"&gt;16.8970455786408&lt;/D&gt;&lt;D xsi:type="xsd:double"&gt;16.9242039363307&lt;/D&gt;&lt;D xsi:type="xsd:double"&gt;16.6907886630232&lt;/D&gt;&lt;D xsi:type="xsd:double"&gt;17.0815561063593&lt;/D&gt;&lt;D xsi:type="xsd:double"&gt;17.0082373801754&lt;/D&gt;&lt;D xsi:type="xsd:double"&gt;17.6520539697778&lt;/D&gt;&lt;D xsi:type="xsd:double"&gt;17.57418477541&lt;/D&gt;&lt;D xsi:type="xsd:double"&gt;17.6906942659764&lt;/D&gt;&lt;D xsi:type="xsd:double"&gt;17.5885980420482&lt;/D&gt;&lt;D xsi:type="xsd:double"&gt;17.816596176386&lt;/D&gt;&lt;D xsi:type="xsd:double"&gt;17.5462227469081&lt;/D&gt;&lt;D xsi:type="xsd:double"&gt;17.5431404550115&lt;/D&gt;&lt;D xsi:type="xsd:double"&gt;17.6315726898901&lt;/D&gt;&lt;D xsi:type="xsd:double"&gt;17.6672124072823&lt;/D&gt;&lt;D xsi:type="xsd:double"&gt;17.609752839313&lt;/D&gt;&lt;D xsi:type="xsd:double"&gt;17.6074077421077&lt;/D&gt;&lt;D xsi:type="xsd:double"&gt;17.6616914617148&lt;/D&gt;&lt;D xsi:type="xsd:double"&gt;17.7264360490152&lt;/D&gt;&lt;D xsi:type="xsd:double"&gt;17.7247801855879&lt;/D&gt;&lt;D xsi:type="xsd:double"&gt;17.7138014493561&lt;/D&gt;&lt;D xsi:type="xsd:double"&gt;17.6969533257143&lt;/D&gt;&lt;D xsi:type="xsd:double"&gt;17.7566319992947&lt;/D&gt;&lt;D xsi:type="xsd:double"&gt;17.6640653010565&lt;/D&gt;&lt;D xsi:type="xsd:double"&gt;17.7101067447028&lt;/D&gt;&lt;D xsi:type="xsd:double"&gt;17.6404111099579&lt;/D&gt;&lt;D xsi:type="xsd:double"&gt;17.6385203540289&lt;/D&gt;&lt;D xsi:type="xsd:double"&gt;17.7342866384725&lt;/D&gt;&lt;D xsi:type="xsd:double"&gt;17.6491882942958&lt;/D&gt;&lt;D xsi:type="xsd:double"&gt;17.6859986572305&lt;/D&gt;&lt;D xsi:type="xsd:double"&gt;17.7438997175674&lt;/D&gt;&lt;D xsi:type="xsd:double"&gt;17.7886060965502&lt;/D&gt;&lt;D xsi:type="xsd:double"&gt;17.6873197365117&lt;/D&gt;&lt;D xsi:type="xsd:double"&gt;17.3488264432361&lt;/D&gt;&lt;D xsi:type="xsd:double"&gt;16.8783184654064&lt;/D&gt;&lt;D xsi:type="xsd:double"&gt;17.4053783459507&lt;/D&gt;&lt;D xsi:type="xsd:double"&gt;17.0900968798966&lt;/D&gt;&lt;D xsi:type="xsd:double"&gt;17.308632199867&lt;/D&gt;&lt;D xsi:type="xsd:double"&gt;17.3934251145179&lt;/D&gt;&lt;D xsi:type="xsd:double"&gt;17.6384891492059&lt;/D&gt;&lt;D xsi:type="xsd:double"&gt;17.4594334527073&lt;/D&gt;&lt;D xsi:type="xsd:double"&gt;16.7990805694948&lt;/D&gt;&lt;D xsi:type="xsd:double"&gt;17.3022583956001&lt;/D&gt;&lt;D xsi:type="xsd:double"&gt;17.2183602963021&lt;/D&gt;&lt;D xsi:type="xsd:double"&gt;17.1506269924967&lt;/D&gt;&lt;D xsi:type="xsd:double"&gt;16.9918727644332&lt;/D&gt;&lt;D xsi:type="xsd:double"&gt;16.9152572686159&lt;/D&gt;&lt;D xsi:type="xsd:double"&gt;16.8103021442959&lt;/D&gt;&lt;D xsi:type="xsd:double"&gt;16.4594982540747&lt;/D&gt;&lt;D xsi:type="xsd:double"&gt;15.925635780953&lt;/D&gt;&lt;D xsi:type="xsd:double"&gt;16.0451405518085&lt;/D&gt;&lt;D xsi:type="xsd:double"&gt;16.4204493594779&lt;/D&gt;&lt;D xsi:type="xsd:double"&gt;16.4902855289797&lt;/D&gt;&lt;D xsi:type="xsd:double"&gt;16.6661147509237&lt;/D&gt;&lt;D xsi:type="xsd:double"&gt;16.5156832806533&lt;/D&gt;&lt;D xsi:type="xsd:double"&gt;16.6016321542304&lt;/D&gt;&lt;D xsi:type="xsd:double"&gt;16.574958968068&lt;/D&gt;&lt;D xsi:type="xsd:double"&gt;16.5054693790508&lt;/D&gt;&lt;/FQL&gt;&lt;FQL&gt;&lt;Q&gt;SHY-US^FG_PRICE(0,-7AY)&lt;/Q&gt;&lt;R&gt;1762&lt;/R&gt;&lt;C&gt;1&lt;/C&gt;&lt;D xsi:type="xsd:double"&gt;82.64&lt;/D&gt;&lt;D xsi:type="xsd:double"&gt;82.52&lt;/D&gt;&lt;D xsi:type="xsd:double"&gt;82.54&lt;/D&gt;&lt;D xsi:type="xsd:double"&gt;82.45&lt;/D&gt;&lt;D xsi:type="xsd:double"&gt;82.65&lt;/D&gt;&lt;D xsi:type="xsd:double"&gt;82.66&lt;/D&gt;&lt;D xsi:type="xsd:double"&gt;82.53&lt;/D&gt;&lt;D xsi:type="xsd:double"&gt;82.48&lt;/D&gt;&lt;D xsi:type="xsd:double"&gt;82.46&lt;/D&gt;&lt;D xsi:type="xsd:double"&gt;82.5&lt;/D&gt;&lt;D xsi:type="xsd:double"&gt;82.55&lt;/D&gt;&lt;D xsi:type="xsd:double"&gt;82.65&lt;/D&gt;&lt;D xsi:type="xsd:double"&gt;82.67&lt;/D&gt;&lt;D xsi:type="xsd:double"&gt;82.21&lt;/D&gt;&lt;D xsi:type="xsd:double"&gt;82.34&lt;/D&gt;&lt;D xsi:type="xsd:double"&gt;82.17&lt;/D&gt;&lt;D xsi:type="xsd:double"&gt;82.14&lt;/D&gt;&lt;D xsi:type="xsd:double"&gt;82.13&lt;/D&gt;&lt;D xsi:type="xsd:double"&gt;82.02&lt;/D&gt;&lt;D xsi:type="xsd:double"&gt;82.01&lt;/D&gt;&lt;D xsi:type="xsd:double"&gt;81.97&lt;/D&gt;&lt;D xsi:type="xsd:double"&gt;81.93&lt;/D&gt;&lt;D xsi:type="xsd:double"&gt;81.92&lt;/D&gt;&lt;D xsi:type="xsd:double"&gt;81.96&lt;/D&gt;&lt;D xsi:type="xsd:double"&gt;82&lt;/D&gt;&lt;D xsi:type="xsd:double"&gt;81.99&lt;/D&gt;&lt;D xsi:type="xsd:double"&gt;81.96&lt;/D&gt;&lt;D xsi:type="xsd:double"&gt;81.96&lt;/D&gt;&lt;D xsi:type="xsd:double"&gt;81.84&lt;/D&gt;&lt;D xsi:type="xsd:double"&gt;81.65&lt;/D&gt;&lt;D xsi:type="xsd:double"&gt;81.62&lt;/D&gt;&lt;D xsi:type="xsd:double"&gt;81.64&lt;/D&gt;&lt;D xsi:type="xsd:double"&gt;81.65&lt;/D&gt;&lt;D xsi:type="xsd:double"&gt;81.5&lt;/D&gt;&lt;D xsi:type="xsd:double"&gt;81.38&lt;/D&gt;&lt;D xsi:type="xsd:double"&gt;81.31&lt;/D&gt;&lt;D xsi:type="xsd:double"&gt;81.65&lt;/D&gt;&lt;D xsi:type="xsd:double"&gt;81.64&lt;/D&gt;&lt;D xsi:type="xsd:double"&gt;81.58&lt;/D&gt;&lt;D xsi:type="xsd:double"&gt;81.66&lt;/D&gt;&lt;D xsi:type="xsd:double"&gt;81.65&lt;/D&gt;&lt;D xsi:type="xsd:double"&gt;81.64&lt;/D&gt;&lt;D xsi:type="xsd:double"&gt;81.61&lt;/D&gt;&lt;D xsi:type="xsd:double"&gt;81.64&lt;/D&gt;&lt;D xsi:type="xsd:double"&gt;81.53&lt;/D&gt;&lt;D xsi:type="xsd:double"&gt;81.61&lt;/D&gt;&lt;D xsi:type="xsd:double"&gt;81.6&lt;/D&gt;&lt;D xsi:type="xsd:double"&gt;81.47&lt;/D&gt;&lt;D xsi:type="xsd:double"&gt;81.36&lt;/D&gt;&lt;D xsi:type="xsd:double"&gt;81.27&lt;/D&gt;&lt;D xsi:type="xsd:double"&gt;81.26&lt;/D&gt;&lt;D xsi:type="xsd:double"&gt;81.47&lt;/D&gt;&lt;D xsi:type="xsd:double"&gt;81.46&lt;/D&gt;&lt;D xsi:type="xsd:double"&gt;81.38&lt;/D&gt;&lt;D xsi:type="xsd:double"&gt;81.3&lt;/D&gt;&lt;D xsi:type="xsd:double"&gt;81.47&lt;/D&gt;&lt;D xsi:type="xsd:double"&gt;81.36&lt;/D&gt;&lt;D xsi:type="xsd:double"&gt;81.27&lt;/D&gt;&lt;D xsi:type="xsd:double"&gt;81.3&lt;/D&gt;&lt;D xsi:type="xsd:double"&gt;81.37&lt;/D&gt;&lt;D xsi:type="xsd:double"&gt;81.34&lt;/D&gt;&lt;D xsi:type="xsd:double"&gt;81.38&lt;/D&gt;&lt;D xsi:type="xsd:double"&gt;81.44&lt;/D&gt;&lt;D xsi:type="xsd:double"&gt;81.4&lt;/D&gt;&lt;D xsi:type="xsd:double"&gt;81.42&lt;/D&gt;&lt;D xsi:type="xsd:double"&gt;81.47&lt;/D&gt;&lt;D xsi:type="xsd:double"&gt;81.53&lt;/D&gt;&lt;D xsi:type="xsd:double"&gt;81.38&lt;/D&gt;&lt;D xsi:type="xsd:double"&gt;81.3&lt;/D&gt;&lt;D xsi:type="xsd:double"&gt;81.28&lt;/D&gt;&lt;D xsi:type="xsd:double"&gt;81.35&lt;/D&gt;&lt;D xsi:type="xsd:double"&gt;81.28&lt;/D&gt;&lt;D xsi:type="xsd:double"&gt;81.3&lt;/D&gt;&lt;D xsi:type="xsd:double"&gt;81.29&lt;/D&gt;&lt;D xsi:type="xsd:double"&gt;81.3&lt;/D&gt;&lt;D xsi:type="xsd:double"&gt;81.17&lt;/D&gt;&lt;D xsi:type="xsd:double"&gt;81.05&lt;/D&gt;&lt;D xsi:type="xsd:double"&gt;81.15&lt;/D&gt;&lt;D xsi:type="xsd:double"&gt;81.25&lt;/D&gt;&lt;D xsi:type="xsd:double"&gt;81.21&lt;/D&gt;&lt;D xsi:type="xsd:double"&gt;81.19&lt;/D&gt;&lt;D xsi:type="xsd:double"&gt;81.25&lt;/D&gt;&lt;D xsi:type="xsd:double"&gt;81.28&lt;/D&gt;&lt;D xsi:type="xsd:double"&gt;81.21&lt;/D&gt;&lt;D xsi:type="xsd:double"&gt;81.17&lt;/D&gt;&lt;D xsi:type="xsd:double"&gt;81.15&lt;/D&gt;&lt;D xsi:type="xsd:double"&gt;81.19&lt;/D&gt;&lt;D xsi:type="xsd:double"&gt;81.13&lt;/D&gt;&lt;D xsi:type="xsd:double"&gt;81.18&lt;/D&gt;&lt;D xsi:type="xsd:double"&gt;81.21&lt;/D&gt;&lt;D xsi:type="xsd:double"&gt;81.16&lt;/D&gt;&lt;D xsi:type="xsd:double"&gt;81.06&lt;/D&gt;&lt;D xsi:type="xsd:double"&gt;81.39&lt;/D&gt;&lt;D xsi:type="xsd:double"&gt;81.31&lt;/D&gt;&lt;D xsi:type="xsd:double"&gt;81.39&lt;/D&gt;&lt;D xsi:type="xsd:double"&gt;81.52&lt;/D&gt;&lt;D xsi:type="xsd:double"&gt;81.44&lt;/D&gt;&lt;D xsi:type="xsd:double"&gt;81.38&lt;/D&gt;&lt;D xsi:type="xsd:double"&gt;81.34&lt;/D&gt;&lt;D xsi:type="xsd:double"&gt;81.78&lt;/D&gt;&lt;D xsi:type="xsd:double"&gt;81.83&lt;/D&gt;&lt;D xsi:type="xsd:double"&gt;81.74&lt;/D&gt;&lt;D xsi:type="xsd:double"&gt;81.72&lt;/D&gt;&lt;D xsi:type="xsd:double"&gt;81.76&lt;/D&gt;&lt;D xsi:type="xsd:double"&gt;81.7&lt;/D&gt;&lt;D xsi:type="xsd:double"&gt;81.7&lt;/D&gt;&lt;D xsi:type="xsd:double"&gt;81.57&lt;/D&gt;&lt;D xsi:type="xsd:double"&gt;81.5&lt;/D&gt;&lt;D xsi:type="xsd:double"&gt;81.49&lt;/D&gt;&lt;D xsi:type="xsd:double"&gt;81.54&lt;/D&gt;&lt;D xsi:type="xsd:double"&gt;81.61&lt;/D&gt;&lt;D xsi:type="xsd:double"&gt;81.65&lt;/D&gt;&lt;D xsi:type="xsd:double"&gt;81.73&lt;/D&gt;&lt;D xsi:type="xsd:double"&gt;81.8&lt;/D&gt;&lt;D xsi:type="xsd:double"&gt;81.76&lt;/D&gt;&lt;D xsi:type="xsd:double"&gt;81.66&lt;/D&gt;&lt;D xsi:type="xsd:double"&gt;81.64&lt;/D&gt;&lt;D xsi:type="xsd:double"&gt;81.58&lt;/D&gt;&lt;D xsi:type="xsd:double"&gt;81.66&lt;/D&gt;&lt;D xsi:type="xsd:double"&gt;81.74&lt;/D&gt;&lt;D xsi:type="xsd:double"&gt;81.69&lt;/D&gt;&lt;D xsi:type="xsd:double"&gt;81.61&lt;/D&gt;&lt;D xsi:type="xsd:double"&gt;81.61&lt;/D&gt;&lt;D xsi:type="xsd:double"&gt;81.67&lt;/D&gt;&lt;D xsi:type="xsd:double"&gt;81.63&lt;/D&gt;&lt;D xsi:type="xsd:double"&gt;81.64&lt;/D&gt;&lt;D xsi:type="xsd:double"&gt;81.71&lt;/D&gt;&lt;D xsi:type="xsd:double"&gt;81.66&lt;/D&gt;&lt;D xsi:type="xsd:double"&gt;81.76&lt;/D&gt;&lt;D xsi:type="xsd:double"&gt;81.68&lt;/D&gt;&lt;D xsi:type="xsd:double"&gt;81.56&lt;/D&gt;&lt;D xsi:type="xsd:double"&gt;81.82&lt;/D&gt;&lt;D xsi:type="xsd:double"&gt;81.81&lt;/D&gt;&lt;D xsi:type="xsd:double"&gt;81.84&lt;/D&gt;&lt;D xsi:type="xsd:double"&gt;81.86&lt;/D&gt;&lt;D xsi:type="xsd:double"&gt;81.89&lt;/D&gt;&lt;D xsi:type="xsd:double"&gt;81.76&lt;/D&gt;&lt;D xsi:type="xsd:double"&gt;81.92&lt;/D&gt;&lt;D xsi:type="xsd:double"&gt;82.18&lt;/D&gt;&lt;D xsi:type="xsd:double"&gt;82.3&lt;/D&gt;&lt;D xsi:type="xsd:double"&gt;82.15&lt;/D&gt;&lt;D xsi:type="xsd:double"&gt;82.2&lt;/D&gt;&lt;D xsi:type="xsd:double"&gt;82.12&lt;/D&gt;&lt;D xsi:type="xsd:double"&gt;82.17&lt;/D&gt;&lt;D xsi:type="xsd:double"&gt;82.02&lt;/D&gt;&lt;D xsi:type="xsd:double"&gt;82.06&lt;/D&gt;&lt;D xsi:type="xsd:double"&gt;82.07&lt;/D&gt;&lt;D xsi:type="xsd:double"&gt;82.03&lt;/D&gt;&lt;D xsi:type="xsd:double"&gt;82.09&lt;/D&gt;&lt;D xsi:type="xsd:double"&gt;82.05&lt;/D&gt;&lt;D xsi:type="xsd:double"&gt;82.21&lt;/D&gt;&lt;D xsi:type="xsd:double"&gt;82.34&lt;/D&gt;&lt;D xsi:type="xsd:double"&gt;82.17&lt;/D&gt;&lt;D xsi:type="xsd:double"&gt;81.98&lt;/D&gt;&lt;D xsi:type="xsd:double"&gt;81.98&lt;/D&gt;&lt;D xsi:type="xsd:double"&gt;81.96&lt;/D&gt;&lt;D xsi:type="xsd:double"&gt;81.89&lt;/D&gt;&lt;D xsi:type="xsd:double"&gt;81.91&lt;/D&gt;&lt;D xsi:type="xsd:double"&gt;81.96&lt;/D&gt;&lt;D xsi:type="xsd:double"&gt;81.94&lt;/D&gt;&lt;D xsi:type="xsd:double"&gt;82.04&lt;/D&gt;&lt;D xsi:type="xsd:double"&gt;82&lt;/D&gt;&lt;D xsi:type="xsd:double"&gt;82.01&lt;/D&gt;&lt;D xsi:type="xsd:double"&gt;81.91&lt;/D&gt;&lt;D xsi:type="xsd:double"&gt;81.95&lt;/D&gt;&lt;D xsi:type="xsd:double"&gt;81.92&lt;/D&gt;&lt;D xsi:type="xsd:double"&gt;81.84&lt;/D&gt;&lt;D xsi:type="xsd:double"&gt;81.73&lt;/D&gt;&lt;D xsi:type="xsd:double"&gt;81.7&lt;/D&gt;&lt;D xsi:type="xsd:double"&gt;81.71&lt;/D&gt;&lt;D xsi:type="xsd:double"&gt;81.8&lt;/D&gt;&lt;D xsi:type="xsd:double"&gt;81.92&lt;/D&gt;&lt;D xsi:type="xsd:double"&gt;81.51&lt;/D&gt;&lt;D xsi:type="xsd:double"&gt;81.5&lt;/D&gt;&lt;D xsi:type="xsd:double"&gt;81.48&lt;/D&gt;&lt;D xsi:type="xsd:double"&gt;81.66&lt;/D&gt;&lt;D xsi:type="xsd:double"&gt;81.6&lt;/D&gt;&lt;D xsi:type="xsd:double"&gt;81.62&lt;/D&gt;&lt;D xsi:type="xsd:double"&gt;81.52&lt;/D&gt;&lt;D xsi:type="xsd:double"&gt;81.64&lt;/D&gt;&lt;D xsi:type="xsd:double"&gt;81.65&lt;/D&gt;&lt;D xsi:type="xsd:double"&gt;81.7&lt;/D&gt;&lt;D xsi:type="xsd:double"&gt;81.54&lt;/D&gt;&lt;D xsi:type="xsd:double"&gt;81.39&lt;/D&gt;&lt;D xsi:type="xsd:double"&gt;81.29&lt;/D&gt;&lt;D xsi:type="xsd:double"&gt;81.35&lt;/D&gt;&lt;D xsi:type="xsd:double"&gt;81.34&lt;/D&gt;&lt;D xsi:type="xsd:double"&gt;81.29&lt;/D&gt;&lt;D xsi:type="xsd:double"&gt;81.28&lt;/D&gt;&lt;D xsi:type="xsd:double"&gt;81.34&lt;/D&gt;&lt;D xsi:type="xsd:double"&gt;81.2&lt;/D&gt;&lt;D xsi:type="xsd:double"&gt;81.35&lt;/D&gt;&lt;D xsi:type="xsd:double"&gt;81.03&lt;/D&gt;&lt;D xsi:type="xsd:double"&gt;81&lt;/D&gt;&lt;D xsi:type="xsd:double"&gt;80.98&lt;/D&gt;&lt;D xsi:type="xsd:double"&gt;81.1&lt;/D&gt;&lt;D xsi:type="xsd:double"&gt;81.12&lt;/D&gt;&lt;D xsi:type="xsd:double"&gt;81.06&lt;/D&gt;&lt;D xsi:type="xsd:double"&gt;81.21&lt;/D&gt;&lt;D xsi:type="xsd:double"&gt;80.99&lt;/D&gt;&lt;D xsi:type="xsd:double"&gt;80.98&lt;/D&gt;&lt;D xsi:type="xsd:double"&gt;81.03&lt;/D&gt;&lt;D xsi:type="xsd:double"&gt;81.06&lt;/D&gt;&lt;D xsi:type="xsd:double"&gt;81.09&lt;/D&gt;&lt;D xsi:type="xsd:double"&gt;81.04&lt;/D&gt;&lt;D xsi:type="xsd:double"&gt;80.88&lt;/D&gt;&lt;D xsi:type="xsd:double"&gt;80.97&lt;/D&gt;&lt;D xsi:type="xsd:double"&gt;80.99&lt;/D&gt;&lt;D xsi:type="xsd:double"&gt;80.94&lt;/D&gt;&lt;D xsi:type="xsd:double"&gt;80.81&lt;/D&gt;&lt;D xsi:type="xsd:double"&gt;80.7&lt;/D&gt;&lt;D xsi:type="xsd:double"&gt;80.7&lt;/D&gt;&lt;D xsi:type="xsd:double"&gt;80.88&lt;/D&gt;&lt;D xsi:type="xsd:double"&gt;80.93&lt;/D&gt;&lt;D xsi:type="xsd:double"&gt;80.88&lt;/D&gt;&lt;D xsi:type="xsd:double"&gt;80.98&lt;/D&gt;&lt;D xsi:type="xsd:double"&gt;81&lt;/D&gt;&lt;D xsi:type="xsd:double"&gt;81.05&lt;/D&gt;&lt;D xsi:type="xsd:double"&gt;80.81&lt;/D&gt;&lt;D xsi:type="xsd:double"&gt;80.88&lt;/D&gt;&lt;D xsi:type="xsd:double"&gt;80.8&lt;/D&gt;&lt;D xsi:type="xsd:double"&gt;80.62&lt;/D&gt;&lt;D xsi:type="xsd:double"&gt;80.68&lt;/D&gt;&lt;D xsi:type="xsd:double"&gt;80.97&lt;/D&gt;&lt;D xsi:type="xsd:double"&gt;80.96&lt;/D&gt;&lt;D xsi:type="xsd:double"&gt;80.82&lt;/D&gt;&lt;D xsi:type="xsd:double"&gt;80.88&lt;/D&gt;&lt;D xsi:type="xsd:double"&gt;80.87&lt;/D&gt;&lt;D xsi:type="xsd:double"&gt;80.9&lt;/D&gt;&lt;D xsi:type="xsd:double"&gt;80.82&lt;/D&gt;&lt;D xsi:type="xsd:double"&gt;80.78&lt;/D&gt;&lt;D xsi:type="xsd:double"&gt;80.83&lt;/D&gt;&lt;D xsi:type="xsd:double"&gt;80.89&lt;/D&gt;&lt;D xsi:type="xsd:double"&gt;80.9&lt;/D&gt;&lt;D xsi:type="xsd:double"&gt;80.94&lt;/D&gt;&lt;D xsi:type="xsd:double"&gt;80.96&lt;/D&gt;&lt;D xsi:type="xsd:double"&gt;80.89&lt;/D&gt;&lt;D xsi:type="xsd:double"&gt;80.93&lt;/D&gt;&lt;D xsi:type="xsd:double"&gt;80.91&lt;/D&gt;&lt;D xsi:type="xsd:double"&gt;80.95&lt;/D&gt;&lt;D xsi:type="xsd:double"&gt;80.8&lt;/D&gt;&lt;D xsi:type="xsd:double"&gt;80.89&lt;/D&gt;&lt;D xsi:type="xsd:double"&gt;80.99&lt;/D&gt;&lt;D xsi:type="xsd:double"&gt;81.24&lt;/D&gt;&lt;D xsi:type="xsd:double"&gt;81.16&lt;/D&gt;&lt;D xsi:type="xsd:double"&gt;81.16&lt;/D&gt;&lt;D xsi:type="xsd:double"&gt;80.98&lt;/D&gt;&lt;D xsi:type="xsd:double"&gt;80.93&lt;/D&gt;&lt;D xsi:type="xsd:double"&gt;80.98&lt;/D&gt;&lt;D xsi:type="xsd:double"&gt;81.03&lt;/D&gt;&lt;D xsi:type="xsd:double"&gt;80.88&lt;/D&gt;&lt;D xsi:type="xsd:double"&gt;80.92&lt;/D&gt;&lt;D xsi:type="xsd:double"&gt;81.01&lt;/D&gt;&lt;D xsi:type="xsd:double"&gt;80.98&lt;/D&gt;&lt;D xsi:type="xsd:double"&gt;80.89&lt;/D&gt;&lt;D xsi:type="xsd:double"&gt;80.93&lt;/D&gt;&lt;D xsi:type="xsd:double"&gt;80.9&lt;/D&gt;&lt;D xsi:type="xsd:double"&gt;80.97&lt;/D&gt;&lt;D xsi:type="xsd:double"&gt;81.05&lt;/D&gt;&lt;D xsi:type="xsd:double"&gt;81.09&lt;/D&gt;&lt;D xsi:type="xsd:double"&gt;81.14&lt;/D&gt;&lt;D xsi:type="xsd:double"&gt;81.1&lt;/D&gt;&lt;D xsi:type="xsd:double"&gt;81.07&lt;/D&gt;&lt;D xsi:type="xsd:double"&gt;80.91&lt;/D&gt;&lt;D xsi:type="xsd:double"&gt;80.88&lt;/D&gt;&lt;D xsi:type="xsd:double"&gt;80.84&lt;/D&gt;&lt;D xsi:type="xsd:double"&gt;81.12&lt;/D&gt;&lt;D xsi:type="xsd:double"&gt;81.1&lt;/D&gt;&lt;D xsi:type="xsd:double"&gt;80.99&lt;/D&gt;&lt;D xsi:type="xsd:double"&gt;81.11&lt;/D&gt;&lt;D xsi:type="xsd:double"&gt;81.03&lt;/D&gt;&lt;D xsi:type="xsd:double"&gt;81.04&lt;/D&gt;&lt;D xsi:type="xsd:double"&gt;81.14&lt;/D&gt;&lt;D xsi:type="xsd:double"&gt;81.13&lt;/D&gt;&lt;D xsi:type="xsd:double"&gt;81.23&lt;/D&gt;&lt;D xsi:type="xsd:double"&gt;81.2&lt;/D&gt;&lt;D xsi:type="xsd:double"&gt;81.2&lt;/D&gt;&lt;D xsi:type="xsd:double"&gt;81.17&lt;/D&gt;&lt;D xsi:type="xsd:double"&gt;81.38&lt;/D&gt;&lt;D xsi:type="xsd:double"&gt;81.15&lt;/D&gt;&lt;D xsi:type="xsd:double"&gt;80.91&lt;/D&gt;&lt;D xsi:type="xsd:double"&gt;80.92&lt;/D&gt;&lt;D xsi:type="xsd:double"&gt;80.8&lt;/D&gt;&lt;D xsi:type="xsd:double"&gt;80.71&lt;/D&gt;&lt;D xsi:type="xsd:double"&gt;80.76&lt;/D&gt;&lt;D xsi:type="xsd:double"&gt;80.78&lt;/D&gt;&lt;D xsi:type="xsd:double"&gt;81.08&lt;/D&gt;&lt;D xsi:type="xsd:double"&gt;81.05&lt;/D&gt;&lt;D xsi:type="xsd:double"&gt;81.25&lt;/D&gt;&lt;D xsi:type="xsd:double"&gt;81.16&lt;/D&gt;&lt;D xsi:type="xsd:double"&gt;81.28&lt;/D&gt;&lt;D xsi:type="xsd:double"&gt;81.22&lt;/D&gt;&lt;D xsi:type="xsd:double"&gt;81.15&lt;/D&gt;&lt;D xsi:type="xsd:double"&gt;81.24&lt;/D&gt;&lt;D xsi:type="xsd:double"&gt;81.24&lt;/D&gt;&lt;D xsi:type="xsd:double"&gt;81.21&lt;/D&gt;&lt;D xsi:type="xsd:double"&gt;81.32&lt;/D&gt;&lt;D xsi:type="xsd:double"&gt;81.15&lt;/D&gt;&lt;D xsi:type="xsd:double"&gt;81.2&lt;/D&gt;&lt;D xsi:type="xsd:double"&gt;81.35&lt;/D&gt;&lt;D xsi:type="xsd:double"&gt;81.28&lt;/D&gt;&lt;D xsi:type="xsd:double"&gt;81.43&lt;/D&gt;&lt;D xsi:type="xsd:double"&gt;81.3&lt;/D&gt;&lt;D xsi:type="xsd:double"&gt;81.36&lt;/D&gt;&lt;D xsi:type="xsd:double"&gt;81.4&lt;/D&gt;&lt;D xsi:type="xsd:double"&gt;81.38&lt;/D&gt;&lt;D xsi:type="xsd:double"&gt;81.61&lt;/D&gt;&lt;D xsi:type="xsd:double"&gt;81.68&lt;/D&gt;&lt;D xsi:type="xsd:double"&gt;81.6&lt;/D&gt;&lt;D xsi:type="xsd:double"&gt;81.44&lt;/D&gt;&lt;D xsi:type="xsd:double"&gt;81.46&lt;/D&gt;&lt;D xsi:type="xsd:double"&gt;81.64&lt;/D&gt;&lt;D xsi:type="xsd:double"&gt;81.74&lt;/D&gt;&lt;D xsi:type="xsd:double"&gt;81.75&lt;/D&gt;&lt;D xsi:type="xsd:double"&gt;81.78&lt;/D&gt;&lt;D xsi:type="xsd:double"&gt;81.84&lt;/D&gt;&lt;D xsi:type="xsd:double"&gt;81.99&lt;/D&gt;&lt;D xsi:type="xsd:double"&gt;82.08&lt;/D&gt;&lt;D xsi:type="xsd:double"&gt;82.18&lt;/D&gt;&lt;D xsi:type="xsd:double"&gt;82.17&lt;/D&gt;&lt;D xsi:type="xsd:double"&gt;82.31&lt;/D&gt;&lt;D xsi:type="xsd:double"&gt;82.26&lt;/D&gt;&lt;D xsi:type="xsd:double"&gt;82.06&lt;/D&gt;&lt;D xsi:type="xsd:double"&gt;82.08&lt;/D&gt;&lt;D xsi:type="xsd:double"&gt;82.21&lt;/D&gt;&lt;D xsi:type="xsd:double"&gt;82.41&lt;/D&gt;&lt;D xsi:type="xsd:double"&gt;82.28&lt;/D&gt;&lt;D xsi:type="xsd:double"&gt;82.08&lt;/D&gt;&lt;D xsi:type="xsd:double"&gt;81.81&lt;/D&gt;&lt;D xsi:type="xsd:double"&gt;82.18&lt;/D&gt;&lt;D xsi:type="xsd:double"&gt;82.09&lt;/D&gt;&lt;D xsi:type="xsd:double"&gt;82.25&lt;/D&gt;&lt;D xsi:type="xsd:double"&gt;82.35&lt;/D&gt;&lt;D xsi:type="xsd:double"&gt;82.03&lt;/D&gt;&lt;D xsi:type="xsd:double"&gt;81.94&lt;/D&gt;&lt;D xsi:type="xsd:double"&gt;81.99&lt;/D&gt;&lt;D xsi:type="xsd:double"&gt;81.79&lt;/D&gt;&lt;D xsi:type="xsd:double"&gt;81.86&lt;/D&gt;&lt;D xsi:type="xsd:double"&gt;81.88&lt;/D&gt;&lt;D xsi:type="xsd:double"&gt;82&lt;/D&gt;&lt;D xsi:type="xsd:double"&gt;82.19&lt;/D&gt;&lt;D xsi:type="xsd:double"&gt;82.14&lt;/D&gt;&lt;D xsi:type="xsd:double"&gt;82.05&lt;/D&gt;&lt;D xsi:type="xsd:double"&gt;82.06&lt;/D&gt;&lt;D xsi:type="xsd:double"&gt;82.35&lt;/D&gt;&lt;D xsi:type="xsd:double"&gt;82.38&lt;/D&gt;&lt;D xsi:type="xsd:double"&gt;82.27&lt;/D&gt;&lt;D xsi:type="xsd:double"&gt;82.08&lt;/D&gt;&lt;D xsi:type="xsd:double"&gt;82.16&lt;/D&gt;&lt;D xsi:type="xsd:double"&gt;82.06&lt;/D&gt;&lt;D xsi:type="xsd:double"&gt;82.05&lt;/D&gt;&lt;D xsi:type="xsd:double"&gt;82.08&lt;/D&gt;&lt;D xsi:type="xsd:double"&gt;82.17&lt;/D&gt;&lt;D xsi:type="xsd:double"&gt;82.52&lt;/D&gt;&lt;D xsi:type="xsd:double"&gt;82.48&lt;/D&gt;&lt;D xsi:type="xsd:double"&gt;82.24&lt;/D&gt;&lt;D xsi:type="xsd:double"&gt;81.86&lt;/D&gt;&lt;D xsi:type="xsd:double"&gt;82.17&lt;/D&gt;&lt;D xsi:type="xsd:double"&gt;82.27&lt;/D&gt;&lt;D xsi:type="xsd:double"&gt;81.86&lt;/D&gt;&lt;D xsi:type="xsd:double"&gt;82.19&lt;/D&gt;&lt;D xsi:type="xsd:double"&gt;81.71&lt;/D&gt;&lt;D xsi:type="xsd:double"&gt;82.02&lt;/D&gt;&lt;D xsi:type="xsd:double"&gt;81.21&lt;/D&gt;&lt;D xsi:type="xsd:double"&gt;80.77&lt;/D&gt;&lt;D xsi:type="xsd:double"&gt;80.51&lt;/D&gt;&lt;D xsi:type="xsd:double"&gt;80.55&lt;/D&gt;&lt;D xsi:type="xsd:double"&gt;80.72&lt;/D&gt;&lt;D xsi:type="xsd:double"&gt;80.76&lt;/D&gt;&lt;D xsi:type="xsd:double"&gt;80.71&lt;/D&gt;&lt;D xsi:type="xsd:double"&gt;80.68&lt;/D&gt;&lt;D xsi:type="xsd:double"&gt;80.99&lt;/D&gt;&lt;D xsi:type="xsd:double"&gt;81.01&lt;/D&gt;&lt;D xsi:type="xsd:double"&gt;80.94&lt;/D&gt;&lt;D xsi:type="xsd:double"&gt;81.11&lt;/D&gt;&lt;D xsi:type="xsd:double"&gt;81.06&lt;/D&gt;&lt;D xsi:type="xsd:double"&gt;81.02&lt;/D&gt;&lt;D xsi:type="xsd:double"&gt;81.18&lt;/D&gt;&lt;D xsi:type="xsd:double"&gt;81.11&lt;/D&gt;&lt;D xsi:type="xsd:double"&gt;81.1&lt;/D&gt;&lt;D xsi:type="xsd:double"&gt;81.09&lt;/D&gt;&lt;D xsi:type="xsd:double"&gt;81.26&lt;/D&gt;&lt;D xsi:type="xsd:double"&gt;81.24&lt;/D&gt;&lt;D xsi:type="xsd:double"&gt;81.28&lt;/D&gt;&lt;D xsi:type="xsd:double"&gt;81.34&lt;/D&gt;&lt;D xsi:type="xsd:double"&gt;81.31&lt;/D&gt;&lt;D xsi:type="xsd:double"&gt;81.27&lt;/D&gt;&lt;D xsi:type="xsd:double"&gt;81.5&lt;/D&gt;&lt;D xsi:type="xsd:double"&gt;81.8&lt;/D&gt;&lt;D xsi:type="xsd:double"&gt;81.79&lt;/D&gt;&lt;D xsi:type="xsd:double"&gt;81.8&lt;/D&gt;&lt;D xsi:type="xsd:double"&gt;81.65&lt;/D&gt;&lt;D xsi:type="xsd:double"&gt;81.73&lt;/D&gt;&lt;D xsi:type="xsd:double"&gt;81.73&lt;/D&gt;&lt;D xsi:type="xsd:double"&gt;81.78&lt;/D&gt;&lt;D xsi:type="xsd:double"&gt;81.73&lt;/D&gt;&lt;D xsi:type="xsd:double"&gt;81.7&lt;/D&gt;&lt;D xsi:type="xsd:double"&gt;81.78&lt;/D&gt;&lt;D xsi:type="xsd:double"&gt;81.85&lt;/D&gt;&lt;D xsi:type="xsd:double"&gt;81.87&lt;/D&gt;&lt;D xsi:type="xsd:double"&gt;81.69&lt;/D&gt;&lt;D xsi:type="xsd:double"&gt;81.64&lt;/D&gt;&lt;D xsi:type="xsd:double"&gt;81.78&lt;/D&gt;&lt;D xsi:type="xsd:double"&gt;81.6&lt;/D&gt;&lt;D xsi:type="xsd:double"&gt;81.53&lt;/D&gt;&lt;D xsi:type="xsd:double"&gt;81.6&lt;/D&gt;&lt;D xsi:type="xsd:double"&gt;81.52&lt;/D&gt;&lt;D xsi:type="xsd:double"&gt;81.21&lt;/D&gt;&lt;D xsi:type="xsd:double"&gt;81.32&lt;/D&gt;&lt;D xsi:type="xsd:double"&gt;81.24&lt;/D&gt;&lt;D xsi:type="xsd:double"&gt;81.17&lt;/D&gt;&lt;D xsi:type="xsd:double"&gt;81.27&lt;/D&gt;&lt;D xsi:type="xsd:double"&gt;81.21&lt;/D&gt;&lt;D xsi:type="xsd:double"&gt;81.21&lt;/D&gt;&lt;D xsi:type="xsd:double"&gt;81.32&lt;/D&gt;&lt;D xsi:type="xsd:double"&gt;81.36&lt;/D&gt;&lt;D xsi:type="xsd:double"&gt;81.41&lt;/D&gt;&lt;D xsi:type="xsd:double"&gt;81.33&lt;/D&gt;&lt;D xsi:type="xsd:double"&gt;81.33&lt;/D&gt;&lt;D xsi:type="xsd:double"&gt;81.43&lt;/D&gt;&lt;D xsi:type="xsd:double"&gt;81.35&lt;/D&gt;&lt;D xsi:type="xsd:double"&gt;81.52&lt;/D&gt;&lt;D xsi:type="xsd:double"&gt;81.51&lt;/D&gt;&lt;D xsi:type="xsd:double"&gt;81.27&lt;/D&gt;&lt;D xsi:type="xsd:double"&gt;81.32&lt;/D&gt;&lt;D xsi:type="xsd:double"&gt;81.36&lt;/D&gt;&lt;D xsi:type="xsd:double"&gt;81.44&lt;/D&gt;&lt;D xsi:type="xsd:double"&gt;81.27&lt;/D&gt;&lt;D xsi:type="xsd:double"&gt;81.18&lt;/D&gt;&lt;D xsi:type="xsd:double"&gt;81.41&lt;/D&gt;&lt;D xsi:type="xsd:double"&gt;81.43&lt;/D&gt;&lt;D xsi:type="xsd:double"&gt;81.42&lt;/D&gt;&lt;D xsi:type="xsd:double"&gt;81.18&lt;/D&gt;&lt;D xsi:type="xsd:double"&gt;81.21&lt;/D&gt;&lt;D xsi:type="xsd:double"&gt;81.19&lt;/D&gt;&lt;D xsi:type="xsd:double"&gt;81.18&lt;/D&gt;&lt;D xsi:type="xsd:double"&gt;81.11&lt;/D&gt;&lt;D xsi:type="xsd:double"&gt;81.05&lt;/D&gt;&lt;D xsi:type="xsd:double"&gt;81.07&lt;/D&gt;&lt;D xsi:type="xsd:double"&gt;81.16&lt;/D&gt;&lt;D xsi:type="xsd:double"&gt;81.26&lt;/D&gt;&lt;D xsi:type="xsd:double"&gt;81.25&lt;/D&gt;&lt;D xsi:type="xsd:double"&gt;81.17&lt;/D&gt;&lt;D xsi:type="xsd:double"&gt;81.24&lt;/D&gt;&lt;D xsi:type="xsd:double"&gt;81.26&lt;/D&gt;&lt;D xsi:type="xsd:double"&gt;80.82&lt;/D&gt;&lt;D xsi:type="xsd:double"&gt;80.69&lt;/D&gt;&lt;D xsi:type="xsd:double"&gt;80.61&lt;/D&gt;&lt;D xsi:type="xsd:double"&gt;80.68&lt;/D&gt;&lt;D xsi:type="xsd:double"&gt;80.59&lt;/D&gt;&lt;D xsi:type="xsd:double"&gt;80.74&lt;/D&gt;&lt;D xsi:type="xsd:double"&gt;80.78&lt;/D&gt;&lt;D xsi:type="xsd:double"&gt;81&lt;/D&gt;&lt;D xsi:type="xsd:double"&gt;81.12&lt;/D&gt;&lt;D xsi:type="xsd:double"&gt;81.24&lt;/D&gt;&lt;D xsi:type="xsd:double"&gt;81.07&lt;/D&gt;&lt;D xsi:type="xsd:double"&gt;81&lt;/D&gt;&lt;D xsi:type="xsd:double"&gt;80.92&lt;/D&gt;&lt;D xsi:type="xsd:double"&gt;80.94&lt;/D&gt;&lt;D xsi:type="xsd:double"&gt;80.73&lt;/D&gt;&lt;D xsi:type="xsd:double"&gt;80.82&lt;/D&gt;&lt;D xsi:type="xsd:double"&gt;80.97&lt;/D&gt;&lt;D xsi:type="xsd:double"&gt;80.93&lt;/D&gt;&lt;D xsi:type="xsd:double"&gt;80.84&lt;/D&gt;&lt;D xsi:type="xsd:double"&gt;80.88&lt;/D&gt;&lt;D xsi:type="xsd:double"&gt;81.12&lt;/D&gt;&lt;D xsi:type="xsd:double"&gt;81.04&lt;/D&gt;&lt;D xsi:type="xsd:double"&gt;81&lt;/D&gt;&lt;D xsi:type="xsd:double"&gt;81.03&lt;/D&gt;&lt;D xsi:type="xsd:double"&gt;81.13&lt;/D&gt;&lt;D xsi:type="xsd:double"&gt;81.23&lt;/D&gt;&lt;D xsi:type="xsd:double"&gt;81.31&lt;/D&gt;&lt;D xsi:type="xsd:double"&gt;81.28&lt;/D&gt;&lt;D xsi:type="xsd:double"&gt;81.21&lt;/D&gt;&lt;D xsi:type="xsd:double"&gt;81.28&lt;/D&gt;&lt;D xsi:type="xsd:double"&gt;81.39&lt;/D&gt;&lt;D xsi:type="xsd:double"&gt;81.04&lt;/D&gt;&lt;D xsi:type="xsd:double"&gt;81.04&lt;/D&gt;&lt;D xsi:type="xsd:double"&gt;81.22&lt;/D&gt;&lt;D xsi:type="xsd:double"&gt;81.32&lt;/D&gt;&lt;D xsi:type="xsd:double"&gt;81.47&lt;/D&gt;&lt;D xsi:type="xsd:double"&gt;81.54&lt;/D&gt;&lt;D xsi:type="xsd:double"&gt;81.58&lt;/D&gt;&lt;D xsi:type="xsd:double"&gt;81.67&lt;/D&gt;&lt;D xsi:type="xsd:double"&gt;81.63&lt;/D&gt;&lt;D xsi:type="xsd:double"&gt;81.72&lt;/D&gt;&lt;D xsi:type="xsd:double"&gt;81.79&lt;/D&gt;&lt;D xsi:type="xsd:double"&gt;82.07&lt;/D&gt;&lt;D xsi:type="xsd:double"&gt;82.08&lt;/D&gt;&lt;D xsi:type="xsd:double"&gt;82.15&lt;/D&gt;&lt;D xsi:type="xsd:double"&gt;82.25&lt;/D&gt;&lt;D xsi:type="xsd:double"&gt;82.13&lt;/D&gt;&lt;D xsi:type="xsd:double"&gt;82.31&lt;/D&gt;&lt;D xsi:type="xsd:double"&gt;82.13&lt;/D&gt;&lt;D xsi:type="xsd:double"&gt;82.29&lt;/D&gt;&lt;D xsi:type="xsd:double"&gt;82.3&lt;/D&gt;&lt;D xsi:type="xsd:double"&gt;82.34&lt;/D&gt;&lt;D xsi:type="xsd:double"&gt;82.4&lt;/D&gt;&lt;D xsi:type="xsd:double"&gt;82.42&lt;/D&gt;&lt;D xsi:type="xsd:double"&gt;82.37&lt;/D&gt;&lt;D xsi:type="xsd:double"&gt;82.46&lt;/D&gt;&lt;D xsi:type="xsd:double"&gt;82.42&lt;/D&gt;&lt;D xsi:type="xsd:double"&gt;82.53&lt;/D&gt;&lt;D xsi:type="xsd:double"&gt;82.59&lt;/D&gt;&lt;D xsi:type="xsd:double"&gt;82.47&lt;/D&gt;&lt;D xsi:type="xsd:double"&gt;82.54&lt;/D&gt;&lt;D xsi:type="xsd:double"&gt;82.61&lt;/D&gt;&lt;D xsi:type="xsd:double"&gt;82.54&lt;/D&gt;&lt;D xsi:type="xsd:double"&gt;82.52&lt;/D&gt;&lt;D xsi:type="xsd:double"&gt;82.55&lt;/D&gt;&lt;D xsi:type="xsd:double"&gt;82.47&lt;/D&gt;&lt;D xsi:type="xsd:double"&gt;82.55&lt;/D&gt;&lt;D xsi:type="xsd:double"&gt;82.47&lt;/D&gt;&lt;D xsi:type="xsd:double"&gt;82.81&lt;/D&gt;&lt;D xsi:type="xsd:double"&gt;82.7&lt;/D&gt;&lt;D xsi:type="xsd:double"&gt;82.67&lt;/D&gt;&lt;D xsi:type="xsd:double"&gt;82.96&lt;/D&gt;&lt;D xsi:type="xsd:double"&gt;83.05&lt;/D&gt;&lt;D xsi:type="xsd:double"&gt;83.06&lt;/D&gt;&lt;D xsi:type="xsd:double"&gt;82.88&lt;/D&gt;&lt;D xsi:type="xsd:double"&gt;82.75&lt;/D&gt;&lt;D xsi:type="xsd:double"&gt;82.79&lt;/D&gt;&lt;D xsi:type="xsd:double"&gt;82.86&lt;/D&gt;&lt;D xsi:type="xsd:double"&gt;82.65&lt;/D&gt;&lt;D xsi:type="xsd:double"&gt;82.42&lt;/D&gt;&lt;D xsi:type="xsd:double"&gt;82.43&lt;/D&gt;&lt;D xsi:type="xsd:double"&gt;82.52&lt;/D&gt;&lt;D xsi:type="xsd:double"&gt;82.57&lt;/D&gt;&lt;D xsi:type="xsd:double"&gt;82.51&lt;/D&gt;&lt;D xsi:type="xsd:double"&gt;82.54&lt;/D&gt;&lt;D xsi:type="xsd:double"&gt;82.63&lt;/D&gt;&lt;D xsi:type="xsd:double"&gt;82.59&lt;/D&gt;&lt;D xsi:type="xsd:double"&gt;82.56&lt;/D&gt;&lt;D xsi:type="xsd:double"&gt;82.66&lt;/D&gt;&lt;D xsi:type="xsd:double"&gt;82.72&lt;/D&gt;&lt;D xsi:type="xsd:double"&gt;82.95&lt;/D&gt;&lt;D xsi:type="xsd:double"&gt;82.96&lt;/D&gt;&lt;D xsi:type="xsd:double"&gt;82.79&lt;/D&gt;&lt;D xsi:type="xsd:double"&gt;82.63&lt;/D&gt;&lt;D xsi:type="xsd:double"&gt;82.53&lt;/D&gt;&lt;D xsi:type="xsd:double"&gt;82.55&lt;/D&gt;&lt;D xsi:type="xsd:double"&gt;82.64&lt;/D&gt;&lt;D xsi:type="xsd:double"&gt;82.66&lt;/D&gt;&lt;D xsi:type="xsd:double"&gt;82.59&lt;/D&gt;&lt;D xsi:type="xsd:double"&gt;82.35&lt;/D&gt;&lt;D xsi:type="xsd:double"&gt;82.38&lt;/D&gt;&lt;D xsi:type="xsd:double"&gt;82.4&lt;/D&gt;&lt;D xsi:type="xsd:double"&gt;82.29&lt;/D&gt;&lt;D xsi:type="xsd:double"&gt;81.97&lt;/D&gt;&lt;D xsi:type="xsd:double"&gt;82.13&lt;/D&gt;&lt;D xsi:type="xsd:double"&gt;82.55&lt;/D&gt;&lt;D xsi:type="xsd:double"&gt;82.9&lt;/D&gt;&lt;D xsi:type="xsd:double"&gt;82.96&lt;/D&gt;&lt;D xsi:type="xsd:double"&gt;83.02&lt;/D&gt;&lt;D xsi:type="xsd:double"&gt;83.01&lt;/D&gt;&lt;D xsi:type="xsd:double"&gt;83.12&lt;/D&gt;&lt;D xsi:type="xsd:double"&gt;83.15&lt;/D&gt;&lt;D xsi:type="xsd:double"&gt;83.13&lt;/D&gt;&lt;D xsi:type="xsd:double"&gt;83.35&lt;/D&gt;&lt;D xsi:type="xsd:double"&gt;83.48&lt;/D&gt;&lt;D xsi:type="xsd:double"&gt;83.46&lt;/D&gt;&lt;D xsi:type="xsd:double"&gt;83.44&lt;/D&gt;&lt;D xsi:type="xsd:double"&gt;83.38&lt;/D&gt;&lt;D xsi:type="xsd:double"&gt;83.19&lt;/D&gt;&lt;D xsi:type="xsd:double"&gt;83.23&lt;/D&gt;&lt;D xsi:type="xsd:double"&gt;83.17&lt;/D&gt;&lt;D xsi:type="xsd:double"&gt;83.05&lt;/D&gt;&lt;D xsi:type="xsd:double"&gt;83.01&lt;/D&gt;&lt;D xsi:type="xsd:double"&gt;83.19&lt;/D&gt;&lt;D xsi:type="xsd:double"&gt;83.14&lt;/D&gt;&lt;D xsi:type="xsd:double"&gt;83.17&lt;/D&gt;&lt;D xsi:type="xsd:double"&gt;83.05&lt;/D&gt;&lt;D xsi:type="xsd:double"&gt;83.04&lt;/D&gt;&lt;D xsi:type="xsd:double"&gt;83.09&lt;/D&gt;&lt;D xsi:type="xsd:double"&gt;82.88&lt;/D&gt;&lt;D xsi:type="xsd:double"&gt;82.89&lt;/D&gt;&lt;D xsi:type="xsd:double"&gt;83.03&lt;/D&gt;&lt;D xsi:type="xsd:double"&gt;82.81&lt;/D&gt;&lt;D xsi:type="xsd:double"&gt;82.85&lt;/D&gt;&lt;D xsi:type="xsd:double"&gt;82.9&lt;/D&gt;&lt;D xsi:type="xsd:double"&gt;83.06&lt;/D&gt;&lt;D xsi:type="xsd:double"&gt;83.12&lt;/D&gt;&lt;D xsi:type="xsd:double"&gt;83.16&lt;/D&gt;&lt;D xsi:type="xsd:double"&gt;83.01&lt;/D&gt;&lt;D xsi:type="xsd:double"&gt;82.88&lt;/D&gt;&lt;D xsi:type="xsd:double"&gt;82.9&lt;/D&gt;&lt;D xsi:type="xsd:double"&gt;83.04&lt;/D&gt;&lt;D xsi:type="xsd:double"&gt;82.99&lt;/D&gt;&lt;D xsi:type="xsd:double"&gt;83.18&lt;/D&gt;&lt;D xsi:type="xsd:double"&gt;83.18&lt;/D&gt;&lt;D xsi:type="xsd:double"&gt;83.33&lt;/D&gt;&lt;D xsi:type="xsd:double"&gt;83.29&lt;/D&gt;&lt;D xsi:type="xsd:double"&gt;83.08&lt;/D&gt;&lt;D xsi:type="xsd:double"&gt;83.06&lt;/D&gt;&lt;D xsi:type="xsd:double"&gt;83.16&lt;/D&gt;&lt;D xsi:type="xsd:double"&gt;83.1&lt;/D&gt;&lt;D xsi:type="xsd:double"&gt;83.04&lt;/D&gt;&lt;D xsi:type="xsd:double"&gt;83.19&lt;/D&gt;&lt;D xsi:type="xsd:double"&gt;83.14&lt;/D&gt;&lt;D xsi:type="xsd:double"&gt;83.35&lt;/D&gt;&lt;D xsi:type="xsd:double"&gt;83.35&lt;/D&gt;&lt;D xsi:type="xsd:double"&gt;83.29&lt;/D&gt;&lt;D xsi:type="xsd:double"&gt;83.25&lt;/D&gt;&lt;D xsi:type="xsd:double"&gt;83.33&lt;/D&gt;&lt;D xsi:type="xsd:double"&gt;83.555&lt;/D&gt;&lt;D xsi:type="xsd:double"&gt;83.58&lt;/D&gt;&lt;D xsi:type="xsd:double"&gt;83.51&lt;/D&gt;&lt;D xsi:type="xsd:double"&gt;83.57&lt;/D&gt;&lt;D xsi:type="xsd:double"&gt;83.85&lt;/D&gt;&lt;D xsi:type="xsd:double"&gt;83.87</t>
        </r>
      </text>
    </comment>
    <comment ref="A26" authorId="0" shapeId="0" xr:uid="{250C0D88-9600-4FFE-A853-CCD7B2AE7898}">
      <text>
        <r>
          <rPr>
            <b/>
            <sz val="9"/>
            <color indexed="81"/>
            <rFont val="Tahoma"/>
            <charset val="1"/>
          </rPr>
          <t>&lt;/D&gt;&lt;D xsi:type="xsd:double"&gt;83.9&lt;/D&gt;&lt;D xsi:type="xsd:double"&gt;83.98&lt;/D&gt;&lt;D xsi:type="xsd:double"&gt;83.95&lt;/D&gt;&lt;D xsi:type="xsd:double"&gt;84.17&lt;/D&gt;&lt;D xsi:type="xsd:double"&gt;84.2&lt;/D&gt;&lt;D xsi:type="xsd:double"&gt;84.27&lt;/D&gt;&lt;D xsi:type="xsd:double"&gt;84.32&lt;/D&gt;&lt;D xsi:type="xsd:double"&gt;84.43&lt;/D&gt;&lt;D xsi:type="xsd:double"&gt;84.54&lt;/D&gt;&lt;D xsi:type="xsd:double"&gt;84.45&lt;/D&gt;&lt;D xsi:type="xsd:double"&gt;84.45&lt;/D&gt;&lt;D xsi:type="xsd:double"&gt;84.73&lt;/D&gt;&lt;D xsi:type="xsd:double"&gt;84.56&lt;/D&gt;&lt;D xsi:type="xsd:double"&gt;84.41&lt;/D&gt;&lt;D xsi:type="xsd:double"&gt;84.41&lt;/D&gt;&lt;D xsi:type="xsd:double"&gt;84.34&lt;/D&gt;&lt;D xsi:type="xsd:double"&gt;84.39&lt;/D&gt;&lt;D xsi:type="xsd:double"&gt;84.47&lt;/D&gt;&lt;D xsi:type="xsd:double"&gt;84.46&lt;/D&gt;&lt;D xsi:type="xsd:double"&gt;84.41&lt;/D&gt;&lt;D xsi:type="xsd:double"&gt;84.3&lt;/D&gt;&lt;D xsi:type="xsd:double"&gt;84.27&lt;/D&gt;&lt;D xsi:type="xsd:double"&gt;84.45&lt;/D&gt;&lt;D xsi:type="xsd:double"&gt;84.19&lt;/D&gt;&lt;D xsi:type="xsd:double"&gt;84.62&lt;/D&gt;&lt;D xsi:type="xsd:double"&gt;84.63&lt;/D&gt;&lt;D xsi:type="xsd:double"&gt;84.72&lt;/D&gt;&lt;D xsi:type="xsd:double"&gt;84.7&lt;/D&gt;&lt;D xsi:type="xsd:double"&gt;84.87&lt;/D&gt;&lt;D xsi:type="xsd:double"&gt;84.94&lt;/D&gt;&lt;D xsi:type="xsd:double"&gt;84.92&lt;/D&gt;&lt;D xsi:type="xsd:double"&gt;84.95&lt;/D&gt;&lt;D xsi:type="xsd:double"&gt;84.95&lt;/D&gt;&lt;D xsi:type="xsd:double"&gt;84.92&lt;/D&gt;&lt;D xsi:type="xsd:double"&gt;84.99&lt;/D&gt;&lt;D xsi:type="xsd:double"&gt;85.14&lt;/D&gt;&lt;D xsi:type="xsd:double"&gt;85.18&lt;/D&gt;&lt;D xsi:type="xsd:double"&gt;85.13&lt;/D&gt;&lt;D xsi:type="xsd:double"&gt;85.06&lt;/D&gt;&lt;D xsi:type="xsd:double"&gt;85.08&lt;/D&gt;&lt;D xsi:type="xsd:double"&gt;85.04&lt;/D&gt;&lt;D xsi:type="xsd:double"&gt;85.17&lt;/D&gt;&lt;D xsi:type="xsd:double"&gt;85.28&lt;/D&gt;&lt;D xsi:type="xsd:double"&gt;85.24&lt;/D&gt;&lt;D xsi:type="xsd:double"&gt;85.27&lt;/D&gt;&lt;D xsi:type="xsd:double"&gt;85.24&lt;/D&gt;&lt;D xsi:type="xsd:double"&gt;85.29&lt;/D&gt;&lt;D xsi:type="xsd:double"&gt;85.31&lt;/D&gt;&lt;D xsi:type="xsd:double"&gt;85.38&lt;/D&gt;&lt;D xsi:type="xsd:double"&gt;85.49&lt;/D&gt;&lt;D xsi:type="xsd:double"&gt;85.44&lt;/D&gt;&lt;D xsi:type="xsd:double"&gt;85.54&lt;/D&gt;&lt;D xsi:type="xsd:double"&gt;85.55&lt;/D&gt;&lt;D xsi:type="xsd:double"&gt;85.5&lt;/D&gt;&lt;D xsi:type="xsd:double"&gt;85.51&lt;/D&gt;&lt;D xsi:type="xsd:double"&gt;85.51&lt;/D&gt;&lt;D xsi:type="xsd:double"&gt;85.54&lt;/D&gt;&lt;D xsi:type="xsd:double"&gt;85.55&lt;/D&gt;&lt;D xsi:type="xsd:double"&gt;85.56&lt;/D&gt;&lt;D xsi:type="xsd:double"&gt;85.61&lt;/D&gt;&lt;D xsi:type="xsd:double"&gt;85.59&lt;/D&gt;&lt;D xsi:type="xsd:double"&gt;85.63&lt;/D&gt;&lt;D xsi:type="xsd:double"&gt;85.58&lt;/D&gt;&lt;D xsi:type="xsd:double"&gt;85.55&lt;/D&gt;&lt;D xsi:type="xsd:double"&gt;85.6&lt;/D&gt;&lt;D xsi:type="xsd:double"&gt;85.55&lt;/D&gt;&lt;D xsi:type="xsd:double"&gt;85.51&lt;/D&gt;&lt;D xsi:type="xsd:double"&gt;85.54&lt;/D&gt;&lt;D xsi:type="xsd:double"&gt;85.51&lt;/D&gt;&lt;D xsi:type="xsd:double"&gt;85.62&lt;/D&gt;&lt;D xsi:type="xsd:double"&gt;85.69&lt;/D&gt;&lt;D xsi:type="xsd:double"&gt;85.64&lt;/D&gt;&lt;D xsi:type="xsd:double"&gt;85.75&lt;/D&gt;&lt;D xsi:type="xsd:double"&gt;85.79&lt;/D&gt;&lt;D xsi:type="xsd:double"&gt;85.86&lt;/D&gt;&lt;D xsi:type="xsd:double"&gt;85.82&lt;/D&gt;&lt;D xsi:type="xsd:double"&gt;85.65&lt;/D&gt;&lt;D xsi:type="xsd:double"&gt;85.67&lt;/D&gt;&lt;D xsi:type="xsd:double"&gt;85.67&lt;/D&gt;&lt;D xsi:type="xsd:double"&gt;85.77&lt;/D&gt;&lt;D xsi:type="xsd:double"&gt;85.79&lt;/D&gt;&lt;D xsi:type="xsd:double"&gt;85.8&lt;/D&gt;&lt;D xsi:type="xsd:double"&gt;85.77&lt;/D&gt;&lt;D xsi:type="xsd:double"&gt;85.77&lt;/D&gt;&lt;D xsi:type="xsd:double"&gt;85.78&lt;/D&gt;&lt;D xsi:type="xsd:double"&gt;85.71&lt;/D&gt;&lt;D xsi:type="xsd:double"&gt;85.77&lt;/D&gt;&lt;D xsi:type="xsd:double"&gt;85.94&lt;/D&gt;&lt;D xsi:type="xsd:double"&gt;85.89&lt;/D&gt;&lt;D xsi:type="xsd:double"&gt;85.99&lt;/D&gt;&lt;D xsi:type="xsd:double"&gt;85.95&lt;/D&gt;&lt;D xsi:type="xsd:double"&gt;85.87&lt;/D&gt;&lt;D xsi:type="xsd:double"&gt;85.89&lt;/D&gt;&lt;D xsi:type="xsd:double"&gt;85.8&lt;/D&gt;&lt;D xsi:type="xsd:double"&gt;85.85&lt;/D&gt;&lt;D xsi:type="xsd:double"&gt;85.84&lt;/D&gt;&lt;D xsi:type="xsd:double"&gt;85.83&lt;/D&gt;&lt;D xsi:type="xsd:double"&gt;85.85&lt;/D&gt;&lt;D xsi:type="xsd:double"&gt;85.87&lt;/D&gt;&lt;D xsi:type="xsd:double"&gt;85.83&lt;/D&gt;&lt;D xsi:type="xsd:double"&gt;85.85&lt;/D&gt;&lt;D xsi:type="xsd:double"&gt;85.95&lt;/D&gt;&lt;D xsi:type="xsd:double"&gt;85.92&lt;/D&gt;&lt;D xsi:type="xsd:double"&gt;85.89&lt;/D&gt;&lt;D xsi:type="xsd:double"&gt;85.95&lt;/D&gt;&lt;D xsi:type="xsd:double"&gt;86&lt;/D&gt;&lt;D xsi:type="xsd:double"&gt;86&lt;/D&gt;&lt;D xsi:type="xsd:double"&gt;86.03&lt;/D&gt;&lt;D xsi:type="xsd:double"&gt;85.99&lt;/D&gt;&lt;D xsi:type="xsd:double"&gt;86.06&lt;/D&gt;&lt;D xsi:type="xsd:double"&gt;86.09&lt;/D&gt;&lt;D xsi:type="xsd:double"&gt;86.12&lt;/D&gt;&lt;D xsi:type="xsd:double"&gt;86.13&lt;/D&gt;&lt;D xsi:type="xsd:double"&gt;86.14&lt;/D&gt;&lt;D xsi:type="xsd:double"&gt;86.18&lt;/D&gt;&lt;D xsi:type="xsd:double"&gt;86.15&lt;/D&gt;&lt;D xsi:type="xsd:double"&gt;86.13&lt;/D&gt;&lt;D xsi:type="xsd:double"&gt;86.1&lt;/D&gt;&lt;D xsi:type="xsd:double"&gt;86.09&lt;/D&gt;&lt;D xsi:type="xsd:double"&gt;86.1&lt;/D&gt;&lt;D xsi:type="xsd:double"&gt;86.13&lt;/D&gt;&lt;D xsi:type="xsd:double"&gt;86.18&lt;/D&gt;&lt;D xsi:type="xsd:double"&gt;86.23&lt;/D&gt;&lt;D xsi:type="xsd:double"&gt;86.21&lt;/D&gt;&lt;D xsi:type="xsd:double"&gt;86.19&lt;/D&gt;&lt;D xsi:type="xsd:double"&gt;86.21&lt;/D&gt;&lt;D xsi:type="xsd:double"&gt;86.24&lt;/D&gt;&lt;D xsi:type="xsd:double"&gt;86.24&lt;/D&gt;&lt;D xsi:type="xsd:double"&gt;86.23&lt;/D&gt;&lt;D xsi:type="xsd:double"&gt;86.21&lt;/D&gt;&lt;D xsi:type="xsd:double"&gt;86.24&lt;/D&gt;&lt;D xsi:type="xsd:double"&gt;86.22&lt;/D&gt;&lt;D xsi:type="xsd:double"&gt;86.2&lt;/D&gt;&lt;D xsi:type="xsd:double"&gt;86.23&lt;/D&gt;&lt;D xsi:type="xsd:double"&gt;86.23&lt;/D&gt;&lt;D xsi:type="xsd:double"&gt;86.23&lt;/D&gt;&lt;D xsi:type="xsd:double"&gt;86.25&lt;/D&gt;&lt;D xsi:type="xsd:double"&gt;86.26&lt;/D&gt;&lt;D xsi:type="xsd:double"&gt;86.24&lt;/D&gt;&lt;D xsi:type="xsd:double"&gt;86.18&lt;/D&gt;&lt;D xsi:type="xsd:double"&gt;86.18&lt;/D&gt;&lt;D xsi:type="xsd:double"&gt;86.185&lt;/D&gt;&lt;D xsi:type="xsd:double"&gt;86.2&lt;/D&gt;&lt;D xsi:type="xsd:double"&gt;86.2&lt;/D&gt;&lt;D xsi:type="xsd:double"&gt;86.2&lt;/D&gt;&lt;D xsi:type="xsd:double"&gt;86.2&lt;/D&gt;&lt;D xsi:type="xsd:double"&gt;86.2&lt;/D&gt;&lt;D xsi:type="xsd:double"&gt;86.22&lt;/D&gt;&lt;D xsi:type="xsd:double"&gt;86.2&lt;/D&gt;&lt;D xsi:type="xsd:double"&gt;86.185&lt;/D&gt;&lt;D xsi:type="xsd:double"&gt;86.19&lt;/D&gt;&lt;D xsi:type="xsd:double"&gt;86.15&lt;/D&gt;&lt;D xsi:type="xsd:double"&gt;86.18&lt;/D&gt;&lt;D xsi:type="xsd:double"&gt;86.21&lt;/D&gt;&lt;D xsi:type="xsd:double"&gt;86.24&lt;/D&gt;&lt;D xsi:type="xsd:double"&gt;86.28&lt;/D&gt;&lt;D xsi:type="xsd:double"&gt;86.31&lt;/D&gt;&lt;D xsi:type="xsd:double"&gt;86.31&lt;/D&gt;&lt;D xsi:type="xsd:double"&gt;86.285&lt;/D&gt;&lt;D xsi:type="xsd:double"&gt;86.27&lt;/D&gt;&lt;D xsi:type="xsd:double"&gt;86.27&lt;/D&gt;&lt;D xsi:type="xsd:double"&gt;86.26&lt;/D&gt;&lt;D xsi:type="xsd:double"&gt;86.24&lt;/D&gt;&lt;D xsi:type="xsd:double"&gt;86.26&lt;/D&gt;&lt;D xsi:type="xsd:double"&gt;86.25&lt;/D&gt;&lt;D xsi:type="xsd:double"&gt;86.24&lt;/D&gt;&lt;D xsi:type="xsd:double"&gt;86.27&lt;/D&gt;&lt;D xsi:type="xsd:double"&gt;86.23&lt;/D&gt;&lt;D xsi:type="xsd:double"&gt;86.19&lt;/D&gt;&lt;D xsi:type="xsd:double"&gt;86.2&lt;/D&gt;&lt;D xsi:type="xsd:double"&gt;86.19&lt;/D&gt;&lt;D xsi:type="xsd:double"&gt;86.13&lt;/D&gt;&lt;D xsi:type="xsd:double"&gt;86.2&lt;/D&gt;&lt;D xsi:type="xsd:double"&gt;86.22&lt;/D&gt;&lt;D xsi:type="xsd:double"&gt;86.25&lt;/D&gt;&lt;D xsi:type="xsd:double"&gt;86.21&lt;/D&gt;&lt;D xsi:type="xsd:double"&gt;86.2&lt;/D&gt;&lt;D xsi:type="xsd:double"&gt;86.17&lt;/D&gt;&lt;D xsi:type="xsd:double"&gt;86.13&lt;/D&gt;&lt;D xsi:type="xsd:double"&gt;86.16&lt;/D&gt;&lt;D xsi:type="xsd:double"&gt;86.14&lt;/D&gt;&lt;D xsi:type="xsd:double"&gt;86.15&lt;/D&gt;&lt;D xsi:type="xsd:double"&gt;86.12&lt;/D&gt;&lt;D xsi:type="xsd:double"&gt;86.13&lt;/D&gt;&lt;D xsi:type="xsd:double"&gt;86.12&lt;/D&gt;&lt;D xsi:type="xsd:double"&gt;86.18&lt;/D&gt;&lt;D xsi:type="xsd:double"&gt;86.13&lt;/D&gt;&lt;D xsi:type="xsd:double"&gt;86.11&lt;/D&gt;&lt;D xsi:type="xsd:double"&gt;86.175&lt;/D&gt;&lt;D xsi:type="xsd:double"&gt;86.18&lt;/D&gt;&lt;D xsi:type="xsd:double"&gt;86.26&lt;/D&gt;&lt;D xsi:type="xsd:double"&gt;86.27&lt;/D&gt;&lt;D xsi:type="xsd:double"&gt;86.3&lt;/D&gt;&lt;D xsi:type="xsd:double"&gt;86.32&lt;/D&gt;&lt;D xsi:type="xsd:double"&gt;86.29&lt;/D&gt;&lt;D xsi:type="xsd:double"&gt;86.31&lt;/D&gt;&lt;D xsi:type="xsd:double"&gt;86.29&lt;/D&gt;&lt;D xsi:type="xsd:double"&gt;86.3&lt;/D&gt;&lt;D xsi:type="xsd:double"&gt;86.27&lt;/D&gt;&lt;D xsi:type="xsd:double"&gt;86.3&lt;/D&gt;&lt;D xsi:type="xsd:double"&gt;86.29&lt;/D&gt;&lt;D xsi:type="xsd:double"&gt;86.32&lt;/D&gt;&lt;D xsi:type="xsd:double"&gt;86.32&lt;/D&gt;&lt;D xsi:type="xsd:double"&gt;86.32&lt;/D&gt;&lt;D xsi:type="xsd:double"&gt;86.3&lt;/D&gt;&lt;D xsi:type="xsd:double"&gt;86.3&lt;/D&gt;&lt;D xsi:type="xsd:double"&gt;86.28&lt;/D&gt;&lt;D xsi:type="xsd:double"&gt;86.3&lt;/D&gt;&lt;D xsi:type="xsd:double"&gt;86.26&lt;/D&gt;&lt;D xsi:type="xsd:double"&gt;86.29&lt;/D&gt;&lt;D xsi:type="xsd:double"&gt;86.28&lt;/D&gt;&lt;D xsi:type="xsd:double"&gt;86.28&lt;/D&gt;&lt;D xsi:type="xsd:double"&gt;86.28&lt;/D&gt;&lt;D xsi:type="xsd:double"&gt;86.26&lt;/D&gt;&lt;D xsi:type="xsd:double"&gt;86.27&lt;/D&gt;&lt;D xsi:type="xsd:double"&gt;86.28&lt;/D&gt;&lt;D xsi:type="xsd:double"&gt;86.31&lt;/D&gt;&lt;D xsi:type="xsd:double"&gt;86.28&lt;/D&gt;&lt;D xsi:type="xsd:double"&gt;86.28&lt;/D&gt;&lt;D xsi:type="xsd:double"&gt;86.26&lt;/D&gt;&lt;D xsi:type="xsd:double"&gt;86.26&lt;/D&gt;&lt;D xsi:type="xsd:double"&gt;86.28&lt;/D&gt;&lt;D xsi:type="xsd:double"&gt;86.27&lt;/D&gt;&lt;D xsi:type="xsd:double"&gt;86.25&lt;/D&gt;&lt;D xsi:type="xsd:double"&gt;86.23&lt;/D&gt;&lt;D xsi:type="xsd:double"&gt;86.24&lt;/D&gt;&lt;D xsi:type="xsd:double"&gt;86.26&lt;/D&gt;&lt;D xsi:type="xsd:double"&gt;86.28&lt;/D&gt;&lt;D xsi:type="xsd:double"&gt;86.29&lt;/D&gt;&lt;D xsi:type="xsd:double"&gt;86.27&lt;/D&gt;&lt;D xsi:type="xsd:double"&gt;86.25&lt;/D&gt;&lt;D xsi:type="xsd:double"&gt;86.26&lt;/D&gt;&lt;D xsi:type="xsd:double"&gt;86.27&lt;/D&gt;&lt;D xsi:type="xsd:double"&gt;86.25&lt;/D&gt;&lt;D xsi:type="xsd:double"&gt;86.25&lt;/D&gt;&lt;D xsi:type="xsd:double"&gt;86.22&lt;/D&gt;&lt;D xsi:type="xsd:double"&gt;86.24&lt;/D&gt;&lt;D xsi:type="xsd:double"&gt;86.27&lt;/D&gt;&lt;D xsi:type="xsd:double"&gt;86.24&lt;/D&gt;&lt;D xsi:type="xsd:double"&gt;86.23&lt;/D&gt;&lt;D xsi:type="xsd:double"&gt;86.21&lt;/D&gt;&lt;D xsi:type="xsd:double"&gt;86.23&lt;/D&gt;&lt;D xsi:type="xsd:double"&gt;86.25&lt;/D&gt;&lt;D xsi:type="xsd:double"&gt;86.28&lt;/D&gt;&lt;D xsi:type="xsd:double"&gt;86.28&lt;/D&gt;&lt;D xsi:type="xsd:double"&gt;86.3&lt;/D&gt;&lt;D xsi:type="xsd:double"&gt;86.3&lt;/D&gt;&lt;D xsi:type="xsd:double"&gt;86.29&lt;/D&gt;&lt;D xsi:type="xsd:double"&gt;86.27&lt;/D&gt;&lt;D xsi:type="xsd:double"&gt;86.26&lt;/D&gt;&lt;D xsi:type="xsd:double"&gt;86.27&lt;/D&gt;&lt;D xsi:type="xsd:double"&gt;86.27&lt;/D&gt;&lt;D xsi:type="xsd:double"&gt;86.28&lt;/D&gt;&lt;D xsi:type="xsd:double"&gt;86.26&lt;/D&gt;&lt;D xsi:type="xsd:double"&gt;86.26&lt;/D&gt;&lt;D xsi:type="xsd:double"&gt;86.25&lt;/D&gt;&lt;D xsi:type="xsd:double"&gt;86.26&lt;/D&gt;&lt;D xsi:type="xsd:double"&gt;86.26&lt;/D&gt;&lt;D xsi:type="xsd:double"&gt;86.23&lt;/D&gt;&lt;D xsi:type="xsd:double"&gt;86.23&lt;/D&gt;&lt;D xsi:type="xsd:double"&gt;86.26&lt;/D&gt;&lt;D xsi:type="xsd:double"&gt;86.26&lt;/D&gt;&lt;D xsi:type="xsd:double"&gt;86.26&lt;/D&gt;&lt;D xsi:type="xsd:double"&gt;86.31&lt;/D&gt;&lt;D xsi:type="xsd:double"&gt;86.29&lt;/D&gt;&lt;D xsi:type="xsd:double"&gt;86.32&lt;/D&gt;&lt;D xsi:type="xsd:double"&gt;86.21&lt;/D&gt;&lt;D xsi:type="xsd:double"&gt;86.335&lt;/D&gt;&lt;D xsi:type="xsd:double"&gt;86.36&lt;/D&gt;&lt;D xsi:type="xsd:double"&gt;86.35&lt;/D&gt;&lt;D xsi:type="xsd:double"&gt;86.37&lt;/D&gt;&lt;D xsi:type="xsd:double"&gt;86.36&lt;/D&gt;&lt;D xsi:type="xsd:double"&gt;86.36&lt;/D&gt;&lt;D xsi:type="xsd:double"&gt;86.34&lt;/D&gt;&lt;D xsi:type="xsd:double"&gt;86.37&lt;/D&gt;&lt;D xsi:type="xsd:double"&gt;86.36&lt;/D&gt;&lt;D xsi:type="xsd:double"&gt;86.36&lt;/D&gt;&lt;D xsi:type="xsd:double"&gt;86.35&lt;/D&gt;&lt;D xsi:type="xsd:double"&gt;86.37&lt;/D&gt;&lt;D xsi:type="xsd:double"&gt;86.38&lt;/D&gt;&lt;D xsi:type="xsd:double"&gt;86.36&lt;/D&gt;&lt;D xsi:type="xsd:double"&gt;86.36&lt;/D&gt;&lt;D xsi:type="xsd:double"&gt;86.35&lt;/D&gt;&lt;D xsi:type="xsd:double"&gt;86.38&lt;/D&gt;&lt;D xsi:type="xsd:double"&gt;86.4&lt;/D&gt;&lt;D xsi:type="xsd:double"&gt;86.37&lt;/D&gt;&lt;D xsi:type="xsd:double"&gt;86.38&lt;/D&gt;&lt;D xsi:type="xsd:double"&gt;86.38&lt;/D&gt;&lt;D xsi:type="xsd:double"&gt;86.39&lt;/D&gt;&lt;D xsi:type="xsd:double"&gt;86.38&lt;/D&gt;&lt;D xsi:type="xsd:double"&gt;86.38&lt;/D&gt;&lt;D xsi:type="xsd:double"&gt;86.37&lt;/D&gt;&lt;D xsi:type="xsd:double"&gt;86.38&lt;/D&gt;&lt;D xsi:type="xsd:double"&gt;86.35&lt;/D&gt;&lt;D xsi:type="xsd:double"&gt;86.34&lt;/D&gt;&lt;D xsi:type="xsd:double"&gt;86.33&lt;/D&gt;&lt;D xsi:type="xsd:double"&gt;86.34&lt;/D&gt;&lt;D xsi:type="xsd:double"&gt;86.34&lt;/D&gt;&lt;D xsi:type="xsd:double"&gt;86.35&lt;/D&gt;&lt;D xsi:type="xsd:double"&gt;86.36&lt;/D&gt;&lt;D xsi:type="xsd:double"&gt;86.34&lt;/D&gt;&lt;D xsi:type="xsd:double"&gt;86.39&lt;/D&gt;&lt;D xsi:type="xsd:double"&gt;86.39&lt;/D&gt;&lt;D xsi:type="xsd:double"&gt;86.38&lt;/D&gt;&lt;D xsi:type="xsd:double"&gt;86.385&lt;/D&gt;&lt;D xsi:type="xsd:double"&gt;86.38&lt;/D&gt;&lt;D xsi:type="xsd:double"&gt;86.38&lt;/D&gt;&lt;D xsi:type="xsd:double"&gt;86.37&lt;/D&gt;&lt;D xsi:type="xsd:double"&gt;86.39&lt;/D&gt;&lt;D xsi:type="xsd:double"&gt;86.37&lt;/D&gt;&lt;D xsi:type="xsd:double"&gt;86.37&lt;/D&gt;&lt;D xsi:type="xsd:double"&gt;86.37&lt;/D&gt;&lt;D xsi:type="xsd:double"&gt;86.38&lt;/D&gt;&lt;D xsi:type="xsd:double"&gt;86.41&lt;/D&gt;&lt;D xsi:type="xsd:double"&gt;86.41&lt;/D&gt;&lt;D xsi:type="xsd:double"&gt;86.41&lt;/D&gt;&lt;D xsi:type="xsd:double"&gt;86.42&lt;/D&gt;&lt;D xsi:type="xsd:double"&gt;86.37&lt;/D&gt;&lt;D xsi:type="xsd:double"&gt;86.35&lt;/D&gt;&lt;D xsi:type="xsd:double"&gt;86.36&lt;/D&gt;&lt;D xsi:type="xsd:double"&gt;86.38&lt;/D&gt;&lt;D xsi:type="xsd:double"&gt;86.36&lt;/D&gt;&lt;D xsi:type="xsd:double"&gt;86.37&lt;/D&gt;&lt;D xsi:type="xsd:double"&gt;86.35&lt;/D&gt;&lt;D xsi:type="xsd:double"&gt;86.33&lt;/D&gt;&lt;D xsi:type="xsd:double"&gt;86.41&lt;/D&gt;&lt;D xsi:type="xsd:double"&gt;86.39&lt;/D&gt;&lt;D xsi:type="xsd:double"&gt;86.39&lt;/D&gt;&lt;D xsi:type="xsd:double"&gt;86.38&lt;/D&gt;&lt;D xsi:type="xsd:double"&gt;86.37&lt;/D&gt;&lt;D xsi:type="xsd:double"&gt;86.37&lt;/D&gt;&lt;D xsi:type="xsd:double"&gt;86.36&lt;/D&gt;&lt;D xsi:type="xsd:double"&gt;86.34&lt;/D&gt;&lt;D xsi:type="xsd:double"&gt;86.34&lt;/D&gt;&lt;D xsi:type="xsd:double"&gt;86.35&lt;/D&gt;&lt;D xsi:type="xsd:double"&gt;86.33&lt;/D&gt;&lt;D xsi:type="xsd:double"&gt;86.33&lt;/D&gt;&lt;D xsi:type="xsd:double"&gt;86.32&lt;/D&gt;&lt;D xsi:type="xsd:double"&gt;86.34&lt;/D&gt;&lt;D xsi:type="xsd:double"&gt;86.35&lt;/D&gt;&lt;D xsi:type="xsd:double"&gt;86.38&lt;/D&gt;&lt;D xsi:type="xsd:double"&gt;86.37&lt;/D&gt;&lt;D xsi:type="xsd:double"&gt;86.39&lt;/D&gt;&lt;D xsi:type="xsd:double"&gt;86.37&lt;/D&gt;&lt;D xsi:type="xsd:double"&gt;86.39&lt;/D&gt;&lt;D xsi:type="xsd:double"&gt;86.43&lt;/D&gt;&lt;D xsi:type="xsd:double"&gt;86.44&lt;/D&gt;&lt;D xsi:type="xsd:double"&gt;86.42&lt;/D&gt;&lt;D xsi:type="xsd:double"&gt;86.42&lt;/D&gt;&lt;D xsi:type="xsd:double"&gt;86.42&lt;/D&gt;&lt;D xsi:type="xsd:double"&gt;86.41&lt;/D&gt;&lt;D xsi:type="xsd:double"&gt;86.4&lt;/D&gt;&lt;D xsi:type="xsd:double"&gt;86.43&lt;/D&gt;&lt;D xsi:type="xsd:double"&gt;86.43&lt;/D&gt;&lt;D xsi:type="xsd:double"&gt;86.44&lt;/D&gt;&lt;D xsi:type="xsd:double"&gt;86.44&lt;/D&gt;&lt;D xsi:type="xsd:double"&gt;86.45&lt;/D&gt;&lt;D xsi:type="xsd:double"&gt;86.43&lt;/D&gt;&lt;D xsi:type="xsd:double"&gt;86.43&lt;/D&gt;&lt;D xsi:type="xsd:double"&gt;86.44&lt;/D&gt;&lt;D xsi:type="xsd:double"&gt;86.42&lt;/D&gt;&lt;D xsi:type="xsd:double"&gt;86.42&lt;/D&gt;&lt;D xsi:type="xsd:double"&gt;86.42&lt;/D&gt;&lt;D xsi:type="xsd:double"&gt;86.43&lt;/D&gt;&lt;D xsi:type="xsd:double"&gt;86.43&lt;/D&gt;&lt;D xsi:type="xsd:double"&gt;86.46&lt;/D&gt;&lt;D xsi:type="xsd:double"&gt;86.45&lt;/D&gt;&lt;D xsi:type="xsd:double"&gt;86.51&lt;/D&gt;&lt;D xsi:type="xsd:double"&gt;86.5&lt;/D&gt;&lt;D xsi:type="xsd:double"&gt;86.51&lt;/D&gt;&lt;D xsi:type="xsd:double"&gt;86.5&lt;/D&gt;&lt;D xsi:type="xsd:double"&gt;86.49&lt;/D&gt;&lt;D xsi:type="xsd:double"&gt;86.5&lt;/D&gt;&lt;D xsi:type="xsd:double"&gt;86.5&lt;/D&gt;&lt;D xsi:type="xsd:double"&gt;86.48&lt;/D&gt;&lt;D xsi:type="xsd:double"&gt;86.49&lt;/D&gt;&lt;D xsi:type="xsd:double"&gt;86.48&lt;/D&gt;&lt;D xsi:type="xsd:double"&gt;86.5&lt;/D&gt;&lt;D xsi:type="xsd:double"&gt;86.485&lt;/D&gt;&lt;D xsi:type="xsd:double"&gt;86.48&lt;/D&gt;&lt;D xsi:type="xsd:double"&gt;86.49&lt;/D&gt;&lt;D xsi:type="xsd:double"&gt;86.47&lt;/D&gt;&lt;D xsi:type="xsd:double"&gt;86.48&lt;/D&gt;&lt;D xsi:type="xsd:double"&gt;86.47&lt;/D&gt;&lt;D xsi:type="xsd:double"&gt;86.46&lt;/D&gt;&lt;D xsi:type="xsd:double"&gt;86.49&lt;/D&gt;&lt;D xsi:type="xsd:double"&gt;86.5&lt;/D&gt;&lt;D xsi:type="xsd:double"&gt;86.49&lt;/D&gt;&lt;D xsi:type="xsd:double"&gt;86.56&lt;/D&gt;&lt;D xsi:type="xsd:double"&gt;86.53&lt;/D&gt;&lt;D xsi:type="xsd:double"&gt;86.5&lt;/D&gt;&lt;D xsi:type="xsd:double"&gt;86.51&lt;/D&gt;&lt;D xsi:type="xsd:double"&gt;86.51&lt;/D&gt;&lt;D xsi:type="xsd:double"&gt;86.5&lt;/D&gt;&lt;D xsi:type="xsd:double"&gt;86.51&lt;/D&gt;&lt;D xsi:type="xsd:double"&gt;86.52&lt;/D&gt;&lt;D xsi:type="xsd:double"&gt;86.52&lt;/D&gt;&lt;D xsi:type="xsd:double"&gt;86.52&lt;/D&gt;&lt;D xsi:type="xsd:double"&gt;86.51&lt;/D&gt;&lt;D xsi:type="xsd:double"&gt;86.5&lt;/D&gt;&lt;D xsi:type="xsd:double"&gt;86.49&lt;/D&gt;&lt;D xsi:type="xsd:double"&gt;86.5&lt;/D&gt;&lt;D xsi:type="xsd:double"&gt;86.52&lt;/D&gt;&lt;D xsi:type="xsd:double"&gt;86.54&lt;/D&gt;&lt;D xsi:type="xsd:double"&gt;86.56&lt;/D&gt;&lt;D xsi:type="xsd:double"&gt;86.57&lt;/D&gt;&lt;D xsi:type="xsd:double"&gt;86.57&lt;/D&gt;&lt;D xsi:type="xsd:double"&gt;86.59&lt;/D&gt;&lt;D xsi:type="xsd:double"&gt;86.58&lt;/D&gt;&lt;D xsi:type="xsd:double"&gt;86.63&lt;/D&gt;&lt;D xsi:type="xsd:double"&gt;86.62&lt;/D&gt;&lt;D xsi:type="xsd:double"&gt;86.59&lt;/D&gt;&lt;D xsi:type="xsd:double"&gt;86.57&lt;/D&gt;&lt;D xsi:type="xsd:double"&gt;86.55&lt;/D&gt;&lt;D xsi:type="xsd:double"&gt;86.58&lt;/D&gt;&lt;D xsi:type="xsd:double"&gt;86.57&lt;/D&gt;&lt;D xsi:type="xsd:double"&gt;86.57&lt;/D&gt;&lt;D xsi:type="xsd:double"&gt;86.58&lt;/D&gt;&lt;D xsi:type="xsd:double"&gt;86.56&lt;/D&gt;&lt;D xsi:type="xsd:double"&gt;86.58&lt;/D&gt;&lt;D xsi:type="xsd:double"&gt;86.56&lt;/D&gt;&lt;D xsi:type="xsd:double"&gt;86.56&lt;/D&gt;&lt;D xsi:type="xsd:double"&gt;86.55&lt;/D&gt;&lt;D xsi:type="xsd:double"&gt;86.54&lt;/D&gt;&lt;D xsi:type="xsd:double"&gt;86.54&lt;/D&gt;&lt;D xsi:type="xsd:double"&gt;86.57&lt;/D&gt;&lt;D xsi:type="xsd:double"&gt;86.55&lt;/D&gt;&lt;D xsi:type="xsd:double"&gt;86.55&lt;/D&gt;&lt;D xsi:type="xsd:double"&gt;86.53&lt;/D&gt;&lt;D xsi:type="xsd:double"&gt;86.56&lt;/D&gt;&lt;D xsi:type="xsd:double"&gt;86.52&lt;/D&gt;&lt;D xsi:type="xsd:double"&gt;86.61&lt;/D&gt;&lt;D xsi:type="xsd:double"&gt;86.62&lt;/D&gt;&lt;D xsi:type="xsd:double"&gt;86.6&lt;/D&gt;&lt;D xsi:type="xsd:double"&gt;86.57&lt;/D&gt;&lt;D xsi:type="xsd:double"&gt;86.57&lt;/D&gt;&lt;D xsi:type="xsd:double"&gt;86.56&lt;/D&gt;&lt;D xsi:type="xsd:double"&gt;86.54&lt;/D&gt;&lt;D xsi:type="xsd:double"&gt;86.56&lt;/D&gt;&lt;D xsi:type="xsd:double"&gt;86.54&lt;/D&gt;&lt;D xsi:type="xsd:double"&gt;86.55&lt;/D&gt;&lt;D xsi:type="xsd:double"&gt;86.52&lt;/D&gt;&lt;D xsi:type="xsd:double"&gt;86.53&lt;/D&gt;&lt;D xsi:type="xsd:double"&gt;86.55&lt;/D&gt;&lt;D xsi:type="xsd:double"&gt;86.52&lt;/D&gt;&lt;D xsi:type="xsd:double"&gt;86.56&lt;/D&gt;&lt;D xsi:type="xsd:double"&gt;86.51&lt;/D&gt;&lt;D xsi:type="xsd:double"&gt;86.48&lt;/D&gt;&lt;D xsi:type="xsd:double"&gt;86.5&lt;/D&gt;&lt;D xsi:type="xsd:double"&gt;86.53&lt;/D&gt;&lt;D xsi:type="xsd:double"&gt;86.51&lt;/D&gt;&lt;D xsi:type="xsd:double"&gt;86.58&lt;/D&gt;&lt;D xsi:type="xsd:double"&gt;86.58&lt;/D&gt;&lt;D xsi:type="xsd:double"&gt;86.66&lt;/D&gt;&lt;D xsi:type="xsd:double"&gt;86.66&lt;/D&gt;&lt;D xsi:type="xsd:double"&gt;86.62&lt;/D&gt;&lt;D xsi:type="xsd:double"&gt;86.64&lt;/D&gt;&lt;D xsi:type="xsd:double"&gt;86.64&lt;/D&gt;&lt;D xsi:type="xsd:double"&gt;86.64&lt;/D&gt;&lt;D xsi:type="xsd:double"&gt;86.66&lt;/D&gt;&lt;D xsi:type="xsd:double"&gt;86.66&lt;/D&gt;&lt;D xsi:type="xsd:double"&gt;86.61&lt;/D&gt;&lt;D xsi:type="xsd:double"&gt;86.68&lt;/D&gt;&lt;D xsi:type="xsd:double"&gt;86.63&lt;/D&gt;&lt;D xsi:type="xsd:double"&gt;86.65&lt;/D&gt;&lt;D xsi:type="xsd:double"&gt;86.65&lt;/D&gt;&lt;D xsi:type="xsd:double"&gt;86.63&lt;/D&gt;&lt;D xsi:type="xsd:double"&gt;86.66&lt;/D&gt;&lt;D xsi:type="xsd:double"&gt;86.68&lt;/D&gt;&lt;D xsi:type="xsd:double"&gt;86.62&lt;/D&gt;&lt;D xsi:type="xsd:double"&gt;86.59&lt;/D&gt;&lt;D xsi:type="xsd:double"&gt;86.6&lt;/D&gt;&lt;D xsi:type="xsd:double"&gt;86.6&lt;/D&gt;&lt;D xsi:type="xsd:double"&gt;86.8&lt;/D&gt;&lt;D xsi:type="xsd:double"&gt;86.65&lt;/D&gt;&lt;D xsi:type="xsd:double"&gt;86.66&lt;/D&gt;&lt;D xsi:type="xsd:double"&gt;86.63&lt;/D&gt;&lt;D xsi:type="xsd:double"&gt;86.63&lt;/D&gt;&lt;D xsi:type="xsd:double"&gt;86.63&lt;/D&gt;&lt;D xsi:type="xsd:double"&gt;86.64&lt;/D&gt;&lt;D xsi:type="xsd:double"&gt;86.67&lt;/D&gt;&lt;D xsi:type="xsd:double"&gt;86.65&lt;/D&gt;&lt;D xsi:type="xsd:double"&gt;86.65&lt;/D&gt;&lt;D xsi:type="xsd:double"&gt;86.68&lt;/D&gt;&lt;D xsi:type="xsd:double"&gt;86.66&lt;/D&gt;&lt;D xsi:type="xsd:double"&gt;86.625&lt;/D&gt;&lt;D xsi:type="xsd:double"&gt;86.63&lt;/D&gt;&lt;D xsi:type="xsd:double"&gt;86.62&lt;/D&gt;&lt;D xsi:type="xsd:double"&gt;86.59&lt;/D&gt;&lt;D xsi:type="xsd:double"&gt;86.54&lt;/D&gt;&lt;D xsi:type="xsd:double"&gt;86.56&lt;/D&gt;&lt;D xsi:type="xsd:double"&gt;86.62&lt;/D&gt;&lt;D xsi:type="xsd:double"&gt;86.64&lt;/D&gt;&lt;D xsi:type="xsd:double"&gt;86.62&lt;/D&gt;&lt;D xsi:type="xsd:double"&gt;86.67&lt;/D&gt;&lt;D xsi:type="xsd:double"&gt;86.69&lt;/D&gt;&lt;D xsi:type="xsd:double"&gt;86.65&lt;/D&gt;&lt;D xsi:type="xsd:double"&gt;86.67&lt;/D&gt;&lt;D xsi:type="xsd:double"&gt;86.57&lt;/D&gt;&lt;D xsi:type="xsd:double"&gt;86.47&lt;/D&gt;&lt;D xsi:type="xsd:double"&gt;86.59&lt;/D&gt;&lt;D xsi:type="xsd:double"&gt;86.49&lt;/D&gt;&lt;D xsi:type="xsd:double"&gt;86.26&lt;/D&gt;&lt;D xsi:type="xsd:double"&gt;86.11&lt;/D&gt;&lt;D xsi:type="xsd:double"&gt;86.22&lt;/D&gt;&lt;D xsi:type="xsd:double"&gt;86.42&lt;/D&gt;&lt;D xsi:type="xsd:double"&gt;86.28&lt;/D&gt;&lt;D xsi:type="xsd:double"&gt;86.17&lt;/D&gt;&lt;D xsi:type="xsd:double"&gt;86.19&lt;/D&gt;&lt;D xsi:type="xsd:double"&gt;86.29&lt;/D&gt;&lt;D xsi:type="xsd:double"&gt;86.67&lt;/D&gt;&lt;D xsi:type="xsd:double"&gt;86.2&lt;/D&gt;&lt;D xsi:type="xsd:double"&gt;86.1&lt;/D&gt;&lt;D xsi:type="xsd:double"&gt;85.92&lt;/D&gt;&lt;D xsi:type="xsd:double"&gt;85.905&lt;/D&gt;&lt;D xsi:type="xsd:double"&gt;85.57&lt;/D&gt;&lt;D xsi:type="xsd:double"&gt;85.73&lt;/D&gt;&lt;D xsi:type="xsd:double"&gt;85.42&lt;/D&gt;&lt;D xsi:type="xsd:double"&gt;85.32&lt;/D&gt;&lt;D xsi:type="xsd:double"&gt;85.26&lt;/D&gt;&lt;D xsi:type="xsd:double"&gt;85.17&lt;/D&gt;&lt;D xsi:type="xsd:double"&gt;85.03&lt;/D&gt;&lt;D xsi:type="xsd:double"&gt;84.96&lt;/D&gt;&lt;D xsi:type="xsd:double"&gt;84.94&lt;/D&gt;&lt;D xsi:type="xsd:double"&gt;84.93&lt;/D&gt;&lt;D xsi:type="xsd:double"&gt;84.895&lt;/D&gt;&lt;D xsi:type="xsd:double"&gt;84.86&lt;/D&gt;&lt;D xsi:type="xsd:double"&gt;84.84&lt;/D&gt;&lt;D xsi:type="xsd:double"&gt;84.88&lt;/D&gt;&lt;D xsi:type="xsd:double"&gt;84.92&lt;/D&gt;&lt;D xsi:type="xsd:double"&gt;84.88&lt;/D&gt;&lt;D xsi:type="xsd:double"&gt;84.83&lt;/D&gt;&lt;D xsi:type="xsd:double"&gt;84.81&lt;/D&gt;&lt;D xsi:type="xsd:double"&gt;84.87&lt;/D&gt;&lt;D xsi:type="xsd:double"&gt;84.96&lt;/D&gt;&lt;D xsi:type="xsd:double"&gt;85.12&lt;/D&gt;&lt;D xsi:type="xsd:double"&gt;85.01&lt;/D&gt;&lt;D xsi:type="xsd:double"&gt;85&lt;/D&gt;&lt;D xsi:type="xsd:double"&gt;84.92&lt;/D&gt;&lt;D xsi:type="xsd:double"&gt;84.96&lt;/D&gt;&lt;D xsi:type="xsd:double"&gt;84.87&lt;/D&gt;&lt;D xsi:type="xsd:double"&gt;84.84&lt;/D&gt;&lt;D xsi:type="xsd:double"&gt;84.805&lt;/D&gt;&lt;D xsi:type="xsd:double"&gt;84.79&lt;/D&gt;&lt;D xsi:type="xsd:double"&gt;84.77&lt;/D&gt;&lt;D xsi:type="xsd:double"&gt;84.74&lt;/D&gt;&lt;D xsi:type="xsd:double"&gt;84.74&lt;/D&gt;&lt;D xsi:type="xsd:double"&gt;84.7&lt;/D&gt;&lt;D xsi:type="xsd:double"&gt;84.69&lt;/D&gt;&lt;D xsi:type="xsd:double"&gt;84.7&lt;/D&gt;&lt;D xsi:type="xsd:double"&gt;84.68&lt;/D&gt;&lt;D xsi:type="xsd:double"&gt;84.67&lt;/D&gt;&lt;D xsi:type="xsd:double"&gt;84.71&lt;/D&gt;&lt;D xsi:type="xsd:double"&gt;84.71&lt;/D&gt;&lt;D xsi:type="xsd:double"&gt;84.74&lt;/D&gt;&lt;D xsi:type="xsd:double"&gt;84.67&lt;/D&gt;&lt;D xsi:type="xsd:double"&gt;84.63&lt;/D&gt;&lt;D xsi:type="xsd:double"&gt;84.64&lt;/D&gt;&lt;D xsi:type="xsd:double"&gt;84.61&lt;/D&gt;&lt;D xsi:type="xsd:double"&gt;84.55&lt;/D&gt;&lt;D xsi:type="xsd:double"&gt;84.52&lt;/D&gt;&lt;D xsi:type="xsd:double"&gt;84.51&lt;/D&gt;&lt;D xsi:type="xsd:double"&gt;84.53&lt;/D&gt;&lt;D xsi:type="xsd:double"&gt;84.53&lt;/D&gt;&lt;D xsi:type="xsd:double"&gt;84.65&lt;/D&gt;&lt;D xsi:type="xsd:double"&gt;84.64&lt;/D&gt;&lt;D xsi:type="xsd:double"&gt;84.62&lt;/D&gt;&lt;D xsi:type="xsd:double"&gt;84.67&lt;/D&gt;&lt;D xsi:type="xsd:double"&gt;84.57&lt;/D&gt;&lt;D xsi:type="xsd:double"&gt;84.65&lt;/D&gt;&lt;D xsi:type="xsd:double"&gt;84.58&lt;/D&gt;&lt;D xsi:type="xsd:double"&gt;84.62&lt;/D&gt;&lt;D xsi:type="xsd:double"&gt;84.62&lt;/D&gt;&lt;D xsi:type="xsd:double"&gt;84.65&lt;/D&gt;&lt;D xsi:type="xsd:double"&gt;84.69&lt;/D&gt;&lt;D xsi:type="xsd:double"&gt;84.73&lt;/D&gt;&lt;D xsi:type="xsd:double"&gt;84.61&lt;/D&gt;&lt;D xsi:type="xsd:double"&gt;84.77&lt;/D&gt;&lt;D xsi:type="xsd:double"&gt;84.74&lt;/D&gt;&lt;D xsi:type="xsd:double"&gt;84.79&lt;/D&gt;&lt;D xsi:type="xsd:double"&gt;84.75&lt;/D&gt;&lt;D xsi:type="xsd:double"&gt;84.735&lt;/D&gt;&lt;D xsi:type="xsd:double"&gt;84.75&lt;/D&gt;&lt;D xsi:type="xsd:double"&gt;84.79&lt;/D&gt;&lt;D xsi:type="xsd:double"&gt;84.75&lt;/D&gt;&lt;D xsi:type="xsd:double"&gt;84.76&lt;/D&gt;&lt;D xsi:type="xsd:double"&gt;84.72&lt;/D&gt;&lt;D xsi:type="xsd:double"&gt;84.75&lt;/D&gt;&lt;D xsi:type="xsd:double"&gt;84.67&lt;/D&gt;&lt;D xsi:type="xsd:double"&gt;84.63&lt;/D&gt;&lt;D xsi:type="xsd:double"&gt;84.62&lt;/D&gt;&lt;D xsi:type="xsd:double"&gt;84.6&lt;/D&gt;&lt;D xsi:type="xsd:double"&gt;84.59&lt;/D&gt;&lt;D xsi:type="xsd:double"&gt;84.69&lt;/D&gt;&lt;D xsi:type="xsd:double"&gt;84.64&lt;/D&gt;&lt;D xsi:type="xsd:double"&gt;84.7&lt;/D&gt;&lt;D xsi:type="xsd:double"&gt;84.76&lt;/D&gt;&lt;D xsi:type="xsd:double"&gt;84.95&lt;/D&gt;&lt;D xsi:type="xsd:double"&gt;84.8&lt;/D&gt;&lt;D xsi:type="xsd:double"&gt;84.75&lt;/D&gt;&lt;D xsi:type="xsd:double"&gt;84.73&lt;/D&gt;&lt;D xsi:type="xsd:double"&gt;84.76&lt;/D&gt;&lt;D xsi:type="xsd:double"&gt;84.81&lt;/D&gt;&lt;D xsi:type="xsd:double"&gt;84.81&lt;/D&gt;&lt;D xsi:type="xsd:double"&gt;84.82&lt;/D&gt;&lt;D xsi:type="xsd:double"&gt;84.79&lt;/D&gt;&lt;D xsi:type="xsd:double"&gt;84.83&lt;/D&gt;&lt;D xsi:type="xsd:double"&gt;84.8&lt;/D&gt;&lt;D xsi:type="xsd:double"&gt;84.8&lt;/D&gt;&lt;D xsi:type="xsd:double"&gt;84.76&lt;/D&gt;&lt;D xsi:type="xsd:double"&gt;84.78&lt;/D&gt;&lt;D xsi:type="xsd:double"&gt;84.77&lt;/D&gt;&lt;D xsi:type="xsd:double"&gt;84.85&lt;/D&gt;&lt;D xsi:type="xsd:double"&gt;84.95&lt;/D&gt;&lt;D xsi:type="xsd:double"&gt;85&lt;/D&gt;&lt;D xsi:type="xsd:double"&gt;84.95&lt;/D&gt;&lt;D xsi:type="xsd:double"&gt;85.04&lt;/D&gt;&lt;D xsi:type="xsd:double"&gt;85.05&lt;/D&gt;&lt;D xsi:type="xsd:double"&gt;84.87&lt;/D&gt;&lt;D xsi:type="xsd:double"&gt;84.78&lt;/D&gt;&lt;D xsi:type="xsd:double"&gt;84.82&lt;/D&gt;&lt;D xsi:type="xsd:double"&gt;84.78&lt;/D&gt;&lt;D xsi:type="xsd:double"&gt;84.73&lt;/D&gt;&lt;D xsi:type="xsd:double"&gt;84.69&lt;/D&gt;&lt;D xsi:type="xsd:double"&gt;84.8&lt;/D&gt;&lt;D xsi:type="xsd:double"&gt;84.71&lt;/D&gt;&lt;D xsi:type="xsd:double"&gt;84.66&lt;/D&gt;&lt;D xsi:type="xsd:double"&gt;84.57&lt;/D&gt;&lt;D xsi:type="xsd:double"&gt;84.56&lt;/D&gt;&lt;D xsi:type="xsd:double"&gt;84.61&lt;/D&gt;&lt;D xsi:type="xsd:double"&gt;84.57&lt;/D&gt;&lt;D xsi:type="xsd:double"&gt;84.5&lt;/D&gt;&lt;D xsi:type="xsd:double"&gt;84.64&lt;/D&gt;&lt;D xsi:type="xsd:double"&gt;84.66&lt;/D&gt;&lt;D xsi:type="xsd:double"&gt;84.66&lt;/D&gt;&lt;D xsi:type="xsd:double"&gt;84.8&lt;/D&gt;&lt;D xsi:type="xsd:double"&gt;84.89&lt;/D&gt;&lt;D xsi:type="xsd:double"&gt;84.88&lt;/D&gt;&lt;D xsi:type="xsd:double"&gt;85.07&lt;/D&gt;&lt;D xsi:type="xsd:double"&gt;85&lt;/D&gt;&lt;D xsi:type="xsd:double"&gt;85.08&lt;/D&gt;&lt;D xsi:type="xsd:double"&gt;85.05&lt;/D&gt;&lt;D xsi:type="xsd:double"&gt;85.09&lt;/D&gt;&lt;D xsi:type="xsd:double"&gt;85.07&lt;/D&gt;&lt;D xsi:type="xsd:double"&gt;85.04&lt;/D&gt;&lt;D xsi:type="xsd:double"&gt;85.08&lt;/D&gt;&lt;D xsi:type="xsd:double"&gt;84.94&lt;/D&gt;&lt;D xsi:type="xsd:double"&gt;84.98&lt;/D&gt;&lt;D xsi:type="xsd:double"&gt;85.06&lt;/D&gt;&lt;D xsi:type="xsd:double"&gt;85&lt;/D&gt;&lt;D xsi:type="xsd:double"&gt;85.09&lt;/D&gt;&lt;D xsi:type="xsd:double"&gt;85.1&lt;/D&gt;&lt;D xsi:type="xsd:double"&gt;84.915&lt;/D&gt;&lt;D xsi:type="xsd:double"&gt;84.81&lt;/D&gt;&lt;D xsi:type="xsd:double"&gt;84.91&lt;/D&gt;&lt;D xsi:type="xsd:double"&gt;84.82&lt;/D&gt;&lt;D xsi:type="xsd:double"&gt;84.87&lt;/D&gt;&lt;D xsi:type="xsd:double"&gt;84.9&lt;/D&gt;&lt;D xsi:type="xsd:double"&gt;84.89&lt;/D&gt;&lt;D xsi:type="xsd:double"&gt;84.85&lt;/D&gt;&lt;D xsi:type="xsd:double"&gt;84.68&lt;/D&gt;&lt;D xsi:type="xsd:double"&gt;84.66&lt;/D&gt;&lt;D xsi:type="xsd:double"&gt;84.57&lt;/D&gt;&lt;D xsi:type="xsd:double"&gt;84.58&lt;/D&gt;&lt;D xsi:type="xsd:double"&gt;84.57&lt;/D&gt;&lt;D xsi:type="xsd:double"&gt;84.57&lt;/D&gt;&lt;D xsi:type="xsd:double"&gt;84.56&lt;/D&gt;&lt;D xsi:type="xsd:double"&gt;84.61&lt;/D&gt;&lt;D xsi:type="xsd:double"&gt;84.59&lt;/D&gt;&lt;D xsi:type="xsd:double"&gt;84.61&lt;/D&gt;&lt;D xsi:type="xsd:double"&gt;84.6&lt;/D&gt;&lt;D xsi:type="xsd:double"&gt;84.69&lt;/D&gt;&lt;D xsi:type="xsd:double"&gt;84.59&lt;/D&gt;&lt;D xsi:type="xsd:double"&gt;84.51&lt;/D&gt;&lt;D xsi:type="xsd:double"&gt;84.54&lt;/D&gt;&lt;D xsi:type="xsd:double"&gt;84.52&lt;/D&gt;&lt;D xsi:type="xsd:double"&gt;84.51&lt;/D&gt;&lt;D xsi:type="xsd:double"&gt;84.55&lt;/D&gt;&lt;D xsi:type="xsd:double"&gt;84.4&lt;/D&gt;&lt;D xsi:type="xsd:double"&gt;84.43&lt;/D&gt;&lt;D xsi:type="xsd:double"&gt;84.47&lt;/D&gt;&lt;D xsi:type="xsd:double"&gt;84.64&lt;/D&gt;&lt;D xsi:type="xsd:double"&gt;84.62&lt;/D&gt;&lt;D xsi:type="xsd:double"&gt;84.57&lt;/D&gt;&lt;D xsi:type="xsd:double"&gt;84.78&lt;/D&gt;&lt;D xsi:type="xsd:double"&gt;84.78&lt;/D&gt;&lt;D xsi:type="xsd:double"&gt;84.71&lt;/D&gt;&lt;D xsi:type="xsd:double"&gt;84.81&lt;/D&gt;&lt;D xsi:type="xsd:double"&gt;84.79&lt;/D&gt;&lt;D xsi:type="xsd:double"&gt;84.74&lt;/D&gt;&lt;D xsi:type="xsd:double"&gt;84.78&lt;/D&gt;&lt;D xsi:type="xsd:double"&gt;84.74&lt;/D&gt;&lt;D xsi:type="xsd:double"&gt;84.56&lt;/D&gt;&lt;D xsi:type="xsd:double"&gt;84.55&lt;/D&gt;&lt;D xsi:type="xsd:double"&gt;84.59&lt;/D&gt;&lt;D xsi:type="xsd:double"&gt;84.62&lt;/D&gt;&lt;D xsi:type="xsd:double"&gt;84.53&lt;/D&gt;&lt;D xsi:type="xsd:double"&gt;84.46&lt;/D&gt;&lt;D xsi:type="xsd:double"&gt;84.49&lt;/D&gt;&lt;D xsi:type="xsd:double"&gt;84.57&lt;/D&gt;&lt;D xsi:type="xsd:double"&gt;84.48&lt;/D&gt;&lt;D xsi:type="xsd:double"&gt;84.53&lt;/D&gt;&lt;D xsi:type="xsd:double"&gt;84.49&lt;/D&gt;&lt;D xsi:type="xsd:double"&gt;84.55&lt;/D&gt;&lt;D xsi:type="xsd:double"&gt;84.56&lt;/D&gt;&lt;D xsi:type="xsd:double"&gt;84.38&lt;/D&gt;&lt;D xsi:type="xsd:double"&gt;84.31&lt;/D&gt;&lt;D xsi:type="xsd:double"&gt;84.3&lt;/D&gt;&lt;D xsi:type="xsd:double"&gt;84.23&lt;/D&gt;&lt;D xsi:type="xsd:double"&gt;84.26&lt;/D&gt;&lt;D xsi:type="xsd:double"&gt;84.11&lt;/D&gt;&lt;D xsi:type="xsd:double"&gt;84.07&lt;/D&gt;&lt;D xsi:type="xsd:double"&gt;84.11&lt;/D&gt;&lt;D xsi:type="xsd:double"&gt;84.15&lt;/D&gt;&lt;D xsi:type="xsd:double"&gt;84.13&lt;/D&gt;&lt;D xsi:type="xsd:double"&gt;84.18&lt;/D&gt;&lt;D xsi:type="xsd:double"&gt;84.12&lt;/D&gt;&lt;D xsi:type="xsd:double"&gt;84.12&lt;/D&gt;&lt;D xsi:type="xsd:double"&gt;84.02&lt;/D&gt;&lt;D xsi:type="xsd:double"&gt;84&lt;/D&gt;&lt;D xsi:type="xsd:double"&gt;83.95&lt;/D&gt;&lt;D xsi:type="xsd:double"&gt;83.96&lt;/D&gt;&lt;D xsi:type="xsd:double"&gt;83.92&lt;/D&gt;&lt;D xsi:type="xsd:double"&gt;83.87&lt;/D&gt;&lt;D xsi:type="xsd:double"&gt;83.84&lt;/D&gt;&lt;D xsi:type="xsd:double"&gt;83.88&lt;/D&gt;&lt;D xsi:type="xsd:double"&gt;84.11&lt;/D&gt;&lt;D xsi:type="xsd:double"&gt;84.05&lt;/D&gt;&lt;D xsi:type="xsd:double"&gt;84.08&lt;/D&gt;&lt;D xsi:type="xsd:double"&gt;83.99&lt;/D&gt;&lt;D xsi:type="xsd:double"&gt;83.99&lt;/D&gt;&lt;D xsi:type="xsd:double"&gt;83.94&lt;/D&gt;&lt;D xsi:type="xsd:double"&gt;83.9&lt;/D&gt;&lt;D xsi:type="xsd:double"&gt;83.89&lt;/D&gt;&lt;D xsi:type="xsd:double"&gt;83.87&lt;/D&gt;&lt;D xsi:type="xsd:double"&gt;83.84&lt;/D&gt;&lt;D xsi:type="xsd:double"&gt;83.85&lt;/D&gt;&lt;D xsi:type="xsd:double"&gt;83.84&lt;/D&gt;&lt;D xsi:type="xsd:double"&gt;83.89&lt;/D&gt;&lt;D xsi:type="xsd:double"&gt;83.94&lt;/D&gt;&lt;D xsi:type="xsd:double"&gt;83.87&lt;/D&gt;&lt;D xsi:type="xsd:double"&gt;83.86&lt;/D&gt;&lt;D xsi:type="xsd:double"&gt;83.88&lt;/D&gt;&lt;D xsi:type="xsd:double"&gt;83.89&lt;/D&gt;&lt;D xsi:type="xsd:double"&gt;83.87&lt;/D&gt;&lt;D xsi:type="xsd:double"&gt;83.91&lt;/D&gt;&lt;D xsi:type="xsd:double"&gt;83.87&lt;/D&gt;&lt;D xsi:type="xsd:double"&gt;84.12&lt;/D&gt;&lt;D xsi:type="xsd:double"&gt;84.17&lt;/D&gt;&lt;D xsi:type="xsd:double"&gt;84.18&lt;/D&gt;&lt;D xsi:type="xsd:double"&gt;84.11&lt;/D&gt;&lt;D xsi:type="xsd:double"&gt;84.12&lt;/D&gt;&lt;D xsi:type="xsd:double"&gt;84.03&lt;/D&gt;&lt;D xsi:type="xsd:double"&gt;83.89&lt;/D&gt;&lt;D xsi:type="xsd:double"&gt;83.89&lt;/D&gt;&lt;D xsi:type="xsd:double"&gt;83.77&lt;/D&gt;&lt;D xsi:type="xsd:double"&gt;83.78&lt;/D&gt;&lt;D xsi:type="xsd:double"&gt;83.8&lt;/D&gt;&lt;D xsi:type="xsd:double"&gt;83.77&lt;/D&gt;&lt;D xsi:type="xsd:double"&gt;83.75&lt;/D&gt;&lt;D xsi:type="xsd:double"&gt;83.74&lt;/D&gt;&lt;D xsi:type="xsd:double"&gt;83.71&lt;/D&gt;&lt;D xsi:type="xsd:double"&gt;83.73&lt;/D&gt;&lt;D xsi:type="xsd:double"&gt;83.7&lt;/D&gt;&lt;D xsi:type="xsd:double"&gt;83.63&lt;/D&gt;&lt;D xsi:type="xsd:double"&gt;83.57&lt;/D&gt;&lt;D xsi:type="xsd:double"&gt;83.56&lt;/D&gt;&lt;D xsi:type="xsd:double"&gt;83.54&lt;/D&gt;&lt;D xsi:type="xsd:double"&gt;83.75&lt;/D&gt;&lt;D xsi:type="xsd:double"&gt;83.77&lt;/D&gt;&lt;D xsi:type="xsd:double"&gt;83.79&lt;/D&gt;&lt;D xsi:type="xsd:double"&gt;83.75&lt;/D&gt;&lt;D xsi:type="xsd:double"&gt;83.76&lt;/D&gt;&lt;D xsi:type="xsd:double"&gt;83.7&lt;/D&gt;&lt;D xsi:type="xsd:double"&gt;83.725&lt;/D&gt;&lt;D xsi:type="xsd:double"&gt;83.74&lt;/D&gt;&lt;D xsi:type="xsd:double"&gt;83.68&lt;/D&gt;&lt;D xsi:type="xsd:double"&gt;83.72&lt;/D&gt;&lt;D xsi:type="xsd:double"&gt;83.61&lt;/D&gt;&lt;D xsi:type="xsd:double"&gt;83.67&lt;/D&gt;&lt;D xsi:type="xsd:double"&gt;83.68&lt;/D&gt;&lt;D xsi:type="xsd:double"&gt;83.71&lt;/D&gt;&lt;D xsi:type="xsd:double"&gt;83.68&lt;/D&gt;&lt;D xsi:type="xsd:double"&gt;83.62&lt;/D&gt;&lt;D xsi:type="xsd:double"&gt;83.58&lt;/D&gt;&lt;D xsi:type="xsd:double"&gt;83.58&lt;/D&gt;&lt;D xsi:type="xsd:double"&gt;83.58&lt;/D&gt;&lt;D xsi:type="xsd:double"&gt;83.83&lt;/D&gt;&lt;D xsi:type="xsd:double"&gt;83.76&lt;/D&gt;&lt;D xsi:type="xsd:double"&gt;83.65&lt;/D&gt;&lt;D xsi:type="xsd:double"&gt;83.61&lt;/D&gt;&lt;D xsi:type="xsd:double"&gt;83.6&lt;/D&gt;&lt;D xsi:type="xsd:double"&gt;83.66&lt;/D&gt;&lt;D xsi:type="xsd:double"&gt;83.59&lt;/D&gt;&lt;D xsi:type="xsd:double"&gt;83.61&lt;/D&gt;&lt;D xsi:type="xsd:double"&gt;83.54&lt;/D&gt;&lt;D xsi:type="xsd:double"&gt;83.61&lt;/D&gt;&lt;D xsi:type="xsd:double"&gt;83.62&lt;/D&gt;&lt;D xsi:type="xsd:double"&gt;83.64&lt;/D&gt;&lt;D xsi:type="xsd:double"&gt;83.61&lt;/D&gt;&lt;D xsi:type="xsd:double"&gt;83.61&lt;/D&gt;&lt;D xsi:type="xsd:double"&gt;83.56&lt;/D&gt;&lt;D xsi:type="xsd:double"&gt;83.55&lt;/D&gt;&lt;D xsi:type="xsd:double"&gt;83.51&lt;/D&gt;&lt;D xsi:type="xsd:double"&gt;83.56&lt;/D&gt;&lt;D xsi:type="xsd:double"&gt;83.62&lt;/D&gt;&lt;D xsi:type="xsd:double"&gt;83.8&lt;/D&gt;&lt;D xsi:type="xsd:double"&gt;83.63&lt;/D&gt;&lt;D xsi:type="xsd:double"&gt;83.62&lt;/D&gt;&lt;D xsi:type="xsd:double"&gt;83.59&lt;/D&gt;&lt;D xsi:type="xsd:double"&gt;83.47&lt;/D&gt;&lt;D xsi:type="xsd:double"&gt;83.38&lt;/D&gt;&lt;D xsi:type="xsd:double"&gt;83.46&lt;/D&gt;&lt;D xsi:type="xsd:double"&gt;83.39&lt;/D&gt;&lt;D xsi:type="xsd:double"&gt;83.33&lt;/D&gt;&lt;D xsi:type="xsd:double"&gt;83.34&lt;/D&gt;&lt;D xsi:type="xsd:double"&gt;83.32&lt;/D&gt;&lt;D xsi:type="xsd:double"&gt;83.39&lt;/D&gt;&lt;D xsi:type="xsd:double"&gt;83.305&lt;/D&gt;&lt;D xsi:type="xsd:double"&gt;83.26&lt;/D&gt;&lt;D xsi:type="xsd:double"&gt;83.18&lt;/D&gt;&lt;D xsi:type="xsd:double"&gt;83.19&lt;/D&gt;&lt;D xsi:type="xsd:double"&gt;83.27&lt;/D&gt;&lt;D xsi:type="xsd:double"&gt;83.27&lt;/D&gt;&lt;D xsi:type="xsd:double"&gt;83.18&lt;/D&gt;&lt;D xsi:type="xsd:double"&gt;83.1&lt;/D&gt;&lt;D xsi:type="xsd:double"&gt;83.04&lt;/D&gt;&lt;D xsi:type="xsd:double"&gt;83.25&lt;/D&gt;&lt;D xsi:type="xsd:double"&gt;83.22&lt;/D&gt;&lt;D xsi:type="xsd:double"&gt;83.2&lt;/D&gt;&lt;D xsi:type="xsd:double"&gt;83.17&lt;/D&gt;&lt;D xsi:type="xsd:double"&gt;83.16&lt;/D&gt;&lt;D xsi:type="xsd:double"&gt;83.15&lt;/D&gt;&lt;D xsi:type="xsd:double"&gt;83.17&lt;/D&gt;&lt;D xsi:type="xsd:double"&gt;83.17&lt;/D&gt;&lt;D xsi:type="xsd:double"&gt;83.19&lt;/D&gt;&lt;D xsi:type="xsd:double"&gt;83.12&lt;/D&gt;&lt;D xsi:type="xsd:double"&gt;83.06&lt;/D&gt;&lt;D xsi:type="xsd:double"&gt;83.02&lt;/D&gt;&lt;D xsi:type="xsd:double"&gt;82.96&lt;/D&gt;&lt;D xsi:type="xsd:double"&gt;82.95&lt;/D&gt;&lt;D xsi:type="xsd:double"&gt;82.89&lt;/D&gt;&lt;D xsi:type="xsd:double"&gt;82.85&lt;/D&gt;&lt;D xsi:type="xsd:double"&gt;82.86&lt;/D&gt;&lt;D xsi:type="xsd:double"&gt;82.89&lt;/D&gt;&lt;D xsi:type="xsd:double"&gt;82.91&lt;/D&gt;&lt;D xsi:type="xsd:double"&gt;82.88&lt;/D&gt;&lt;D xsi:type="xsd:double"&gt;82.98&lt;/D&gt;&lt;D xsi:type="xsd:double"&gt;83.08&lt;/D&gt;&lt;D xsi:type="xsd:double"&gt;83.12&lt;/D&gt;&lt;D xsi:type="xsd:double"&gt;83.16&lt;/D&gt;&lt;D xsi:type="xsd:double"&gt;83.13&lt;/D&gt;&lt;D xsi:type="xsd:double"&gt;83.08&lt;/D&gt;&lt;D xsi:type="xsd:double"&gt;83.11&lt;/D&gt;&lt;D xsi:type="xsd:double"&gt;82.98&lt;/D&gt;&lt;D xsi:type="xsd:double"&gt;82.93&lt;/D&gt;&lt;D xsi:type="xsd:double"&gt;82.95&lt;/D&gt;&lt;D xsi:type="xsd:double"&gt;83&lt;/D&gt;&lt;D xsi:type="xsd:double"&gt;82.945&lt;/D&gt;&lt;D xsi:type="xsd:double"&gt;82.95&lt;/D&gt;&lt;D xsi:type="xsd:double"&gt;82.98&lt;/D&gt;&lt;D xsi:type="xsd:double"&gt;82.95&lt;/D&gt;&lt;D xsi:type="xsd:double"&gt;82.95&lt;/D&gt;&lt;D xsi:type="xsd:double"&gt;82.92&lt;/D&gt;&lt;D xsi:type="xsd:double"&gt;82.9&lt;/D&gt;&lt;D xsi:type="xsd:double"&gt;82.87&lt;/D&gt;&lt;D xsi:type="xsd:double"&gt;82.89&lt;/D&gt;&lt;D xsi:type="xsd:double"&gt;82.9&lt;/D&gt;&lt;D xsi:type="xsd:double"&gt;82.92&lt;/D&gt;&lt;D xsi:type="xsd:double"&gt;82.96&lt;/D&gt;&lt;D xsi:type="xsd:double"&gt;82.93&lt;/D&gt;&lt;D xsi:type="xsd:double"&gt;83.09&lt;/D&gt;&lt;D xsi:type="xsd:double"&gt;83.05&lt;/D&gt;&lt;D xsi:type="xsd:double"&gt;83.05&lt;/D&gt;&lt;D xsi:type="xsd:double"&gt;83.04&lt;/D&gt;&lt;D xsi:type="xsd:double"&gt;83.03&lt;/D&gt;&lt;D xsi:type="xsd:double"&gt;83.03&lt;/D&gt;&lt;D xsi:type="xsd:double"&gt;83.05&lt;/D&gt;&lt;D xsi:type="xsd:double"&gt;83.02&lt;/D&gt;&lt;D xsi:type="xsd:double"&gt;83.04&lt;/D&gt;&lt;D xsi:type="xsd:double"&gt;83.05&lt;/D&gt;&lt;D xsi:type="xsd:double"&gt;83.07&lt;/D&gt;&lt;D xsi:type="xsd:double"&gt;83.1&lt;/D&gt;&lt;D xsi:type="xsd:double"&gt;83.09&lt;/D&gt;&lt;D xsi:type="xsd:double"&gt;83.09&lt;/D&gt;&lt;D xsi:type="xsd:double"&gt;83.14&lt;/D&gt;&lt;D xsi:type="xsd:double"&gt;83.13&lt;/D&gt;&lt;D xsi:type="xsd:double"&gt;83.22&lt;/D&gt;&lt;D xsi:type="xsd:double"&gt;83.19&lt;/D&gt;&lt;D xsi:type="xsd:double"&gt;83.19&lt;/D&gt;&lt;D xsi:type="xsd:double"&gt;83.34&lt;/D&gt;&lt;D xsi:type="xsd:double"&gt;83.32&lt;/D&gt;&lt;D xsi:type="xsd:double"&gt;83.26&lt;/D&gt;&lt;D xsi:type="xsd:double"&gt;83.27&lt;/D&gt;&lt;D xsi:type="xsd:double"&gt;83.3&lt;/D&gt;&lt;D xsi:type="xsd:double"&gt;83.33&lt;/D&gt;&lt;D xsi:type="xsd:double"&gt;83.32&lt;/D&gt;&lt;D xsi:type="xsd:double"&gt;83.33&lt;/D&gt;&lt;D xsi:type="xsd:double"&gt;83.31&lt;/D&gt;&lt;D xsi:type="xsd:double"&gt;83.33&lt;/D&gt;&lt;D xsi:type="xsd:double"&gt;83.28&lt;/D&gt;&lt;D xsi:type="xsd:double"&gt;83.25&lt;/D&gt;&lt;D xsi:type="xsd:double"&gt;83.27&lt;/D&gt;&lt;D xsi:type="xsd:double"&gt;83.23&lt;/D&gt;&lt;D xsi:type="xsd:double"&gt;83.23&lt;/D&gt;&lt;D xsi:type="xsd:double"&gt;83.25&lt;/D&gt;&lt;D xsi:type="xsd:double"&gt;83.17&lt;/D&gt;&lt;D xsi:type="xsd:double"&gt;83.12&lt;/D&gt;&lt;D xsi:type="xsd:double"&gt;83.11&lt;/D&gt;&lt;D xsi:type="xsd:double"&gt;83.14&lt;/D&gt;&lt;D xsi:type="xsd:double"&gt;83.12&lt;/D&gt;&lt;D xsi:type="xsd:double"&gt;83.11&lt;/D&gt;&lt;D xsi:type="xsd:double"&gt;83.06&lt;/D&gt;&lt;D xsi:type="xsd:double"&gt;83.19&lt;/D&gt;&lt;D xsi:type="xsd:double"&gt;83.19&lt;/D&gt;&lt;D xsi:type="xsd:double"&gt;83.19&lt;/D&gt;&lt;D xsi:type="xsd:double"&gt;83.18&lt;/D&gt;&lt;D xsi:type="xsd:double"&gt;83.18&lt;/D&gt;&lt;D xsi:type="xsd:double"&gt;83.21&lt;/D&gt;&lt;D xsi:type="xsd:double"&gt;83.2&lt;/D&gt;&lt;D xsi:type="xsd:double"&gt;83.25&lt;/D&gt;&lt;D xsi:type="xsd:double"&gt;83.25&lt;/D&gt;&lt;D xsi:type="xsd:double"&gt;83.21&lt;/D&gt;&lt;D xsi:type="xsd:double"&gt;83.215&lt;/D&gt;&lt;D xsi:type="xsd:double"&gt;83.23&lt;/D&gt;&lt;D xsi:type="xsd:double"&gt;83.25&lt;/D&gt;&lt;D xsi:type="xsd:double"&gt;83.23&lt;/D&gt;&lt;D xsi:type="xsd:double"&gt;83.24&lt;/D&gt;&lt;D xsi:type="xsd:double"&gt;83.21&lt;/D&gt;&lt;D xsi:type="xsd:double"&gt;83.22&lt;/D&gt;&lt;D xsi:type="xsd:double"&gt;83.27&lt;/D&gt;&lt;D xsi:type="xsd:double"&gt;83.25&lt;/D&gt;&lt;D xsi:type="xsd:double"&gt;83.26&lt;/D&gt;&lt;D xsi:type="xsd:double"&gt;83.23&lt;/D&gt;&lt;D xsi:type="xsd:double"&gt;83.37&lt;/D&gt;&lt;D xsi:type="xsd:double"&gt;83.39&lt;/D&gt;&lt;D xsi:type="xsd:double"&gt;83.39&lt;/D&gt;&lt;D xsi:type="xsd:double"&gt;83.34&lt;/D&gt;&lt;D xsi:type="xsd:double"&gt;83.34&lt;/D&gt;&lt;D xsi:type="xsd:double"&gt;83.31&lt;/D&gt;&lt;D xsi:type="xsd:double"&gt;83.3&lt;/D&gt;&lt;D xsi:type="xsd:double"&gt;83.25&lt;/D&gt;&lt;D xsi:type="xsd:double"&gt;83.29&lt;/D&gt;&lt;D xsi:type="xsd:double"&gt;83.26&lt;/D&gt;&lt;D xsi:type="xsd:double"&gt;83.24&lt;/D&gt;&lt;D xsi:type="xsd:double"&gt;83.2&lt;/D&gt;&lt;D xsi:type="xsd:double"&gt;83.17&lt;/D&gt;&lt;D xsi:type="xsd:double"&gt;83.21&lt;/D&gt;&lt;D xsi:type="xsd:double"&gt;83.25&lt;/D&gt;&lt;D xsi:type="xsd:double"&gt;83.28&lt;/D&gt;&lt;D xsi:type="xsd:double"&gt;83.3&lt;/D&gt;&lt;D xsi:type="xsd:double"&gt;83.22&lt;/D&gt;&lt;D xsi:type="xsd:double"&gt;83.25&lt;/D&gt;&lt;D xsi:type="xsd:double"&gt;83.2&lt;/D&gt;&lt;D xsi:type="xsd:double"&gt;83.27&lt;/D&gt;&lt;D xsi:type="xsd:double"&gt;83.46&lt;/D&gt;&lt;D xsi:type="xsd:double"&gt;83.5&lt;/D&gt;&lt;D xsi:type="xsd:double"&gt;83.6&lt;/D&gt;&lt;D xsi:type="xsd:double"&gt;83.36&lt;/D&gt;&lt;D xsi:type="xsd:double"&gt;83.29&lt;/D&gt;&lt;D xsi:type="xsd:double"&gt;83.24&lt;/D&gt;&lt;D xsi:type="xsd:double"&gt;83.17&lt;/D&gt;&lt;D xsi:type="xsd:double"&gt;83.17&lt;/D&gt;&lt;D xsi:type="xsd:double"&gt;83.17&lt;/D&gt;&lt;D xsi:type="xsd:double"&gt;83.13&lt;/D&gt;&lt;D xsi:type="xsd:double"&gt;83.11&lt;/D&gt;&lt;D xsi</t>
        </r>
      </text>
    </comment>
    <comment ref="A27" authorId="0" shapeId="0" xr:uid="{BB622D86-1D0A-49FA-A523-6ECF61F2A768}">
      <text>
        <r>
          <rPr>
            <b/>
            <sz val="9"/>
            <color indexed="81"/>
            <rFont val="Tahoma"/>
            <charset val="1"/>
          </rPr>
          <t>:type="xsd:double"&gt;83.11&lt;/D&gt;&lt;D xsi:type="xsd:double"&gt;83.16&lt;/D&gt;&lt;D xsi:type="xsd:double"&gt;83.16&lt;/D&gt;&lt;D xsi:type="xsd:double"&gt;83.16&lt;/D&gt;&lt;D xsi:type="xsd:double"&gt;83.16&lt;/D&gt;&lt;D xsi:type="xsd:double"&gt;83.195&lt;/D&gt;&lt;D xsi:type="xsd:double"&gt;83.19&lt;/D&gt;&lt;D xsi:type="xsd:double"&gt;83.19&lt;/D&gt;&lt;D xsi:type="xsd:double"&gt;83.22&lt;/D&gt;&lt;D xsi:type="xsd:double"&gt;83.16&lt;/D&gt;&lt;D xsi:type="xsd:double"&gt;83.13&lt;/D&gt;&lt;D xsi:type="xsd:double"&gt;83.27&lt;/D&gt;&lt;D xsi:type="xsd:double"&gt;83.3&lt;/D&gt;&lt;D xsi:type="xsd:double"&gt;83.275&lt;/D&gt;&lt;D xsi:type="xsd:double"&gt;83.26&lt;/D&gt;&lt;D xsi:type="xsd:double"&gt;83.27&lt;/D&gt;&lt;D xsi:type="xsd:double"&gt;83.25&lt;/D&gt;&lt;D xsi:type="xsd:double"&gt;83.26&lt;/D&gt;&lt;D xsi:type="xsd:double"&gt;83.29&lt;/D&gt;&lt;D xsi:type="xsd:double"&gt;83.29&lt;/D&gt;&lt;D xsi:type="xsd:double"&gt;83.36&lt;/D&gt;&lt;D xsi:type="xsd:double"&gt;83.36&lt;/D&gt;&lt;D xsi:type="xsd:double"&gt;83.37&lt;/D&gt;&lt;D xsi:type="xsd:double"&gt;83.39&lt;/D&gt;&lt;D xsi:type="xsd:double"&gt;83.44&lt;/D&gt;&lt;D xsi:type="xsd:double"&gt;83.44&lt;/D&gt;&lt;D xsi:type="xsd:double"&gt;83.48&lt;/D&gt;&lt;D xsi:type="xsd:double"&gt;83.49&lt;/D&gt;&lt;D xsi:type="xsd:double"&gt;83.42&lt;/D&gt;&lt;D xsi:type="xsd:double"&gt;83.4&lt;/D&gt;&lt;D xsi:type="xsd:double"&gt;83.45&lt;/D&gt;&lt;D xsi:type="xsd:double"&gt;83.49&lt;/D&gt;&lt;D xsi:type="xsd:double"&gt;83.56&lt;/D&gt;&lt;D xsi:type="xsd:double"&gt;83.53&lt;/D&gt;&lt;D xsi:type="xsd:double"&gt;83.52&lt;/D&gt;&lt;D xsi:type="xsd:double"&gt;83.46&lt;/D&gt;&lt;D xsi:type="xsd:double"&gt;83.5&lt;/D&gt;&lt;D xsi:type="xsd:double"&gt;83.48&lt;/D&gt;&lt;D xsi:type="xsd:double"&gt;83.44&lt;/D&gt;&lt;D xsi:type="xsd:double"&gt;83.38&lt;/D&gt;&lt;D xsi:type="xsd:double"&gt;83.41&lt;/D&gt;&lt;D xsi:type="xsd:double"&gt;83.41&lt;/D&gt;&lt;D xsi:type="xsd:double"&gt;83.45&lt;/D&gt;&lt;D xsi:type="xsd:double"&gt;83.44&lt;/D&gt;&lt;D xsi:type="xsd:double"&gt;83.45&lt;/D&gt;&lt;D xsi:type="xsd:double"&gt;83.43&lt;/D&gt;&lt;D xsi:type="xsd:double"&gt;83.39&lt;/D&gt;&lt;D xsi:type="xsd:double"&gt;83.43&lt;/D&gt;&lt;D xsi:type="xsd:double"&gt;83.41&lt;/D&gt;&lt;D xsi:type="xsd:double"&gt;83.41&lt;/D&gt;&lt;D xsi:type="xsd:double"&gt;83.425&lt;/D&gt;&lt;D xsi:type="xsd:double"&gt;83.43&lt;/D&gt;&lt;D xsi:type="xsd:double"&gt;83.47&lt;/D&gt;&lt;D xsi:type="xsd:double"&gt;83.44&lt;/D&gt;&lt;D xsi:type="xsd:double"&gt;83.42&lt;/D&gt;&lt;D xsi:type="xsd:double"&gt;83.48&lt;/D&gt;&lt;D xsi:type="xsd:double"&gt;83.47&lt;/D&gt;&lt;D xsi:type="xsd:double"&gt;83.45&lt;/D&gt;&lt;D xsi:type="xsd:double"&gt;83.44&lt;/D&gt;&lt;D xsi:type="xsd:double"&gt;83.43&lt;/D&gt;&lt;D xsi:type="xsd:double"&gt;83.44&lt;/D&gt;&lt;D xsi:type="xsd:double"&gt;83.42&lt;/D&gt;&lt;D xsi:type="xsd:double"&gt;83.45&lt;/D&gt;&lt;D xsi:type="xsd:double"&gt;83.57&lt;/D&gt;&lt;D xsi:type="xsd:double"&gt;83.57&lt;/D&gt;&lt;D xsi:type="xsd:double"&gt;83.61&lt;/D&gt;&lt;D xsi:type="xsd:double"&gt;83.54&lt;/D&gt;&lt;D xsi:type="xsd:double"&gt;83.53&lt;/D&gt;&lt;D xsi:type="xsd:double"&gt;83.59&lt;/D&gt;&lt;D xsi:type="xsd:double"&gt;83.65&lt;/D&gt;&lt;D xsi:type="xsd:double"&gt;83.5&lt;/D&gt;&lt;D xsi:type="xsd:double"&gt;83.49&lt;/D&gt;&lt;D xsi:type="xsd:double"&gt;83.61&lt;/D&gt;&lt;D xsi:type="xsd:double"&gt;83.61&lt;/D&gt;&lt;D xsi:type="xsd:double"&gt;83.6&lt;/D&gt;&lt;D xsi:type="xsd:double"&gt;83.63&lt;/D&gt;&lt;D xsi:type="xsd:double"&gt;83.68&lt;/D&gt;&lt;D xsi:type="xsd:double"&gt;83.7&lt;/D&gt;&lt;D xsi:type="xsd:double"&gt;83.72&lt;/D&gt;&lt;D xsi:type="xsd:double"&gt;83.67&lt;/D&gt;&lt;D xsi:type="xsd:double"&gt;83.71&lt;/D&gt;&lt;D xsi:type="xsd:double"&gt;83.68&lt;/D&gt;&lt;D xsi:type="xsd:double"&gt;83.7&lt;/D&gt;&lt;D xsi:type="xsd:double"&gt;83.73&lt;/D&gt;&lt;D xsi:type="xsd:double"&gt;83.74&lt;/D&gt;&lt;D xsi:type="xsd:double"&gt;83.75&lt;/D&gt;&lt;D xsi:type="xsd:double"&gt;83.78&lt;/D&gt;&lt;D xsi:type="xsd:double"&gt;83.75&lt;/D&gt;&lt;D xsi:type="xsd:double"&gt;83.78&lt;/D&gt;&lt;D xsi:type="xsd:double"&gt;83.78&lt;/D&gt;&lt;D xsi:type="xsd:double"&gt;83.78&lt;/D&gt;&lt;D xsi:type="xsd:double"&gt;83.82&lt;/D&gt;&lt;D xsi:type="xsd:double"&gt;83.82&lt;/D&gt;&lt;D xsi:type="xsd:double"&gt;83.85&lt;/D&gt;&lt;D xsi:type="xsd:double"&gt;83.83&lt;/D&gt;&lt;D xsi:type="xsd:double"&gt;83.82&lt;/D&gt;&lt;D xsi:type="xsd:double"&gt;83.78&lt;/D&gt;&lt;D xsi:type="xsd:double"&gt;83.79&lt;/D&gt;&lt;D xsi:type="xsd:double"&gt;83.82&lt;/D&gt;&lt;D xsi:type="xsd:double"&gt;83.92&lt;/D&gt;&lt;D xsi:type="xsd:double"&gt;83.91&lt;/D&gt;&lt;D xsi:type="xsd:double"&gt;83.95&lt;/D&gt;&lt;D xsi:type="xsd:double"&gt;83.95&lt;/D&gt;&lt;D xsi:type="xsd:double"&gt;83.99&lt;/D&gt;&lt;D xsi:type="xsd:double"&gt;84.02&lt;/D&gt;&lt;D xsi:type="xsd:double"&gt;83.93&lt;/D&gt;&lt;D xsi:type="xsd:double"&gt;83.93&lt;/D&gt;&lt;D xsi:type="xsd:double"&gt;83.97&lt;/D&gt;&lt;D xsi:type="xsd:double"&gt;83.97&lt;/D&gt;&lt;D xsi:type="xsd:double"&gt;83.96&lt;/D&gt;&lt;D xsi:type="xsd:double"&gt;83.92&lt;/D&gt;&lt;D xsi:type="xsd:double"&gt;83.93&lt;/D&gt;&lt;D xsi:type="xsd:double"&gt;83.98&lt;/D&gt;&lt;D xsi:type="xsd:double"&gt;84.04&lt;/D&gt;&lt;D xsi:type="xsd:double"&gt;84.085&lt;/D&gt;&lt;D xsi:type="xsd:double"&gt;84.11&lt;/D&gt;&lt;D xsi:type="xsd:double"&gt;84.1&lt;/D&gt;&lt;D xsi:type="xsd:double"&gt;84.1&lt;/D&gt;&lt;D xsi:type="xsd:double"&gt;84.1&lt;/D&gt;&lt;D xsi:type="xsd:double"&gt;84.03&lt;/D&gt;&lt;D xsi:type="xsd:double"&gt;84.05&lt;/D&gt;&lt;D xsi:type="xsd:double"&gt;84.08&lt;/D&gt;&lt;D xsi:type="xsd:double"&gt;84.13&lt;/D&gt;&lt;D xsi:type="xsd:double"&gt;84.12&lt;/D&gt;&lt;D xsi:type="xsd:double"&gt;84.15&lt;/D&gt;&lt;D xsi:type="xsd:double"&gt;84.13&lt;/D&gt;&lt;D xsi:type="xsd:double"&gt;84.14&lt;/D&gt;&lt;D xsi:type="xsd:double"&gt;84.17&lt;/D&gt;&lt;D xsi:type="xsd:double"&gt;84.18&lt;/D&gt;&lt;D xsi:type="xsd:double"&gt;84.19&lt;/D&gt;&lt;D xsi:type="xsd:double"&gt;84.23&lt;/D&gt;&lt;D xsi:type="xsd:double"&gt;84.18&lt;/D&gt;&lt;D xsi:type="xsd:double"&gt;84.23&lt;/D&gt;&lt;D xsi:type="xsd:double"&gt;84.21&lt;/D&gt;&lt;D xsi:type="xsd:double"&gt;84.3&lt;/D&gt;&lt;D xsi:type="xsd:double"&gt;84.35&lt;/D&gt;&lt;D xsi:type="xsd:double"&gt;84.31&lt;/D&gt;&lt;D xsi:type="xsd:double"&gt;84.25&lt;/D&gt;&lt;D xsi:type="xsd:double"&gt;84.25&lt;/D&gt;&lt;D xsi:type="xsd:double"&gt;84.27&lt;/D&gt;&lt;D xsi:type="xsd:double"&gt;84.29&lt;/D&gt;&lt;D xsi:type="xsd:double"&gt;84.29&lt;/D&gt;&lt;D xsi:type="xsd:double"&gt;84.34&lt;/D&gt;&lt;D xsi:type="xsd:double"&gt;84.29&lt;/D&gt;&lt;D xsi:type="xsd:double"&gt;84.32&lt;/D&gt;&lt;D xsi:type="xsd:double"&gt;84.31&lt;/D&gt;&lt;D xsi:type="xsd:double"&gt;84.39&lt;/D&gt;&lt;D xsi:type="xsd:double"&gt;84.34&lt;/D&gt;&lt;D xsi:type="xsd:double"&gt;84.35&lt;/D&gt;&lt;D xsi:type="xsd:double"&gt;84.36&lt;/D&gt;&lt;D xsi:type="xsd:double"&gt;84.34&lt;/D&gt;&lt;D xsi:type="xsd:double"&gt;84.34&lt;/D&gt;&lt;D xsi:type="xsd:double"&gt;84.37&lt;/D&gt;&lt;D xsi:type="xsd:double"&gt;84.55&lt;/D&gt;&lt;D xsi:type="xsd:double"&gt;84.39&lt;/D&gt;&lt;D xsi:type="xsd:double"&gt;84.44&lt;/D&gt;&lt;D xsi:type="xsd:double"&gt;84.45&lt;/D&gt;&lt;D xsi:type="xsd:double"&gt;84.47&lt;/D&gt;&lt;D xsi:type="xsd:double"&gt;84.46&lt;/D&gt;&lt;D xsi:type="xsd:double"&gt;84.47&lt;/D&gt;&lt;D xsi:type="xsd:double"&gt;84.49&lt;/D&gt;&lt;D xsi:type="xsd:double"&gt;84.44&lt;/D&gt;&lt;D xsi:type="xsd:double"&gt;84.42&lt;/D&gt;&lt;D xsi:type="xsd:double"&gt;84.44&lt;/D&gt;&lt;D xsi:type="xsd:double"&gt;84.51&lt;/D&gt;&lt;D xsi:type="xsd:double"&gt;84.5&lt;/D&gt;&lt;D xsi:type="xsd:double"&gt;84.55&lt;/D&gt;&lt;D xsi:type="xsd:double"&gt;84.56&lt;/D&gt;&lt;D xsi:type="xsd:double"&gt;84.55&lt;/D&gt;&lt;D xsi:type="xsd:double"&gt;84.57&lt;/D&gt;&lt;D xsi:type="xsd:double"&gt;84.61&lt;/D&gt;&lt;D xsi:type="xsd:double"&gt;84.69&lt;/D&gt;&lt;D xsi:type="xsd:double"&gt;84.71&lt;/D&gt;&lt;D xsi:type="xsd:double"&gt;84.66&lt;/D&gt;&lt;D xsi:type="xsd:double"&gt;84.67&lt;/D&gt;&lt;D xsi:type="xsd:double"&gt;84.59&lt;/D&gt;&lt;D xsi:type="xsd:double"&gt;84.68&lt;/D&gt;&lt;D xsi:type="xsd:double"&gt;84.68&lt;/D&gt;&lt;D xsi:type="xsd:double"&gt;84.66&lt;/D&gt;&lt;D xsi:type="xsd:double"&gt;84.62&lt;/D&gt;&lt;D xsi:type="xsd:double"&gt;84.65&lt;/D&gt;&lt;D xsi:type="xsd:double"&gt;84.62&lt;/D&gt;&lt;D xsi:type="xsd:double"&gt;84.7&lt;/D&gt;&lt;D xsi:type="xsd:double"&gt;84.62&lt;/D&gt;&lt;D xsi:type="xsd:double"&gt;84.63&lt;/D&gt;&lt;D xsi:type="xsd:double"&gt;84.61&lt;/D&gt;&lt;/FQL&gt;&lt;FQL&gt;&lt;Q&gt;SP50^FG_PRICE(0,-7AY)&lt;/Q&gt;&lt;R&gt;1762&lt;/R&gt;&lt;C&gt;1&lt;/C&gt;&lt;D xsi:type="xsd:double"&gt;5597.12&lt;/D&gt;&lt;D xsi:type="xsd:double"&gt;5608.25&lt;/D&gt;&lt;D xsi:type="xsd:double"&gt;5554.25&lt;/D&gt;&lt;D xsi:type="xsd:double"&gt;5543.22&lt;/D&gt;&lt;D xsi:type="xsd:double"&gt;5455.21&lt;/D&gt;&lt;D xsi:type="xsd:double"&gt;5434.43&lt;/D&gt;&lt;D xsi:type="xsd:double"&gt;5344.39&lt;/D&gt;&lt;D xsi:type="xsd:double"&gt;5344.16&lt;/D&gt;&lt;D xsi:type="xsd:double"&gt;5319.31&lt;/D&gt;&lt;D xsi:type="xsd:double"&gt;5199.5&lt;/D&gt;&lt;D xsi:type="xsd:double"&gt;5240.03&lt;/D&gt;&lt;D xsi:type="xsd:double"&gt;5186.33&lt;/D&gt;&lt;D xsi:type="xsd:double"&gt;5346.56&lt;/D&gt;&lt;D xsi:type="xsd:double"&gt;5446.68&lt;/D&gt;&lt;D xsi:type="xsd:double"&gt;5522.3&lt;/D&gt;&lt;D xsi:type="xsd:double"&gt;5436.44&lt;/D&gt;&lt;D xsi:type="xsd:double"&gt;5463.54&lt;/D&gt;&lt;D xsi:type="xsd:double"&gt;5459.1&lt;/D&gt;&lt;D xsi:type="xsd:double"&gt;5399.22&lt;/D&gt;&lt;D xsi:type="xsd:double"&gt;5427.13&lt;/D&gt;&lt;D xsi:type="xsd:double"&gt;5555.74&lt;/D&gt;&lt;D xsi:type="xsd:double"&gt;5564.41&lt;/D&gt;&lt;D xsi:type="xsd:double"&gt;5505&lt;/D&gt;&lt;D xsi:type="xsd:double"&gt;5544.59&lt;/D&gt;&lt;D xsi:type="xsd:double"&gt;5588.27&lt;/D&gt;&lt;D xsi:type="xsd:double"&gt;5667.2&lt;/D&gt;&lt;D xsi:type="xsd:double"&gt;5631.22&lt;/D&gt;&lt;D xsi:type="xsd:double"&gt;5615.35&lt;/D&gt;&lt;D xsi:type="xsd:double"&gt;5584.54&lt;/D&gt;&lt;D xsi:type="xsd:double"&gt;5633.91&lt;/D&gt;&lt;D xsi:type="xsd:double"&gt;5576.98&lt;/D&gt;&lt;D xsi:type="xsd:double"&gt;5572.85&lt;/D&gt;&lt;D xsi:type="xsd:double"&gt;5567.19&lt;/D&gt;&lt;D xsi:type="xsd:double"&gt;5537.02&lt;/D&gt;&lt;D xsi:type="xsd:double"&gt;5509.01&lt;/D&gt;&lt;D xsi:type="xsd:double"&gt;5475.09&lt;/D&gt;&lt;D xsi:type="xsd:double"&gt;5460.48&lt;/D&gt;&lt;D xsi:type="xsd:double"&gt;5482.87&lt;/D&gt;&lt;D xsi:type="xsd:double"&gt;5477.9&lt;/D&gt;&lt;D xsi:type="xsd:double"&gt;5469.3&lt;/D&gt;&lt;D xsi:type="xsd:double"&gt;5447.87&lt;/D&gt;&lt;D xsi:type="xsd:double"&gt;5464.62&lt;/D&gt;&lt;D xsi:type="xsd:double"&gt;5473.17&lt;/D&gt;&lt;D xsi:type="xsd:double"&gt;5487.03&lt;/D&gt;&lt;D xsi:type="xsd:double"&gt;5473.23&lt;/D&gt;&lt;D xsi:type="xsd:double"&gt;5431.6&lt;/D&gt;&lt;D xsi:type="xsd:double"&gt;5433.74&lt;/D&gt;&lt;D xsi:type="xsd:double"&gt;5421.03&lt;/D&gt;&lt;D xsi:type="xsd:double"&gt;5375.32&lt;/D&gt;&lt;D xsi:type="xsd:double"&gt;5360.79&lt;/D&gt;&lt;D xsi:type="xsd:double"&gt;5346.99&lt;/D&gt;&lt;D xsi:type="xsd:double"&gt;5352.96&lt;/D&gt;&lt;D xsi:type="xsd:double"&gt;5354.03&lt;/D&gt;&lt;D xsi:type="xsd:double"&gt;5291.34&lt;/D&gt;&lt;D xsi:type="xsd:double"&gt;5283.4&lt;/D&gt;&lt;D xsi:type="xsd:double"&gt;5277.51&lt;/D&gt;&lt;D xsi:type="xsd:double"&gt;5235.48&lt;/D&gt;&lt;D xsi:type="xsd:double"&gt;5266.95&lt;/D&gt;&lt;D xsi:type="xsd:double"&gt;5306.04&lt;/D&gt;&lt;D xsi:type="xsd:double"&gt;5304.72&lt;/D&gt;&lt;D xsi:type="xsd:double"&gt;5267.84&lt;/D&gt;&lt;D xsi:type="xsd:double"&gt;5307.01&lt;/D&gt;&lt;D xsi:type="xsd:double"&gt;5321.41&lt;/D&gt;&lt;D xsi:type="xsd:double"&gt;5308.13&lt;/D&gt;&lt;D xsi:type="xsd:double"&gt;5303.27&lt;/D&gt;&lt;D xsi:type="xsd:double"&gt;5297.1&lt;/D&gt;&lt;D xsi:type="xsd:double"&gt;5308.15&lt;/D&gt;&lt;D xsi:type="xsd:double"&gt;5246.68&lt;/D&gt;&lt;D xsi:type="xsd:double"&gt;5221.42&lt;/D&gt;&lt;D xsi:type="xsd:double"&gt;5222.68&lt;/D&gt;&lt;D xsi:type="xsd:double"&gt;5214.08&lt;/D&gt;&lt;D xsi:type="xsd:double"&gt;5187.67&lt;/D&gt;&lt;D xsi:type="xsd:double"&gt;5187.7&lt;/D&gt;&lt;D xsi:type="xsd:double"&gt;5180.74&lt;/D&gt;&lt;D xsi:type="xsd:double"&gt;5127.79&lt;/D&gt;&lt;D xsi:type="xsd:double"&gt;5064.2&lt;/D&gt;&lt;D xsi:type="xsd:double"&gt;5018.39&lt;/D&gt;&lt;D xsi:type="xsd:double"&gt;5035.69&lt;/D&gt;&lt;D xsi:type="xsd:double"&gt;5116.17&lt;/D&gt;&lt;D xsi:type="xsd:double"&gt;5099.96&lt;/D&gt;&lt;D xsi:type="xsd:double"&gt;5048.42&lt;/D&gt;&lt;D xsi:type="xsd:double"&gt;5071.63&lt;/D&gt;&lt;D xsi:type="xsd:double"&gt;5070.55&lt;/D&gt;&lt;D xsi:type="xsd:double"&gt;5010.6&lt;/D&gt;&lt;D xsi:type="xsd:double"&gt;4967.23&lt;/D&gt;&lt;D xsi:type="xsd:double"&gt;5011.12&lt;/D&gt;&lt;D xsi:type="xsd:double"&gt;5022.21&lt;/D&gt;&lt;D xsi:type="xsd:double"&gt;5051.41&lt;/D&gt;&lt;D xsi:type="xsd:double"&gt;5061.82&lt;/D&gt;&lt;D xsi:type="xsd:double"&gt;5123.41&lt;/D&gt;&lt;D xsi:type="xsd:double"&gt;5199.06&lt;/D&gt;&lt;D xsi:type="xsd:double"&gt;5160.64&lt;/D&gt;&lt;D xsi:type="xsd:double"&gt;5209.91&lt;/D&gt;&lt;D xsi:type="xsd:double"&gt;5202.39&lt;/D&gt;&lt;D xsi:type="xsd:double"&gt;5204.34&lt;/D&gt;&lt;D xsi:type="xsd:double"&gt;5147.21&lt;/D&gt;&lt;D xsi:type="xsd:double"&gt;5211.49&lt;/D&gt;&lt;D xsi:type="xsd:double"&gt;5205.81&lt;/D&gt;&lt;D xsi:type="xsd:double"&gt;5243.77&lt;/D&gt;&lt;D xsi:type="xsd:double"&gt;5254.35&lt;/D&gt;&lt;D xsi:type="xsd:double"&gt;5248.49&lt;/D&gt;&lt;D xsi:type="xsd:double"&gt;5203.58&lt;/D&gt;&lt;D xsi:type="xsd:double"&gt;5218.19&lt;/D&gt;&lt;D xsi:type="xsd:double"&gt;5234.18&lt;/D&gt;&lt;D xsi:type="xsd:double"&gt;5241.53&lt;/D&gt;&lt;D xsi:type="xsd:double"&gt;5224.62&lt;/D&gt;&lt;D xsi:type="xsd:double"&gt;5178.51&lt;/D&gt;&lt;D xsi:type="xsd:double"&gt;5149.42&lt;/D&gt;&lt;D xsi:type="xsd:double"&gt;5117.09&lt;/D&gt;&lt;D xsi:type="xsd:double"&gt;5150.48&lt;/D&gt;&lt;D xsi:type="xsd:double"&gt;5165.31&lt;/D&gt;&lt;D xsi:type="xsd:double"&gt;5175.27&lt;/D&gt;&lt;D xsi:type="xsd:double"&gt;5117.94&lt;/D&gt;&lt;D xsi:type="xsd:double"&gt;5123.69&lt;/D&gt;&lt;D xsi:type="xsd:double"&gt;5157.36&lt;/D&gt;&lt;D xsi:type="xsd:double"&gt;5104.76&lt;/D&gt;&lt;D xsi:type="xsd:double"&gt;5078.65&lt;/D&gt;&lt;D xsi:type="xsd:double"&gt;5130.95&lt;/D&gt;&lt;D xsi:type="xsd:double"&gt;5137.08&lt;/D&gt;&lt;D xsi:type="xsd:double"&gt;5096.27&lt;/D&gt;&lt;D xsi:type="xsd:double"&gt;5069.76&lt;/D&gt;&lt;D xsi:type="xsd:double"&gt;5078.18&lt;/D&gt;&lt;D xsi:type="xsd:double"&gt;5069.53&lt;/D&gt;&lt;D xsi:type="xsd:double"&gt;5088.8&lt;/D&gt;&lt;D xsi:type="xsd:double"&gt;5087.03&lt;/D&gt;&lt;D xsi:type="xsd:double"&gt;4981.8&lt;/D&gt;&lt;D xsi:type="xsd:double"&gt;4975.51&lt;/D&gt;&lt;D xsi:type="xsd:double"&gt;5005.57&lt;/D&gt;&lt;D xsi:type="xsd:double"&gt;5029.73&lt;/D&gt;&lt;D xsi:type="xsd:double"&gt;5000.62&lt;/D&gt;&lt;D xsi:type="xsd:double"&gt;4953.17&lt;/D&gt;&lt;D xsi:type="xsd:double"&gt;5021.84&lt;/D&gt;&lt;D xsi:type="xsd:double"&gt;5026.61&lt;/D&gt;&lt;D xsi:type="xsd:double"&gt;4997.91&lt;/D&gt;&lt;D xsi:type="xsd:double"&gt;4995.06&lt;/D&gt;&lt;D xsi:type="xsd:double"&gt;4954.23&lt;/D&gt;&lt;D xsi:type="xsd:double"&gt;4942.81&lt;/D&gt;&lt;D xsi:type="xsd:double"&gt;4958.61&lt;/D&gt;&lt;D xsi:type="xsd:double"&gt;4906.19&lt;/D&gt;&lt;D xsi:type="xsd:double"&gt;4845.65&lt;/D&gt;&lt;D xsi:type="xsd:double"&gt;4924.97&lt;/D&gt;&lt;D xsi:type="xsd:double"&gt;4927.93&lt;/D&gt;&lt;D xsi:type="xsd:double"&gt;4890.97&lt;/D&gt;&lt;D xsi:type="xsd:double"&gt;4894.16&lt;/D&gt;&lt;D xsi:type="xsd:double"&gt;4868.55&lt;/D&gt;&lt;D xsi:type="xsd:double"&gt;4864.6&lt;/D&gt;&lt;D xsi:type="xsd:double"&gt;4850.43&lt;/D&gt;&lt;D xsi:type="xsd:double"&gt;4839.81&lt;/D&gt;&lt;D xsi:type="xsd:double"&gt;4780.94&lt;/D&gt;&lt;D xsi:type="xsd:double"&gt;4739.21&lt;/D&gt;&lt;D xsi:type="xsd:double"&gt;4765.98&lt;/D&gt;&lt;D xsi:type="xsd:double"&gt;4783.83&lt;/D&gt;&lt;D xsi:type="xsd:double"&gt;4780.24&lt;/D&gt;&lt;D xsi:type="xsd:double"&gt;4783.45&lt;/D&gt;&lt;D xsi:type="xsd:double"&gt;4756.5&lt;/D&gt;&lt;D xsi:type="xsd:double"&gt;4763.54&lt;/D&gt;&lt;D xsi:type="xsd:double"&gt;4697.24&lt;/D&gt;&lt;D xsi:type="xsd:double"&gt;4688.68&lt;/D&gt;&lt;D xsi:type="xsd:double"&gt;4704.81&lt;/D&gt;&lt;D xsi:type="xsd:double"&gt;4742.83&lt;/D&gt;&lt;D xsi:type="xsd:double"&gt;4769.83&lt;/D&gt;&lt;D xsi:type="xsd:double"&gt;4783.35&lt;/D&gt;&lt;D xsi:type="xsd:double"&gt;4781.58&lt;/D&gt;&lt;D xsi:type="xsd:double"&gt;4774.75&lt;/D&gt;&lt;D xsi:type="xsd:double"&gt;4754.63&lt;/D&gt;&lt;D xsi:type="xsd:double"&gt;4746.75&lt;/D&gt;&lt;D xsi:type="xsd:double"&gt;4698.35&lt;/D&gt;&lt;D xsi:type="xsd:double"&gt;4768.37&lt;/D&gt;&lt;D xsi:type="xsd:double"&gt;4740.56&lt;/D&gt;&lt;D xsi:type="xsd:double"&gt;4719.19&lt;/D&gt;&lt;D xsi:type="xsd:double"&gt;4719.55&lt;/D&gt;&lt;D xsi:type="xsd:double"&gt;4707.09&lt;/D&gt;&lt;D xsi:type="xsd:double"&gt;4643.7&lt;/D&gt;&lt;D xsi:type="xsd:double"&gt;4622.44&lt;/D&gt;&lt;D xsi:type="xsd:double"&gt;4604.37&lt;/D&gt;&lt;D xsi:type="xsd:double"&gt;4585.59&lt;/D&gt;&lt;D xsi:type="xsd:double"&gt;4549.34&lt;/D&gt;&lt;D xsi:type="xsd:double"&gt;4567.18&lt;/D&gt;&lt;D xsi:type="xsd:double"&gt;4569.78&lt;/D&gt;&lt;D xsi:type="xsd:double"&gt;4594.63&lt;/D&gt;&lt;D xsi:type="xsd:double"&gt;4567.8&lt;/D&gt;&lt;D xsi:type="xsd:double"&gt;4550.58&lt;/D&gt;&lt;D xsi:type="xsd:double"&gt;4554.89&lt;/D&gt;&lt;D xsi:type="xsd:double"&gt;4550.43&lt;/D&gt;&lt;D xsi:type="xsd:double"&gt;4559.34&lt;/D&gt;&lt;D xsi:type="xsd:double"&gt;4556.62&lt;/D&gt;&lt;D xsi:type="xsd:double"&gt;4538.19&lt;/D&gt;&lt;D xsi:type="xsd:double"&gt;4547.38&lt;/D&gt;&lt;D xsi:type="xsd:double"&gt;4514.02&lt;/D&gt;&lt;D xsi:type="xsd:double"&gt;4508.24&lt;/D&gt;&lt;D xsi:type="xsd:double"&gt;4502.88&lt;/D&gt;&lt;D xsi:type="xsd:double"&gt;4495.7&lt;/D&gt;&lt;D xsi:type="xsd:double"&gt;4411.55&lt;/D&gt;&lt;D xsi:type="xsd:double"&gt;4415.24&lt;/D&gt;&lt;D xsi:type="xsd:double"&gt;4347.35&lt;/D&gt;&lt;D xsi:type="xsd:double"&gt;4382.78&lt;/D&gt;&lt;D xsi:type="xsd:double"&gt;4378.38&lt;/D&gt;&lt;D xsi:type="xsd:double"&gt;4365.98&lt;/D&gt;&lt;D xsi:type="xsd:double"&gt;4358.34&lt;/D&gt;&lt;D xsi:type="xsd:double"&gt;4317.78&lt;/D&gt;&lt;D xsi:type="xsd:double"&gt;4237.86&lt;/D&gt;&lt;D xsi:type="xsd:double"&gt;4193.8&lt;/D&gt;&lt;D xsi:type="xsd:double"&gt;4166.82&lt;/D&gt;&lt;D xsi:type="xsd:double"&gt;4117.37&lt;/D&gt;&lt;D xsi:type="xsd:double"&gt;4137.23&lt;/D&gt;&lt;D xsi:type="xsd:double"&gt;4186.77&lt;/D&gt;&lt;D xsi:type="xsd:double"&gt;4247.68&lt;/D&gt;&lt;D xsi:type="xsd:double"&gt;4217.04&lt;/D&gt;&lt;D xsi:type="xsd:double"&gt;4224.16&lt;/D&gt;&lt;D xsi:type="xsd:double"&gt;4278&lt;/D&gt;&lt;D xsi:type="xsd:double"&gt;4314.6&lt;/D&gt;&lt;D xsi:type="xsd:double"&gt;4373.2&lt;/D&gt;&lt;D xsi:type="xsd:double"&gt;4373.63&lt;/D&gt;&lt;D xsi:type="xsd:double"&gt;4327.78&lt;/D&gt;&lt;D xsi:type="xsd:double"&gt;4349.61&lt;/D&gt;&lt;D xsi:type="xsd:double"&gt;4376.95&lt;/D&gt;&lt;D xsi:type="xsd:double"&gt;4358.24&lt;/D&gt;&lt;D xsi:type="xsd:double"&gt;4335.66&lt;/D&gt;&lt;D xsi:type="xsd:double"&gt;4308.5&lt;/D&gt;&lt;D xsi:type="xsd:double"&gt;4258.19&lt;/D&gt;&lt;D xsi:type="xsd:double"&gt;4263.75&lt;/D&gt;&lt;D xsi:type="xsd:double"&gt;4229.45&lt;/D&gt;&lt;D xsi:type="xsd:double"&gt;4288.39&lt;/D&gt;&lt;D xsi:type="xsd:double"&gt;4288.05&lt;/D&gt;&lt;D xsi:type="xsd:double"&gt;4299.7&lt;/D&gt;&lt;D xsi:type="xsd:double"&gt;4274.51&lt;/D&gt;&lt;D xsi:type="xsd:double"&gt;4273.53&lt;/D&gt;&lt;D xsi:type="xsd:double"&gt;4337.44&lt;/D&gt;&lt;D xsi:type="xsd:double"&gt;4320.06&lt;/D&gt;&lt;D xsi:type="xsd:double"&gt;4330&lt;/D&gt;&lt;D xsi:type="xsd:double"&gt;4402.2&lt;/D&gt;&lt;D xsi:type="xsd:double"&gt;4443.95&lt;/D&gt;&lt;D xsi:type="xsd:double"&gt;4453.53&lt;/D&gt;&lt;D xsi:type="xsd:double"&gt;4450.32&lt;/D&gt;&lt;D xsi:type="xsd:double"&gt;4505.1&lt;/D&gt;&lt;D xsi:type="xsd:double"&gt;4467.44&lt;/D&gt;&lt;D xsi:type="xsd:double"&gt;4461.9&lt;/D&gt;&lt;D xsi:type="xsd:double"&gt;4487.46&lt;/D&gt;&lt;D xsi:type="xsd:double"&gt;4457.49&lt;/D&gt;&lt;D xsi:type="xsd:double"&gt;4451.14&lt;/D&gt;&lt;D xsi:type="xsd:double"&gt;4465.48&lt;/D&gt;&lt;D xsi:type="xsd:double"&gt;4496.83&lt;/D&gt;&lt;D xsi:type="xsd:double"&gt;4515.77&lt;/D&gt;&lt;D xsi:type="xsd:double"&gt;4507.66&lt;/D&gt;&lt;D xsi:type="xsd:double"&gt;4514.87&lt;/D&gt;&lt;D xsi:type="xsd:double"&gt;4497.63&lt;/D&gt;&lt;D xsi:type="xsd:double"&gt;4433.31&lt;/D&gt;&lt;D xsi:type="xsd:double"&gt;4405.71&lt;/D&gt;&lt;D xsi:type="xsd:double"&gt;4376.31&lt;/D&gt;&lt;D xsi:type="xsd:double"&gt;4436.01&lt;/D&gt;&lt;D xsi:type="xsd:double"&gt;4387.55&lt;/D&gt;&lt;D xsi:type="xsd:double"&gt;4399.77&lt;/D&gt;&lt;D xsi:type="xsd:double"&gt;4369.71&lt;/D&gt;&lt;D xsi:type="xsd:double"&gt;4370.36&lt;/D&gt;&lt;D xsi:type="xsd:double"&gt;4404.33&lt;/D&gt;&lt;D xsi:type="xsd:double"&gt;4437.86&lt;/D&gt;&lt;D xsi:type="xsd:double"&gt;4489.72&lt;/D&gt;&lt;D xsi:type="xsd:double"&gt;4464.05&lt;/D&gt;&lt;D xsi:type="xsd:double"&gt;4468.83&lt;/D&gt;&lt;D xsi:type="xsd:double"&gt;4467.71&lt;/D&gt;&lt;D xsi:type="xsd:double"&gt;4499.38&lt;/D&gt;&lt;D xsi:type="xsd:double"&gt;4518.44&lt;/D&gt;&lt;D xsi:type="xsd:double"&gt;4478.03&lt;/D&gt;&lt;D xsi:type="xsd:double"&gt;4501.89&lt;/D&gt;&lt;D xsi:type="xsd:double"&gt;4513.39&lt;/D&gt;&lt;D xsi:type="xsd:double"&gt;4576.73&lt;/D&gt;&lt;D xsi:type="xsd:double"&gt;4588.96&lt;/D&gt;&lt;D xsi:type="xsd:double"&gt;4582.23&lt;/D&gt;&lt;D xsi:type="xsd:double"&gt;4537.41&lt;/D&gt;&lt;D xsi:type="xsd:double"&gt;4566.75&lt;/D&gt;&lt;D xsi:type="xsd:double"&gt;4567.46&lt;/D&gt;&lt;D xsi:type="xsd:double"&gt;4554.64&lt;/D&gt;&lt;D xsi:type="xsd:double"&gt;4536.34&lt;/D&gt;&lt;D xsi:type="xsd:double"&gt;4534.87&lt;/D&gt;&lt;D xsi:type="xsd:double"&gt;4565.72&lt;/D&gt;&lt;D xsi:type="xsd:double"&gt;4554.98&lt;/D&gt;&lt;D xsi:type="xsd:double"&gt;4522.79&lt;/D&gt;&lt;D xsi:type="xsd:double"&gt;4505.42&lt;/D&gt;&lt;D xsi:type="xsd:double"&gt;4510.04&lt;/D&gt;&lt;D xsi:type="xsd:double"&gt;4472.16&lt;/D&gt;&lt;D xsi:type="xsd:double"&gt;4439.26&lt;/D&gt;&lt;D xsi:type="xsd:double"&gt;4409.53&lt;/D&gt;&lt;D xsi:type="xsd:double"&gt;4398.95&lt;/D&gt;&lt;D xsi:type="xsd:double"&gt;4411.59&lt;/D&gt;&lt;D xsi:type="xsd:double"&gt;4446.82&lt;/D&gt;&lt;D xsi:type="xsd:double"&gt;4455.59&lt;/D&gt;&lt;D xsi:type="xsd:double"&gt;4450.38&lt;/D&gt;&lt;D xsi:type="xsd:double"&gt;4396.44&lt;/D&gt;&lt;D xsi:type="xsd:double"&gt;4376.86&lt;/D&gt;&lt;D xsi:type="xsd:double"&gt;4378.41&lt;/D&gt;&lt;D xsi:type="xsd:double"&gt;4328.82&lt;/D&gt;&lt;D xsi:type="xsd:double"&gt;4348.33&lt;/D&gt;&lt;D xsi:type="xsd:double"&gt;4381.89&lt;/D&gt;&lt;D xsi:type="xsd:double"&gt;4365.69&lt;/D&gt;&lt;D xsi:type="xsd:double"&gt;4388.71&lt;/D&gt;&lt;D xsi:type="xsd:double"&gt;4409.59&lt;/D&gt;&lt;D xsi:type="xsd:double"&gt;4425.84&lt;/D&gt;&lt;D xsi:type="xsd:double"&gt;4372.59&lt;/D&gt;&lt;D xsi:type="xsd:double"&gt;4369.01&lt;/D&gt;&lt;D xsi:type="xsd:double"&gt;4338.93&lt;/D&gt;&lt;D xsi:type="xsd:double"&gt;4298.86&lt;/D&gt;&lt;D xsi:type="xsd:double"&gt;4293.93&lt;/D&gt;&lt;D xsi:type="xsd:double"&gt;4267.52&lt;/D&gt;&lt;D xsi:type="xsd:double"&gt;4283.85&lt;/D&gt;&lt;D xsi:type="xsd:double"&gt;4273.79&lt;/D&gt;&lt;D xsi:type="xsd:double"&gt;4282.37&lt;/D&gt;&lt;D xsi:type="xsd:double"&gt;4221.02&lt;/D&gt;&lt;D xsi:type="xsd:double"&gt;4179.83&lt;/D&gt;&lt;D xsi:type="xsd:double"&gt;4205.52&lt;/D&gt;&lt;D xsi:type="xsd:double"&gt;4205.45&lt;/D&gt;&lt;D xsi:type="xsd:double"&gt;4151.28&lt;/D&gt;&lt;D xsi:type="xsd:double"&gt;4115.24&lt;/D&gt;&lt;D xsi:type="xsd:double"&gt;4145.58&lt;/D&gt;&lt;D xsi:type="xsd:double"&gt;4192.63&lt;/D&gt;&lt;D xsi:type="xsd:double"&gt;4191.98&lt;/D&gt;&lt;D xsi:type="xsd:double"&gt;4198.05&lt;/D&gt;&lt;D xsi:type="xsd:double"&gt;4158.77&lt;/D&gt;&lt;D xsi:type="xsd:double"&gt;4109.9&lt;/D&gt;&lt;D xsi:type="xsd:double"&gt;4136.28&lt;/D&gt;&lt;D xsi:type="xsd:double"&gt;4124.08&lt;/D&gt;&lt;D xsi:type="xsd:double"&gt;4130.62&lt;/D&gt;&lt;D xsi:type="xsd:double"&gt;4137.64&lt;/D&gt;&lt;D xsi:type="xsd:double"&gt;4119.17&lt;/D&gt;&lt;D xsi:type="xsd:double"&gt;4138.12&lt;/D&gt;&lt;D xsi:type="xsd:double"&gt;4136.25&lt;/D&gt;&lt;D xsi:type="xsd:double"&gt;4061.22&lt;/D&gt;&lt;D xsi:type="xsd:double"&gt;4090.75&lt;/D&gt;&lt;D xsi:type="xsd:double"&gt;4119.58&lt;/D&gt;&lt;D xsi:type="xsd:double"&gt;4167.87&lt;/D&gt;&lt;D xsi:type="xsd:double"&gt;4169.48&lt;/D&gt;&lt;D xsi:type="xsd:double"&gt;4135.35&lt;/D&gt;&lt;D xsi:type="xsd:double"&gt;4055.99&lt;/D&gt;&lt;D xsi:type="xsd:double"&gt;4071.63&lt;/D&gt;&lt;D xsi:type="xsd:double"&gt;4137.04&lt;/D&gt;&lt;D xsi:type="xsd:double"&gt;4133.52&lt;/D&gt;&lt;D xsi:type="xsd:double"&gt;4129.79&lt;/D&gt;&lt;D xsi:type="xsd:double"&gt;4154.52&lt;/D&gt;&lt;D xsi:type="xsd:double"&gt;4154.87&lt;/D&gt;&lt;D xsi:type="xsd:double"&gt;4151.32&lt;/D&gt;&lt;D xsi:type="xsd:double"&gt;4137.64&lt;/D&gt;&lt;D xsi:type="xsd:double"&gt;4146.22&lt;/D&gt;&lt;D xsi:type="xsd:double"&gt;4091.95&lt;/D&gt;&lt;D xsi:type="xsd:double"&gt;4108.94&lt;/D&gt;&lt;D xsi:type="xsd:double"&gt;4109.11&lt;/D&gt;&lt;D xsi:type="xsd:double"&gt;4105.02&lt;/D&gt;&lt;D xsi:type="xsd:double"&gt;4090.38&lt;/D&gt;&lt;D xsi:type="xsd:double"&gt;4100.6&lt;/D&gt;&lt;D xsi:type="xsd:double"&gt;4124.51&lt;/D&gt;&lt;D xsi:type="xsd:double"&gt;4109.31&lt;/D&gt;&lt;D xsi:type="xsd:double"&gt;4050.83&lt;/D&gt;&lt;D xsi:type="xsd:double"&gt;4027.81&lt;/D&gt;&lt;D xsi:type="xsd:double"&gt;3971.27&lt;/D&gt;&lt;D xsi:type="xsd:double"&gt;3977.53&lt;/D&gt;&lt;D xsi:type="xsd:double"&gt;3970.99&lt;/D&gt;&lt;D xsi:type="xsd:double"&gt;3948.72&lt;/D&gt;&lt;D xsi:type="xsd:double"&gt;3936.97&lt;/D&gt;&lt;D xsi:type="xsd:double"&gt;4002.87&lt;/D&gt;&lt;D xsi:type="xsd:double"&gt;3951.57&lt;/D&gt;&lt;D xsi:type="xsd:double"&gt;3916.64&lt;/D&gt;&lt;D xsi:type="xsd:double"&gt;3960.28&lt;/D&gt;&lt;D xsi:type="xsd:double"&gt;3891.93&lt;/D&gt;&lt;D xsi:type="xsd:double"&gt;3919.29&lt;/D&gt;&lt;D xsi:type="xsd:double"&gt;3855.76&lt;/D&gt;&lt;D xsi:type="xsd:double"&gt;3861.59&lt;/D&gt;&lt;D xsi:type="xsd:double"&gt;3918.32&lt;/D&gt;&lt;D xsi:type="xsd:double"&gt;3992.01&lt;/D&gt;&lt;D xsi:type="xsd:double"&gt;3986.37&lt;/D&gt;&lt;D xsi:type="xsd:double"&gt;4048.42&lt;/D&gt;&lt;D xsi:type="xsd:double"&gt;4045.64&lt;/D&gt;&lt;D xsi:type="xsd:double"&gt;3981.35&lt;/D&gt;&lt;D xsi:type="xsd:double"&gt;3951.39&lt;/D&gt;&lt;D xsi:type="xsd:double"&gt;3970.15&lt;/D&gt;&lt;D xsi:type="xsd:double"&gt;3982.24&lt;/D&gt;&lt;D xsi:type="xsd:double"&gt;3970.04&lt;/D&gt;&lt;D xsi:type="xsd:double"&gt;4012.32&lt;/D&gt;&lt;D xsi:type="xsd:double"&gt;3991.05&lt;/D&gt;&lt;D xsi:type="xsd:double"&gt;3997.34&lt;/D&gt;&lt;D xsi:type="xsd:double"&gt;4079.09&lt;/D&gt;&lt;D xsi:type="xsd:double"&gt;4090.41&lt;/D&gt;&lt;D xsi:type="xsd:double"&gt;4147.6&lt;/D&gt;&lt;D xsi:type="xsd:double"&gt;4136.13&lt;/D&gt;&lt;D xsi:type="xsd:double"&gt;4137.29&lt;/D&gt;&lt;D xsi:type="xsd:double"&gt;4090.46&lt;/D&gt;&lt;D xsi:type="xsd:double"&gt;4081.5&lt;/D&gt;&lt;D xsi:type="xsd:double"&gt;4117.86&lt;/D&gt;&lt;D xsi:type="xsd:double"&gt;4164&lt;/D&gt;&lt;D xsi:type="xsd:double"&gt;4111.08&lt;/D&gt;&lt;D xsi:type="xsd:double"&gt;4136.48&lt;/D&gt;&lt;D xsi:type="xsd:double"&gt;4179.76&lt;/D&gt;&lt;D xsi:type="xsd:double"&gt;4119.21&lt;/D&gt;&lt;D xsi:type="xsd:double"&gt;4076.6&lt;/D&gt;&lt;D xsi:type="xsd:double"&gt;4017.77&lt;/D&gt;&lt;D xsi:type="xsd:double"&gt;4070.56&lt;/D&gt;&lt;D xsi:type="xsd:double"&gt;4060.43&lt;/D&gt;&lt;D xsi:type="xsd:double"&gt;4016.22&lt;/D&gt;&lt;D xsi:type="xsd:double"&gt;4016.95&lt;/D&gt;&lt;D xsi:type="xsd:double"&gt;4019.81&lt;/D&gt;&lt;D xsi:type="xsd:double"&gt;3972.61&lt;/D&gt;&lt;D xsi:type="xsd:double"&gt;3898.85&lt;/D&gt;&lt;D xsi:type="xsd:double"&gt;3928.86&lt;/D&gt;&lt;D xsi:type="xsd:double"&gt;3990.97&lt;/D&gt;&lt;D xsi:type="xsd:double"&gt;3999.09&lt;/D&gt;&lt;D xsi:type="xsd:double"&gt;3983.17&lt;/D&gt;&lt;D xsi:type="xsd:double"&gt;3969.61&lt;/D&gt;&lt;D xsi:type="xsd:double"&gt;3919.25&lt;/D&gt;&lt;D xsi:type="xsd:double"&gt;3892.09&lt;/D&gt;&lt;D xsi:type="xsd:double"&gt;3895.08&lt;/D&gt;&lt;D xsi:type="xsd:double"&gt;3808.1&lt;/D&gt;&lt;D xsi:type="xsd:double"&gt;3852.97&lt;/D&gt;&lt;D xsi:type="xsd:double"&gt;3824.14&lt;/D&gt;&lt;D xsi:type="xsd:double"&gt;3839.5&lt;/D&gt;&lt;D xsi:type="xsd:double"&gt;3849.28&lt;/D&gt;&lt;D xsi:type="xsd:double"&gt;3783.22&lt;/D&gt;&lt;D xsi:type="xsd:double"&gt;3829.25&lt;/D&gt;&lt;D xsi:type="xsd:double"&gt;3844.82&lt;/D&gt;&lt;D xsi:type="xsd:double"&gt;3822.39&lt;/D&gt;&lt;D xsi:type="xsd:double"&gt;3878.44&lt;/D&gt;&lt;D xsi:type="xsd:double"&gt;3821.62&lt;/D&gt;&lt;D xsi:type="xsd:double"&gt;3817.66&lt;/D&gt;&lt;D xsi:type="xsd:double"&gt;3852.36&lt;/D&gt;&lt;D xsi:type="xsd:double"&gt;3895.75&lt;/D&gt;&lt;D xsi:type="xsd:double"&gt;3995.32&lt;/D&gt;&lt;D xsi:type="xsd:double"&gt;4019.65&lt;/D&gt;&lt;D xsi:type="xsd:double"&gt;3990.56&lt;/D&gt;&lt;D xsi:type="xsd:double"&gt;3934.38&lt;/D&gt;&lt;D xsi:type="xsd:double"&gt;3963.51&lt;/D&gt;&lt;D xsi:type="xsd:double"&gt;3933.92&lt;/D&gt;&lt;D xsi:type="xsd:double"&gt;3941.26&lt;/D&gt;&lt;D xsi:type="xsd:double"&gt;3998.84&lt;/D&gt;&lt;D xsi:type="xsd:double"&gt;4071.7&lt;/D&gt;&lt;D xsi:type="xsd:double"&gt;4076.57&lt;/D&gt;&lt;D xsi:type="xsd:double"&gt;4080.11&lt;/D&gt;&lt;D xsi:type="xsd:double"&gt;3957.63&lt;/D&gt;&lt;D xsi:type="xsd:double"&gt;3963.94&lt;/D&gt;&lt;D xsi:type="xsd:double"&gt;4026.12&lt;/D&gt;&lt;D xsi:type="xsd:double"&gt;4027.26&lt;/D&gt;&lt;D xsi:type="xsd:double"&gt;4003.58&lt;/D&gt;&lt;D xsi:type="xsd:double"&gt;3949.94&lt;/D&gt;&lt;D xsi:type="xsd:double"&gt;3965.34&lt;/D&gt;&lt;D xsi:type="xsd:double"&gt;3946.56&lt;/D&gt;&lt;D xsi:type="xsd:double"&gt;3958.79&lt;/D&gt;&lt;D xsi:type="xsd:double"&gt;3991.73&lt;/D&gt;&lt;D xsi:type="xsd:double"&gt;3957.25&lt;/D&gt;&lt;D xsi:type="xsd:double"&gt;3992.93&lt;/D&gt;&lt;D xsi:type="xsd:double"&gt;3956.37&lt;/D&gt;&lt;D xsi:type="xsd:double"&gt;3748.57&lt;/D&gt;&lt;D xsi:type="xsd:double"&gt;3828.11&lt;/D&gt;&lt;D xsi:type="xsd:double"&gt;3806.8&lt;/D&gt;&lt;D xsi:type="xsd:double"&gt;3770.55&lt;/D&gt;&lt;D xsi:type="xsd:double"&gt;3719.89&lt;/D&gt;&lt;D xsi:type="xsd:double"&gt;3759.69&lt;/D&gt;&lt;D xsi:type="xsd:double"&gt;3856.1&lt;/D&gt;&lt;D xsi:type="xsd:double"&gt;3871.98&lt;/D&gt;&lt;D xsi:type="xsd:double"&gt;3901.06&lt;/D&gt;&lt;D xsi:type="xsd:double"&gt;3807.3&lt;/D&gt;&lt;D xsi:type="xsd:double"&gt;3830.6&lt;/D&gt;&lt;D xsi:type="xsd:double"&gt;3859.11&lt;/D&gt;&lt;D xsi:type="xsd:double"&gt;3797.34&lt;/D&gt;&lt;D xsi:type="xsd:double"&gt;3752.75&lt;/D&gt;&lt;D xsi:type="xsd:double"&gt;3665.78&lt;/D&gt;&lt;D xsi:type="xsd:double"&gt;3695.16&lt;/D&gt;&lt;D xsi:type="xsd:double"&gt;3719.98&lt;/D&gt;&lt;D xsi:type="xsd:double"&gt;3677.95&lt;/D&gt;&lt;D xsi:type="xsd:double"&gt;3583.07&lt;/D&gt;&lt;D xsi:type="xsd:double"&gt;3669.91&lt;/D&gt;&lt;D xsi:type="xsd:double"&gt;3577.03&lt;/D&gt;&lt;D xsi:type="xsd:double"&gt;3588.84&lt;/D&gt;&lt;D xsi:type="xsd:double"&gt;3612.39&lt;/D&gt;&lt;D xsi:type="xsd:double"&gt;3639.66&lt;/D&gt;&lt;D xsi:type="xsd:double"&gt;3744.52&lt;/D&gt;&lt;D xsi:type="xsd:double"&gt;3783.28&lt;/D&gt;&lt;D xsi:type="xsd:double"&gt;3790.93&lt;/D&gt;&lt;D xsi:type="xsd:double"&gt;3678.43&lt;/D&gt;&lt;D xsi:type="xsd:double"&gt;3585.62&lt;/D&gt;&lt;D xsi:type="xsd:double"&gt;3640.47&lt;/D&gt;&lt;D xsi:type="xsd:double"&gt;3719.04&lt;/D&gt;&lt;D xsi:type="xsd:double"&gt;3647.29&lt;/D&gt;&lt;D xsi:type="xsd:double"&gt;3655.04&lt;/D&gt;&lt;D xsi:type="xsd:double"&gt;3693.23&lt;/D&gt;&lt;D xsi:type="xsd:double"&gt;3757.99&lt;/D&gt;&lt;D xsi:type="xsd:double"&gt;3789.93&lt;/D&gt;&lt;D xsi:type="xsd:double"&gt;3855.93&lt;/D&gt;&lt;D xsi:type="xsd:double"&gt;3899.89&lt;/D&gt;&lt;D xsi:type="xsd:double"&gt;3873.33&lt;/D&gt;&lt;D xsi:type="xsd:double"&gt;3901.35&lt;/D&gt;&lt;D xsi:type="xsd:double"&gt;3946.01&lt;/D&gt;&lt;D xsi:type="xsd:double"&gt;3932.69&lt;/D&gt;&lt;D xsi:type="xsd:double"&gt;4110.41&lt;/D&gt;&lt;D xsi:type="xsd:double"&gt;4067.36&lt;/D&gt;&lt;D xsi:type="xsd:double"&gt;4006.18&lt;/D&gt;&lt;D xsi:type="xsd:double"&gt;3979.87&lt;/D&gt;&lt;D xsi:type="xsd:double"&gt;3908.19&lt;/D&gt;&lt;D xsi:type="xsd:double"&gt;3924.26&lt;/D&gt;&lt;D xsi:type="xsd:double"&gt;3966.85&lt;/D&gt;&lt;D xsi:type="xsd:double"&gt;3955&lt;/D&gt;&lt;D xsi:type="xsd:double"&gt;3986.16&lt;/D&gt;&lt;D xsi:type="xsd:double"&gt;4030.61&lt;/D&gt;&lt;D xsi:type="xsd:double"&gt;4057.66&lt;/D&gt;&lt;D xsi:type="xsd:double"&gt;4199.12&lt;/D&gt;&lt;D xsi:type="xsd:double"&gt;4140.77&lt;/D&gt;&lt;D xsi:type="xsd:double"&gt;4128.73&lt;/D&gt;&lt;D xsi:type="xsd:double"&gt;4137.99&lt;/D&gt;&lt;D xsi:type="xsd:double"&gt;4228.48&lt;/D&gt;&lt;D xsi:type="xsd:double"&gt;4283.74&lt;/D&gt;&lt;D xsi:type="xsd:double"&gt;4274.04&lt;/D&gt;&lt;D xsi:type="xsd:double"&gt;4305.2&lt;/D&gt;&lt;D xsi:type="xsd:double"&gt;4297.14&lt;/D&gt;&lt;D xsi:type="xsd:double"&gt;4280.15&lt;/D&gt;&lt;D xsi:type="xsd:double"&gt;4207.27&lt;/D&gt;&lt;D xsi:type="xsd:double"&gt;4210.24&lt;/D&gt;&lt;D xsi:type="xsd:double"&gt;4122.47&lt;/D&gt;&lt;D xsi:type="xsd:double"&gt;4140.06&lt;/D&gt;&lt;D xsi:type="xsd:double"&gt;4145.19&lt;/D&gt;&lt;D xsi:type="xsd:double"&gt;4151.94&lt;/D&gt;&lt;D xsi:type="xsd:double"&gt;4155.17&lt;/D&gt;&lt;D xsi:type="xsd:double"&gt;4091.19&lt;/D&gt;&lt;D xsi:type="xsd:double"&gt;4118.63&lt;/D&gt;&lt;D xsi:type="xsd:double"&gt;4130.29&lt;/D&gt;&lt;D xsi:type="xsd:double"&gt;4072.43&lt;/D&gt;&lt;D xsi:type="xsd:double"&gt;4023.61&lt;/D&gt;&lt;D xsi:type="xsd:double"&gt;3921.05&lt;/D&gt;&lt;D xsi:type="xsd:double"&gt;3966.84&lt;/D&gt;&lt;D xsi:type="xsd:double"&gt;3961.63&lt;/D&gt;&lt;D xsi:type="xsd:double"&gt;3998.95&lt;/D&gt;&lt;D xsi:type="xsd:double"&gt;3959.9&lt;/D&gt;&lt;D xsi:type="xsd:double"&gt;3936.69&lt;/D&gt;&lt;D xsi:type="xsd:double"&gt;3830.85&lt;/D&gt;&lt;D xsi:type="xsd:double"&gt;3863.16&lt;/D&gt;&lt;D xsi:type="xsd:double"&gt;3790.38&lt;/D&gt;&lt;D xsi:type="xsd:double"&gt;3801.78&lt;/D&gt;&lt;D xsi:type="xsd:double"&gt;3818.8&lt;/D&gt;&lt;D xsi:type="xsd:double"&gt;3854.43&lt;/D&gt;&lt;D xsi:type="xsd:double"&gt;3899.38&lt;/D&gt;&lt;D xsi:type="xsd:double"&gt;3902.62&lt;/D&gt;&lt;D xsi:type="xsd:double"&gt;3845.08&lt;/D&gt;&lt;D xsi:type="xsd:double"&gt;3831.39&lt;/D&gt;&lt;D xsi:type="xsd:double"&gt;3825.33&lt;/D&gt;&lt;D xsi:type="xsd:double"&gt;3785.38&lt;/D&gt;&lt;D xsi:type="xsd:double"&gt;3818.83&lt;/D&gt;&lt;D xsi:type="xsd:double"&gt;3821.55&lt;/D&gt;&lt;D xsi:type="xsd:double"&gt;3900.11&lt;/D&gt;&lt;D xsi:type="xsd:double"&gt;3911.74&lt;/D&gt;&lt;D xsi:type="xsd:double"&gt;3795.73&lt;/D&gt;&lt;D xsi:type="xsd:double"&gt;3759.89&lt;/D&gt;&lt;D xsi:type="xsd:double"&gt;3764.79&lt;/D&gt;&lt;D xsi:type="xsd:double"&gt;3674.84&lt;/D&gt;&lt;D xsi:type="xsd:double"&gt;3666.77&lt;/D&gt;&lt;D xsi:type="xsd:double"&gt;3789.99&lt;/D&gt;&lt;D xsi:type="xsd:double"&gt;3735.48&lt;/D&gt;&lt;D xsi:type="xsd:double"&gt;3749.63&lt;/D&gt;&lt;D xsi:type="xsd:double"&gt;3900.86&lt;/D&gt;&lt;D xsi:type="xsd:double"&gt;4017.82&lt;/D&gt;&lt;D xsi:type="xsd:double"&gt;4115.77&lt;/D&gt;&lt;D xsi:type="xsd:double"&gt;4160.68&lt;/D&gt;&lt;D xsi:type="xsd:double"&gt;4121.43&lt;/D&gt;&lt;D xsi:type="xsd:double"&gt;4108.54&lt;/D&gt;&lt;D xsi:type="xsd:double"&gt;4176.82&lt;/D&gt;&lt;D xsi:type="xsd:double"&gt;4101.23&lt;/D&gt;&lt;D xsi:type="xsd:double"&gt;4132.15&lt;/D&gt;&lt;D xsi:type="xsd:double"&gt;4158.24&lt;/D&gt;&lt;D xsi:type="xsd:double"&gt;4057.84&lt;/D&gt;&lt;D xsi:type="xsd:double"&gt;3978.73&lt;/D&gt;&lt;D xsi:type="xsd:double"&gt;3941.48&lt;/D&gt;&lt;D xsi:type="xsd:double"&gt;3973.75&lt;/D&gt;&lt;D xsi:type="xsd:double"&gt;3901.36&lt;/D&gt;&lt;D xsi:type="xsd:double"&gt;3900.79&lt;/D&gt;&lt;D xsi:type="xsd:double"&gt;3923.68&lt;/D&gt;&lt;D xsi:type="xsd:double"&gt;4088.85&lt;/D&gt;&lt;D xsi:type="xsd:double"&gt;4008.01&lt;/D&gt;&lt;D xsi:type="xsd:double"&gt;4023.89&lt;/D&gt;&lt;D xsi:type="xsd:double"&gt;3930.08&lt;/D&gt;&lt;D xsi:type="xsd:double"&gt;3935.18&lt;/D&gt;&lt;D xsi:type="xsd:double"&gt;4001.05&lt;/D&gt;&lt;D xsi:type="xsd:double"&gt;3991.24&lt;/D&gt;&lt;D xsi:type="xsd:double"&gt;4123.34&lt;/D&gt;&lt;D xsi:type="xsd:double"&gt;4146.87&lt;/D&gt;&lt;D xsi:type="xsd:double"&gt;4300.17&lt;/D&gt;&lt;D xsi:type="xsd:double"&gt;4175.48&lt;/D&gt;&lt;D xsi:type="xsd:double"&gt;4155.38&lt;/D&gt;&lt;D xsi:type="xsd:double"&gt;4131.93&lt;/D&gt;&lt;D xsi:type="xsd:double"&gt;4287.5&lt;/D&gt;&lt;D xsi:type="xsd:double"&gt;4183.96&lt;/D&gt;&lt;D xsi:type="xsd:double"&gt;4175.2&lt;/D&gt;&lt;D xsi:type="xsd:double"&gt;4296.12&lt;/D&gt;&lt;D xsi:type="xsd:double"&gt;4271.78&lt;/D&gt;&lt;D xsi:type="xsd:double"&gt;4393.66&lt;/D&gt;&lt;D xsi:type="xsd:double"&gt;4459.45&lt;/D&gt;&lt;D xsi:type="xsd:double"&gt;4462.21&lt;/D&gt;&lt;D xsi:type="xsd:double"&gt;4391.69&lt;/D&gt;&lt;D xsi:type="xsd:double"&gt;4392.59&lt;/D&gt;&lt;D xsi:type="xsd:double"&gt;4446.59&lt;/D&gt;&lt;D xsi:type="xsd:double"&gt;4397.45&lt;/D&gt;&lt;D xsi:type="xsd:double"&gt;4412.53&lt;/D&gt;&lt;D xsi:type="xsd:double"&gt;4488.28&lt;/D&gt;&lt;D xsi:type="xsd:double"&gt;4500.21&lt;/D&gt;&lt;D xsi:type="xsd:double"&gt;4481.15&lt;/D&gt;&lt;D xsi:type="xsd:double"&gt;4525.12&lt;/D&gt;&lt;D xsi:type="xsd:double"&gt;4582.64&lt;/D&gt;&lt;D xsi:type="xsd:double"&gt;4545.86&lt;/D&gt;&lt;D xsi:type="xsd:double"&gt;4530.41&lt;/D&gt;&lt;D xsi:type="xsd:double"&gt;4602.45&lt;/D&gt;&lt;D xsi:type="xsd:double"&gt;4631.6&lt;/D&gt;&lt;D xsi:type="xsd:double"&gt;4575.52&lt;/D&gt;&lt;D xsi:type="xsd:double"&gt;4543.06&lt;/D&gt;&lt;D xsi:type="xsd:double"&gt;4520.16&lt;/D&gt;&lt;D xsi:type="xsd:double"&gt;4456.24&lt;/D&gt;&lt;D xsi:type="xsd:double"&gt;4511.61&lt;/D&gt;&lt;D xsi:type="xsd:double"&gt;4461.18&lt;/D&gt;&lt;D xsi:type="xsd:double"&gt;4463.12&lt;/D&gt;&lt;D xsi:type="xsd:double"&gt;4411.67&lt;/D&gt;&lt;D xsi:type="xsd:double"&gt;4357.86&lt;/D&gt;&lt;D xsi:type="xsd:double"&gt;4262.45&lt;/D&gt;&lt;D xsi:type="xsd:double"&gt;4173.11&lt;/D&gt;&lt;D xsi:type="xsd:double"&gt;4204.31&lt;/D&gt;&lt;D xsi:type="xsd:double"&gt;4259.52&lt;/D&gt;&lt;D xsi:type="xsd:double"&gt;4277.88&lt;/D&gt;&lt;D xsi:type="xsd:double"&gt;4170.7&lt;/D&gt;&lt;D xsi:type="xsd:double"&gt;4201.09&lt;/D&gt;&lt;D xsi:type="xsd:double"&gt;4328.87&lt;/D&gt;&lt;D xsi:type="xsd:double"&gt;4363.49&lt;/D&gt;&lt;D xsi:type="xsd:double"&gt;4386.54&lt;/D&gt;&lt;D xsi:type="xsd:double"&gt;4306.26&lt;/D&gt;&lt;D xsi:type="xsd:double"&gt;4373.94&lt;/D&gt;&lt;D xsi:type="xsd:double"&gt;4384.65&lt;/D&gt;&lt;D xsi:type="xsd:double"&gt;4288.7&lt;/D&gt;&lt;D xsi:type="xsd:double"&gt;4225.5&lt;/D&gt;&lt;D xsi:type="xsd:double"&gt;4304.76&lt;/D&gt;&lt;D xsi:type="xsd:double"&gt;4348.87&lt;/D&gt;&lt;D xsi:type="xsd:double"&gt;4380.26&lt;/D&gt;&lt;D xsi:type="xsd:double"&gt;4475.01&lt;/D&gt;&lt;D xsi:type="xsd:double"&gt;4471.07&lt;/D&gt;&lt;D xsi:type="xsd:double"&gt;4401.67&lt;/D&gt;&lt;D xsi:type="xsd:double"&gt;4418.64&lt;/D&gt;&lt;D xsi:type="xsd:double"&gt;4504.08&lt;/D&gt;&lt;D xsi:type="xsd:double"&gt;4587.18&lt;/D&gt;&lt;D xsi:type="xsd:double"&gt;4521.54&lt;/D&gt;&lt;D xsi:type="xsd:double"&gt;4483.87&lt;/D&gt;&lt;D xsi:type="xsd:double"&gt;4500.53&lt;/D&gt;&lt;D xsi:type="xsd:double"&gt;4477.44&lt;/D&gt;&lt;D xsi:type="xsd:double"&gt;4589.38&lt;/D&gt;&lt;D xsi:type="xsd:double"&gt;4546.54&lt;/D&gt;&lt;D xsi:type="xsd:double"&gt;4515.55&lt;/D&gt;&lt;D xsi:type="xsd:double"&gt;4431.85&lt;/D&gt;&lt;D xsi:type="xsd:double"&gt;4326.51&lt;/D&gt;&lt;D xsi:type="xsd:double"&gt;4349.93&lt;/D&gt;&lt;D xsi:type="xsd:double"&gt;4356.45&lt;/D&gt;&lt;D xsi:type="xsd:double"&gt;4410.13&lt;/D&gt;&lt;D xsi:type="xsd:double"&gt;4397.94&lt;/D&gt;&lt;D xsi:type="xsd:double"&gt;4482.73&lt;/D&gt;&lt;D xsi:type="xsd:double"&gt;4532.76&lt;/D&gt;&lt;D xsi:type="xsd:double"&gt;4577.11&lt;/D&gt;&lt;D xsi:type="xsd:double"&gt;4662.85&lt;/D&gt;&lt;D xsi:type="xsd:double"&gt;4659.03&lt;/D&gt;&lt;D xsi:type="xsd:double"&gt;4726.35&lt;/D&gt;&lt;D xsi:type="xsd:double"&gt;4713.07&lt;/D&gt;&lt;D xsi:type="xsd:double"&gt;4670.29&lt;/D&gt;&lt;D xsi:type="xsd:double"&gt;4677.03&lt;/D&gt;&lt;D xsi:type="xsd:double"&gt;4696.05&lt;/D&gt;&lt;D xsi:type="xsd:double"&gt;4700.58&lt;/D&gt;&lt;D xsi:type="xsd:double"&gt;4793.54&lt;/D&gt;&lt;D xsi:type="xsd:double"&gt;4796.56&lt;/D&gt;&lt;D xsi:type="xsd:double"&gt;4766.18&lt;/D&gt;&lt;D xsi:type="xsd:double"&gt;4778.73&lt;/D&gt;&lt;D xsi:type="xsd:double"&gt;4793.06&lt;/D&gt;&lt;D xsi:type="xsd:double"&gt;4786.35&lt;/D&gt;&lt;D xsi:type="xsd:double"&gt;4791.19&lt;/D&gt;&lt;D xsi:type="xsd:double"&gt;4725.79&lt;/D&gt;&lt;D xsi:type="xsd:double"&gt;4696.56&lt;/D&gt;&lt;D xsi:type="xsd:double"&gt;4649.23&lt;/D&gt;&lt;D xsi:type="xsd:double"&gt;4568.02&lt;/D&gt;&lt;D xsi:type="xsd:double"&gt;4620.64&lt;/D&gt;&lt;D xsi:type="xsd:double"&gt;4668.67&lt;/D&gt;&lt;D xsi:type="xsd:double"&gt;4709.85&lt;/D&gt;&lt;D xsi:type="xsd:double"&gt;4634.09&lt;/D&gt;&lt;D xsi:type="xsd:double"&gt;4668.97&lt;/D&gt;&lt;D xsi:type="xsd:double"&gt;4712.02&lt;/D&gt;&lt;D xsi:type="xsd:double"&gt;4667.45&lt;/D&gt;&lt;D xsi:type="xsd:double"&gt;4701.21&lt;/D&gt;&lt;D xsi:type="xsd:double"&gt;4686.75&lt;/D&gt;&lt;D xsi:type="xsd:double"&gt;4591.67&lt;/D&gt;&lt;D xsi:type="xsd:double"&gt;4538.43&lt;/D&gt;&lt;D xsi:type="xsd:double"&gt;4577.1&lt;/D&gt;&lt;D xsi:type="xsd:double"&gt;4513.04&lt;/D&gt;&lt;D xsi:type="xsd:double"&gt;4567&lt;/D&gt;&lt;D xsi:type="xsd:double"&gt;4655.27&lt;/D&gt;&lt;D xsi:type="xsd:double"&gt;4594.62&lt;/D&gt;&lt;D xsi:type="xsd:double"&gt;4701.46&lt;/D&gt;&lt;D xsi:type="xsd:double"&gt;4690.7&lt;/D&gt;&lt;D xsi:type="xsd:double"&gt;4682.94&lt;/D&gt;&lt;D xsi:type="xsd:double"&gt;4697.96&lt;/D&gt;&lt;D xsi:type="xsd:double"&gt;4704.54&lt;/D&gt;&lt;D xsi:type="xsd:double"&gt;4688.67&lt;/D&gt;&lt;D xsi:type="xsd:double"&gt;4700.9&lt;/D&gt;&lt;D xsi:type="xsd:double"&gt;4682.8&lt;/D&gt;&lt;D xsi:type="xsd:double"&gt;4682.85&lt;/D&gt;&lt;D xsi:type="xsd:double"&gt;4649.27&lt;/D&gt;&lt;D xsi:type="xsd:double"&gt;4646.71&lt;/D&gt;&lt;D xsi:type="xsd:double"&gt;4685.25&lt;/D&gt;&lt;D xsi:type="xsd:double"&gt;4701.7&lt;/D&gt;&lt;D xsi:type="xsd:double"&gt;4697.53&lt;/D&gt;&lt;D xsi:type="xsd:double"&gt;4680.06&lt;/D&gt;&lt;D xsi:type="xsd:double"&gt;4660.57&lt;/D&gt;&lt;D xsi:type="xsd:double"&gt;4630.65&lt;/D&gt;&lt;D xsi:type="xsd:double"&gt;4613.67&lt;/D&gt;&lt;D xsi:type="xsd:double"&gt;4605.38&lt;/D&gt;&lt;D xsi:type="xsd:double"&gt;4596.42&lt;/D&gt;&lt;D xsi:type="xsd:double"&gt;4551.68&lt;/D&gt;&lt;D xsi:type="xsd:double"&gt;4574.79&lt;/D&gt;&lt;D xsi:type="xsd:double"&gt;4566.48&lt;/D&gt;&lt;D xsi:type="xsd:double"&gt;4544.9&lt;/D&gt;&lt;D xsi:type="xsd:double"&gt;4549.78&lt;/D&gt;&lt;D xsi:type="xsd:double"&gt;4536.19&lt;/D&gt;&lt;D xsi:type="xsd:double"&gt;4519.63&lt;/D&gt;&lt;D xsi:type="xsd:double"&gt;4486.46&lt;/D&gt;&lt;D xsi:type="xsd:double"&gt;4471.37&lt;/D&gt;&lt;D xsi:type="xsd:double"&gt;4438.26&lt;/D&gt;&lt;D xsi:type="xsd:double"&gt;4363.8&lt;/D&gt;&lt;D xsi:type="xsd:double"&gt;4350.65&lt;/D&gt;&lt;D xsi:type="xsd:double"&gt;4361.19&lt;/D&gt;&lt;D xsi:type="xsd:double"&gt;4391.34&lt;/D&gt;&lt;D xsi:type="xsd:double"&gt;4399.76&lt;/D&gt;&lt;D xsi:type="xsd:double"&gt;4363.55&lt;/D&gt;&lt;D xsi:type="xsd:double"&gt;4345.72&lt;/D&gt;&lt;D xsi:type="xsd:double"&gt;4300.46&lt;/D&gt;&lt;D xsi:type="xsd:double"&gt;4357.04&lt;/D&gt;&lt;D xsi:type="xsd:double"&gt;4307.54&lt;/D&gt;&lt;D xsi:type="xsd:double"&gt;4359.461&lt;/D&gt;&lt;D xsi:type="xsd:double"&gt;4352.63&lt;/D&gt;&lt;D xsi:type="xsd:double"&gt;4443.11&lt;/D&gt;&lt;D xsi:type="xsd:double"&gt;4455.48&lt;/D&gt;&lt;D xsi:type="xsd:double"&gt;4448.98&lt;/D&gt;&lt;D xsi:type="xsd:double"&gt;4395.64&lt;/D&gt;&lt;D xsi:type="xsd:double"&gt;4354.19&lt;/D&gt;&lt;D xsi:type="xsd:double"&gt;4357.73&lt;/D&gt;&lt;D xsi:type="xsd:double"&gt;4432.99&lt;/D&gt;&lt;D xsi:type</t>
        </r>
      </text>
    </comment>
    <comment ref="A28" authorId="0" shapeId="0" xr:uid="{2BAB5151-8C11-4A1E-BE09-91255B961DB4}">
      <text>
        <r>
          <rPr>
            <b/>
            <sz val="9"/>
            <color indexed="81"/>
            <rFont val="Tahoma"/>
            <charset val="1"/>
          </rPr>
          <t>="xsd:double"&gt;4473.75&lt;/D&gt;&lt;D xsi:type="xsd:double"&gt;4480.7&lt;/D&gt;&lt;D xsi:type="xsd:double"&gt;4443.05&lt;/D&gt;&lt;D xsi:type="xsd:double"&gt;4468.73&lt;/D&gt;&lt;D xsi:type="xsd:double"&gt;4458.58&lt;/D&gt;&lt;D xsi:type="xsd:double"&gt;4493.28&lt;/D&gt;&lt;D xsi:type="xsd:double"&gt;4514.07&lt;/D&gt;&lt;D xsi:type="xsd:double"&gt;4520.03&lt;/D&gt;&lt;D xsi:type="xsd:double"&gt;4535.43&lt;/D&gt;&lt;D xsi:type="xsd:double"&gt;4536.95&lt;/D&gt;&lt;D xsi:type="xsd:double"&gt;4524.09&lt;/D&gt;&lt;D xsi:type="xsd:double"&gt;4522.68&lt;/D&gt;&lt;D xsi:type="xsd:double"&gt;4528.79&lt;/D&gt;&lt;D xsi:type="xsd:double"&gt;4509.37&lt;/D&gt;&lt;D xsi:type="xsd:double"&gt;4470&lt;/D&gt;&lt;D xsi:type="xsd:double"&gt;4496.19&lt;/D&gt;&lt;D xsi:type="xsd:double"&gt;4486.23&lt;/D&gt;&lt;D xsi:type="xsd:double"&gt;4479.53&lt;/D&gt;&lt;D xsi:type="xsd:double"&gt;4441.67&lt;/D&gt;&lt;D xsi:type="xsd:double"&gt;4405.8&lt;/D&gt;&lt;D xsi:type="xsd:double"&gt;4400.27&lt;/D&gt;&lt;D xsi:type="xsd:double"&gt;4448.08&lt;/D&gt;&lt;D xsi:type="xsd:double"&gt;4479.71&lt;/D&gt;&lt;D xsi:type="xsd:double"&gt;4468&lt;/D&gt;&lt;D xsi:type="xsd:double"&gt;4460.83&lt;/D&gt;&lt;D xsi:type="xsd:double"&gt;4447.7&lt;/D&gt;&lt;D xsi:type="xsd:double"&gt;4436.75&lt;/D&gt;&lt;D xsi:type="xsd:double"&gt;4432.35&lt;/D&gt;&lt;D xsi:type="xsd:double"&gt;4436.52&lt;/D&gt;&lt;D xsi:type="xsd:double"&gt;4429.1&lt;/D&gt;&lt;D xsi:type="xsd:double"&gt;4402.66&lt;/D&gt;&lt;D xsi:type="xsd:double"&gt;4423.15&lt;/D&gt;&lt;D xsi:type="xsd:double"&gt;4387.16&lt;/D&gt;&lt;D xsi:type="xsd:double"&gt;4395.26&lt;/D&gt;&lt;D xsi:type="xsd:double"&gt;4419.15&lt;/D&gt;&lt;D xsi:type="xsd:double"&gt;4400.64&lt;/D&gt;&lt;D xsi:type="xsd:double"&gt;4401.46&lt;/D&gt;&lt;D xsi:type="xsd:double"&gt;4422.3&lt;/D&gt;&lt;D xsi:type="xsd:double"&gt;4411.79&lt;/D&gt;&lt;D xsi:type="xsd:double"&gt;4367.48&lt;/D&gt;&lt;D xsi:type="xsd:double"&gt;4358.69&lt;/D&gt;&lt;D xsi:type="xsd:double"&gt;4323.06&lt;/D&gt;&lt;D xsi:type="xsd:double"&gt;4258.49&lt;/D&gt;&lt;D xsi:type="xsd:double"&gt;4327.16&lt;/D&gt;&lt;D xsi:type="xsd:double"&gt;4360.03&lt;/D&gt;&lt;D xsi:type="xsd:double"&gt;4374.3&lt;/D&gt;&lt;D xsi:type="xsd:double"&gt;4369.21&lt;/D&gt;&lt;D xsi:type="xsd:double"&gt;4384.63&lt;/D&gt;&lt;D xsi:type="xsd:double"&gt;4369.55&lt;/D&gt;&lt;D xsi:type="xsd:double"&gt;4320.82&lt;/D&gt;&lt;D xsi:type="xsd:double"&gt;4358.13&lt;/D&gt;&lt;D xsi:type="xsd:double"&gt;4343.54&lt;/D&gt;&lt;D xsi:type="xsd:double"&gt;4352.34&lt;/D&gt;&lt;D xsi:type="xsd:double"&gt;4319.94&lt;/D&gt;&lt;D xsi:type="xsd:double"&gt;4297.5&lt;/D&gt;&lt;D xsi:type="xsd:double"&gt;4291.8&lt;/D&gt;&lt;D xsi:type="xsd:double"&gt;4290.61&lt;/D&gt;&lt;D xsi:type="xsd:double"&gt;4280.7&lt;/D&gt;&lt;D xsi:type="xsd:double"&gt;4266.49&lt;/D&gt;&lt;D xsi:type="xsd:double"&gt;4241.84&lt;/D&gt;&lt;D xsi:type="xsd:double"&gt;4246.44&lt;/D&gt;&lt;D xsi:type="xsd:double"&gt;4224.79&lt;/D&gt;&lt;D xsi:type="xsd:double"&gt;4166.45&lt;/D&gt;&lt;D xsi:type="xsd:double"&gt;4221.86&lt;/D&gt;&lt;D xsi:type="xsd:double"&gt;4223.7&lt;/D&gt;&lt;D xsi:type="xsd:double"&gt;4246.59&lt;/D&gt;&lt;D xsi:type="xsd:double"&gt;4255.15&lt;/D&gt;&lt;D xsi:type="xsd:double"&gt;4247.44&lt;/D&gt;&lt;D xsi:type="xsd:double"&gt;4239.18&lt;/D&gt;&lt;D xsi:type="xsd:double"&gt;4219.55&lt;/D&gt;&lt;D xsi:type="xsd:double"&gt;4227.26&lt;/D&gt;&lt;D xsi:type="xsd:double"&gt;4226.52&lt;/D&gt;&lt;D xsi:type="xsd:double"&gt;4229.89&lt;/D&gt;&lt;D xsi:type="xsd:double"&gt;4192.85&lt;/D&gt;&lt;D xsi:type="xsd:double"&gt;4208.12&lt;/D&gt;&lt;D xsi:type="xsd:double"&gt;4202.04&lt;/D&gt;&lt;D xsi:type="xsd:double"&gt;4204.11&lt;/D&gt;&lt;D xsi:type="xsd:double"&gt;4200.88&lt;/D&gt;&lt;D xsi:type="xsd:double"&gt;4195.99&lt;/D&gt;&lt;D xsi:type="xsd:double"&gt;4188.13&lt;/D&gt;&lt;D xsi:type="xsd:double"&gt;4197.05&lt;/D&gt;&lt;D xsi:type="xsd:double"&gt;4155.86&lt;/D&gt;&lt;D xsi:type="xsd:double"&gt;4159.12&lt;/D&gt;&lt;D xsi:type="xsd:double"&gt;4115.68&lt;/D&gt;&lt;D xsi:type="xsd:double"&gt;4127.83&lt;/D&gt;&lt;D xsi:type="xsd:double"&gt;4163.29&lt;/D&gt;&lt;D xsi:type="xsd:double"&gt;4173.85&lt;/D&gt;&lt;D xsi:type="xsd:double"&gt;4112.5&lt;/D&gt;&lt;D xsi:type="xsd:double"&gt;4063.04&lt;/D&gt;&lt;D xsi:type="xsd:double"&gt;4152.1&lt;/D&gt;&lt;D xsi:type="xsd:double"&gt;4188.43&lt;/D&gt;&lt;D xsi:type="xsd:double"&gt;4232.6&lt;/D&gt;&lt;D xsi:type="xsd:double"&gt;4201.62&lt;/D&gt;&lt;D xsi:type="xsd:double"&gt;4167.59&lt;/D&gt;&lt;D xsi:type="xsd:double"&gt;4164.66&lt;/D&gt;&lt;D xsi:type="xsd:double"&gt;4192.66&lt;/D&gt;&lt;D xsi:type="xsd:double"&gt;4181.17&lt;/D&gt;&lt;D xsi:type="xsd:double"&gt;4211.47&lt;/D&gt;&lt;D xsi:type="xsd:double"&gt;4183.18&lt;/D&gt;&lt;D xsi:type="xsd:double"&gt;4186.72&lt;/D&gt;&lt;D xsi:type="xsd:double"&gt;4187.62&lt;/D&gt;&lt;D xsi:type="xsd:double"&gt;4180.17&lt;/D&gt;&lt;D xsi:type="xsd:double"&gt;4134.98&lt;/D&gt;&lt;D xsi:type="xsd:double"&gt;4173.42&lt;/D&gt;&lt;D xsi:type="xsd:double"&gt;4134.94&lt;/D&gt;&lt;D xsi:type="xsd:double"&gt;4163.26&lt;/D&gt;&lt;D xsi:type="xsd:double"&gt;4185.47&lt;/D&gt;&lt;D xsi:type="xsd:double"&gt;4170.42&lt;/D&gt;&lt;D xsi:type="xsd:double"&gt;4124.66&lt;/D&gt;&lt;D xsi:type="xsd:double"&gt;4141.59&lt;/D&gt;&lt;D xsi:type="xsd:double"&gt;4127.99&lt;/D&gt;&lt;D xsi:type="xsd:double"&gt;4128.8&lt;/D&gt;&lt;D xsi:type="xsd:double"&gt;4097.17&lt;/D&gt;&lt;D xsi:type="xsd:double"&gt;4079.95&lt;/D&gt;&lt;D xsi:type="xsd:double"&gt;4073.94&lt;/D&gt;&lt;D xsi:type="xsd:double"&gt;4077.91&lt;/D&gt;&lt;D xsi:type="xsd:double"&gt;4019.87&lt;/D&gt;&lt;D xsi:type="xsd:double"&gt;3972.89&lt;/D&gt;&lt;D xsi:type="xsd:double"&gt;3958.55&lt;/D&gt;&lt;D xsi:type="xsd:double"&gt;3971.09&lt;/D&gt;&lt;D xsi:type="xsd:double"&gt;3974.54&lt;/D&gt;&lt;D xsi:type="xsd:double"&gt;3909.52&lt;/D&gt;&lt;D xsi:type="xsd:double"&gt;3889.14&lt;/D&gt;&lt;D xsi:type="xsd:double"&gt;3910.52&lt;/D&gt;&lt;D xsi:type="xsd:double"&gt;3940.59&lt;/D&gt;&lt;D xsi:type="xsd:double"&gt;3913.1&lt;/D&gt;&lt;D xsi:type="xsd:double"&gt;3915.46&lt;/D&gt;&lt;D xsi:type="xsd:double"&gt;3974.12&lt;/D&gt;&lt;D xsi:type="xsd:double"&gt;3962.71&lt;/D&gt;&lt;D xsi:type="xsd:double"&gt;3968.94&lt;/D&gt;&lt;D xsi:type="xsd:double"&gt;3943.34&lt;/D&gt;&lt;D xsi:type="xsd:double"&gt;3939.34&lt;/D&gt;&lt;D xsi:type="xsd:double"&gt;3898.81&lt;/D&gt;&lt;D xsi:type="xsd:double"&gt;3875.44&lt;/D&gt;&lt;D xsi:type="xsd:double"&gt;3821.35&lt;/D&gt;&lt;D xsi:type="xsd:double"&gt;3841.94&lt;/D&gt;&lt;D xsi:type="xsd:double"&gt;3768.47&lt;/D&gt;&lt;D xsi:type="xsd:double"&gt;3819.72&lt;/D&gt;&lt;D xsi:type="xsd:double"&gt;3870.29&lt;/D&gt;&lt;D xsi:type="xsd:double"&gt;3901.82&lt;/D&gt;&lt;D xsi:type="xsd:double"&gt;3811.15&lt;/D&gt;&lt;D xsi:type="xsd:double"&gt;3829.34&lt;/D&gt;&lt;D xsi:type="xsd:double"&gt;3925.43&lt;/D&gt;&lt;D xsi:type="xsd:double"&gt;3881.37&lt;/D&gt;&lt;D xsi:type="xsd:double"&gt;3876.5&lt;/D&gt;&lt;D xsi:type="xsd:double"&gt;3906.71&lt;/D&gt;&lt;D xsi:type="xsd:double"&gt;3913.97&lt;/D&gt;&lt;D xsi:type="xsd:double"&gt;3931.33&lt;/D&gt;&lt;D xsi:type="xsd:double"&gt;3932.59&lt;/D&gt;&lt;D xsi:type="xsd:double"&gt;3934.83&lt;/D&gt;&lt;D xsi:type="xsd:double"&gt;3916.38&lt;/D&gt;&lt;D xsi:type="xsd:double"&gt;3909.88&lt;/D&gt;&lt;D xsi:type="xsd:double"&gt;3911.23&lt;/D&gt;&lt;D xsi:type="xsd:double"&gt;3915.59&lt;/D&gt;&lt;D xsi:type="xsd:double"&gt;3886.83&lt;/D&gt;&lt;D xsi:type="xsd:double"&gt;3871.74&lt;/D&gt;&lt;D xsi:type="xsd:double"&gt;3830.17&lt;/D&gt;&lt;D xsi:type="xsd:double"&gt;3826.31&lt;/D&gt;&lt;D xsi:type="xsd:double"&gt;3773.86&lt;/D&gt;&lt;D xsi:type="xsd:double"&gt;3714.24&lt;/D&gt;&lt;D xsi:type="xsd:double"&gt;3787.38&lt;/D&gt;&lt;D xsi:type="xsd:double"&gt;3750.77&lt;/D&gt;&lt;D xsi:type="xsd:double"&gt;3849.62&lt;/D&gt;&lt;D xsi:type="xsd:double"&gt;3855.36&lt;/D&gt;&lt;D xsi:type="xsd:double"&gt;3841.47&lt;/D&gt;&lt;D xsi:type="xsd:double"&gt;3853.07&lt;/D&gt;&lt;D xsi:type="xsd:double"&gt;3851.85&lt;/D&gt;&lt;D xsi:type="xsd:double"&gt;3798.91&lt;/D&gt;&lt;D xsi:type="xsd:double"&gt;3768.25&lt;/D&gt;&lt;D xsi:type="xsd:double"&gt;3795.54&lt;/D&gt;&lt;D xsi:type="xsd:double"&gt;3809.84&lt;/D&gt;&lt;D xsi:type="xsd:double"&gt;3801.19&lt;/D&gt;&lt;D xsi:type="xsd:double"&gt;3799.61&lt;/D&gt;&lt;D xsi:type="xsd:double"&gt;3824.68&lt;/D&gt;&lt;D xsi:type="xsd:double"&gt;3803.79&lt;/D&gt;&lt;D xsi:type="xsd:double"&gt;3748.14&lt;/D&gt;&lt;D xsi:type="xsd:double"&gt;3726.86&lt;/D&gt;&lt;D xsi:type="xsd:double"&gt;3700.65&lt;/D&gt;&lt;D xsi:type="xsd:double"&gt;3756.07&lt;/D&gt;&lt;D xsi:type="xsd:double"&gt;3732.04&lt;/D&gt;&lt;D xsi:type="xsd:double"&gt;3727.04&lt;/D&gt;&lt;D xsi:type="xsd:double"&gt;3735.36&lt;/D&gt;&lt;D xsi:type="xsd:double"&gt;3703.06&lt;/D&gt;&lt;D xsi:type="xsd:double"&gt;3690.01&lt;/D&gt;&lt;D xsi:type="xsd:double"&gt;3687.26&lt;/D&gt;&lt;D xsi:type="xsd:double"&gt;3694.92&lt;/D&gt;&lt;D xsi:type="xsd:double"&gt;3709.41&lt;/D&gt;&lt;D xsi:type="xsd:double"&gt;3722.48&lt;/D&gt;&lt;D xsi:type="xsd:double"&gt;3701.17&lt;/D&gt;&lt;D xsi:type="xsd:double"&gt;3694.62&lt;/D&gt;&lt;D xsi:type="xsd:double"&gt;3647.49&lt;/D&gt;&lt;D xsi:type="xsd:double"&gt;3663.46&lt;/D&gt;&lt;D xsi:type="xsd:double"&gt;3668.1&lt;/D&gt;&lt;D xsi:type="xsd:double"&gt;3672.82&lt;/D&gt;&lt;D xsi:type="xsd:double"&gt;3702.25&lt;/D&gt;&lt;D xsi:type="xsd:double"&gt;3691.96&lt;/D&gt;&lt;D xsi:type="xsd:double"&gt;3699.12&lt;/D&gt;&lt;D xsi:type="xsd:double"&gt;3666.72&lt;/D&gt;&lt;D xsi:type="xsd:double"&gt;3669.01&lt;/D&gt;&lt;D xsi:type="xsd:double"&gt;3662.45&lt;/D&gt;&lt;D xsi:type="xsd:double"&gt;3621.63&lt;/D&gt;&lt;D xsi:type="xsd:double"&gt;3638.35&lt;/D&gt;&lt;D xsi:type="xsd:double"&gt;3629.65&lt;/D&gt;&lt;D xsi:type="xsd:double"&gt;3635.41&lt;/D&gt;&lt;D xsi:type="xsd:double"&gt;3577.59&lt;/D&gt;&lt;D xsi:type="xsd:double"&gt;3557.54&lt;/D&gt;&lt;D xsi:type="xsd:double"&gt;3581.87&lt;/D&gt;&lt;D xsi:type="xsd:double"&gt;3567.79&lt;/D&gt;&lt;D xsi:type="xsd:double"&gt;3609.53&lt;/D&gt;&lt;D xsi:type="xsd:double"&gt;3626.91&lt;/D&gt;&lt;D xsi:type="xsd:double"&gt;3585.15&lt;/D&gt;&lt;D xsi:type="xsd:double"&gt;3537.01&lt;/D&gt;&lt;D xsi:type="xsd:double"&gt;3572.66&lt;/D&gt;&lt;D xsi:type="xsd:double"&gt;3545.53&lt;/D&gt;&lt;D xsi:type="xsd:double"&gt;3550.5&lt;/D&gt;&lt;D xsi:type="xsd:double"&gt;3509.44&lt;/D&gt;&lt;D xsi:type="xsd:double"&gt;3510.45&lt;/D&gt;&lt;D xsi:type="xsd:double"&gt;3443.44&lt;/D&gt;&lt;D xsi:type="xsd:double"&gt;3369.1567&lt;/D&gt;&lt;D xsi:type="xsd:double"&gt;3310.24&lt;/D&gt;&lt;D xsi:type="xsd:double"&gt;3269.96&lt;/D&gt;&lt;D xsi:type="xsd:double"&gt;3310.11&lt;/D&gt;&lt;D xsi:type="xsd:double"&gt;3271.03&lt;/D&gt;&lt;D xsi:type="xsd:double"&gt;3390.68&lt;/D&gt;&lt;D xsi:type="xsd:double"&gt;3400.97&lt;/D&gt;&lt;D xsi:type="xsd:double"&gt;3465.39&lt;/D&gt;&lt;D xsi:type="xsd:double"&gt;3453.49&lt;/D&gt;&lt;D xsi:type="xsd:double"&gt;3435.56&lt;/D&gt;&lt;D xsi:type="xsd:double"&gt;3443.12&lt;/D&gt;&lt;D xsi:type="xsd:double"&gt;3426.92&lt;/D&gt;&lt;D xsi:type="xsd:double"&gt;3483.81&lt;/D&gt;&lt;D xsi:type="xsd:double"&gt;3483.34&lt;/D&gt;&lt;D xsi:type="xsd:double"&gt;3488.67&lt;/D&gt;&lt;D xsi:type="xsd:double"&gt;3511.93&lt;/D&gt;&lt;D xsi:type="xsd:double"&gt;3534.22&lt;/D&gt;&lt;D xsi:type="xsd:double"&gt;3477.13&lt;/D&gt;&lt;D xsi:type="xsd:double"&gt;3446.83&lt;/D&gt;&lt;D xsi:type="xsd:double"&gt;3419.45&lt;/D&gt;&lt;D xsi:type="xsd:double"&gt;3360.95&lt;/D&gt;&lt;D xsi:type="xsd:double"&gt;3408.63&lt;/D&gt;&lt;D xsi:type="xsd:double"&gt;3348.44&lt;/D&gt;&lt;D xsi:type="xsd:double"&gt;3380.8&lt;/D&gt;&lt;D xsi:type="xsd:double"&gt;3363&lt;/D&gt;&lt;D xsi:type="xsd:double"&gt;3335.47&lt;/D&gt;&lt;D xsi:type="xsd:double"&gt;3351.6&lt;/D&gt;&lt;D xsi:type="xsd:double"&gt;3298.46&lt;/D&gt;&lt;D xsi:type="xsd:double"&gt;3246.59&lt;/D&gt;&lt;D xsi:type="xsd:double"&gt;3236.92&lt;/D&gt;&lt;D xsi:type="xsd:double"&gt;3315.57&lt;/D&gt;&lt;D xsi:type="xsd:double"&gt;3281.06&lt;/D&gt;&lt;D xsi:type="xsd:double"&gt;3319.47&lt;/D&gt;&lt;D xsi:type="xsd:double"&gt;3357.01&lt;/D&gt;&lt;D xsi:type="xsd:double"&gt;3385.49&lt;/D&gt;&lt;D xsi:type="xsd:double"&gt;3401.2&lt;/D&gt;&lt;D xsi:type="xsd:double"&gt;3383.54&lt;/D&gt;&lt;D xsi:type="xsd:double"&gt;3340.97&lt;/D&gt;&lt;D xsi:type="xsd:double"&gt;3339.19&lt;/D&gt;&lt;D xsi:type="xsd:double"&gt;3398.96&lt;/D&gt;&lt;D xsi:type="xsd:double"&gt;3331.84&lt;/D&gt;&lt;D xsi:type="xsd:double"&gt;3426.96&lt;/D&gt;&lt;D xsi:type="xsd:double"&gt;3455.06&lt;/D&gt;&lt;D xsi:type="xsd:double"&gt;3580.84&lt;/D&gt;&lt;D xsi:type="xsd:double"&gt;3526.65&lt;/D&gt;&lt;D xsi:type="xsd:double"&gt;3500.31&lt;/D&gt;&lt;D xsi:type="xsd:double"&gt;3508.01&lt;/D&gt;&lt;D xsi:type="xsd:double"&gt;3484.55&lt;/D&gt;&lt;D xsi:type="xsd:double"&gt;3478.73&lt;/D&gt;&lt;D xsi:type="xsd:double"&gt;3443.62&lt;/D&gt;&lt;D xsi:type="xsd:double"&gt;3431.28&lt;/D&gt;&lt;D xsi:type="xsd:double"&gt;3397.16&lt;/D&gt;&lt;D xsi:type="xsd:double"&gt;3385.51&lt;/D&gt;&lt;D xsi:type="xsd:double"&gt;3374.85&lt;/D&gt;&lt;D xsi:type="xsd:double"&gt;3389.78&lt;/D&gt;&lt;D xsi:type="xsd:double"&gt;3381.99&lt;/D&gt;&lt;D xsi:type="xsd:double"&gt;3372.85&lt;/D&gt;&lt;D xsi:type="xsd:double"&gt;3373.43&lt;/D&gt;&lt;D xsi:type="xsd:double"&gt;3380.35&lt;/D&gt;&lt;D xsi:type="xsd:double"&gt;3333.69&lt;/D&gt;&lt;D xsi:type="xsd:double"&gt;3360.47&lt;/D&gt;&lt;D xsi:type="xsd:double"&gt;3351.28&lt;/D&gt;&lt;D xsi:type="xsd:double"&gt;3349.16&lt;/D&gt;&lt;D xsi:type="xsd:double"&gt;3327.77&lt;/D&gt;&lt;D xsi:type="xsd:double"&gt;3306.51&lt;/D&gt;&lt;D xsi:type="xsd:double"&gt;3294.61&lt;/D&gt;&lt;D xsi:type="xsd:double"&gt;3271.12&lt;/D&gt;&lt;D xsi:type="xsd:double"&gt;3246.22&lt;/D&gt;&lt;D xsi:type="xsd:double"&gt;3258.44&lt;/D&gt;&lt;D xsi:type="xsd:double"&gt;3218.44&lt;/D&gt;&lt;D xsi:type="xsd:double"&gt;3239.41&lt;/D&gt;&lt;D xsi:type="xsd:double"&gt;3215.63&lt;/D&gt;&lt;D xsi:type="xsd:double"&gt;3235.66&lt;/D&gt;&lt;D xsi:type="xsd:double"&gt;3276.02&lt;/D&gt;&lt;D xsi:type="xsd:double"&gt;3257.3&lt;/D&gt;&lt;D xsi:type="xsd:double"&gt;3251.84&lt;/D&gt;&lt;D xsi:type="xsd:double"&gt;3224.73&lt;/D&gt;&lt;D xsi:type="xsd:double"&gt;3215.57&lt;/D&gt;&lt;D xsi:type="xsd:double"&gt;3226.56&lt;/D&gt;&lt;D xsi:type="xsd:double"&gt;3197.52&lt;/D&gt;&lt;D xsi:type="xsd:double"&gt;3155.22&lt;/D&gt;&lt;D xsi:type="xsd:double"&gt;3185.04&lt;/D&gt;&lt;D xsi:type="xsd:double"&gt;3152.05&lt;/D&gt;&lt;D xsi:type="xsd:double"&gt;3169.94&lt;/D&gt;&lt;D xsi:type="xsd:double"&gt;3145.32&lt;/D&gt;&lt;D xsi:type="xsd:double"&gt;3179.72&lt;/D&gt;&lt;D xsi:type="xsd:double"&gt;3130.01&lt;/D&gt;&lt;D xsi:type="xsd:double"&gt;3115.86&lt;/D&gt;&lt;D xsi:type="xsd:double"&gt;3100.29&lt;/D&gt;&lt;D xsi:type="xsd:double"&gt;3053.24&lt;/D&gt;&lt;D xsi:type="xsd:double"&gt;3009.05&lt;/D&gt;&lt;D xsi:type="xsd:double"&gt;3083.76&lt;/D&gt;&lt;D xsi:type="xsd:double"&gt;3050.33&lt;/D&gt;&lt;D xsi:type="xsd:double"&gt;3131.29&lt;/D&gt;&lt;D xsi:type="xsd:double"&gt;3117.86&lt;/D&gt;&lt;D xsi:type="xsd:double"&gt;3097.74&lt;/D&gt;&lt;D xsi:type="xsd:double"&gt;3115.34&lt;/D&gt;&lt;D xsi:type="xsd:double"&gt;3113.49&lt;/D&gt;&lt;D xsi:type="xsd:double"&gt;3124.74&lt;/D&gt;&lt;D xsi:type="xsd:double"&gt;3066.59&lt;/D&gt;&lt;D xsi:type="xsd:double"&gt;3041.31&lt;/D&gt;&lt;D xsi:type="xsd:double"&gt;3002.1&lt;/D&gt;&lt;D xsi:type="xsd:double"&gt;3190.14&lt;/D&gt;&lt;D xsi:type="xsd:double"&gt;3207.18&lt;/D&gt;&lt;D xsi:type="xsd:double"&gt;3232.39&lt;/D&gt;&lt;D xsi:type="xsd:double"&gt;3193.93&lt;/D&gt;&lt;D xsi:type="xsd:double"&gt;3112.35&lt;/D&gt;&lt;D xsi:type="xsd:double"&gt;3122.87&lt;/D&gt;&lt;D xsi:type="xsd:double"&gt;3080.82&lt;/D&gt;&lt;D xsi:type="xsd:double"&gt;3055.73&lt;/D&gt;&lt;D xsi:type="xsd:double"&gt;3044.31&lt;/D&gt;&lt;D xsi:type="xsd:double"&gt;3029.73&lt;/D&gt;&lt;D xsi:type="xsd:double"&gt;3036.13&lt;/D&gt;&lt;D xsi:type="xsd:double"&gt;2991.77&lt;/D&gt;&lt;D xsi:type="xsd:double"&gt;2955.45&lt;/D&gt;&lt;D xsi:type="xsd:double"&gt;2948.51&lt;/D&gt;&lt;D xsi:type="xsd:double"&gt;2971.61&lt;/D&gt;&lt;D xsi:type="xsd:double"&gt;2922.94&lt;/D&gt;&lt;D xsi:type="xsd:double"&gt;2953.91&lt;/D&gt;&lt;D xsi:type="xsd:double"&gt;2863.7&lt;/D&gt;&lt;D xsi:type="xsd:double"&gt;2852.5&lt;/D&gt;&lt;D xsi:type="xsd:double"&gt;2820&lt;/D&gt;&lt;D xsi:type="xsd:double"&gt;2870.12&lt;/D&gt;&lt;D xsi:type="xsd:double"&gt;2930.32&lt;/D&gt;&lt;D xsi:type="xsd:double"&gt;2929.8&lt;/D&gt;&lt;D xsi:type="xsd:double"&gt;2881.19&lt;/D&gt;&lt;D xsi:type="xsd:double"&gt;2848.42&lt;/D&gt;&lt;D xsi:type="xsd:double"&gt;2868.44&lt;/D&gt;&lt;D xsi:type="xsd:double"&gt;2842.74&lt;/D&gt;&lt;D xsi:type="xsd:double"&gt;2830.71&lt;/D&gt;&lt;D xsi:type="xsd:double"&gt;2912.43&lt;/D&gt;&lt;D xsi:type="xsd:double"&gt;2939.51&lt;/D&gt;&lt;D xsi:type="xsd:double"&gt;2863.39&lt;/D&gt;&lt;D xsi:type="xsd:double"&gt;2878.48&lt;/D&gt;&lt;D xsi:type="xsd:double"&gt;2836.74&lt;/D&gt;&lt;D xsi:type="xsd:double"&gt;2797.8&lt;/D&gt;&lt;D xsi:type="xsd:double"&gt;2799.31&lt;/D&gt;&lt;D xsi:type="xsd:double"&gt;2736.56&lt;/D&gt;&lt;D xsi:type="xsd:double"&gt;2823.16&lt;/D&gt;&lt;D xsi:type="xsd:double"&gt;2874.56&lt;/D&gt;&lt;D xsi:type="xsd:double"&gt;2799.55&lt;/D&gt;&lt;D xsi:type="xsd:double"&gt;2783.36&lt;/D&gt;&lt;D xsi:type="xsd:double"&gt;2846.06&lt;/D&gt;&lt;D xsi:type="xsd:double"&gt;2761.63&lt;/D&gt;&lt;D xsi:type="xsd:double"&gt;2789.82&lt;/D&gt;&lt;D xsi:type="xsd:double"&gt;2749.98&lt;/D&gt;&lt;D xsi:type="xsd:double"&gt;2659.41&lt;/D&gt;&lt;D xsi:type="xsd:double"&gt;2663.68&lt;/D&gt;&lt;D xsi:type="xsd:double"&gt;2488.65&lt;/D&gt;&lt;D xsi:type="xsd:double"&gt;2526.9&lt;/D&gt;&lt;D xsi:type="xsd:double"&gt;2470.5&lt;/D&gt;&lt;D xsi:type="xsd:double"&gt;2584.59&lt;/D&gt;&lt;D xsi:type="xsd:double"&gt;2626.65&lt;/D&gt;&lt;D xsi:type="xsd:double"&gt;2541.47&lt;/D&gt;&lt;D xsi:type="xsd:double"&gt;2630.07&lt;/D&gt;&lt;D xsi:type="xsd:double"&gt;2475.56&lt;/D&gt;&lt;D xsi:type="xsd:double"&gt;2447.33&lt;/D&gt;&lt;D xsi:type="xsd:double"&gt;2237.4&lt;/D&gt;&lt;D xsi:type="xsd:double"&gt;2304.92&lt;/D&gt;&lt;D xsi:type="xsd:double"&gt;2409.39&lt;/D&gt;&lt;D xsi:type="xsd:double"&gt;2398.1&lt;/D&gt;&lt;D xsi:type="xsd:double"&gt;2529.19&lt;/D&gt;&lt;D xsi:type="xsd:double"&gt;2386.13&lt;/D&gt;&lt;D xsi:type="xsd:double"&gt;2711.02&lt;/D&gt;&lt;D xsi:type="xsd:double"&gt;2480.64&lt;/D&gt;&lt;D xsi:type="xsd:double"&gt;2741.38&lt;/D&gt;&lt;D xsi:type="xsd:double"&gt;2882.23&lt;/D&gt;&lt;D xsi:type="xsd:double"&gt;2746.56&lt;/D&gt;&lt;D xsi:type="xsd:double"&gt;2972.37&lt;/D&gt;&lt;D xsi:type="xsd:double"&gt;3023.94&lt;/D&gt;&lt;D xsi:type="xsd:double"&gt;3130.12&lt;/D&gt;&lt;D xsi:type="xsd:double"&gt;3003.37&lt;/D&gt;&lt;D xsi:type="xsd:double"&gt;3090.23&lt;/D&gt;&lt;D xsi:type="xsd:double"&gt;2954.22&lt;/D&gt;&lt;D xsi:type="xsd:double"&gt;2978.76&lt;/D&gt;&lt;D xsi:type="xsd:double"&gt;3116.39&lt;/D&gt;&lt;D xsi:type="xsd:double"&gt;3128.21&lt;/D&gt;&lt;D xsi:type="xsd:double"&gt;3225.89&lt;/D&gt;&lt;D xsi:type="xsd:double"&gt;3337.75&lt;/D&gt;&lt;D xsi:type="xsd:double"&gt;3373.23&lt;/D&gt;&lt;D xsi:type="xsd:double"&gt;3386.15&lt;/D&gt;&lt;D xsi:type="xsd:double"&gt;3370.29&lt;/D&gt;&lt;D xsi:type="xsd:double"&gt;3380.16&lt;/D&gt;&lt;D xsi:type="xsd:double"&gt;3373.94&lt;/D&gt;&lt;D xsi:type="xsd:double"&gt;3379.45&lt;/D&gt;&lt;D xsi:type="xsd:double"&gt;3357.75&lt;/D&gt;&lt;D xsi:type="xsd:double"&gt;3352.09&lt;/D&gt;&lt;D xsi:type="xsd:double"&gt;3327.71&lt;/D&gt;&lt;D xsi:type="xsd:double"&gt;3345.78&lt;/D&gt;&lt;D xsi:type="xsd:double"&gt;3334.69&lt;/D&gt;&lt;D xsi:type="xsd:double"&gt;3297.59&lt;/D&gt;&lt;D xsi:type="xsd:double"&gt;3248.92&lt;/D&gt;&lt;D xsi:type="xsd:double"&gt;3225.52&lt;/D&gt;&lt;D xsi:type="xsd:double"&gt;3283.66&lt;/D&gt;&lt;D xsi:type="xsd:double"&gt;3273.4&lt;/D&gt;&lt;D xsi:type="xsd:double"&gt;3276.24&lt;/D&gt;&lt;D xsi:type="xsd:double"&gt;3243.63&lt;/D&gt;&lt;D xsi:type="xsd:double"&gt;3295.47&lt;/D&gt;&lt;D xsi:type="xsd:double"&gt;3325.54&lt;/D&gt;&lt;D xsi:type="xsd:double"&gt;3321.75&lt;/D&gt;&lt;D xsi:type="xsd:double"&gt;3320.79&lt;/D&gt;&lt;D xsi:type="xsd:double"&gt;3329.62&lt;/D&gt;&lt;D xsi:type="xsd:double"&gt;3316.81&lt;/D&gt;&lt;D xsi:type="xsd:double"&gt;3289.29&lt;/D&gt;&lt;D xsi:type="xsd:double"&gt;3283.15&lt;/D&gt;&lt;D xsi:type="xsd:double"&gt;3288.13&lt;/D&gt;&lt;D xsi:type="xsd:double"&gt;3265.35&lt;/D&gt;&lt;D xsi:type="xsd:double"&gt;3274.7&lt;/D&gt;&lt;D xsi:type="xsd:double"&gt;3253.05&lt;/D&gt;&lt;D xsi:type="xsd:double"&gt;3237.18&lt;/D&gt;&lt;D xsi:type="xsd:double"&gt;3246.28&lt;/D&gt;&lt;D xsi:type="xsd:double"&gt;3234.85&lt;/D&gt;&lt;D xsi:type="xsd:double"&gt;3257.85&lt;/D&gt;&lt;D xsi:type="xsd:double"&gt;3230.78&lt;/D&gt;&lt;D xsi:type="xsd:double"&gt;3221.29&lt;/D&gt;&lt;D xsi:type="xsd:double"&gt;3240.02&lt;/D&gt;&lt;D xsi:type="xsd:double"&gt;3239.91&lt;/D&gt;&lt;D xsi:type="xsd:double"&gt;3223.38&lt;/D&gt;&lt;D xsi:type="xsd:double"&gt;3224.01&lt;/D&gt;&lt;D xsi:type="xsd:double"&gt;3221.22&lt;/D&gt;&lt;D xsi:type="xsd:double"&gt;3205.37&lt;/D&gt;&lt;D xsi:type="xsd:double"&gt;3191.14&lt;/D&gt;&lt;D xsi:type="xsd:double"&gt;3192.52&lt;/D&gt;&lt;D xsi:type="xsd:double"&gt;3191.45&lt;/D&gt;&lt;D xsi:type="xsd:double"&gt;3168.8&lt;/D&gt;&lt;D xsi:type="xsd:double"&gt;3168.57&lt;/D&gt;&lt;D xsi:type="xsd:double"&gt;3141.63&lt;/D&gt;&lt;D xsi:type="xsd:double"&gt;3132.52&lt;/D&gt;&lt;D xsi:type="xsd:double"&gt;3135.96&lt;/D&gt;&lt;D xsi:type="xsd:double"&gt;3145.91&lt;/D&gt;&lt;D xsi:type="xsd:double"&gt;3117.43&lt;/D&gt;&lt;D xsi:type="xsd:double"&gt;3112.76&lt;/D&gt;&lt;D xsi:type="xsd:double"&gt;3093.2&lt;/D&gt;&lt;D xsi:type="xsd:double"&gt;3113.87&lt;/D&gt;&lt;D xsi:type="xsd:double"&gt;3140.98&lt;/D&gt;&lt;D xsi:type="xsd:double"&gt;3153.63&lt;/D&gt;&lt;D xsi:type="xsd:double"&gt;3140.52&lt;/D&gt;&lt;D xsi:type="xsd:double"&gt;3133.64&lt;/D&gt;&lt;D xsi:type="xsd:double"&gt;3110.29&lt;/D&gt;&lt;D xsi:type="xsd:double"&gt;3103.54&lt;/D&gt;&lt;D xsi:type="xsd:double"&gt;3108.46&lt;/D&gt;&lt;D xsi:type="xsd:double"&gt;3120.18&lt;/D&gt;&lt;D xsi:type="xsd:double"&gt;3122.03&lt;/D&gt;&lt;D xsi:type="xsd:double"&gt;3120.46&lt;/D&gt;&lt;D xsi:type="xsd:double"&gt;3096.63&lt;/D&gt;&lt;D xsi:type="xsd:double"&gt;3094.04&lt;/D&gt;&lt;D xsi:type="xsd:double"&gt;3091.84&lt;/D&gt;&lt;D xsi:type="xsd:double"&gt;3087.01&lt;/D&gt;&lt;D xsi:type="xsd:double"&gt;3093.08&lt;/D&gt;&lt;D xsi:type="xsd:double"&gt;3085.18&lt;/D&gt;&lt;D xsi:type="xsd:double"&gt;3076.78&lt;/D&gt;&lt;D xsi:type="xsd:double"&gt;3074.62&lt;/D&gt;&lt;D xsi:type="xsd:double"&gt;3078.27&lt;/D&gt;&lt;D xsi:type="xsd:double"&gt;3066.91&lt;/D&gt;&lt;D xsi:type="xsd:double"&gt;3037.56&lt;/D&gt;&lt;D xsi:type="xsd:double"&gt;3046.77&lt;/D&gt;&lt;D xsi:type="xsd:double"&gt;3036.89&lt;/D&gt;&lt;D xsi:type="xsd:double"&gt;3039.42&lt;/D&gt;&lt;D xsi:type="xsd:double"&gt;3022.55&lt;/D&gt;&lt;D xsi:type="xsd:double"&gt;3010.29&lt;/D&gt;&lt;D xsi:type="xsd:double"&gt;3004.52&lt;/D&gt;&lt;D xsi:type="xsd:double"&gt;2995.99&lt;/D&gt;&lt;D xsi:type="xsd:double"&gt;3006.72&lt;/D&gt;&lt;D xsi:type="xsd:double"&gt;2986.2&lt;/D&gt;&lt;D xsi:type="xsd:double"&gt;2997.95&lt;/D&gt;&lt;D xsi:type="xsd:double"&gt;2989.69&lt;/D&gt;&lt;D xsi:type="xsd:double"&gt;2995.68&lt;/D&gt;&lt;D xsi:type="xsd:double"&gt;2966.15&lt;/D&gt;&lt;D xsi:type="xsd:double"&gt;2970.27&lt;/D&gt;&lt;D xsi:type="xsd:double"&gt;2938.13&lt;/D&gt;&lt;D xsi:type="xsd:double"&gt;2919.4&lt;/D&gt;&lt;D xsi:type="xsd:double"&gt;2893.06&lt;/D&gt;&lt;D xsi:type="xsd:double"&gt;2938.79&lt;/D&gt;&lt;D xsi:type="xsd:double"&gt;2952.01&lt;/D&gt;&lt;D xsi:type="xsd:double"&gt;2910.63&lt;/D&gt;&lt;D xsi:type="xsd:double"&gt;2887.61&lt;/D&gt;&lt;D xsi:type="xsd:double"&gt;2940.25&lt;/D&gt;&lt;D xsi:type="xsd:double"&gt;2976.74&lt;/D&gt;&lt;D xsi:type="xsd:double"&gt;2961.79&lt;/D&gt;&lt;D xsi:type="xsd:double"&gt;2977.62&lt;/D&gt;&lt;D xsi:type="xsd:double"&gt;2984.87&lt;/D&gt;&lt;D xsi:type="xsd:double"&gt;2966.6&lt;/D&gt;&lt;D xsi:type="xsd:double"&gt;2991.78&lt;/D&gt;&lt;D xsi:type="xsd:double"&gt;2992.07&lt;/D&gt;&lt;D xsi:type="xsd:double"&gt;3006.79&lt;/D&gt;&lt;D xsi:type="xsd:double"&gt;3006.73&lt;/D&gt;&lt;D xsi:type="xsd:double"&gt;3005.7&lt;/D&gt;&lt;D xsi:type="xsd:double"&gt;2997.96&lt;/D&gt;&lt;D xsi:type="xsd:double"&gt;3007.39&lt;/D&gt;&lt;D xsi:type="xsd:double"&gt;3009.57&lt;/D&gt;&lt;D xsi:type="xsd:double"&gt;3000.93&lt;/D&gt;&lt;D xsi:type="xsd:double"&gt;2979.39&lt;/D&gt;&lt;D xsi:type="xsd:double"&gt;2978.43&lt;/D&gt;&lt;D xsi:type="xsd:double"&gt;2978.71&lt;/D&gt;&lt;D xsi:type="xsd:double"&gt;2976&lt;/D&gt;&lt;D xsi:type="xsd:double"&gt;2937.78&lt;/D&gt;&lt;D xsi:type="xsd:double"&gt;2906.27&lt;/D&gt;&lt;D xsi:type="xsd:double"&gt;2926.46&lt;/D&gt;&lt;D xsi:type="xsd:double"&gt;2924.58&lt;/D&gt;&lt;D xsi:type="xsd:double"&gt;2887.94&lt;/D&gt;&lt;D xsi:type="xsd:double"&gt;2869.16&lt;/D&gt;&lt;D xsi:type="xsd:double"&gt;2878.38&lt;/D&gt;&lt;D xsi:type="xsd:double"&gt;2847.11&lt;/D&gt;&lt;D xsi:type="xsd:double"&gt;2922.95&lt;/D&gt;&lt;D xsi:type="xsd:double"&gt;2924.43&lt;/D&gt;&lt;D xsi:type="xsd:double"&gt;2900.51&lt;/D&gt;&lt;D xsi:type="xsd:double"&gt;2923.65&lt;/D&gt;&lt;D xsi:type="xsd:double"&gt;2888.68&lt;/D&gt;&lt;D xsi:type="xsd:double"&gt;2847.6&lt;/D&gt;&lt;D xsi:type="xsd:double"&gt;2840.6&lt;/D&gt;&lt;D xsi:type="xsd:double"&gt;2926.32&lt;/D&gt;&lt;D xsi:type="xsd:double"&gt;2883.75&lt;/D&gt;&lt;D xsi:type="xsd:double"&gt;2918.65&lt;/D&gt;&lt;D xsi:type="xsd:double"&gt;2938.09&lt;/D&gt;&lt;D xsi:type="xsd:double"&gt;2883.98&lt;/D&gt;&lt;D xsi:type="xsd:double"&gt;2881.77&lt;/D&gt;&lt;D xsi:type="xsd:double"&gt;2844.74&lt;/D&gt;&lt;D xsi:type="xsd:double"&gt;2932.05&lt;/D&gt;&lt;D xsi:type="xsd:double"&gt;2953.56&lt;/D&gt;&lt;D xsi:type="xsd:double"&gt;2980.38&lt;/D&gt;&lt;D xsi:type="xsd:double"&gt;3013.18&lt;/D&gt;&lt;D xsi:type="xsd:double"&gt;3020.97&lt;/D&gt;&lt;D xsi:type="xsd:double"&gt;3025.86&lt;/D&gt;&lt;D xsi:type="xsd:double"&gt;3003.67&lt;/D&gt;&lt;D xsi:type="xsd:double"&gt;3019.56&lt;/D&gt;&lt;D xsi:type="xsd:double"&gt;3005.47&lt;/D&gt;&lt;D xsi:type="xsd:double"&gt;2985.03&lt;/D&gt;&lt;D xsi:type="xsd:double"&gt;2976.61&lt;/D&gt;&lt;D xsi:type="xsd:double"&gt;2995.11&lt;/D&gt;&lt;D xsi:type="xsd:double"&gt;2984.42&lt;/D&gt;&lt;D xsi:type="xsd:double"&gt;3004.04&lt;/D&gt;&lt;D xsi:type="xsd:double"&gt;3014.3&lt;/D&gt;&lt;D xsi:type="xsd:double"&gt;3013.77&lt;/D&gt;&lt;D xsi:type="xsd:double"&gt;2999.91&lt;/D&gt;&lt;D xsi:type="xsd:double"&gt;2993.07&lt;/D&gt;&lt;D xsi:type="xsd:double"&gt;2979.63&lt;/D&gt;&lt;D xsi:type="xsd:double"&gt;2975.95&lt;/D&gt;&lt;D xsi:type="xsd:double"&gt;2990.41&lt;/D&gt;&lt;D xsi:type="xsd:double"&gt;2995.82&lt;/D&gt;&lt;D xsi:type="xsd:double"&gt;2973.01&lt;/D&gt;&lt;D xsi:type="xsd:double"&gt;2964.33&lt;/D&gt;&lt;D xsi:type="xsd:double"&gt;2941.76&lt;/D&gt;&lt;D xsi:type="xsd:double"&gt;2924.92&lt;/D&gt;&lt;D xsi:type="xsd:double"&gt;2913.78&lt;/D&gt;&lt;D xsi:type="xsd:double"&gt;2917.38&lt;/D&gt;&lt;D xsi:type="xsd:double"&gt;2945.35&lt;/D&gt;&lt;D xsi:type="xsd:double"&gt;2950.46&lt;/D&gt;&lt;D xsi:type="xsd:double"&gt;2954.18&lt;/D&gt;&lt;D xsi:type="xsd:double"&gt;2926.46&lt;/D&gt;&lt;D xsi:type="xsd:double"&gt;2917.75&lt;/D&gt;&lt;D xsi:type="xsd:double"&gt;2889.67&lt;/D&gt;&lt;D xsi:type="xsd:double"&gt;2886.98&lt;/D&gt;&lt;D xsi:type="xsd:double"&gt;2891.64&lt;/D&gt;&lt;D xsi:type="xsd:double"&gt;2879.84&lt;/D&gt;&lt;D xsi:type="xsd:double"&gt;2885.72&lt;/D&gt;&lt;D xsi:type="xsd:double"&gt;2886.73&lt;/D&gt;&lt;D xsi:type="xsd:double"&gt;2873.34&lt;/D&gt;&lt;D xsi:type="xsd:double"&gt;2843.49&lt;/D&gt;&lt;D xsi:type="xsd:double"&gt;2826.15&lt;/D&gt;&lt;D xsi:type="xsd:double"&gt;2803.27&lt;/D&gt;&lt;D xsi:type="xsd:double"&gt;2744.45&lt;/D&gt;&lt;D xsi:type="xsd:double"&gt;2752.06&lt;/D&gt;&lt;D xsi:type="xsd:double"&gt;2788.86&lt;/D&gt;&lt;D xsi:type="xsd:double"&gt;2783.02&lt;/D&gt;&lt;D xsi:type="xsd:double"&gt;2802.39&lt;/D&gt;&lt;D xsi:type="xsd:double"&gt;2826.06&lt;/D&gt;&lt;D xsi:type="xsd:double"&gt;2822.24&lt;/D&gt;&lt;D xsi:type="xsd:double"&gt;2856.27&lt;/D&gt;&lt;D xsi:type="xsd:double"&gt;2864.36&lt;/D&gt;&lt;D xsi:type="xsd:double"&gt;2840.23&lt;/D&gt;&lt;D xsi:type="xsd:double"&gt;2859.53&lt;/D&gt;&lt;D xsi:type="xsd:double"&gt;2876.32&lt;/D&gt;&lt;D xsi:type="xsd:double"&gt;2850.96&lt;/D&gt;&lt;D xsi:type="xsd:double"&gt;2834.41&lt;/D&gt;&lt;D xsi:type="xsd:double"&gt;2811.87&lt;/D&gt;&lt;D xsi:type="xsd:double"&gt;2881.4&lt;/D&gt;&lt;D xsi:type="xsd:double"&gt;2870.72&lt;/D&gt;&lt;D xsi:type="xsd:double"&gt;2879.42&lt;/D&gt;&lt;D xsi:type="xsd:double"&gt;2884.05&lt;/D&gt;&lt;D xsi:type="xsd:double"&gt;2932.47&lt;/D&gt;&lt;D xsi:type="xsd:double"&gt;2945.64&lt;/D&gt;&lt;D xsi:type="xsd:double"&gt;2917.52&lt;/D&gt;&lt;D xsi:type="xsd:double"&gt;2923.73&lt;/D&gt;&lt;D xsi:type="xsd:double"&gt;2945.83&lt;/D&gt;&lt;D xsi:type="xsd:double"&gt;2943.03&lt;/D&gt;&lt;D xsi:type="xsd:double"&gt;2939.88&lt;/D&gt;&lt;D xsi:type="xsd:double"&gt;2926.17&lt;/D&gt;&lt;D xsi:type="xsd:double"&gt;2927.25&lt;/D&gt;&lt;D xsi:type="xsd:double"&gt;2933.68&lt;/D&gt;&lt;D xsi:type="xsd:double"&gt;2907.97&lt;/D&gt;&lt;D xsi:type="xsd:double"&gt;2905.03&lt;/D&gt;&lt;D xsi:type="xsd:double"&gt;2900.45&lt;/D&gt;&lt;D xsi:type="xsd:double"&gt;2907.06&lt;/D&gt;&lt;D xsi:type="xsd:double"&gt;2905.58&lt;/D&gt;&lt;D xsi:type="xsd:double"&gt;2907.41&lt;/D&gt;&lt;D xsi:type="xsd:double"&gt;2888.32&lt;/D&gt;&lt;D xsi:type="xsd:double"&gt;2888.21&lt;/D&gt;&lt;D xsi:type="xsd:double"&gt;2878.2&lt;/D&gt;&lt;D xsi:type="xsd:double"&gt;2895.77&lt;/D&gt;&lt;D xsi:type="xsd:double"&gt;2892.74&lt;/D&gt;&lt;D xsi:type="xsd:double"&gt;2879.39&lt;/D&gt;&lt;D xsi:type="xsd:double"&gt;2873.4&lt;/D&gt;&lt;D xsi:type="xsd:double"&gt;2867.24&lt;/D&gt;&lt;D xsi:type="xsd:double"&gt;2867.19&lt;/D&gt;&lt;D xsi:type="xsd:double"&gt;2834.4&lt;/D&gt;&lt;D xsi:type="xsd:double"&gt;2815.44&lt;/D&gt;&lt;D xsi:type="xsd:double"&gt;2805.37&lt;/D&gt;&lt;D xsi:type="xsd:double"&gt;2818.46&lt;/D&gt;&lt;D xsi:type="xsd:double"&gt;2798.36&lt;/D&gt;&lt;D xsi:type="xsd:double"&gt;2800.71&lt;/D&gt;&lt;D xsi:type="xsd:double"&gt;2854.88&lt;/D&gt;&lt;D xsi:type="xsd:double"&gt;2824.23&lt;/D&gt;&lt;D xsi:type="xsd:double"&gt;2832.57&lt;/D&gt;&lt;D xsi:type="xsd:double"&gt;2832.94&lt;/D&gt;&lt;D xsi:type="xsd:double"&gt;2822.48&lt;/D&gt;&lt;D xsi:type="xsd:double"&gt;2808.48&lt;/D&gt;&lt;D xsi:type="xsd:double"&gt;2810.92&lt;/D&gt;&lt;D xsi:type="xsd:double"&gt;2791.52&lt;/D&gt;&lt;D xsi:type="xsd:double"&gt;2783.3&lt;/D&gt;&lt;D xsi:type="xsd:double"&gt;2743.07&lt;/D&gt;&lt;D xsi:type="xsd:double"&gt;2748.93&lt;/D&gt;&lt;D xsi:type="xsd:double"&gt;2771.45&lt;/D&gt;&lt;D xsi:type="xsd:double"&gt;2789.65&lt;/D&gt;&lt;D xsi:type="xsd:double"&gt;2792.81&lt;/D&gt;&lt;D xsi:type="xsd:double"&gt;2803.69&lt;/D&gt;&lt;D xsi:type="xsd:double"&gt;2784.49&lt;/D&gt;&lt;D xsi:type="xsd:double"&gt;2792.38&lt;/D&gt;&lt;D xsi:type="xsd:double"&gt;2793.9&lt;/D&gt;&lt;D xsi:type="xsd:double"&gt;2796.11&lt;/D&gt;&lt;D xsi:type="xsd:double"&gt;2792.67&lt;/D&gt;&lt;D xsi:type="xsd:double"&gt;2774.88&lt;/D&gt;&lt;D xsi:type="xsd:double"&gt;2784.7&lt;/D&gt;&lt;D xsi:type="xsd:double"&gt;2779.76&lt;/D&gt;&lt;D xsi:type="xsd:double"&gt;2775.6&lt;/D&gt;&lt;D xsi:type="xsd:double"&gt;2745.73&lt;/D&gt;&lt;D xsi:type="xsd:double"&gt;2753.03&lt;/D&gt;&lt;D xsi:type="xsd:double"&gt;2744.73&lt;/D&gt;&lt;D xsi:type="xsd:double"&gt;2709.8&lt;/D&gt;&lt;D xsi:type="xsd:double"&gt;2707.88&lt;/D&gt;&lt;D xsi:type="xsd:double"&gt;2706.05&lt;/D&gt;&lt;D xsi:type="xsd:double"&gt;2731.61&lt;/D&gt;&lt;D xsi:type="xsd:double"&gt;2737.7&lt;/D&gt;&lt;D xsi:type="xsd:double"&gt;2724.87&lt;/D&gt;&lt;D xsi:type="xsd:double"&gt;2706.53&lt;/D&gt;&lt;D xsi:type="xsd:double"&gt;2704.1&lt;/D&gt;&lt;D xsi:type="xsd:double"&gt;2681.05&lt;/D&gt;&lt;D xsi:type="xsd:double"&gt;2640&lt;/D&gt;&lt;D xsi:type="xsd:double"&gt;2643.85&lt;/D&gt;&lt;D xsi:type="xsd:double"&gt;2664.76&lt;/D&gt;&lt;D xsi:type="xsd:double"&gt;2642.33&lt;/D&gt;&lt;D xsi:type="xsd:double"&gt;2638.7&lt;/D&gt;&lt;D xsi:type="xsd:double"&gt;2632.9&lt;/D&gt;&lt;D xsi:type="xsd:double"&gt;2670.71&lt;/D&gt;&lt;D xsi:type="xsd:double"&gt;2635.96&lt;/D&gt;&lt;D xsi:type="xsd:double"&gt;2616.1&lt;/D&gt;&lt;D xsi:type="xsd:double"&gt;2610.3&lt;/D&gt;&lt;D xsi:type="xsd:double"&gt;2582.61&lt;/D&gt;&lt;D xsi:type="xsd:double"&gt;2596.26&lt;/D&gt;&lt;D xsi:type="xsd:double"&gt;2596.64&lt;/D&gt;&lt;D xsi:type="xsd:double"&gt;2584.96&lt;/D&gt;&lt;D xsi:type="xsd:double"&gt;2574.41&lt;/D&gt;&lt;D xsi:type="xsd:double"&gt;2549.69&lt;/D&gt;&lt;D xsi:type="xsd:double"&gt;2531.94&lt;/D&gt;&lt;D xsi:type="xsd:double"&gt;2447.89&lt;/D&gt;&lt;D xsi:type="xsd:double"&gt;2510.03&lt;/D&gt;&lt;D xsi:type="xsd:double"&gt;2506.85&lt;/D&gt;&lt;D xsi:type="xsd:double"&gt;2485.74&lt;/D&gt;&lt;D xsi:type="xsd:double"&gt;2488.83&lt;/D&gt;&lt;D xsi:type="xsd:double"&gt;2467.7&lt;/D&gt;&lt;D xsi:type="xsd:double"&gt;2351.1&lt;/D&gt;&lt;D xsi:type="xsd:double"&gt;2416.62&lt;/D&gt;&lt;D xsi:type="xsd:double"&gt;2467.42&lt;/D&gt;&lt;D xsi:type="xsd:double"&gt;2506.96&lt;/D&gt;&lt;D xsi:type="xsd:double"&gt;2546.16&lt;/D&gt;&lt;D xsi:type="xsd:double"&gt;2545.94&lt;/D&gt;&lt;D xsi:type="xsd:double"&gt;2599.95&lt;/D&gt;&lt;D xsi:type="xsd:double"&gt;2650.54&lt;/D&gt;&lt;D xsi:type="xsd:double"&gt;2651.07&lt;/D&gt;&lt;D xsi:type="xsd:double"&gt;2636.78&lt;/D&gt;&lt;D xsi:type="xsd:double"&gt;2637.72&lt;/D&gt;&lt;D xsi:type="xsd:double"&gt;2633.08&lt;/D&gt;&lt;D xsi:type="xsd:double"&gt;2695.95&lt;/D&gt;&lt;D xsi:type="xsd:double"&gt;2700.06&lt;/D&gt;&lt;D xsi:type="xsd:double"&gt;2790.37&lt;/D&gt;&lt;D xsi:type="xsd:double"&gt;2760.17&lt;/D&gt;&lt;D xsi:type="xsd:double"&gt;2737.76&lt;/D&gt;&lt;D xsi:type="xsd:double"&gt;2743.79&lt;/D&gt;&lt;D xsi:type="xsd:double"&gt;2682.17&lt;/D&gt;&lt;D xsi:type="xsd:double"&gt;2673.45&lt;/D&gt;&lt;D xsi:type="xsd:double"&gt;2632.56&lt;/D&gt;&lt;D xsi:type="xsd:double"&gt;2649.93&lt;/D&gt;&lt;D xsi:type="xsd:double"&gt;2641.89&lt;/D&gt;&lt;D xsi:type="xsd:double"&gt;2690.73&lt;/D&gt;&lt;D xsi:type="xsd:double"&gt;2736.27&lt;/D&gt;&lt;D xsi:type="xsd:double"&gt;2730.2&lt;/D&gt;&lt;D xsi:type="xsd:double"&gt;2701.58&lt;/D&gt;&lt;D xsi:type="xsd:double"&gt;2722.18&lt;/D&gt;&lt;D xsi:type="xsd:double"&gt;2726.22&lt;/D&gt;&lt;D xsi:type="xsd:double"&gt;2781.01&lt;/D&gt;&lt;D xsi:type="xsd:double"&gt;2806.83&lt;/D&gt;&lt;D xsi:type="xsd:double"&gt;2813.89&lt;/D&gt;&lt;D xsi:type="xsd:double"&gt;2755.45&lt;/D&gt;&lt;D xsi:type="xsd:double"&gt;2738.31&lt;/D&gt;&lt;D xsi:type="xsd:double"&gt;2723.06&lt;/D&gt;&lt;D xsi:type="xsd:double"&gt;2740.37&lt;/D&gt;&lt;D xsi:type="xsd:double"&gt;2711.74&lt;/D&gt;&lt;D xsi:type="xsd:double"&gt;2682.63&lt;/D&gt;&lt;D xsi:type="xsd:double"&gt;2641.25&lt;/D&gt;&lt;D xsi:type="xsd:double"&gt;2658.69&lt;/D&gt;&lt;D xsi:type="xsd:double"&gt;2705.57&lt;/D&gt;&lt;D xsi:type="xsd:double"&gt;2656.1&lt;/D&gt;&lt;D xsi:type="xsd:double"&gt;2740.69&lt;/D&gt;&lt;D xsi:type="xsd:double"&gt;2755.88&lt;/D&gt;&lt;D xsi:type="xsd:double"&gt;2767.78&lt;/D&gt;&lt;D xsi:type="xsd:double"&gt;2768.78&lt;/D&gt;&lt;D xsi:type="xsd:double"&gt;2809.21&lt;/D&gt;&lt;D xsi:type="xsd:double"&gt;2809.92&lt;/D&gt;&lt;D xsi:type="xsd:double"&gt;2750.79&lt;/D&gt;&lt;D xsi:type="xsd:double"&gt;2767.13&lt;/D&gt;&lt;D xsi:type="xsd:double"&gt;2728.37&lt;/D&gt;&lt;D xsi:type="xsd:double"&gt;2785.68&lt;/D&gt;&lt;D xsi:type="xsd:double"&gt;2880.34&lt;/D&gt;&lt;D xsi:type="xsd:double"&gt;2884.43&lt;/D&gt;&lt;D xsi:type="xsd:double"&gt;2885.57&lt;/D&gt;&lt;D xsi:type="xsd:double"&gt;2901.61&lt;/D&gt;&lt;D xsi:type="xsd:double"&gt;2925.51&lt;/D&gt;&lt;D xsi:type="xsd:double"&gt;2923.43&lt;/D&gt;&lt;D xsi:type="xsd:double"&gt;2924.59&lt;/D&gt;&lt;D xsi:type="xsd:double"&gt;2913.98&lt;/D&gt;&lt;D xsi:type="xsd:double"&gt;2914&lt;/D&gt;&lt;D xsi:type="xsd:double"&gt;2905.97&lt;/D&gt;&lt;D xsi:type="xsd:double"&gt;2915.56&lt;/D&gt;&lt;D xsi:type="xsd:double"&gt;2919.37&lt;/D&gt;&lt;D xsi:type="xsd:double"&gt;2929.67&lt;/D&gt;&lt;D xsi:type="xsd:double"&gt;2930.75&lt;/D&gt;&lt;D xsi:type="xsd:double"&gt;2907.95&lt;/D&gt;&lt;D xsi:type="xsd:double"&gt;2904.31&lt;/D&gt;&lt;D xsi:type="xsd:double"&gt;2888.8&lt;/D&gt;&lt;D xsi:type="xsd:double"&gt;2904.98&lt;/D&gt;&lt;D xsi:type="xsd:double"&gt;2904.18&lt;/D&gt;&lt;D xsi:type="xsd:double"&gt;2888.92&lt;/D&gt;&lt;D xsi:type="xsd:double"&gt;2887.89&lt;/D&gt;&lt;D xsi:type="xsd:double"&gt;2877.13&lt;/D&gt;&lt;D xsi:type="xsd:double"&gt;2871.68&lt;/D&gt;&lt;D xsi:type="xsd:double"&gt;2878.05&lt;/D&gt;&lt;D xsi:type="xsd:double"&gt;2888.6&lt;/D&gt;&lt;D xsi:type="xsd:double"&gt;2896.72&lt;/D&gt;&lt;D xsi:type="xsd:double"&gt;2901.52&lt;/D&gt;&lt;D xsi:type="xsd:double"&gt;2901.13&lt;/D&gt;&lt;D xsi:type="xsd:double"&gt;2914.04&lt;/D&gt;&lt;D xsi:type="xsd:double"&gt;2897.52&lt;/D&gt;&lt;D xsi:type="xsd:double"&gt;2896.74&lt;/D&gt;&lt;D xsi:type="xsd:double"&gt;2874.69&lt;/D&gt;&lt;D xsi:type="xsd:double"&gt;2856.98&lt;/D&gt;&lt;D xsi:type="xsd:double"&gt;2861.82&lt;/D&gt;&lt;D xsi:type="xsd:double"&gt;2862.96&lt;/D&gt;&lt;D xsi:type="xsd:double"&gt;2857.05&lt;/D&gt;&lt;D xsi:type="xsd:double"&gt;2850.13&lt;/D&gt;&lt;D xsi:type="xsd:double"&gt;2840.69&lt;/D&gt;&lt;D xsi:type="xsd:double"&gt;2818.37&lt;/D&gt;&lt;D xsi:type="xsd:double"&gt;2839.96&lt;/D&gt;&lt;D xsi:type="xsd:double"&gt;2821.93&lt;/D&gt;&lt;D xsi:type="xsd:double"&gt;2833.28&lt;/D&gt;&lt;D xsi:type="xsd:double"&gt;2853.58&lt;/D&gt;&lt;D xsi:type="xsd:double"&gt;2857.7&lt;/D&gt;&lt;D xsi:type="xsd:double"&gt;2858.45&lt;/D&gt;&lt;D xsi:type="xsd:double"&gt;2850.4&lt;/D&gt;&lt;D xsi:type="xsd:double"&gt;2840.35&lt;/D&gt;&lt;D xsi:type="xsd:double"&gt;2827.22&lt;/D&gt;&lt;D xsi:type="xsd:double"&gt;2813.36&lt;/D&gt;&lt;D xsi:type="xsd:double"&gt;2816.29&lt;/D&gt;&lt;D xsi:type="xsd:double"&gt;2802.6&lt;/D&gt;&lt;D xsi:type="xsd:double"&gt;2818.82&lt;/D&gt;&lt;D xsi:type="xsd:double"&gt;2837.44&lt;/D&gt;&lt;D xsi:type="xsd:double"&gt;2846.07&lt;/D&gt;&lt;D xsi:type="xsd:double"&gt;2820.4&lt;/D&gt;&lt;D xsi:type="xsd:double"&gt;2806.98&lt;/D&gt;&lt;D xsi:type="xsd:double"&gt;2801.83&lt;/D&gt;&lt;D xsi:type="xsd:double"&gt;2804.49&lt;/D&gt;&lt;D xsi:type="xsd:double"&gt;2815.62&lt;/D&gt;&lt;D xsi:type="xsd:double"&gt;2809.55&lt;/D&gt;&lt;D xsi:type="xsd:double"&gt;2798.43&lt;/D&gt;&lt;D xsi:type="xsd:double"&gt;2801.31&lt;/D&gt;&lt;D xsi:type="xsd:double"&gt;2798.29&lt;/D&gt;&lt;D xsi:type="xsd:double"&gt;2774.02&lt;/D&gt;&lt;D xsi:type="xsd:double"&gt;2793.84&lt;/D&gt;&lt;D xsi:type="xsd:double"&gt;2784.17&lt;/D&gt;&lt;D xsi:type="xsd:double"&gt;2759.82&lt;/D&gt;&lt;D xsi:type="xsd:double"&gt;2736.61&lt;/D&gt;&lt;D xsi:type="xsd:double"&gt;2713.22&lt;/D&gt;&lt;D xsi:type="xsd:double"&gt;2726.71&lt;/D&gt;&lt;D xsi:type="xsd:double"&gt;2718.37&lt;/D&gt;&lt;D xsi:type="xsd:double"&gt;2716.31&lt;/D&gt;&lt;D xsi:type="xsd:double"&gt;2699.63&lt;/D&gt;&lt;D xsi:type="xsd:double"&gt;2723.06&lt;/D&gt;&lt;D xsi:type="xsd:double"&gt;2717.07&lt;/D&gt;&lt;D xsi:type="xsd:double"&gt;2754.88&lt;/D&gt;&lt;D xsi:type="xsd:double"&gt;2749.76&lt;/D&gt;&lt;D xsi:type="xsd:double"&gt;2767.32&lt;/D&gt;&lt;D xsi:type="xsd:double"&gt;2762.59&lt;/D&gt;&lt;D xsi:type="xsd:double"&gt;2773.75&lt;/D&gt;&lt;D xsi:type="xsd:double"&gt;2779.66&lt;/D&gt;&lt;D xsi:type="xsd:double"&gt;2782.49&lt;/D&gt;&lt;D xsi:type="xsd:double"&gt;2775.63&lt;/D&gt;&lt;D xsi:type="xsd:double"&gt;2786.85&lt;/D&gt;&lt;D xsi:type="xsd:double"&gt;2782&lt;/D&gt;&lt;D xsi:type="xsd:double"&gt;2779.03&lt;/D&gt;&lt;D xsi:type="xsd:double"&gt;2770.37&lt;/D&gt;&lt;D xsi:type="xsd:double"&gt;2772.35&lt;/D&gt;&lt;D xsi:type="xsd:double"&gt;2748.8&lt;/D&gt;&lt;D xsi:type="xsd:double"&gt;2746.87&lt;/D&gt;&lt;D xsi:type="xsd:double"&gt;2734.62&lt;/D&gt;&lt;D xsi:type="xsd:double"&gt;2705.27&lt;/D&gt;&lt;D xsi:type="xsd:double"&gt;2724.01&lt;/D&gt;&lt;D xsi:type="xsd:double"&gt;2689.86&lt;/D&gt;&lt;D xsi:type="xsd:double"&gt;2721.33&lt;/D&gt;&lt;D xsi:type="xsd:double"&gt;2727.76&lt;/D&gt;&lt;D xsi:type="xsd:double"&gt;2733.29&lt;/D&gt;&lt;D xsi:type="xsd:double"&gt;2724.44&lt;/D&gt;&lt;D xsi:type="xsd:double"&gt;2733.01&lt;/D&gt;&lt;D xsi:type="xsd:double"&gt;2712.97&lt;/D&gt;&lt;D xsi:type="xsd:double"&gt;2720.13&lt;/D&gt;&lt;D xsi:type="xsd:double"&gt;2722.46&lt;/D&gt;&lt;D xsi:type="xsd:double"&gt;2711.45&lt;/D&gt;&lt;D xsi:type="xsd:double"&gt;2730.13&lt;/D&gt;&lt;D xsi:type="xsd:double"&gt;2727.72&lt;/D&gt;&lt;D xsi:type="xsd:double"&gt;2723.07&lt;/D&gt;&lt;D xsi:type="xsd:double"&gt;2697.79&lt;/D&gt;&lt;D xsi:type="xsd:double"&gt;2671.92&lt;/D&gt;&lt;D xsi:type="xsd:double"&gt;2672.63&lt;/D&gt;&lt;D xsi:type="xsd:double"&gt;2663.42&lt;/D&gt;&lt;D xsi:type="xsd:double"&gt;2629.73&lt;/D&gt;&lt;D xsi:type="xsd:double"&gt;2635.67&lt;/D&gt;&lt;D xsi:type="xsd:double"&gt;2654.8&lt;/D&gt;&lt;D xsi:type="xsd:double"&gt;2648.05&lt;/D&gt;&lt;D xsi:type="xsd:double"&gt;2669.91&lt;/D&gt;&lt;D xsi:type="xsd:double"&gt;2666.94&lt;/D&gt;&lt;D xsi:type="xsd:double"&gt;2639.4&lt;/D&gt;&lt;D xsi:type="xsd:double"&gt;2634.56&lt;/D&gt;&lt;D xsi:type="xsd:double"&gt;2670.29&lt;/D&gt;&lt;D xsi:type="xsd:double"&gt;2670.14&lt;/D&gt;&lt;D xsi:type="xsd:double"&gt;2693.13&lt;/D&gt;&lt;D xsi:type="xsd:double"&gt;2708.64&lt;/D&gt;&lt;D xsi:type="xsd:double"&gt;2706.39&lt;/D&gt;&lt;D xsi:type="xsd:double"&gt;2677.84&lt;/D&gt;&lt;D xsi:type="xsd:double"&gt;2656.3&lt;/D&gt;&lt;D xsi:type="xsd:double"&gt;2663.99&lt;/D&gt;&lt;D xsi:type="xsd:double"&gt;2642.19&lt;/D&gt;&lt;D xsi:type="xsd:double"&gt;2656.87&lt;/D&gt;&lt;D xsi:type="xsd:double"&gt;2613.16&lt;/D&gt;&lt;D xsi:type="xsd:double"&gt;2604.47&lt;/D&gt;&lt;D xsi:type="xsd:double"&gt;2662.84&lt;/D&gt;&lt;D xsi:type="xsd:double"&gt;2644.69&lt;/D&gt;&lt;D xsi:type="xsd:double"&gt;2614.45&lt;/D&gt;&lt;D xsi:type="xsd:double"&gt;2581.88&lt;/D&gt;&lt;D xsi:type="xsd:double"&gt;2640.87&lt;/D&gt;&lt;D xsi:type="xsd:double"&gt;2605&lt;/D&gt;&lt;D xsi:type="xsd:double"&gt;2612.62&lt;/D&gt;&lt;D xsi:type="xsd:double"&gt;2658.55&lt;/D&gt;&lt;D xsi:type="xsd:double"&gt;2588.26&lt;/D&gt;&lt;D xsi:type="xsd:double"&gt;2643.69&lt;/D&gt;&lt;D xsi:type="xsd:double"&gt;2711.93&lt;/D&gt;&lt;D xsi:type="xsd:double"&gt;2716.94&lt;/D&gt;&lt;D xsi:type="xsd:double"&gt;2712.92&lt;/D&gt;&lt;D xsi:type="xsd:double"&gt;2752.01&lt;/D&gt;&lt;D xsi:type="xsd:double"&gt;2747.33&lt;/D&gt;&lt;D xsi:type="xsd:double"&gt;2749.48&lt;/D&gt;&lt;D xsi:type="xsd:double"&gt;2765.31&lt;/D&gt;&lt;D xsi:type="xsd:double"&gt;2783.02&lt;/D&gt;&lt;D xsi:type="xsd:double"&gt;2786.57&lt;/D&gt;&lt;D xsi:type="xsd:double"&gt;2738.97&lt;/D&gt;&lt;D xsi:type="xsd:double"&gt;2726.8&lt;/D&gt;&lt;D xsi:type="xsd:double"&gt;2728.12&lt;/D&gt;&lt;D xsi:type="xsd:double"&gt;2720.94&lt;/D&gt;&lt;D xsi:type="xsd:double"&gt;2691.25&lt;/D&gt;&lt;D xsi:type="xsd:double"&gt;2677.67&lt;/D&gt;&lt;D xsi:type="xsd:double"&gt;2713.83&lt;/D&gt;&lt;D xsi:type="xsd:double"&gt;2744.28&lt;/D&gt;&lt;D xsi:type="xsd:double"&gt;2779.6&lt;/D&gt;&lt;D xsi:type="xsd:double"&gt;2747.3&lt;/D&gt;&lt;D xsi:type="xsd:double"&gt;2703.96&lt;/D&gt;&lt;D xsi:type="xsd:double"&gt;2701.33&lt;/D&gt;&lt;D xsi:type="xsd:double"&gt;2716.26&lt;/D&gt;&lt;D xsi:type="xsd:double"&gt;2732.22&lt;/D&gt;&lt;D xsi:type="xsd:double"&gt;2731.2&lt;/D&gt;&lt;D xsi:type="xsd:double"&gt;2698.63&lt;/D&gt;&lt;D xsi:type="xsd:double"&gt;2662.94&lt;/D&gt;&lt;D xsi:type="xsd:double"&gt;2656&lt;/D&gt;&lt;D xsi:type="xsd:double"&gt;2619.55&lt;/D&gt;&lt;D xsi:type="xsd:double"&gt;2581&lt;/D&gt;&lt;D xsi:type="xsd:double"&gt;2681.66&lt;/D&gt;&lt;D xsi:type="xsd:double"&gt;2695.14&lt;/D&gt;&lt;D xsi:type="xsd:double"&gt;2648.94&lt;/D&gt;&lt;D xsi:type="xsd:double"&gt;2762.13&lt;/D&gt;&lt;D xsi:type="xsd:double"&gt;2821.98&lt;/D&gt;&lt;D xsi:type="xs</t>
        </r>
      </text>
    </comment>
    <comment ref="A29" authorId="0" shapeId="0" xr:uid="{5C9DA8CD-C575-45B1-85C1-C84FF477EDEB}">
      <text>
        <r>
          <rPr>
            <b/>
            <sz val="9"/>
            <color indexed="81"/>
            <rFont val="Tahoma"/>
            <charset val="1"/>
          </rPr>
          <t>d:double"&gt;2823.81&lt;/D&gt;&lt;D xsi:type="xsd:double"&gt;2822.43&lt;/D&gt;&lt;D xsi:type="xsd:double"&gt;2853.53&lt;/D&gt;&lt;D xsi:type="xsd:double"&gt;2872.87&lt;/D&gt;&lt;D xsi:type="xsd:double"&gt;2839.25&lt;/D&gt;&lt;D xsi:type="xsd:double"&gt;2837.54&lt;/D&gt;&lt;D xsi:type="xsd:double"&gt;2839.13&lt;/D&gt;&lt;D xsi:type="xsd:double"&gt;2832.97&lt;/D&gt;&lt;D xsi:type="xsd:double"&gt;2810.3&lt;/D&gt;&lt;D xsi:type="xsd:double"&gt;2798.03&lt;/D&gt;&lt;D xsi:type="xsd:double"&gt;2802.56&lt;/D&gt;&lt;D xsi:type="xsd:double"&gt;2776.42&lt;/D&gt;&lt;D xsi:type="xsd:double"&gt;2786.24&lt;/D&gt;&lt;D xsi:type="xsd:double"&gt;2767.56&lt;/D&gt;&lt;D xsi:type="xsd:double"&gt;2748.23&lt;/D&gt;&lt;D xsi:type="xsd:double"&gt;2751.29&lt;/D&gt;&lt;D xsi:type="xsd:double"&gt;2747.71&lt;/D&gt;&lt;D xsi:type="xsd:double"&gt;2743.15&lt;/D&gt;&lt;D xsi:type="xsd:double"&gt;2723.99&lt;/D&gt;&lt;D xsi:type="xsd:double"&gt;2713.06&lt;/D&gt;&lt;D xsi:type="xsd:double"&gt;2695.81&lt;/D&gt;&lt;D xsi:type="xsd:double"&gt;2673.61&lt;/D&gt;&lt;D xsi:type="xsd:double"&gt;2687.54&lt;/D&gt;&lt;D xsi:type="xsd:double"&gt;2682.62&lt;/D&gt;&lt;D xsi:type="xsd:double"&gt;2680.5&lt;/D&gt;&lt;D xsi:type="xsd:double"&gt;2683.34&lt;/D&gt;&lt;D xsi:type="xsd:double"&gt;2684.57&lt;/D&gt;&lt;D xsi:type="xsd:double"&gt;2679.25&lt;/D&gt;&lt;D xsi:type="xsd:double"&gt;2681.47&lt;/D&gt;&lt;D xsi:type="xsd:double"&gt;2690.16&lt;/D&gt;&lt;D xsi:type="xsd:double"&gt;2675.81&lt;/D&gt;&lt;D xsi:type="xsd:double"&gt;2652.01&lt;/D&gt;&lt;D xsi:type="xsd:double"&gt;2662.85&lt;/D&gt;&lt;D xsi:type="xsd:double"&gt;2664.11&lt;/D&gt;&lt;D xsi:type="xsd:double"&gt;2659.99&lt;/D&gt;&lt;D xsi:type="xsd:double"&gt;2651.5&lt;/D&gt;&lt;D xsi:type="xsd:double"&gt;2636.98&lt;/D&gt;&lt;D xsi:type="xsd:double"&gt;2629.27&lt;/D&gt;&lt;D xsi:type="xsd:double"&gt;2629.57&lt;/D&gt;&lt;D xsi:type="xsd:double"&gt;2639.44&lt;/D&gt;&lt;D xsi:type="xsd:double"&gt;2642.22&lt;/D&gt;&lt;D xsi:type="xsd:double"&gt;2647.58&lt;/D&gt;&lt;D xsi:type="xsd:double"&gt;2626.07&lt;/D&gt;&lt;D xsi:type="xsd:double"&gt;2627.04&lt;/D&gt;&lt;D xsi:type="xsd:double"&gt;2601.42&lt;/D&gt;&lt;D xsi:type="xsd:double"&gt;2602.42&lt;/D&gt;&lt;D xsi:type="xsd:double"&gt;2597.08&lt;/D&gt;&lt;D xsi:type="xsd:double"&gt;2599.03&lt;/D&gt;&lt;D xsi:type="xsd:double"&gt;2582.14&lt;/D&gt;&lt;D xsi:type="xsd:double"&gt;2578.85&lt;/D&gt;&lt;D xsi:type="xsd:double"&gt;2585.64&lt;/D&gt;&lt;D xsi:type="xsd:double"&gt;2564.62&lt;/D&gt;&lt;D xsi:type="xsd:double"&gt;2578.87&lt;/D&gt;&lt;D xsi:type="xsd:double"&gt;2584.84&lt;/D&gt;&lt;D xsi:type="xsd:double"&gt;2582.3&lt;/D&gt;&lt;D xsi:type="xsd:double"&gt;2584.62&lt;/D&gt;&lt;D xsi:type="xsd:double"&gt;2594.38&lt;/D&gt;&lt;D xsi:type="xsd:double"&gt;2590.64&lt;/D&gt;&lt;D xsi:type="xsd:double"&gt;2591.13&lt;/D&gt;&lt;D xsi:type="xsd:double"&gt;2587.84&lt;/D&gt;&lt;D xsi:type="xsd:double"&gt;2579.85&lt;/D&gt;&lt;D xsi:type="xsd:double"&gt;2579.36&lt;/D&gt;&lt;D xsi:type="xsd:double"&gt;2575.26&lt;/D&gt;&lt;D xsi:type="xsd:double"&gt;2572.83&lt;/D&gt;&lt;D xsi:type="xsd:double"&gt;2581.07&lt;/D&gt;&lt;D xsi:type="xsd:double"&gt;2560.4&lt;/D&gt;&lt;D xsi:type="xsd:double"&gt;2557.15&lt;/D&gt;&lt;D xsi:type="xsd:double"&gt;2569.13&lt;/D&gt;&lt;D xsi:type="xsd:double"&gt;2564.98&lt;/D&gt;&lt;D xsi:type="xsd:double"&gt;2575.21&lt;/D&gt;&lt;D xsi:type="xsd:double"&gt;2562.1&lt;/D&gt;&lt;D xsi:type="xsd:double"&gt;2561.26&lt;/D&gt;&lt;D xsi:type="xsd:double"&gt;2559.36&lt;/D&gt;&lt;D xsi:type="xsd:double"&gt;2557.64&lt;/D&gt;&lt;D xsi:type="xsd:double"&gt;2553.17&lt;/D&gt;&lt;D xsi:type="xsd:double"&gt;2550.93&lt;/D&gt;&lt;D xsi:type="xsd:double"&gt;2555.24&lt;/D&gt;&lt;D xsi:type="xsd:double"&gt;2550.64&lt;/D&gt;&lt;D xsi:type="xsd:double"&gt;2544.73&lt;/D&gt;&lt;D xsi:type="xsd:double"&gt;2549.33&lt;/D&gt;&lt;D xsi:type="xsd:double"&gt;2552.07&lt;/D&gt;&lt;D xsi:type="xsd:double"&gt;2537.74&lt;/D&gt;&lt;D xsi:type="xsd:double"&gt;2534.58&lt;/D&gt;&lt;D xsi:type="xsd:double"&gt;2529.12&lt;/D&gt;&lt;D xsi:type="xsd:double"&gt;2519.36&lt;/D&gt;&lt;D xsi:type="xsd:double"&gt;2510.06&lt;/D&gt;&lt;D xsi:type="xsd:double"&gt;2507.04&lt;/D&gt;&lt;D xsi:type="xsd:double"&gt;2496.84&lt;/D&gt;&lt;D xsi:type="xsd:double"&gt;2496.66&lt;/D&gt;&lt;D xsi:type="xsd:double"&gt;2502.22&lt;/D&gt;&lt;D xsi:type="xsd:double"&gt;2500.6&lt;/D&gt;&lt;D xsi:type="xsd:double"&gt;2508.24&lt;/D&gt;&lt;D xsi:type="xsd:double"&gt;2506.65&lt;/D&gt;&lt;D xsi:type="xsd:double"&gt;2503.87&lt;/D&gt;&lt;D xsi:type="xsd:double"&gt;2500.23&lt;/D&gt;&lt;D xsi:type="xsd:double"&gt;2495.62&lt;/D&gt;&lt;D xsi:type="xsd:double"&gt;2498.37&lt;/D&gt;&lt;D xsi:type="xsd:double"&gt;2496.48&lt;/D&gt;&lt;D xsi:type="xsd:double"&gt;2488.11&lt;/D&gt;&lt;D xsi:type="xsd:double"&gt;2461.43&lt;/D&gt;&lt;D xsi:type="xsd:double"&gt;2465.1&lt;/D&gt;&lt;D xsi:type="xsd:double"&gt;2465.54&lt;/D&gt;&lt;D xsi:type="xsd:double"&gt;2457.85&lt;/D&gt;&lt;D xsi:type="xsd:double"&gt;2476.55&lt;/D&gt;&lt;D xsi:type="xsd:double"&gt;2471.65&lt;/D&gt;&lt;D xsi:type="xsd:double"&gt;2457.59&lt;/D&gt;&lt;D xsi:type="xsd:double"&gt;2446.3&lt;/D&gt;&lt;D xsi:type="xsd:double"&gt;2444.24&lt;/D&gt;&lt;D xsi:type="xsd:double"&gt;2443.05&lt;/D&gt;&lt;D xsi:type="xsd:double"&gt;2438.97&lt;/D&gt;&lt;D xsi:type="xsd:double"&gt;2444.04&lt;/D&gt;&lt;D xsi:type="xsd:double"&gt;2452.51&lt;/D&gt;&lt;D xsi:type="xsd:double"&gt;2428.37&lt;/D&gt;&lt;D xsi:type="xsd:double"&gt;2425.55&lt;/D&gt;&lt;/FQL&gt;&lt;FQL&gt;&lt;Q&gt;SP50^JULIAN(FMA_COS_UP("EPS","1M",+1,0,-7AY,,"PORTAGG","MEANR")/FMA_COS_UP("EPS","1M",+1,0,-7AY,,"PORTAGG","MEANR")+FMA_COS_UP("EPS","1M",+1,0,-7AY,,"PORTAGG","MEANR").DATES)&lt;/Q&gt;&lt;R&gt;1762&lt;/R&gt;&lt;C&gt;1&lt;/C&gt;&lt;D xsi:type="xsd:long"&gt;45524&lt;/D&gt;&lt;D xsi:type="xsd:long"&gt;45524&lt;/D&gt;&lt;D xsi:type="xsd:long"&gt;45521&lt;/D&gt;&lt;D xsi:type="xsd:long"&gt;45520&lt;/D&gt;&lt;D xsi:type="xsd:long"&gt;45519&lt;/D&gt;&lt;D xsi:type="xsd:long"&gt;45518&lt;/D&gt;&lt;D xsi:type="xsd:long"&gt;45517&lt;/D&gt;&lt;D xsi:type="xsd:long"&gt;45514&lt;/D&gt;&lt;D xsi:type="xsd:long"&gt;45513&lt;/D&gt;&lt;D xsi:type="xsd:long"&gt;45512&lt;/D&gt;&lt;D xsi:type="xsd:long"&gt;45511&lt;/D&gt;&lt;D xsi:type="xsd:long"&gt;45510&lt;/D&gt;&lt;D xsi:type="xsd:long"&gt;45507&lt;/D&gt;&lt;D xsi:type="xsd:long"&gt;45506&lt;/D&gt;&lt;D xsi:type="xsd:long"&gt;45504&lt;/D&gt;&lt;D xsi:type="xsd:long"&gt;45504&lt;/D&gt;&lt;D xsi:type="xsd:long"&gt;45503&lt;/D&gt;&lt;D xsi:type="xsd:long"&gt;45500&lt;/D&gt;&lt;D xsi:type="xsd:long"&gt;45499&lt;/D&gt;&lt;D xsi:type="xsd:long"&gt;45498&lt;/D&gt;&lt;D xsi:type="xsd:long"&gt;45497&lt;/D&gt;&lt;D xsi:type="xsd:long"&gt;45496&lt;/D&gt;&lt;D xsi:type="xsd:long"&gt;45493&lt;/D&gt;&lt;D xsi:type="xsd:long"&gt;45492&lt;/D&gt;&lt;D xsi:type="xsd:long"&gt;45491&lt;/D&gt;&lt;D xsi:type="xsd:long"&gt;45490&lt;/D&gt;&lt;D xsi:type="xsd:long"&gt;45489&lt;/D&gt;&lt;D xsi:type="xsd:long"&gt;45486&lt;/D&gt;&lt;D xsi:type="xsd:long"&gt;45485&lt;/D&gt;&lt;D xsi:type="xsd:long"&gt;45484&lt;/D&gt;&lt;D xsi:type="xsd:long"&gt;45483&lt;/D&gt;&lt;D xsi:type="xsd:long"&gt;45482&lt;/D&gt;&lt;D xsi:type="xsd:long"&gt;45479&lt;/D&gt;&lt;D xsi:type="xsd:long"&gt;45477&lt;/D&gt;&lt;D xsi:type="xsd:long"&gt;45476&lt;/D&gt;&lt;D xsi:type="xsd:long"&gt;45475&lt;/D&gt;&lt;D xsi:type="xsd:long"&gt;45472&lt;/D&gt;&lt;D xsi:type="xsd:long"&gt;45471&lt;/D&gt;&lt;D xsi:type="xsd:long"&gt;45470&lt;/D&gt;&lt;D xsi:type="xsd:long"&gt;45469&lt;/D&gt;&lt;D xsi:type="xsd:long"&gt;45468&lt;/D&gt;&lt;D xsi:type="xsd:long"&gt;45465&lt;/D&gt;&lt;D xsi:type="xsd:long"&gt;45464&lt;/D&gt;&lt;D xsi:type="xsd:long"&gt;45462&lt;/D&gt;&lt;D xsi:type="xsd:long"&gt;45461&lt;/D&gt;&lt;D xsi:type="xsd:long"&gt;45458&lt;/D&gt;&lt;D xsi:type="xsd:long"&gt;45457&lt;/D&gt;&lt;D xsi:type="xsd:long"&gt;45456&lt;/D&gt;&lt;D xsi:type="xsd:long"&gt;45455&lt;/D&gt;&lt;D xsi:type="xsd:long"&gt;45454&lt;/D&gt;&lt;D xsi:type="xsd:long"&gt;45451&lt;/D&gt;&lt;D xsi:type="xsd:long"&gt;45450&lt;/D&gt;&lt;D xsi:type="xsd:long"&gt;45449&lt;/D&gt;&lt;D xsi:type="xsd:long"&gt;45448&lt;/D&gt;&lt;D xsi:type="xsd:long"&gt;45447&lt;/D&gt;&lt;D xsi:type="xsd:long"&gt;45443&lt;/D&gt;&lt;D xsi:type="xsd:long"&gt;45443&lt;/D&gt;&lt;D xsi:type="xsd:long"&gt;45442&lt;/D&gt;&lt;D xsi:type="xsd:long"&gt;45441&lt;/D&gt;&lt;D xsi:type="xsd:long"&gt;45437&lt;/D&gt;&lt;D xsi:type="xsd:long"&gt;45436&lt;/D&gt;&lt;D xsi:type="xsd:long"&gt;45435&lt;/D&gt;&lt;D xsi:type="xsd:long"&gt;45434&lt;/D&gt;&lt;D xsi:type="xsd:long"&gt;45433&lt;/D&gt;&lt;D xsi:type="xsd:long"&gt;45430&lt;/D&gt;&lt;D xsi:type="xsd:long"&gt;45429&lt;/D&gt;&lt;D xsi:type="xsd:long"&gt;45428&lt;/D&gt;&lt;D xsi:type="xsd:long"&gt;45427&lt;/D&gt;&lt;D xsi:type="xsd:long"&gt;45426&lt;/D&gt;&lt;D xsi:type="xsd:long"&gt;45423&lt;/D&gt;&lt;D xsi:type="xsd:long"&gt;45422&lt;/D&gt;&lt;D xsi:type="xsd:long"&gt;45421&lt;/D&gt;&lt;D xsi:type="xsd:long"&gt;45420&lt;/D&gt;&lt;D xsi:type="xsd:long"&gt;45419&lt;/D&gt;&lt;D xsi:type="xsd:long"&gt;45416&lt;/D&gt;&lt;D xsi:type="xsd:long"&gt;45415&lt;/D&gt;&lt;D xsi:type="xsd:long"&gt;45414&lt;/D&gt;&lt;D xsi:type="xsd:long"&gt;45412&lt;/D&gt;&lt;D xsi:type="xsd:long"&gt;45412&lt;/D&gt;&lt;D xsi:type="xsd:long"&gt;45409&lt;/D&gt;&lt;D xsi:type="xsd:long"&gt;45408&lt;/D&gt;&lt;D xsi:type="xsd:long"&gt;45407&lt;/D&gt;&lt;D xsi:type="xsd:long"&gt;45406&lt;/D&gt;&lt;D xsi:type="xsd:long"&gt;45405&lt;/D&gt;&lt;D xsi:type="xsd:long"&gt;45402&lt;/D&gt;&lt;D xsi:type="xsd:long"&gt;45401&lt;/D&gt;&lt;D xsi:type="xsd:long"&gt;45400&lt;/D&gt;&lt;D xsi:type="xsd:long"&gt;45399&lt;/D&gt;&lt;D xsi:type="xsd:long"&gt;45398&lt;/D&gt;&lt;D xsi:type="xsd:long"&gt;45395&lt;/D&gt;&lt;D xsi:type="xsd:long"&gt;45394&lt;/D&gt;&lt;D xsi:type="xsd:long"&gt;45393&lt;/D&gt;&lt;D xsi:type="xsd:long"&gt;45392&lt;/D&gt;&lt;D xsi:type="xsd:long"&gt;45391&lt;/D&gt;&lt;D xsi:type="xsd:long"&gt;45388&lt;/D&gt;&lt;D xsi:type="xsd:long"&gt;45387&lt;/D&gt;&lt;D xsi:type="xsd:long"&gt;45386&lt;/D&gt;&lt;D xsi:type="xsd:long"&gt;45385&lt;/D&gt;&lt;D xsi:type="xsd:long"&gt;45384&lt;/D&gt;&lt;D xsi:type="xsd:long"&gt;45380&lt;/D&gt;&lt;D xsi:type="xsd:long"&gt;45379&lt;/D&gt;&lt;D xsi:type="xsd:long"&gt;45378&lt;/D&gt;&lt;D xsi:type="xsd:long"&gt;45377&lt;/D&gt;&lt;D xsi:type="xsd:long"&gt;45374&lt;/D&gt;&lt;D xsi:type="xsd:long"&gt;45373&lt;/D&gt;&lt;D xsi:type="xsd:long"&gt;45372&lt;/D&gt;&lt;D xsi:type="xsd:long"&gt;45371&lt;/D&gt;&lt;D xsi:type="xsd:long"&gt;45370&lt;/D&gt;&lt;D xsi:type="xsd:long"&gt;45367&lt;/D&gt;&lt;D xsi:type="xsd:long"&gt;45366&lt;/D&gt;&lt;D xsi:type="xsd:long"&gt;45365&lt;/D&gt;&lt;D xsi:type="xsd:long"&gt;45364&lt;/D&gt;&lt;D xsi:type="xsd:long"&gt;45363&lt;/D&gt;&lt;D xsi:type="xsd:long"&gt;45360&lt;/D&gt;&lt;D xsi:type="xsd:long"&gt;45359&lt;/D&gt;&lt;D xsi:type="xsd:long"&gt;45358&lt;/D&gt;&lt;D xsi:type="xsd:long"&gt;45357&lt;/D&gt;&lt;D xsi:type="xsd:long"&gt;45356&lt;/D&gt;&lt;D xsi:type="xsd:long"&gt;45353&lt;/D&gt;&lt;D xsi:type="xsd:long"&gt;45351&lt;/D&gt;&lt;D xsi:type="xsd:long"&gt;45351&lt;/D&gt;&lt;D xsi:type="xsd:long"&gt;45350&lt;/D&gt;&lt;D xsi:type="xsd:long"&gt;45349&lt;/D&gt;&lt;D xsi:type="xsd:long"&gt;45346&lt;/D&gt;&lt;D xsi:type="xsd:long"&gt;45345&lt;/D&gt;&lt;D xsi:type="xsd:long"&gt;45344&lt;/D&gt;&lt;D xsi:type="xsd:long"&gt;45343&lt;/D&gt;&lt;D xsi:type="xsd:long"&gt;45339&lt;/D&gt;&lt;D xsi:type="xsd:long"&gt;45338&lt;/D&gt;&lt;D xsi:type="xsd:long"&gt;45337&lt;/D&gt;&lt;D xsi:type="xsd:long"&gt;45336&lt;/D&gt;&lt;D xsi:type="xsd:long"&gt;45335&lt;/D&gt;&lt;D xsi:type="xsd:long"&gt;45332&lt;/D&gt;&lt;D xsi:type="xsd:long"&gt;45331&lt;/D&gt;&lt;D xsi:type="xsd:long"&gt;45330&lt;/D&gt;&lt;D xsi:type="xsd:long"&gt;45329&lt;/D&gt;&lt;D xsi:type="xsd:long"&gt;45328&lt;/D&gt;&lt;D xsi:type="xsd:long"&gt;45325&lt;/D&gt;&lt;D xsi:type="xsd:long"&gt;45324&lt;/D&gt;&lt;D xsi:type="xsd:long"&gt;45322&lt;/D&gt;&lt;D xsi:type="xsd:long"&gt;45322&lt;/D&gt;&lt;D xsi:type="xsd:long"&gt;45321&lt;/D&gt;&lt;D xsi:type="xsd:long"&gt;45318&lt;/D&gt;&lt;D xsi:type="xsd:long"&gt;45317&lt;/D&gt;&lt;D xsi:type="xsd:long"&gt;45316&lt;/D&gt;&lt;D xsi:type="xsd:long"&gt;45315&lt;/D&gt;&lt;D xsi:type="xsd:long"&gt;45314&lt;/D&gt;&lt;D xsi:type="xsd:long"&gt;45311&lt;/D&gt;&lt;D xsi:type="xsd:long"&gt;45310&lt;/D&gt;&lt;D xsi:type="xsd:long"&gt;45309&lt;/D&gt;&lt;D xsi:type="xsd:long"&gt;45308&lt;/D&gt;&lt;D xsi:type="xsd:long"&gt;45304&lt;/D&gt;&lt;D xsi:type="xsd:long"&gt;45303&lt;/D&gt;&lt;D xsi:type="xsd:long"&gt;45302&lt;/D&gt;&lt;D xsi:type="xsd:long"&gt;45301&lt;/D&gt;&lt;D xsi:type="xsd:long"&gt;45300&lt;/D&gt;&lt;D xsi:type="xsd:long"&gt;45297&lt;/D&gt;&lt;D xsi:type="xsd:long"&gt;45296&lt;/D&gt;&lt;D xsi:type="xsd:long"&gt;45295&lt;/D&gt;&lt;D xsi:type="xsd:long"&gt;45294&lt;/D&gt;&lt;D xsi:type="xsd:long"&gt;45290&lt;/D&gt;&lt;D xsi:type="xsd:long"&gt;45289&lt;/D&gt;&lt;D xsi:type="xsd:long"&gt;45288&lt;/D&gt;&lt;D xsi:type="xsd:long"&gt;45287&lt;/D&gt;&lt;D xsi:type="xsd:long"&gt;45283&lt;/D&gt;&lt;D xsi:type="xsd:long"&gt;45282&lt;/D&gt;&lt;D xsi:type="xsd:long"&gt;45281&lt;/D&gt;&lt;D xsi:type="xsd:long"&gt;45280&lt;/D&gt;&lt;D xsi:type="xsd:long"&gt;45279&lt;/D&gt;&lt;D xsi:type="xsd:long"&gt;45276&lt;/D&gt;&lt;D xsi:type="xsd:long"&gt;45275&lt;/D&gt;&lt;D xsi:type="xsd:long"&gt;45274&lt;/D&gt;&lt;D xsi:type="xsd:long"&gt;45273&lt;/D&gt;&lt;D xsi:type="xsd:long"&gt;45272&lt;/D&gt;&lt;D xsi:type="xsd:long"&gt;45269&lt;/D&gt;&lt;D xsi:type="xsd:long"&gt;45268&lt;/D&gt;&lt;D xsi:type="xsd:long"&gt;45267&lt;/D&gt;&lt;D xsi:type="xsd:long"&gt;45266&lt;/D&gt;&lt;D xsi:type="xsd:long"&gt;45265&lt;/D&gt;&lt;D xsi:type="xsd:long"&gt;45262&lt;/D&gt;&lt;D xsi:type="xsd:long"&gt;45260&lt;/D&gt;&lt;D xsi:type="xsd:long"&gt;45260&lt;/D&gt;&lt;D xsi:type="xsd:long"&gt;45259&lt;/D&gt;&lt;D xsi:type="xsd:long"&gt;45258&lt;/D&gt;&lt;D xsi:type="xsd:long"&gt;45255&lt;/D&gt;&lt;D xsi:type="xsd:long"&gt;45253&lt;/D&gt;&lt;D xsi:type="xsd:long"&gt;45252&lt;/D&gt;&lt;D xsi:type="xsd:long"&gt;45251&lt;/D&gt;&lt;D xsi:type="xsd:long"&gt;45248&lt;/D&gt;&lt;D xsi:type="xsd:long"&gt;45247&lt;/D&gt;&lt;D xsi:type="xsd:long"&gt;45246&lt;/D&gt;&lt;D xsi:type="xsd:long"&gt;45245&lt;/D&gt;&lt;D xsi:type="xsd:long"&gt;45244&lt;/D&gt;&lt;D xsi:type="xsd:long"&gt;45241&lt;/D&gt;&lt;D xsi:type="xsd:long"&gt;45240&lt;/D&gt;&lt;D xsi:type="xsd:long"&gt;45239&lt;/D&gt;&lt;D xsi:type="xsd:long"&gt;45238&lt;/D&gt;&lt;D xsi:type="xsd:long"&gt;45237&lt;/D&gt;&lt;D xsi:type="xsd:long"&gt;45234&lt;/D&gt;&lt;D xsi:type="xsd:long"&gt;45233&lt;/D&gt;&lt;D xsi:type="xsd:long"&gt;45232&lt;/D&gt;&lt;D xsi:type="xsd:long"&gt;45230&lt;/D&gt;&lt;D xsi:type="xsd:long"&gt;45230&lt;/D&gt;&lt;D xsi:type="xsd:long"&gt;45227&lt;/D&gt;&lt;D xsi:type="xsd:long"&gt;45226&lt;/D&gt;&lt;D xsi:type="xsd:long"&gt;45225&lt;/D&gt;&lt;D xsi:type="xsd:long"&gt;45224&lt;/D&gt;&lt;D xsi:type="xsd:long"&gt;45223&lt;/D&gt;&lt;D xsi:type="xsd:long"&gt;45220&lt;/D&gt;&lt;D xsi:type="xsd:long"&gt;45219&lt;/D&gt;&lt;D xsi:type="xsd:long"&gt;45218&lt;/D&gt;&lt;D xsi:type="xsd:long"&gt;45217&lt;/D&gt;&lt;D xsi:type="xsd:long"&gt;45216&lt;/D&gt;&lt;D xsi:type="xsd:long"&gt;45213&lt;/D&gt;&lt;D xsi:type="xsd:long"&gt;45212&lt;/D&gt;&lt;D xsi:type="xsd:long"&gt;45211&lt;/D&gt;&lt;D xsi:type="xsd:long"&gt;45210&lt;/D&gt;&lt;D xsi:type="xsd:long"&gt;45209&lt;/D&gt;&lt;D xsi:type="xsd:long"&gt;45206&lt;/D&gt;&lt;D xsi:type="xsd:long"&gt;45205&lt;/D&gt;&lt;D xsi:type="xsd:long"&gt;45204&lt;/D&gt;&lt;D xsi:type="xsd:long"&gt;45203&lt;/D&gt;&lt;D xsi:type="xsd:long"&gt;45202&lt;/D&gt;&lt;D xsi:type="xsd:long"&gt;45199&lt;/D&gt;&lt;D xsi:type="xsd:long"&gt;45198&lt;/D&gt;&lt;D xsi:type="xsd:long"&gt;45197&lt;/D&gt;&lt;D xsi:type="xsd:long"&gt;45196&lt;/D&gt;&lt;D xsi:type="xsd:long"&gt;45195&lt;/D&gt;&lt;D xsi:type="xsd:long"&gt;45192&lt;/D&gt;&lt;D xsi:type="xsd:long"&gt;45191&lt;/D&gt;&lt;D xsi:type="xsd:long"&gt;45190&lt;/D&gt;&lt;D xsi:type="xsd:long"&gt;45189&lt;/D&gt;&lt;D xsi:type="xsd:long"&gt;45188&lt;/D&gt;&lt;D xsi:type="xsd:long"&gt;45185&lt;/D&gt;&lt;D xsi:type="xsd:long"&gt;45184&lt;/D&gt;&lt;D xsi:type="xsd:long"&gt;45183&lt;/D&gt;&lt;D xsi:type="xsd:long"&gt;45182&lt;/D&gt;&lt;D xsi:type="xsd:long"&gt;45181&lt;/D&gt;&lt;D xsi:type="xsd:long"&gt;45178&lt;/D&gt;&lt;D xsi:type="xsd:long"&gt;45177&lt;/D&gt;&lt;D xsi:type="xsd:long"&gt;45176&lt;/D&gt;&lt;D xsi:type="xsd:long"&gt;45175&lt;/D&gt;&lt;D xsi:type="xsd:long"&gt;45171&lt;/D&gt;&lt;D xsi:type="xsd:long"&gt;45169&lt;/D&gt;&lt;D xsi:type="xsd:long"&gt;45169&lt;/D&gt;&lt;D xsi:type="xsd:long"&gt;45168&lt;/D&gt;&lt;D xsi:type="xsd:long"&gt;45167&lt;/D&gt;&lt;D xsi:type="xsd:long"&gt;45164&lt;/D&gt;&lt;D xsi:type="xsd:long"&gt;45163&lt;/D&gt;&lt;D xsi:type="xsd:long"&gt;45162&lt;/D&gt;&lt;D xsi:type="xsd:long"&gt;45161&lt;/D&gt;&lt;D xsi:type="xsd:long"&gt;45160&lt;/D&gt;&lt;D xsi:type="xsd:long"&gt;45157&lt;/D&gt;&lt;D xsi:type="xsd:long"&gt;45156&lt;/D&gt;&lt;D xsi:type="xsd:long"&gt;45155&lt;/D&gt;&lt;D xsi:type="xsd:long"&gt;45154&lt;/D&gt;&lt;D xsi:type="xsd:long"&gt;45153&lt;/D&gt;&lt;D xsi:type="xsd:long"&gt;45150&lt;/D&gt;&lt;D xsi:type="xsd:long"&gt;45149&lt;/D&gt;&lt;D xsi:type="xsd:long"&gt;45148&lt;/D&gt;&lt;D xsi:type="xsd:long"&gt;45147&lt;/D&gt;&lt;D xsi:type="xsd:long"&gt;45146&lt;/D&gt;&lt;D xsi:type="xsd:long"&gt;45143&lt;/D&gt;&lt;D xsi:type="xsd:long"&gt;45142&lt;/D&gt;&lt;D xsi:type="xsd:long"&gt;45141&lt;/D&gt;&lt;D xsi:type="xsd:long"&gt;45140&lt;/D&gt;&lt;D xsi:type="xsd:long"&gt;45138&lt;/D&gt;&lt;D xsi:type="xsd:long"&gt;45136&lt;/D&gt;&lt;D xsi:type="xsd:long"&gt;45135&lt;/D&gt;&lt;D xsi:type="xsd:long"&gt;45134&lt;/D&gt;&lt;D xsi:type="xsd:long"&gt;45133&lt;/D&gt;&lt;D xsi:type="xsd:long"&gt;45132&lt;/D&gt;&lt;D xsi:type="xsd:long"&gt;45129&lt;/D&gt;&lt;D xsi:type="xsd:long"&gt;45128&lt;/D&gt;&lt;D xsi:type="xsd:long"&gt;45127&lt;/D&gt;&lt;D xsi:type="xsd:long"&gt;45126&lt;/D&gt;&lt;D xsi:type="xsd:long"&gt;45125&lt;/D&gt;&lt;D xsi:type="xsd:long"&gt;45122&lt;/D&gt;&lt;D xsi:type="xsd:long"&gt;45121&lt;/D&gt;&lt;D xsi:type="xsd:long"&gt;45120&lt;/D&gt;&lt;D xsi:type="xsd:long"&gt;45119&lt;/D&gt;&lt;D xsi:type="xsd:long"&gt;45118&lt;/D&gt;&lt;D xsi:type="xsd:long"&gt;45115&lt;/D&gt;&lt;D xsi:type="xsd:long"&gt;45114&lt;/D&gt;&lt;D xsi:type="xsd:long"&gt;45113&lt;/D&gt;&lt;D xsi:type="xsd:long"&gt;45111&lt;/D&gt;&lt;D xsi:type="xsd:long"&gt;45107&lt;/D&gt;&lt;D xsi:type="xsd:long"&gt;45107&lt;/D&gt;&lt;D xsi:type="xsd:long"&gt;45106&lt;/D&gt;&lt;D xsi:type="xsd:long"&gt;45105&lt;/D&gt;&lt;D xsi:type="xsd:long"&gt;45104&lt;/D&gt;&lt;D xsi:type="xsd:long"&gt;45101&lt;/D&gt;&lt;D xsi:type="xsd:long"&gt;45100&lt;/D&gt;&lt;D xsi:type="xsd:long"&gt;45099&lt;/D&gt;&lt;D xsi:type="xsd:long"&gt;45098&lt;/D&gt;&lt;D xsi:type="xsd:long"&gt;45094&lt;/D&gt;&lt;D xsi:type="xsd:long"&gt;45093&lt;/D&gt;&lt;D xsi:type="xsd:long"&gt;45092&lt;/D&gt;&lt;D xsi:type="xsd:long"&gt;45091&lt;/D&gt;&lt;D xsi:type="xsd:long"&gt;45090&lt;/D&gt;&lt;D xsi:type="xsd:long"&gt;45087&lt;/D&gt;&lt;D xsi:type="xsd:long"&gt;45086&lt;/D&gt;&lt;D xsi:type="xsd:long"&gt;45085&lt;/D&gt;&lt;D xsi:type="xsd:long"&gt;45084&lt;/D&gt;&lt;D xsi:type="xsd:long"&gt;45083&lt;/D&gt;&lt;D xsi:type="xsd:long"&gt;45080&lt;/D&gt;&lt;D xsi:type="xsd:long"&gt;45079&lt;/D&gt;&lt;D xsi:type="xsd:long"&gt;45077&lt;/D&gt;&lt;D xsi:type="xsd:long"&gt;45077&lt;/D&gt;&lt;D xsi:type="xsd:long"&gt;45073&lt;/D&gt;&lt;D xsi:type="xsd:long"&gt;45072&lt;/D&gt;&lt;D xsi:type="xsd:long"&gt;45071&lt;/D&gt;&lt;D xsi:type="xsd:long"&gt;45070&lt;/D&gt;&lt;D xsi:type="xsd:long"&gt;45069&lt;/D&gt;&lt;D xsi:type="xsd:long"&gt;45066&lt;/D&gt;&lt;D xsi:type="xsd:long"&gt;45065&lt;/D&gt;&lt;D xsi:type="xsd:long"&gt;45064&lt;/D&gt;&lt;D xsi:type="xsd:long"&gt;45063&lt;/D&gt;&lt;D xsi:type="xsd:long"&gt;45062&lt;/D&gt;&lt;D xsi:type="xsd:long"&gt;45059&lt;/D&gt;&lt;D xsi:type="xsd:long"&gt;45058&lt;/D&gt;&lt;D xsi:type="xsd:long"&gt;45057&lt;/D&gt;&lt;D xsi:type="xsd:long"&gt;45056&lt;/D&gt;&lt;D xsi:type="xsd:long"&gt;45055&lt;/D&gt;&lt;D xsi:type="xsd:long"&gt;45052&lt;/D&gt;&lt;D xsi:type="xsd:long"&gt;45051&lt;/D&gt;&lt;D xsi:type="xsd:long"&gt;45050&lt;/D&gt;&lt;D xsi:type="xsd:long"&gt;45049&lt;/D&gt;&lt;D xsi:type="xsd:long"&gt;45048&lt;/D&gt;&lt;D xsi:type="xsd:long"&gt;45045&lt;/D&gt;&lt;D xsi:type="xsd:long"&gt;45044&lt;/D&gt;&lt;D xsi:type="xsd:long"&gt;45043&lt;/D&gt;&lt;D xsi:type="xsd:long"&gt;45042&lt;/D&gt;&lt;D xsi:type="xsd:long"&gt;45041&lt;/D&gt;&lt;D xsi:type="xsd:long"&gt;45038&lt;/D&gt;&lt;D xsi:type="xsd:long"&gt;45037&lt;/D&gt;&lt;D xsi:type="xsd:long"&gt;45036&lt;/D&gt;&lt;D xsi:type="xsd:long"&gt;45035&lt;/D&gt;&lt;D xsi:type="xsd:long"&gt;45034&lt;/D&gt;&lt;D xsi:type="xsd:long"&gt;45031&lt;/D&gt;&lt;D xsi:type="xsd:long"&gt;45030&lt;/D&gt;&lt;D xsi:type="xsd:long"&gt;45029&lt;/D&gt;&lt;D xsi:type="xsd:long"&gt;45028&lt;/D&gt;&lt;D xsi:type="xsd:long"&gt;45027&lt;/D&gt;&lt;D xsi:type="xsd:long"&gt;45023&lt;/D&gt;&lt;D xsi:type="xsd:long"&gt;45022&lt;/D&gt;&lt;D xsi:type="xsd:long"&gt;45021&lt;/D&gt;&lt;D xsi:type="xsd:long"&gt;45020&lt;/D&gt;&lt;D xsi:type="xsd:long"&gt;45016&lt;/D&gt;&lt;D xsi:type="xsd:long"&gt;45016&lt;/D&gt;&lt;D xsi:type="xsd:long"&gt;45015&lt;/D&gt;&lt;D xsi:type="xsd:long"&gt;45014&lt;/D&gt;&lt;D xsi:type="xsd:long"&gt;45013&lt;/D&gt;&lt;D xsi:type="xsd:long"&gt;45010&lt;/D&gt;&lt;D xsi:type="xsd:long"&gt;45009&lt;/D&gt;&lt;D xsi:type="xsd:long"&gt;45008&lt;/D&gt;&lt;D xsi:type="xsd:long"&gt;45007&lt;/D&gt;&lt;D xsi:type="xsd:long"&gt;45006&lt;/D&gt;&lt;D xsi:type="xsd:long"&gt;45003&lt;/D&gt;&lt;D xsi:type="xsd:long"&gt;45002&lt;/D&gt;&lt;D xsi:type="xsd:long"&gt;45001&lt;/D&gt;&lt;D xsi:type="xsd:long"&gt;45000&lt;/D&gt;&lt;D xsi:type="xsd:long"&gt;44999&lt;/D&gt;&lt;D xsi:type="xsd:long"&gt;44996&lt;/D&gt;&lt;D xsi:type="xsd:long"&gt;44995&lt;/D&gt;&lt;D xsi:type="xsd:long"&gt;44994&lt;/D&gt;&lt;D xsi:type="xsd:long"&gt;44993&lt;/D&gt;&lt;D xsi:type="xsd:long"&gt;44992&lt;/D&gt;&lt;D xsi:type="xsd:long"&gt;44989&lt;/D&gt;&lt;D xsi:type="xsd:long"&gt;44988&lt;/D&gt;&lt;D xsi:type="xsd:long"&gt;44987&lt;/D&gt;&lt;D xsi:type="xsd:long"&gt;44985&lt;/D&gt;&lt;D xsi:type="xsd:long"&gt;44985&lt;/D&gt;&lt;D xsi:type="xsd:long"&gt;44982&lt;/D&gt;&lt;D xsi:type="xsd:long"&gt;44981&lt;/D&gt;&lt;D xsi:type="xsd:long"&gt;44980&lt;/D&gt;&lt;D xsi:type="xsd:long"&gt;44979&lt;/D&gt;&lt;D xsi:type="xsd:long"&gt;44975&lt;/D&gt;&lt;D xsi:type="xsd:long"&gt;44974&lt;/D&gt;&lt;D xsi:type="xsd:long"&gt;44973&lt;/D&gt;&lt;D xsi:type="xsd:long"&gt;44972&lt;/D&gt;&lt;D xsi:type="xsd:long"&gt;44971&lt;/D&gt;&lt;D xsi:type="xsd:long"&gt;44968&lt;/D&gt;&lt;D xsi:type="xsd:long"&gt;44967&lt;/D&gt;&lt;D xsi:type="xsd:long"&gt;44966&lt;/D&gt;&lt;D xsi:type="xsd:long"&gt;44965&lt;/D&gt;&lt;D xsi:type="xsd:long"&gt;44964&lt;/D&gt;&lt;D xsi:type="xsd:long"&gt;44961&lt;/D&gt;&lt;D xsi:type="xsd:long"&gt;44960&lt;/D&gt;&lt;D xsi:type="xsd:long"&gt;44959&lt;/D&gt;&lt;D xsi:type="xsd:long"&gt;44957&lt;/D&gt;&lt;D xsi:type="xsd:long"&gt;44957&lt;/D&gt;&lt;D xsi:type="xsd:long"&gt;44954&lt;/D&gt;&lt;D xsi:type="xsd:long"&gt;44953&lt;/D&gt;&lt;D xsi:type="xsd:long"&gt;44952&lt;/D&gt;&lt;D xsi:type="xsd:long"&gt;44951&lt;/D&gt;&lt;D xsi:type="xsd:long"&gt;44950&lt;/D&gt;&lt;D xsi:type="xsd:long"&gt;44947&lt;/D&gt;&lt;D xsi:type="xsd:long"&gt;44946&lt;/D&gt;&lt;D xsi:type="xsd:long"&gt;44945&lt;/D&gt;&lt;D xsi:type="xsd:long"&gt;44944&lt;/D&gt;&lt;D xsi:type="xsd:long"&gt;44940&lt;/D&gt;&lt;D xsi:type="xsd:long"&gt;44939&lt;/D&gt;&lt;D xsi:type="xsd:long"&gt;44938&lt;/D&gt;&lt;D xsi:type="xsd:long"&gt;44937&lt;/D&gt;&lt;D xsi:type="xsd:long"&gt;44936&lt;/D&gt;&lt;D xsi:type="xsd:long"&gt;44933&lt;/D&gt;&lt;D xsi:type="xsd:long"&gt;44932&lt;/D&gt;&lt;D xsi:type="xsd:long"&gt;44931&lt;/D&gt;&lt;D xsi:type="xsd:long"&gt;44930&lt;/D&gt;&lt;D xsi:type="xsd:long"&gt;44926&lt;/D&gt;&lt;D xsi:type="xsd:long"&gt;44925&lt;/D&gt;&lt;D xsi:type="xsd:long"&gt;44924&lt;/D&gt;&lt;D xsi:type="xsd:long"&gt;44923&lt;/D&gt;&lt;D xsi:type="xsd:long"&gt;44919&lt;/D&gt;&lt;D xsi:type="xsd:long"&gt;44918&lt;/D&gt;&lt;D xsi:type="xsd:long"&gt;44917&lt;/D&gt;&lt;D xsi:type="xsd:long"&gt;44916&lt;/D&gt;&lt;D xsi:type="xsd:long"&gt;44915&lt;/D&gt;&lt;D xsi:type="xsd:long"&gt;44912&lt;/D&gt;&lt;D xsi:type="xsd:long"&gt;44911&lt;/D&gt;&lt;D xsi:type="xsd:long"&gt;44910&lt;/D&gt;&lt;D xsi:type="xsd:long"&gt;44909&lt;/D&gt;&lt;D xsi:type="xsd:long"&gt;44908&lt;/D&gt;&lt;D xsi:type="xsd:long"&gt;44905&lt;/D&gt;&lt;D xsi:type="xsd:long"&gt;44904&lt;/D&gt;&lt;D xsi:type="xsd:long"&gt;44903&lt;/D&gt;&lt;D xsi:type="xsd:long"&gt;44902&lt;/D&gt;&lt;D xsi:type="xsd:long"&gt;44901&lt;/D&gt;&lt;D xsi:type="xsd:long"&gt;44898&lt;/D&gt;&lt;D xsi:type="xsd:long"&gt;44897&lt;/D&gt;&lt;D xsi:type="xsd:long"&gt;44895&lt;/D&gt;&lt;D xsi:type="xsd:long"&gt;44895&lt;/D&gt;&lt;D xsi:type="xsd:long"&gt;44894&lt;/D&gt;&lt;D xsi:type="xsd:long"&gt;44891&lt;/D&gt;&lt;D xsi:type="xsd:long"&gt;44889&lt;/D&gt;&lt;D xsi:type="xsd:long"&gt;44888&lt;/D&gt;&lt;D xsi:type="xsd:long"&gt;44887&lt;/D&gt;&lt;D xsi:type="xsd:long"&gt;44884&lt;/D&gt;&lt;D xsi:type="xsd:long"&gt;44883&lt;/D&gt;&lt;D xsi:type="xsd:long"&gt;44882&lt;/D&gt;&lt;D xsi:type="xsd:long"&gt;44881&lt;/D&gt;&lt;D xsi:type="xsd:long"&gt;44880&lt;/D&gt;&lt;D xsi:type="xsd:long"&gt;44877&lt;/D&gt;&lt;D xsi:type="xsd:long"&gt;44876&lt;/D&gt;&lt;D xsi:type="xsd:long"&gt;44875&lt;/D&gt;&lt;D xsi:type="xsd:long"&gt;44874&lt;/D&gt;&lt;D xsi:type="xsd:long"&gt;44873&lt;/D&gt;&lt;D xsi:type="xsd:long"&gt;44870&lt;/D&gt;&lt;D xsi:type="xsd:long"&gt;44869&lt;/D&gt;&lt;D xsi:type="xsd:long"&gt;44868&lt;/D&gt;&lt;D xsi:type="xsd:long"&gt;44867&lt;/D&gt;&lt;D xsi:type="xsd:long"&gt;44865&lt;/D&gt;&lt;D xsi:type="xsd:long"&gt;44863&lt;/D&gt;&lt;D xsi:type="xsd:long"&gt;44862&lt;/D&gt;&lt;D xsi:type="xsd:long"&gt;44861&lt;/D&gt;&lt;D xsi:type="xsd:long"&gt;44860&lt;/D&gt;&lt;D xsi:type="xsd:long"&gt;44859&lt;/D&gt;&lt;D xsi:type="xsd:long"&gt;44856&lt;/D&gt;&lt;D xsi:type="xsd:long"&gt;44855&lt;/D&gt;&lt;D xsi:type="xsd:long"&gt;44854&lt;/D&gt;&lt;D xsi:type="xsd:long"&gt;44853&lt;/D&gt;&lt;D xsi:type="xsd:long"&gt;44852&lt;/D&gt;&lt;D xsi:type="xsd:long"&gt;44849&lt;/D&gt;&lt;D xsi:type="xsd:long"&gt;44848&lt;/D&gt;&lt;D xsi:type="xsd:long"&gt;44847&lt;/D&gt;&lt;D xsi:type="xsd:long"&gt;44846&lt;/D&gt;&lt;D xsi:type="xsd:long"&gt;44845&lt;/D&gt;&lt;D xsi:type="xsd:long"&gt;44842&lt;/D&gt;&lt;D xsi:type="xsd:long"&gt;44841&lt;/D&gt;&lt;D xsi:type="xsd:long"&gt;44840&lt;/D&gt;&lt;D xsi:type="xsd:long"&gt;44839&lt;/D&gt;&lt;D xsi:type="xsd:long"&gt;44838&lt;/D&gt;&lt;D xsi:type="xsd:long"&gt;44834&lt;/D&gt;&lt;D xsi:type="xsd:long"&gt;44834&lt;/D&gt;&lt;D xsi:type="xsd:long"&gt;44833&lt;/D&gt;&lt;D xsi:type="xsd:long"&gt;44832&lt;/D&gt;&lt;D xsi:type="xsd:long"&gt;44831&lt;/D&gt;&lt;D xsi:type="xsd:long"&gt;44828&lt;/D&gt;&lt;D xsi:type="xsd:long"&gt;44827&lt;/D&gt;&lt;D xsi:type="xsd:long"&gt;44826&lt;/D&gt;&lt;D xsi:type="xsd:long"&gt;44825&lt;/D&gt;&lt;D xsi:type="xsd:long"&gt;44824&lt;/D&gt;&lt;D xsi:type="xsd:long"&gt;44821&lt;/D&gt;&lt;D xsi:type="xsd:long"&gt;44820&lt;/D&gt;&lt;D xsi:type="xsd:long"&gt;44819&lt;/D&gt;&lt;D xsi:type="xsd:long"&gt;44818&lt;/D&gt;&lt;D xsi:type="xsd:long"&gt;44817&lt;/D&gt;&lt;D xsi:type="xsd:long"&gt;44814&lt;/D&gt;&lt;D xsi:type="xsd:long"&gt;44813&lt;/D&gt;&lt;D xsi:type="xsd:long"&gt;44812&lt;/D&gt;&lt;D xsi:type="xsd:long"&gt;44811&lt;/D&gt;&lt;D xsi:type="xsd:long"&gt;44807&lt;/D&gt;&lt;D xsi:type="xsd:long"&gt;44806&lt;/D&gt;&lt;D xsi:type="xsd:long"&gt;44804&lt;/D&gt;&lt;D xsi:type="xsd:long"&gt;44804&lt;/D&gt;&lt;D xsi:type="xsd:long"&gt;44803&lt;/D&gt;&lt;D xsi:type="xsd:long"&gt;44800&lt;/D&gt;&lt;D xsi:type="xsd:long"&gt;44799&lt;/D&gt;&lt;D xsi:type="xsd:long"&gt;44798&lt;/D&gt;&lt;D xsi:type="xsd:long"&gt;44797&lt;/D&gt;&lt;D xsi:type="xsd:long"&gt;44796&lt;/D&gt;&lt;D xsi:type="xsd:long"&gt;44793&lt;/D&gt;&lt;D xsi:type="xsd:long"&gt;44792&lt;/D&gt;&lt;D xsi:type="xsd:long"&gt;44791&lt;/D&gt;&lt;D xsi:type="xsd:long"&gt;44790&lt;/D&gt;&lt;D xsi:type="xsd:long"&gt;44789&lt;/D&gt;&lt;D xsi:type="xsd:long"&gt;44786&lt;/D&gt;&lt;D xsi:type="xsd:long"&gt;44785&lt;/D&gt;&lt;D xsi:type="xsd:long"&gt;44784&lt;/D&gt;&lt;D xsi:type="xsd:long"&gt;44783&lt;/D&gt;&lt;D xsi:type="xsd:long"&gt;44782&lt;/D&gt;&lt;D xsi:type="xsd:long"&gt;44779&lt;/D&gt;&lt;D xsi:type="xsd:long"&gt;44778&lt;/D&gt;&lt;D xsi:type="xsd:long"&gt;44777&lt;/D&gt;&lt;D xsi:type="xsd:long"&gt;44776&lt;/D&gt;&lt;D xsi:type="xsd:long"&gt;44775&lt;/D&gt;&lt;D xsi:type="xsd:long"&gt;44772&lt;/D&gt;&lt;D xsi:type="xsd:long"&gt;44771&lt;/D&gt;&lt;D xsi:type="xsd:long"&gt;44770&lt;/D&gt;&lt;D xsi:type="xsd:long"&gt;44769&lt;/D&gt;&lt;D xsi:type="xsd:long"&gt;44768&lt;/D&gt;&lt;D xsi:type="xsd:long"&gt;44765&lt;/D&gt;&lt;D xsi:type="xsd:long"&gt;44764&lt;/D&gt;&lt;D xsi:type="xsd:long"&gt;44763&lt;/D&gt;&lt;D xsi:type="xsd:long"&gt;44762&lt;/D&gt;&lt;D xsi:type="xsd:long"&gt;44761&lt;/D&gt;&lt;D xsi:type="xsd:long"&gt;44758&lt;/D&gt;&lt;D xsi:type="xsd:long"&gt;44757&lt;/D&gt;&lt;D xsi:type="xsd:long"&gt;44756&lt;/D&gt;&lt;D xsi:type="xsd:long"&gt;44755&lt;/D&gt;&lt;D xsi:type="xsd:long"&gt;44754&lt;/D&gt;&lt;D xsi:type="xsd:long"&gt;44751&lt;/D&gt;&lt;D xsi:type="xsd:long"&gt;44750&lt;/D&gt;&lt;D xsi:type="xsd:long"&gt;44749&lt;/D&gt;&lt;D xsi:type="xsd:long"&gt;44748&lt;/D&gt;&lt;D xsi:type="xsd:long"&gt;44744&lt;/D&gt;&lt;D xsi:type="xsd:long"&gt;44742&lt;/D&gt;&lt;D xsi:type="xsd:long"&gt;44742&lt;/D&gt;&lt;D xsi:type="xsd:long"&gt;44741&lt;/D&gt;&lt;D xsi:type="xsd:long"&gt;44740&lt;/D&gt;&lt;D xsi:type="xsd:long"&gt;44737&lt;/D&gt;&lt;D xsi:type="xsd:long"&gt;44736&lt;/D&gt;&lt;D xsi:type="xsd:long"&gt;44735&lt;/D&gt;&lt;D xsi:type="xsd:long"&gt;44734&lt;/D&gt;&lt;D xsi:type="xsd:long"&gt;44730&lt;/D&gt;&lt;D xsi:type="xsd:long"&gt;44729&lt;/D&gt;&lt;D xsi:type="xsd:long"&gt;44728&lt;/D&gt;&lt;D xsi:type="xsd:long"&gt;44727&lt;/D&gt;&lt;D xsi:type="xsd:long"&gt;44726&lt;/D&gt;&lt;D xsi:type="xsd:long"&gt;44723&lt;/D&gt;&lt;D xsi:type="xsd:long"&gt;44722&lt;/D&gt;&lt;D xsi:type="xsd:long"&gt;44721&lt;/D&gt;&lt;D xsi:type="xsd:long"&gt;44720&lt;/D&gt;&lt;D xsi:type="xsd:long"&gt;44719&lt;/D&gt;&lt;D xsi:type="xsd:long"&gt;44716&lt;/D&gt;&lt;D xsi:type="xsd:long"&gt;44715&lt;/D&gt;&lt;D xsi:type="xsd:long"&gt;44714&lt;/D&gt;&lt;D xsi:type="xsd:long"&gt;44712&lt;/D&gt;&lt;D xsi:type="xsd:long"&gt;44709&lt;/D&gt;&lt;D xsi:type="xsd:long"&gt;44708&lt;/D&gt;&lt;D xsi:type="xsd:long"&gt;44707&lt;/D&gt;&lt;D xsi:type="xsd:long"&gt;44706&lt;/D&gt;&lt;D xsi:type="xsd:long"&gt;44705&lt;/D&gt;&lt;D xsi:type="xsd:long"&gt;44702&lt;/D&gt;&lt;D xsi:type="xsd:long"&gt;44701&lt;/D&gt;&lt;D xsi:type="xsd:long"&gt;44700&lt;/D&gt;&lt;D xsi:type="xsd:long"&gt;44699&lt;/D&gt;&lt;D xsi:type="xsd:long"&gt;44698&lt;/D&gt;&lt;D xsi:type="xsd:long"&gt;44695&lt;/D&gt;&lt;D xsi:type="xsd:long"&gt;44694&lt;/D&gt;&lt;D xsi:type="xsd:long"&gt;44693&lt;/D&gt;&lt;D xsi:type="xsd:long"&gt;44692&lt;/D&gt;&lt;D xsi:type="xsd:long"&gt;44691&lt;/D&gt;&lt;D xsi:type="xsd:long"&gt;44688&lt;/D&gt;&lt;D xsi:type="xsd:long"&gt;44687&lt;/D&gt;&lt;D xsi:type="xsd:long"&gt;44686&lt;/D&gt;&lt;D xsi:type="xsd:long"&gt;44685&lt;/D&gt;&lt;D xsi:type="xsd:long"&gt;44684&lt;/D&gt;&lt;D xsi:type="xsd:long"&gt;44681&lt;/D&gt;&lt;D xsi:type="xsd:long"&gt;44680&lt;/D&gt;&lt;D xsi:type="xsd:long"&gt;44679&lt;/D&gt;&lt;D xsi:type="xsd:long"&gt;44678&lt;/D&gt;&lt;D xsi:type="xsd:long"&gt;44677&lt;/D&gt;&lt;D xsi:type="xsd:long"&gt;44674&lt;/D&gt;&lt;D xsi:type="xsd:long"&gt;44673&lt;/D&gt;&lt;D xsi:type="xsd:long"&gt;44672&lt;/D&gt;&lt;D xsi:type="xsd:long"&gt;44671&lt;/D&gt;&lt;D xsi:type="xsd:long"&gt;44670&lt;/D&gt;&lt;D xsi:type="xsd:long"&gt;44666&lt;/D&gt;&lt;D xsi:type="xsd:long"&gt;44665&lt;/D&gt;&lt;D xsi:type="xsd:long"&gt;44664&lt;/D&gt;&lt;D xsi:type="xsd:long"&gt;44663&lt;/D&gt;&lt;D xsi:type="xsd:long"&gt;44660&lt;/D&gt;&lt;D xsi:type="xsd:long"&gt;44659&lt;/D&gt;&lt;D xsi:type="xsd:long"&gt;44658&lt;/D&gt;&lt;D xsi:type="xsd:long"&gt;44657&lt;/D&gt;&lt;D xsi:type="xsd:long"&gt;44656&lt;/D&gt;&lt;D xsi:type="xsd:long"&gt;44653&lt;/D&gt;&lt;D xsi:type="xsd:long"&gt;44651&lt;/D&gt;&lt;D xsi:type="xsd:long"&gt;44651&lt;/D&gt;&lt;D xsi:type="xsd:long"&gt;44650&lt;/D&gt;&lt;D xsi:type="xsd:long"&gt;44649&lt;/D&gt;&lt;D xsi:type="xsd:long"&gt;44646&lt;/D&gt;&lt;D xsi:type="xsd:long"&gt;44645&lt;/D&gt;&lt;D xsi:type="xsd:long"&gt;44644&lt;/D&gt;&lt;D xsi:type="xsd:long"&gt;44643&lt;/D&gt;&lt;D xsi:type="xsd:long"&gt;44642&lt;/D&gt;&lt;D xsi:type="xsd:long"&gt;44639&lt;/D&gt;&lt;D xsi:type="xsd:long"&gt;44638&lt;/D&gt;&lt;D xsi:type="xsd:long"&gt;44637&lt;/D&gt;&lt;D xsi:type="xsd:long"&gt;44636&lt;/D&gt;&lt;D xsi:type="xsd:long"&gt;44635&lt;/D&gt;&lt;D xsi:type="xsd:long"&gt;44632&lt;/D&gt;&lt;D xsi:type="xsd:long"&gt;44631&lt;/D&gt;&lt;D xsi:type="xsd:long"&gt;44630&lt;/D&gt;&lt;D xsi:type="xsd:long"&gt;44629&lt;/D&gt;&lt;D xsi:type="xsd:long"&gt;44628&lt;/D&gt;&lt;D xsi:type="xsd:long"&gt;44625&lt;/D&gt;&lt;D xsi:type="xsd:long"&gt;44624&lt;/D&gt;&lt;D xsi:type="xsd:long"&gt;44623&lt;/D&gt;&lt;D xsi:type="xsd:long"&gt;44622&lt;/D&gt;&lt;D xsi:type="xsd:long"&gt;44620&lt;/D&gt;&lt;D xsi:type="xsd:long"&gt;44618&lt;/D&gt;&lt;D xsi:type="xsd:long"&gt;44617&lt;/D&gt;&lt;D xsi:type="xsd:long"&gt;44616&lt;/D&gt;&lt;D xsi:type="xsd:long"&gt;44615&lt;/D&gt;&lt;D xsi:type="xsd:long"&gt;44611&lt;/D&gt;&lt;D xsi:type="xsd:long"&gt;44610&lt;/D&gt;&lt;D xsi:type="xsd:long"&gt;44609&lt;/D&gt;&lt;D xsi:type="xsd:long"&gt;44608&lt;/D&gt;&lt;D xsi:type="xsd:long"&gt;44607&lt;/D&gt;&lt;D xsi:type="xsd:long"&gt;44604&lt;/D&gt;&lt;D xsi:type="xsd:long"&gt;44603&lt;/D&gt;&lt;D xsi:type="xsd:long"&gt;44602&lt;/D&gt;&lt;D xsi:type="xsd:long"&gt;44601&lt;/D&gt;&lt;D xsi:type="xsd:long"&gt;44600&lt;/D&gt;&lt;D xsi:type="xsd:long"&gt;44597&lt;/D&gt;&lt;D xsi:type="xsd:long"&gt;44596&lt;/D&gt;&lt;D xsi:type="xsd:long"&gt;44595&lt;/D&gt;&lt;D xsi:type="xsd:long"&gt;44594&lt;/D&gt;&lt;D xsi:type="xsd:long"&gt;44592&lt;/D&gt;&lt;D xsi:type="xsd:long"&gt;44590&lt;/D&gt;&lt;D xsi:type="xsd:long"&gt;44589&lt;/D&gt;&lt;D xsi:type="xsd:long"&gt;44588&lt;/D&gt;&lt;D xsi:type="xsd:long"&gt;44587&lt;/D&gt;&lt;D xsi:type="xsd:long"&gt;44586&lt;/D&gt;&lt;D xsi:type="xsd:long"&gt;44583&lt;/D&gt;&lt;D xsi:type="xsd:long"&gt;44582&lt;/D&gt;&lt;D xsi:type="xsd:long"&gt;44581&lt;/D&gt;&lt;D xsi:type="xsd:long"&gt;44580&lt;/D&gt;&lt;D xsi:type="xsd:long"&gt;44576&lt;/D&gt;&lt;D xsi:type="xsd:long"&gt;44575&lt;/D&gt;&lt;D xsi:type="xsd:long"&gt;44574&lt;/D&gt;&lt;D xsi:type="xsd:long"&gt;44573&lt;/D&gt;&lt;D xsi:type="xsd:long"&gt;44572&lt;/D&gt;&lt;D xsi:type="xsd:long"&gt;44569&lt;/D&gt;&lt;D xsi:type="xsd:long"&gt;44568&lt;/D&gt;&lt;D xsi:type="xsd:long"&gt;44567&lt;/D&gt;&lt;D xsi:type="xsd:long"&gt;44566&lt;/D&gt;&lt;D xsi:type="xsd:long"&gt;44565&lt;/D&gt;&lt;D xsi:type="xsd:long"&gt;44561&lt;/D&gt;&lt;D xsi:type="xsd:long"&gt;44561&lt;/D&gt;&lt;D xsi:type="xsd:long"&gt;44560&lt;/D&gt;&lt;D xsi:type="xsd:long"&gt;44559&lt;/D&gt;&lt;D xsi:type="xsd:long"&gt;44558&lt;/D&gt;&lt;D xsi:type="xsd:long"&gt;44554&lt;/D&gt;&lt;D xsi:type="xsd:long"&gt;44553&lt;/D&gt;&lt;D xsi:type="xsd:long"&gt;44552&lt;/D&gt;&lt;D xsi:type="xsd:long"&gt;44551&lt;/D&gt;&lt;D xsi:type="xsd:long"&gt;44548&lt;/D&gt;&lt;D xsi:type="xsd:long"&gt;44547&lt;/D&gt;&lt;D xsi:type="xsd:long"&gt;44546&lt;/D&gt;&lt;D xsi:type="xsd:long"&gt;44545&lt;/D&gt;&lt;D xsi:type="xsd:long"&gt;44544&lt;/D&gt;&lt;D xsi:type="xsd:long"&gt;44541&lt;/D&gt;&lt;D xsi:type="xsd:long"&gt;44540&lt;/D&gt;&lt;D xsi:type="xsd:long"&gt;44539&lt;/D&gt;&lt;D xsi:type="xsd:long"&gt;44538&lt;/D&gt;&lt;D xsi:type="xsd:long"&gt;44537&lt;/D&gt;&lt;D xsi:type="xsd:long"&gt;44534&lt;/D&gt;&lt;D xsi:type="xsd:long"&gt;44533&lt;/D&gt;&lt;D xsi:type="xsd:long"&gt;44532&lt;/D&gt;&lt;D xsi:type="xsd:long"&gt;44530&lt;/D&gt;&lt;D xsi:type="xsd:long"&gt;44530&lt;/D&gt;&lt;D xsi:type="xsd:long"&gt;44527&lt;/D&gt;&lt;D xsi:type="xsd:long"&gt;44525&lt;/D&gt;&lt;D xsi:type="xsd:long"&gt;44524&lt;/D&gt;&lt;D xsi:type="xsd:long"&gt;44523&lt;/D&gt;&lt;D xsi:type="xsd:long"&gt;44520&lt;/D&gt;&lt;D xsi:type="xsd:long"&gt;44519&lt;/D&gt;&lt;D xsi:type="xsd:long"&gt;44518&lt;/D&gt;&lt;D xsi:type="xsd:long"&gt;44517&lt;/D&gt;&lt;D xsi:type="xsd:long"&gt;44516&lt;/D&gt;&lt;D xsi:type="xsd:long"&gt;44513&lt;/D&gt;&lt;D xsi:type="xsd:long"&gt;44512&lt;/D&gt;&lt;D xsi:type="xsd:long"&gt;44511&lt;/D&gt;&lt;D xsi:type="xsd:long"&gt;44510&lt;/D&gt;&lt;D xsi:type="xsd:long"&gt;44509&lt;/D&gt;&lt;D xsi:type="xsd:long"&gt;44506&lt;/D&gt;&lt;D xsi:type="xsd:long"&gt;44505&lt;/D&gt;&lt;D xsi:type="xsd:long"&gt;44504&lt;/D&gt;&lt;D xsi:type="xsd:long"&gt;44503&lt;/D&gt;&lt;D xsi:type="xsd:long"&gt;44502&lt;/D&gt;&lt;D xsi:type="xsd:long"&gt;44499&lt;/D&gt;&lt;D xsi:type="xsd:long"&gt;44498&lt;/D&gt;&lt;D xsi:type="xsd:long"&gt;44497&lt;/D&gt;&lt;D xsi:type="xsd:long"&gt;44496&lt;/D&gt;&lt;D xsi:type="xsd:long"&gt;44495&lt;/D&gt;&lt;D xsi:type="xsd:long"&gt;44492&lt;/D&gt;&lt;D xsi:type="xsd:long"&gt;44491&lt;/D&gt;&lt;D xsi:type="xsd:long"&gt;44490&lt;/D&gt;&lt;D xsi:type="xsd:long"&gt;44489&lt;/D&gt;&lt;D xsi:type="xsd:long"&gt;44488&lt;/D&gt;&lt;D xsi:type="xsd:long"&gt;44485&lt;/D&gt;&lt;D xsi:type="xsd:long"&gt;44484&lt;/D&gt;&lt;D xsi:type="xsd:long"&gt;44483&lt;/D&gt;&lt;D xsi:type="xsd:long"&gt;44482&lt;/D&gt;&lt;D xsi:type="xsd:long"&gt;44481&lt;/D&gt;&lt;D xsi:type="xsd:long"&gt;44478&lt;/D&gt;&lt;D xsi:type="xsd:long"&gt;44477&lt;/D&gt;&lt;D xsi:type="xsd:long"&gt;44476&lt;/D&gt;&lt;D xsi:type="xsd:long"&gt;44475&lt;/D&gt;&lt;D xsi:type="xsd:long"&gt;44474&lt;/D&gt;&lt;D xsi:type="xsd:long"&gt;44471&lt;/D&gt;&lt;D xsi:type="xsd:long"&gt;44469&lt;/D&gt;&lt;D xsi:type="xsd:long"&gt;44469&lt;/D&gt;&lt;D xsi:type="xsd:long"&gt;44468&lt;/D&gt;&lt;D xsi:type="xsd:long"&gt;44467&lt;/D&gt;&lt;D xsi:type="xsd:long"&gt;44464&lt;/D&gt;&lt;D xsi:type="xsd:long"&gt;44463&lt;/D&gt;&lt;D xsi:type="xsd:long"&gt;44462&lt;/D&gt;&lt;D xsi:type="xsd:long"&gt;44461&lt;/D&gt;&lt;D xsi:type="xsd:long"&gt;44460&lt;/D&gt;&lt;D xsi:type="xsd:long"&gt;44457&lt;/D&gt;&lt;D xsi:type="xsd:long"&gt;44456&lt;/D&gt;&lt;D xsi:type="xsd:long"&gt;44455&lt;/D&gt;&lt;D xsi:type="xsd:long"&gt;44454&lt;/D&gt;&lt;D xsi:type="xsd:long"&gt;44453&lt;/D&gt;&lt;D xsi:type="xsd:long"&gt;44450&lt;/D&gt;&lt;D xsi:type="xsd:long"&gt;44449&lt;/D&gt;&lt;D xsi:type="xsd:long"&gt;44448&lt;/D&gt;&lt;D xsi:type="xsd:long"&gt;44447&lt;/D&gt;&lt;D xsi:type="xsd:long"&gt;44443&lt;/D&gt;&lt;D xsi:type="xsd:long"&gt;44442&lt;/D&gt;&lt;D xsi:type="xsd:long"&gt;44441&lt;/D&gt;&lt;D xsi:type="xsd:long"&gt;44439&lt;/D&gt;&lt;D xsi:type="xsd:long"&gt;44439&lt;/D&gt;&lt;D xsi:type="xsd:long"&gt;44436&lt;/D&gt;&lt;D xsi:type="xsd:long"&gt;44435&lt;/D&gt;&lt;D xsi:type="xsd:long"&gt;44434&lt;/D&gt;&lt;D xsi:type="xsd:long"&gt;44433&lt;/D&gt;&lt;D xsi:type="xsd:long"&gt;44432&lt;/D&gt;&lt;D xsi:type="xsd:long"&gt;44429&lt;/D&gt;&lt;D xsi:type="xsd:long"&gt;44428&lt;/D&gt;&lt;D xsi:type="xsd:long"&gt;44427&lt;/D&gt;&lt;D xsi:type="xsd:long"&gt;44426&lt;/D&gt;&lt;D xsi:type="xsd:long"&gt;44425&lt;/D&gt;&lt;D xsi:type="xsd:long"&gt;44422&lt;/D&gt;&lt;D xsi:type="xsd:long"&gt;44421&lt;/D&gt;&lt;D xsi:type="xsd:long"&gt;44420&lt;/D&gt;&lt;D xsi:type="xsd:long"&gt;44419&lt;/D&gt;&lt;D xsi:type="xsd:long"&gt;44418&lt;/D&gt;&lt;D xsi:type="xsd:long"&gt;44415&lt;/D&gt;&lt;D xsi:type="xsd:long"&gt;44414&lt;/D&gt;&lt;D xsi:type="xsd:long"&gt;44413&lt;/D&gt;&lt;D xsi:type="xsd:long"&gt;44412&lt;/D&gt;&lt;D xsi:type="xsd:long"&gt;44411&lt;/D&gt;&lt;D xsi:type="xsd:long"&gt;44408&lt;/D&gt;&lt;D xsi:type="xsd:long"&gt;44407&lt;/D&gt;&lt;D xsi:type="xsd:long"&gt;44406&lt;/D&gt;&lt;D xsi:type="xsd:long"&gt;44405&lt;/D&gt;&lt;D xsi:type="xsd:long"&gt;44404&lt;/D&gt;&lt;D xsi:type="xsd:long"&gt;44401&lt;/D&gt;&lt;D xsi:type="xsd:long"&gt;44400&lt;/D&gt;&lt;D xsi:type="xsd:long"&gt;44399&lt;/D&gt;&lt;D xsi:type="xsd:long"&gt;44398&lt;/D&gt;&lt;D xsi:type="xsd:long"&gt;44397&lt;/D&gt;&lt;D xsi:type="xsd:long"&gt;44394&lt;/D&gt;&lt;D xsi:type="xsd:long"&gt;44393&lt;/D&gt;&lt;D xsi:type="xsd:long"&gt;44392&lt;/D&gt;&lt;D xsi:type="xsd:long"&gt;44391&lt;/D&gt;&lt;D xsi:type="xsd:long"&gt;44390&lt;/D&gt;&lt;D xsi:type="xsd:long"&gt;44387&lt;/D&gt;&lt;D xsi:type="xsd:long"&gt;44386&lt;/D&gt;&lt;D xsi:type="xsd:long"&gt;44385&lt;/D&gt;&lt;D xsi:type="xsd:long"&gt;44384&lt;/D&gt;&lt;D xsi:type="xsd:long"&gt;44380&lt;/D&gt;&lt;D xsi:type="xsd:long"&gt;44379&lt;/D&gt;&lt;D xsi:type="xsd:long"&gt;44377&lt;/D&gt;&lt;D xsi:type="xsd:long"&gt;44377&lt;/D&gt;&lt;D xsi:type="xsd:long"&gt;44376&lt;/D&gt;&lt;D xsi:type="xsd:long"&gt;44373&lt;/D&gt;&lt;D xsi:type="xsd:long"&gt;44372&lt;/D&gt;&lt;D xsi:type="xsd:long"&gt;44371&lt;/D&gt;&lt;D xsi:type="xsd:long"&gt;44370&lt;/D&gt;&lt;D xsi:type="xsd:long"&gt;44369&lt;/D&gt;&lt;D xsi:type="xsd:long"&gt;44366&lt;/D&gt;&lt;D xsi:type="xsd:long"&gt;44365&lt;/D&gt;&lt;D xsi:type="xsd:long"&gt;44364&lt;/D&gt;&lt;D xsi:type="xsd:long"&gt;44363&lt;/D&gt;&lt;D xsi:type="xsd:long"&gt;44362&lt;/D&gt;&lt;D xsi:type="xsd:long"&gt;44359&lt;/D&gt;&lt;D xsi:type="xsd:long"&gt;44358&lt;/D&gt;&lt;D xsi:type="xsd:long"&gt;44357&lt;/D&gt;&lt;D xsi:type="xsd:long"&gt;44356&lt;/D&gt;&lt;D xsi:type="xsd:long"&gt;44355&lt;/D&gt;&lt;D xsi:type="xsd:long"&gt;44352&lt;/D&gt;&lt;D xsi:type="xsd:long"&gt;44351&lt;/D&gt;&lt;D xsi:type="xsd:long"&gt;44350&lt;/D&gt;&lt;D xsi:type="xsd:long"&gt;44349&lt;/D&gt;&lt;D xsi:type="xsd:long"&gt;44345&lt;/D&gt;&lt;D xsi:type="xsd:long"&gt;44344&lt;/D&gt;&lt;D xsi:type="xsd:long"&gt;44343&lt;/D&gt;&lt;D xsi:type="xsd:long"&gt;44342&lt;/D&gt;&lt;D xsi:type="xsd:long"&gt;44341&lt;/D&gt;&lt;D xsi:type="xsd:long"&gt;44338&lt;/D&gt;&lt;D xsi:type="xsd:long"&gt;44337&lt;/D&gt;&lt;D xsi:type="xsd:long"&gt;44336&lt;/D&gt;&lt;D xsi:type="xsd:long"&gt;44335&lt;/D&gt;&lt;D xsi:type="xsd:long"&gt;44334&lt;/D&gt;&lt;D xsi:type="xsd:long"&gt;44331&lt;/D&gt;&lt;D xsi:type="xsd:long"&gt;44330&lt;/D&gt;&lt;D xsi:type="xsd:long"&gt;44329&lt;/D&gt;&lt;D xsi:type="xsd:long"&gt;44328&lt;/D&gt;&lt;D xsi:type="xsd:long"&gt;44327&lt;/D&gt;&lt;D xsi:type="xsd:long"&gt;44324&lt;/D&gt;&lt;D xsi:type="xsd:long"&gt;44323&lt;/D&gt;&lt;D xsi:type="xsd:long"&gt;44322&lt;/D&gt;&lt;D xsi:type="xsd:long"&gt;44321&lt;/D&gt;&lt;D xsi:type="xsd:long"&gt;44320&lt;/D&gt;&lt;D xsi:type="xsd:long"&gt;44316&lt;/D&gt;&lt;D xsi:type="xsd:long"&gt;44316&lt;/D&gt;&lt;D xsi:type="xsd:long"&gt;44315&lt;/D&gt;&lt;D xsi:type="xsd:long"&gt;44314&lt;/D&gt;&lt;D xsi:type="xsd:long"&gt;44313&lt;/D&gt;&lt;D xsi:type="xsd:long"&gt;44310&lt;/D&gt;&lt;D xsi:type="xsd:long"&gt;44309&lt;/D&gt;&lt;D xsi:type="xsd:long"&gt;44308&lt;/D&gt;&lt;D xsi:type="xsd:long"&gt;44307&lt;/D&gt;&lt;D xsi:type="xsd:long"&gt;44306&lt;/D&gt;&lt;D xsi:type="xsd:long"&gt;44303&lt;/D&gt;&lt;D xsi:type="xsd:long"&gt;44302&lt;/D&gt;&lt;D xsi:type="xsd:long"&gt;44301&lt;/D&gt;&lt;D xsi:type="xsd:long"&gt;44300&lt;/D&gt;&lt;D xsi:type="xsd:long"&gt;44299&lt;/D&gt;&lt;D xsi:type="xsd:long"&gt;44296&lt;/D&gt;&lt;D xsi:type="xsd:long"&gt;44295&lt;/D&gt;&lt;D xsi:type="xsd:long"&gt;44294&lt;/D&gt;&lt;D xsi:type="xsd:long"&gt;44293&lt;/D&gt;&lt;D xsi:type="xsd:long"&gt;44292&lt;/D&gt;&lt;D xsi:type="xsd:long"&gt;44288&lt;/D&gt;&lt;D xsi:type="xsd:long"&gt;44286&lt;/D&gt;&lt;D xsi:type="xsd:long"&gt;44286&lt;/D&gt;&lt;D xsi:type="xsd:long"&gt;44285&lt;/D&gt;&lt;D xsi:type="xsd:long"&gt;44282&lt;/D&gt;&lt;D xsi:type="xsd:long"&gt;44281&lt;/D&gt;&lt;D xsi:type="xsd:long"&gt;44280&lt;/D&gt;&lt;D xsi:type="xsd:long"&gt;44279&lt;/D&gt;&lt;D xsi:type="xsd:long"&gt;44278&lt;/D&gt;&lt;D xsi:type="xsd:long"&gt;44275&lt;/D&gt;&lt;D xsi:type="xsd:long"&gt;44274&lt;/D&gt;&lt;D xsi:type="xsd:long"&gt;44273&lt;/D&gt;&lt;D xsi:type="xsd:long"&gt;44272&lt;/D&gt;&lt;D xsi:type="xsd:long"&gt;44271&lt;/D&gt;&lt;D xsi:type="xsd:long"&gt;44268&lt;/D&gt;&lt;D xsi:type="xsd:long"&gt;44267&lt;/D&gt;&lt;D xsi:type="xsd:long"&gt;44266&lt;/D&gt;&lt;D xsi:type="xsd:long"&gt;44265&lt;/D&gt;&lt;D xsi:type="xsd:long"&gt;44264&lt;/D&gt;&lt;D xsi:type="xsd:long"&gt;44261&lt;/D&gt;&lt;D xsi:type="xsd:long"&gt;44260&lt;/D&gt;&lt;D xsi:type="xsd:long"&gt;44259&lt;/D&gt;&lt;D xsi:type="xsd:long"&gt;44258&lt;/D&gt;&lt;D xsi:type="xsd:long"&gt;44257&lt;/D&gt;&lt;D xsi:type="xsd:long"&gt;44254&lt;/D&gt;&lt;D xsi:type="xsd:long"&gt;44253&lt;/D&gt;&lt;D xsi:type="xsd:long"&gt;44252&lt;/D&gt;&lt;D xsi:type="xsd:long"&gt;44251&lt;/D&gt;&lt;D xsi:type="xsd:long"&gt;44250&lt;/D&gt;&lt;D xsi:type="xsd:long"&gt;44247&lt;/D&gt;&lt;D xsi:type="xsd:long"&gt;44246&lt;/D&gt;&lt;D xsi:type="xsd:long"&gt;44245&lt;/D&gt;&lt;D xsi:type="xsd:long"&gt;44244&lt;/D&gt;&lt;D xsi:type="xsd:long"&gt;44240&lt;/D&gt;&lt;D xsi:type="xsd:long"&gt;44239&lt;/D&gt;&lt;D xsi:type="xsd:long"&gt;44238&lt;/D&gt;&lt;D xsi:type="xsd:long"&gt;44237&lt;/D&gt;&lt;D xsi:type="xsd:long"&gt;44236&lt;/D&gt;&lt;D xsi:type="xsd:long"&gt;4423</t>
        </r>
      </text>
    </comment>
    <comment ref="A30" authorId="0" shapeId="0" xr:uid="{87B69775-3027-45C2-B406-F6E34E344DD5}">
      <text>
        <r>
          <rPr>
            <b/>
            <sz val="9"/>
            <color indexed="81"/>
            <rFont val="Tahoma"/>
            <charset val="1"/>
          </rPr>
          <t>3&lt;/D&gt;&lt;D xsi:type="xsd:long"&gt;44232&lt;/D&gt;&lt;D xsi:type="xsd:long"&gt;44231&lt;/D&gt;&lt;D xsi:type="xsd:long"&gt;44230&lt;/D&gt;&lt;D xsi:type="xsd:long"&gt;44229&lt;/D&gt;&lt;D xsi:type="xsd:long"&gt;44226&lt;/D&gt;&lt;D xsi:type="xsd:long"&gt;44225&lt;/D&gt;&lt;D xsi:type="xsd:long"&gt;44224&lt;/D&gt;&lt;D xsi:type="xsd:long"&gt;44223&lt;/D&gt;&lt;D xsi:type="xsd:long"&gt;44222&lt;/D&gt;&lt;D xsi:type="xsd:long"&gt;44219&lt;/D&gt;&lt;D xsi:type="xsd:long"&gt;44218&lt;/D&gt;&lt;D xsi:type="xsd:long"&gt;44217&lt;/D&gt;&lt;D xsi:type="xsd:long"&gt;44216&lt;/D&gt;&lt;D xsi:type="xsd:long"&gt;44212&lt;/D&gt;&lt;D xsi:type="xsd:long"&gt;44211&lt;/D&gt;&lt;D xsi:type="xsd:long"&gt;44210&lt;/D&gt;&lt;D xsi:type="xsd:long"&gt;44209&lt;/D&gt;&lt;D xsi:type="xsd:long"&gt;44208&lt;/D&gt;&lt;D xsi:type="xsd:long"&gt;44205&lt;/D&gt;&lt;D xsi:type="xsd:long"&gt;44204&lt;/D&gt;&lt;D xsi:type="xsd:long"&gt;44203&lt;/D&gt;&lt;D xsi:type="xsd:long"&gt;44202&lt;/D&gt;&lt;D xsi:type="xsd:long"&gt;44201&lt;/D&gt;&lt;D xsi:type="xsd:long"&gt;44196&lt;/D&gt;&lt;D xsi:type="xsd:long"&gt;44196&lt;/D&gt;&lt;D xsi:type="xsd:long"&gt;44195&lt;/D&gt;&lt;D xsi:type="xsd:long"&gt;44194&lt;/D&gt;&lt;D xsi:type="xsd:long"&gt;44190&lt;/D&gt;&lt;D xsi:type="xsd:long"&gt;44189&lt;/D&gt;&lt;D xsi:type="xsd:long"&gt;44188&lt;/D&gt;&lt;D xsi:type="xsd:long"&gt;44187&lt;/D&gt;&lt;D xsi:type="xsd:long"&gt;44184&lt;/D&gt;&lt;D xsi:type="xsd:long"&gt;44183&lt;/D&gt;&lt;D xsi:type="xsd:long"&gt;44182&lt;/D&gt;&lt;D xsi:type="xsd:long"&gt;44181&lt;/D&gt;&lt;D xsi:type="xsd:long"&gt;44180&lt;/D&gt;&lt;D xsi:type="xsd:long"&gt;44177&lt;/D&gt;&lt;D xsi:type="xsd:long"&gt;44176&lt;/D&gt;&lt;D xsi:type="xsd:long"&gt;44175&lt;/D&gt;&lt;D xsi:type="xsd:long"&gt;44174&lt;/D&gt;&lt;D xsi:type="xsd:long"&gt;44173&lt;/D&gt;&lt;D xsi:type="xsd:long"&gt;44170&lt;/D&gt;&lt;D xsi:type="xsd:long"&gt;44169&lt;/D&gt;&lt;D xsi:type="xsd:long"&gt;44168&lt;/D&gt;&lt;D xsi:type="xsd:long"&gt;44167&lt;/D&gt;&lt;D xsi:type="xsd:long"&gt;44165&lt;/D&gt;&lt;D xsi:type="xsd:long"&gt;44163&lt;/D&gt;&lt;D xsi:type="xsd:long"&gt;44161&lt;/D&gt;&lt;D xsi:type="xsd:long"&gt;44160&lt;/D&gt;&lt;D xsi:type="xsd:long"&gt;44159&lt;/D&gt;&lt;D xsi:type="xsd:long"&gt;44156&lt;/D&gt;&lt;D xsi:type="xsd:long"&gt;44155&lt;/D&gt;&lt;D xsi:type="xsd:long"&gt;44154&lt;/D&gt;&lt;D xsi:type="xsd:long"&gt;44153&lt;/D&gt;&lt;D xsi:type="xsd:long"&gt;44152&lt;/D&gt;&lt;D xsi:type="xsd:long"&gt;44149&lt;/D&gt;&lt;D xsi:type="xsd:long"&gt;44148&lt;/D&gt;&lt;D xsi:type="xsd:long"&gt;44147&lt;/D&gt;&lt;D xsi:type="xsd:long"&gt;44146&lt;/D&gt;&lt;D xsi:type="xsd:long"&gt;44145&lt;/D&gt;&lt;D xsi:type="xsd:long"&gt;44142&lt;/D&gt;&lt;D xsi:type="xsd:long"&gt;44141&lt;/D&gt;&lt;D xsi:type="xsd:long"&gt;44140&lt;/D&gt;&lt;D xsi:type="xsd:long"&gt;44139&lt;/D&gt;&lt;D xsi:type="xsd:long"&gt;44138&lt;/D&gt;&lt;D xsi:type="xsd:long"&gt;44135&lt;/D&gt;&lt;D xsi:type="xsd:long"&gt;44134&lt;/D&gt;&lt;D xsi:type="xsd:long"&gt;44133&lt;/D&gt;&lt;D xsi:type="xsd:long"&gt;44132&lt;/D&gt;&lt;D xsi:type="xsd:long"&gt;44131&lt;/D&gt;&lt;D xsi:type="xsd:long"&gt;44128&lt;/D&gt;&lt;D xsi:type="xsd:long"&gt;44127&lt;/D&gt;&lt;D xsi:type="xsd:long"&gt;44126&lt;/D&gt;&lt;D xsi:type="xsd:long"&gt;44125&lt;/D&gt;&lt;D xsi:type="xsd:long"&gt;44124&lt;/D&gt;&lt;D xsi:type="xsd:long"&gt;44121&lt;/D&gt;&lt;D xsi:type="xsd:long"&gt;44120&lt;/D&gt;&lt;D xsi:type="xsd:long"&gt;44119&lt;/D&gt;&lt;D xsi:type="xsd:long"&gt;44118&lt;/D&gt;&lt;D xsi:type="xsd:long"&gt;44117&lt;/D&gt;&lt;D xsi:type="xsd:long"&gt;44114&lt;/D&gt;&lt;D xsi:type="xsd:long"&gt;44113&lt;/D&gt;&lt;D xsi:type="xsd:long"&gt;44112&lt;/D&gt;&lt;D xsi:type="xsd:long"&gt;44111&lt;/D&gt;&lt;D xsi:type="xsd:long"&gt;44110&lt;/D&gt;&lt;D xsi:type="xsd:long"&gt;44107&lt;/D&gt;&lt;D xsi:type="xsd:long"&gt;44106&lt;/D&gt;&lt;D xsi:type="xsd:long"&gt;44104&lt;/D&gt;&lt;D xsi:type="xsd:long"&gt;44104&lt;/D&gt;&lt;D xsi:type="xsd:long"&gt;44103&lt;/D&gt;&lt;D xsi:type="xsd:long"&gt;44100&lt;/D&gt;&lt;D xsi:type="xsd:long"&gt;44099&lt;/D&gt;&lt;D xsi:type="xsd:long"&gt;44098&lt;/D&gt;&lt;D xsi:type="xsd:long"&gt;44097&lt;/D&gt;&lt;D xsi:type="xsd:long"&gt;44096&lt;/D&gt;&lt;D xsi:type="xsd:long"&gt;44093&lt;/D&gt;&lt;D xsi:type="xsd:long"&gt;44092&lt;/D&gt;&lt;D xsi:type="xsd:long"&gt;44091&lt;/D&gt;&lt;D xsi:type="xsd:long"&gt;44090&lt;/D&gt;&lt;D xsi:type="xsd:long"&gt;44089&lt;/D&gt;&lt;D xsi:type="xsd:long"&gt;44086&lt;/D&gt;&lt;D xsi:type="xsd:long"&gt;44085&lt;/D&gt;&lt;D xsi:type="xsd:long"&gt;44084&lt;/D&gt;&lt;D xsi:type="xsd:long"&gt;44083&lt;/D&gt;&lt;D xsi:type="xsd:long"&gt;44079&lt;/D&gt;&lt;D xsi:type="xsd:long"&gt;44078&lt;/D&gt;&lt;D xsi:type="xsd:long"&gt;44077&lt;/D&gt;&lt;D xsi:type="xsd:long"&gt;44076&lt;/D&gt;&lt;D xsi:type="xsd:long"&gt;44074&lt;/D&gt;&lt;D xsi:type="xsd:long"&gt;44072&lt;/D&gt;&lt;D xsi:type="xsd:long"&gt;44071&lt;/D&gt;&lt;D xsi:type="xsd:long"&gt;44070&lt;/D&gt;&lt;D xsi:type="xsd:long"&gt;44069&lt;/D&gt;&lt;D xsi:type="xsd:long"&gt;44068&lt;/D&gt;&lt;D xsi:type="xsd:long"&gt;44065&lt;/D&gt;&lt;D xsi:type="xsd:long"&gt;44064&lt;/D&gt;&lt;D xsi:type="xsd:long"&gt;44063&lt;/D&gt;&lt;D xsi:type="xsd:long"&gt;44062&lt;/D&gt;&lt;D xsi:type="xsd:long"&gt;44061&lt;/D&gt;&lt;D xsi:type="xsd:long"&gt;44058&lt;/D&gt;&lt;D xsi:type="xsd:long"&gt;44057&lt;/D&gt;&lt;D xsi:type="xsd:long"&gt;44056&lt;/D&gt;&lt;D xsi:type="xsd:long"&gt;44055&lt;/D&gt;&lt;D xsi:type="xsd:long"&gt;44054&lt;/D&gt;&lt;D xsi:type="xsd:long"&gt;44051&lt;/D&gt;&lt;D xsi:type="xsd:long"&gt;44050&lt;/D&gt;&lt;D xsi:type="xsd:long"&gt;44049&lt;/D&gt;&lt;D xsi:type="xsd:long"&gt;44048&lt;/D&gt;&lt;D xsi:type="xsd:long"&gt;44047&lt;/D&gt;&lt;D xsi:type="xsd:long"&gt;44043&lt;/D&gt;&lt;D xsi:type="xsd:long"&gt;44043&lt;/D&gt;&lt;D xsi:type="xsd:long"&gt;44042&lt;/D&gt;&lt;D xsi:type="xsd:long"&gt;44041&lt;/D&gt;&lt;D xsi:type="xsd:long"&gt;44040&lt;/D&gt;&lt;D xsi:type="xsd:long"&gt;44037&lt;/D&gt;&lt;D xsi:type="xsd:long"&gt;44036&lt;/D&gt;&lt;D xsi:type="xsd:long"&gt;44035&lt;/D&gt;&lt;D xsi:type="xsd:long"&gt;44034&lt;/D&gt;&lt;D xsi:type="xsd:long"&gt;44033&lt;/D&gt;&lt;D xsi:type="xsd:long"&gt;44030&lt;/D&gt;&lt;D xsi:type="xsd:long"&gt;44029&lt;/D&gt;&lt;D xsi:type="xsd:long"&gt;44028&lt;/D&gt;&lt;D xsi:type="xsd:long"&gt;44027&lt;/D&gt;&lt;D xsi:type="xsd:long"&gt;44026&lt;/D&gt;&lt;D xsi:type="xsd:long"&gt;44023&lt;/D&gt;&lt;D xsi:type="xsd:long"&gt;44022&lt;/D&gt;&lt;D xsi:type="xsd:long"&gt;44021&lt;/D&gt;&lt;D xsi:type="xsd:long"&gt;44020&lt;/D&gt;&lt;D xsi:type="xsd:long"&gt;44019&lt;/D&gt;&lt;D xsi:type="xsd:long"&gt;44015&lt;/D&gt;&lt;D xsi:type="xsd:long"&gt;44014&lt;/D&gt;&lt;D xsi:type="xsd:long"&gt;44012&lt;/D&gt;&lt;D xsi:type="xsd:long"&gt;44012&lt;/D&gt;&lt;D xsi:type="xsd:long"&gt;44009&lt;/D&gt;&lt;D xsi:type="xsd:long"&gt;44008&lt;/D&gt;&lt;D xsi:type="xsd:long"&gt;44007&lt;/D&gt;&lt;D xsi:type="xsd:long"&gt;44006&lt;/D&gt;&lt;D xsi:type="xsd:long"&gt;44005&lt;/D&gt;&lt;D xsi:type="xsd:long"&gt;44002&lt;/D&gt;&lt;D xsi:type="xsd:long"&gt;44001&lt;/D&gt;&lt;D xsi:type="xsd:long"&gt;44000&lt;/D&gt;&lt;D xsi:type="xsd:long"&gt;43999&lt;/D&gt;&lt;D xsi:type="xsd:long"&gt;43998&lt;/D&gt;&lt;D xsi:type="xsd:long"&gt;43995&lt;/D&gt;&lt;D xsi:type="xsd:long"&gt;43994&lt;/D&gt;&lt;D xsi:type="xsd:long"&gt;43993&lt;/D&gt;&lt;D xsi:type="xsd:long"&gt;43992&lt;/D&gt;&lt;D xsi:type="xsd:long"&gt;43991&lt;/D&gt;&lt;D xsi:type="xsd:long"&gt;43988&lt;/D&gt;&lt;D xsi:type="xsd:long"&gt;43987&lt;/D&gt;&lt;D xsi:type="xsd:long"&gt;43986&lt;/D&gt;&lt;D xsi:type="xsd:long"&gt;43985&lt;/D&gt;&lt;D xsi:type="xsd:long"&gt;43984&lt;/D&gt;&lt;D xsi:type="xsd:long"&gt;43981&lt;/D&gt;&lt;D xsi:type="xsd:long"&gt;43980&lt;/D&gt;&lt;D xsi:type="xsd:long"&gt;43979&lt;/D&gt;&lt;D xsi:type="xsd:long"&gt;43978&lt;/D&gt;&lt;D xsi:type="xsd:long"&gt;43974&lt;/D&gt;&lt;D xsi:type="xsd:long"&gt;43973&lt;/D&gt;&lt;D xsi:type="xsd:long"&gt;43972&lt;/D&gt;&lt;D xsi:type="xsd:long"&gt;43971&lt;/D&gt;&lt;D xsi:type="xsd:long"&gt;43970&lt;/D&gt;&lt;D xsi:type="xsd:long"&gt;43967&lt;/D&gt;&lt;D xsi:type="xsd:long"&gt;43966&lt;/D&gt;&lt;D xsi:type="xsd:long"&gt;43965&lt;/D&gt;&lt;D xsi:type="xsd:long"&gt;43964&lt;/D&gt;&lt;D xsi:type="xsd:long"&gt;43963&lt;/D&gt;&lt;D xsi:type="xsd:long"&gt;43960&lt;/D&gt;&lt;D xsi:type="xsd:long"&gt;43959&lt;/D&gt;&lt;D xsi:type="xsd:long"&gt;43958&lt;/D&gt;&lt;D xsi:type="xsd:long"&gt;43957&lt;/D&gt;&lt;D xsi:type="xsd:long"&gt;43956&lt;/D&gt;&lt;D xsi:type="xsd:long"&gt;43953&lt;/D&gt;&lt;D xsi:type="xsd:long"&gt;43951&lt;/D&gt;&lt;D xsi:type="xsd:long"&gt;43951&lt;/D&gt;&lt;D xsi:type="xsd:long"&gt;43950&lt;/D&gt;&lt;D xsi:type="xsd:long"&gt;43949&lt;/D&gt;&lt;D xsi:type="xsd:long"&gt;43946&lt;/D&gt;&lt;D xsi:type="xsd:long"&gt;43945&lt;/D&gt;&lt;D xsi:type="xsd:long"&gt;43944&lt;/D&gt;&lt;D xsi:type="xsd:long"&gt;43943&lt;/D&gt;&lt;D xsi:type="xsd:long"&gt;43942&lt;/D&gt;&lt;D xsi:type="xsd:long"&gt;43939&lt;/D&gt;&lt;D xsi:type="xsd:long"&gt;43938&lt;/D&gt;&lt;D xsi:type="xsd:long"&gt;43937&lt;/D&gt;&lt;D xsi:type="xsd:long"&gt;43936&lt;/D&gt;&lt;D xsi:type="xsd:long"&gt;43935&lt;/D&gt;&lt;D xsi:type="xsd:long"&gt;43931&lt;/D&gt;&lt;D xsi:type="xsd:long"&gt;43930&lt;/D&gt;&lt;D xsi:type="xsd:long"&gt;43929&lt;/D&gt;&lt;D xsi:type="xsd:long"&gt;43928&lt;/D&gt;&lt;D xsi:type="xsd:long"&gt;43925&lt;/D&gt;&lt;D xsi:type="xsd:long"&gt;43924&lt;/D&gt;&lt;D xsi:type="xsd:long"&gt;43923&lt;/D&gt;&lt;D xsi:type="xsd:long"&gt;43921&lt;/D&gt;&lt;D xsi:type="xsd:long"&gt;43921&lt;/D&gt;&lt;D xsi:type="xsd:long"&gt;43918&lt;/D&gt;&lt;D xsi:type="xsd:long"&gt;43917&lt;/D&gt;&lt;D xsi:type="xsd:long"&gt;43916&lt;/D&gt;&lt;D xsi:type="xsd:long"&gt;43915&lt;/D&gt;&lt;D xsi:type="xsd:long"&gt;43914&lt;/D&gt;&lt;D xsi:type="xsd:long"&gt;43911&lt;/D&gt;&lt;D xsi:type="xsd:long"&gt;43910&lt;/D&gt;&lt;D xsi:type="xsd:long"&gt;43909&lt;/D&gt;&lt;D xsi:type="xsd:long"&gt;43908&lt;/D&gt;&lt;D xsi:type="xsd:long"&gt;43907&lt;/D&gt;&lt;D xsi:type="xsd:long"&gt;43904&lt;/D&gt;&lt;D xsi:type="xsd:long"&gt;43903&lt;/D&gt;&lt;D xsi:type="xsd:long"&gt;43902&lt;/D&gt;&lt;D xsi:type="xsd:long"&gt;43901&lt;/D&gt;&lt;D xsi:type="xsd:long"&gt;43900&lt;/D&gt;&lt;D xsi:type="xsd:long"&gt;43897&lt;/D&gt;&lt;D xsi:type="xsd:long"&gt;43896&lt;/D&gt;&lt;D xsi:type="xsd:long"&gt;43895&lt;/D&gt;&lt;D xsi:type="xsd:long"&gt;43894&lt;/D&gt;&lt;D xsi:type="xsd:long"&gt;43893&lt;/D&gt;&lt;D xsi:type="xsd:long"&gt;43890&lt;/D&gt;&lt;D xsi:type="xsd:long"&gt;43889&lt;/D&gt;&lt;D xsi:type="xsd:long"&gt;43888&lt;/D&gt;&lt;D xsi:type="xsd:long"&gt;43887&lt;/D&gt;&lt;D xsi:type="xsd:long"&gt;43886&lt;/D&gt;&lt;D xsi:type="xsd:long"&gt;43883&lt;/D&gt;&lt;D xsi:type="xsd:long"&gt;43882&lt;/D&gt;&lt;D xsi:type="xsd:long"&gt;43881&lt;/D&gt;&lt;D xsi:type="xsd:long"&gt;43880&lt;/D&gt;&lt;D xsi:type="xsd:long"&gt;43876&lt;/D&gt;&lt;D xsi:type="xsd:long"&gt;43875&lt;/D&gt;&lt;D xsi:type="xsd:long"&gt;43874&lt;/D&gt;&lt;D xsi:type="xsd:long"&gt;43873&lt;/D&gt;&lt;D xsi:type="xsd:long"&gt;43872&lt;/D&gt;&lt;D xsi:type="xsd:long"&gt;43869&lt;/D&gt;&lt;D xsi:type="xsd:long"&gt;43868&lt;/D&gt;&lt;D xsi:type="xsd:long"&gt;43867&lt;/D&gt;&lt;D xsi:type="xsd:long"&gt;43866&lt;/D&gt;&lt;D xsi:type="xsd:long"&gt;43865&lt;/D&gt;&lt;D xsi:type="xsd:long"&gt;43861&lt;/D&gt;&lt;D xsi:type="xsd:long"&gt;43861&lt;/D&gt;&lt;D xsi:type="xsd:long"&gt;43860&lt;/D&gt;&lt;D xsi:type="xsd:long"&gt;43859&lt;/D&gt;&lt;D xsi:type="xsd:long"&gt;43858&lt;/D&gt;&lt;D xsi:type="xsd:long"&gt;43855&lt;/D&gt;&lt;D xsi:type="xsd:long"&gt;43854&lt;/D&gt;&lt;D xsi:type="xsd:long"&gt;43853&lt;/D&gt;&lt;D xsi:type="xsd:long"&gt;43852&lt;/D&gt;&lt;D xsi:type="xsd:long"&gt;43848&lt;/D&gt;&lt;D xsi:type="xsd:long"&gt;43847&lt;/D&gt;&lt;D xsi:type="xsd:long"&gt;43846&lt;/D&gt;&lt;D xsi:type="xsd:long"&gt;43845&lt;/D&gt;&lt;D xsi:type="xsd:long"&gt;43844&lt;/D&gt;&lt;D xsi:type="xsd:long"&gt;43841&lt;/D&gt;&lt;D xsi:type="xsd:long"&gt;43840&lt;/D&gt;&lt;D xsi:type="xsd:long"&gt;43839&lt;/D&gt;&lt;D xsi:type="xsd:long"&gt;43838&lt;/D&gt;&lt;D xsi:type="xsd:long"&gt;43837&lt;/D&gt;&lt;D xsi:type="xsd:long"&gt;43834&lt;/D&gt;&lt;D xsi:type="xsd:long"&gt;43833&lt;/D&gt;&lt;D xsi:type="xsd:long"&gt;43830&lt;/D&gt;&lt;D xsi:type="xsd:long"&gt;43830&lt;/D&gt;&lt;D xsi:type="xsd:long"&gt;43827&lt;/D&gt;&lt;D xsi:type="xsd:long"&gt;43826&lt;/D&gt;&lt;D xsi:type="xsd:long"&gt;43824&lt;/D&gt;&lt;D xsi:type="xsd:long"&gt;43823&lt;/D&gt;&lt;D xsi:type="xsd:long"&gt;43820&lt;/D&gt;&lt;D xsi:type="xsd:long"&gt;43819&lt;/D&gt;&lt;D xsi:type="xsd:long"&gt;43818&lt;/D&gt;&lt;D xsi:type="xsd:long"&gt;43817&lt;/D&gt;&lt;D xsi:type="xsd:long"&gt;43816&lt;/D&gt;&lt;D xsi:type="xsd:long"&gt;43813&lt;/D&gt;&lt;D xsi:type="xsd:long"&gt;43812&lt;/D&gt;&lt;D xsi:type="xsd:long"&gt;43811&lt;/D&gt;&lt;D xsi:type="xsd:long"&gt;43810&lt;/D&gt;&lt;D xsi:type="xsd:long"&gt;43809&lt;/D&gt;&lt;D xsi:type="xsd:long"&gt;43806&lt;/D&gt;&lt;D xsi:type="xsd:long"&gt;43805&lt;/D&gt;&lt;D xsi:type="xsd:long"&gt;43804&lt;/D&gt;&lt;D xsi:type="xsd:long"&gt;43803&lt;/D&gt;&lt;D xsi:type="xsd:long"&gt;43802&lt;/D&gt;&lt;D xsi:type="xsd:long"&gt;43799&lt;/D&gt;&lt;D xsi:type="xsd:long"&gt;43797&lt;/D&gt;&lt;D xsi:type="xsd:long"&gt;43796&lt;/D&gt;&lt;D xsi:type="xsd:long"&gt;43795&lt;/D&gt;&lt;D xsi:type="xsd:long"&gt;43792&lt;/D&gt;&lt;D xsi:type="xsd:long"&gt;43791&lt;/D&gt;&lt;D xsi:type="xsd:long"&gt;43790&lt;/D&gt;&lt;D xsi:type="xsd:long"&gt;43789&lt;/D&gt;&lt;D xsi:type="xsd:long"&gt;43788&lt;/D&gt;&lt;D xsi:type="xsd:long"&gt;43785&lt;/D&gt;&lt;D xsi:type="xsd:long"&gt;43784&lt;/D&gt;&lt;D xsi:type="xsd:long"&gt;43783&lt;/D&gt;&lt;D xsi:type="xsd:long"&gt;43782&lt;/D&gt;&lt;D xsi:type="xsd:long"&gt;43781&lt;/D&gt;&lt;D xsi:type="xsd:long"&gt;43778&lt;/D&gt;&lt;D xsi:type="xsd:long"&gt;43777&lt;/D&gt;&lt;D xsi:type="xsd:long"&gt;43776&lt;/D&gt;&lt;D xsi:type="xsd:long"&gt;43775&lt;/D&gt;&lt;D xsi:type="xsd:long"&gt;43774&lt;/D&gt;&lt;D xsi:type="xsd:long"&gt;43771&lt;/D&gt;&lt;D xsi:type="xsd:long"&gt;43769&lt;/D&gt;&lt;D xsi:type="xsd:long"&gt;43769&lt;/D&gt;&lt;D xsi:type="xsd:long"&gt;43768&lt;/D&gt;&lt;D xsi:type="xsd:long"&gt;43767&lt;/D&gt;&lt;D xsi:type="xsd:long"&gt;43764&lt;/D&gt;&lt;D xsi:type="xsd:long"&gt;43763&lt;/D&gt;&lt;D xsi:type="xsd:long"&gt;43762&lt;/D&gt;&lt;D xsi:type="xsd:long"&gt;43761&lt;/D&gt;&lt;D xsi:type="xsd:long"&gt;43760&lt;/D&gt;&lt;D xsi:type="xsd:long"&gt;43757&lt;/D&gt;&lt;D xsi:type="xsd:long"&gt;43756&lt;/D&gt;&lt;D xsi:type="xsd:long"&gt;43755&lt;/D&gt;&lt;D xsi:type="xsd:long"&gt;43754&lt;/D&gt;&lt;D xsi:type="xsd:long"&gt;43753&lt;/D&gt;&lt;D xsi:type="xsd:long"&gt;43750&lt;/D&gt;&lt;D xsi:type="xsd:long"&gt;43749&lt;/D&gt;&lt;D xsi:type="xsd:long"&gt;43748&lt;/D&gt;&lt;D xsi:type="xsd:long"&gt;43747&lt;/D&gt;&lt;D xsi:type="xsd:long"&gt;43746&lt;/D&gt;&lt;D xsi:type="xsd:long"&gt;43743&lt;/D&gt;&lt;D xsi:type="xsd:long"&gt;43742&lt;/D&gt;&lt;D xsi:type="xsd:long"&gt;43741&lt;/D&gt;&lt;D xsi:type="xsd:long"&gt;43740&lt;/D&gt;&lt;D xsi:type="xsd:long"&gt;43738&lt;/D&gt;&lt;D xsi:type="xsd:long"&gt;43736&lt;/D&gt;&lt;D xsi:type="xsd:long"&gt;43735&lt;/D&gt;&lt;D xsi:type="xsd:long"&gt;43734&lt;/D&gt;&lt;D xsi:type="xsd:long"&gt;43733&lt;/D&gt;&lt;D xsi:type="xsd:long"&gt;43732&lt;/D&gt;&lt;D xsi:type="xsd:long"&gt;43729&lt;/D&gt;&lt;D xsi:type="xsd:long"&gt;43728&lt;/D&gt;&lt;D xsi:type="xsd:long"&gt;43727&lt;/D&gt;&lt;D xsi:type="xsd:long"&gt;43726&lt;/D&gt;&lt;D xsi:type="xsd:long"&gt;43725&lt;/D&gt;&lt;D xsi:type="xsd:long"&gt;43722&lt;/D&gt;&lt;D xsi:type="xsd:long"&gt;43721&lt;/D&gt;&lt;D xsi:type="xsd:long"&gt;43720&lt;/D&gt;&lt;D xsi:type="xsd:long"&gt;43719&lt;/D&gt;&lt;D xsi:type="xsd:long"&gt;43718&lt;/D&gt;&lt;D xsi:type="xsd:long"&gt;43715&lt;/D&gt;&lt;D xsi:type="xsd:long"&gt;43714&lt;/D&gt;&lt;D xsi:type="xsd:long"&gt;43713&lt;/D&gt;&lt;D xsi:type="xsd:long"&gt;43712&lt;/D&gt;&lt;D xsi:type="xsd:long"&gt;43708&lt;/D&gt;&lt;D xsi:type="xsd:long"&gt;43707&lt;/D&gt;&lt;D xsi:type="xsd:long"&gt;43706&lt;/D&gt;&lt;D xsi:type="xsd:long"&gt;43705&lt;/D&gt;&lt;D xsi:type="xsd:long"&gt;43704&lt;/D&gt;&lt;D xsi:type="xsd:long"&gt;43701&lt;/D&gt;&lt;D xsi:type="xsd:long"&gt;43700&lt;/D&gt;&lt;D xsi:type="xsd:long"&gt;43699&lt;/D&gt;&lt;D xsi:type="xsd:long"&gt;43698&lt;/D&gt;&lt;D xsi:type="xsd:long"&gt;43697&lt;/D&gt;&lt;D xsi:type="xsd:long"&gt;43694&lt;/D&gt;&lt;D xsi:type="xsd:long"&gt;43693&lt;/D&gt;&lt;D xsi:type="xsd:long"&gt;43692&lt;/D&gt;&lt;D xsi:type="xsd:long"&gt;43691&lt;/D&gt;&lt;D xsi:type="xsd:long"&gt;43690&lt;/D&gt;&lt;D xsi:type="xsd:long"&gt;43687&lt;/D&gt;&lt;D xsi:type="xsd:long"&gt;43686&lt;/D&gt;&lt;D xsi:type="xsd:long"&gt;43685&lt;/D&gt;&lt;D xsi:type="xsd:long"&gt;43684&lt;/D&gt;&lt;D xsi:type="xsd:long"&gt;43683&lt;/D&gt;&lt;D xsi:type="xsd:long"&gt;43680&lt;/D&gt;&lt;D xsi:type="xsd:long"&gt;43679&lt;/D&gt;&lt;D xsi:type="xsd:long"&gt;43677&lt;/D&gt;&lt;D xsi:type="xsd:long"&gt;43677&lt;/D&gt;&lt;D xsi:type="xsd:long"&gt;43676&lt;/D&gt;&lt;D xsi:type="xsd:long"&gt;43673&lt;/D&gt;&lt;D xsi:type="xsd:long"&gt;43672&lt;/D&gt;&lt;D xsi:type="xsd:long"&gt;43671&lt;/D&gt;&lt;D xsi:type="xsd:long"&gt;43670&lt;/D&gt;&lt;D xsi:type="xsd:long"&gt;43669&lt;/D&gt;&lt;D xsi:type="xsd:long"&gt;43666&lt;/D&gt;&lt;D xsi:type="xsd:long"&gt;43665&lt;/D&gt;&lt;D xsi:type="xsd:long"&gt;43664&lt;/D&gt;&lt;D xsi:type="xsd:long"&gt;43663&lt;/D&gt;&lt;D xsi:type="xsd:long"&gt;43662&lt;/D&gt;&lt;D xsi:type="xsd:long"&gt;43659&lt;/D&gt;&lt;D xsi:type="xsd:long"&gt;43658&lt;/D&gt;&lt;D xsi:type="xsd:long"&gt;43657&lt;/D&gt;&lt;D xsi:type="xsd:long"&gt;43656&lt;/D&gt;&lt;D xsi:type="xsd:long"&gt;43655&lt;/D&gt;&lt;D xsi:type="xsd:long"&gt;43652&lt;/D&gt;&lt;D xsi:type="xsd:long"&gt;43650&lt;/D&gt;&lt;D xsi:type="xsd:long"&gt;43649&lt;/D&gt;&lt;D xsi:type="xsd:long"&gt;43648&lt;/D&gt;&lt;D xsi:type="xsd:long"&gt;43645&lt;/D&gt;&lt;D xsi:type="xsd:long"&gt;43644&lt;/D&gt;&lt;D xsi:type="xsd:long"&gt;43643&lt;/D&gt;&lt;D xsi:type="xsd:long"&gt;43642&lt;/D&gt;&lt;D xsi:type="xsd:long"&gt;43641&lt;/D&gt;&lt;D xsi:type="xsd:long"&gt;43638&lt;/D&gt;&lt;D xsi:type="xsd:long"&gt;43637&lt;/D&gt;&lt;D xsi:type="xsd:long"&gt;43636&lt;/D&gt;&lt;D xsi:type="xsd:long"&gt;43635&lt;/D&gt;&lt;D xsi:type="xsd:long"&gt;43634&lt;/D&gt;&lt;D xsi:type="xsd:long"&gt;43631&lt;/D&gt;&lt;D xsi:type="xsd:long"&gt;43630&lt;/D&gt;&lt;D xsi:type="xsd:long"&gt;43629&lt;/D&gt;&lt;D xsi:type="xsd:long"&gt;43628&lt;/D&gt;&lt;D xsi:type="xsd:long"&gt;43627&lt;/D&gt;&lt;D xsi:type="xsd:long"&gt;43624&lt;/D&gt;&lt;D xsi:type="xsd:long"&gt;43623&lt;/D&gt;&lt;D xsi:type="xsd:long"&gt;43622&lt;/D&gt;&lt;D xsi:type="xsd:long"&gt;43621&lt;/D&gt;&lt;D xsi:type="xsd:long"&gt;43620&lt;/D&gt;&lt;D xsi:type="xsd:long"&gt;43616&lt;/D&gt;&lt;D xsi:type="xsd:long"&gt;43616&lt;/D&gt;&lt;D xsi:type="xsd:long"&gt;43615&lt;/D&gt;&lt;D xsi:type="xsd:long"&gt;43614&lt;/D&gt;&lt;D xsi:type="xsd:long"&gt;43610&lt;/D&gt;&lt;D xsi:type="xsd:long"&gt;43609&lt;/D&gt;&lt;D xsi:type="xsd:long"&gt;43608&lt;/D&gt;&lt;D xsi:type="xsd:long"&gt;43607&lt;/D&gt;&lt;D xsi:type="xsd:long"&gt;43606&lt;/D&gt;&lt;D xsi:type="xsd:long"&gt;43603&lt;/D&gt;&lt;D xsi:type="xsd:long"&gt;43602&lt;/D&gt;&lt;D xsi:type="xsd:long"&gt;43601&lt;/D&gt;&lt;D xsi:type="xsd:long"&gt;43600&lt;/D&gt;&lt;D xsi:type="xsd:long"&gt;43599&lt;/D&gt;&lt;D xsi:type="xsd:long"&gt;43596&lt;/D&gt;&lt;D xsi:type="xsd:long"&gt;43595&lt;/D&gt;&lt;D xsi:type="xsd:long"&gt;43594&lt;/D&gt;&lt;D xsi:type="xsd:long"&gt;43593&lt;/D&gt;&lt;D xsi:type="xsd:long"&gt;43592&lt;/D&gt;&lt;D xsi:type="xsd:long"&gt;43589&lt;/D&gt;&lt;D xsi:type="xsd:long"&gt;43588&lt;/D&gt;&lt;D xsi:type="xsd:long"&gt;43587&lt;/D&gt;&lt;D xsi:type="xsd:long"&gt;43585&lt;/D&gt;&lt;D xsi:type="xsd:long"&gt;43585&lt;/D&gt;&lt;D xsi:type="xsd:long"&gt;43582&lt;/D&gt;&lt;D xsi:type="xsd:long"&gt;43581&lt;/D&gt;&lt;D xsi:type="xsd:long"&gt;43580&lt;/D&gt;&lt;D xsi:type="xsd:long"&gt;43579&lt;/D&gt;&lt;D xsi:type="xsd:long"&gt;43578&lt;/D&gt;&lt;D xsi:type="xsd:long"&gt;43574&lt;/D&gt;&lt;D xsi:type="xsd:long"&gt;43573&lt;/D&gt;&lt;D xsi:type="xsd:long"&gt;43572&lt;/D&gt;&lt;D xsi:type="xsd:long"&gt;43571&lt;/D&gt;&lt;D xsi:type="xsd:long"&gt;43568&lt;/D&gt;&lt;D xsi:type="xsd:long"&gt;43567&lt;/D&gt;&lt;D xsi:type="xsd:long"&gt;43566&lt;/D&gt;&lt;D xsi:type="xsd:long"&gt;43565&lt;/D&gt;&lt;D xsi:type="xsd:long"&gt;43564&lt;/D&gt;&lt;D xsi:type="xsd:long"&gt;43561&lt;/D&gt;&lt;D xsi:type="xsd:long"&gt;43560&lt;/D&gt;&lt;D xsi:type="xsd:long"&gt;43559&lt;/D&gt;&lt;D xsi:type="xsd:long"&gt;43558&lt;/D&gt;&lt;D xsi:type="xsd:long"&gt;43557&lt;/D&gt;&lt;D xsi:type="xsd:long"&gt;43554&lt;/D&gt;&lt;D xsi:type="xsd:long"&gt;43553&lt;/D&gt;&lt;D xsi:type="xsd:long"&gt;43552&lt;/D&gt;&lt;D xsi:type="xsd:long"&gt;43551&lt;/D&gt;&lt;D xsi:type="xsd:long"&gt;43550&lt;/D&gt;&lt;D xsi:type="xsd:long"&gt;43547&lt;/D&gt;&lt;D xsi:type="xsd:long"&gt;43546&lt;/D&gt;&lt;D xsi:type="xsd:long"&gt;43545&lt;/D&gt;&lt;D xsi:type="xsd:long"&gt;43544&lt;/D&gt;&lt;D xsi:type="xsd:long"&gt;43543&lt;/D&gt;&lt;D xsi:type="xsd:long"&gt;43540&lt;/D&gt;&lt;D xsi:type="xsd:long"&gt;43539&lt;/D&gt;&lt;D xsi:type="xsd:long"&gt;43538&lt;/D&gt;&lt;D xsi:type="xsd:long"&gt;43537&lt;/D&gt;&lt;D xsi:type="xsd:long"&gt;43536&lt;/D&gt;&lt;D xsi:type="xsd:long"&gt;43533&lt;/D&gt;&lt;D xsi:type="xsd:long"&gt;43532&lt;/D&gt;&lt;D xsi:type="xsd:long"&gt;43531&lt;/D&gt;&lt;D xsi:type="xsd:long"&gt;43530&lt;/D&gt;&lt;D xsi:type="xsd:long"&gt;43529&lt;/D&gt;&lt;D xsi:type="xsd:long"&gt;43526&lt;/D&gt;&lt;D xsi:type="xsd:long"&gt;43524&lt;/D&gt;&lt;D xsi:type="xsd:long"&gt;43524&lt;/D&gt;&lt;D xsi:type="xsd:long"&gt;43523&lt;/D&gt;&lt;D xsi:type="xsd:long"&gt;43522&lt;/D&gt;&lt;D xsi:type="xsd:long"&gt;43519&lt;/D&gt;&lt;D xsi:type="xsd:long"&gt;43518&lt;/D&gt;&lt;D xsi:type="xsd:long"&gt;43517&lt;/D&gt;&lt;D xsi:type="xsd:long"&gt;43516&lt;/D&gt;&lt;D xsi:type="xsd:long"&gt;43512&lt;/D&gt;&lt;D xsi:type="xsd:long"&gt;43511&lt;/D&gt;&lt;D xsi:type="xsd:long"&gt;43510&lt;/D&gt;&lt;D xsi:type="xsd:long"&gt;43509&lt;/D&gt;&lt;D xsi:type="xsd:long"&gt;43508&lt;/D&gt;&lt;D xsi:type="xsd:long"&gt;43505&lt;/D&gt;&lt;D xsi:type="xsd:long"&gt;43504&lt;/D&gt;&lt;D xsi:type="xsd:long"&gt;43503&lt;/D&gt;&lt;D xsi:type="xsd:long"&gt;43502&lt;/D&gt;&lt;D xsi:type="xsd:long"&gt;43501&lt;/D&gt;&lt;D xsi:type="xsd:long"&gt;43498&lt;/D&gt;&lt;D xsi:type="xsd:long"&gt;43496&lt;/D&gt;&lt;D xsi:type="xsd:long"&gt;43496&lt;/D&gt;&lt;D xsi:type="xsd:long"&gt;43495&lt;/D&gt;&lt;D xsi:type="xsd:long"&gt;43494&lt;/D&gt;&lt;D xsi:type="xsd:long"&gt;43491&lt;/D&gt;&lt;D xsi:type="xsd:long"&gt;43490&lt;/D&gt;&lt;D xsi:type="xsd:long"&gt;43489&lt;/D&gt;&lt;D xsi:type="xsd:long"&gt;43488&lt;/D&gt;&lt;D xsi:type="xsd:long"&gt;43484&lt;/D&gt;&lt;D xsi:type="xsd:long"&gt;43483&lt;/D&gt;&lt;D xsi:type="xsd:long"&gt;43482&lt;/D&gt;&lt;D xsi:type="xsd:long"&gt;43481&lt;/D&gt;&lt;D xsi:type="xsd:long"&gt;43480&lt;/D&gt;&lt;D xsi:type="xsd:long"&gt;43477&lt;/D&gt;&lt;D xsi:type="xsd:long"&gt;43476&lt;/D&gt;&lt;D xsi:type="xsd:long"&gt;43475&lt;/D&gt;&lt;D xsi:type="xsd:long"&gt;43474&lt;/D&gt;&lt;D xsi:type="xsd:long"&gt;43473&lt;/D&gt;&lt;D xsi:type="xsd:long"&gt;43470&lt;/D&gt;&lt;D xsi:type="xsd:long"&gt;43469&lt;/D&gt;&lt;D xsi:type="xsd:long"&gt;43468&lt;/D&gt;&lt;D xsi:type="xsd:long"&gt;43465&lt;/D&gt;&lt;D xsi:type="xsd:long"&gt;43463&lt;/D&gt;&lt;D xsi:type="xsd:long"&gt;43462&lt;/D&gt;&lt;D xsi:type="xsd:long"&gt;43461&lt;/D&gt;&lt;D xsi:type="xsd:long"&gt;43459&lt;/D&gt;&lt;D xsi:type="xsd:long"&gt;43456&lt;/D&gt;&lt;D xsi:type="xsd:long"&gt;43455&lt;/D&gt;&lt;D xsi:type="xsd:long"&gt;43454&lt;/D&gt;&lt;D xsi:type="xsd:long"&gt;43453&lt;/D&gt;&lt;D xsi:type="xsd:long"&gt;43452&lt;/D&gt;&lt;D xsi:type="xsd:long"&gt;43449&lt;/D&gt;&lt;D xsi:type="xsd:long"&gt;43448&lt;/D&gt;&lt;D xsi:type="xsd:long"&gt;43447&lt;/D&gt;&lt;D xsi:type="xsd:long"&gt;43446&lt;/D&gt;&lt;D xsi:type="xsd:long"&gt;43445&lt;/D&gt;&lt;D xsi:type="xsd:long"&gt;43442&lt;/D&gt;&lt;D xsi:type="xsd:long"&gt;43441&lt;/D&gt;&lt;D xsi:type="xsd:long"&gt;43439&lt;/D&gt;&lt;D xsi:type="xsd:long"&gt;43438&lt;/D&gt;&lt;D xsi:type="xsd:long"&gt;43434&lt;/D&gt;&lt;D xsi:type="xsd:long"&gt;43434&lt;/D&gt;&lt;D xsi:type="xsd:long"&gt;43433&lt;/D&gt;&lt;D xsi:type="xsd:long"&gt;43432&lt;/D&gt;&lt;D xsi:type="xsd:long"&gt;43431&lt;/D&gt;&lt;D xsi:type="xsd:long"&gt;43428&lt;/D&gt;&lt;D xsi:type="xsd:long"&gt;43426&lt;/D&gt;&lt;D xsi:type="xsd:long"&gt;43425&lt;/D&gt;&lt;D xsi:type="xsd:long"&gt;43424&lt;/D&gt;&lt;D xsi:type="xsd:long"&gt;43421&lt;/D&gt;&lt;D xsi:type="xsd:long"&gt;43420&lt;/D&gt;&lt;D xsi:type="xsd:long"&gt;43419&lt;/D&gt;&lt;D xsi:type="xsd:long"&gt;43418&lt;/D&gt;&lt;D xsi:type="xsd:long"&gt;43417&lt;/D&gt;&lt;D xsi:type="xsd:long"&gt;43414&lt;/D&gt;&lt;D xsi:type="xsd:long"&gt;43413&lt;/D&gt;&lt;D xsi:type="xsd:long"&gt;43412&lt;/D&gt;&lt;D xsi:type="xsd:long"&gt;43411&lt;/D&gt;&lt;D xsi:type="xsd:long"&gt;43410&lt;/D&gt;&lt;D xsi:type="xsd:long"&gt;43407&lt;/D&gt;&lt;D xsi:type="xsd:long"&gt;43406&lt;/D&gt;&lt;D xsi:type="xsd:long"&gt;43404&lt;/D&gt;&lt;D xsi:type="xsd:long"&gt;43404&lt;/D&gt;&lt;D xsi:type="xsd:long"&gt;43403&lt;/D&gt;&lt;D xsi:type="xsd:long"&gt;43400&lt;/D&gt;&lt;D xsi:type="xsd:long"&gt;43399&lt;/D&gt;&lt;D xsi:type="xsd:long"&gt;43398&lt;/D&gt;&lt;D xsi:type="xsd:long"&gt;43397&lt;/D&gt;&lt;D xsi:type="xsd:long"&gt;43396&lt;/D&gt;&lt;D xsi:type="xsd:long"&gt;43393&lt;/D&gt;&lt;D xsi:type="xsd:long"&gt;43392&lt;/D&gt;&lt;D xsi:type="xsd:long"&gt;43391&lt;/D&gt;&lt;D xsi:type="xsd:long"&gt;43390&lt;/D&gt;&lt;D xsi:type="xsd:long"&gt;43389&lt;/D&gt;&lt;D xsi:type="xsd:long"&gt;43386&lt;/D&gt;&lt;D xsi:type="xsd:long"&gt;43385&lt;/D&gt;&lt;D xsi:type="xsd:long"&gt;43384&lt;/D&gt;&lt;D xsi:type="xsd:long"&gt;43383&lt;/D&gt;&lt;D xsi:type="xsd:long"&gt;43382&lt;/D&gt;&lt;D xsi:type="xsd:long"&gt;43379&lt;/D&gt;&lt;D xsi:type="xsd:long"&gt;43378&lt;/D&gt;&lt;D xsi:type="xsd:long"&gt;43377&lt;/D&gt;&lt;D xsi:type="xsd:long"&gt;43376&lt;/D&gt;&lt;D xsi:type="xsd:long"&gt;43375&lt;/D&gt;&lt;D xsi:type="xsd:long"&gt;43372&lt;/D&gt;&lt;D xsi:type="xsd:long"&gt;43371&lt;/D&gt;&lt;D xsi:type="xsd:long"&gt;43370&lt;/D&gt;&lt;D xsi:type="xsd:long"&gt;43369&lt;/D&gt;&lt;D xsi:type="xsd:long"&gt;43368&lt;/D&gt;&lt;D xsi:type="xsd:long"&gt;43365&lt;/D&gt;&lt;D xsi:type="xsd:long"&gt;43364&lt;/D&gt;&lt;D xsi:type="xsd:long"&gt;43363&lt;/D&gt;&lt;D xsi:type="xsd:long"&gt;43362&lt;/D&gt;&lt;D xsi:type="xsd:long"&gt;43361&lt;/D&gt;&lt;D xsi:type="xsd:long"&gt;43358&lt;/D&gt;&lt;D xsi:type="xsd:long"&gt;43357&lt;/D&gt;&lt;D xsi:type="xsd:long"&gt;43356&lt;/D&gt;&lt;D xsi:type="xsd:long"&gt;43355&lt;/D&gt;&lt;D xsi:type="xsd:long"&gt;43354&lt;/D&gt;&lt;D xsi:type="xsd:long"&gt;43351&lt;/D&gt;&lt;D xsi:type="xsd:long"&gt;43350&lt;/D&gt;&lt;D xsi:type="xsd:long"&gt;43349&lt;/D&gt;&lt;D xsi:type="xsd:long"&gt;43348&lt;/D&gt;&lt;D xsi:type="xsd:long"&gt;43343&lt;/D&gt;&lt;D xsi:type="xsd:long"&gt;43343&lt;/D&gt;&lt;D xsi:type="xsd:long"&gt;43342&lt;/D&gt;&lt;D xsi:type="xsd:long"&gt;43341&lt;/D&gt;&lt;D xsi:type="xsd:long"&gt;43340&lt;/D&gt;&lt;D xsi:type="xsd:long"&gt;43337&lt;/D&gt;&lt;D xsi:type="xsd:long"&gt;43336&lt;/D&gt;&lt;D xsi:type="xsd:long"&gt;43335&lt;/D&gt;&lt;D xsi:type="xsd:long"&gt;43334&lt;/D&gt;&lt;D xsi:type="xsd:long"&gt;43333&lt;/D&gt;&lt;D xsi:type="xsd:long"&gt;43330&lt;/D&gt;&lt;D xsi:type="xsd:long"&gt;43329&lt;/D&gt;&lt;D xsi:type="xsd:long"&gt;43328&lt;/D&gt;&lt;D xsi:type="xsd:long"&gt;43327&lt;/D&gt;&lt;D xsi:type="xsd:long"&gt;43326&lt;/D&gt;&lt;D xsi:type="xsd:long"&gt;43323&lt;/D&gt;&lt;D xsi:type="xsd:long"&gt;43322&lt;/D&gt;&lt;D xsi:type="xsd:long"&gt;43321&lt;/D&gt;&lt;D xsi:type="xsd:long"&gt;43320&lt;/D&gt;&lt;D xsi:type="xsd:long"&gt;43319&lt;/D&gt;&lt;D xsi:type="xsd:long"&gt;43316&lt;/D&gt;&lt;D xsi:type="xsd:long"&gt;43315&lt;/D&gt;&lt;D xsi:type="xsd:long"&gt;43314&lt;/D&gt;&lt;D xsi:type="xsd:long"&gt;43312&lt;/D&gt;&lt;D xsi:type="xsd:long"&gt;43312&lt;/D&gt;&lt;D xsi:type="xsd:long"&gt;43309&lt;/D&gt;&lt;D xsi:type="xsd:long"&gt;43308&lt;/D&gt;&lt;D xsi:type="xsd:long"&gt;43307&lt;/D&gt;&lt;D xsi:type="xsd:long"&gt;43306&lt;/D&gt;&lt;D xsi:type="xsd:long"&gt;43305&lt;/D&gt;&lt;D xsi:type="xsd:long"&gt;43302&lt;/D&gt;&lt;D xsi:type="xsd:long"&gt;43301&lt;/D&gt;&lt;D xsi:type="xsd:long"&gt;43300&lt;/D&gt;&lt;D xsi:type="xsd:long"&gt;43299&lt;/D&gt;&lt;D xsi:type="xsd:long"&gt;43298&lt;/D&gt;&lt;D xsi:type="xsd:long"&gt;43295&lt;/D&gt;&lt;D xsi:type="xsd:long"&gt;43294&lt;/D&gt;&lt;D xsi:type="xsd:long"&gt;43293&lt;/D&gt;&lt;D xsi:type="xsd:long"&gt;43292&lt;/D&gt;&lt;D xsi:type="xsd:long"&gt;43291&lt;/D&gt;&lt;D xsi:type="xsd:long"&gt;43288&lt;/D&gt;&lt;D xsi:type="xsd:long"&gt;43287&lt;/D&gt;&lt;D xsi:type="xsd:long"&gt;43285&lt;/D&gt;&lt;D xsi:type="xsd:long"&gt;43284&lt;/D&gt;&lt;D xsi:type="xsd:long"&gt;43281&lt;/D&gt;&lt;D xsi:type="xsd:long"&gt;43280&lt;/D&gt;&lt;D xsi:type="xsd:long"&gt;43279&lt;/D&gt;&lt;D xsi:type="xsd:long"&gt;43278&lt;/D&gt;&lt;D xsi:type="xsd:long"&gt;43277&lt;/D&gt;&lt;D xsi:type="xsd:long"&gt;43274&lt;/D&gt;&lt;D xsi:type="xsd:long"&gt;43273&lt;/D&gt;&lt;D xsi:type="xsd:long"&gt;43272&lt;/D&gt;&lt;D xsi:type="xsd:long"&gt;43271&lt;/D&gt;&lt;D xsi:type="xsd:long"&gt;43270&lt;/D&gt;&lt;D xsi:type="xsd:long"&gt;43267&lt;/D&gt;&lt;D xsi:type="xsd:long"&gt;43266&lt;/D&gt;&lt;D xsi:type="xsd:long"&gt;43265&lt;/D&gt;&lt;D xsi:type="xsd:long"&gt;43264&lt;/D&gt;&lt;D xsi:type="xsd:long"&gt;43263&lt;/D&gt;&lt;D xsi:type="xsd:long"&gt;43260&lt;/D&gt;&lt;D xsi:type="xsd:long"&gt;43259&lt;/D&gt;&lt;D xsi:type="xsd:long"&gt;43258&lt;/D&gt;&lt;D xsi:type="xsd:long"&gt;43257&lt;/D&gt;&lt;D xsi:type="xsd:long"&gt;43256&lt;/D&gt;&lt;D xsi:type="xsd:long"&gt;43253&lt;/D&gt;&lt;D xsi:type="xsd:long"&gt;43251&lt;/D&gt;&lt;D xsi:type="xsd:long"&gt;43251&lt;/D&gt;&lt;D xsi:type="xsd:long"&gt;43250&lt;/D&gt;&lt;D xsi:type="xsd:long"&gt;43246&lt;/D&gt;&lt;D xsi:type="xsd:long"&gt;43245&lt;/D&gt;&lt;D xsi:type="xsd:long"&gt;43244&lt;/D&gt;&lt;D xsi:type="xsd:long"&gt;43243&lt;/D&gt;&lt;D xsi:type="xsd:long"&gt;43242&lt;/D&gt;&lt;D xsi:type="xsd:long"&gt;43239&lt;/D&gt;&lt;D xsi:type="xsd:long"&gt;43238&lt;/D&gt;&lt;D xsi:type="xsd:long"&gt;43237&lt;/D&gt;&lt;D xsi:type="xsd:long"&gt;43236&lt;/D&gt;&lt;D xsi:type="xsd:long"&gt;43235&lt;/D&gt;&lt;D xsi:type="xsd:long"&gt;43232&lt;/D&gt;&lt;D xsi:type="xsd:long"&gt;43231&lt;/D&gt;&lt;D xsi:type="xsd:long"&gt;43230&lt;/D&gt;&lt;D xsi:type="xsd:long"&gt;43229&lt;/D&gt;&lt;D xsi:type="xsd:long"&gt;43228&lt;/D&gt;&lt;D xsi:type="xsd:long"&gt;43225&lt;/D&gt;&lt;D xsi:type="xsd:long"&gt;43224&lt;/D&gt;&lt;D xsi:type="xsd:long"&gt;43223&lt;/D&gt;&lt;D xsi:type="xsd:long"&gt;43222&lt;/D&gt;&lt;D xsi:type="xsd:long"&gt;43220&lt;/D&gt;&lt;D xsi:type="xsd:long"&gt;43218&lt;/D&gt;&lt;D xsi:type="xsd:long"&gt;43217&lt;/D&gt;&lt;D xsi:type="xsd:long"&gt;43216&lt;/D&gt;&lt;D xsi:type="xsd:long"&gt;43215&lt;/D&gt;&lt;D xsi:type="xsd:long"&gt;43214&lt;/D&gt;&lt;D xsi:type="xsd:long"&gt;43211&lt;/D&gt;&lt;D xsi:type="xsd:long"&gt;43210&lt;/D&gt;&lt;D xsi:type="xsd:long"&gt;43209&lt;/D&gt;&lt;D xsi:type="xsd:long"&gt;43208&lt;/D&gt;&lt;D xsi:type="xsd:long"&gt;43207&lt;/D&gt;&lt;D xsi:type="xsd:long"&gt;43204&lt;/D&gt;&lt;D xsi:type="xsd:long"&gt;43203&lt;/D&gt;&lt;D xsi:type="xsd:long"&gt;43202&lt;/D&gt;&lt;D xsi:type="xsd:long"&gt;43201&lt;/D&gt;&lt;D xsi:type="xsd:long"&gt;43200&lt;/D&gt;&lt;D xsi:type="xsd:long"&gt;43197&lt;/D&gt;&lt;D xsi:type="xsd:long"&gt;43196&lt;/D&gt;&lt;D xsi:type="xsd:long"&gt;43195&lt;/D&gt;&lt;D xsi:type="xsd:long"&gt;43194&lt;/D&gt;&lt;D xsi:type="xsd:long"&gt;43193&lt;/D&gt;&lt;D xsi:type="xsd:long"&gt;43189&lt;/D&gt;&lt;D xsi:type="xsd:long"&gt;43188&lt;/D&gt;&lt;D xsi:type="xsd:long"&gt;43187&lt;/D&gt;&lt;D xsi:type="xsd:long"&gt;43186&lt;/D&gt;&lt;D xsi:type="xsd:long"&gt;43183&lt;/D&gt;&lt;D xsi:type="xsd:long"&gt;43182&lt;/D&gt;&lt;D xsi:type="xsd:long"&gt;43181&lt;/D&gt;&lt;D xsi:type="xsd:long"&gt;43180&lt;/D&gt;&lt;D xsi:type="xsd:long"&gt;43179&lt;/D&gt;&lt;D xsi:type="xsd:long"&gt;43176&lt;/D&gt;&lt;D xsi:type="xsd:long"&gt;43175&lt;/D&gt;&lt;D xsi:type="xsd:long"&gt;43174&lt;/D&gt;&lt;D xsi:type="xsd:long"&gt;43173&lt;/D&gt;&lt;D xsi:type="xsd:long"&gt;43172&lt;/D&gt;&lt;D xsi:type="xsd:long"&gt;43169&lt;/D&gt;&lt;D xsi:type="xsd:long"&gt;43168&lt;/D&gt;&lt;D xsi:type="xsd:long"&gt;43167&lt;/D&gt;&lt;D xsi:type="xsd:long"&gt;43166&lt;/D&gt;&lt;D xsi:type="xsd:long"&gt;43165&lt;/D&gt;&lt;D xsi:type="xsd:long"&gt;43162&lt;/D&gt;&lt;D xsi:type="xsd:long"&gt;43161&lt;/D&gt;&lt;D xsi:type="xsd:long"&gt;43159&lt;/D&gt;&lt;D xsi:type="xsd:long"&gt;43159&lt;/D&gt;&lt;D xsi:type="xsd:long"&gt;43158&lt;/D&gt;&lt;D xsi:type="xsd:long"&gt;43155&lt;/D&gt;&lt;D xsi:type="xsd:long"&gt;43154&lt;/D&gt;&lt;D xsi:type="xsd:long"&gt;43153&lt;/D&gt;&lt;D xsi:type="xsd:long"&gt;43152&lt;/D&gt;&lt;D xsi:type="xsd:long"&gt;43148&lt;/D&gt;&lt;D xsi:type="xsd:long"&gt;43147&lt;/D&gt;&lt;D xsi:type="xsd:long"&gt;43146&lt;/D&gt;&lt;D xsi:type="xsd:long"&gt;43145&lt;/D&gt;&lt;D xsi:type="xsd:long"&gt;43144&lt;/D&gt;&lt;D xsi:type="xsd:long"&gt;43141&lt;/D&gt;&lt;D xsi:type="xsd:long"&gt;43140&lt;/D&gt;&lt;D xsi:type="xsd:long"&gt;43139&lt;/D&gt;&lt;D xsi:type="xsd:long"&gt;43138&lt;/D&gt;&lt;D xsi:type="xsd:long"&gt;43137&lt;/D&gt;&lt;D xsi:type="xsd:long"&gt;43134&lt;/D&gt;&lt;D xsi:type="xsd:long"&gt;43133&lt;/D&gt;&lt;D xsi:type="xsd:long"&gt;43131&lt;/D&gt;&lt;D xsi:type="xsd:long"&gt;43131&lt;/D&gt;&lt;D xsi:type="xsd:long"&gt;43130&lt;/D&gt;&lt;D xsi:type="xsd:long"&gt;43127&lt;/D&gt;&lt;D xsi:type="xsd:long"&gt;43126&lt;/D&gt;&lt;D xsi:type="xsd:long"&gt;43125&lt;/D&gt;&lt;D xsi:type="xsd:long"&gt;43124&lt;/D&gt;&lt;D xsi:type="xsd:long"&gt;43123&lt;/D&gt;&lt;D xsi:type="xsd:long"&gt;43120&lt;/D&gt;&lt;D xsi:type="xsd:long"&gt;43119&lt;/D&gt;&lt;D xsi:type="xsd:long"&gt;43118&lt;/D&gt;&lt;D xsi:type="xsd:long"&gt;43117&lt;/D&gt;&lt;D xsi:type="xsd:long"&gt;43113&lt;/D&gt;&lt;D xsi:type="xsd:long"&gt;43112&lt;/D&gt;&lt;D xsi:type="xsd:long"&gt;43111&lt;/D&gt;&lt;D xsi:type="xsd:long"&gt;43110&lt;/D&gt;&lt;D xsi:type="xsd:long"&gt;43109&lt;/D&gt;&lt;D xsi:type="xsd:long"&gt;43106&lt;/D&gt;&lt;D xsi:type="xsd:long"&gt;43105&lt;/D&gt;&lt;D xsi:type="xsd:long"&gt;43104&lt;/D&gt;&lt;D xsi:type="xsd:long"&gt;43103&lt;/D&gt;&lt;D xsi:type="xsd:long"&gt;43099&lt;/D&gt;&lt;D xsi:type="xsd:long"&gt;43098&lt;/D&gt;&lt;D xsi:type="xsd:long"&gt;43097&lt;/D&gt;&lt;D xsi:type="xsd:long"&gt;43096&lt;/D&gt;&lt;D xsi:type="xsd:long"&gt;43092&lt;/D&gt;&lt;D xsi:type="xsd:long"&gt;43091&lt;/D&gt;&lt;D xsi:type="xsd:long"&gt;43090&lt;/D&gt;&lt;D xsi:type="xsd:long"&gt;43089&lt;/D&gt;&lt;D xsi:type="xsd:long"&gt;43088&lt;/D&gt;&lt;D xsi:type="xsd:long"&gt;43085&lt;/D&gt;&lt;D xsi:type="xsd:long"&gt;43084&lt;/D&gt;&lt;D xsi:type="xsd:long"&gt;43083&lt;/D&gt;&lt;D xsi:type="xsd:long"&gt;43082&lt;/D&gt;&lt;D xsi:type="xsd:long"&gt;43081&lt;/D&gt;&lt;D xsi:type="xsd:long"&gt;43078&lt;/D&gt;&lt;D xsi:type="xsd:long"&gt;43077&lt;/D&gt;&lt;D xsi:type="xsd:long"&gt;43076&lt;/D&gt;&lt;D xsi:type="xsd:long"&gt;43075&lt;/D&gt;&lt;D xsi:type="xsd:long"&gt;43074&lt;/D&gt;&lt;D xsi:type="xsd:long"&gt;43071&lt;/D&gt;&lt;D xsi:type="xsd:long"&gt;43069&lt;/D&gt;&lt;D xsi:type="xsd:long"&gt;43069&lt;/D&gt;&lt;D xsi:type="xsd:long"&gt;43068&lt;/D&gt;&lt;D xsi:type="xsd:long"&gt;43067&lt;/D&gt;&lt;D xsi:type="xsd:long"&gt;43064&lt;/D&gt;&lt;D xsi:type="xsd:long"&gt;43062&lt;/D&gt;&lt;D xsi:type="xsd:long"&gt;43061&lt;/D&gt;&lt;D xsi:type="xsd:long"&gt;43060&lt;/D&gt;&lt;D xsi:type="xsd:long"&gt;43057&lt;/D&gt;&lt;D xsi:type="xsd:long"&gt;43056&lt;/D&gt;&lt;D xsi:type="xsd:long"&gt;43055&lt;/D&gt;&lt;D xsi:type="xsd:long"&gt;43054&lt;/D&gt;&lt;D xsi:type="xsd:long"&gt;43053&lt;/D&gt;&lt;D xsi:type="xsd:long"&gt;43050&lt;/D&gt;&lt;D xsi:type="xsd:long"&gt;43049&lt;/D&gt;&lt;D xsi:type="xsd:long"&gt;43048&lt;/D&gt;&lt;D xsi:type="xsd:long"&gt;43047&lt;/D&gt;&lt;D xsi:type="xsd:long"&gt;43046&lt;/D&gt;&lt;D xsi:type="xsd:long"&gt;43043&lt;/D&gt;&lt;D xsi:type="xsd:long"&gt;43042&lt;/D&gt;&lt;D xsi:type="xsd:long"&gt;43041&lt;/D&gt;&lt;D xsi:type="xsd:long"&gt;43039&lt;/D&gt;&lt;D xsi:type="xsd:long"&gt;43039&lt;/D&gt;&lt;D xsi:type="xsd:long"&gt;43036&lt;/D&gt;&lt;D xsi:type="xsd:long"&gt;43035&lt;/D&gt;&lt;D xsi:type="xsd:long"&gt;43034&lt;/D&gt;&lt;D xsi:type="xsd:long"&gt;43033&lt;/D&gt;&lt;D xsi:type="xsd:long"&gt;43032&lt;/D&gt;&lt;D xsi:type="xsd:long"&gt;43029&lt;/D&gt;&lt;D xsi:type="xsd:long"&gt;43028&lt;/D&gt;&lt;D xsi:type="xsd:long"&gt;43027&lt;/D&gt;&lt;D xsi:type="xsd:long"&gt;43026&lt;/D&gt;&lt;D xsi:type="xsd:long"&gt;43025&lt;/D&gt;&lt;D xsi:type="xsd:long"&gt;43022&lt;/D&gt;&lt;D xsi:type="xsd:long"&gt;43021&lt;/D&gt;&lt;D xsi:type="xsd:long"&gt;43020&lt;/D&gt;&lt;D xsi:type="xsd:long"&gt;43019&lt;/D&gt;&lt;D xsi:type="xsd:long"&gt;43018&lt;/D&gt;&lt;D xsi:type="xsd:long"&gt;43015&lt;/D&gt;&lt;D xsi:type="xsd:long"&gt;43014&lt;/D&gt;&lt;D xsi:type="xsd:long"&gt;43013&lt;/D&gt;&lt;D xsi:type="xsd:long"&gt;43012&lt;/D&gt;&lt;D xsi:type="xsd:long"&gt;43011&lt;/D&gt;&lt;D xsi:type="xsd:long"&gt;43008&lt;/D&gt;&lt;D xsi:type="xsd:long"&gt;43007&lt;/D&gt;&lt;D xsi:type="xsd:long"&gt;43006&lt;/D&gt;&lt;D xsi:type="xsd:long"&gt;43005&lt;/D&gt;&lt;D xsi:type="xsd:long"&gt;43004&lt;/D&gt;&lt;D xsi:type="xsd:long"&gt;43001&lt;/D&gt;&lt;D xsi:type="xsd:long"&gt;43000&lt;/D&gt;&lt;D xsi:type="xsd:long"&gt;42999&lt;/D&gt;&lt;D xsi:type="xsd:long"&gt;42998&lt;/D&gt;&lt;D xsi:type="xsd:long"&gt;42997&lt;/D&gt;&lt;D xsi:type="xsd:long"&gt;42994&lt;/D&gt;&lt;D xsi:type="xsd:long"&gt;42993&lt;/D&gt;&lt;D xsi:type="xsd:long"&gt;42992&lt;/D&gt;&lt;D xsi:type="xsd:long"&gt;42991&lt;/D&gt;&lt;D xsi:type="xsd:long"&gt;42990&lt;/D&gt;&lt;D xsi:type="xsd:long"&gt;42987&lt;/D&gt;&lt;D xsi:type="xsd:long"&gt;42986&lt;/D&gt;&lt;D xsi:type="xsd:long"&gt;42985&lt;/D&gt;&lt;D xsi:type="xsd:long"&gt;42984&lt;/D&gt;&lt;D xsi:type="xsd:long"&gt;42980&lt;/D&gt;&lt;D xsi:type="xsd:long"&gt;42978&lt;/D&gt;&lt;D xsi:type="xsd:long"&gt;42978&lt;/D&gt;&lt;D xsi:type="xsd:long"&gt;42977&lt;/D&gt;&lt;D xsi:type="xsd:long"&gt;42976&lt;/D&gt;&lt;D xsi:type="xsd:long"&gt;42973&lt;/D&gt;&lt;D xsi:type="xsd:long"&gt;42972&lt;/D&gt;&lt;D xsi:type="xsd:long"&gt;42971&lt;/D&gt;&lt;D xsi:type="xsd:long"&gt;42970&lt;/D&gt;&lt;D xsi:type="xsd:long"&gt;42969&lt;/D&gt;&lt;D xsi:type="xsd:long"&gt;42966&lt;/D&gt;&lt;/FQL&gt;&lt;FQL&gt;&lt;Q&gt;ACWX-US^FMA_EPS(NTMA,-1M,,,,"PORTAGG","MEANR")/AVG(FMA_EPS(NTMA,-1M,-50D,,,"PORTAGG","MEANR"))&lt;/Q&gt;&lt;R&gt;1&lt;/R&gt;&lt;C&gt;1&lt;/C&gt;&lt;D xsi:type="xsd:double"&gt;1.00055832002097&lt;/D&gt;&lt;/FQL&gt;&lt;FQL&gt;&lt;Q&gt;ACWI-US^FMA_PCT_ABOVE_MAVG(200,-1W,,,,"PORTAGG")&lt;/Q&gt;&lt;R&gt;1&lt;/R&gt;&lt;C&gt;1&lt;/C&gt;&lt;D xsi:type="xsd:double"&gt;53.5852297123229&lt;/D&gt;&lt;/FQL&gt;&lt;FQL&gt;&lt;Q&gt;ACWX-US^FG_PRICE(-1W)/FG_PRICE_MAVG(-1W,,,,50)&lt;/Q&gt;&lt;R&gt;1&lt;/R&gt;&lt;C&gt;1&lt;/C&gt;&lt;D xsi:type="xsd:double"&gt;0.982262170495181&lt;/D&gt;&lt;/FQL&gt;&lt;FQL&gt;&lt;Q&gt;ACWX-US^FMA_EPS(NTMA,0,,,,"PORTAGG","MEANR")/AVG(FMA_EPS(NTMA,0,-50D,,,"PORTAGG","MEANR"))&lt;/Q&gt;&lt;R&gt;1&lt;/R&gt;&lt;C&gt;1&lt;/C&gt;&lt;D xsi:type="xsd:double"&gt;1.03089874101038&lt;/D&gt;&lt;/FQL&gt;&lt;FQL&gt;&lt;Q&gt;ACWX-US^FMA_PCT_ABOVE_MAVG(50,0,,,,"PORTAGG")/AVG(FMA_PCT_ABOVE_MAVG(50,0,-50D,,,"PORTAGG"))&lt;/Q&gt;&lt;R&gt;1&lt;/R&gt;&lt;C&gt;1&lt;/C&gt;&lt;D xsi:type="xsd:double"&gt;0.966268895457235&lt;/D&gt;&lt;/FQL&gt;&lt;FQL&gt;&lt;Q&gt;TLT-US^FG_PRICE(-1M)/FG_PRICE_MAVG(-1M,,,,50)&lt;/Q&gt;&lt;R&gt;1&lt;/R&gt;&lt;C&gt;1&lt;/C&gt;&lt;D xsi:type="xsd:double"&gt;1.00648325232923&lt;/D&gt;&lt;/FQL&gt;&lt;FQL&gt;&lt;Q&gt;SPXEKW^FG_PRICE(-1M)/FG_PRICE_MAVG(-1M,,,,50)&lt;/Q&gt;&lt;R&gt;1&lt;/R&gt;&lt;C&gt;1&lt;/C&gt;&lt;D xsi:type="xsd:double"&gt;1.00032384341867&lt;/D&gt;&lt;/FQL&gt;&lt;FQL&gt;&lt;Q&gt;SP50^FMA_PCT_ABOVE_MAVG(50,-1W,,,,"PORTAGG")/AVG(FMA_PCT_ABOVE_MAVG(50,-1W,-50D,,,"PORTAGG"))&lt;/Q&gt;&lt;R&gt;1&lt;/R&gt;&lt;C&gt;1&lt;/C&gt;&lt;D xsi:type="xsd:double"&gt;1.04548052584306&lt;/D&gt;&lt;/FQL&gt;&lt;FQL&gt;&lt;Q&gt;SHY-US^FG_PRICE(-1W)/FG_PRICE_MAVG(-1W,,,,50)&lt;/Q&gt;&lt;R&gt;1&lt;/R&gt;&lt;C&gt;1&lt;/C&gt;&lt;D xsi:type="xsd:double"&gt;1.00825872446959&lt;/D&gt;&lt;/FQL&gt;&lt;FQL&gt;&lt;Q&gt;SHY-US^FG_PRICE(0)/FG_PRICE_MAVG(0,,,,50)&lt;/Q&gt;&lt;R&gt;1&lt;/R&gt;&lt;C&gt;1&lt;/C&gt;&lt;D xsi:type="xsd:double"&gt;1.0081712622392&lt;/D&gt;&lt;/FQL&gt;&lt;FQL&gt;&lt;Q&gt;SPXEKW^FG_PRICE(0)/FG_PRICE_MAVG(0,,,,50)&lt;/Q&gt;&lt;R&gt;1&lt;/R&gt;&lt;C&gt;1&lt;/C&gt;&lt;D xsi:type="xsd:double"&gt;1.02678740648027&lt;/D&gt;&lt;/FQL&gt;&lt;FQL&gt;&lt;Q&gt;^FDS_ECON_DATA('USSU2929306',0,-20AY,D,STEP,AVERAGENP,1)&lt;/Q&gt;&lt;R&gt;5218&lt;/R&gt;&lt;C&gt;1&lt;/C&gt;&lt;D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xsi:type="xsd:double"&gt;44.6&lt;/D&gt;&lt;D xsi:type="xsd:double"&gt;44.6&lt;/D&gt;&lt;D xsi:type="xsd:double"&gt;44.6&lt;/D&gt;&lt;D xsi:type="xsd:double"&gt;44.6&lt;/D&gt;&lt;D xsi:type="xsd:double"&gt;44.6&lt;/D&gt;&lt;D xsi:type="xsd:double"&gt;46.9&lt;/D&gt;&lt;D xsi:type="xsd:double"&gt;46.9&lt;/D&gt;&lt;D xsi:type="xsd:double"&gt;46.9&lt;/D&gt;&lt;D xsi:type="xsd:double"&gt;46.9&lt;/D&gt;&lt;D xsi:type="xsd:double"&gt;46.9&lt;/D&gt;&lt;D xsi:type="xsd:double"&gt;59.4&lt;/D&gt;&lt;D xsi:type="xsd:double"&gt;59.4&lt;/D&gt;&lt;D xsi:type="xsd:double"&gt;59.4&lt;/D&gt;&lt;D xsi:type="xsd:double"&gt;59.4&lt;/D&gt;&lt;D xsi:type="xsd:double"&gt;59.4&lt;/D&gt;&lt;D xsi:type="xsd:double"&gt;64.2&lt;/D&gt;&lt;D xsi:type="xsd:double"&gt;64.2&lt;/D&gt;&lt;D xsi:type="xsd:double"&gt;64.2&lt;/D&gt;&lt;D xsi:type="xsd:double"&gt;64.2&lt;/D&gt;&lt;D xsi:type="xsd:double"&gt;64.2&lt;/D&gt;&lt;D xsi:type="xsd:double"&gt;63.6&lt;/D&gt;&lt;D xsi:type="xsd:double"&gt;63.6&lt;/D&gt;&lt;D xsi:type="xsd:double"&gt;63.6&lt;/D&gt;&lt;D xsi:type="xsd:double"&gt;63.6&lt;/D&gt;&lt;D xsi:type="xsd:double"&gt;63.6&lt;/D&gt;&lt;D xsi:type="xsd:double"&gt;62.7&lt;/D&gt;&lt;D xsi:type="xsd:double"&gt;62.7&lt;/D&gt;&lt;D xsi:type="xsd:double"&gt;62.7&lt;/D&gt;&lt;D xsi:type="xsd:double"&gt;62.7&lt;/D&gt;&lt;D xsi:type="xsd:double"&gt;62.7&lt;/D&gt;&lt;D xsi:type="xsd:double"&gt;63.1&lt;/D&gt;&lt;D xsi:type="xsd:double"&gt;63.1&lt;/D&gt;&lt;D xsi:type="xsd:double"&gt;63.1&lt;/D&gt;&lt;D xsi:type="xsd:double"&gt;63.1&lt;/D&gt;&lt;D xsi:type="xsd:double"&gt;63.1&lt;/D&gt;&lt;D xsi:type="xsd:double"&gt;61.5&lt;/D&gt;&lt;D xsi:type="xsd:double"&gt;61.5&lt;/D&gt;&lt;D xsi:type="xsd:double"&gt;61.5&lt;/D&gt;&lt;D xsi:type="xsd:double"&gt;61.5&lt;/D&gt;&lt;D xsi:type="xsd:double"&gt;61.5&lt;/D&gt;&lt;D xsi:type="xsd:double"&gt;61.2&lt;/D&gt;&lt;D xsi:type="xsd:double"&gt;61.2&lt;/D&gt;&lt;D xsi:type="xsd:double"&gt;61.2&lt;/D&gt;&lt;D xsi:type="xsd:double"&gt;61.2&lt;/D&gt;&lt;D xsi:type="xsd:double"&gt;61.2&lt;/D&gt;&lt;D xsi:type="xsd:double"&gt;60.3&lt;/D&gt;&lt;D xsi:type="xsd:double"&gt;60.3&lt;/D&gt;&lt;D xsi:type="xsd:double"&gt;60.3&lt;/D&gt;&lt;D xsi:type="xsd:double"&gt;60.3&lt;/D&gt;&lt;D xsi:type="xsd:double"&gt;60.3&lt;/D&gt;&lt;D xsi:type="xsd:double"&gt;57.6&lt;/D&gt;&lt;D xsi:type="xsd:double"&gt;57.6&lt;/D&gt;&lt;D xsi:type="xsd:double"&gt;57.6&lt;/D&gt;&lt;D xsi:type="xsd:double"&gt;57.6&lt;/D&gt;&lt;D xsi:type="xsd:double"&gt;57.6&lt;/D&gt;&lt;D xsi:type="xsd:double"&gt;58.2&lt;/D&gt;&lt;D xsi:type="xsd:double"&gt;58.2&lt;/D&gt;&lt;D xsi:type="xsd:double"&gt;58.2&lt;/D&gt;&lt;D xsi:type="xsd:double"&gt;58.2&lt;/D&gt;&lt;D xsi:type="xsd:double"&gt;58.2&lt;/D&gt;&lt;D xsi:type="xsd:double"&gt;59.4&lt;/D&gt;&lt;D xsi:type="xsd:double"&gt;59.4&lt;/D&gt;&lt;D xsi:type="xsd:double"&gt;59.4&lt;/D&gt;&lt;D xsi:type="xsd:double"&gt;59.4&lt;/D&gt;&lt;D xsi:type="xsd:double"&gt;59.4&lt;/D&gt;&lt;D xsi:type="xsd:double"&gt;56.5&lt;/D&gt;&lt;D xsi:type="xsd:double"&gt;56.5&lt;/D&gt;&lt;D xsi:type="xsd:double"&gt;56.5&lt;/D&gt;&lt;D xsi:type="xsd:double"&gt;56.5&lt;/D&gt;&lt;D xsi:type="xsd:double"&gt;56.5&lt;/D&gt;&lt;D xsi:type="xsd:double"&gt;50&lt;/D&gt;&lt;D xsi:type="xsd:double"&gt;50&lt;/D&gt;&lt;D xsi:type="xsd:double"&gt;50&lt;/D&gt;&lt;D xsi:type="xsd:double"&gt;50&lt;/D&gt;&lt;D xsi:type="xsd:double"&gt;50&lt;/D&gt;&lt;D xsi:type="xsd:double"&gt;47&lt;/D&gt;&lt;D xsi:type="xsd:double"&gt;47&lt;/D&gt;&lt;D xsi:type="xsd:double"&gt;47&lt;/D&gt;&lt;D xsi:type="xsd:double"&gt;47&lt;/D&gt;&lt;D xsi:type="xsd:double"&gt;47&lt;/D&gt;&lt;D xsi:type="xsd:double"&gt;46.2&lt;/D&gt;&lt;D xsi:type="xsd:double"&gt;46.2&lt;/D&gt;&lt;D xsi:type="xsd:double"&gt;46.2&lt;/D&gt;&lt;D xsi:type="xsd:double"&gt;46.2&lt;/D&gt;&lt;D xsi:type="xsd:double"&gt;46.2&lt;/D&gt;&lt;D xsi:type="xsd:double"&gt;56.5&lt;/D&gt;&lt;D xsi:type="xsd:double"&gt;56.5&lt;/D&gt;&lt;D xsi:type="xsd:double"&gt;56.5&lt;/D&gt;&lt;D xsi:type="xsd:double"&gt;56.5&lt;/D&gt;&lt;D xsi:type="xsd:double"&gt;56.5&lt;/D&gt;&lt;D xsi:type="xsd:double"&gt;58.1&lt;/D&gt;&lt;D xsi:</t>
        </r>
      </text>
    </comment>
    <comment ref="A31" authorId="0" shapeId="0" xr:uid="{3F0DC68F-42DD-47FE-8D5A-E4F3154B9A82}">
      <text>
        <r>
          <rPr>
            <b/>
            <sz val="9"/>
            <color indexed="81"/>
            <rFont val="Tahoma"/>
            <charset val="1"/>
          </rPr>
          <t>type="xsd:double"&gt;58.1&lt;/D&gt;&lt;D xsi:type="xsd:double"&gt;58.1&lt;/D&gt;&lt;D xsi:type="xsd:double"&gt;58.1&lt;/D&gt;&lt;D xsi:type="xsd:double"&gt;58.1&lt;/D&gt;&lt;D xsi:type="xsd:double"&gt;62.5&lt;/D&gt;&lt;D xsi:type="xsd:double"&gt;62.5&lt;/D&gt;&lt;D xsi:type="xsd:double"&gt;62.5&lt;/D&gt;&lt;D xsi:type="xsd:double"&gt;62.5&lt;/D&gt;&lt;D xsi:type="xsd:double"&gt;62.5&lt;/D&gt;&lt;D xsi:type="xsd:double"&gt;60.6&lt;/D&gt;&lt;D xsi:type="xsd:double"&gt;60.6&lt;/D&gt;&lt;D xsi:type="xsd:double"&gt;60.6&lt;/D&gt;&lt;D xsi:type="xsd:double"&gt;60.6&lt;/D&gt;&lt;D xsi:type="xsd:double"&gt;60.6&lt;/D&gt;&lt;D xsi:type="xsd:double"&gt;60.3&lt;/D&gt;&lt;D xsi:type="xsd:double"&gt;60.3&lt;/D&gt;&lt;D xsi:type="xsd:double"&gt;60.3&lt;/D&gt;&lt;D xsi:type="xsd:double"&gt;60.3&lt;/D&gt;&lt;D xsi:type="xsd:double"&gt;60.3&lt;/D&gt;&lt;D xsi:type="xsd:double"&gt;60.9&lt;/D&gt;&lt;D xsi:type="xsd:double"&gt;60.9&lt;/D&gt;&lt;D xsi:type="xsd:double"&gt;60.9&lt;/D&gt;&lt;D xsi:type="xsd:double"&gt;60.9&lt;/D&gt;&lt;D xsi:type="xsd:double"&gt;60.9&lt;/D&gt;&lt;D xsi:type="xsd:double"&gt;59.4&lt;/D&gt;&lt;D xsi:type="xsd:double"&gt;59.4&lt;/D&gt;&lt;D xsi:type="xsd:double"&gt;59.4&lt;/D&gt;&lt;D xsi:type="xsd:double"&gt;59.4&lt;/D&gt;&lt;D xsi:type="xsd:double"&gt;59.4&lt;/D&gt;&lt;D xsi:type="xsd:double"&gt;57.6&lt;/D&gt;&lt;D xsi:type="xsd:double"&gt;57.6&lt;/D&gt;&lt;D xsi:type="xsd:double"&gt;57.6&lt;/D&gt;&lt;D xsi:type="xsd:double"&gt;57.6&lt;/D&gt;&lt;D xsi:type="xsd:double"&gt;57.6&lt;/D&gt;&lt;D xsi:type="xsd:double"&gt;57.3&lt;/D&gt;&lt;D xsi:type="xsd:double"&gt;57.3&lt;/D&gt;&lt;D xsi:type="xsd:double"&gt;57.3&lt;/D&gt;&lt;D xsi:type="xsd:double"&gt;57.3&lt;/D&gt;&lt;D xsi:type="xsd:double"&gt;57.3&lt;/D&gt;&lt;D xsi:type="xsd:double"&gt;58.8&lt;/D&gt;&lt;D xsi:type="xsd:double"&gt;58.8&lt;/D&gt;&lt;D xsi:type="xsd:double"&gt;58.8&lt;/D&gt;&lt;D xsi:type="xsd:double"&gt;58.8&lt;/D&gt;&lt;D xsi:type="xsd:double"&gt;58.8&lt;/D&gt;&lt;D xsi:type="xsd:double"&gt;54.3&lt;/D&gt;&lt;D xsi:type="xsd:double"&gt;54.3&lt;/D&gt;&lt;D xsi:type="xsd:double"&gt;54.3&lt;/D&gt;&lt;D xsi:type="xsd:double"&gt;54.3&lt;/D&gt;&lt;D xsi:type="xsd:double"&gt;54.3&lt;/D&gt;&lt;D xsi:type="xsd:double"&gt;57.7&lt;/D&gt;&lt;D xsi:type="xsd:double"&gt;57.7&lt;/D&gt;&lt;D xsi:type="xsd:double"&gt;57.7&lt;/D&gt;&lt;D xsi:type="xsd:double"&gt;57.7&lt;/D&gt;&lt;D xsi:type="xsd:double"&gt;57.7&lt;/D&gt;&lt;D xsi:type="xsd:double"&gt;52.9&lt;/D&gt;&lt;D xsi:type="xsd:double"&gt;52.9&lt;/D&gt;&lt;D xsi:type="xsd:double"&gt;52.9&lt;/D&gt;&lt;D xsi:type="xsd:double"&gt;52.9&lt;/D&gt;&lt;D xsi:type="xsd:double"&gt;52.9&lt;/D&gt;&lt;D xsi:type="xsd:double"&gt;48.5&lt;/D&gt;&lt;D xsi:type="xsd:double"&gt;48.5&lt;/D&gt;&lt;D xsi:type="xsd:double"&gt;48.5&lt;/D&gt;&lt;D xsi:type="xsd:double"&gt;48.5&lt;/D&gt;&lt;D xsi:type="xsd:double"&gt;48.5&lt;/D&gt;&lt;D xsi:type="xsd:double"&gt;54.4&lt;/D&gt;&lt;D xsi:type="xsd:double"&gt;54.4&lt;/D&gt;&lt;D xsi:type="xsd:double"&gt;54.4&lt;/D&gt;&lt;D xsi:type="xsd:double"&gt;54.4&lt;/D&gt;&lt;D xsi:type="xsd:double"&gt;54.4&lt;/D&gt;&lt;D xsi:type="xsd:double"&gt;57.1&lt;/D&gt;&lt;D xsi:type="xsd:double"&gt;57.1&lt;/D&gt;&lt;D xsi:type="xsd:double"&gt;57.1&lt;/D&gt;&lt;D xsi:type="xsd:double"&gt;57.1&lt;/D&gt;&lt;D xsi:type="xsd:double"&gt;57.1&lt;/D&gt;&lt;D xsi:type="xsd:string"&gt;@NA&lt;/D&gt;&lt;D xsi:type="xsd:string"&gt;@NA&lt;/D&gt;&lt;D xsi:type="xsd:string"&gt;@NA&lt;/D&gt;&lt;D xsi:type="xsd:string"&gt;@NA&lt;/D&gt;&lt;D xsi:type="xsd:string"&gt;@NA&lt;/D&gt;&lt;D xsi:type="xsd:double"&gt;56.9&lt;/D&gt;&lt;D xsi:type="xsd:double"&gt;56.9&lt;/D&gt;&lt;D xsi:type="xsd:double"&gt;56.9&lt;/D&gt;&lt;D xsi:type="xsd:double"&gt;56.9&lt;/D&gt;&lt;D xsi:type="xsd:double"&gt;56.9&lt;/D&gt;&lt;D xsi:type="xsd:double"&gt;55.6&lt;/D&gt;&lt;D xsi:type="xsd:double"&gt;55.6&lt;/D&gt;&lt;D xsi:type="xsd:double"&gt;55.6&lt;/D&gt;&lt;D xsi:type="xsd:double"&gt;55.6&lt;/D&gt;&lt;D xsi:type="xsd:double"&gt;55.6&lt;/D&gt;&lt;D xsi:type="xsd:double"&gt;55.1&lt;/D&gt;&lt;D xsi:type="xsd:double"&gt;55.1&lt;/D&gt;&lt;D xsi:type="xsd:double"&gt;55.1&lt;/D&gt;&lt;D xsi:type="xsd:double"&gt;55.1&lt;/D&gt;&lt;D xsi:type="xsd:double"&gt;55.1&lt;/D&gt;&lt;D xsi:type="xsd:double"&gt;55.7&lt;/D&gt;&lt;D xsi:type="xsd:double"&gt;55.7&lt;/D&gt;&lt;D xsi:type="xsd:double"&gt;55.7&lt;/D&gt;&lt;D xsi:type="xsd:double"&gt;55.7&lt;/D&gt;&lt;D xsi:type="xsd:double"&gt;55.7&lt;/D&gt;&lt;D xsi:type="xsd:double"&gt;52.2&lt;/D&gt;&lt;D xsi:type="xsd:double"&gt;52.2&lt;/D&gt;&lt;D xsi:type="xsd:double"&gt;52.2&lt;/D&gt;&lt;D xsi:type="xsd:double"&gt;52.2&lt;/D&gt;&lt;D xsi:type="xsd:double"&gt;52.2&lt;/D&gt;&lt;D xsi:type="xsd:double"&gt;50.7&lt;/D&gt;&lt;D xsi:type="xsd:double"&gt;50.7&lt;/D&gt;&lt;D xsi:type="xsd:double"&gt;50.7&lt;/D&gt;&lt;D xsi:type="xsd:double"&gt;50.7&lt;/D&gt;&lt;D xsi:type="xsd:double"&gt;50.7&lt;/D&gt;&lt;D xsi:type="xsd:double"&gt;49.3&lt;/D&gt;&lt;D xsi:type="xsd:double"&gt;49.3&lt;/D&gt;&lt;D xsi:type="xsd:double"&gt;49.3&lt;/D&gt;&lt;D xsi:type="xsd:double"&gt;49.3&lt;/D&gt;&lt;D xsi:type="xsd:double"&gt;49.3&lt;/D&gt;&lt;D xsi:type="xsd:double"&gt;42.9&lt;/D&gt;&lt;D xsi:type="xsd:double"&gt;42.9&lt;/D&gt;&lt;D xsi:type="xsd:double"&gt;42.9&lt;/D&gt;&lt;D xsi:type="xsd:double"&gt;42.9&lt;/D&gt;&lt;D xsi:type="xsd:double"&gt;42.9&lt;/D&gt;&lt;D xsi:type="xsd:double"&gt;50&lt;/D&gt;&lt;D xsi:type="xsd:double"&gt;50&lt;/D&gt;&lt;D xsi:type="xsd:double"&gt;50&lt;/D&gt;&lt;D xsi:type="xsd:double"&gt;50&lt;/D&gt;&lt;D xsi:type="xsd:double"&gt;50&lt;/D&gt;&lt;D xsi:type="xsd:double"&gt;51.4&lt;/D&gt;&lt;D xsi:type="xsd:double"&gt;51.4&lt;/D&gt;&lt;D xsi:type="xsd:double"&gt;51.4&lt;/D&gt;&lt;D xsi:type="xsd:double"&gt;51.4&lt;/D&gt;&lt;D xsi:type="xsd:double"&gt;51.4&lt;/D&gt;&lt;D xsi:type="xsd:double"&gt;48.6&lt;/D&gt;&lt;D xsi:type="xsd:double"&gt;48.6&lt;/D&gt;&lt;D xsi:type="xsd:double"&gt;48.6&lt;/D&gt;&lt;D xsi:type="xsd:double"&gt;48.6&lt;/D&gt;&lt;D xsi:type="xsd:double"&gt;48.6&lt;/D&gt;&lt;D xsi:type="xsd:double"&gt;42.3&lt;/D&gt;&lt;D xsi:type="xsd:double"&gt;42.3&lt;/D&gt;&lt;D xsi:type="xsd:double"&gt;42.3&lt;/D&gt;&lt;D xsi:type="xsd:double"&gt;42.3&lt;/D&gt;&lt;D xsi:type="xsd:double"&gt;42.3&lt;/D&gt;&lt;D xsi:type="xsd:double"&gt;43.7&lt;/D&gt;&lt;D xsi:type="xsd:double"&gt;43.7&lt;/D&gt;&lt;D xsi:type="xsd:double"&gt;43.7&lt;/D&gt;&lt;D xsi:type="xsd:double"&gt;43.7&lt;/D&gt;&lt;D xsi:type="xsd:double"&gt;43.7&lt;/D&gt;&lt;D xsi:type="xsd:double"&gt;48.6&lt;/D&gt;&lt;D xsi:type="xsd:double"&gt;48.6&lt;/D&gt;&lt;D xsi:type="xsd:double"&gt;48.6&lt;/D&gt;&lt;D xsi:type="xsd:double"&gt;48.6&lt;/D&gt;&lt;D xsi:type="xsd:double"&gt;48.6&lt;/D&gt;&lt;D xsi:type="xsd:double"&gt;50.7&lt;/D&gt;&lt;D xsi:type="xsd:double"&gt;50.7&lt;/D&gt;&lt;D xsi:type="xsd:double"&gt;50.7&lt;/D&gt;&lt;D xsi:type="xsd:double"&gt;50.7&lt;/D&gt;&lt;D xsi:type="xsd:double"&gt;50.7&lt;/D&gt;&lt;D xsi:type="xsd:double"&gt;49.3&lt;/D&gt;&lt;D xsi:type="xsd:double"&gt;49.3&lt;/D&gt;&lt;D xsi:type="xsd:double"&gt;49.3&lt;/D&gt;&lt;D xsi:type="xsd:double"&gt;49.3&lt;/D&gt;&lt;D xsi:type="xsd:double"&gt;49.3&lt;/D&gt;&lt;D xsi:type="xsd:double"&gt;43.1&lt;/D&gt;&lt;D xsi:type="xsd:double"&gt;43.1&lt;/D&gt;&lt;D xsi:type="xsd:double"&gt;43.1&lt;/D&gt;&lt;D xsi:type="xsd:double"&gt;43.1&lt;/D&gt;&lt;D xsi:type="xsd:double"&gt;43.1&lt;/D&gt;&lt;D xsi:type="xsd:double"&gt;44.3&lt;/D&gt;&lt;D xsi:type="xsd:double"&gt;44.3&lt;/D&gt;&lt;D xsi:type="xsd:double"&gt;44.3&lt;/D&gt;&lt;D xsi:type="xsd:double"&gt;44.3&lt;/D&gt;&lt;D xsi:type="xsd:double"&gt;44.3&lt;/D&gt;&lt;D xsi:type="xsd:double"&gt;47.1&lt;/D&gt;&lt;D xsi:type="xsd:double"&gt;47.1&lt;/D&gt;&lt;D xsi:type="xsd:double"&gt;47.1&lt;/D&gt;&lt;D xsi:type="xsd:double"&gt;47.1&lt;/D&gt;&lt;D xsi:type="xsd:double"&gt;47.1&lt;/D&gt;&lt;D xsi:type="xsd:double"&gt;52.2&lt;/D&gt;&lt;D xsi:type="xsd:double"&gt;52.2&lt;/D&gt;&lt;D xsi:type="xsd:double"&gt;52.2&lt;/D&gt;&lt;D xsi:type="xsd:double"&gt;52.2&lt;/D&gt;&lt;D xsi:type="xsd:double"&gt;52.2&lt;/D&gt;&lt;D xsi:type="xsd:double"&gt;57.1&lt;/D&gt;&lt;D xsi:type="xsd:double"&gt;57.1&lt;/D&gt;&lt;D xsi:type="xsd:double"&gt;57.1&lt;/D&gt;&lt;D xsi:type="xsd:double"&gt;57.1&lt;/D&gt;&lt;D xsi:type="xsd:double"&gt;57.1&lt;/D&gt;&lt;D xsi:type="xsd:double"&gt;55.6&lt;/D&gt;&lt;D xsi:type="xsd:double"&gt;55.6&lt;/D&gt;&lt;D xsi:type="xsd:double"&gt;55.6&lt;/D&gt;&lt;D xsi:type="xsd:double"&gt;55.6&lt;/D&gt;&lt;D xsi:type="xsd:double"&gt;55.6&lt;/D&gt;&lt;D xsi:type="xsd:double"&gt;54.2&lt;/D&gt;&lt;D xsi:type="xsd:double"&gt;54.2&lt;/D&gt;&lt;D xsi:type="xsd:double"&gt;54.2&lt;/D&gt;&lt;D xsi:type="xsd:double"&gt;54.2&lt;/D&gt;&lt;D xsi:type="xsd:double"&gt;54.2&lt;/D&gt;&lt;D xsi:type="xsd:double"&gt;51.4&lt;/D&gt;&lt;D xsi:type="xsd:double"&gt;51.4&lt;/D&gt;&lt;D xsi:type="xsd:double"&gt;51.4&lt;/D&gt;&lt;D xsi:type="xsd:double"&gt;51.4&lt;/D&gt;&lt;D xsi:type="xsd:double"&gt;51.4&lt;/D&gt;&lt;D xsi:type="xsd:double"&gt;54.9&lt;/D&gt;&lt;D xsi:type="xsd:double"&gt;54.9&lt;/D&gt;&lt;D xsi:type="xsd:double"&gt;54.9&lt;/D&gt;&lt;D xsi:type="xsd:double"&gt;54.9&lt;/D&gt;&lt;D xsi:type="xsd:double"&gt;54.9&lt;/D&gt;&lt;D xsi:type="xsd:double"&gt;50&lt;/D&gt;&lt;D xsi:type="xsd:double"&gt;50&lt;/D&gt;&lt;D xsi:type="xsd:double"&gt;50&lt;/D&gt;&lt;D xsi:type="xsd:double"&gt;50&lt;/D&gt;&lt;D xsi:type="xsd:double"&gt;50&lt;/D&gt;&lt;D xsi:type="xsd:double"&gt;54.3&lt;/D&gt;&lt;D xsi:type="xsd:double"&gt;54.3&lt;/D&gt;&lt;D xsi:type="xsd:double"&gt;54.3&lt;/D&gt;&lt;D xsi:type="xsd:double"&gt;54.3&lt;/D&gt;&lt;D xsi:type="xsd:double"&gt;54.3&lt;/D&gt;&lt;D xsi:type="xsd:double"&gt;53.4&lt;/D&gt;&lt;D xsi:type="xsd:double"&gt;53.4&lt;/D&gt;&lt;D xsi:type="xsd:double"&gt;53.4&lt;/D&gt;&lt;D xsi:type="xsd:double"&gt;53.4&lt;/D&gt;&lt;D xsi:type="xsd:double"&gt;53.4&lt;/D&gt;&lt;D xsi:type="xsd:double"&gt;51.3&lt;/D&gt;&lt;D xsi:type="xsd:double"&gt;51.3&lt;/D&gt;&lt;D xsi:type="xsd:double"&gt;51.3&lt;/D&gt;&lt;D xsi:type="xsd:double"&gt;51.3&lt;/D&gt;&lt;D xsi:type="xsd:double"&gt;51.3&lt;/D&gt;&lt;D xsi:type="xsd:double"&gt;47.9&lt;/D&gt;&lt;D xsi:type="xsd:double"&gt;47.9&lt;/D&gt;&lt;D xsi:type="xsd:double"&gt;47.9&lt;/D&gt;&lt;D xsi:type="xsd:double"&gt;47.9&lt;/D&gt;&lt;D xsi:type="xsd:double"&gt;47.9&lt;/D&gt;&lt;D xsi:type="xsd:double"&gt;46.5&lt;/D&gt;&lt;D xsi:type="xsd:double"&gt;46.5&lt;/D&gt;&lt;D xsi:type="xsd:double"&gt;46.5&lt;/D&gt;&lt;D xsi:type="xsd:double"&gt;46.5&lt;/D&gt;&lt;D xsi:type="xsd:double"&gt;46.5&lt;/D&gt;&lt;D xsi:type="xsd:double"&gt;45.2&lt;/D&gt;&lt;D xsi:type="xsd:double"&gt;45.2&lt;/D&gt;&lt;D xsi:type="xsd:double"&gt;45.2&lt;/D&gt;&lt;D xsi:type="xsd:double"&gt;45.2&lt;/D&gt;&lt;D xsi:type="xsd:double"&gt;45.2&lt;/D&gt;&lt;D xsi:type="xsd:double"&gt;44.6&lt;/D&gt;&lt;D xsi:type="xsd:double"&gt;44.6&lt;/D&gt;&lt;D xsi:type="xsd:double"&gt;44.6&lt;/D&gt;&lt;D xsi:type="xsd:double"&gt;44.6&lt;/D&gt;&lt;D xsi:type="xsd:double"&gt;44.6&lt;/D&gt;&lt;D xsi:type="xsd:double"&gt;45.8&lt;/D&gt;&lt;D xsi:type="xsd:double"&gt;45.8&lt;/D&gt;&lt;D xsi:type="xsd:double"&gt;45.8&lt;/D&gt;&lt;D xsi:type="xsd:double"&gt;45.8&lt;/D&gt;&lt;D xsi:type="xsd:double"&gt;45.8&lt;/D&gt;&lt;D xsi:type="xsd:double"&gt;48.6&lt;/D&gt;&lt;D xsi:type="xsd:double"&gt;48.6&lt;/D&gt;&lt;D xsi:type="xsd:double"&gt;48.6&lt;/D&gt;&lt;D xsi:type="xsd:double"&gt;48.6&lt;/D&gt;&lt;D xsi:type="xsd:double"&gt;48.6&lt;/D&gt;&lt;D xsi:type="xsd:double"&gt;50.7&lt;/D&gt;&lt;D xsi:type="xsd:double"&gt;50.7&lt;/D&gt;&lt;D xsi:type="xsd:double"&gt;50.7&lt;/D&gt;&lt;D xsi:type="xsd:double"&gt;50.7&lt;/D&gt;&lt;D xsi:type="xsd:double"&gt;50.7&lt;/D&gt;&lt;D xsi:type="xsd:double"&gt;48.7&lt;/D&gt;&lt;D xsi:type="xsd:double"&gt;48.7&lt;/D&gt;&lt;D xsi:type="xsd:double"&gt;48.7&lt;/D&gt;&lt;D xsi:type="xsd:double"&gt;48.7&lt;/D&gt;&lt;D xsi:type="xsd:double"&gt;48.7&lt;/D&gt;&lt;D xsi:type="xsd:double"&gt;48.6&lt;/D&gt;&lt;D xsi:type="xsd:double"&gt;48.6&lt;/D&gt;&lt;D xsi:type="xsd:double"&gt;48.6&lt;/D&gt;&lt;D xsi:type="xsd:double"&gt;48.6&lt;/D&gt;&lt;D xsi:type="xsd:double"&gt;48.6&lt;/D&gt;&lt;D xsi:type="xsd:double"&gt;40.8&lt;/D&gt;&lt;D xsi:type="xsd:double"&gt;40.8&lt;/D&gt;&lt;D xsi:type="xsd:double"&gt;40.8&lt;/D&gt;&lt;D xsi:type="xsd:double"&gt;40.8&lt;/D&gt;&lt;D xsi:type="xsd:double"&gt;40.8&lt;/D&gt;&lt;D xsi:type="xsd:double"&gt;39.7&lt;/D&gt;&lt;D xsi:type="xsd:double"&gt;39.7&lt;/D&gt;&lt;D xsi:type="xsd:double"&gt;39.7&lt;/D&gt;&lt;D xsi:type="xsd:double"&gt;39.7&lt;/D&gt;&lt;D xsi:type="xsd:double"&gt;39.7&lt;/D&gt;&lt;D xsi:type="xsd:double"&gt;40.3&lt;/D&gt;&lt;D xsi:type="xsd:double"&gt;40.3&lt;/D&gt;&lt;D xsi:type="xsd:double"&gt;40.3&lt;/D&gt;&lt;D xsi:type="xsd:double"&gt;40.3&lt;/D&gt;&lt;D xsi:type="xsd:double"&gt;40.3&lt;/D&gt;&lt;D xsi:type="xsd:double"&gt;45.2&lt;/D&gt;&lt;D xsi:type="xsd:double"&gt;45.2&lt;/D&gt;&lt;D xsi:type="xsd:double"&gt;45.2&lt;/D&gt;&lt;D xsi:type="xsd:double"&gt;45.2&lt;/D&gt;&lt;D xsi:type="xsd:double"&gt;45.2&lt;/D&gt;&lt;D xsi:type="xsd:double"&gt;38.4&lt;/D&gt;&lt;D xsi:type="xsd:double"&gt;38.4&lt;/D&gt;&lt;D xsi:type="xsd:double"&gt;38.4&lt;/D&gt;&lt;D xsi:type="xsd:double"&gt;38.4&lt;/D&gt;&lt;D xsi:type="xsd:double"&gt;38.4&lt;/D&gt;&lt;D xsi:type="xsd:double"&gt;44.4&lt;/D&gt;&lt;D xsi:type="xsd:double"&gt;44.4&lt;/D&gt;&lt;D xsi:type="xsd:double"&gt;44.4&lt;/D&gt;&lt;D xsi:type="xsd:double"&gt;44.4&lt;/D&gt;&lt;D xsi:type="xsd:double"&gt;44.4&lt;/D&gt;&lt;D xsi:type="xsd:double"&gt;45.1&lt;/D&gt;&lt;D xsi:type="xsd:double"&gt;45.1&lt;/D&gt;&lt;D xsi:type="xsd:double"&gt;45.1&lt;/D&gt;&lt;D xsi:type="xsd:double"&gt;45.1&lt;/D&gt;&lt;D xsi:type="xsd:double"&gt;45.1&lt;/D&gt;&lt;D xsi:type="xsd:double"&gt;48.6&lt;/D&gt;&lt;D xsi:type="xsd:double"&gt;48.6&lt;/D&gt;&lt;D xsi:type="xsd:double"&gt;48.6&lt;/D&gt;&lt;D xsi:type="xsd:double"&gt;48.6&lt;/D&gt;&lt;D xsi:type="xsd:double"&gt;48.6&lt;/D&gt;&lt;D xsi:type="xsd:double"&gt;47.1&lt;/D&gt;&lt;D xsi:type="xsd:double"&gt;47.1&lt;/D&gt;&lt;D xsi:type="xsd:double"&gt;47.1&lt;/D&gt;&lt;D xsi:type="xsd:double"&gt;47.1&lt;/D&gt;&lt;D xsi:type="xsd:double"&gt;47.1&lt;/D&gt;&lt;D xsi:type="xsd:double"&gt;45.1&lt;/D&gt;&lt;D xsi:type="xsd:double"&gt;45.1&lt;/D&gt;&lt;D xsi:type="xsd:double"&gt;45.1&lt;/D&gt;&lt;D xsi:type="xsd:double"&gt;45.1&lt;/D&gt;&lt;D xsi:type="xsd:double"&gt;45.1&lt;/D&gt;&lt;D xsi:type="xsd:double"&gt;46.5&lt;/D&gt;&lt;D xsi:type="xsd:double"&gt;46.5&lt;/D&gt;&lt;D xsi:type="xsd:double"&gt;46.5&lt;/D&gt;&lt;D xsi:type="xsd:double"&gt;46.5&lt;/D&gt;&lt;D xsi:type="xsd:double"&gt;46.5&lt;/D&gt;&lt;D xsi:type="xsd:double"&gt;41.4&lt;/D&gt;&lt;D xsi:type="xsd:double"&gt;41.4&lt;/D&gt;&lt;D xsi:type="xsd:double"&gt;41.4&lt;/D&gt;&lt;D xsi:type="xsd:double"&gt;41.4&lt;/D&gt;&lt;D xsi:type="xsd:double"&gt;41.4&lt;/D&gt;&lt;D xsi:type="xsd:double"&gt;36.6&lt;/D&gt;&lt;D xsi:type="xsd:double"&gt;36.6&lt;/D&gt;&lt;D xsi:type="xsd:double"&gt;36.6&lt;/D&gt;&lt;D xsi:type="xsd:double"&gt;36.6&lt;/D&gt;&lt;D xsi:type="xsd:double"&gt;36.6&lt;/D&gt;&lt;D xsi:type="xsd:string"&gt;@NA&lt;/D&gt;&lt;D xsi:type="xsd:string"&gt;@NA&lt;/D&gt;&lt;D xsi:type="xsd:string"&gt;@NA&lt;/D&gt;&lt;D xsi:type="xsd:string"&gt;@NA&lt;/D&gt;&lt;D xsi:type="xsd:string"&gt;@NA&lt;/D&gt;&lt;D xsi:type="xsd:double"&gt;37.5&lt;/D&gt;&lt;D xsi:type="xsd:double"&gt;37.5&lt;/D&gt;&lt;D xsi:type="xsd:double"&gt;37.5&lt;/D&gt;&lt;D xsi:type="xsd:double"&gt;37.5&lt;/D&gt;&lt;D xsi:type="xsd:double"&gt;37.5&lt;/D&gt;&lt;D xsi:type="xsd:double"&gt;42.9&lt;/D&gt;&lt;D xsi:type="xsd:double"&gt;42.9&lt;/D&gt;&lt;D xsi:type="xsd:double"&gt;42.9&lt;/D&gt;&lt;D xsi:type="xsd:double"&gt;42.9&lt;/D&gt;&lt;D xsi:type="xsd:double"&gt;42.9&lt;/D&gt;&lt;D xsi:type="xsd:double"&gt;43.3&lt;/D&gt;&lt;D xsi:type="xsd:double"&gt;43.3&lt;/D&gt;&lt;D xsi:type="xsd:double"&gt;43.3&lt;/D&gt;&lt;D xsi:type="xsd:double"&gt;43.3&lt;/D&gt;&lt;D xsi:type="xsd:double"&gt;43.3&lt;/D&gt;&lt;D xsi:type="xsd:double"&gt;38.4&lt;/D&gt;&lt;D xsi:type="xsd:double"&gt;38.4&lt;/D&gt;&lt;D xsi:type="xsd:double"&gt;38.4&lt;/D&gt;&lt;D xsi:type="xsd:double"&gt;38.4&lt;/D&gt;&lt;D xsi:type="xsd:double"&gt;38.4&lt;/D&gt;&lt;D xsi:type="xsd:double"&gt;41.7&lt;/D&gt;&lt;D xsi:type="xsd:double"&gt;41.7&lt;/D&gt;&lt;D xsi:type="xsd:double"&gt;41.7&lt;/D&gt;&lt;D xsi:type="xsd:double"&gt;41.7&lt;/D&gt;&lt;D xsi:type="xsd:double"&gt;41.7&lt;/D&gt;&lt;D xsi:type="xsd:double"&gt;38.6&lt;/D&gt;&lt;D xsi:type="xsd:double"&gt;38.6&lt;/D&gt;&lt;D xsi:type="xsd:double"&gt;38.6&lt;/D&gt;&lt;D xsi:type="xsd:double"&gt;38.6&lt;/D&gt;&lt;D xsi:type="xsd:double"&gt;38.6&lt;/D&gt;&lt;D xsi:type="xsd:double"&gt;35.2&lt;/D&gt;&lt;D xsi:type="xsd:double"&gt;35.2&lt;/D&gt;&lt;D xsi:type="xsd:double"&gt;35.2&lt;/D&gt;&lt;D xsi:type="xsd:double"&gt;35.2&lt;/D&gt;&lt;D xsi:type="xsd:double"&gt;35.2&lt;/D&gt;&lt;D xsi:type="xsd:double"&gt;35.8&lt;/D&gt;&lt;D xsi:type="xsd:double"&gt;35.8&lt;/D&gt;&lt;D xsi:type="xsd:double"&gt;35.8&lt;/D&gt;&lt;D xsi:type="xsd:double"&gt;35.8&lt;/D&gt;&lt;D xsi:type="xsd:double"&gt;35.8&lt;/D&gt;&lt;D xsi:type="xsd:double"&gt;36.9&lt;/D&gt;&lt;D xsi:type="xsd:double"&gt;36.9&lt;/D&gt;&lt;D xsi:type="xsd:double"&gt;36.9&lt;/D&gt;&lt;D xsi:type="xsd:double"&gt;36.9&lt;/D&gt;&lt;D xsi:type="xsd:double"&gt;36.9&lt;/D&gt;&lt;D xsi:type="xsd:double"&gt;31.3&lt;/D&gt;&lt;D xsi:type="xsd:double"&gt;31.3&lt;/D&gt;&lt;D xsi:type="xsd:double"&gt;31.3&lt;/D&gt;&lt;D xsi:type="xsd:double"&gt;31.3&lt;/D&gt;&lt;D xsi:type="xsd:double"&gt;31.3&lt;/D&gt;&lt;D xsi:type="xsd:double"&gt;25&lt;/D&gt;&lt;D xsi:type="xsd:double"&gt;25&lt;/D&gt;&lt;D xsi:type="xsd:double"&gt;25&lt;/D&gt;&lt;D xsi:type="xsd:double"&gt;25&lt;/D&gt;&lt;D xsi:type="xsd:double"&gt;25&lt;/D&gt;&lt;D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xsi:type="xsd:double"&gt;30&lt;/D&gt;&lt;D xsi:type="xsd:double"&gt;30&lt;/D&gt;&lt;D xsi:type="xsd:double"&gt;30&lt;/D&gt;&lt;D xsi:type="xsd:double"&gt;30&lt;/D&gt;&lt;D xsi:type="xsd:double"&gt;30&lt;/D&gt;&lt;D xsi:type="xsd:double"&gt;32.4&lt;/D&gt;&lt;D xsi:type="xsd:double"&gt;32.4&lt;/D&gt;&lt;D xsi:type="xsd:double"&gt;32.4&lt;/D&gt;&lt;D xsi:type="xsd:double"&gt;32.4&lt;/D&gt;&lt;D xsi:type="xsd:double"&gt;32.4&lt;/D&gt;&lt;D xsi:type="xsd:double"&gt;29.7&lt;/D&gt;&lt;D xsi:type="xsd:double"&gt;29.7&lt;/D&gt;&lt;D xsi:type="xsd:double"&gt;29.7&lt;/D&gt;&lt;D xsi:type="xsd:double"&gt;29.7&lt;/D&gt;&lt;D xsi:type="xsd:double"&gt;29.7&lt;/D&gt;&lt;D xsi:type="xsd:double"&gt;38.4&lt;/D&gt;&lt;D xsi:type="xsd:double"&gt;38.4&lt;/D&gt;&lt;D xsi:type="xsd:double"&gt;38.4&lt;/D&gt;&lt;D xsi:type="xsd:double"&gt;38.4&lt;/D&gt;&lt;D xsi:type="xsd:double"&gt;38.4&lt;/D&gt;&lt;D xsi:type="xsd:double"&gt;45.1&lt;/D&gt;&lt;D xsi:type="xsd:double"&gt;45.1&lt;/D&gt;&lt;D xsi:type="xsd:double"&gt;45.1&lt;/D&gt;&lt;D xsi:type="xsd:double"&gt;45.1&lt;/D&gt;&lt;D xsi:type="xsd:double"&gt;45.1&lt;/D&gt;&lt;D xsi:type="xsd:double"&gt;45&lt;/D&gt;&lt;D xsi:type="xsd:double"&gt;45&lt;/D&gt;&lt;D xsi:type="xsd:double"&gt;45&lt;/D&gt;&lt;D xsi:type="xsd:double"&gt;45&lt;/D&gt;&lt;D xsi:type="xsd:double"&gt;45&lt;/D&gt;&lt;D xsi:type="xsd:double"&gt;44.4&lt;/D&gt;&lt;D xsi:type="xsd:double"&gt;44.4&lt;/D&gt;&lt;D xsi:type="xsd:double"&gt;44.4&lt;/D&gt;&lt;D xsi:type="xsd:double"&gt;44.4&lt;/D&gt;&lt;D xsi:type="xsd:double"&gt;44.4&lt;/D&gt;&lt;D xsi:type="xsd:double"&gt;41.1&lt;/D&gt;&lt;D xsi:type="xsd:double"&gt;41.1&lt;/D&gt;&lt;D xsi:type="xsd:double"&gt;41.1&lt;/D&gt;&lt;D xsi:type="xsd:double"&gt;41.1&lt;/D&gt;&lt;D xsi:type="xsd:double"&gt;41.1&lt;/D&gt;&lt;D xsi:type="xsd:double"&gt;38.9&lt;/D&gt;&lt;D xsi:type="xsd:double"&gt;38.9&lt;/D&gt;&lt;D xsi:type="xsd:double"&gt;38.9&lt;/D&gt;&lt;D xsi:type="xsd:double"&gt;38.9&lt;/D&gt;&lt;D xsi:type="xsd:double"&gt;38.9&lt;/D&gt;&lt;D xsi:type="xsd:double"&gt;35.2&lt;/D&gt;&lt;D xsi:type="xsd:double"&gt;35.2&lt;/D&gt;&lt;D xsi:type="xsd:double"&gt;35.2&lt;/D&gt;&lt;D xsi:type="xsd:double"&gt;35.2&lt;/D&gt;&lt;D xsi:type="xsd:double"&gt;35.2&lt;/D&gt;&lt;D xsi:type="xsd:double"&gt;32.4&lt;/D&gt;&lt;D xsi:type="xsd:double"&gt;32.4&lt;/D&gt;&lt;D xsi:type="xsd:double"&gt;32.4&lt;/D&gt;&lt;D xsi:type="xsd:double"&gt;32.4&lt;/D&gt;&lt;D xsi:type="xsd:double"&gt;32.4&lt;/D&gt;&lt;D xsi:type="xsd:double"&gt;30.5&lt;/D&gt;&lt;D xsi:type="xsd:double"&gt;30.5&lt;/D&gt;&lt;D xsi:type="xsd:double"&gt;30.5&lt;/D&gt;&lt;D xsi:type="xsd:double"&gt;30.5&lt;/D&gt;&lt;D xsi:type="xsd:double"&gt;30.5&lt;/D&gt;&lt;D xsi:type="xsd:double"&gt;32.9&lt;/D&gt;&lt;D xsi:type="xsd:double"&gt;32.9&lt;/D&gt;&lt;D xsi:type="xsd:double"&gt;32.9&lt;/D&gt;&lt;D xsi:type="xsd:double"&gt;32.9&lt;/D&gt;&lt;D xsi:type="xsd:double"&gt;32.9&lt;/D&gt;&lt;D xsi:type="xsd:double"&gt;26.5&lt;/D&gt;&lt;D xsi:type="xsd:double"&gt;26.5&lt;/D&gt;&lt;D xsi:type="xsd:double"&gt;26.5&lt;/D&gt;&lt;D xsi:type="xsd:double"&gt;26.5&lt;/D&gt;&lt;D xsi:type="xsd:double"&gt;26.5&lt;/D&gt;&lt;D xsi:type="xsd:double"&gt;29.4&lt;/D&gt;&lt;D xsi:type="xsd:double"&gt;29.4&lt;/D&gt;&lt;D xsi:type="xsd:double"&gt;29.4&lt;/D&gt;&lt;D xsi:type="xsd:double"&gt;29.4&lt;/D&gt;&lt;D xsi:type="xsd:double"&gt;29.4&lt;/D&gt;&lt;D xsi:type="xsd:double"&gt;35.7&lt;/D&gt;&lt;D xsi:type="xsd:double"&gt;35.7&lt;/D&gt;&lt;D xsi:type="xsd:double"&gt;35.7&lt;/D&gt;&lt;D xsi:type="xsd:double"&gt;35.7&lt;/D&gt;&lt;D xsi:type="xsd:double"&gt;35.7&lt;/D&gt;&lt;D xsi:type="xsd:double"&gt;35.2&lt;/D&gt;&lt;D xsi:type="xsd:double"&gt;35.2&lt;/D&gt;&lt;D xsi:type="xsd:double"&gt;35.2&lt;/D&gt;&lt;D xsi:type="xsd:double"&gt;35.2&lt;/D&gt;&lt;D xsi:type="xsd:double"&gt;35.2&lt;/D&gt;&lt;D xsi:type="xsd:double"&gt;28.2&lt;/D&gt;&lt;D xsi:type="xsd:double"&gt;28.2&lt;/D&gt;&lt;D xsi:type="xsd:double"&gt;28.2&lt;/D&gt;&lt;D xsi:type="xsd:double"&gt;28.2&lt;/D&gt;&lt;D xsi:type="xsd:double"&gt;28.2&lt;/D&gt;&lt;D xsi:type="xsd:double"&gt;27.8&lt;/D&gt;&lt;D xsi:type="xsd:double"&gt;27.8&lt;/D&gt;&lt;D xsi:type="xsd:double"&gt;27.8&lt;/D&gt;&lt;D xsi:type="xsd:double"&gt;27.8&lt;/D&gt;&lt;D xsi:type="xsd:double"&gt;27.8&lt;/D&gt;&lt;D xsi:type="xsd:double"&gt;27.6&lt;/D&gt;&lt;D xsi:type="xsd:double"&gt;27.6&lt;/D&gt;&lt;D xsi:type="xsd:double"&gt;27.6&lt;/D&gt;&lt;D xsi:type="xsd:double"&gt;27.6&lt;/D&gt;&lt;D xsi:type="xsd:double"&gt;27.6&lt;/D&gt;&lt;D xsi:type="xsd:double"&gt;30.9&lt;/D&gt;&lt;D xsi:type="xsd:double"&gt;30.9&lt;/D&gt;&lt;D xsi:type="xsd:double"&gt;30.9&lt;/D&gt;&lt;D xsi:type="xsd:double"&gt;30.9&lt;/D&gt;&lt;D xsi:type="xsd:double"&gt;30.9&lt;/D&gt;&lt;D xsi:type="xsd:double"&gt;34.2&lt;/D&gt;&lt;D xsi:type="xsd:double"&gt;34.2&lt;/D&gt;&lt;D xsi:type="xsd:double"&gt;34.2&lt;/D&gt;&lt;D xsi:type="xsd:double"&gt;34.2&lt;/D&gt;&lt;D xsi:type="xsd:double"&gt;34.2&lt;/D&gt;&lt;D xsi:type="xsd:double"&gt;32.1&lt;/D&gt;&lt;D xsi:type="xsd:double"&gt;32.1&lt;/D&gt;&lt;D xsi:type="xsd:double"&gt;32.1&lt;/D&gt;&lt;D xsi:type="xsd:double"&gt;32.1&lt;/D&gt;&lt;D xsi:type="xsd:double"&gt;32.1&lt;/D&gt;&lt;D xsi:type="xsd:double"&gt;35.8&lt;/D&gt;&lt;D xsi:type="xsd:double"&gt;35.8&lt;/D&gt;&lt;D xsi:type="xsd:double"&gt;35.8&lt;/D&gt;&lt;D xsi:type="xsd:double"&gt;35.8&lt;/D&gt;&lt;D xsi:type="xsd:double"&gt;35.8&lt;/D&gt;&lt;D xsi:type="xsd:double"&gt;39.1&lt;/D&gt;&lt;D xsi:type="xsd:double"&gt;39.1&lt;/D&gt;&lt;D xsi:type="xsd:double"&gt;39.1&lt;/D&gt;&lt;D xsi:type="xsd:double"&gt;39.1&lt;/D&gt;&lt;D xsi:type="xsd:double"&gt;39.1&lt;/D&gt;&lt;D xsi:type="xsd:double"&gt;37.7&lt;/D&gt;&lt;D xsi:type="xsd:double"&gt;37.7&lt;/D&gt;&lt;D xsi:type="xsd:double"&gt;37.7&lt;/D&gt;&lt;D xsi:type="xsd:double"&gt;37.7&lt;/D&gt;&lt;D xsi:type="xsd:double"&gt;37.7&lt;/D&gt;&lt;D xsi:type="xsd:double"&gt;35.3&lt;/D&gt;&lt;D xsi:type="xsd:double"&gt;35.3&lt;/D&gt;&lt;D xsi:type="xsd:double"&gt;35.3&lt;/D&gt;&lt;D xsi:type="xsd:double"&gt;35.3&lt;/D&gt;&lt;D xsi:type="xsd:double"&gt;35.3&lt;/D&gt;&lt;D xsi:type="xsd:double"&gt;30.6&lt;/D&gt;&lt;D xsi:type="xsd:double"&gt;30.6&lt;/D&gt;&lt;D xsi:type="xsd:double"&gt;30.6&lt;/D&gt;&lt;D xsi:type="xsd:double"&gt;30.6&lt;/D&gt;&lt;D xsi:type="xsd:double"&gt;30.6&lt;/D&gt;&lt;D xsi:type="xsd:double"&gt;32.2&lt;/D&gt;&lt;D xsi:type="xsd:double"&gt;32.2&lt;/D&gt;&lt;D xsi:type="xsd:double"&gt;32.2&lt;/D&gt;&lt;D xsi:type="xsd:double"&gt;32.2&lt;/D&gt;&lt;D xsi:type="xsd:double"&gt;32.2&lt;/D&gt;&lt;D xsi:type="xsd:double"&gt;29.9&lt;/D&gt;&lt;D xsi:type="xsd:double"&gt;29.9&lt;/D&gt;&lt;D xsi:type="xsd:double"&gt;29.9&lt;/D&gt;&lt;D xsi:type="xsd:double"&gt;29.9&lt;/D&gt;&lt;D xsi:type="xsd:double"&gt;29.9&lt;/D&gt;&lt;D xsi:type="xsd:double"&gt;32.2&lt;/D&gt;&lt;D xsi:type="xsd:double"&gt;32.2&lt;/D&gt;&lt;D xsi:type="xsd:double"&gt;32.2&lt;/D&gt;&lt;D xsi:type="xsd:double"&gt;32.2&lt;/D&gt;&lt;D xsi:type="xsd:double"&gt;32.2&lt;/D&gt;&lt;D xsi:type="xsd:double"&gt;33.7&lt;/D&gt;&lt;D xsi:type="xsd:double"&gt;33.7&lt;/D&gt;&lt;D xsi:type="xsd:double"&gt;33.7&lt;/D&gt;&lt;D xsi:type="xsd:double"&gt;33.7&lt;/D&gt;&lt;D xsi:type="xsd:double"&gt;33.7&lt;/D&gt;&lt;D xsi:type="xsd:double"&gt;34.1&lt;/D&gt;&lt;D xsi:type="xsd:double"&gt;34.1&lt;/D&gt;&lt;D xsi:type="xsd:double"&gt;34.1&lt;/D&gt;&lt;D xsi:type="xsd:double"&gt;34.1&lt;/D&gt;&lt;D xsi:type="xsd:double"&gt;34.1&lt;/D&gt;&lt;D xsi:type="xsd:double"&gt;35.7&lt;/D&gt;&lt;D xsi:type="xsd:double"&gt;35.7&lt;/D&gt;&lt;D xsi:type="xsd:double"&gt;35.7&lt;/D&gt;&lt;D xsi:type="xsd:double"&gt;35.7&lt;/D&gt;&lt;D xsi:type="xsd:double"&gt;35.7&lt;/D&gt;&lt;D xsi:type="xsd:double"&gt;34.9&lt;/D&gt;&lt;D xsi:type="xsd:double"&gt;34.9&lt;/D&gt;&lt;D xsi:type="xsd:double"&gt;34.9&lt;/D&gt;&lt;D xsi:type="xsd:double"&gt;34.9&lt;/D&gt;&lt;D xsi:type="xsd:double"&gt;34.9&lt;/D&gt;&lt;D xsi:type="xsd:double"&gt;39.8&lt;/D&gt;&lt;D xsi:type="xsd:double"&gt;39.8&lt;/D&gt;&lt;D xsi:type="xsd:double"&gt;39.8&lt;/D&gt;&lt;D xsi:type="xsd:double"&gt;39.8&lt;/D&gt;&lt;D xsi:type="xsd:double"&gt;39.8&lt;/D&gt;&lt;D xsi:type="xsd:double"&gt;43.7&lt;/D&gt;&lt;D xsi:type="xsd:double"&gt;43.7&lt;/D&gt;&lt;D xsi:type="xsd:double"&gt;43.7&lt;/D&gt;&lt;D xsi:type="xsd:double"&gt;43.7&lt;/D&gt;&lt;D xsi:type="xsd:double"&gt;43.7&lt;/D&gt;&lt;D xsi:type="xsd:double"&gt;50.6&lt;/D&gt;&lt;D xsi:type="xsd:double"&gt;50.6&lt;/D&gt;&lt;D xsi:type="xsd:double"&gt;50.6&lt;/D&gt;&lt;D xsi:type="xsd:double"&gt;50.6&lt;/D&gt;&lt;D xsi:type="xsd:double"&gt;50.6&lt;/D&gt;&lt;D xsi:type="xsd:string"&gt;@NA&lt;/D&gt;&lt;D xsi:type="xsd:string"&gt;@NA&lt;/D&gt;&lt;D xsi:type="xsd:string"&gt;@NA&lt;/D&gt;&lt;D xsi:type="xsd:string"&gt;@NA&lt;/D&gt;&lt;D xsi:type="xsd:string"&gt;@NA&lt;/D&gt;&lt;D xsi:type="xsd:double"&gt;42.2&lt;/D&gt;&lt;D xsi:type="xsd:double"&gt;42.2&lt;/D&gt;&lt;D xsi:type="xsd:double"&gt;42.2&lt;/D&gt;&lt;D xsi:type="xsd:double"&gt;42.2&lt;/D&gt;&lt;D xsi:type="xsd:double"&gt;42.2&lt;/D&gt;&lt;D xsi:type="xsd:double"&gt;43.9&lt;/D&gt;&lt;D xsi:type="xsd:double"&gt;43.9&lt;/D&gt;&lt;D xsi:type="xsd:double"&gt;43.9&lt;/D&gt;&lt;D xsi:type="xsd:double"&gt;43.9&lt;/D&gt;&lt;D xsi:type="xsd:double"&gt;43.9&lt;/D&gt;&lt;D xsi:type="xsd:double"&gt;39.8&lt;/D&gt;&lt;D xsi:type="xsd:double"&gt;39.8&lt;/D&gt;&lt;D xsi:type="xsd:double"&gt;39.8&lt;/D&gt;&lt;D xsi:type="xsd:double"&gt;39.8&lt;/D&gt;&lt;D xsi:type="xsd:double"&gt;39.8&lt;/D&gt;&lt;D xsi:type="xsd:double"&gt;49.4&lt;/D&gt;&lt;D xsi:type="xsd:double"&gt;49.4&lt;/D&gt;&lt;D xsi:type="xsd:double"&gt;49.4&lt;/D&gt;&lt;D xsi:type="xsd:double"&gt;49.4&lt;/D&gt;&lt;D xsi:type="xsd:double"&gt;49.4&lt;/D&gt;&lt;D xsi:type="xsd:double"&gt;56.6&lt;/D&gt;&lt;D xsi:type="xsd:double"&gt;56.6&lt;/D&gt;&lt;D xsi:type="xsd:double"&gt;56.6&lt;/D&gt;&lt;D xsi:type="xsd:double"&gt;56.6&lt;/D&gt;&lt;D xsi:type="xsd:double"&gt;56.6&lt;/D&gt;&lt;D xsi:type="xsd:double"&gt;57.2&lt;/D&gt;&lt;D xsi:type="xsd:double"&gt;57.2&lt;/D&gt;&lt;D xsi:type="xsd:double"&gt;57.2&lt;/D&gt;&lt;D xsi:type="xsd:double"&gt;57.2&lt;/D&gt;&lt;D xsi:type="xsd:double"&gt;57.2&lt;/D&gt;&lt;D xsi:type="xsd:double"&gt;56.5&lt;/D&gt;&lt;D xsi:type="xsd:double"&gt;56.5&lt;/D&gt;&lt;D xsi:type="xsd:double"&gt;56.5&lt;/D&gt;&lt;D xsi:type="xsd:double"&gt;56.5&lt;/D&gt;&lt;D xsi:type="xsd:double"&gt;56.5&lt;/D&gt;&lt;D xsi:type="xsd:double"&gt;54&lt;/D&gt;&lt;D xsi:type="xsd:double"&gt;54&lt;/D&gt;&lt;D xsi:type="xsd:double"&gt;54&lt;/D&gt;&lt;D xsi:type="xsd:double"&gt;54&lt;/D&gt;&lt;D xsi:type="xsd:double"&gt;54&lt;/D&gt;&lt;D xsi:type="xsd:double"&gt;48.9&lt;/D&gt;&lt;D xsi:type="xsd:double"&gt;48.9&lt;/D&gt;&lt;D xsi:type="xsd:double"&gt;48.9&lt;/D&gt;&lt;D xsi:type="xsd:double"&gt;48.9&lt;/D&gt;&lt;D xsi:type="xsd:double"&gt;48.9&lt;/D&gt;&lt;D xsi:type="xsd:double"&gt;43.2&lt;/D&gt;&lt;D xsi:type="xsd:double"&gt;43.2&lt;/D&gt;&lt;D xsi:type="xsd:double"&gt;43.2&lt;/D&gt;&lt;D xsi:type="xsd:double"&gt;43.2&lt;/D&gt;&lt;D xsi:type="xsd:double"&gt;43.2&lt;/D&gt;&lt;D xsi:type="xsd:double"&gt;42.1&lt;/D&gt;&lt;D xsi:type="xsd:double"&gt;42.1&lt;/D&gt;&lt;D xsi:type="xsd:double"&gt;42.1&lt;/D&gt;&lt;D xsi:type="xsd:double"&gt;42.1&lt;/D&gt;&lt;D xsi:type="xsd:double"&gt;42.1&lt;/D&gt;&lt;D xsi:type="xsd:double"&gt;40.4&lt;/D&gt;&lt;D xsi:type="xsd:double"&gt;40.4&lt;/D&gt;&lt;D xsi:type="xsd:double"&gt;40.4&lt;/D&gt;&lt;D xsi:type="xsd:double"&gt;40.4&lt;/D&gt;&lt;D xsi:type="xsd:double"&gt;40.4&lt;/D&gt;&lt;D xsi:type="xsd:double"&gt;46.5&lt;/D&gt;&lt;D xsi:type="xsd:double"&gt;46.5&lt;/D&gt;&lt;D xsi:type="xsd:double"&gt;46.5&lt;/D&gt;&lt;D xsi:type="xsd:double"&gt;46.5&lt;/D&gt;&lt;D xsi:type="xsd:double"&gt;46.5&lt;/D&gt;&lt;D xsi:type="xsd:double"&gt;47.1&lt;/D&gt;&lt;D xsi:type="xsd:double"&gt;47.1&lt;/D&gt;&lt;D xsi:type="xsd:double"&gt;47.1&lt;/D&gt;&lt;D xsi:type="xsd:double"&gt;47.1&lt;/D&gt;&lt;D xsi:type="xsd:double"&gt;47.1&lt;/D&gt;&lt;D xsi:type="xsd:double"&gt;50&lt;/D&gt;&lt;D xsi:type="xsd:double"&gt;50&lt;/D&gt;&lt;D xsi:type="xsd:double"&gt;50&lt;/D&gt;&lt;D xsi:type="xsd:double"&gt;50&lt;/D&gt;&lt;D xsi:type="xsd:double"&gt;50&lt;/D&gt;&lt;D xsi:type="xsd:double"&gt;52.6&lt;/D&gt;&lt;D xsi:type="xsd:double"&gt;52.6&lt;/D&gt;&lt;D xsi:type="xsd:double"&gt;52.6&lt;/D&gt;&lt;D xsi:type="xsd:double"&gt;52.6&lt;/D&gt;&lt;D xsi:type="xsd:double"&gt;52.6&lt;/D&gt;&lt;D xsi:type="xsd:double"&gt;52.1&lt;/D&gt;&lt;D xsi:type="xsd:double"&gt;52.1&lt;/D&gt;&lt;D xsi:type="xsd:double"&gt;52.1&lt;/D&gt;&lt;D xsi:type="xsd:double"&gt;52.1&lt;/D&gt;&lt;D xsi:type="xsd:double"&gt;52.1&lt;/D&gt;&lt;D xsi:type="xsd:double"&gt;50&lt;/D&gt;&lt;D xsi:type="xsd:double"&gt;50&lt;/D&gt;&lt;D xsi:type="xsd:double"&gt;50&lt;/D&gt;&lt;D xsi:type="xsd:double"&gt;50&lt;/D&gt;&lt;D xsi:type="xsd:double"&gt;50&lt;/D&gt;&lt;D xsi:type="xsd:double"&gt;51.1&lt;/D&gt;&lt;D xsi:type="xsd:double"&gt;51.1&lt;/D&gt;&lt;D xsi:type="xsd:double"&gt;51.1&lt;/D&gt;&lt;D xsi:type="xsd:double"&gt;51.1&lt;/D&gt;&lt;D xsi:type="xsd:double"&gt;51.1&lt;/D&gt;&lt;D xsi:type="xsd:double"&gt;56.4&lt;/D&gt;&lt;D xsi:type="xsd:double"&gt;56.4&lt;/D&gt;&lt;D xsi:type="xsd:double"&gt;56.4&lt;/D&gt;&lt;D xsi:type="xsd:double"&gt;56.4&lt;/D&gt;&lt;D xsi:type="xsd:double"&gt;56.4&lt;/D&gt;&lt;D xsi:type="xsd:double"&gt;54.1&lt;/D&gt;&lt;D xsi:type="xsd:double"&gt;54.1&lt;/D&gt;&lt;D xsi:type="xsd:double"&gt;54.1&lt;/D&gt;&lt;D xsi:type="xsd:double"&gt;54.1&lt;/D&gt;&lt;D xsi:type="xsd:double"&gt;54.1&lt;/D&gt;&lt;D xsi:type="xsd:double"&gt;52.6&lt;/D&gt;&lt;D xsi:type="xsd:double"&gt;52.6&lt;/D&gt;&lt;D xsi:type="xsd:double"&gt;52.6&lt;/D&gt;&lt;D xsi:type="xsd:double"&gt;52.6&lt;/D&gt;&lt;D xsi:type="xsd:double"&gt;52.6&lt;/D&gt;&lt;D xsi:type="xsd:double"&gt;53.1&lt;/D&gt;&lt;D xsi:type="xsd:double"&gt;53.1&lt;/D&gt;&lt;D xsi:type="xsd:double"&gt;53.1&lt;/D&gt;&lt;D xsi:type="xsd:double"&gt;53.1&lt;/D&gt;&lt;D xsi:type="xsd:double"&gt;53.1&lt;/D&gt;&lt;D xsi:type="xsd:double"&gt;61.2&lt;/D&gt;&lt;D xsi:type="xsd:double"&gt;61.2&lt;/D&gt;&lt;D xsi:type="xsd:double"&gt;61.2&lt;/D&gt;&lt;D xsi:type="xsd:double"&gt;61.2&lt;/D&gt;&lt;D xsi:type="xsd:double"&gt;61.2&lt;/D&gt;&lt;D xsi:type="xsd:double"&gt;60.8&lt;/D&gt;&lt;D xsi:type="xsd:double"&gt;60.8&lt;/D&gt;&lt;D xsi:type="xsd:double"&gt;60.8&lt;/D&gt;&lt;D xsi:type="xsd:double"&gt;60.8&lt;/D&gt;&lt;D xsi:type="xsd:double"&gt;60.8&lt;/D&gt;&lt;D xsi:type="xsd:double"&gt;59.6&lt;/D&gt;&lt;D xsi:type="xsd:double"&gt;59.6&lt;/D&gt;&lt;D xsi:type="xsd:double"&gt;59.6&lt;/D&gt;&lt;D xsi:type="xsd:double"&gt;59.6&lt;/D&gt;&lt;D xsi:type="xsd:double"&gt;59.6&lt;/D&gt;&lt;D xsi:type="xsd:double"&gt;56.5&lt;/D&gt;&lt;D xsi:type="xsd:double"&gt;56.5&lt;/D&gt;&lt;D xsi:type="xsd:double"&gt;56.5&lt;/D&gt;&lt;D xsi:type="xsd:double"&gt;56.5&lt;/D&gt;&lt;D xsi:type="xsd:double"&gt;56.5&lt;/D&gt;&lt;D xsi:type="xsd:double"&gt;54.1&lt;/D&gt;&lt;D xsi:type="xsd:double"&gt;54.1&lt;/D&gt;&lt;D xsi:type="xsd:double"&gt;54.1&lt;/D&gt;&lt;D xsi:type="xsd:double"&gt;54.1&lt;/D&gt;&lt;D xsi:type="xsd:double"&gt;54.1&lt;/D&gt;&lt;D xsi:type="xsd:double"&gt;54.5&lt;/D&gt;&lt;D xsi:type="xsd:double"&gt;54.5&lt;/D&gt;&lt;D xsi:type="xsd:double"&gt;54.5&lt;/D&gt;&lt;D xsi:type="xsd:double"&gt;54.5&lt;/D&gt;&lt;D xsi:type="xsd:double"&gt;54.5&lt;/D&gt;&lt;D xsi:type="xsd:double"&gt;53.6&lt;/D&gt;&lt;D xsi:type="xsd:double"&gt;53.6&lt;/D&gt;&lt;D xsi:type="xsd:double"&gt;53.6&lt;/D&gt;&lt;D xsi:type="xsd:double"&gt;53.6&lt;/D&gt;&lt;D xsi:type="xsd:double"&gt;53.6&lt;/D&gt;&lt;D xsi:type="xsd:double"&gt;51.5&lt;/D&gt;&lt;D xsi:type="xsd:double"&gt;51.5&lt;/D&gt;&lt;D xsi:type="xsd:double"&gt;51.5&lt;/D&gt;&lt;D xsi:type="xsd:double"&gt;51.5&lt;/D&gt;&lt;D xsi:type="xsd:double"&gt;51.5&lt;/D&gt;&lt;D xsi:type="xsd:double"&gt;54.5&lt;/D&gt;&lt;D xsi:type="xsd:double"&gt;54.5&lt;/D&gt;&lt;D xsi:type="xsd:double"&gt;54.5&lt;/D&gt;&lt;D xsi:type="xsd:double"&gt;54.5&lt;/D&gt;&lt;D xsi:type="xsd:double"&gt;54.5&lt;/D&gt;&lt;D xsi:type="xsd:double"&gt;58.6&lt;/D&gt;&lt;D xsi:type="xsd:double"&gt;58.6&lt;/D&gt;&lt;D xsi:type="xsd:double"&gt;58.6&lt;/D&gt;&lt;D xsi:type="xsd:double"&gt;58.6&lt;/D&gt;&lt;D xsi:type="xsd:double"&gt;58.6&lt;/D&gt;&lt;D xsi:type="xsd:double"&gt;60.4&lt;/D&gt;&lt;D xsi:type="xsd:double"&gt;60.4&lt;/D&gt;&lt;D xsi:type="xsd:double"&gt;60.4&lt;/D&gt;&lt;D xsi:type="xsd:double"&gt;60.4&lt;/D&gt;&lt;D xsi:type="xsd:double"&gt;60.4&lt;/D&gt;&lt;D xsi:type="xsd:double"&gt;59.2&lt;/D&gt;&lt;D xsi:type="xsd:double"&gt;59.2&lt;/D&gt;&lt;D xsi:type="xsd:double"&gt;59.2&lt;/D&gt;&lt;D xsi:type="xsd:double"&gt;59.2&lt;/D&gt;&lt;D xsi:type="xsd:double"&gt;59.2&lt;/D&gt;&lt;D xsi:type="xsd:double"&gt;63.7&lt;/D&gt;&lt;D xsi:type="xsd:double"&gt;63.7&lt;/D&gt;&lt;D xsi:type="xsd:double"&gt;63.7&lt;/D&gt;&lt;D xsi:type="xsd:double"&gt;63.7&lt;/D&gt;&lt;D xsi:type="xsd:double"&gt;63.7&lt;/D&gt;&lt;D xsi:type="xsd:double"&gt;63.4&lt;/D&gt;&lt;D xsi:type="xsd:double"&gt;63.4&lt;/D&gt;&lt;D xsi:type="xsd:double"&gt;63.4&lt;/D&gt;&lt;D xsi:type="xsd:double"&gt;63.4&lt;/D&gt;&lt;D xsi:type="xsd:double"&gt;63.4&lt;/D&gt;&lt;D xsi:type="xsd:double"&gt;60.8&lt;/D&gt;&lt;D xsi:type="xsd:double"&gt;60.8&lt;/D&gt;&lt;D xsi:type="xsd:double"&gt;60.8&lt;/D&gt;&lt;D xsi:type="xsd:double"&gt;60.8&lt;/D&gt;&lt;D xsi:type="xsd:double"&gt;60.8&lt;/D&gt;&lt;D xsi:type="xsd:double"&gt;54.4&lt;/D&gt;&lt;D xsi:type="xsd:double"&gt;54.4&lt;/D&gt;&lt;D xsi:type="xsd:double"&gt;54.4&lt;/D&gt;&lt;D xsi:type="xsd:double"&gt;54.4&lt;/D&gt;&lt;D xsi:type="xsd:double"&gt;54.4&lt;/D&gt;&lt;D xsi:type="xsd:double"&gt;57.4&lt;/D&gt;&lt;D xsi:type="xsd:double"&gt;57.4&lt;/D&gt;&lt;D xsi:type="xsd:double"&gt;57.4&lt;/D&gt;&lt;D xsi:type="xsd:double"&gt;57.4&lt;/D&gt;&lt;D xsi:type="xsd:double"&gt;57.4&lt;/D&gt;&lt;D xsi:type="xsd:double"&gt;55.9&lt;/D&gt;&lt;D xsi:type="xsd:double"&gt;55.9&lt;/D&gt;&lt;D xsi:type="xsd:double"&gt;55.9&lt;/D&gt;&lt;D xsi:type="xsd:double"&gt;55.9&lt;/D&gt;&lt;D xsi:type="xsd:double"&gt;55.9&lt;/D&gt;&lt;D xsi:type="xsd:double"&gt;51&lt;/D&gt;&lt;D xsi:type="xsd:double"&gt;51&lt;/D&gt;&lt;D xsi:type="xsd:double"&gt;51&lt;/D&gt;&lt;D xsi:type="xsd:double"&gt;51&lt;/D&gt;&lt;D xsi:type="xsd:double"&gt;51&lt;/D&gt;&lt;D xsi:type="xsd:double"&gt;53.9&lt;/D&gt;&lt;D xsi:type="xsd:double"&gt;53.9&lt;/D&gt;&lt;D xsi:type="xsd:double"&gt;53.9&lt;/D&gt;&lt;D xsi:type="xsd:double"&gt;53.9&lt;/D&gt;&lt;D xsi:type="xsd:double"&gt;53.9&lt;/D&gt;&lt;D xsi:type="xsd:double"&gt;56.3&lt;/D&gt;&lt;D xsi:type="xsd:double"&gt;56.3&lt;/D&gt;&lt;D xsi:type="xsd:double"&gt;56.3&lt;/D&gt;&lt;D xsi:type="xsd:double"&gt;56.3&lt;/D&gt;&lt;D xsi:type="xsd:double"&gt;56.3&lt;/D&gt;&lt;D xsi:type="xsd:double"&gt;59.1&lt;/D&gt;&lt;D xsi:type="xsd:double"&gt;59.1&lt;/D&gt;&lt;D xsi:type="xsd:double"&gt;59.1&lt;/D&gt;&lt;D xsi:type="xsd:double"&gt;59.1&lt;/D&gt;&lt;D xsi:type="xsd:double"&gt;59.1&lt;/D&gt;&lt;D xsi:type="xsd:double"&gt;58.6&lt;/D&gt;&lt;D xsi:type="xsd:double"&gt;58.6&lt;/D&gt;&lt;D xsi:type="xsd:double"&gt;58.6&lt;/D&gt;&lt;D xsi:type="xsd:double"&gt;58.6&lt;/D&gt;&lt;D xsi:type="xsd:double"&gt;58.6&lt;/D&gt;&lt;D xsi:type="xsd:double"&gt;57.8&lt;/D&gt;&lt;D xsi:type="xsd:double"&gt;57.8&lt;/D&gt;&lt;D xsi:type="xsd:double"&gt;57.8&lt;/D&gt;&lt;D xsi:type="xsd:double"&gt;57.8&lt;/D&gt;&lt;D xsi:type="xsd:double"&gt;57.8&lt;/D&gt;&lt;D xsi:type="xsd:double"&gt;61.2&lt;/D&gt;&lt;D xsi:type="xsd:double"&gt;61.2&lt;/D&gt;&lt;D xsi:type="xsd:double"&gt;61.2&lt;/D&gt;&lt;D xsi:type="xsd:double"&gt;61.2&lt;/D&gt;&lt;D xsi:type="xsd:double"&gt;61.2&lt;/D&gt;&lt;D xsi:type="xsd:double"&gt;60.4&lt;/D&gt;&lt;D xsi:type="xsd:double"&gt;60.4&lt;/D&gt;&lt;D xsi:type="xsd:double"&gt;60.4&lt;/D&gt;&lt;D xsi:type="xsd:double"&gt;60.4&lt;/D&gt;&lt;D xsi:type="xsd:double"&gt;60.4&lt;/D&gt;&lt;D xsi:type="xsd:double"&gt;63.7&lt;/D&gt;&lt;D xsi:type="xsd:double"&gt;63.7&lt;/D&gt;&lt;D xsi:type="xsd:double"&gt;63.7&lt;/D&gt;&lt;D xsi:type="xsd:double"&gt;63.7&lt;/D&gt;&lt;D xsi:type="xsd:double"&gt;63.7&lt;/D&gt;&lt;D xsi:type="xsd:double"&gt;60.2&lt;/D&gt;&lt;D xsi:type="xsd:double"&gt;60.2&lt;/D&gt;&lt;D xsi:type="xsd:double"&gt;60.2&lt;/D&gt;&lt;D xsi:type="xsd:double"&gt;60.2&lt;/D&gt;&lt;D xsi:type="xsd:double"&gt;60.2&lt;/D&gt;&lt;D xsi:type="xsd:string"&gt;@NA&lt;/D&gt;&lt;D xsi:type="xsd:string"&gt;@NA&lt;/D&gt;&lt;D xsi:type="xsd:string"&gt;@NA&lt;/D&gt;&lt;D xsi:type="xsd:string"&gt;@NA&lt;/D&gt;&lt;D xsi:type="xsd:string"&gt;@NA&lt;/D&gt;&lt;D xsi:type="xsd:double"&gt;62.4&lt;/D&gt;&lt;D xsi:type="xsd:double"&gt;62.4&lt;/D&gt;&lt;D xsi:type="xsd:double"&gt;62.4&lt;/D&gt;&lt;D xsi:type="xsd:double"&gt;62.4&lt;/D&gt;&lt;D xsi:type="xsd:double"&gt;62.4&lt;/D&gt;&lt;D xsi:type="xsd:double"&gt;63.6&lt;/D&gt;&lt;D xsi:type="xsd:double"&gt;63.6&lt;/D&gt;&lt;D xsi:type="xsd:double"&gt;63.6&lt;/D&gt;&lt;D xsi:type="xsd:double"&gt;63.6&lt;/D&gt;&lt;D xsi:type="xsd:double"&gt;63.6&lt;/D&gt;&lt;D xsi:type="xsd:double"&gt;64.4&lt;/D&gt;&lt;D xsi:type="xsd:double"&gt;64.4&lt;/D&gt;&lt;D xsi:type="xsd:double"&gt;64.4&lt;/D&gt;&lt;D xsi:type="xsd:double"&gt;64.4&lt;/D&gt;&lt;D xsi:type="xsd:double"&gt;64.4&lt;/D&gt;&lt;D xsi:type="xsd:double"&gt;64.7&lt;/D&gt;&lt;D xsi:type="xsd:double"&gt;64.7&lt;/D&gt;&lt;D xsi:type="xsd:double"&gt;64.7&lt;/D&gt;&lt;D xsi:type="xsd:double"&gt;64.7&lt;/D&gt;&lt;D xsi:type="xsd:double"&gt;64.7&lt;/D&gt;&lt;D xsi:type="xsd:double"&gt;64.6&lt;/D&gt;&lt;D xsi:type="xsd:double"&gt;64.6&lt;/D&gt;&lt;D xsi:type="xsd:double"&gt;64.6&lt;/D&gt;&lt;D xsi:type="xsd:double"&gt;64.6&lt;/D&gt;&lt;D xsi:type="xsd:double"&gt;64.6&lt;/D&gt;&lt;D xsi:type="xsd:double"&gt;59.6&lt;/D&gt;&lt;D xsi:type="xsd:double"&gt;59.6&lt;/D&gt;&lt;D xsi:type="xsd:double"&gt;59.6&lt;/D&gt;&lt;D xsi:type="xsd:double"&gt;59.6&lt;/D&gt;&lt;D xsi:type="xsd:double"&gt;59.6&lt;/D&gt;&lt;D xsi:type="xsd:double"&gt;59.2&lt;/D&gt;&lt;D xsi:type="xsd:double"&gt;59.2&lt;/D&gt;&lt;D xsi:type="xsd:double"&gt;59.2&lt;/D&gt;&lt;D xsi:type="xsd:double"&gt;59.2&lt;/D&gt;&lt;D xsi:type="xsd:double"&gt;59.2&lt;/D&gt;&lt;D xsi:type="xsd:double"&gt;53.6&lt;/D&gt;&lt;D xsi:type="xsd:double"&gt;53.6&lt;/D&gt;&lt;D xsi:type="xsd:double"&gt;53.6&lt;/D&gt;&lt;D xsi:type="xsd:double"&gt;53.6&lt;/D&gt;&lt;D xsi:type="xsd:double"&gt;53.6&lt;/D&gt;&lt;D xsi:type="xsd:double"&gt;60.6&lt;/D&gt;&lt;D xsi:type="xsd:double"&gt;60.6&lt;/D&gt;&lt;D xsi:type="xsd:double"&gt;60.6&lt;/D&gt;&lt;D xsi:type="xsd:double"&gt;60.6&lt;/D&gt;&lt;D xsi:type="xsd:double"&gt;60.6&lt;/D&gt;&lt;D xsi:type="xsd:double"&gt;59.2&lt;/D&gt;&lt;D xsi:type="xsd:double"&gt;59.2&lt;/D&gt;&lt;D xsi:type="xsd:double"&gt;59.2&lt;/D&gt;&lt;D xsi:type="xsd:double"&gt;59.2&lt;/D&gt;&lt;D xsi:type="xsd:double"&gt;59.2&lt;/D&gt;&lt;D xsi:type="xsd:double"&gt;56.6&lt;/D&gt;&lt;D xsi:type="xsd:double"&gt;56.6&lt;/D&gt;&lt;D xsi:type="xsd:double"&gt;56.6&lt;/D&gt;&lt;D xsi:type="xsd:double"&gt;56.6&lt;/D&gt;&lt;D xsi:type="xsd:double"&gt;56.6&lt;/D&gt;&lt;D xsi:type="xsd:double"&gt;54.6&lt;/D&gt;&lt;D xsi:type="xsd:double"&gt;54.6&lt;/D&gt;&lt;D xsi:type="xsd:double"&gt;54.6&lt;/D&gt;&lt;D xsi:type="xsd:double"&gt;54.6&lt;/D&gt;&lt;D xsi:type="xsd:double"&gt;54.6&lt;/D&gt;&lt;D xsi:type="xsd:double"&gt;52.5&lt;/D&gt;&lt;D xsi:type="xsd:double"&gt;52.5&lt;/D&gt;&lt;D xsi:type="xsd:double"&gt;52.5&lt;/D&gt;&lt;D xsi:type="xsd:double"&gt;52.5&lt;/D&gt;&lt;D xsi:type="xsd:double"&gt;52.5&lt;/D&gt;&lt;D xsi:type="xsd:double"&gt;51.5&lt;/D&gt;&lt;D xsi:type="xsd:double"&gt;51.5&lt;/D&gt;&lt;D xsi:type="xsd:double"&gt;51.5&lt;/D&gt;&lt;D xsi:type="xsd:double"&gt;51.5&lt;/D&gt;&lt;D xsi:type="xsd:double"&gt;51.5&lt;/D&gt;&lt;D xsi:type="xsd:double"&gt;54.8&lt;/D&gt;&lt;D xsi:type="xsd:double"&gt;54.8&lt;/D&gt;&lt;D xsi:type="xsd:double"&gt;54.8&lt;/D&gt;&lt;D xsi:type="xsd:double"&gt;54.8&lt;/D&gt;&lt;D xsi:type="xsd:double"&gt;54.8&lt;/D&gt;&lt;D xsi:type="xsd:double"&gt;59&lt;/D&gt;&lt;D xsi:type="xsd:double"&gt;59&lt;/D&gt;&lt;D xsi:type="xsd:double"&gt;59&lt;/D&gt;&lt;D xsi:type="xsd:double"&gt;59&lt;/D&gt;&lt;D xsi:type="xsd:double"&gt;59&lt;/D&gt;&lt;D xsi:type="xsd:double"&gt;61.5&lt;/D&gt;&lt;D xsi:type="xsd:double"&gt;61.5&lt;/D&gt;&lt;D xsi:type="xsd:double"&gt;61.5&lt;/D&gt;&lt;D xsi:type="xsd:double"&gt;61.5&lt;/D&gt;&lt;D xsi:type="xsd:double"&gt;61.5&lt;/D&gt;&lt;D xsi:type="xsd:double"&gt;60&lt;/D&gt;&lt;D xsi:type="xsd:double"&gt;60&lt;/D&gt;&lt;D xsi:type="xsd:double"&gt;60&lt;/D&gt;&lt;D xsi:type="xsd:double"&gt;60&lt;/D&gt;&lt;D xsi:type="xsd:double"&gt;60&lt;/D&gt;&lt;D xsi:type="xsd:double"&gt;59.2&lt;/D&gt;&lt;D xsi:type="xsd:double"&gt;59.2&lt;/D&gt;&lt;D xsi:type="xsd:double"&gt;59.2&lt;/D&gt;&lt;D xsi:type="xsd:double"&gt;59.2&lt;/D&gt;&lt;D xsi:type="xsd:double"&gt;59.2&lt;/D&gt;&lt;D xsi:type="xsd:double"&gt;58.1&lt;/D&gt;&lt;D xsi:type="xsd:double"&gt;58.1&lt;/D&gt;&lt;D xsi:type="xsd:double"&gt;58.1&lt;/D&gt;&lt;D xsi:type="xsd:double"&gt;58.1&lt;/D&gt;&lt;D xsi:type="xsd:double"&gt;58.1&lt;/D&gt;&lt;D xsi:type="xsd:double"&gt;56.7&lt;/D&gt;&lt;D xsi:type="xsd:double"&gt;56.7&lt;/D&gt;&lt;D xsi:type="xsd:double"&gt;56.7&lt;/D&gt;&lt;D xsi:type="xsd:double"&gt;56.7&lt;/D&gt;&lt;D xsi:type="xsd:double"&gt;56.7&lt;/D&gt;&lt;D xsi:type="xsd:double"&gt;57.3&lt;/D&gt;&lt;D xsi:type="xsd:double"&gt;57.3&lt;/D&gt;&lt;D xsi:type="xsd:double"&gt;57.3&lt;/D&gt;&lt;D xsi:type="xsd:double"&gt;57.3&lt;/D&gt;&lt;D xsi:type="xsd:double"&gt;57.3&lt;/D&gt;&lt;D xsi:type="xsd:double"&gt;56.7&lt;/D&gt;&lt;D xsi:type="xsd:double"&gt;56.7&lt;/D&gt;&lt;D xsi:type="xsd:double"&gt;56.7&lt;/D&gt;&lt;D xsi:type="xsd:double"&gt;56.7&lt;/D&gt;&lt;D xsi:type="xsd:double"&gt;56.7&lt;/D&gt;&lt;D xsi:type="xsd:double"&gt;58.1&lt;/D&gt;&lt;D xsi:type="xsd:double"&gt;58.1&lt;/D&gt;&lt;D xsi:type="xsd:double"&gt;58.1&lt;/D&gt;&lt;D xsi:type="xsd:double"&gt;58.1&lt;/D&gt;&lt;D xsi:type="xsd:double"&gt;58.1&lt;/D&gt;&lt;D xsi:type="xsd:double"&gt;57.7&lt;/D&gt;&lt;D xsi:type="xsd:double"&gt;57.7&lt;/D&gt;&lt;D xsi:type="xsd:double"&gt;57.7&lt;/D&gt;&lt;D xsi:type="xsd:double"&gt;57.7&lt;/D&gt;&lt;D xsi:type="xsd:double"&gt;57.7&lt;/D&gt;&lt;D xsi:type="xsd:double"&gt;54.5&lt;/D&gt;&lt;D xsi:type="xsd:double"&gt;54.5&lt;/D&gt;&lt;D xsi:type="xsd:double"&gt;54.5&lt;/D&gt;&lt;D xsi:type="xsd:double"&gt;54.5&lt;/D&gt;&lt;D xsi:type="xsd:double"&gt;54.5&lt;/D&gt;&lt;D xsi:type="xsd:double"&gt;57.3&lt;/D&gt;&lt;D xsi:type="xsd:double"&gt;57.3&lt;/D&gt;&lt;D xsi:type="xsd:double"&gt;57.3&lt;/D&gt;&lt;D xsi:type="xsd:double"&gt;57.3&lt;/D&gt;&lt;D xsi:type="xsd:double"&gt;57.3&lt;/D&gt;&lt;D xsi:type="xsd:double"&gt;54.9&lt;/D&gt;&lt;D xsi:type="xsd:double"&gt;54.9&lt;/D&gt;&lt;D xsi:type="xsd:double"&gt;54.9&lt;/D&gt;&lt;D</t>
        </r>
      </text>
    </comment>
    <comment ref="A32" authorId="0" shapeId="0" xr:uid="{43BEEB71-2572-4CD4-8A4A-FE0A7155B00D}">
      <text>
        <r>
          <rPr>
            <b/>
            <sz val="9"/>
            <color indexed="81"/>
            <rFont val="Tahoma"/>
            <charset val="1"/>
          </rPr>
          <t xml:space="preserve"> xsi:type="xsd:double"&gt;54.9&lt;/D&gt;&lt;D xsi:type="xsd:double"&gt;54.9&lt;/D&gt;&lt;D xsi:type="xsd:double"&gt;56.9&lt;/D&gt;&lt;D xsi:type="xsd:double"&gt;56.9&lt;/D&gt;&lt;D xsi:type="xsd:double"&gt;56.9&lt;/D&gt;&lt;D xsi:type="xsd:double"&gt;56.9&lt;/D&gt;&lt;D xsi:type="xsd:double"&gt;56.9&lt;/D&gt;&lt;D xsi:type="xsd:double"&gt;53.5&lt;/D&gt;&lt;D xsi:type="xsd:double"&gt;53.5&lt;/D&gt;&lt;D xsi:type="xsd:double"&gt;53.5&lt;/D&gt;&lt;D xsi:type="xsd:double"&gt;53.5&lt;/D&gt;&lt;D xsi:type="xsd:double"&gt;53.5&lt;/D&gt;&lt;D xsi:type="xsd:double"&gt;50.5&lt;/D&gt;&lt;D xsi:type="xsd:double"&gt;50.5&lt;/D&gt;&lt;D xsi:type="xsd:double"&gt;50.5&lt;/D&gt;&lt;D xsi:type="xsd:double"&gt;50.5&lt;/D&gt;&lt;D xsi:type="xsd:double"&gt;50.5&lt;/D&gt;&lt;D xsi:type="xsd:double"&gt;49&lt;/D&gt;&lt;D xsi:type="xsd:double"&gt;49&lt;/D&gt;&lt;D xsi:type="xsd:double"&gt;49&lt;/D&gt;&lt;D xsi:type="xsd:double"&gt;49&lt;/D&gt;&lt;D xsi:type="xsd:double"&gt;49&lt;/D&gt;&lt;D xsi:type="xsd:double"&gt;47.1&lt;/D&gt;&lt;D xsi:type="xsd:double"&gt;47.1&lt;/D&gt;&lt;D xsi:type="xsd:double"&gt;47.1&lt;/D&gt;&lt;D xsi:type="xsd:double"&gt;47.1&lt;/D&gt;&lt;D xsi:type="xsd:double"&gt;47.1&lt;/D&gt;&lt;D xsi:type="xsd:double"&gt;48.1&lt;/D&gt;&lt;D xsi:type="xsd:double"&gt;48.1&lt;/D&gt;&lt;D xsi:type="xsd:double"&gt;48.1&lt;/D&gt;&lt;D xsi:type="xsd:double"&gt;48.1&lt;/D&gt;&lt;D xsi:type="xsd:double"&gt;48.1&lt;/D&gt;&lt;D xsi:type="xsd:double"&gt;46.6&lt;/D&gt;&lt;D xsi:type="xsd:double"&gt;46.6&lt;/D&gt;&lt;D xsi:type="xsd:double"&gt;46.6&lt;/D&gt;&lt;D xsi:type="xsd:double"&gt;46.6&lt;/D&gt;&lt;D xsi:type="xsd:double"&gt;46.6&lt;/D&gt;&lt;D xsi:type="xsd:double"&gt;43.3&lt;/D&gt;&lt;D xsi:type="xsd:double"&gt;43.3&lt;/D&gt;&lt;D xsi:type="xsd:double"&gt;43.3&lt;/D&gt;&lt;D xsi:type="xsd:double"&gt;43.3&lt;/D&gt;&lt;D xsi:type="xsd:double"&gt;43.3&lt;/D&gt;&lt;D xsi:type="xsd:double"&gt;40.9&lt;/D&gt;&lt;D xsi:type="xsd:double"&gt;40.9&lt;/D&gt;&lt;D xsi:type="xsd:double"&gt;40.9&lt;/D&gt;&lt;D xsi:type="xsd:double"&gt;40.9&lt;/D&gt;&lt;D xsi:type="xsd:double"&gt;40.9&lt;/D&gt;&lt;D xsi:type="xsd:double"&gt;33.3&lt;/D&gt;&lt;D xsi:type="xsd:double"&gt;33.3&lt;/D&gt;&lt;D xsi:type="xsd:double"&gt;33.3&lt;/D&gt;&lt;D xsi:type="xsd:double"&gt;33.3&lt;/D&gt;&lt;D xsi:type="xsd:double"&gt;33.3&lt;/D&gt;&lt;D xsi:type="xsd:double"&gt;31.4&lt;/D&gt;&lt;D xsi:type="xsd:double"&gt;31.4&lt;/D&gt;&lt;D xsi:type="xsd:double"&gt;31.4&lt;/D&gt;&lt;D xsi:type="xsd:double"&gt;31.4&lt;/D&gt;&lt;D xsi:type="xsd:double"&gt;31.4&lt;/D&gt;&lt;D xsi:type="xsd:double"&gt;30.1&lt;/D&gt;&lt;D xsi:type="xsd:double"&gt;30.1&lt;/D&gt;&lt;D xsi:type="xsd:double"&gt;30.1&lt;/D&gt;&lt;D xsi:type="xsd:double"&gt;30.1&lt;/D&gt;&lt;D xsi:type="xsd:double"&gt;30.1&lt;/D&gt;&lt;D xsi:type="xsd:double"&gt;34.6&lt;/D&gt;&lt;D xsi:type="xsd:double"&gt;34.6&lt;/D&gt;&lt;D xsi:type="xsd:double"&gt;34.6&lt;/D&gt;&lt;D xsi:type="xsd:double"&gt;34.6&lt;/D&gt;&lt;D xsi:type="xsd:double"&gt;34.6&lt;/D&gt;&lt;D xsi:type="xsd:double"&gt;36.2&lt;/D&gt;&lt;D xsi:type="xsd:double"&gt;36.2&lt;/D&gt;&lt;D xsi:type="xsd:double"&gt;36.2&lt;/D&gt;&lt;D xsi:type="xsd:double"&gt;36.2&lt;/D&gt;&lt;D xsi:type="xsd:double"&gt;36.2&lt;/D&gt;&lt;D xsi:type="xsd:double"&gt;41.7&lt;/D&gt;&lt;D xsi:type="xsd:double"&gt;41.7&lt;/D&gt;&lt;D xsi:type="xsd:double"&gt;41.7&lt;/D&gt;&lt;D xsi:type="xsd:double"&gt;41.7&lt;/D&gt;&lt;D xsi:type="xsd:double"&gt;41.7&lt;/D&gt;&lt;D xsi:type="xsd:double"&gt;49.1&lt;/D&gt;&lt;D xsi:type="xsd:double"&gt;49.1&lt;/D&gt;&lt;D xsi:type="xsd:double"&gt;49.1&lt;/D&gt;&lt;D xsi:type="xsd:double"&gt;49.1&lt;/D&gt;&lt;D xsi:type="xsd:double"&gt;49.1&lt;/D&gt;&lt;D xsi:type="xsd:double"&gt;54.7&lt;/D&gt;&lt;D xsi:type="xsd:double"&gt;54.7&lt;/D&gt;&lt;D xsi:type="xsd:double"&gt;54.7&lt;/D&gt;&lt;D xsi:type="xsd:double"&gt;54.7&lt;/D&gt;&lt;D xsi:type="xsd:double"&gt;54.7&lt;/D&gt;&lt;D xsi:type="xsd:double"&gt;52.9&lt;/D&gt;&lt;D xsi:type="xsd:double"&gt;52.9&lt;/D&gt;&lt;D xsi:type="xsd:double"&gt;52.9&lt;/D&gt;&lt;D xsi:type="xsd:double"&gt;52.9&lt;/D&gt;&lt;D xsi:type="xsd:double"&gt;52.9&lt;/D&gt;&lt;D xsi:type="xsd:double"&gt;47.6&lt;/D&gt;&lt;D xsi:type="xsd:double"&gt;47.6&lt;/D&gt;&lt;D xsi:type="xsd:double"&gt;47.6&lt;/D&gt;&lt;D xsi:type="xsd:double"&gt;47.6&lt;/D&gt;&lt;D xsi:type="xsd:double"&gt;47.6&lt;/D&gt;&lt;D xsi:type="xsd:double"&gt;52.8&lt;/D&gt;&lt;D xsi:type="xsd:double"&gt;52.8&lt;/D&gt;&lt;D xsi:type="xsd:double"&gt;52.8&lt;/D&gt;&lt;D xsi:type="xsd:double"&gt;52.8&lt;/D&gt;&lt;D xsi:type="xsd:double"&gt;52.8&lt;/D&gt;&lt;D xsi:type="xsd:double"&gt;59.4&lt;/D&gt;&lt;D xsi:type="xsd:double"&gt;59.4&lt;/D&gt;&lt;D xsi:type="xsd:double"&gt;59.4&lt;/D&gt;&lt;D xsi:type="xsd:double"&gt;59.4&lt;/D&gt;&lt;D xsi:type="xsd:double"&gt;59.4&lt;/D&gt;&lt;D xsi:type="xsd:double"&gt;57&lt;/D&gt;&lt;D xsi:type="xsd:double"&gt;57&lt;/D&gt;&lt;D xsi:type="xsd:double"&gt;57&lt;/D&gt;&lt;D xsi:type="xsd:double"&gt;57&lt;/D&gt;&lt;D xsi:type="xsd:double"&gt;57&lt;/D&gt;&lt;D xsi:type="xsd:double"&gt;55.1&lt;/D&gt;&lt;D xsi:type="xsd:double"&gt;55.1&lt;/D&gt;&lt;D xsi:type="xsd:double"&gt;55.1&lt;/D&gt;&lt;D xsi:type="xsd:double"&gt;55.1&lt;/D&gt;&lt;D xsi:type="xsd:double"&gt;55.1&lt;/D&gt;&lt;D xsi:type="xsd:double"&gt;58.9&lt;/D&gt;&lt;D xsi:type="xsd:double"&gt;58.9&lt;/D&gt;&lt;D xsi:type="xsd:double"&gt;58.9&lt;/D&gt;&lt;D xsi:type="xsd:double"&gt;58.9&lt;/D&gt;&lt;D xsi:type="xsd:double"&gt;58.9&lt;/D&gt;&lt;D xsi:type="xsd:string"&gt;@NA&lt;/D&gt;&lt;D xsi:type="xsd:string"&gt;@NA&lt;/D&gt;&lt;D xsi:type="xsd:string"&gt;@NA&lt;/D&gt;&lt;D xsi:type="xsd:string"&gt;@NA&lt;/D&gt;&lt;D xsi:type="xsd:string"&gt;@NA&lt;/D&gt;&lt;D xsi:type="xsd:double"&gt;57.7&lt;/D&gt;&lt;D xsi:type="xsd:double"&gt;57.7&lt;/D&gt;&lt;D xsi:type="xsd:double"&gt;57.7&lt;/D&gt;&lt;D xsi:type="xsd:double"&gt;57.7&lt;/D&gt;&lt;D xsi:type="xsd:double"&gt;57.7&lt;/D&gt;&lt;D xsi:type="xsd:double"&gt;53.3&lt;/D&gt;&lt;D xsi:type="xsd:double"&gt;53.3&lt;/D&gt;&lt;D xsi:type="xsd:double"&gt;53.3&lt;/D&gt;&lt;D xsi:type="xsd:double"&gt;53.3&lt;/D&gt;&lt;D xsi:type="xsd:double"&gt;53.3&lt;/D&gt;&lt;D xsi:type="xsd:double"&gt;54.8&lt;/D&gt;&lt;D xsi:type="xsd:double"&gt;54.8&lt;/D&gt;&lt;D xsi:type="xsd:double"&gt;54.8&lt;/D&gt;&lt;D xsi:type="xsd:double"&gt;54.8&lt;/D&gt;&lt;D xsi:type="xsd:double"&gt;54.8&lt;/D&gt;&lt;D xsi:type="xsd:double"&gt;58.1&lt;/D&gt;&lt;D xsi:type="xsd:double"&gt;58.1&lt;/D&gt;&lt;D xsi:type="xsd:double"&gt;58.1&lt;/D&gt;&lt;D xsi:type="xsd:double"&gt;58.1&lt;/D&gt;&lt;D xsi:type="xsd:double"&gt;58.1&lt;/D&gt;&lt;D xsi:type="xsd:double"&gt;57.2&lt;/D&gt;&lt;D xsi:type="xsd:double"&gt;57.2&lt;/D&gt;&lt;D xsi:type="xsd:double"&gt;57.2&lt;/D&gt;&lt;D xsi:type="xsd:double"&gt;57.2&lt;/D&gt;&lt;D xsi:type="xsd:double"&gt;57.2&lt;/D&gt;&lt;D xsi:type="xsd:double"&gt;57.6&lt;/D&gt;&lt;D xsi:type="xsd:double"&gt;57.6&lt;/D&gt;&lt;D xsi:type="xsd:double"&gt;57.6&lt;/D&gt;&lt;D xsi:type="xsd:double"&gt;57.6&lt;/D&gt;&lt;D xsi:type="xsd:double"&gt;57.6&lt;/D&gt;&lt;D xsi:type="xsd:double"&gt;57.1&lt;/D&gt;&lt;D xsi:type="xsd:double"&gt;57.1&lt;/D&gt;&lt;D xsi:type="xsd:double"&gt;57.1&lt;/D&gt;&lt;D xsi:type="xsd:double"&gt;57.1&lt;/D&gt;&lt;D xsi:type="xsd:double"&gt;57.1&lt;/D&gt;&lt;D xsi:type="xsd:double"&gt;54.2&lt;/D&gt;&lt;D xsi:type="xsd:double"&gt;54.2&lt;/D&gt;&lt;D xsi:type="xsd:double"&gt;54.2&lt;/D&gt;&lt;D xsi:type="xsd:double"&gt;54.2&lt;/D&gt;&lt;D xsi:type="xsd:double"&gt;54.2&lt;/D&gt;&lt;D xsi:type="xsd:double"&gt;52.8&lt;/D&gt;&lt;D xsi:type="xsd:double"&gt;52.8&lt;/D&gt;&lt;D xsi:type="xsd:double"&gt;52.8&lt;/D&gt;&lt;D xsi:type="xsd:double"&gt;52.8&lt;/D&gt;&lt;D xsi:type="xsd:double"&gt;52.8&lt;/D&gt;&lt;D xsi:type="xsd:double"&gt;49.1&lt;/D&gt;&lt;D xsi:type="xsd:double"&gt;49.1&lt;/D&gt;&lt;D xsi:type="xsd:double"&gt;49.1&lt;/D&gt;&lt;D xsi:type="xsd:double"&gt;49.1&lt;/D&gt;&lt;D xsi:type="xsd:double"&gt;49.1&lt;/D&gt;&lt;D xsi:type="xsd:double"&gt;47.6&lt;/D&gt;&lt;D xsi:type="xsd:double"&gt;47.6&lt;/D&gt;&lt;D xsi:type="xsd:double"&gt;47.6&lt;/D&gt;&lt;D xsi:type="xsd:double"&gt;47.6&lt;/D&gt;&lt;D xsi:type="xsd:double"&gt;47.6&lt;/D&gt;&lt;D xsi:type="xsd:double"&gt;55.3&lt;/D&gt;&lt;D xsi:type="xsd:double"&gt;55.3&lt;/D&gt;&lt;D xsi:type="xsd:double"&gt;55.3&lt;/D&gt;&lt;D xsi:type="xsd:double"&gt;55.3&lt;/D&gt;&lt;D xsi:type="xsd:double"&gt;55.3&lt;/D&gt;&lt;D xsi:type="xsd:double"&gt;55.1&lt;/D&gt;&lt;D xsi:type="xsd:double"&gt;55.1&lt;/D&gt;&lt;D xsi:type="xsd:double"&gt;55.1&lt;/D&gt;&lt;D xsi:type="xsd:double"&gt;55.1&lt;/D&gt;&lt;D xsi:type="xsd:double"&gt;55.1&lt;/D&gt;&lt;D xsi:type="xsd:double"&gt;53.8&lt;/D&gt;&lt;D xsi:type="xsd:double"&gt;53.8&lt;/D&gt;&lt;D xsi:type="xsd:double"&gt;53.8&lt;/D&gt;&lt;D xsi:type="xsd:double"&gt;53.8&lt;/D&gt;&lt;D xsi:type="xsd:double"&gt;53.8&lt;/D&gt;&lt;D xsi:type="xsd:double"&gt;50&lt;/D&gt;&lt;D xsi:type="xsd:double"&gt;50&lt;/D&gt;&lt;D xsi:type="xsd:double"&gt;50&lt;/D&gt;&lt;D xsi:type="xsd:double"&gt;50&lt;/D&gt;&lt;D xsi:type="xsd:double"&gt;50&lt;/D&gt;&lt;D xsi:type="xsd:double"&gt;44.9&lt;/D&gt;&lt;D xsi:type="xsd:double"&gt;44.9&lt;/D&gt;&lt;D xsi:type="xsd:double"&gt;44.9&lt;/D&gt;&lt;D xsi:type="xsd:double"&gt;44.9&lt;/D&gt;&lt;D xsi:type="xsd:double"&gt;44.9&lt;/D&gt;&lt;D xsi:type="xsd:double"&gt;43.9&lt;/D&gt;&lt;D xsi:type="xsd:double"&gt;43.9&lt;/D&gt;&lt;D xsi:type="xsd:double"&gt;43.9&lt;/D&gt;&lt;D xsi:type="xsd:double"&gt;43.9&lt;/D&gt;&lt;D xsi:type="xsd:double"&gt;43.9&lt;/D&gt;&lt;D xsi:type="xsd:double"&gt;49.1&lt;/D&gt;&lt;D xsi:type="xsd:double"&gt;49.1&lt;/D&gt;&lt;D xsi:type="xsd:double"&gt;49.1&lt;/D&gt;&lt;D xsi:type="xsd:double"&gt;49.1&lt;/D&gt;&lt;D xsi:type="xsd:double"&gt;49.1&lt;/D&gt;&lt;D xsi:type="xsd:double"&gt;49.5&lt;/D&gt;&lt;D xsi:type="xsd:double"&gt;49.5&lt;/D&gt;&lt;D xsi:type="xsd:double"&gt;49.5&lt;/D&gt;&lt;D xsi:type="xsd:double"&gt;49.5&lt;/D&gt;&lt;D xsi:type="xsd:double"&gt;49.5&lt;/D&gt;&lt;D xsi:type="xsd:double"&gt;48.1&lt;/D&gt;&lt;D xsi:type="xsd:double"&gt;48.1&lt;/D&gt;&lt;D xsi:type="xsd:double"&gt;48.1&lt;/D&gt;&lt;D xsi:type="xsd:double"&gt;48.1&lt;/D&gt;&lt;D xsi:type="xsd:double"&gt;48.1&lt;/D&gt;&lt;D xsi:type="xsd:double"&gt;57.2&lt;/D&gt;&lt;D xsi:type="xsd:double"&gt;57.2&lt;/D&gt;&lt;D xsi:type="xsd:double"&gt;57.2&lt;/D&gt;&lt;D xsi:type="xsd:double"&gt;57.2&lt;/D&gt;&lt;D xsi:type="xsd:double"&gt;57.2&lt;/D&gt;&lt;D xsi:type="xsd:double"&gt;54.2&lt;/D&gt;&lt;D xsi:type="xsd:double"&gt;54.2&lt;/D&gt;&lt;D xsi:type="xsd:double"&gt;54.2&lt;/D&gt;&lt;D xsi:type="xsd:double"&gt;54.2&lt;/D&gt;&lt;D xsi:type="xsd:double"&gt;54.2&lt;/D&gt;&lt;D xsi:type="xsd:double"&gt;58&lt;/D&gt;&lt;D xsi:type="xsd:double"&gt;58&lt;/D&gt;&lt;D xsi:type="xsd:double"&gt;58&lt;/D&gt;&lt;D xsi:type="xsd:double"&gt;58&lt;/D&gt;&lt;D xsi:type="xsd:double"&gt;58&lt;/D&gt;&lt;D xsi:type="xsd:double"&gt;56.7&lt;/D&gt;&lt;D xsi:type="xsd:double"&gt;56.7&lt;/D&gt;&lt;D xsi:type="xsd:double"&gt;56.7&lt;/D&gt;&lt;D xsi:type="xsd:double"&gt;56.7&lt;/D&gt;&lt;D xsi:type="xsd:double"&gt;56.7&lt;/D&gt;&lt;D xsi:type="xsd:double"&gt;55.2&lt;/D&gt;&lt;D xsi:type="xsd:double"&gt;55.2&lt;/D&gt;&lt;D xsi:type="xsd:double"&gt;55.2&lt;/D&gt;&lt;D xsi:type="xsd:double"&gt;55.2&lt;/D&gt;&lt;D xsi:type="xsd:double"&gt;55.2&lt;/D&gt;&lt;D xsi:type="xsd:double"&gt;53.3&lt;/D&gt;&lt;D xsi:type="xsd:double"&gt;53.3&lt;/D&gt;&lt;D xsi:type="xsd:double"&gt;53.3&lt;/D&gt;&lt;D xsi:type="xsd:double"&gt;53.3&lt;/D&gt;&lt;D xsi:type="xsd:double"&gt;53.3&lt;/D&gt;&lt;D xsi:type="xsd:double"&gt;50.5&lt;/D&gt;&lt;D xsi:type="xsd:double"&gt;50.5&lt;/D&gt;&lt;D xsi:type="xsd:double"&gt;50.5&lt;/D&gt;&lt;D xsi:type="xsd:double"&gt;50.5&lt;/D&gt;&lt;D xsi:type="xsd:double"&gt;50.5&lt;/D&gt;&lt;D xsi:type="xsd:double"&gt;48.1&lt;/D&gt;&lt;D xsi:type="xsd:double"&gt;48.1&lt;/D&gt;&lt;D xsi:type="xsd:double"&gt;48.1&lt;/D&gt;&lt;D xsi:type="xsd:double"&gt;48.1&lt;/D&gt;&lt;D xsi:type="xsd:double"&gt;48.1&lt;/D&gt;&lt;D xsi:type="xsd:double"&gt;42.7&lt;/D&gt;&lt;D xsi:type="xsd:double"&gt;42.7&lt;/D&gt;&lt;D xsi:type="xsd:double"&gt;42.7&lt;/D&gt;&lt;D xsi:type="xsd:double"&gt;42.7&lt;/D&gt;&lt;D xsi:type="xsd:double"&gt;42.7&lt;/D&gt;&lt;D xsi:type="xsd:double"&gt;49&lt;/D&gt;&lt;D xsi:type="xsd:double"&gt;49&lt;/D&gt;&lt;D xsi:type="xsd:double"&gt;49&lt;/D&gt;&lt;D xsi:type="xsd:double"&gt;49&lt;/D&gt;&lt;D xsi:type="xsd:double"&gt;49&lt;/D&gt;&lt;D xsi:type="xsd:double"&gt;49.5&lt;/D&gt;&lt;D xsi:type="xsd:double"&gt;49.5&lt;/D&gt;&lt;D xsi:type="xsd:double"&gt;49.5&lt;/D&gt;&lt;D xsi:type="xsd:double"&gt;49.5&lt;/D&gt;&lt;D xsi:type="xsd:double"&gt;49.5&lt;/D&gt;&lt;D xsi:type="xsd:double"&gt;51.4&lt;/D&gt;&lt;D xsi:type="xsd:double"&gt;51.4&lt;/D&gt;&lt;D xsi:type="xsd:double"&gt;51.4&lt;/D&gt;&lt;D xsi:type="xsd:double"&gt;51.4&lt;/D&gt;&lt;D xsi:type="xsd:double"&gt;51.4&lt;/D&gt;&lt;D xsi:type="xsd:double"&gt;55.5&lt;/D&gt;&lt;D xsi:type="xsd:double"&gt;55.5&lt;/D&gt;&lt;D xsi:type="xsd:double"&gt;55.5&lt;/D&gt;&lt;D xsi:type="xsd:double"&gt;55.5&lt;/D&gt;&lt;D xsi:type="xsd:double"&gt;55.5&lt;/D&gt;&lt;D xsi:type="xsd:double"&gt;56.4&lt;/D&gt;&lt;D xsi:type="xsd:double"&gt;56.4&lt;/D&gt;&lt;D xsi:type="xsd:double"&gt;56.4&lt;/D&gt;&lt;D xsi:type="xsd:double"&gt;56.4&lt;/D&gt;&lt;D xsi:type="xsd:double"&gt;56.4&lt;/D&gt;&lt;D xsi:type="xsd:double"&gt;53.4&lt;/D&gt;&lt;D xsi:type="xsd:double"&gt;53.4&lt;/D&gt;&lt;D xsi:type="xsd:double"&gt;53.4&lt;/D&gt;&lt;D xsi:type="xsd:double"&gt;53.4&lt;/D&gt;&lt;D xsi:type="xsd:double"&gt;53.4&lt;/D&gt;&lt;D xsi:type="xsd:double"&gt;54.8&lt;/D&gt;&lt;D xsi:type="xsd:double"&gt;54.8&lt;/D&gt;&lt;D xsi:type="xsd:double"&gt;54.8&lt;/D&gt;&lt;D xsi:type="xsd:double"&gt;54.8&lt;/D&gt;&lt;D xsi:type="xsd:double"&gt;54.8&lt;/D&gt;&lt;D xsi:type="xsd:double"&gt;53.9&lt;/D&gt;&lt;D xsi:type="xsd:double"&gt;53.9&lt;/D&gt;&lt;D xsi:type="xsd:double"&gt;53.9&lt;/D&gt;&lt;D xsi:type="xsd:double"&gt;53.9&lt;/D&gt;&lt;D xsi:type="xsd:double"&gt;53.9&lt;/D&gt;&lt;D xsi:type="xsd:double"&gt;53.4&lt;/D&gt;&lt;D xsi:type="xsd:double"&gt;53.4&lt;/D&gt;&lt;D xsi:type="xsd:double"&gt;53.4&lt;/D&gt;&lt;D xsi:type="xsd:double"&gt;53.4&lt;/D&gt;&lt;D xsi:type="xsd:double"&gt;53.4&lt;/D&gt;&lt;D xsi:type="xsd:double"&gt;52&lt;/D&gt;&lt;D xsi:type="xsd:double"&gt;52&lt;/D&gt;&lt;D xsi:type="xsd:double"&gt;52&lt;/D&gt;&lt;D xsi:type="xsd:double"&gt;52&lt;/D&gt;&lt;D xsi:type="xsd:double"&gt;52&lt;/D&gt;&lt;D xsi:type="xsd:double"&gt;53.9&lt;/D&gt;&lt;D xsi:type="xsd:double"&gt;53.9&lt;/D&gt;&lt;D xsi:type="xsd:double"&gt;53.9&lt;/D&gt;&lt;D xsi:type="xsd:double"&gt;53.9&lt;/D&gt;&lt;D xsi:type="xsd:double"&gt;53.9&lt;/D&gt;&lt;D xsi:type="xsd:double"&gt;52.4&lt;/D&gt;&lt;D xsi:type="xsd:double"&gt;52.4&lt;/D&gt;&lt;D xsi:type="xsd:double"&gt;52.4&lt;/D&gt;&lt;D xsi:type="xsd:double"&gt;52.4&lt;/D&gt;&lt;D xsi:type="xsd:double"&gt;52.4&lt;/D&gt;&lt;D xsi:type="xsd:double"&gt;52.9&lt;/D&gt;&lt;D xsi:type="xsd:double"&gt;52.9&lt;/D&gt;&lt;D xsi:type="xsd:double"&gt;52.9&lt;/D&gt;&lt;D xsi:type="xsd:double"&gt;52.9&lt;/D&gt;&lt;D xsi:type="xsd:double"&gt;52.9&lt;/D&gt;&lt;D xsi:type="xsd:double"&gt;52.4&lt;/D&gt;&lt;D xsi:type="xsd:double"&gt;52.4&lt;/D&gt;&lt;D xsi:type="xsd:double"&gt;52.4&lt;/D&gt;&lt;D xsi:type="xsd:double"&gt;52.4&lt;/D&gt;&lt;D xsi:type="xsd:double"&gt;52.4&lt;/D&gt;&lt;D xsi:type="xsd:double"&gt;51.9&lt;/D&gt;&lt;D xsi:type="xsd:double"&gt;51.9&lt;/D&gt;&lt;D xsi:type="xsd:double"&gt;51.9&lt;/D&gt;&lt;D xsi:type="xsd:double"&gt;51.9&lt;/D&gt;&lt;D xsi:type="xsd:double"&gt;51.9&lt;/D&gt;&lt;D xsi:type="xsd:double"&gt;49.5&lt;/D&gt;&lt;D xsi:type="xsd:double"&gt;49.5&lt;/D&gt;&lt;D xsi:type="xsd:double"&gt;49.5&lt;/D&gt;&lt;D xsi:type="xsd:double"&gt;49.5&lt;/D&gt;&lt;D xsi:type="xsd:double"&gt;49.5&lt;/D&gt;&lt;D xsi:type="xsd:double"&gt;48.6&lt;/D&gt;&lt;D xsi:type="xsd:double"&gt;48.6&lt;/D&gt;&lt;D xsi:type="xsd:double"&gt;48.6&lt;/D&gt;&lt;D xsi:type="xsd:double"&gt;48.6&lt;/D&gt;&lt;D xsi:type="xsd:double"&gt;48.6&lt;/D&gt;&lt;D xsi:type="xsd:double"&gt;45.8&lt;/D&gt;&lt;D xsi:type="xsd:double"&gt;45.8&lt;/D&gt;&lt;D xsi:type="xsd:double"&gt;45.8&lt;/D&gt;&lt;D xsi:type="xsd:double"&gt;45.8&lt;/D&gt;&lt;D xsi:type="xsd:double"&gt;45.8&lt;/D&gt;&lt;D xsi:type="xsd:double"&gt;45.4&lt;/D&gt;&lt;D xsi:type="xsd:double"&gt;45.4&lt;/D&gt;&lt;D xsi:type="xsd:double"&gt;45.4&lt;/D&gt;&lt;D xsi:type="xsd:double"&gt;45.4&lt;/D&gt;&lt;D xsi:type="xsd:double"&gt;45.4&lt;/D&gt;&lt;D xsi:type="xsd:double"&gt;42.1&lt;/D&gt;&lt;D xsi:type="xsd:double"&gt;42.1&lt;/D&gt;&lt;D xsi:type="xsd:double"&gt;42.1&lt;/D&gt;&lt;D xsi:type="xsd:double"&gt;42.1&lt;/D&gt;&lt;D xsi:type="xsd:double"&gt;42.1&lt;/D&gt;&lt;D xsi:type="xsd:double"&gt;34.8&lt;/D&gt;&lt;D xsi:type="xsd:double"&gt;34.8&lt;/D&gt;&lt;D xsi:type="xsd:double"&gt;34.8&lt;/D&gt;&lt;D xsi:type="xsd:double"&gt;34.8&lt;/D&gt;&lt;D xsi:type="xsd:double"&gt;34.8&lt;/D&gt;&lt;D xsi:type="xsd:double"&gt;29.9&lt;/D&gt;&lt;D xsi:type="xsd:double"&gt;29.9&lt;/D&gt;&lt;D xsi:type="xsd:double"&gt;29.9&lt;/D&gt;&lt;D xsi:type="xsd:double"&gt;29.9&lt;/D&gt;&lt;D xsi:type="xsd:double"&gt;29.9&lt;/D&gt;&lt;D xsi:type="xsd:string"&gt;@NA&lt;/D&gt;&lt;D xsi:type="xsd:string"&gt;@NA&lt;/D&gt;&lt;D xsi:type="xsd:string"&gt;@NA&lt;/D&gt;&lt;D xsi:type="xsd:string"&gt;@NA&lt;/D&gt;&lt;D xsi:type="xsd:string"&gt;@NA&lt;/D&gt;&lt;D xsi:type="xsd:double"&gt;39.3&lt;/D&gt;&lt;D xsi:type="xsd:double"&gt;39.3&lt;/D&gt;&lt;D xsi:type="xsd:double"&gt;39.3&lt;/D&gt;&lt;D xsi:type="xsd:double"&gt;39.3&lt;/D&gt;&lt;D xsi:type="xsd:double"&gt;39.3&lt;/D&gt;&lt;D xsi:type="xsd:double"&gt;45.4&lt;/D&gt;&lt;D xsi:type="xsd:double"&gt;45.4&lt;/D&gt;&lt;D xsi:type="xsd:double"&gt;45.4&lt;/D&gt;&lt;D xsi:type="xsd:double"&gt;45.4&lt;/D&gt;&lt;D xsi:type="xsd:double"&gt;45.4&lt;/D&gt;&lt;D xsi:type="xsd:double"&gt;46.7&lt;/D&gt;&lt;D xsi:type="xsd:double"&gt;46.7&lt;/D&gt;&lt;D xsi:type="xsd:double"&gt;46.7&lt;/D&gt;&lt;D xsi:type="xsd:double"&gt;46.7&lt;/D&gt;&lt;D xsi:type="xsd:double"&gt;46.7&lt;/D&gt;&lt;D xsi:type="xsd:double"&gt;38.3&lt;/D&gt;&lt;D xsi:type="xsd:double"&gt;38.3&lt;/D&gt;&lt;D xsi:type="xsd:double"&gt;38.3&lt;/D&gt;&lt;D xsi:type="xsd:double"&gt;38.3&lt;/D&gt;&lt;D xsi:type="xsd:double"&gt;38.3&lt;/D&gt;&lt;D xsi:type="xsd:double"&gt;39.6&lt;/D&gt;&lt;D xsi:type="xsd:double"&gt;39.6&lt;/D&gt;&lt;D xsi:type="xsd:double"&gt;39.6&lt;/D&gt;&lt;D xsi:type="xsd:double"&gt;39.6&lt;/D&gt;&lt;D xsi:type="xsd:double"&gt;39.6&lt;/D&gt;&lt;D xsi:type="xsd:double"&gt;42.9&lt;/D&gt;&lt;D xsi:type="xsd:double"&gt;42.9&lt;/D&gt;&lt;D xsi:type="xsd:double"&gt;42.9&lt;/D&gt;&lt;D xsi:type="xsd:double"&gt;42.9&lt;/D&gt;&lt;D xsi:type="xsd:double"&gt;42.9&lt;/D&gt;&lt;D xsi:type="xsd:double"&gt;42.5&lt;/D&gt;&lt;D xsi:type="xsd:double"&gt;42.5&lt;/D&gt;&lt;D xsi:type="xsd:double"&gt;42.5&lt;/D&gt;&lt;D xsi:type="xsd:double"&gt;42.5&lt;/D&gt;&lt;D xsi:type="xsd:double"&gt;42.5&lt;/D&gt;&lt;D xsi:type="xsd:double"&gt;44.3&lt;/D&gt;&lt;D xsi:type="xsd:double"&gt;44.3&lt;/D&gt;&lt;D xsi:type="xsd:double"&gt;44.3&lt;/D&gt;&lt;D xsi:type="xsd:double"&gt;44.3&lt;/D&gt;&lt;D xsi:type="xsd:double"&gt;44.3&lt;/D&gt;&lt;D xsi:type="xsd:double"&gt;50.5&lt;/D&gt;&lt;D xsi:type="xsd:double"&gt;50.5&lt;/D&gt;&lt;D xsi:type="xsd:double"&gt;50.5&lt;/D&gt;&lt;D xsi:type="xsd:double"&gt;50.5&lt;/D&gt;&lt;D xsi:type="xsd:double"&gt;50.5&lt;/D&gt;&lt;D xsi:type="xsd:double"&gt;51.9&lt;/D&gt;&lt;D xsi:type="xsd:double"&gt;51.9&lt;/D&gt;&lt;D xsi:type="xsd:double"&gt;51.9&lt;/D&gt;&lt;D xsi:type="xsd:double"&gt;51.9&lt;/D&gt;&lt;D xsi:type="xsd:double"&gt;51.9&lt;/D&gt;&lt;D xsi:type="xsd:double"&gt;56.3&lt;/D&gt;&lt;D xsi:type="xsd:double"&gt;56.3&lt;/D&gt;&lt;D xsi:type="xsd:double"&gt;56.3&lt;/D&gt;&lt;D xsi:type="xsd:double"&gt;56.3&lt;/D&gt;&lt;D xsi:type="xsd:double"&gt;56.3&lt;/D&gt;&lt;D xsi:type="xsd:double"&gt;61.8&lt;/D&gt;&lt;D xsi:type="xsd:double"&gt;61.8&lt;/D&gt;&lt;D xsi:type="xsd:double"&gt;61.8&lt;/D&gt;&lt;D xsi:type="xsd:double"&gt;61.8&lt;/D&gt;&lt;D xsi:type="xsd:double"&gt;61.8&lt;/D&gt;&lt;D xsi:type="xsd:double"&gt;60.6&lt;/D&gt;&lt;D xsi:type="xsd:double"&gt;60.6&lt;/D&gt;&lt;D xsi:type="xsd:double"&gt;60.6&lt;/D&gt;&lt;D xsi:type="xsd:double"&gt;60.6&lt;/D&gt;&lt;D xsi:type="xsd:double"&gt;60.6&lt;/D&gt;&lt;D xsi:type="xsd:double"&gt;59&lt;/D&gt;&lt;D xsi:type="xsd:double"&gt;59&lt;/D&gt;&lt;D xsi:type="xsd:double"&gt;59&lt;/D&gt;&lt;D xsi:type="xsd:double"&gt;59&lt;/D&gt;&lt;D xsi:type="xsd:double"&gt;59&lt;/D&gt;&lt;D xsi:type="xsd:double"&gt;57.7&lt;/D&gt;&lt;D xsi:type="xsd:double"&gt;57.7&lt;/D&gt;&lt;D xsi:type="xsd:double"&gt;57.7&lt;/D&gt;&lt;D xsi:type="xsd:double"&gt;57.7&lt;/D&gt;&lt;D xsi:type="xsd:double"&gt;57.7&lt;/D&gt;&lt;D xsi:type="xsd:double"&gt;60&lt;/D&gt;&lt;D xsi:type="xsd:double"&gt;60&lt;/D&gt;&lt;D xsi:type="xsd:double"&gt;60&lt;/D&gt;&lt;D xsi:type="xsd:double"&gt;60&lt;/D&gt;&lt;D xsi:type="xsd:double"&gt;60&lt;/D&gt;&lt;D xsi:type="xsd:double"&gt;59.6&lt;/D&gt;&lt;D xsi:type="xsd:double"&gt;59.6&lt;/D&gt;&lt;D xsi:type="xsd:double"&gt;59.6&lt;/D&gt;&lt;D xsi:type="xsd:double"&gt;59.6&lt;/D&gt;&lt;D xsi:type="xsd:double"&gt;59.6&lt;/D&gt;&lt;D xsi:type="xsd:double"&gt;57.7&lt;/D&gt;&lt;D xsi:type="xsd:double"&gt;57.7&lt;/D&gt;&lt;D xsi:type="xsd:double"&gt;57.7&lt;/D&gt;&lt;D xsi:type="xsd:double"&gt;57.7&lt;/D&gt;&lt;D xsi:type="xsd:double"&gt;57.7&lt;/D&gt;&lt;D xsi:type="xsd:double"&gt;57.3&lt;/D&gt;&lt;D xsi:type="xsd:double"&gt;57.3&lt;/D&gt;&lt;D xsi:type="xsd:double"&gt;57.3&lt;/D&gt;&lt;D xsi:type="xsd:double"&gt;57.3&lt;/D&gt;&lt;D xsi:type="xsd:double"&gt;57.3&lt;/D&gt;&lt;D xsi:type="xsd:double"&gt;54.9&lt;/D&gt;&lt;D xsi:type="xsd:double"&gt;54.9&lt;/D&gt;&lt;D xsi:type="xsd:double"&gt;54.9&lt;/D&gt;&lt;D xsi:type="xsd:double"&gt;54.9&lt;/D&gt;&lt;D xsi:type="xsd:double"&gt;54.9&lt;/D&gt;&lt;D xsi:type="xsd:double"&gt;54.5&lt;/D&gt;&lt;D xsi:type="xsd:double"&gt;54.5&lt;/D&gt;&lt;D xsi:type="xsd:double"&gt;54.5&lt;/D&gt;&lt;D xsi:type="xsd:double"&gt;54.5&lt;/D&gt;&lt;D xsi:type="xsd:double"&gt;54.5&lt;/D&gt;&lt;D xsi:type="xsd:double"&gt;54.9&lt;/D&gt;&lt;D xsi:type="xsd:double"&gt;54.9&lt;/D&gt;&lt;D xsi:type="xsd:double"&gt;54.9&lt;/D&gt;&lt;D xsi:type="xsd:double"&gt;54.9&lt;/D&gt;&lt;D xsi:type="xsd:double"&gt;54.9&lt;/D&gt;&lt;D xsi:type="xsd:double"&gt;55.3&lt;/D&gt;&lt;D xsi:type="xsd:double"&gt;55.3&lt;/D&gt;&lt;D xsi:type="xsd:double"&gt;55.3&lt;/D&gt;&lt;D xsi:type="xsd:double"&gt;55.3&lt;/D&gt;&lt;D xsi:type="xsd:double"&gt;55.3&lt;/D&gt;&lt;D xsi:type="xsd:double"&gt;52.4&lt;/D&gt;&lt;D xsi:type="xsd:double"&gt;52.4&lt;/D&gt;&lt;D xsi:type="xsd:double"&gt;52.4&lt;/D&gt;&lt;D xsi:type="xsd:double"&gt;52.4&lt;/D&gt;&lt;D xsi:type="xsd:double"&gt;52.4&lt;/D&gt;&lt;D xsi:type="xsd:double"&gt;47.1&lt;/D&gt;&lt;D xsi:type="xsd:double"&gt;47.1&lt;/D&gt;&lt;D xsi:type="xsd:double"&gt;47.1&lt;/D&gt;&lt;D xsi:type="xsd:double"&gt;47.1&lt;/D&gt;&lt;D xsi:type="xsd:double"&gt;47.1&lt;/D&gt;&lt;D xsi:type="xsd:double"&gt;47.6&lt;/D&gt;&lt;D xsi:type="xsd:double"&gt;47.6&lt;/D&gt;&lt;D xsi:type="xsd:double"&gt;47.6&lt;/D&gt;&lt;D xsi:type="xsd:double"&gt;47.6&lt;/D&gt;&lt;D xsi:type="xsd:double"&gt;47.6&lt;/D&gt;&lt;D xsi:type="xsd:double"&gt;52&lt;/D&gt;&lt;D xsi:type="xsd:double"&gt;52&lt;/D&gt;&lt;D xsi:type="xsd:double"&gt;52&lt;/D&gt;&lt;D xsi:type="xsd:double"&gt;52&lt;/D&gt;&lt;D xsi:type="xsd:double"&gt;52&lt;/D&gt;&lt;D xsi:type="xsd:double"&gt;55.5&lt;/D&gt;&lt;D xsi:type="xsd:double"&gt;55.5&lt;/D&gt;&lt;D xsi:type="xsd:double"&gt;55.5&lt;/D&gt;&lt;D xsi:type="xsd:double"&gt;55.5&lt;/D&gt;&lt;D xsi:type="xsd:double"&gt;55.5&lt;/D&gt;&lt;D xsi:type="xsd:double"&gt;52.9&lt;/D&gt;&lt;D xsi:type="xsd:double"&gt;52.9&lt;/D&gt;&lt;D xsi:type="xsd:double"&gt;52.9&lt;/D&gt;&lt;D xsi:type="xsd:double"&gt;52.9&lt;/D&gt;&lt;D xsi:type="xsd:double"&gt;52.9&lt;/D&gt;&lt;D xsi:type="xsd:double"&gt;50&lt;/D&gt;&lt;D xsi:type="xsd:double"&gt;50&lt;/D&gt;&lt;D xsi:type="xsd:double"&gt;50&lt;/D&gt;&lt;D xsi:type="xsd:double"&gt;50&lt;/D&gt;&lt;D xsi:type="xsd:double"&gt;50&lt;/D&gt;&lt;D xsi:type="xsd:double"&gt;49.1&lt;/D&gt;&lt;D xsi:type="xsd:double"&gt;49.1&lt;/D&gt;&lt;D xsi:type="xsd:double"&gt;49.1&lt;/D&gt;&lt;D xsi:type="xsd:double"&gt;49.1&lt;/D&gt;&lt;D xsi:type="xsd:double"&gt;49.1&lt;/D&gt;&lt;D xsi:type="xsd:double"&gt;46.6&lt;/D&gt;&lt;D xsi:type="xsd:double"&gt;46.6&lt;/D&gt;&lt;D xsi:type="xsd:double"&gt;46.6&lt;/D&gt;&lt;D xsi:type="xsd:double"&gt;46.6&lt;/D&gt;&lt;D xsi:type="xsd:double"&gt;46.6&lt;/D&gt;&lt;D xsi:type="xsd:double"&gt;43.1&lt;/D&gt;&lt;D xsi:type="xsd:double"&gt;43.1&lt;/D&gt;&lt;D xsi:type="xsd:double"&gt;43.1&lt;/D&gt;&lt;D xsi:type="xsd:double"&gt;43.1&lt;/D&gt;&lt;D xsi:type="xsd:double"&gt;43.1&lt;/D&gt;&lt;D xsi:type="xsd:double"&gt;43.6&lt;/D&gt;&lt;D xsi:type="xsd:double"&gt;43.6&lt;/D&gt;&lt;D xsi:type="xsd:double"&gt;43.6&lt;/D&gt;&lt;D xsi:type="xsd:double"&gt;43.6&lt;/D&gt;&lt;D xsi:type="xsd:double"&gt;43.6&lt;/D&gt;&lt;D xsi:type="xsd:double"&gt;48&lt;/D&gt;&lt;D xsi:type="xsd:double"&gt;48&lt;/D&gt;&lt;D xsi:type="xsd:double"&gt;48&lt;/D&gt;&lt;D xsi:type="xsd:double"&gt;48&lt;/D&gt;&lt;D xsi:type="xsd:double"&gt;48&lt;/D&gt;&lt;D xsi:type="xsd:double"&gt;43.6&lt;/D&gt;&lt;D xsi:type="xsd:double"&gt;43.6&lt;/D&gt;&lt;D xsi:type="xsd:double"&gt;43.6&lt;/D&gt;&lt;D xsi:type="xsd:double"&gt;43.6&lt;/D&gt;&lt;D xsi:type="xsd:double"&gt;43.6&lt;/D&gt;&lt;D xsi:type="xsd:double"&gt;42.2&lt;/D&gt;&lt;D xsi:type="xsd:double"&gt;42.2&lt;/D&gt;&lt;D xsi:type="xsd:double"&gt;42.2&lt;/D&gt;&lt;D xsi:type="xsd:double"&gt;42.2&lt;/D&gt;&lt;D xsi:type="xsd:double"&gt;42.2&lt;/D&gt;&lt;D xsi:type="xsd:double"&gt;47.6&lt;/D&gt;&lt;D xsi:type="xsd:double"&gt;47.6&lt;/D&gt;&lt;D xsi:type="xsd:double"&gt;47.6&lt;/D&gt;&lt;D xsi:type="xsd:double"&gt;47.6&lt;/D&gt;&lt;D xsi:type="xsd:double"&gt;47.6&lt;/D&gt;&lt;D xsi:type="xsd:double"&gt;49.5&lt;/D&gt;&lt;D xsi:type="xsd:double"&gt;49.5&lt;/D&gt;&lt;D xsi:type="xsd:double"&gt;49.5&lt;/D&gt;&lt;D xsi:type="xsd:double"&gt;49.5&lt;/D&gt;&lt;D xsi:type="xsd:double"&gt;49.5&lt;/D&gt;&lt;D xsi:type="xsd:double"&gt;55.5&lt;/D&gt;&lt;D xsi:type="xsd:double"&gt;55.5&lt;/D&gt;&lt;D xsi:type="xsd:double"&gt;55.5&lt;/D&gt;&lt;D xsi:type="xsd:double"&gt;55.5&lt;/D&gt;&lt;D xsi:type="xsd:double"&gt;55.5&lt;/D&gt;&lt;D xsi:type="xsd:double"&gt;54.9&lt;/D&gt;&lt;D xsi:type="xsd:double"&gt;54.9&lt;/D&gt;&lt;D xsi:type="xsd:double"&gt;54.9&lt;/D&gt;&lt;D xsi:type="xsd:double"&gt;54.9&lt;/D&gt;&lt;D xsi:type="xsd:double"&gt;54.9&lt;/D&gt;&lt;D xsi:type="xsd:double"&gt;48.6&lt;/D&gt;&lt;D xsi:type="xsd:double"&gt;48.6&lt;/D&gt;&lt;D xsi:type="xsd:double"&gt;48.6&lt;/D&gt;&lt;D xsi:type="xsd:double"&gt;48.6&lt;/D&gt;&lt;D xsi:type="xsd:double"&gt;48.6&lt;/D&gt;&lt;D xsi:type="xsd:double"&gt;48.1&lt;/D&gt;&lt;D xsi:type="xsd:double"&gt;48.1&lt;/D&gt;&lt;D xsi:type="xsd:double"&gt;48.1&lt;/D&gt;&lt;D xsi:type="xsd:double"&gt;48.1&lt;/D&gt;&lt;D xsi:type="xsd:double"&gt;48.1&lt;/D&gt;&lt;D xsi:type="xsd:double"&gt;48.5&lt;/D&gt;&lt;D xsi:type="xsd:double"&gt;48.5&lt;/D&gt;&lt;D xsi:type="xsd:double"&gt;48.5&lt;/D&gt;&lt;D xsi:type="xsd:double"&gt;48.5&lt;/D&gt;&lt;D xsi:type="xsd:double"&gt;48.5&lt;/D&gt;&lt;D xsi:type="xsd:double"&gt;51.9&lt;/D&gt;&lt;D xsi:type="xsd:double"&gt;51.9&lt;/D&gt;&lt;D xsi:type="xsd:double"&gt;51.9&lt;/D&gt;&lt;D xsi:type="xsd:double"&gt;51.9&lt;/D&gt;&lt;D xsi:type="xsd:double"&gt;51.9&lt;/D&gt;&lt;D xsi:type="xsd:double"&gt;54.4&lt;/D&gt;&lt;D xsi:type="xsd:double"&gt;54.4&lt;/D&gt;&lt;D xsi:type="xsd:double"&gt;54.4&lt;/D&gt;&lt;D xsi:type="xsd:double"&gt;54.4&lt;/D&gt;&lt;D xsi:type="xsd:double"&gt;54.4&lt;/D&gt;&lt;D xsi:type="xsd:double"&gt;66&lt;/D&gt;&lt;D xsi:type="xsd:double"&gt;66&lt;/D&gt;&lt;D xsi:type="xsd:double"&gt;66&lt;/D&gt;&lt;D xsi:type="xsd:double"&gt;66&lt;/D&gt;&lt;D xsi:type="xsd:double"&gt;66&lt;/D&gt;&lt;D xsi:type="xsd:double"&gt;64.7&lt;/D&gt;&lt;D xsi:type="xsd:double"&gt;64.7&lt;/D&gt;&lt;D xsi:type="xsd:double"&gt;64.7&lt;/D&gt;&lt;D xsi:type="xsd:double"&gt;64.7&lt;/D&gt;&lt;D xsi:type="xsd:double"&gt;64.7&lt;/D&gt;&lt;D xsi:type="xsd:double"&gt;66.7&lt;/D&gt;&lt;D xsi:type="xsd:double"&gt;66.7&lt;/D&gt;&lt;D xsi:type="xsd:double"&gt;66.7&lt;/D&gt;&lt;D xsi:type="xsd:double"&gt;66.7&lt;/D&gt;&lt;D xsi:type="xsd:double"&gt;66.7&lt;/D&gt;&lt;D xsi:type="xsd:double"&gt;64.4&lt;/D&gt;&lt;D xsi:type="xsd:double"&gt;64.4&lt;/D&gt;&lt;D xsi:type="xsd:double"&gt;64.4&lt;/D&gt;&lt;D xsi:type="xsd:double"&gt;64.4&lt;/D&gt;&lt;D xsi:type="xsd:double"&gt;64.4&lt;/D&gt;&lt;D xsi:type="xsd:double"&gt;61.9&lt;/D&gt;&lt;D xsi:type="xsd:double"&gt;61.9&lt;/D&gt;&lt;D xsi:type="xsd:double"&gt;61.9&lt;/D&gt;&lt;D xsi:type="xsd:double"&gt;61.9&lt;/D&gt;&lt;D xsi:type="xsd:double"&gt;61.9&lt;/D&gt;&lt;D xsi:type="xsd:string"&gt;@NA&lt;/D&gt;&lt;D xsi:type="xsd:string"&gt;@NA&lt;/D&gt;&lt;D xsi:type="xsd:string"&gt;@NA&lt;/D&gt;&lt;D xsi:type="xsd:string"&gt;@NA&lt;/D&gt;&lt;D xsi:type="xsd:string"&gt;@NA&lt;/D&gt;&lt;D xsi:type="xsd:double"&gt;64.1&lt;/D&gt;&lt;D xsi:type="xsd:double"&gt;64.1&lt;/D&gt;&lt;D xsi:type="xsd:double"&gt;64.1&lt;/D&gt;&lt;D xsi:type="xsd:double"&gt;64.1&lt;/D&gt;&lt;D xsi:type="xsd:double"&gt;64.1&lt;/D&gt;&lt;D xsi:type="xsd:double"&gt;61.9&lt;/D&gt;&lt;D xsi:type="xsd:double"&gt;61.9&lt;/D&gt;&lt;D xsi:type="xsd:double"&gt;61.9&lt;/D&gt;&lt;D xsi:type="xsd:double"&gt;61.9&lt;/D&gt;&lt;D xsi:type="xsd:double"&gt;61.9&lt;/D&gt;&lt;D xsi:type="xsd:double"&gt;64.2&lt;/D&gt;&lt;D xsi:type="xsd:double"&gt;64.2&lt;/D&gt;&lt;D xsi:type="xsd:double"&gt;64.2&lt;/D&gt;&lt;D xsi:type="xsd:double"&gt;64.2&lt;/D&gt;&lt;D xsi:type="xsd:double"&gt;64.2&lt;/D&gt;&lt;D xsi:type="xsd:double"&gt;62.3&lt;/D&gt;&lt;D xsi:type="xsd:double"&gt;62.3&lt;/D&gt;&lt;D xsi:type="xsd:double"&gt;62.3&lt;/D&gt;&lt;D xsi:type="xsd:double"&gt;62.3&lt;/D&gt;&lt;D xsi:type="xsd:double"&gt;62.3&lt;/D&gt;&lt;D xsi:type="xsd:double"&gt;61.5&lt;/D&gt;&lt;D xsi:type="xsd:double"&gt;61.5&lt;/D&gt;&lt;D xsi:type="xsd:double"&gt;61.5&lt;/D&gt;&lt;D xsi:type="xsd:double"&gt;61.5&lt;/D&gt;&lt;D xsi:type="xsd:double"&gt;61.5&lt;/D&gt;&lt;D xsi:type="xsd:double"&gt;63.5&lt;/D&gt;&lt;D xsi:type="xsd:double"&gt;63.5&lt;/D&gt;&lt;D xsi:type="xsd:double"&gt;63.5&lt;/D&gt;&lt;D xsi:type="xsd:double"&gt;63.5&lt;/D&gt;&lt;D xsi:type="xsd:double"&gt;63.5&lt;/D&gt;&lt;D xsi:type="xsd:double"&gt;64.4&lt;/D&gt;&lt;D xsi:type="xsd:double"&gt;64.4&lt;/D&gt;&lt;D xsi:type="xsd:double"&gt;64.4&lt;/D&gt;&lt;D xsi:type="xsd:double"&gt;64.4&lt;/D&gt;&lt;D xsi:type="xsd:double"&gt;64.4&lt;/D&gt;&lt;D xsi:type="xsd:double"&gt;63.5&lt;/D&gt;&lt;D xsi:type="xsd:double"&gt;63.5&lt;/D&gt;&lt;D xsi:type="xsd:double"&gt;63.5&lt;/D&gt;&lt;D xsi:type="xsd:double"&gt;63.5&lt;/D&gt;&lt;D xsi:type="xsd:double"&gt;63.5&lt;/D&gt;&lt;D xsi:type="xsd:double"&gt;62.3&lt;/D&gt;&lt;D xsi:type="xsd:double"&gt;62.3&lt;/D&gt;&lt;D xsi:type="xsd:double"&gt;62.3&lt;/D&gt;&lt;D xsi:type="xsd:double"&gt;62.3&lt;/D&gt;&lt;D xsi:type="xsd:double"&gt;62.3&lt;/D&gt;&lt;D xsi:type="xsd:double"&gt;60&lt;/D&gt;&lt;D xsi:type="xsd:double"&gt;60&lt;/D&gt;&lt;D xsi:type="xsd:double"&gt;60&lt;/D&gt;&lt;D xsi:type="xsd:double"&gt;60&lt;/D&gt;&lt;D xsi:type="xsd:double"&gt;60&lt;/D&gt;&lt;D xsi:type="xsd:double"&gt;60.4&lt;/D&gt;&lt;D xsi:type="xsd:double"&gt;60.4&lt;/D&gt;&lt;D xsi:type="xsd:double"&gt;60.4&lt;/D&gt;&lt;D xsi:type="xsd:double"&gt;60.4&lt;/D&gt;&lt;D xsi:type="xsd:double"&gt;60.4&lt;/D&gt;&lt;D xsi:type="xsd:double"&gt;57.5&lt;/D&gt;&lt;D xsi:type="xsd:double"&gt;57.5&lt;/D&gt;&lt;D xsi:type="xsd:double"&gt;57.5&lt;/D&gt;&lt;D xsi:type="xsd:double"&gt;57.5&lt;/D&gt;&lt;D xsi:type="xsd:double"&gt;57.5&lt;/D&gt;&lt;D xsi:type="xsd:double"&gt;54.3&lt;/D&gt;&lt;D xsi:type="xsd:double"&gt;54.3&lt;/D&gt;&lt;D xsi:type="xsd:double"&gt;54.3&lt;/D&gt;&lt;D xsi:type="xsd:double"&gt;54.3&lt;/D&gt;&lt;D xsi:type="xsd:double"&gt;54.3&lt;/D&gt;&lt;D xsi:type="xsd:double"&gt;50.5&lt;/D&gt;&lt;D xsi:type="xsd:double"&gt;50.5&lt;/D&gt;&lt;D xsi:type="xsd:double"&gt;50.5&lt;/D&gt;&lt;D xsi:type="xsd:double"&gt;50.5&lt;/D&gt;&lt;D xsi:type="xsd:double"&gt;50.5&lt;/D&gt;&lt;D xsi:type="xsd:double"&gt;47.1&lt;/D&gt;&lt;D xsi:type="xsd:double"&gt;47.1&lt;/D&gt;&lt;D xsi:type="xsd:double"&gt;47.1&lt;/D&gt;&lt;D xsi:type="xsd:double"&gt;47.1&lt;/D&gt;&lt;D xsi:type="xsd:double"&gt;47.1&lt;/D&gt;&lt;D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xsi:type="xsd:double"&gt;48.1&lt;/D&gt;&lt;D xsi:type="xsd:double"&gt;48.1&lt;/D&gt;&lt;D xsi:type="xsd:double"&gt;48.1&lt;/D&gt;&lt;D xsi:type="xsd:double"&gt;48.1&lt;/D&gt;&lt;D xsi:type="xsd:double"&gt;48.1&lt;/D&gt;&lt;D xsi:type="xsd:double"&gt;50.5&lt;/D&gt;&lt;D xsi:type="xsd:double"&gt;50.5&lt;/D&gt;&lt;D xsi:type="xsd:double"&gt;50.5&lt;/D&gt;&lt;D xsi:type="xsd:double"&gt;50.5&lt;/D&gt;&lt;D xsi:type="xsd:double"&gt;50.5&lt;/D&gt;&lt;D xsi:type="xsd:double"&gt;57.5&lt;/D&gt;&lt;D xsi:type="xsd:double"&gt;57.5&lt;/D&gt;&lt;D xsi:type="xsd:double"&gt;57.5&lt;/D&gt;&lt;D xsi:type="xsd:double"&gt;57.5&lt;/D&gt;&lt;D xsi:type="xsd:double"&gt;57.5&lt;/D&gt;&lt;D xsi:type="xsd:double"&gt;60&lt;/D&gt;&lt;D xsi:type="xsd:double"&gt;60&lt;/D&gt;&lt;D xsi:type="xsd:double"&gt;60&lt;/D&gt;&lt;D xsi:type="xsd:double"&gt;60&lt;/D&gt;&lt;D xsi:type="xsd:double"&gt;60&lt;/D&gt;&lt;D xsi:type="xsd:double"&gt;60.2&lt;/D&gt;&lt;D xsi:type="xsd:double"&gt;60.2&lt;/D&gt;&lt;D xsi:type="xsd:double"&gt;60.2&lt;/D&gt;&lt;D xsi:type="xsd:double"&gt;60.2&lt;/D&gt;&lt;D xsi:type="xsd:double"&gt;60.2&lt;/D&gt;&lt;D xsi:type="xsd:double"&gt;57.8&lt;/D&gt;&lt;D xsi:type="xsd:double"&gt;57.8&lt;/D&gt;&lt;D xsi:type="xsd:double"&gt;57.8&lt;/D&gt;&lt;D xsi:type="xsd:double"&gt;57.8&lt;/D&gt;&lt;D xsi:type="xsd:double"&gt;57.8&lt;/D&gt;&lt;D xsi:type="xsd:double"&gt;50&lt;/D&gt;&lt;D xsi:type="xsd:double"&gt;50&lt;/D&gt;&lt;D xsi:type="xsd:double"&gt;50&lt;/D&gt;&lt;D xsi:type="xsd:double"&gt;50&lt;/D&gt;&lt;D xsi:type="xsd:double"&gt;50&lt;/D&gt;&lt;D xsi:type="xsd:double"&gt;52.5&lt;/D&gt;&lt;D xsi:type="xsd:double"&gt;52.5&lt;/D&gt;&lt;D xsi:type="xsd:double"&gt;52.5&lt;/D&gt;&lt;D xsi:type="xsd:double"&gt;52.5&lt;/D&gt;&lt;D xsi:type="xsd:double"&gt;52.5&lt;/D&gt;&lt;D xsi:type="xsd:double"&gt;54.9&lt;/D&gt;&lt;D xsi:type="xsd:double"&gt;54.9&lt;/D&gt;&lt;D xsi:type="xsd:double"&gt;54.9&lt;/D&gt;&lt;D xsi:type="xsd:double"&gt;54.9&lt;/D&gt;&lt;D xsi:type="xsd:double"&gt;54.9&lt;/D&gt;&lt;D xsi:type="xsd:double"&gt;51.5&lt;/D&gt;&lt;D xsi:type="xsd:double"&gt;51.5&lt;/D&gt;&lt;D xsi:type="xsd:double"&gt;51.5&lt;/D&gt;&lt;D xsi:type="xsd:double"&gt;51.5&lt;/D&gt;&lt;D xsi:type="xsd:double"&gt;51.5&lt;/D&gt;&lt;D xsi:type="xsd:double"&gt;50&lt;/D&gt;&lt;D xsi:type="xsd:double"&gt;50&lt;/D&gt;&lt;D xsi:type="xsd:double"&gt;50&lt;/D&gt;&lt;D xsi:type="xsd:double"&gt;50&lt;/D&gt;&lt;D xsi:type="xsd:double"&gt;50&lt;/D&gt;&lt;D xsi:type="xsd:double"&gt;55.8&lt;/D&gt;&lt;D xsi:type="xsd:double"&gt;55.8&lt;/D&gt;&lt;D xsi:type="xsd:double"&gt;55.8&lt;/D&gt;&lt;D xsi:type="xsd:double"&gt;55.8&lt;/D&gt;&lt;D xsi:type="xsd:double"&gt;55.8&lt;/D&gt;&lt;D xsi:type="xsd:double"&gt;50&lt;/D&gt;&lt;D xsi:type="xsd:double"&gt;50&lt;/D&gt;&lt;D xsi:type="xsd:double"&gt;50&lt;/D&gt;&lt;D xsi:type="xsd:double"&gt;50&lt;/D&gt;&lt;D xsi:type="xsd:double"&gt;50&lt;/D&gt;&lt;D xsi:type="xsd:double"&gt;51.9&lt;/D&gt;&lt;D xsi:type="xsd:double"&gt;51.9&lt;/D&gt;&lt;D xsi:type="xsd:double"&gt;51.9&lt;/D&gt;&lt;D xsi:type="xsd:double"&gt;51.9&lt;/D&gt;&lt;D xsi:type="xsd:double"&gt;51.9&lt;/D&gt;&lt;D xsi:type="xsd:double"&gt;58.1&lt;/D&gt;&lt;D xsi:type="xsd:double"&gt;58.1&lt;/D&gt;&lt;D xsi:type="xsd:double"&gt;58.1&lt;/D&gt;&lt;D xsi:type="xsd:double"&gt;58.1&lt;/D&gt;&lt;D xsi:type="xsd:double"&gt;58.1&lt;/D&gt;&lt;D xsi:type="xsd:double"&gt;58.7&lt;/D&gt;&lt;D xsi:type="xsd:double"&gt;58.7&lt;/D&gt;&lt;D xsi:type="xsd:double"&gt;58.7&lt;/D&gt;&lt;D xsi:type="xsd:double"&gt;58.7&lt;/D&gt;&lt;D xsi:type="xsd:double"&gt;58.7&lt;/D&gt;&lt;D xsi:type="xsd:double"&gt;58.5&lt;/D&gt;&lt;D xsi:type="xsd:double"&gt;58.5&lt;/D&gt;&lt;D xsi:type="xsd:double"&gt;58.5&lt;/D&gt;&lt;D xsi:type="xsd:double"&gt;58.5&lt;/D&gt;&lt;D xsi:type="xsd:double"&gt;58.5&lt;/D&gt;&lt;D xsi:type="xsd:double"&gt;54.7&lt;/D&gt;&lt;D xsi:type="xsd:double"&gt;54.7&lt;/D&gt;&lt;D xsi:type="xsd:double"&gt;54.7&lt;/D&gt;&lt;D xsi:type="xsd:double"&gt;54.7&lt;/D&gt;&lt;D xsi:type="xsd:double"&gt;54.7&lt;/D&gt;&lt;D xsi:type="xsd:double"&gt;51.9&lt;/D&gt;&lt;D xsi:type="xsd:double"&gt;51.9&lt;/D&gt;&lt;D xsi:type="xsd:double"&gt;51.9&lt;/D&gt;&lt;D xsi:type="xsd:double"&gt;51.9&lt;/D&gt;&lt;D xsi:type="xsd:double"&gt;51.9&lt;/D&gt;&lt;D xsi:type="xsd:double"&gt;56.3&lt;/D&gt;&lt;D xsi:type="xsd:double"&gt;56.3&lt;/D&gt;&lt;D xsi:type="xsd:double"&gt;56.3&lt;/D&gt;&lt;D xsi:type="xsd:double"&gt;56.3&lt;/D&gt;&lt;D xsi:type="xsd:double"&gt;56.3&lt;/D&gt;&lt;D xsi:type="xsd:double"&gt;55.8&lt;/D&gt;&lt;D xsi:type="xsd:double"&gt;55.8&lt;/D&gt;&lt;D xsi:type="xsd:double"&gt;55.8&lt;/D&gt;&lt;D xsi:type="xsd:double"&gt;55.8&lt;/D&gt;&lt;D xsi:type="xsd:double"&gt;55.8&lt;/D&gt;&lt;D xsi:type="xsd:double"&gt;49.5&lt;/D&gt;&lt;D xsi:type="xsd:double"&gt;49.5&lt;/D&gt;&lt;D xsi:type="xsd:double"&gt;49.5&lt;/D&gt;&lt;D xsi:type="xsd:double"&gt;49.5&lt;/D&gt;&lt;D xsi:type="xsd:double"&gt;49.5&lt;/D&gt;&lt;D xsi:type="xsd:double"&gt;56.7&lt;/D&gt;&lt;D xsi:type="xsd:double"&gt;56.7&lt;/D&gt;&lt;D xsi:type="xsd:double"&gt;56.7&lt;/D&gt;&lt;D xsi:type="xsd:double"&gt;56.7&lt;/D&gt;&lt;D xsi:type="xsd:double"&gt;56.7&lt;/D&gt;&lt;D xsi:type="xsd:double"&gt;53.4&lt;/D&gt;&lt;D xsi:type="xsd:double"&gt;53.4&lt;/D&gt;&lt;D xsi:type="xsd:double"&gt;53.4&lt;/D&gt;&lt;D xsi:type="xsd:double"&gt;53.4&lt;/D&gt;&lt;D xsi:type="xsd:double"&gt;53.4&lt;/D&gt;&lt;D xsi:type="xsd:double"&gt;57.7&lt;/D&gt;&lt;D xsi:type="xsd:double"&gt;57.7&lt;/D&gt;&lt;D xsi:type="xsd:double"&gt;57.7&lt;/D&gt;&lt;D xsi:type="xsd:double"&gt;57.7&lt;/D&gt;&lt;D xsi:type="xsd:double"&gt;57.7&lt;/D&gt;&lt;D xsi:type="xsd:double"&gt;63.1&lt;/D&gt;&lt;D xsi:type="xsd:double"&gt;63.1&lt;/D&gt;&lt;D xsi:type="xsd:double"&gt;63.1&lt;/D&gt;&lt;D xsi:type="xsd:double"&gt;63.1&lt;/D&gt;&lt;D xsi:type="xsd:double"&gt;63.1&lt;/D&gt;&lt;D xsi:type="xsd:double"&gt;61.2&lt;/D&gt;&lt;D xsi:type="xsd:double"&gt;61.2&lt;/D&gt;&lt;D xsi:type="xsd:double"&gt;61.2&lt;/D&gt;&lt;D xsi:type="xsd:double"&gt;61.2&lt;/D&gt;&lt;D xsi:type="xsd:double"&gt;61.2&lt;/D&gt;&lt;D xsi:type="xsd:double"&gt;61.8&lt;/D&gt;&lt;D xsi:type="xsd:double"&gt;61.8&lt;/D&gt;&lt;D xsi:type="xsd:double"&gt;61.8&lt;/D&gt;&lt;D xsi:type="xsd:double"&gt;61.8&lt;/D&gt;&lt;D xsi:type="xsd:double"&gt;61.8&lt;/D&gt;&lt;D xsi:type="xsd:double"&gt;62.7&lt;/D&gt;&lt;D xsi:type="xsd:double"&gt;62.7&lt;/D&gt;&lt;D xsi:type="xsd:double"&gt;62.7&lt;/D&gt;&lt;D xsi:type="xsd:double"&gt;62.7&lt;/D&gt;&lt;D xsi:type="xsd:double"&gt;62.7&lt;/D&gt;&lt;D xsi:type="xsd:double"&gt;61.8&lt;/D&gt;&lt;D xsi:type="xsd:double"&gt;61.8&lt;/D&gt;&lt;D xsi:type="xsd:double"&gt;61.8&lt;/D&gt;&lt;D xsi:type="xsd:double"&gt;61.8&lt;/D&gt;&lt;D xsi:type="xsd:double"&gt;61.8&lt;/D&gt;&lt;D xsi:type="xsd:double"&gt;58.2&lt;/D&gt;&lt;D xsi:type="xsd:double"&gt;58.2&lt;/D&gt;&lt;D xsi:type="xsd:double"&gt;58.2&lt;/D&gt;&lt;D xsi:type="xsd:double"&gt;58.2&lt;/D&gt;&lt;D xsi:type="xsd:double"&gt;58.2&lt;/D&gt;&lt;D xsi:type="xsd:double"&gt;60.6&lt;/D&gt;&lt;D xsi:type="xsd:double"&gt;60.6&lt;/D&gt;&lt;D xsi:type="xsd:double"&gt;60.6&lt;/D&gt;&lt;D xsi:type="xsd:double"&gt;60.6&lt;/D&gt;&lt;D xsi:type="xsd:double"&gt;60.6&lt;/D&gt;&lt;D xsi:type="xsd:double"&gt;58.6&lt;/D&gt;&lt;D xsi:type="xsd:double"&gt;58.6&lt;/D&gt;&lt;D xsi:type="xsd:double"&gt;58.6&lt;/D&gt;&lt;D xsi:type="xsd:double"&gt;58.6&lt;/D&gt;&lt;D xsi:type="xsd:double"&gt;58.6&lt;/D&gt;&lt;D xsi:type="xsd:double"&gt;60.2&lt;/D&gt;&lt;D xsi:type="xsd:double"&gt;60.2&lt;/D&gt;&lt;D xsi:type="xsd:double"&gt;60.2&lt;/D&gt;&lt;D xsi:type="xsd:double"&gt;60.2&lt;/D&gt;&lt;D xsi:type="xsd:double"&gt;60.2&lt;/D&gt;&lt;D xsi:type="xsd:string"&gt;@NA&lt;/D&gt;&lt;D xsi:type="xsd:string"&gt;@NA&lt;/D&gt;&lt;D xsi:type="xsd:string"&gt;@NA&lt;/D&gt;&lt;D xsi:type="xsd:string"&gt;@NA&lt;/D&gt;&lt;D xsi:type="xsd:string"&gt;@NA&lt;/D&gt;&lt;D xsi:type="xsd:double"&gt;59.8&lt;/D&gt;&lt;D xsi:type="xsd:double"&gt;59.8&lt;/D&gt;&lt;D xsi:type="xsd:double"&gt;59.8&lt;/D&gt;&lt;D xsi:type="xsd:double"&gt;59.8&lt;/D&gt;&lt;D xsi:type="xsd:double"&gt;59.8&lt;/D&gt;&lt;D xsi:type="xsd:double"&gt;59.6&lt;/D&gt;&lt;D xsi:type="xsd:double"&gt;59.6&lt;/D&gt;&lt;D xsi:type="xsd:double"&gt;59.6&lt;/D&gt;&lt;D xsi:type="xsd:double"&gt;59.6&lt;/D&gt;&lt;D xsi:type="xsd:double"&gt;59.6&lt;/D&gt;&lt;D xsi:type="xsd:double"&gt;58.8&lt;/D&gt;&lt;D xsi:type="xsd:double"&gt;58.8&lt;/D&gt;&lt;D xsi:type="xsd:double"&gt;58.8&lt;/D&gt;&lt;D xsi:type="xsd:double"&gt;58.8&lt;/D&gt;&lt;D xsi:type="xsd:double"&gt;58.8&lt;/D&gt;&lt;D xsi:type="xsd:double"&gt;56.3&lt;/D&gt;&lt;D xsi:type="xsd:double"&gt;56.3&lt;/D&gt;&lt;D xsi:type="xsd:double"&gt;56.3&lt;/D&gt;&lt;D xsi:type="xsd:double"&gt;56.3&lt;/D&gt;&lt;D xsi:type="xsd:double"&gt;56.3&lt;/D&gt;&lt;D xsi:type="xsd:double"&gt;55.9&lt;/D&gt;&lt;D xsi:type="xsd:double"&gt;55.9&lt;/D&gt;&lt;D xsi:type="xsd:double"&gt;55.9&lt;/D&gt;&lt;D xsi:type="xsd:double"&gt;55.9&lt;/D&gt;&lt;D xsi:type="xsd:double"&gt;55.9&lt;/D&gt;&lt;D xsi:type="xsd:double"&gt;51&lt;/D&gt;&lt;D xsi:type="xsd:double"&gt;51&lt;/D&gt;&lt;D xsi:type="xsd:double"&gt;51&lt;/D&gt;&lt;D xsi:type="xsd:double"&gt;51&lt;/D&gt;&lt;D xsi:type="xsd:double"&gt;51&lt;/D&gt;&lt;D xsi:type="xsd:double"&gt;42.9&lt;/D&gt;&lt;D xsi:type="xsd:double"&gt;42.9&lt;/D&gt;&lt;D xsi:type="xsd:double"&gt;42.9&lt;/D&gt;&lt;D xsi:type="xsd:double"&gt;42.9&lt;/D&gt;&lt;D xsi:type="xsd:double"&gt;42.9&lt;/D&gt;&lt;D xsi:type="xsd:double"&gt;41.7&lt;/D&gt;&lt;D xsi:type="xsd:double"&gt;41.7&lt;/D&gt;&lt;D xsi:type="xsd:double"&gt;41.7&lt;/D&gt;&lt;D xsi:type="xsd:double"&gt;41.7&lt;/D&gt;&lt;D xsi:type="xsd:double"&gt;41.7&lt;/D&gt;&lt;D xsi:type="xsd:double"&gt;47.1&lt;/D&gt;&lt;D xsi:type="xsd:double"&gt;47.1&lt;/D&gt;&lt;D xsi:type="xsd:double"&gt;47.1&lt;/D&gt;&lt;D xsi:type="xsd:double"&gt;47.1&lt;/D&gt;&lt;D xsi:type="xsd:double"&gt;47.1&lt;/D&gt;&lt;D xsi:type="xsd:double"&gt;42.9&lt;/D&gt;&lt;D xsi:type="xsd:double"&gt;42.9&lt;/D&gt;&lt;D xsi:type="xsd:double"&gt;42.9&lt;/D&gt;&lt;D xsi:type="xsd:double"&gt;42.9&lt;/D&gt;&lt;D xsi:type="xsd:double"&gt;42.9&lt;/D&gt;&lt;D xsi:type="xsd:double"&gt;46.1&lt;/D&gt;&lt;D xsi:type="xsd:double"&gt;46.1&lt;/D&gt;&lt;D xsi:type="xsd:double"&gt;46.1&lt;/D&gt;&lt;D xsi:type="xsd:double"&gt;46.1&lt;/D&gt;&lt;D xsi:type="xsd:double"&gt;46.1&lt;/D&gt;&lt;D xsi:type="xsd:double"&gt;46.7&lt;/D&gt;&lt;D xsi:type="xsd:double"&gt;46.7&lt;/D&gt;&lt;D xsi:type="xsd:double"&gt;46.7&lt;/D&gt;&lt;D xsi:type="xsd:double"&gt;46.7&lt;/D&gt;&lt;D xsi:type="xsd:double"&gt;46.7&lt;/D&gt;&lt;D xsi:type="xsd:double"&gt;45.2&lt;/D&gt;&lt;D xsi:type="xsd:double"&gt;45.2&lt;/D&gt;&lt;D xsi:type="xsd:double"&gt;45.2&lt;/D&gt;&lt;D xsi:type="xsd:double"&gt;45.2&lt;/D&gt;&lt;D xsi:type="xsd:double"&gt;45.2&lt;/D&gt;&lt;D xsi:type="xsd:double"&gt;44.6&lt;/D&gt;&lt;D xsi:type="xsd:double"&gt;44.6&lt;/D&gt;&lt;D xsi:type="xsd:double"&gt;44.6&lt;/D&gt;&lt;D xsi:type="xsd:double"&gt;44.6&lt;/D&gt;&lt;D xsi:type="xsd:double"&gt;44.6&lt;/D&gt;&lt;D xsi:type="xsd:double"&gt;49&lt;/D&gt;&lt;D xsi:type="xsd:double"&gt;49&lt;/D&gt;&lt;D xsi:type="xsd:double"&gt;49&lt;/D&gt;&lt;D xsi:type="xsd:double"&gt;49&lt;/D&gt;&lt;D xsi:type="xsd:double"&gt;49&lt;/D&gt;&lt;D xsi:type="xsd:double"&gt;52.5&lt;/D&gt;&lt;D xsi:type="xsd:double"&gt;52.5&lt;/D&gt;&lt;D xsi:type="xsd:double"&gt;52.5&lt;/D&gt;&lt;D xsi:type="xsd:double"&gt;52.5&lt;/D&gt;&lt;D xsi:type="xsd:double"&gt;52.5&lt;/D&gt;&lt;D xsi:type="xsd:double"&gt;55.9&lt;/D&gt;&lt;D xsi:type="xsd:double"&gt;55.9&lt;/D&gt;&lt;D xsi:type="xsd:double"&gt;55.9&lt;/D&gt;&lt;D xsi:type="xsd:double"&gt;55.9&lt;/D&gt;&lt;D xsi:type="xsd:double"&gt;55.9&lt;/D&gt;&lt;D xsi:type="xsd:double"&gt;56.7&lt;/D&gt;&lt;D xsi:type="xsd:double"&gt;56.7&lt;/D&gt;&lt;D xsi:type="xsd:double"&gt;56.7&lt;/D&gt;&lt;D xsi:type="xsd:double"&gt;56.7&lt;/D&gt;&lt;D xsi:type="xsd:double"&gt;56.7&lt;/D&gt;&lt;D xsi:type="xsd:double"&gt;56.2&lt;/D&gt;&lt;D xsi:type="xsd:double"&gt;56.2&lt;/D&gt;&lt;D xsi:type</t>
        </r>
      </text>
    </comment>
    <comment ref="A33" authorId="0" shapeId="0" xr:uid="{E0594BD6-ECA8-4E5F-B1C7-40B4EC9C23BE}">
      <text>
        <r>
          <rPr>
            <b/>
            <sz val="9"/>
            <color indexed="81"/>
            <rFont val="Tahoma"/>
            <charset val="1"/>
          </rPr>
          <t>="xsd:double"&gt;56.2&lt;/D&gt;&lt;D xsi:type="xsd:double"&gt;56.2&lt;/D&gt;&lt;D xsi:type="xsd:double"&gt;56.2&lt;/D&gt;&lt;D xsi:type="xsd:double"&gt;54.3&lt;/D&gt;&lt;D xsi:type="xsd:double"&gt;54.3&lt;/D&gt;&lt;D xsi:type="xsd:double"&gt;54.3&lt;/D&gt;&lt;D xsi:type="xsd:double"&gt;54.3&lt;/D&gt;&lt;D xsi:type="xsd:double"&gt;54.3&lt;/D&gt;&lt;D xsi:type="xsd:double"&gt;52.9&lt;/D&gt;&lt;D xsi:type="xsd:double"&gt;52.9&lt;/D&gt;&lt;D xsi:type="xsd:double"&gt;52.9&lt;/D&gt;&lt;D xsi:type="xsd:double"&gt;52.9&lt;/D&gt;&lt;D xsi:type="xsd:double"&gt;52.9&lt;/D&gt;&lt;D xsi:type="xsd:double"&gt;53.9&lt;/D&gt;&lt;D xsi:type="xsd:double"&gt;53.9&lt;/D&gt;&lt;D xsi:type="xsd:double"&gt;53.9&lt;/D&gt;&lt;D xsi:type="xsd:double"&gt;53.9&lt;/D&gt;&lt;D xsi:type="xsd:double"&gt;53.9&lt;/D&gt;&lt;D xsi:type="xsd:double"&gt;54.4&lt;/D&gt;&lt;D xsi:type="xsd:double"&gt;54.4&lt;/D&gt;&lt;D xsi:type="xsd:double"&gt;54.4&lt;/D&gt;&lt;D xsi:type="xsd:double"&gt;54.4&lt;/D&gt;&lt;D xsi:type="xsd:double"&gt;54.4&lt;/D&gt;&lt;D xsi:type="xsd:double"&gt;52.5&lt;/D&gt;&lt;D xsi:type="xsd:double"&gt;52.5&lt;/D&gt;&lt;D xsi:type="xsd:double"&gt;52.5&lt;/D&gt;&lt;D xsi:type="xsd:double"&gt;52.5&lt;/D&gt;&lt;D xsi:type="xsd:double"&gt;52.5&lt;/D&gt;&lt;D xsi:type="xsd:double"&gt;47.1&lt;/D&gt;&lt;D xsi:type="xsd:double"&gt;47.1&lt;/D&gt;&lt;D xsi:type="xsd:double"&gt;47.1&lt;/D&gt;&lt;D xsi:type="xsd:double"&gt;47.1&lt;/D&gt;&lt;D xsi:type="xsd:double"&gt;47.1&lt;/D&gt;&lt;D xsi:type="xsd:double"&gt;41.6&lt;/D&gt;&lt;D xsi:type="xsd:double"&gt;41.6&lt;/D&gt;&lt;D xsi:type="xsd:double"&gt;41.6&lt;/D&gt;&lt;D xsi:type="xsd:double"&gt;41.6&lt;/D&gt;&lt;D xsi:type="xsd:double"&gt;41.6&lt;/D&gt;&lt;D xsi:type="xsd:double"&gt;47.5&lt;/D&gt;&lt;D xsi:type="xsd:double"&gt;47.5&lt;/D&gt;&lt;D xsi:type="xsd:double"&gt;47.5&lt;/D&gt;&lt;D xsi:type="xsd:double"&gt;47.5&lt;/D&gt;&lt;D xsi:type="xsd:double"&gt;47.5&lt;/D&gt;&lt;D xsi:type="xsd:double"&gt;45.9&lt;/D&gt;&lt;D xsi:type="xsd:double"&gt;45.9&lt;/D&gt;&lt;D xsi:type="xsd:double"&gt;45.9&lt;/D&gt;&lt;D xsi:type="xsd:double"&gt;45.9&lt;/D&gt;&lt;D xsi:type="xsd:double"&gt;45.9&lt;/D&gt;&lt;D xsi:type="xsd:double"&gt;47.3&lt;/D&gt;&lt;D xsi:type="xsd:double"&gt;47.3&lt;/D&gt;&lt;D xsi:type="xsd:double"&gt;47.3&lt;/D&gt;&lt;D xsi:type="xsd:double"&gt;47.3&lt;/D&gt;&lt;D xsi:type="xsd:double"&gt;47.3&lt;/D&gt;&lt;D xsi:type="xsd:double"&gt;45.4&lt;/D&gt;&lt;D xsi:type="xsd:double"&gt;45.4&lt;/D&gt;&lt;D xsi:type="xsd:double"&gt;45.4&lt;/D&gt;&lt;D xsi:type="xsd:double"&gt;45.4&lt;/D&gt;&lt;D xsi:type="xsd:double"&gt;45.4&lt;/D&gt;&lt;D xsi:type="xsd:double"&gt;35.4&lt;/D&gt;&lt;D xsi:type="xsd:double"&gt;35.4&lt;/D&gt;&lt;D xsi:type="xsd:double"&gt;35.4&lt;/D&gt;&lt;D xsi:type="xsd:double"&gt;35.4&lt;/D&gt;&lt;D xsi:type="xsd:double"&gt;35.4&lt;/D&gt;&lt;D xsi:type="xsd:double"&gt;40.2&lt;/D&gt;&lt;D xsi:type="xsd:double"&gt;40.2&lt;/D&gt;&lt;D xsi:type="xsd:double"&gt;40.2&lt;/D&gt;&lt;D xsi:type="xsd:double"&gt;40.2&lt;/D&gt;&lt;D xsi:type="xsd:double"&gt;40.2&lt;/D&gt;&lt;D xsi:type="xsd:double"&gt;39.2&lt;/D&gt;&lt;D xsi:type="xsd:double"&gt;39.2&lt;/D&gt;&lt;D xsi:type="xsd:double"&gt;39.2&lt;/D&gt;&lt;D xsi:type="xsd:double"&gt;39.2&lt;/D&gt;&lt;D xsi:type="xsd:double"&gt;39.2&lt;/D&gt;&lt;D xsi:type="xsd:double"&gt;40.2&lt;/D&gt;&lt;D xsi:type="xsd:double"&gt;40.2&lt;/D&gt;&lt;D xsi:type="xsd:double"&gt;40.2&lt;/D&gt;&lt;D xsi:type="xsd:double"&gt;40.2&lt;/D&gt;&lt;D xsi:type="xsd:double"&gt;40.2&lt;/D&gt;&lt;D xsi:type="xsd:double"&gt;44.3&lt;/D&gt;&lt;D xsi:type="xsd:double"&gt;44.3&lt;/D&gt;&lt;D xsi:type="xsd:double"&gt;44.3&lt;/D&gt;&lt;D xsi:type="xsd:double"&gt;44.3&lt;/D&gt;&lt;D xsi:type="xsd:double"&gt;44.3&lt;/D&gt;&lt;D xsi:type="xsd:double"&gt;47.4&lt;/D&gt;&lt;D xsi:type="xsd:double"&gt;47.4&lt;/D&gt;&lt;D xsi:type="xsd:double"&gt;47.4&lt;/D&gt;&lt;D xsi:type="xsd:double"&gt;47.4&lt;/D&gt;&lt;D xsi:type="xsd:double"&gt;47.4&lt;/D&gt;&lt;D xsi:type="xsd:double"&gt;41.2&lt;/D&gt;&lt;D xsi:type="xsd:double"&gt;41.2&lt;/D&gt;&lt;D xsi:type="xsd:double"&gt;41.2&lt;/D&gt;&lt;D xsi:type="xsd:double"&gt;41.2&lt;/D&gt;&lt;D xsi:type="xsd:double"&gt;41.2&lt;/D&gt;&lt;D xsi:type="xsd:double"&gt;45.4&lt;/D&gt;&lt;D xsi:type="xsd:double"&gt;45.4&lt;/D&gt;&lt;D xsi:type="xsd:double"&gt;45.4&lt;/D&gt;&lt;D xsi:type="xsd:double"&gt;45.4&lt;/D&gt;&lt;D xsi:type="xsd:double"&gt;45.4&lt;/D&gt;&lt;D xsi:type="xsd:double"&gt;43.3&lt;/D&gt;&lt;D xsi:type="xsd:double"&gt;43.3&lt;/D&gt;&lt;D xsi:type="xsd:double"&gt;43.3&lt;/D&gt;&lt;D xsi:type="xsd:double"&gt;43.3&lt;/D&gt;&lt;D xsi:type="xsd:double"&gt;43.3&lt;/D&gt;&lt;D xsi:type="xsd:double"&gt;47.4&lt;/D&gt;&lt;D xsi:type="xsd:double"&gt;47.4&lt;/D&gt;&lt;D xsi:type="xsd:double"&gt;47.4&lt;/D&gt;&lt;D xsi:type="xsd:double"&gt;47.4&lt;/D&gt;&lt;D xsi:type="xsd:double"&gt;47.4&lt;/D&gt;&lt;D xsi:type="xsd:double"&gt;44.4&lt;/D&gt;&lt;D xsi:type="xsd:double"&gt;44.4&lt;/D&gt;&lt;D xsi:type="xsd:double"&gt;44.4&lt;/D&gt;&lt;D xsi:type="xsd:double"&gt;44.4&lt;/D&gt;&lt;D xsi:type="xsd:double"&gt;44.4&lt;/D&gt;&lt;D xsi:type="xsd:double"&gt;39.4&lt;/D&gt;&lt;D xsi:type="xsd:double"&gt;39.4&lt;/D&gt;&lt;D xsi:type="xsd:double"&gt;39.4&lt;/D&gt;&lt;D xsi:type="xsd:double"&gt;39.4&lt;/D&gt;&lt;D xsi:type="xsd:double"&gt;39.4&lt;/D&gt;&lt;D xsi:type="xsd:double"&gt;36.4&lt;/D&gt;&lt;D xsi:type="xsd:double"&gt;36.4&lt;/D&gt;&lt;D xsi:type="xsd:double"&gt;36.4&lt;/D&gt;&lt;D xsi:type="xsd:double"&gt;36.4&lt;/D&gt;&lt;D xsi:type="xsd:double"&gt;36.4&lt;/D&gt;&lt;D xsi:type="xsd:double"&gt;34.7&lt;/D&gt;&lt;D xsi:type="xsd:double"&gt;34.7&lt;/D&gt;&lt;D xsi:type="xsd:double"&gt;34.7&lt;/D&gt;&lt;D xsi:type="xsd:double"&gt;34.7&lt;/D&gt;&lt;D xsi:type="xsd:double"&gt;34.7&lt;/D&gt;&lt;D xsi:type="xsd:double"&gt;26.5&lt;/D&gt;&lt;D xsi:type="xsd:double"&gt;26.5&lt;/D&gt;&lt;D xsi:type="xsd:double"&gt;26.5&lt;/D&gt;&lt;D xsi:type="xsd:double"&gt;26.5&lt;/D&gt;&lt;D xsi:type="xsd:double"&gt;26.5&lt;/D&gt;&lt;D xsi:type="xsd:double"&gt;24.7&lt;/D&gt;&lt;D xsi:type="xsd:double"&gt;24.7&lt;/D&gt;&lt;D xsi:type="xsd:double"&gt;24.7&lt;/D&gt;&lt;D xsi:type="xsd:double"&gt;24.7&lt;/D&gt;&lt;D xsi:type="xsd:double"&gt;24.7&lt;/D&gt;&lt;D xsi:type="xsd:double"&gt;34&lt;/D&gt;&lt;D xsi:type="xsd:double"&gt;34&lt;/D&gt;&lt;D xsi:type="xsd:double"&gt;34&lt;/D&gt;&lt;D xsi:type="xsd:double"&gt;34&lt;/D&gt;&lt;D xsi:type="xsd:double"&gt;34&lt;/D&gt;&lt;D xsi:type="xsd:double"&gt;29.2&lt;/D&gt;&lt;D xsi:type="xsd:double"&gt;29.2&lt;/D&gt;&lt;D xsi:type="xsd:double"&gt;29.2&lt;/D&gt;&lt;D xsi:type="xsd:double"&gt;29.2&lt;/D&gt;&lt;D xsi:type="xsd:double"&gt;29.2&lt;/D&gt;&lt;D xsi:type="xsd:double"&gt;26.8&lt;/D&gt;&lt;D xsi:type="xsd:double"&gt;26.8&lt;/D&gt;&lt;D xsi:type="xsd:double"&gt;26.8&lt;/D&gt;&lt;D xsi:type="xsd:double"&gt;26.8&lt;/D&gt;&lt;D xsi:type="xsd:double"&gt;26.8&lt;/D&gt;&lt;D xsi:type="xsd:double"&gt;28.6&lt;/D&gt;&lt;D xsi:type="xsd:double"&gt;28.6&lt;/D&gt;&lt;D xsi:type="xsd:double"&gt;28.6&lt;/D&gt;&lt;D xsi:type="xsd:double"&gt;28.6&lt;/D&gt;&lt;D xsi:type="xsd:double"&gt;28.6&lt;/D&gt;&lt;D xsi:type="xsd:double"&gt;34.7&lt;/D&gt;&lt;D xsi:type="xsd:double"&gt;34.7&lt;/D&gt;&lt;D xsi:type="xsd:double"&gt;34.7&lt;/D&gt;&lt;D xsi:type="xsd:double"&gt;34.7&lt;/D&gt;&lt;D xsi:type="xsd:double"&gt;34.7&lt;/D&gt;&lt;D xsi:type="xsd:string"&gt;@NA&lt;/D&gt;&lt;D xsi:type="xsd:string"&gt;@NA&lt;/D&gt;&lt;D xsi:type="xsd:string"&gt;@NA&lt;/D&gt;&lt;D xsi:type="xsd:string"&gt;@NA&lt;/D&gt;&lt;D xsi:type="xsd:string"&gt;@NA&lt;/D&gt;&lt;D xsi:type="xsd:double"&gt;36.7&lt;/D&gt;&lt;D xsi:type="xsd:double"&gt;36.7&lt;/D&gt;&lt;D xsi:type="xsd:double"&gt;36.7&lt;/D&gt;&lt;D xsi:type="xsd:double"&gt;36.7&lt;/D&gt;&lt;D xsi:type="xsd:double"&gt;36.7&lt;/D&gt;&lt;D xsi:type="xsd:double"&gt;37.8&lt;/D&gt;&lt;D xsi:type="xsd:double"&gt;37.8&lt;/D&gt;&lt;D xsi:type="xsd:double"&gt;37.8&lt;/D&gt;&lt;D xsi:type="xsd:double"&gt;37.8&lt;/D&gt;&lt;D xsi:type="xsd:double"&gt;37.8&lt;/D&gt;&lt;D xsi:type="xsd:double"&gt;44.9&lt;/D&gt;&lt;D xsi:type="xsd:double"&gt;44.9&lt;/D&gt;&lt;D xsi:type="xsd:double"&gt;44.9&lt;/D&gt;&lt;D xsi:type="xsd:double"&gt;44.9&lt;/D&gt;&lt;D xsi:type="xsd:double"&gt;44.9&lt;/D&gt;&lt;D xsi:type="xsd:double"&gt;41.2&lt;/D&gt;&lt;D xsi:type="xsd:double"&gt;41.2&lt;/D&gt;&lt;D xsi:type="xsd:double"&gt;41.2&lt;/D&gt;&lt;D xsi:type="xsd:double"&gt;41.2&lt;/D&gt;&lt;D xsi:type="xsd:double"&gt;41.2&lt;/D&gt;&lt;D xsi:type="xsd:double"&gt;45.4&lt;/D&gt;&lt;D xsi:type="xsd:double"&gt;45.4&lt;/D&gt;&lt;D xsi:type="xsd:double"&gt;45.4&lt;/D&gt;&lt;D xsi:type="xsd:double"&gt;45.4&lt;/D&gt;&lt;D xsi:type="xsd:double"&gt;45.4&lt;/D&gt;&lt;D xsi:type="xsd:double"&gt;43.3&lt;/D&gt;&lt;D xsi:type="xsd:double"&gt;43.3&lt;/D&gt;&lt;D xsi:type="xsd:double"&gt;43.3&lt;/D&gt;&lt;D xsi:type="xsd:double"&gt;43.3&lt;/D&gt;&lt;D xsi:type="xsd:double"&gt;43.3&lt;/D&gt;&lt;D xsi:type="xsd:double"&gt;45.3&lt;/D&gt;&lt;D xsi:type="xsd:double"&gt;45.3&lt;/D&gt;&lt;D xsi:type="xsd:double"&gt;45.3&lt;/D&gt;&lt;D xsi:type="xsd:double"&gt;45.3&lt;/D&gt;&lt;D xsi:type="xsd:double"&gt;45.3&lt;/D&gt;&lt;D xsi:type="xsd:double"&gt;46.9&lt;/D&gt;&lt;D xsi:type="xsd:double"&gt;46.9&lt;/D&gt;&lt;D xsi:type="xsd:double"&gt;46.9&lt;/D&gt;&lt;D xsi:type="xsd:double"&gt;46.9&lt;/D&gt;&lt;D xsi:type="xsd:double"&gt;46.9&lt;/D&gt;&lt;D xsi:type="xsd:double"&gt;43.7&lt;/D&gt;&lt;D xsi:type="xsd:double"&gt;43.7&lt;/D&gt;&lt;D xsi:type="xsd:double"&gt;43.7&lt;/D&gt;&lt;D xsi:type="xsd:double"&gt;43.7&lt;/D&gt;&lt;D xsi:type="xsd:double"&gt;43.7&lt;/D&gt;&lt;D xsi:type="xsd:double"&gt;37.5&lt;/D&gt;&lt;D xsi:type="xsd:double"&gt;37.5&lt;/D&gt;&lt;D xsi:type="xsd:double"&gt;37.5&lt;/D&gt;&lt;D xsi:type="xsd:double"&gt;37.5&lt;/D&gt;&lt;D xsi:type="xsd:double"&gt;37.5&lt;/D&gt;&lt;D xsi:type="xsd:double"&gt;36.5&lt;/D&gt;&lt;D xsi:type="xsd:double"&gt;36.5&lt;/D&gt;&lt;D xsi:type="xsd:double"&gt;36.5&lt;/D&gt;&lt;D xsi:type="xsd:double"&gt;36.5&lt;/D&gt;&lt;D xsi:type="xsd:double"&gt;36.5&lt;/D&gt;&lt;D xsi:type="xsd:double"&gt;30.2&lt;/D&gt;&lt;D xsi:type="xsd:double"&gt;30.2&lt;/D&gt;&lt;D xsi:type="xsd:double"&gt;30.2&lt;/D&gt;&lt;D xsi:type="xsd:double"&gt;30.2&lt;/D&gt;&lt;D xsi:type="xsd:double"&gt;30.2&lt;/D&gt;&lt;D xsi:type="xsd:double"&gt;24.7&lt;/D&gt;&lt;D xsi:type="xsd:double"&gt;24.7&lt;/D&gt;&lt;D xsi:type="xsd:double"&gt;24.7&lt;/D&gt;&lt;D xsi:type="xsd:double"&gt;24.7&lt;/D&gt;&lt;D xsi:type="xsd:double"&gt;24.7&lt;/D&gt;&lt;D xsi:type="xsd:double"&gt;26&lt;/D&gt;&lt;D xsi:type="xsd:double"&gt;26&lt;/D&gt;&lt;D xsi:type="xsd:double"&gt;26&lt;/D&gt;&lt;D xsi:type="xsd:double"&gt;26&lt;/D&gt;&lt;D xsi:type="xsd:double"&gt;26&lt;/D&gt;&lt;D xsi:type="xsd:double"&gt;26.8&lt;/D&gt;&lt;D xsi:type="xsd:double"&gt;26.8&lt;/D&gt;&lt;D xsi:type="xsd:double"&gt;26.8&lt;/D&gt;&lt;D xsi:type="xsd:double"&gt;26.8&lt;/D&gt;&lt;D xsi:type="xsd:double"&gt;26.8&lt;/D&gt;&lt;D xsi:type="xsd:double"&gt;25.7&lt;/D&gt;&lt;D xsi:type="xsd:double"&gt;25.7&lt;/D&gt;&lt;D xsi:type="xsd:double"&gt;25.7&lt;/D&gt;&lt;D xsi:type="xsd:double"&gt;25.7&lt;/D&gt;&lt;D xsi:type="xsd:double"&gt;25.7&lt;/D&gt;&lt;D xsi:type="xsd:double"&gt;27.8&lt;/D&gt;&lt;D xsi:type="xsd:double"&gt;27.8&lt;/D&gt;&lt;D xsi:type="xsd:double"&gt;27.8&lt;/D&gt;&lt;D xsi:type="xsd:double"&gt;27.8&lt;/D&gt;&lt;D xsi:type="xsd:double"&gt;27.8&lt;/D&gt;&lt;D xsi:type="xsd:double"&gt;31.6&lt;/D&gt;&lt;D xsi:type="xsd:double"&gt;31.6&lt;/D&gt;&lt;D xsi:type="xsd:double"&gt;31.6&lt;/D&gt;&lt;D xsi:type="xsd:double"&gt;31.6&lt;/D&gt;&lt;D xsi:type="xsd:double"&gt;31.6&lt;/D&gt;&lt;D xsi:type="xsd:double"&gt;37.7&lt;/D&gt;&lt;D xsi:type="xsd:double"&gt;37.7&lt;/D&gt;&lt;D xsi:type="xsd:double"&gt;37.7&lt;/D&gt;&lt;D xsi:type="xsd:double"&gt;37.7&lt;/D&gt;&lt;D xsi:type="xsd:double"&gt;37.7&lt;/D&gt;&lt;D xsi:type="xsd:double"&gt;40.2&lt;/D&gt;&lt;D xsi:type="xsd:double"&gt;40.2&lt;/D&gt;&lt;D xsi:type="xsd:double"&gt;40.2&lt;/D&gt;&lt;D xsi:type="xsd:double"&gt;40.2&lt;/D&gt;&lt;D xsi:type="xsd:double"&gt;40.2&lt;/D&gt;&lt;D xsi:type="xsd:double"&gt;42.2&lt;/D&gt;&lt;D xsi:type="xsd:double"&gt;42.2&lt;/D&gt;&lt;D xsi:type="xsd:double"&gt;42.2&lt;/D&gt;&lt;D xsi:type="xsd:double"&gt;42.2&lt;/D&gt;&lt;D xsi:type="xsd:double"&gt;42.2&lt;/D&gt;&lt;D xsi:type="xsd:double"&gt;43.3&lt;/D&gt;&lt;D xsi:type="xsd:double"&gt;43.3&lt;/D&gt;&lt;D xsi:type="xsd:double"&gt;43.3&lt;/D&gt;&lt;D xsi:type="xsd:double"&gt;43.3&lt;/D&gt;&lt;D xsi:type="xsd:double"&gt;43.3&lt;/D&gt;&lt;D xsi:type="xsd:double"&gt;49&lt;/D&gt;&lt;D xsi:type="xsd:double"&gt;49&lt;/D&gt;&lt;D xsi:type="xsd:double"&gt;49&lt;/D&gt;&lt;D xsi:type="xsd:double"&gt;49&lt;/D&gt;&lt;D xsi:type="xsd:double"&gt;49&lt;/D&gt;&lt;D xsi:type="xsd:double"&gt;43.7&lt;/D&gt;&lt;D xsi:type="xsd:double"&gt;43.7&lt;/D&gt;&lt;D xsi:type="xsd:double"&gt;43.7&lt;/D&gt;&lt;D xsi:type="xsd:double"&gt;43.7&lt;/D&gt;&lt;D xsi:type="xsd:double"&gt;43.7&lt;/D&gt;&lt;D xsi:type="xsd:double"&gt;44.8&lt;/D&gt;&lt;D xsi:type="xsd:double"&gt;44.8&lt;/D&gt;&lt;D xsi:type="xsd:double"&gt;44.8&lt;/D&gt;&lt;D xsi:type="xsd:double"&gt;44.8&lt;/D&gt;&lt;D xsi:type="xsd:double"&gt;44.8&lt;/D&gt;&lt;D xsi:type="xsd:double"&gt;49.5&lt;/D&gt;&lt;D xsi:type="xsd:double"&gt;49.5&lt;/D&gt;&lt;D xsi:type="xsd:double"&gt;49.5&lt;/D&gt;&lt;D xsi:type="xsd:double"&gt;49.5&lt;/D&gt;&lt;D xsi:type="xsd:double"&gt;49.5&lt;/D&gt;&lt;D xsi:type="xsd:double"&gt;51.6&lt;/D&gt;&lt;D xsi:type="xsd:double"&gt;51.6&lt;/D&gt;&lt;D xsi:type="xsd:double"&gt;51.6&lt;/D&gt;&lt;D xsi:type="xsd:double"&gt;51.6&lt;/D&gt;&lt;D xsi:type="xsd:double"&gt;51.6&lt;/D&gt;&lt;D xsi:type="xsd:double"&gt;45.5&lt;/D&gt;&lt;D xsi:type="xsd:double"&gt;45.5&lt;/D&gt;&lt;D xsi:type="xsd:double"&gt;45.5&lt;/D&gt;&lt;D xsi:type="xsd:double"&gt;45.5&lt;/D&gt;&lt;D xsi:type="xsd:double"&gt;45.5&lt;/D&gt;&lt;D xsi:type="xsd:double"&gt;47.4&lt;/D&gt;&lt;D xsi:type="xsd:double"&gt;47.4&lt;/D&gt;&lt;D xsi:type="xsd:double"&gt;47.4&lt;/D&gt;&lt;D xsi:type="xsd:double"&gt;47.4&lt;/D&gt;&lt;D xsi:type="xsd:double"&gt;47.4&lt;/D&gt;&lt;D xsi:type="xsd:double"&gt;51.5&lt;/D&gt;&lt;D xsi:type="xsd:double"&gt;51.5&lt;/D&gt;&lt;D xsi:type="xsd:double"&gt;51.5&lt;/D&gt;&lt;D xsi:type="xsd:double"&gt;51.5&lt;/D&gt;&lt;D xsi:type="xsd:double"&gt;51.5&lt;/D&gt;&lt;D xsi:type="xsd:double"&gt;48.5&lt;/D&gt;&lt;D xsi:type="xsd:double"&gt;48.5&lt;/D&gt;&lt;D xsi:type="xsd:double"&gt;48.5&lt;/D&gt;&lt;D xsi:type="xsd:double"&gt;48.5&lt;/D&gt;&lt;D xsi:type="xsd:double"&gt;48.5&lt;/D&gt;&lt;D xsi:type="xsd:double"&gt;50.6&lt;/D&gt;&lt;D xsi:type="xsd:double"&gt;50.6&lt;/D&gt;&lt;D xsi:type="xsd:double"&gt;50.6&lt;/D&gt;&lt;D xsi:type="xsd:double"&gt;50.6&lt;/D&gt;&lt;D xsi:type="xsd:double"&gt;50.6&lt;/D&gt;&lt;D xsi:type="xsd:double"&gt;47.5&lt;/D&gt;&lt;D xsi:type="xsd:double"&gt;47.5&lt;/D&gt;&lt;D xsi:type="xsd:double"&gt;47.5&lt;/D&gt;&lt;D xsi:type="xsd:double"&gt;47.5&lt;/D&gt;&lt;D xsi:type="xsd:double"&gt;47.5&lt;/D&gt;&lt;D xsi:type="xsd:double"&gt;52.5&lt;/D&gt;&lt;D xsi:type="xsd:double"&gt;52.5&lt;/D&gt;&lt;D xsi:type="xsd:double"&gt;52.5&lt;/D&gt;&lt;D xsi:type="xsd:double"&gt;52.5&lt;/D&gt;&lt;D xsi:type="xsd:double"&gt;52.5&lt;/D&gt;&lt;D xsi:type="xsd:double"&gt;57.4&lt;/D&gt;&lt;D xsi:type="xsd:double"&gt;57.4&lt;/D&gt;&lt;D xsi:type="xsd:double"&gt;57.4&lt;/D&gt;&lt;D xsi:type="xsd:double"&gt;57.4&lt;/D&gt;&lt;D xsi:type="xsd:double"&gt;57.4&lt;/D&gt;&lt;D xsi:type="xsd:double"&gt;52.5&lt;/D&gt;&lt;D xsi:type="xsd:double"&gt;52.5&lt;/D&gt;&lt;D xsi:type="xsd:double"&gt;52.5&lt;/D&gt;&lt;D xsi:type="xsd:double"&gt;52.5&lt;/D&gt;&lt;D xsi:type="xsd:double"&gt;52.5&lt;/D&gt;&lt;D xsi:type="xsd:double"&gt;50.5&lt;/D&gt;&lt;D xsi:type="xsd:double"&gt;50.5&lt;/D&gt;&lt;D xsi:type="xsd:double"&gt;50.5&lt;/D&gt;&lt;D xsi:type="xsd:double"&gt;50.5&lt;/D&gt;&lt;D xsi:type="xsd:double"&gt;50.5&lt;/D&gt;&lt;D xsi:type="xsd:double"&gt;50.4&lt;/D&gt;&lt;D xsi:type="xsd:double"&gt;50.4&lt;/D&gt;&lt;D xsi:type="xsd:double"&gt;50.4&lt;/D&gt;&lt;D xsi:type="xsd:double"&gt;50.4&lt;/D&gt;&lt;D xsi:type="xsd:double"&gt;50.4&lt;/D&gt;&lt;D xsi:type="xsd:double"&gt;54.5&lt;/D&gt;&lt;D xsi:type="xsd:double"&gt;54.5&lt;/D&gt;&lt;D xsi:type="xsd:double"&gt;54.5&lt;/D&gt;&lt;D xsi:type="xsd:double"&gt;54.5&lt;/D&gt;&lt;D xsi:type="xsd:double"&gt;54.5&lt;/D&gt;&lt;D xsi:type="xsd:double"&gt;56.6&lt;/D&gt;&lt;D xsi:type="xsd:double"&gt;56.6&lt;/D&gt;&lt;D xsi:type="xsd:double"&gt;56.6&lt;/D&gt;&lt;D xsi:type="xsd:double"&gt;56.6&lt;/D&gt;&lt;D xsi:type="xsd:double"&gt;56.6&lt;/D&gt;&lt;D xsi:type="xsd:double"&gt;52&lt;/D&gt;&lt;D xsi:type="xsd:double"&gt;52&lt;/D&gt;&lt;D xsi:type="xsd:double"&gt;52&lt;/D&gt;&lt;D xsi:type="xsd:double"&gt;52&lt;/D&gt;&lt;D xsi:type="xsd:double"&gt;52&lt;/D&gt;&lt;D xsi:type="xsd:double"&gt;53.6&lt;/D&gt;&lt;D xsi:type="xsd:double"&gt;53.6&lt;/D&gt;&lt;D xsi:type="xsd:double"&gt;53.6&lt;/D&gt;&lt;D xsi:type="xsd:double"&gt;53.6&lt;/D&gt;&lt;D xsi:type="xsd:double"&gt;53.6&lt;/D&gt;&lt;D xsi:type="xsd:double"&gt;58.7&lt;/D&gt;&lt;D xsi:type="xsd:double"&gt;58.7&lt;/D&gt;&lt;D xsi:type="xsd:double"&gt;58.7&lt;/D&gt;&lt;D xsi:type="xsd:double"&gt;58.7&lt;/D&gt;&lt;D xsi:type="xsd:double"&gt;58.7&lt;/D&gt;&lt;D xsi:type="xsd:double"&gt;59.5&lt;/D&gt;&lt;D xsi:type="xsd:double"&gt;59.5&lt;/D&gt;&lt;D xsi:type="xsd:double"&gt;59.5&lt;/D&gt;&lt;D xsi:type="xsd:double"&gt;59.5&lt;/D&gt;&lt;D xsi:type="xsd:double"&gt;59.5&lt;/D&gt;&lt;D xsi:type="xsd:double"&gt;56.6&lt;/D&gt;&lt;D xsi:type="xsd:double"&gt;56.6&lt;/D&gt;&lt;D xsi:type="xsd:double"&gt;56.6&lt;/D&gt;&lt;D xsi:type="xsd:double"&gt;56.6&lt;/D&gt;&lt;D xsi:type="xsd:double"&gt;56.6&lt;/D&gt;&lt;D xsi:type="xsd:double"&gt;52.5&lt;/D&gt;&lt;D xsi:type="xsd:double"&gt;52.5&lt;/D&gt;&lt;D xsi:type="xsd:double"&gt;52.5&lt;/D&gt;&lt;D xsi:type="xsd:double"&gt;52.5&lt;/D&gt;&lt;D xsi:type="xsd:double"&gt;52.5&lt;/D&gt;&lt;D xsi:type="xsd:double"&gt;49&lt;/D&gt;&lt;D xsi:type="xsd:double"&gt;49&lt;/D&gt;&lt;D xsi:type="xsd:double"&gt;49&lt;/D&gt;&lt;D xsi:type="xsd:double"&gt;49&lt;/D&gt;&lt;D xsi:type="xsd:double"&gt;49&lt;/D&gt;&lt;D xsi:type="xsd:double"&gt;53.1&lt;/D&gt;&lt;D xsi:type="xsd:double"&gt;53.1&lt;/D&gt;&lt;D xsi:type="xsd:double"&gt;53.1&lt;/D&gt;&lt;D xsi:type="xsd:double"&gt;53.1&lt;/D&gt;&lt;D xsi:type="xsd:double"&gt;53.1&lt;/D&gt;&lt;D xsi:type="xsd:double"&gt;49&lt;/D&gt;&lt;D xsi:type="xsd:double"&gt;49&lt;/D&gt;&lt;D xsi:type="xsd:double"&gt;49&lt;/D&gt;&lt;D xsi:type="xsd:double"&gt;49&lt;/D&gt;&lt;D xsi:type="xsd:double"&gt;49&lt;/D&gt;&lt;D xsi:type="xsd:double"&gt;48&lt;/D&gt;&lt;D xsi:type="xsd:double"&gt;48&lt;/D&gt;&lt;D xsi:type="xsd:double"&gt;48&lt;/D&gt;&lt;D xsi:type="xsd:double"&gt;48&lt;/D&gt;&lt;D xsi:type="xsd:double"&gt;48&lt;/D&gt;&lt;D xsi:type="xsd:double"&gt;50.5&lt;/D&gt;&lt;D xsi:type="xsd:double"&gt;50.5&lt;/D&gt;&lt;D xsi:type="xsd:double"&gt;50.5&lt;/D&gt;&lt;D xsi:type="xsd:double"&gt;50.5&lt;/D&gt;&lt;D xsi:type="xsd:double"&gt;50.5&lt;/D&gt;&lt;D xsi:type="xsd:double"&gt;56.4&lt;/D&gt;&lt;D xsi:type="xsd:double"&gt;56.4&lt;/D&gt;&lt;D xsi:type="xsd:double"&gt;56.4&lt;/D&gt;&lt;D xsi:type="xsd:double"&gt;56.4&lt;/D&gt;&lt;D xsi:type="xsd:double"&gt;56.4&lt;/D&gt;&lt;D xsi:type="xsd:double"&gt;52.5&lt;/D&gt;&lt;D xsi:type="xsd:double"&gt;52.5&lt;/D&gt;&lt;D xsi:type="xsd:double"&gt;52.5&lt;/D&gt;&lt;D xsi:type="xsd:double"&gt;52.5&lt;/D&gt;&lt;D xsi:type="xsd:double"&gt;52.5&lt;/D&gt;&lt;D xsi:type="xsd:double"&gt;49.5&lt;/D&gt;&lt;D xsi:type="xsd:double"&gt;49.5&lt;/D&gt;&lt;D xsi:type="xsd:double"&gt;49.5&lt;/D&gt;&lt;D xsi:type="xsd:double"&gt;49.5&lt;/D&gt;&lt;D xsi:type="xsd:double"&gt;49.5&lt;/D&gt;&lt;D xsi:type="xsd:double"&gt;51.5&lt;/D&gt;&lt;D xsi:type="xsd:double"&gt;51.5&lt;/D&gt;&lt;D xsi:type="xsd:double"&gt;51.5&lt;/D&gt;&lt;D xsi:type="xsd:double"&gt;51.5&lt;/D&gt;&lt;D xsi:type="xsd:double"&gt;51.5&lt;/D&gt;&lt;D xsi:type="xsd:double"&gt;53.4&lt;/D&gt;&lt;D xsi:type="xsd:double"&gt;53.4&lt;/D&gt;&lt;D xsi:type="xsd:double"&gt;53.4&lt;/D&gt;&lt;D xsi:type="xsd:double"&gt;53.4&lt;/D&gt;&lt;D xsi:type="xsd:double"&gt;53.4&lt;/D&gt;&lt;D xsi:type="xsd:double"&gt;56.5&lt;/D&gt;&lt;D xsi:type="xsd:double"&gt;56.5&lt;/D&gt;&lt;D xsi:type="xsd:double"&gt;56.5&lt;/D&gt;&lt;D xsi:type="xsd:double"&gt;56.5&lt;/D&gt;&lt;D xsi:type="xsd:double"&gt;56.5&lt;/D&gt;&lt;D xsi:type="xsd:double"&gt;56.4&lt;/D&gt;&lt;D xsi:type="xsd:double"&gt;56.4&lt;/D&gt;&lt;D xsi:type="xsd:double"&gt;56.4&lt;/D&gt;&lt;D xsi:type="xsd:double"&gt;56.4&lt;/D&gt;&lt;D xsi:type="xsd:double"&gt;56.4&lt;/D&gt;&lt;D xsi:type="xsd:double"&gt;55.5&lt;/D&gt;&lt;D xsi:type="xsd:double"&gt;55.5&lt;/D&gt;&lt;D xsi:type="xsd:double"&gt;55.5&lt;/D&gt;&lt;D xsi:type="xsd:double"&gt;55.5&lt;/D&gt;&lt;D xsi:type="xsd:double"&gt;55.5&lt;/D&gt;&lt;D xsi:type="xsd:double"&gt;54.6&lt;/D&gt;&lt;D xsi:type="xsd:double"&gt;54.6&lt;/D&gt;&lt;D xsi:type="xsd:double"&gt;54.6&lt;/D&gt;&lt;D xsi:type="xsd:double"&gt;54.6&lt;/D&gt;&lt;D xsi:type="xsd:double"&gt;54.6&lt;/D&gt;&lt;D xsi:type="xsd:double"&gt;47&lt;/D&gt;&lt;D xsi:type="xsd:double"&gt;47&lt;/D&gt;&lt;D xsi:type="xsd:double"&gt;47&lt;/D&gt;&lt;D xsi:type="xsd:double"&gt;47&lt;/D&gt;&lt;D xsi:type="xsd:double"&gt;47&lt;/D&gt;&lt;D xsi:type="xsd:double"&gt;35.3&lt;/D&gt;&lt;D xsi:type="xsd:double"&gt;35.3&lt;/D&gt;&lt;D xsi:type="xsd:double"&gt;35.3&lt;/D&gt;&lt;D xsi:type="xsd:double"&gt;35.3&lt;/D&gt;&lt;D xsi:type="xsd:double"&gt;35.3&lt;/D&gt;&lt;D xsi:type="xsd:double"&gt;37.8&lt;/D&gt;&lt;D xsi:type="xsd:double"&gt;37.8&lt;/D&gt;&lt;D xsi:type="xsd:double"&gt;37.8&lt;/D&gt;&lt;D xsi:type="xsd:double"&gt;37.8&lt;/D&gt;&lt;D xsi:type="xsd:double"&gt;37.8&lt;/D&gt;&lt;D xsi:type="xsd:double"&gt;45.5&lt;/D&gt;&lt;D xsi:type="xsd:double"&gt;45.5&lt;/D&gt;&lt;D xsi:type="xsd:double"&gt;45.5&lt;/D&gt;&lt;D xsi:type="xsd:double"&gt;45.5&lt;/D&gt;&lt;D xsi:type="xsd:double"&gt;45.5&lt;/D&gt;&lt;D xsi:type="xsd:double"&gt;47.5&lt;/D&gt;&lt;D xsi:type="xsd:double"&gt;47.5&lt;/D&gt;&lt;D xsi:type="xsd:double"&gt;47.5&lt;/D&gt;&lt;D xsi:type="xsd:double"&gt;47.5&lt;/D&gt;&lt;D xsi:type="xsd:double"&gt;47.5&lt;/D&gt;&lt;D xsi:type="xsd:double"&gt;48&lt;/D&gt;&lt;D xsi:type="xsd:double"&gt;48&lt;/D&gt;&lt;D xsi:type="xsd:double"&gt;48&lt;/D&gt;&lt;D xsi:type="xsd:double"&gt;48&lt;/D&gt;&lt;D xsi:type="xsd:double"&gt;48&lt;/D&gt;&lt;D xsi:type="xsd:double"&gt;52.5&lt;/D&gt;&lt;D xsi:type="xsd:double"&gt;52.5&lt;/D&gt;&lt;D xsi:type="xsd:double"&gt;52.5&lt;/D&gt;&lt;D xsi:type="xsd:double"&gt;52.5&lt;/D&gt;&lt;D xsi:type="xsd:double"&gt;52.5&lt;/D&gt;&lt;D xsi:type="xsd:double"&gt;57.6&lt;/D&gt;&lt;D xsi:type="xsd:double"&gt;57.6&lt;/D&gt;&lt;D xsi:type="xsd:double"&gt;57.6&lt;/D&gt;&lt;D xsi:type="xsd:double"&gt;57.6&lt;/D&gt;&lt;D xsi:type="xsd:double"&gt;57.6&lt;/D&gt;&lt;D xsi:type="xsd:double"&gt;56.1&lt;/D&gt;&lt;D xsi:type="xsd:double"&gt;56.1&lt;/D&gt;&lt;D xsi:type="xsd:double"&gt;56.1&lt;/D&gt;&lt;D xsi:type="xsd:double"&gt;56.1&lt;/D&gt;&lt;D xsi:type="xsd:double"&gt;56.1&lt;/D&gt;&lt;D xsi:type="xsd:double"&gt;52.5&lt;/D&gt;&lt;D xsi:type="xsd:double"&gt;52.5&lt;/D&gt;&lt;D xsi:type="xsd:double"&gt;52.5&lt;/D&gt;&lt;D xsi:type="xsd:double"&gt;52.5&lt;/D&gt;&lt;D xsi:type="xsd:double"&gt;52.5&lt;/D&gt;&lt;D xsi:type="xsd:double"&gt;49.5&lt;/D&gt;&lt;D xsi:type="xsd:double"&gt;49.5&lt;/D&gt;&lt;D xsi:type="xsd:double"&gt;49.5&lt;/D&gt;&lt;D xsi:type="xsd:double"&gt;49.5&lt;/D&gt;&lt;D xsi:type="xsd:double"&gt;49.5&lt;/D&gt;&lt;D xsi:type="xsd:double"&gt;46.4&lt;/D&gt;&lt;D xsi:type="xsd:double"&gt;46.4&lt;/D&gt;&lt;D xsi:type="xsd:double"&gt;46.4&lt;/D&gt;&lt;D xsi:type="xsd:double"&gt;46.4&lt;/D&gt;&lt;D xsi:type="xsd:double"&gt;46.4&lt;/D&gt;&lt;D xsi:type="xsd:double"&gt;50.5&lt;/D&gt;&lt;D xsi:type="xsd:double"&gt;50.5&lt;/D&gt;&lt;D xsi:type="xsd:double"&gt;50.5&lt;/D&gt;&lt;D xsi:type="xsd:double"&gt;50.5&lt;/D&gt;&lt;D xsi:type="xsd:double"&gt;50.5&lt;/D&gt;&lt;D xsi:type="xsd:double"&gt;55.6&lt;/D&gt;&lt;D xsi:type="xsd:double"&gt;55.6&lt;/D&gt;&lt;D xsi:type="xsd:double"&gt;55.6&lt;/D&gt;&lt;D xsi:type="xsd:double"&gt;55.6&lt;/D&gt;&lt;D xsi:type="xsd:double"&gt;55.6&lt;/D&gt;&lt;D xsi:type="xsd:double"&gt;56.5&lt;/D&gt;&lt;D xsi:type="xsd:double"&gt;56.5&lt;/D&gt;&lt;D xsi:type="xsd:double"&gt;56.5&lt;/D&gt;&lt;D xsi:type="xsd:double"&gt;56.5&lt;/D&gt;&lt;D xsi:type="xsd:double"&gt;56.5&lt;/D&gt;&lt;D xsi:type="xsd:double"&gt;56.6&lt;/D&gt;&lt;D xsi:type="xsd:double"&gt;56.6&lt;/D&gt;&lt;D xsi:type="xsd:double"&gt;56.6&lt;/D&gt;&lt;D xsi:type="xsd:double"&gt;56.6&lt;/D&gt;&lt;D xsi:type="xsd:double"&gt;56.6&lt;/D&gt;&lt;D xsi:type="xsd:double"&gt;60.6&lt;/D&gt;&lt;D xsi:type="xsd:double"&gt;60.6&lt;/D&gt;&lt;D xsi:type="xsd:double"&gt;60.6&lt;/D&gt;&lt;D xsi:type="xsd:double"&gt;60.6&lt;/D&gt;&lt;D xsi:type="xsd:double"&gt;60.6&lt;/D&gt;&lt;D xsi:type="xsd:double"&gt;57.6&lt;/D&gt;&lt;D xsi:type="xsd:double"&gt;57.6&lt;/D&gt;&lt;D xsi:type="xsd:double"&gt;57.6&lt;/D&gt;&lt;D xsi:type="xsd:double"&gt;57.6&lt;/D&gt;&lt;D xsi:type="xsd:double"&gt;57.6&lt;/D&gt;&lt;D xsi:type="xsd:double"&gt;60.2&lt;/D&gt;&lt;D xsi:type="xsd:double"&gt;60.2&lt;/D&gt;&lt;D xsi:type="xsd:double"&gt;60.2&lt;/D&gt;&lt;D xsi:type="xsd:double"&gt;60.2&lt;/D&gt;&lt;D xsi:type="xsd:double"&gt;60.2&lt;/D&gt;&lt;D xsi:type="xsd:double"&gt;61.4&lt;/D&gt;&lt;D xsi:type="xsd:double"&gt;61.4&lt;/D&gt;&lt;D xsi:type="xsd:double"&gt;61.4&lt;/D&gt;&lt;D xsi:type="xsd:double"&gt;61.4&lt;/D&gt;&lt;D xsi:type="xsd:double"&gt;61.4&lt;/D&gt;&lt;D xsi:type="xsd:double"&gt;62.6&lt;/D&gt;&lt;D xsi:type="xsd:double"&gt;62.6&lt;/D&gt;&lt;D xsi:type="xsd:double"&gt;62.6&lt;/D&gt;&lt;D xsi:type="xsd:double"&gt;62.6&lt;/D&gt;&lt;D xsi:type="xsd:double"&gt;62.6&lt;/D&gt;&lt;D xsi:type="xsd:double"&gt;62.2&lt;/D&gt;&lt;D xsi:type="xsd:double"&gt;62.2&lt;/D&gt;&lt;D xsi:type="xsd:double"&gt;62.2&lt;/D&gt;&lt;D xsi:type="xsd:double"&gt;62.2&lt;/D&gt;&lt;D xsi:type="xsd:double"&gt;62.2&lt;/D&gt;&lt;D xsi:type="xsd:double"&gt;58.3&lt;/D&gt;&lt;D xsi:type="xsd:double"&gt;58.3&lt;/D&gt;&lt;D xsi:type="xsd:double"&gt;58.3&lt;/D&gt;&lt;D xsi:type="xsd:double"&gt;58.3&lt;/D&gt;&lt;D xsi:type="xsd:double"&gt;58.3&lt;/D&gt;&lt;D xsi:type="xsd:double"&gt;57.2&lt;/D&gt;&lt;D xsi:type="xsd:double"&gt;57.2&lt;/D&gt;&lt;D xsi:type="xsd:double"&gt;57.2&lt;/D&gt;&lt;D xsi:type="xsd:double"&gt;57.2&lt;/D&gt;&lt;D xsi:type="xsd:double"&gt;57.2&lt;/D&gt;&lt;D xsi:type="xsd:double"&gt;55.1&lt;/D&gt;&lt;D xsi:type="xsd:double"&gt;55.1&lt;/D&gt;&lt;D xsi:type="xsd:double"&gt;55.1&lt;/D&gt;&lt;D xsi:type="xsd:double"&gt;55.1&lt;/D&gt;&lt;D xsi:type="xsd:double"&gt;55.1&lt;/D&gt;&lt;D xsi:type="xsd:double"&gt;55.8&lt;/D&gt;&lt;D xsi:type="xsd:double"&gt;55.8&lt;/D&gt;&lt;D xsi:type="xsd:double"&gt;55.8&lt;/D&gt;&lt;D xsi:type="xsd:double"&gt;55.8&lt;/D&gt;&lt;D xsi:type="xsd:double"&gt;55.8&lt;/D&gt;&lt;D xsi:type="xsd:double"&gt;54.7&lt;/D&gt;&lt;D xsi:type="xsd:double"&gt;54.7&lt;/D&gt;&lt;D xsi:type="xsd:double"&gt;54.7&lt;/D&gt;&lt;D xsi:type="xsd:double"&gt;54.7&lt;/D&gt;&lt;D xsi:type="xsd:double"&gt;54.7&lt;/D&gt;&lt;D xsi:type="xsd:double"&gt;51.6&lt;/D&gt;&lt;D xsi:type="xsd:double"&gt;51.6&lt;/D&gt;&lt;D xsi:type="xsd:double"&gt;51.6&lt;/D&gt;&lt;D xsi:type="xsd:double"&gt;51.6&lt;/D&gt;&lt;D xsi:type="xsd:double"&gt;51.6&lt;/D&gt;&lt;D xsi:type="xsd:double"&gt;50.5&lt;/D&gt;&lt;D xsi:type="xsd:double"&gt;50.5&lt;/D&gt;&lt;D xsi:type="xsd:double"&gt;50.5&lt;/D&gt;&lt;D xsi:type="xsd:double"&gt;50.5&lt;/D&gt;&lt;D xsi:type="xsd:double"&gt;50.5&lt;/D&gt;&lt;D xsi:type="xsd:double"&gt;54.6&lt;/D&gt;&lt;D xsi:type="xsd:double"&gt;54.6&lt;/D&gt;&lt;D xsi:type="xsd:double"&gt;54.6&lt;/D&gt;&lt;D xsi:type="xsd:double"&gt;54.6&lt;/D&gt;&lt;D xsi:type="xsd:double"&gt;54.6&lt;/D&gt;&lt;D xsi:type="xsd:double"&gt;50.5&lt;/D&gt;&lt;D xsi:type="xsd:double"&gt;50.5&lt;/D&gt;&lt;D xsi:type="xsd:double"&gt;50.5&lt;/D&gt;&lt;D xsi:type="xsd:double"&gt;50.5&lt;/D&gt;&lt;D xsi:type="xsd:double"&gt;50.5&lt;/D&gt;&lt;D xsi:type="xsd:double"&gt;54.7&lt;/D&gt;&lt;D xsi:type="xsd:double"&gt;54.7&lt;/D&gt;&lt;D xsi:type="xsd:double"&gt;54.7&lt;/D&gt;&lt;D xsi:type="xsd:double"&gt;54.7&lt;/D&gt;&lt;D xsi:type="xsd:double"&gt;54.7&lt;/D&gt;&lt;D xsi:type="xsd:double"&gt;52&lt;/D&gt;&lt;D xsi:type="xsd:double"&gt;52&lt;/D&gt;&lt;D xsi:type="xsd:double"&gt;52&lt;/D&gt;&lt;D xsi:type="xsd:double"&gt;52&lt;/D&gt;&lt;D xsi:type="xsd:double"&gt;52&lt;/D&gt;&lt;D xsi:type="xsd:double"&gt;55.1&lt;/D&gt;&lt;D xsi:type="xsd:double"&gt;55.1&lt;/D&gt;&lt;D xsi:type="xsd:double"&gt;55.1&lt;/D&gt;&lt;D xsi:type="xsd:double"&gt;55.1&lt;/D&gt;&lt;D xsi:type="xsd:double"&gt;55.1&lt;/D&gt;&lt;D xsi:type="xsd:double"&gt;54.6&lt;/D&gt;&lt;D xsi:type="xsd:double"&gt;54.6&lt;/D&gt;&lt;D xsi:type="xsd:double"&gt;54.6&lt;/D&gt;&lt;D xsi:type="xsd:double"&gt;54.6&lt;/D&gt;&lt;D xsi:type="xsd:double"&gt;54.6&lt;/D&gt;&lt;D xsi:type="xsd:double"&gt;53.5&lt;/D&gt;&lt;D xsi:type="xsd:double"&gt;53.5&lt;/D&gt;&lt;D xsi:type="xsd:double"&gt;53.5&lt;/D&gt;&lt;D xsi:type="xsd:double"&gt;53.5&lt;/D&gt;&lt;D xsi:type="xsd:double"&gt;53.5&lt;/D&gt;&lt;D xsi:type="xsd:double"&gt;46.5&lt;/D&gt;&lt;D xsi:type="xsd:double"&gt;46.5&lt;/D&gt;&lt;D xsi:type="xsd:double"&gt;46.5&lt;/D&gt;&lt;D xsi:type="xsd:double"&gt;46.5&lt;/D&gt;&lt;D xsi:type="xsd:double"&gt;46.5&lt;/D&gt;&lt;D xsi:type="xsd:double"&gt;41.8&lt;/D&gt;&lt;D xsi:type="xsd:double"&gt;41.8&lt;/D&gt;&lt;D xsi:type="xsd:double"&gt;41.8&lt;/D&gt;&lt;D xsi:type="xsd:double"&gt;41.8&lt;/D&gt;&lt;D xsi:type="xsd:double"&gt;41.8&lt;/D&gt;&lt;D xsi:type="xsd:double"&gt;45.9&lt;/D&gt;&lt;D xsi:type="xsd:double"&gt;45.9&lt;/D&gt;&lt;D xsi:type="xsd:double"&gt;45.9&lt;/D&gt;&lt;D xsi:type="xsd:double"&gt;45.9&lt;/D&gt;&lt;D xsi:type="xsd:double"&gt;45.9&lt;/D&gt;&lt;D xsi:type="xsd:double"&gt;53.1&lt;/D&gt;&lt;D xsi:type="xsd:double"&gt;53.1&lt;/D&gt;&lt;D xsi:type="xsd:double"&gt;53.1&lt;/D&gt;&lt;D xsi:type="xsd:double"&gt;53.1&lt;/D&gt;&lt;D xsi:type="xsd:double"&gt;53.1&lt;/D&gt;&lt;D xsi:type="xsd:double"&gt;57.6&lt;/D&gt;&lt;D xsi:type="xsd:double"&gt;57.6&lt;/D&gt;&lt;D xsi:type="xsd:double"&gt;57.6&lt;/D&gt;&lt;D xsi:type="xsd:double"&gt;57.6&lt;/D&gt;&lt;D xsi:type="xsd:double"&gt;57.6&lt;/D&gt;&lt;D xsi:type="xsd:double"&gt;56.1&lt;/D&gt;&lt;D xsi:type="xsd:double"&gt;56.1&lt;/D&gt;&lt;D xsi:type="xsd:double"&gt;56.1&lt;/D&gt;&lt;D xsi:type="xsd:double"&gt;56.1&lt;/D&gt;&lt;D xsi:type="xsd:double"&gt;56.1&lt;/D&gt;&lt;D xsi:type="xsd:double"&gt;60.6&lt;/D&gt;&lt;D xsi:type="xsd:double"&gt;60.6&lt;/D&gt;&lt;D xsi:type="xsd:double"&gt;60.6&lt;/D&gt;&lt;D xsi:type="xsd:double"&gt;60.6&lt;/D&gt;&lt;D xsi:type="xsd:double"&gt;60.6&lt;/D&gt;&lt;D xsi:type="xsd:double"&gt;61.6&lt;/D&gt;&lt;D xsi:type="xsd:double"&gt;61.6&lt;/D&gt;&lt;D xsi:type="xsd:double"&gt;61.6&lt;/D&gt;&lt;D xsi:type="xsd:double"&gt;61.6&lt;/D&gt;&lt;D xsi:type="xsd:double"&gt;61.6&lt;/D&gt;&lt;D xsi:type="xsd:double"&gt;59.6&lt;/D&gt;&lt;D xsi:type="xsd:double"&gt;59.6&lt;/D&gt;&lt;D xsi:type="xsd:double"&gt;59.6&lt;/D&gt;&lt;D xsi:type="xsd:double"&gt;59.6&lt;/D&gt;&lt;D xsi:type="xsd:double"&gt;59.6&lt;/D&gt;&lt;D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xsi:type="xsd:double"&gt;57.1&lt;/D&gt;&lt;D xsi:type="xsd:double"&gt;57.1&lt;/D&gt;&lt;D xsi:type="xsd:double"&gt;57.1&lt;/D&gt;&lt;D xsi:type="xsd:double"&gt;57.1&lt;/D&gt;&lt;D xsi:type="xsd:double"&gt;57.1&lt;/D&gt;&lt;D xsi:type="xsd:double"&gt;55.7&lt;/D&gt;&lt;D xsi:type="xsd:double"&gt;55.7&lt;/D&gt;&lt;D xsi:type="xsd:double"&gt;55.7&lt;/D&gt;&lt;D xsi:type="xsd:double"&gt;55.7&lt;/D&gt;&lt;D xsi:type="xsd:double"&gt;55.7&lt;/D&gt;&lt;D xsi:type="xsd:double"&gt;53.6&lt;/D&gt;&lt;D xsi:type="xsd:double"&gt;53.6&lt;/D&gt;&lt;D xsi:type="xsd:double"&gt;53.6&lt;/D&gt;&lt;D xsi:type="xsd:double"&gt;53.6&lt;/D&gt;&lt;D xsi:type="xsd:double"&gt;53.6&lt;/D&gt;&lt;D xsi:type="xsd:double"&gt;52.6&lt;/D&gt;&lt;D xsi:type="xsd:double"&gt;52.6&lt;/D&gt;&lt;D xsi:type="xsd:double"&gt;52.6&lt;/D&gt;&lt;D xsi:type="xsd:double"&gt;52.6&lt;/D&gt;&lt;D xsi:type="xsd:double"&gt;52.6&lt;/D&gt;&lt;D xsi:type="xsd:double"&gt;55.2&lt;/D&gt;&lt;D xsi:type="xsd:double"&gt;55.2&lt;/D&gt;&lt;D xsi:type="xsd:double"&gt;55.2&lt;/D&gt;&lt;D xsi:type="xsd:double"&gt;55.2&lt;/D&gt;&lt;D xsi:type="xsd:double"&gt;55.2&lt;/D&gt;&lt;D xsi:type="xsd:double"&gt;52.6&lt;/D&gt;&lt;D xsi:type="xsd:double"&gt;52.6&lt;/D&gt;&lt;D xsi:type="xsd:double"&gt;52.6&lt;/D&gt;&lt;D xsi:type="xsd:double"&gt;52.6&lt;/D&gt;&lt;D xsi:type="xsd:double"&gt;52.6&lt;/D&gt;&lt;D xsi:type="xsd:double"&gt;49.5&lt;/D&gt;&lt;D xsi:type="xsd:double"&gt;49.5&lt;/D&gt;&lt;D xsi:type="xsd:double"&gt;49.5&lt;/D&gt;&lt;D xsi:type="xsd:double"&gt;49.5&lt;/D&gt;&lt;D xsi:type="xsd:double"&gt;49.5&lt;/D&gt;&lt;D xsi:type="xsd:double"&gt;42.3&lt;/D&gt;&lt;D xsi:type="xsd:double"&gt;42.3&lt;/D&gt;&lt;D xsi:type="xsd:double"&gt;42.3&lt;/D&gt;&lt;D xsi:type="xsd:double"&gt;42.3&lt;/D&gt;&lt;D xsi:type="xsd:double"&gt;42.3&lt;/D&gt;&lt;D xsi:type="xsd:double"&gt;45.4&lt;/D&gt;&lt;D xsi:type="xsd:double"&gt;45.4&lt;/D&gt;&lt;D xsi:type="xsd:double"&gt;45.4&lt;/D&gt;&lt;D xsi:type="xsd:double"&gt;45.4&lt;/D&gt;&lt;D xsi:type="xsd:double"&gt;45.4&lt;/D&gt;&lt;D xsi:type="xsd:double"&gt;46.4&lt;/D&gt;&lt;D xsi:type="xsd:double"&gt;46.4&lt;/D&gt;&lt;D xsi:type="xsd:double"&gt;46.4&lt;/D&gt;&lt;D xsi:type="xsd:double"&gt;46.4&lt;/D&gt;&lt;D xsi:type="xsd:double"&gt;46.4&lt;/D&gt;&lt;D xsi:type="xsd:double"&gt;44.3&lt;/D&gt;&lt;D xsi:type="xsd:double"&gt;44.3&lt;/D&gt;&lt;D xsi:type="xsd:double"&gt;44.3&lt;/D&gt;&lt;D xsi:type="xsd:double"&gt;44.3&lt;/D&gt;&lt;D xsi:type="xsd:double"&gt;44.3&lt;/D&gt;&lt;D xsi:type="xsd:double"&gt;42.3&lt;/D&gt;&lt;D xsi:type="xsd:double"&gt;42.3&lt;/D&gt;&lt;D xsi:type="xsd:double"&gt;42.3&lt;/D&gt;&lt;D xsi:type="xsd:double"&gt;42.3&lt;/D&gt;&lt;D xsi:type="xsd:double"&gt;42.3&lt;/D&gt;&lt;D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xsi:type="xsd:double"&gt;38.1&lt;/D&gt;&lt;D xsi:type="xsd:double"&gt;38.1&lt;/D&gt;&lt;D xsi:type="xsd:double"&gt;38.1&lt;/D&gt;&lt;D xsi:type="xsd:double"&gt;38.1&lt;/D&gt;&lt;D xsi:type="xsd:double"&gt;38.1&lt;/D&gt;&lt;D xsi:type="xsd:double"&gt;43.3&lt;/D&gt;&lt;D xsi:type="xsd:double"&gt;43.3&lt;/D&gt;&lt;D xsi:type="xsd:double"&gt;43.3&lt;/D&gt;&lt;D xsi:type="xsd:double"&gt;43.3&lt;/D&gt;&lt;D xsi:type="xsd:double"&gt;43.3&lt;/D&gt;&lt;D xsi:type="xsd:double"&gt;47.4&lt;/D&gt;&lt;D xsi:type="xsd:double"&gt;47.4&lt;/D&gt;&lt;D xsi:type="xsd:double"&gt;47.4&lt;/D&gt;&lt;D xsi:type="xsd:double"&gt;47.4&lt;/D&gt;&lt;D xsi:type="xsd:double"&gt;47.4&lt;/D&gt;&lt;D xsi:type="xsd:double"&gt;51.6&lt;/D&gt;&lt;D xsi:type="xsd:double"&gt;51.6&lt;/D&gt;&lt;D xsi:type="xsd:double"&gt;51.6&lt;/D&gt;&lt;D xsi:type="xsd:double"&gt;51.6&lt;/D&gt;&lt;D xsi:type="xsd:double"&gt;51.6&lt;/D&gt;&lt;D xsi:type="xsd:double"&gt;48.4&lt;/D&gt;&lt;D xsi:type="xsd:double"&gt;48.4&lt;/D&gt;&lt;D xsi:type="xsd:double"&gt;48.4&lt;/D&gt;&lt;D xsi:type="xsd:double"&gt;48.4&lt;/D&gt;&lt;D xsi:type="xsd:double"&gt;48.4&lt;/D&gt;&lt;D xsi:type="xsd:double"&gt;51.5&lt;/D&gt;&lt;D xsi:type="xsd:double"&gt;51.5&lt;/D&gt;&lt;D xsi:type="xsd:double"&gt;51.5&lt;/D&gt;&lt;D xsi:type="xsd:double"&gt;51.5&lt;/D&gt;&lt;D xsi:type="xsd:double"&gt;51.5&lt;/D&gt;&lt;D xsi:type="xsd:double"&gt;52.1&lt;/D&gt;&lt;D xsi:type="xsd:double"&gt;52.1&lt;/D&gt;&lt;D xsi:type="xsd:double"&gt;52.1&lt;/D&gt;&lt;D xsi:type="xsd:double"&gt;52.1&lt;/D&gt;&lt;D xsi:type="xsd:double"&gt;52.1&lt;/D&gt;&lt;D xsi:type="xsd:double"&gt;46.9&lt;/D&gt;&lt;D xsi:type="xsd:double"&gt;46.9&lt;/D&gt;&lt;D xsi:type="xsd:double"&gt;46.9&lt;/D&gt;&lt;D xsi:type="xsd:double"&gt;46.9&lt;/D&gt;&lt;D xsi:type="xsd:double"&gt;46.9&lt;/D&gt;&lt;D xsi:type="xsd:double"&gt;43.8&lt;/D&gt;&lt;D xsi:type="xsd:double"&gt;43.8&lt;/D&gt;&lt;D xsi:type="xsd:double"&gt;43.8&lt;/D&gt;&lt;D xsi:type="xsd:double"&gt;43.8&lt;/D&gt;&lt;D xsi:type="xsd:double"&gt;43.8&lt;/D&gt;&lt;D xsi:type="xsd:double"&gt;41.7&lt;/D&gt;&lt;D xsi:type="xsd:double"&gt;41.7&lt;/D&gt;&lt;D xsi:type="xsd:double"&gt;41.7&lt;/D&gt;&lt;D xsi:type="xsd:double"&gt;41.7&lt;/D&gt;&lt;D xsi:type="xsd:double"&gt;41.7&lt;/D&gt;&lt;D xsi:type="xsd:double"&gt;46.8&lt;/D&gt;&lt;D xsi:type="xsd:double"&gt;46.8&lt;/D&gt;&lt;D xsi:type="xsd:double"&gt;46.8&lt;/D&gt;&lt;D xsi:type="xsd:double"&gt;46.8&lt;/D&gt;&lt;D xsi:type="xsd:double"&gt;46.8&lt;/D&gt;&lt;D xsi:type="xsd:double"&gt;43.8&lt;/D&gt;&lt;D xsi:type="xsd:double"&gt;43.8&lt;/D&gt;&lt;D xsi:type="xsd:double"&gt;43.8&lt;/D&gt;&lt;D xsi:type="xsd:double"&gt;43.8&lt;/D&gt;&lt;D xsi:type="xsd:double"&gt;43.8&lt;/D&gt;&lt;D xsi:type="xsd:double"&gt;45.8&lt;/D&gt;&lt;D xsi:type="xsd:double"&gt;45.8&lt;/D&gt;&lt;D xsi:type="xsd:double"&gt;45.8&lt;/D&gt;&lt;D xsi:type="xsd:double"&gt;45.8&lt;/D&gt;&lt;D xsi:type="xsd:double"&gt;45.8&lt;/D&gt;&lt;D xsi:type="xsd:double"&gt;52.1&lt;/D&gt;&lt;D xsi:type="xsd:double"&gt;52.1&lt;/D&gt;&lt;D xsi:type="xsd:double"&gt;52.1&lt;/D&gt;&lt;D xsi:type="xsd:double"&gt;52.1&lt;/D&gt;&lt;D xsi:type="xsd:double"&gt;52.1&lt;/D&gt;&lt;D xsi:type="xsd:double"&gt;55.2&lt;/D&gt;&lt;D xsi:type="xsd:double"&gt;55.2&lt;/D&gt;&lt;D xsi:type="xsd:double"&gt;55.2&lt;/D&gt;&lt;D xsi:type="xsd:double"&gt;55.2&lt;/D&gt;&lt;D xsi:type="xsd:double"&gt;55.2&lt;/D&gt;&lt;D xsi:type="xsd:double"&gt;54.2&lt;/D&gt;&lt;D xsi:type="xsd:double"&gt;54.2&lt;/D&gt;&lt;D xsi:type="xsd:double"&gt;54.2&lt;/D&gt;&lt;D xsi:type="xsd:double"&gt;54.2&lt;/D&gt;&lt;D xsi:type="xsd:double"&gt;54.2&lt;/D&gt;&lt;D xsi:type="xsd:double"&gt;52.1&lt;/D&gt;&lt;D xsi:type="xsd:double"&gt;52.1&lt;/D&gt;&lt;D xsi:type="xsd:double"&gt;52.1&lt;/D&gt;&lt;D xsi:type="xsd:double"&gt;52.1&lt;/D&gt;&lt;D xsi:type="xsd:double"&gt;52.1&lt;/D&gt;&lt;D xsi:type="xsd:double"&gt;47.9&lt;/D&gt;&lt;D xsi:type="xsd:double"&gt;47.9&lt;/D&gt;&lt;D xsi:type="xsd:double"&gt;47.9&lt;/D&gt;&lt;D xsi:type="xsd:double"&gt;47.9&lt;/D&gt;&lt;D xsi:type="xsd:double"&gt;47.9&lt;/D&gt;&lt;D xsi:type="xsd:double"&gt;44.3&lt;/D&gt;&lt;D xsi:type="xsd:double"&gt;44.3&lt;/D&gt;&lt;D xsi:type="xsd:double"&gt;44.3&lt;/D&gt;&lt;D xsi:type="xsd:double"&gt;44.3&lt;/D&gt;&lt;D xsi:type="xsd:double"&gt;44.3&lt;/D&gt;&lt;D xsi:type="xsd:double"&gt;47.4&lt;/D&gt;&lt;D xsi:type="xsd:double"&gt;47.4&lt;/D&gt;&lt;D xsi:type="xsd:double"&gt;47.4&lt;/D&gt;&lt;D xsi:type="xsd:double"&gt;47.4&lt;/D&gt;&lt;D xsi:type="xsd:double"&gt;47.4&lt;/D&gt;&lt;D xsi:type="xsd:double"&gt;50.5&lt;/D&gt;&lt;D xsi:type="xsd:double"&gt;50.5&lt;/D&gt;&lt;D xsi:type="xsd:double"&gt;50.5&lt;/D&gt;&lt;D xsi:type="xsd:double"&gt;50.5&lt;/D&gt;&lt;D xsi:type="xsd:double"&gt;50.5&lt;/D&gt;&lt;D xsi:type="xsd:double"&gt;52&lt;/D&gt;&lt;D xsi:type="xsd:double"&gt;52&lt;/D&gt;&lt;D xsi:type="xsd:double"&gt;52&lt;/D&gt;&lt;D xsi:type="xsd:double"&gt;52&lt;/D&gt;&lt;D xsi:type="xsd:double"&gt;52&lt;/D&gt;&lt;D xsi:type="xsd:double"&gt;49.5&lt;/D&gt;&lt;D xsi:type="xsd:double"&gt;49.5&lt;/D&gt;&lt;D xsi:type="xsd:double"&gt;49.5&lt;/D&gt;&lt;D xsi:type="xsd:double"&gt;49.5&lt;/D&gt;&lt;D xsi:type="xsd:double"&gt;49.5&lt;/D&gt;&lt;D xsi:type="xsd:double"&gt;47.4&lt;/D&gt;&lt;D xsi:type="xsd:double"&gt;47.4&lt;/D&gt;&lt;D xsi:type="xsd:double"&gt;47.4&lt;/D&gt;&lt;D xsi:type="xsd:double"&gt;47.4&lt;/D&gt;&lt;D xsi:type="xsd:double"&gt;47.4&lt;/D&gt;&lt;D xsi:type="xsd:double"&gt;50&lt;/D&gt;&lt;D xsi:type="xsd:double"&gt;50&lt;/D&gt;&lt;D xsi:type="xsd:double"&gt;50&lt;/D&gt;&lt;D xsi:type="xsd:double"&gt;50&lt;/D&gt;&lt;D xsi:type="xsd:double"&gt;50&lt;/D&gt;&lt;D xsi:type="xsd:double"&gt;44.2&lt;/D&gt;&lt;D xsi:type="xsd:double"&gt;44.2&lt;/D&gt;&lt;D xsi:type="xsd:double"&gt;44.2&lt;/D&gt;&lt;D xsi:type="xsd:double"&gt;44.2&lt;/D&gt;&lt;D xsi:type="xsd:double"&gt;44.2&lt;/D&gt;&lt;D xsi:type="xsd:double"&gt;46.3&lt;/D&gt;&lt;D xsi:type="xsd:double"&gt;46.3&lt;/D&gt;&lt;D xsi:type="xsd:double"&gt;46.3&lt;/D&gt;&lt;D xsi:type="xsd:double"&gt;46.3&lt;/D&gt;&lt;D xsi:type="xsd:double"&gt;46.3&lt;/D&gt;&lt;D xsi:type="xsd:double"&gt;48.4&lt;/D&gt;&lt;D xsi:type="xsd:double"&gt;48.4&lt;/D&gt;&lt;D xsi:type="xsd:double"&gt;48.4&lt;/D&gt;&lt;D xsi:type="xsd:double"&gt;48.4&lt;/D&gt;&lt;D xsi:type="xsd:double"&gt;48.4&lt;/D&gt;&lt;D xsi:type="xsd:double"&gt;52.6&lt;/D&gt;&lt;D xsi:type="xsd:double"&gt;52.6&lt;/D&gt;&lt;D xsi:type="xsd:double"&gt;52.6&lt;/D&gt;&lt;D xsi:type="xsd:double"&gt;52.6&lt;/D&gt;&lt;D xsi:type="xsd:double"&gt;52.6&lt;/D&gt;&lt;D xsi:type="xsd:double"&gt;54.7&lt;/D&gt;&lt;D xsi:type="xsd:double"&gt;54.7&lt;/D&gt;&lt;D xsi:type="xsd:double"&gt;54.7&lt;/D&gt;&lt;D xsi:type="xsd:double"&gt;54.7&lt;/D&gt;&lt;D xsi:type="xsd:double"&gt;54.7&lt;/D&gt;&lt;D xsi:type="xsd:double"&gt;54.3&lt;/D&gt;&lt;D xsi:type="xsd:double"&gt;54.3&lt;/D&gt;&lt;D xsi:type="xsd:double"&gt;54.3&lt;/D&gt;&lt;D xsi:type="xsd:double"&gt;54.3&lt;/D&gt;&lt;D xsi:type="xsd:double"&gt;54.3&lt;/D&gt;&lt;D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xsi:type="xsd:double"&gt;51.1&lt;/D&gt;&lt;D xsi:type="xsd:double"&gt;51.1&lt;/D&gt;&lt;D xsi:type="xsd:double"&gt;51.1&lt;/D&gt;&lt;D xsi:type="xsd:double"&gt;51.1&lt;/D&gt;&lt;D xsi:type="xsd:double"&gt;51.1&lt;/D&gt;&lt;D xsi:type="xsd:double"&gt;47.8&lt;/D&gt;&lt;D xsi:type="xsd:double"&gt;47.8&lt;/D&gt;&lt;D xsi:type="xsd:double"&gt;47.8&lt;/D&gt;&lt;D xsi:type="xsd:double"&gt;47.8&lt;/D&gt;&lt;D xsi:type="xsd:double"&gt;47.8&lt;/D&gt;&lt;D xsi:type="xsd:double"&gt;48.9&lt;/D&gt;&lt;D xsi:type="xsd:double"&gt;48.9&lt;/D&gt;&lt;D xsi:type="xsd:double"&gt;48.9&lt;/D&gt;&lt;D xsi:type="xsd:double"&gt;48.9&lt;/D&gt;&lt;D xsi:type="xsd:double"&gt;48.9&lt;/D&gt;&lt;D xsi:type="xsd:double"&gt;46.8&lt;/D&gt;&lt;D xsi:type="xsd:double"&gt;46.8&lt;/D&gt;&lt;D xsi:type="xsd:double"&gt;46.8&lt;/D&gt;&lt;D xsi:type="xsd:double"&gt;46.8&lt;/D&gt;&lt;D xsi:type="xsd:double"&gt;46.8&lt;/D&gt;&lt;D xsi:type="xsd:double"&gt;45.7&lt;/D&gt;&lt;D xsi:type="xsd:double"&gt;45.7&lt;/D&gt;&lt;D xsi:type="xsd:double"&gt;45.7&lt;/D&gt;&lt;D xsi:type="xsd:double"&gt;45.7&lt;/D&gt;&lt;D xsi:type="xsd:double"&gt;45.7&lt;/D&gt;&lt;D xsi:type="xsd:double"&gt;43.6&lt;/D&gt;&lt;D xsi:type="xsd:double"&gt;43.6&lt;/D&gt;&lt;D xsi:type="xsd:double"&gt;43.6&lt;/D&gt;&lt;D xsi:type="xsd:double"&gt;43.6&lt;/D&gt;&lt;D xsi:type="xsd:double"&gt;43.6&lt;/D&gt;&lt;D xsi:type="xsd:double"&gt;39.3&lt;/D&gt;&lt;D xsi:type="xsd:double"&gt;39.3&lt;/D&gt;&lt;D xsi:type="xsd:double"&gt;39.3&lt;/D&gt;&lt;D xsi:type="xsd:double"&gt;39.3&lt;/D&gt;&lt;D xsi:type="xsd:double"&gt;39.3&lt;/D&gt;&lt;D xsi:type="xsd:double"&gt;37.2&lt;/D&gt;&lt;D xsi:type="xsd:double"&gt;37.2&lt;/D&gt;&lt;D xsi:type="xsd:double"&gt;37.2&lt;/D&gt;&lt;D xsi:type="xsd:double"&gt;37.2&lt;/D&gt;&lt;D xsi:type="xsd:double"&gt;37.2&lt;/D&gt;&lt;D xsi:type="xsd:double"&gt;38.3&lt;/D&gt;&lt;D xsi:type="xsd:double"&gt;38.3&lt;/D&gt;&lt;D xsi:type="xsd:double"&gt;38.3&lt;/D&gt;&lt;D xsi:type="xsd:double"&gt;38.3&lt;/D&gt;&lt;D xsi:type="xsd:double"&gt;38.3&lt;/D&gt;&lt;D xsi:type="xsd:double"&gt;43.6&lt;/D&gt;&lt;D xsi:type="xsd:double"&gt;43.6&lt;/D&gt;&lt;D xsi:type="xsd:double"&gt;43.6&lt;/D&gt;&lt;D xsi:type="xsd:double"&gt;43.6&lt;/D&gt;&lt;D xsi:type="xsd:double"&gt;43.6&lt;/D&gt;&lt;D xsi:type="xsd:double"&gt;41.5&lt;/D&gt;&lt;D xsi:type="xsd:double"&gt;41.5&lt;/D&gt;&lt;D xsi:type="xsd:double"&gt;41.5&lt;/D&gt;&lt;D xsi:type="xsd:double"&gt;41.5&lt;/D&gt;&lt;D xsi:type="xsd:double"&gt;41.5&lt;/D&gt;&lt;D xsi:type="xsd:double"&gt;41.5&lt;/D&gt;&lt;D xsi:type="xsd:double"&gt;41.5&lt;/D&gt;&lt;D xsi:type="xsd:double"&gt;41.5&lt;/D&gt;&lt;D xsi:type="xsd:double"&gt;41.5&lt;/D&gt;&lt;</t>
        </r>
      </text>
    </comment>
    <comment ref="A34" authorId="0" shapeId="0" xr:uid="{AA17F9EE-0614-4D95-BD5D-FAE742D12729}">
      <text>
        <r>
          <rPr>
            <b/>
            <sz val="9"/>
            <color indexed="81"/>
            <rFont val="Tahoma"/>
            <charset val="1"/>
          </rPr>
          <t>D xsi:type="xsd:double"&gt;41.5&lt;/D&gt;&lt;D xsi:type="xsd:double"&gt;42.6&lt;/D&gt;&lt;D xsi:type="xsd:double"&gt;42.6&lt;/D&gt;&lt;D xsi:type="xsd:double"&gt;42.6&lt;/D&gt;&lt;D xsi:type="xsd:double"&gt;42.6&lt;/D&gt;&lt;D xsi:type="xsd:double"&gt;42.6&lt;/D&gt;&lt;D xsi:type="xsd:double"&gt;45.7&lt;/D&gt;&lt;D xsi:type="xsd:double"&gt;45.7&lt;/D&gt;&lt;D xsi:type="xsd:double"&gt;45.7&lt;/D&gt;&lt;D xsi:type="xsd:double"&gt;45.7&lt;/D&gt;&lt;D xsi:type="xsd:double"&gt;45.7&lt;/D&gt;&lt;D xsi:type="xsd:double"&gt;46.8&lt;/D&gt;&lt;D xsi:type="xsd:double"&gt;46.8&lt;/D&gt;&lt;D xsi:type="xsd:double"&gt;46.8&lt;/D&gt;&lt;D xsi:type="xsd:double"&gt;46.8&lt;/D&gt;&lt;D xsi:type="xsd:double"&gt;46.8&lt;/D&gt;&lt;D xsi:type="xsd:double"&gt;51&lt;/D&gt;&lt;D xsi:type="xsd:double"&gt;51&lt;/D&gt;&lt;D xsi:type="xsd:double"&gt;51&lt;/D&gt;&lt;D xsi:type="xsd:double"&gt;51&lt;/D&gt;&lt;D xsi:type="xsd:double"&gt;51&lt;/D&gt;&lt;D xsi:type="xsd:double"&gt;54.2&lt;/D&gt;&lt;D xsi:type="xsd:double"&gt;54.2&lt;/D&gt;&lt;D xsi:type="xsd:double"&gt;54.2&lt;/D&gt;&lt;D xsi:type="xsd:double"&gt;54.2&lt;/D&gt;&lt;D xsi:type="xsd:double"&gt;54.2&lt;/D&gt;&lt;D xsi:type="xsd:double"&gt;51.1&lt;/D&gt;&lt;D xsi:type="xsd:double"&gt;51.1&lt;/D&gt;&lt;D xsi:type="xsd:double"&gt;51.1&lt;/D&gt;&lt;D xsi:type="xsd:double"&gt;51.1&lt;/D&gt;&lt;D xsi:type="xsd:double"&gt;51.1&lt;/D&gt;&lt;D xsi:type="xsd:double"&gt;51&lt;/D&gt;&lt;D xsi:type="xsd:double"&gt;51&lt;/D&gt;&lt;D xsi:type="xsd:double"&gt;51&lt;/D&gt;&lt;D xsi:type="xsd:double"&gt;51&lt;/D&gt;&lt;D xsi:type="xsd:double"&gt;51&lt;/D&gt;&lt;D xsi:type="xsd:double"&gt;48.9&lt;/D&gt;&lt;D xsi:type="xsd:double"&gt;48.9&lt;/D&gt;&lt;D xsi:type="xsd:double"&gt;48.9&lt;/D&gt;&lt;D xsi:type="xsd:double"&gt;48.9&lt;/D&gt;&lt;D xsi:type="xsd:double"&gt;48.9&lt;/D&gt;&lt;D xsi:type="xsd:double"&gt;47.3&lt;/D&gt;&lt;D xsi:type="xsd:double"&gt;47.3&lt;/D&gt;&lt;D xsi:type="xsd:double"&gt;47.3&lt;/D&gt;&lt;D xsi:type="xsd:double"&gt;47.3&lt;/D&gt;&lt;D xsi:type="xsd:double"&gt;47.3&lt;/D&gt;&lt;D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xsi:type="xsd:double"&gt;39.4&lt;/D&gt;&lt;D xsi:type="xsd:double"&gt;39.4&lt;/D&gt;&lt;D xsi:type="xsd:double"&gt;39.4&lt;/D&gt;&lt;D xsi:type="xsd:double"&gt;39.4&lt;/D&gt;&lt;D xsi:type="xsd:double"&gt;39.4&lt;/D&gt;&lt;D xsi:type="xsd:double"&gt;40.4&lt;/D&gt;&lt;D xsi:type="xsd:double"&gt;40.4&lt;/D&gt;&lt;D xsi:type="xsd:double"&gt;40.4&lt;/D&gt;&lt;D xsi:type="xsd:double"&gt;40.4&lt;/D&gt;&lt;D xsi:type="xsd:double"&gt;40.4&lt;/D&gt;&lt;D xsi:type="xsd:double"&gt;43.6&lt;/D&gt;&lt;D xsi:type="xsd:double"&gt;43.6&lt;/D&gt;&lt;D xsi:type="xsd:double"&gt;43.6&lt;/D&gt;&lt;D xsi:type="xsd:double"&gt;43.6&lt;/D&gt;&lt;D xsi:type="xsd:double"&gt;43.6&lt;/D&gt;&lt;D xsi:type="xsd:double"&gt;44.7&lt;/D&gt;&lt;D xsi:type="xsd:double"&gt;44.7&lt;/D&gt;&lt;D xsi:type="xsd:double"&gt;44.7&lt;/D&gt;&lt;D xsi:type="xsd:double"&gt;44.7&lt;/D&gt;&lt;D xsi:type="xsd:double"&gt;44.7&lt;/D&gt;&lt;D xsi:type="xsd:double"&gt;42.5&lt;/D&gt;&lt;D xsi:type="xsd:double"&gt;42.5&lt;/D&gt;&lt;D xsi:type="xsd:double"&gt;42.5&lt;/D&gt;&lt;D xsi:type="xsd:double"&gt;42.5&lt;/D&gt;&lt;D xsi:type="xsd:double"&gt;42.5&lt;/D&gt;&lt;D xsi:type="xsd:double"&gt;38.7&lt;/D&gt;&lt;D xsi:type="xsd:double"&gt;38.7&lt;/D&gt;&lt;D xsi:type="xsd:double"&gt;38.7&lt;/D&gt;&lt;D xsi:type="xsd:double"&gt;38.7&lt;/D&gt;&lt;D xsi:type="xsd:double"&gt;38.7&lt;/D&gt;&lt;D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xsi:type="xsd:double"&gt;34&lt;/D&gt;&lt;D xsi:type="xsd:double"&gt;34&lt;/D&gt;&lt;D xsi:type="xsd:double"&gt;34&lt;/D&gt;&lt;D xsi:type="xsd:double"&gt;34&lt;/D&gt;&lt;D xsi:type="xsd:double"&gt;34&lt;/D&gt;&lt;D xsi:type="xsd:double"&gt;39.3&lt;/D&gt;&lt;D xsi:type="xsd:double"&gt;39.3&lt;/D&gt;&lt;D xsi:type="xsd:double"&gt;39.3&lt;/D&gt;&lt;D xsi:type="xsd:double"&gt;39.3&lt;/D&gt;&lt;D xsi:type="xsd:double"&gt;39.3&lt;/D&gt;&lt;D xsi:type="xsd:double"&gt;38.3&lt;/D&gt;&lt;D xsi:type="xsd:double"&gt;38.3&lt;/D&gt;&lt;D xsi:type="xsd:double"&gt;38.3&lt;/D&gt;&lt;D xsi:type="xsd:double"&gt;38.3&lt;/D&gt;&lt;D xsi:type="xsd:double"&gt;38.3&lt;/D&gt;&lt;D xsi:type="xsd:double"&gt;39.4&lt;/D&gt;&lt;D xsi:type="xsd:double"&gt;39.4&lt;/D&gt;&lt;D xsi:type="xsd:double"&gt;39.4&lt;/D&gt;&lt;D xsi:type="xsd:double"&gt;39.4&lt;/D&gt;&lt;D xsi:type="xsd:double"&gt;39.4&lt;/D&gt;&lt;D xsi:type="xsd:double"&gt;38.7&lt;/D&gt;&lt;D xsi:type="xsd:double"&gt;38.7&lt;/D&gt;&lt;D xsi:type="xsd:double"&gt;38.7&lt;/D&gt;&lt;D xsi:type="xsd:double"&gt;38.7&lt;/D&gt;&lt;D xsi:type="xsd:double"&gt;38.7&lt;/D&gt;&lt;D xsi:type="xsd:double"&gt;43&lt;/D&gt;&lt;D xsi:type="xsd:double"&gt;43&lt;/D&gt;&lt;D xsi:type="xsd:double"&gt;43&lt;/D&gt;&lt;D xsi:type="xsd:double"&gt;43&lt;/D&gt;&lt;D xsi:type="xsd:double"&gt;43&lt;/D&gt;&lt;D xsi:type="xsd:double"&gt;41.9&lt;/D&gt;&lt;D xsi:type="xsd:double"&gt;41.9&lt;/D&gt;&lt;D xsi:type="xsd:double"&gt;41.9&lt;/D&gt;&lt;D xsi:type="xsd:double"&gt;41.9&lt;/D&gt;&lt;D xsi:type="xsd:double"&gt;41.9&lt;/D&gt;&lt;D xsi:type="xsd:double"&gt;44.1&lt;/D&gt;&lt;D xsi:type="xsd:double"&gt;44.1&lt;/D&gt;&lt;D xsi:type="xsd:double"&gt;44.1&lt;/D&gt;&lt;D xsi:type="xsd:double"&gt;44.1&lt;/D&gt;&lt;D xsi:type="xsd:double"&gt;44.1&lt;/D&gt;&lt;D xsi:type="xsd:double"&gt;48.4&lt;/D&gt;&lt;D xsi:type="xsd:double"&gt;48.4&lt;/D&gt;&lt;D xsi:type="xsd:double"&gt;48.4&lt;/D&gt;&lt;D xsi:type="xsd:double"&gt;48.4&lt;/D&gt;&lt;D xsi:type="xsd:double"&gt;48.4&lt;/D&gt;&lt;D xsi:type="xsd:double"&gt;52.7&lt;/D&gt;&lt;D xsi:type="xsd:double"&gt;52.7&lt;/D&gt;&lt;D xsi:type="xsd:double"&gt;52.7&lt;/D&gt;&lt;D xsi:type="xsd:double"&gt;52.7&lt;/D&gt;&lt;D xsi:type="xsd:double"&gt;52.7&lt;/D&gt;&lt;D xsi:type="xsd:double"&gt;50.5&lt;/D&gt;&lt;D xsi:type="xsd:double"&gt;50.5&lt;/D&gt;&lt;D xsi:type="xsd:double"&gt;50.5&lt;/D&gt;&lt;D xsi:type="xsd:double"&gt;50.5&lt;/D&gt;&lt;D xsi:type="xsd:double"&gt;50.5&lt;/D&gt;&lt;D xsi:type="xsd:double"&gt;48.4&lt;/D&gt;&lt;D xsi:type="xsd:double"&gt;48.4&lt;/D&gt;&lt;D xsi:type="xsd:double"&gt;48.4&lt;/D&gt;&lt;D xsi:type="xsd:double"&gt;48.4&lt;/D&gt;&lt;D xsi:type="xsd:double"&gt;48.4&lt;/D&gt;&lt;D xsi:type="xsd:double"&gt;43.6&lt;/D&gt;&lt;D xsi:type="xsd:double"&gt;43.6&lt;/D&gt;&lt;D xsi:type="xsd:double"&gt;43.6&lt;/D&gt;&lt;D xsi:type="xsd:double"&gt;43.6&lt;/D&gt;&lt;D xsi:type="xsd:double"&gt;43.6&lt;/D&gt;&lt;D xsi:type="xsd:double"&gt;47.9&lt;/D&gt;&lt;D xsi:type="xsd:double"&gt;47.9&lt;/D&gt;&lt;D xsi:type="xsd:double"&gt;47.9&lt;/D&gt;&lt;D xsi:type="xsd:double"&gt;47.9&lt;/D&gt;&lt;D xsi:type="xsd:double"&gt;47.9&lt;/D&gt;&lt;D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xsi:type="xsd:double"&gt;54.8&lt;/D&gt;&lt;D xsi:type="xsd:double"&gt;54.8&lt;/D&gt;&lt;D xsi:type="xsd:double"&gt;54.8&lt;/D&gt;&lt;D xsi:type="xsd:double"&gt;54.8&lt;/D&gt;&lt;D xsi:type="xsd:double"&gt;54.8&lt;/D&gt;&lt;D xsi:type="xsd:double"&gt;52.1&lt;/D&gt;&lt;D xsi:type="xsd:double"&gt;52.1&lt;/D&gt;&lt;D xsi:type="xsd:double"&gt;52.1&lt;/D&gt;&lt;D xsi:type="xsd:double"&gt;52.1&lt;/D&gt;&lt;D xsi:type="xsd:double"&gt;52.1&lt;/D&gt;&lt;D xsi:type="xsd:double"&gt;48.9&lt;/D&gt;&lt;D xsi:type="xsd:double"&gt;48.9&lt;/D&gt;&lt;D xsi:type="xsd:double"&gt;48.9&lt;/D&gt;&lt;D xsi:type="xsd:double"&gt;48.9&lt;/D&gt;&lt;D xsi:type="xsd:double"&gt;48.9&lt;/D&gt;&lt;D xsi:type="xsd:double"&gt;50&lt;/D&gt;&lt;D xsi:type="xsd:double"&gt;50&lt;/D&gt;&lt;D xsi:type="xsd:double"&gt;50&lt;/D&gt;&lt;D xsi:type="xsd:double"&gt;50&lt;/D&gt;&lt;D xsi:type="xsd:double"&gt;50&lt;/D&gt;&lt;D xsi:type="xsd:double"&gt;60&lt;/D&gt;&lt;D xsi:type="xsd:double"&gt;60&lt;/D&gt;&lt;D xsi:type="xsd:double"&gt;60&lt;/D&gt;&lt;D xsi:type="xsd:double"&gt;60&lt;/D&gt;&lt;D xsi:type="xsd:double"&gt;60&lt;/D&gt;&lt;D xsi:type="xsd:double"&gt;51.1&lt;/D&gt;&lt;D xsi:type="xsd:double"&gt;51.1&lt;/D&gt;&lt;D xsi:type="xsd:double"&gt;51.1&lt;/D&gt;&lt;D xsi:type="xsd:double"&gt;51.1&lt;/D&gt;&lt;D xsi:type="xsd:double"&gt;51.1&lt;/D&gt;&lt;D xsi:type="xsd:double"&gt;49.5&lt;/D&gt;&lt;D xsi:type="xsd:double"&gt;49.5&lt;/D&gt;&lt;D xsi:type="xsd:double"&gt;49.5&lt;/D&gt;&lt;D xsi:type="xsd:double"&gt;49.5&lt;/D&gt;&lt;D xsi:type="xsd:double"&gt;49.5&lt;/D&gt;&lt;D xsi:type="xsd:double"&gt;50.5&lt;/D&gt;&lt;D xsi:type="xsd:double"&gt;50.5&lt;/D&gt;&lt;D xsi:type="xsd:double"&gt;50.5&lt;/D&gt;&lt;D xsi:type="xsd:double"&gt;50.5&lt;/D&gt;&lt;D xsi:type="xsd:double"&gt;50.5&lt;/D&gt;&lt;D xsi:type="xsd:double"&gt;48.4&lt;/D&gt;&lt;D xsi:type="xsd:double"&gt;48.4&lt;/D&gt;&lt;D xsi:type="xsd:double"&gt;48.4&lt;/D&gt;&lt;D xsi:type="xsd:double"&gt;48.4&lt;/D&gt;&lt;D xsi:type="xsd:double"&gt;48.4&lt;/D&gt;&lt;D xsi:type="xsd:double"&gt;45.3&lt;/D&gt;&lt;D xsi:type="xsd:double"&gt;45.3&lt;/D&gt;&lt;D xsi:type="xsd:double"&gt;45.3&lt;/D&gt;&lt;D xsi:type="xsd:double"&gt;45.3&lt;/D&gt;&lt;D xsi:type="xsd:double"&gt;45.3&lt;/D&gt;&lt;D xsi:type="xsd:double"&gt;47.4&lt;/D&gt;&lt;D xsi:type="xsd:double"&gt;47.4&lt;/D&gt;&lt;D xsi:type="xsd:double"&gt;47.4&lt;/D&gt;&lt;D xsi:type="xsd:double"&gt;47.4&lt;/D&gt;&lt;D xsi:type="xsd:double"&gt;47.4&lt;/D&gt;&lt;D xsi:type="xsd:double"&gt;44.2&lt;/D&gt;&lt;D xsi:type="xsd:double"&gt;44.2&lt;/D&gt;&lt;D xsi:type="xsd:double"&gt;44.2&lt;/D&gt;&lt;D xsi:type="xsd:double"&gt;44.2&lt;/D&gt;&lt;D xsi:type="xsd:double"&gt;44.2&lt;/D&gt;&lt;D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xsi:type="xsd:double"&gt;44.2&lt;/D&gt;&lt;D xsi:type="xsd:double"&gt;44.2&lt;/D&gt;&lt;D xsi:type="xsd:double"&gt;44.2&lt;/D&gt;&lt;D xsi:type="xsd:double"&gt;44.2&lt;/D&gt;&lt;D xsi:type="xsd:double"&gt;44.2&lt;/D&gt;&lt;D xsi:type="xsd:double"&gt;43.2&lt;/D&gt;&lt;D xsi:type="xsd:double"&gt;43.2&lt;/D&gt;&lt;D xsi:type="xsd:double"&gt;43.2&lt;/D&gt;&lt;D xsi:type="xsd:double"&gt;43.2&lt;/D&gt;&lt;D xsi:type="xsd:double"&gt;43.2&lt;/D&gt;&lt;D xsi:type="xsd:double"&gt;40&lt;/D&gt;&lt;D xsi:type="xsd:double"&gt;40&lt;/D&gt;&lt;D xsi:type="xsd:double"&gt;40&lt;/D&gt;&lt;D xsi:type="xsd:double"&gt;40&lt;/D&gt;&lt;D xsi:type="xsd:double"&gt;40&lt;/D&gt;&lt;D xsi:type="xsd:double"&gt;35.8&lt;/D&gt;&lt;D xsi:type="xsd:double"&gt;35.8&lt;/D&gt;&lt;D xsi:type="xsd:double"&gt;35.8&lt;/D&gt;&lt;D xsi:type="xsd:double"&gt;35.8&lt;/D&gt;&lt;D xsi:type="xsd:double"&gt;35.8&lt;/D&gt;&lt;D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xsi:type="xsd:double"&gt;35.5&lt;/D&gt;&lt;D xsi:type="xsd:double"&gt;35.5&lt;/D&gt;&lt;D xsi:type="xsd:double"&gt;35.5&lt;/D&gt;&lt;D xsi:type="xsd:double"&gt;35.5&lt;/D&gt;&lt;D xsi:type="xsd:double"&gt;35.5&lt;/D&gt;&lt;D xsi:type="xsd:double"&gt;38.7&lt;/D&gt;&lt;D xsi:type="xsd:double"&gt;38.7&lt;/D&gt;&lt;D xsi:type="xsd:double"&gt;38.7&lt;/D&gt;&lt;D xsi:type="xsd:double"&gt;38.7&lt;/D&gt;&lt;D xsi:type="xsd:double"&gt;38.7&lt;/D&gt;&lt;D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xsi:type="xsd:double"&gt;46.2&lt;/D&gt;&lt;D xsi:type="xsd:double"&gt;46.2&lt;/D&gt;&lt;D xsi:type="xsd:double"&gt;46.2&lt;/D&gt;&lt;D xsi:type="xsd:double"&gt;46.2&lt;/D&gt;&lt;D xsi:type="xsd:double"&gt;46.2&lt;/D&gt;&lt;D xsi:type="xsd:double"&gt;47.3&lt;/D&gt;&lt;D xsi:type="xsd:double"&gt;47.3&lt;/D&gt;&lt;D xsi:type="xsd:double"&gt;47.3&lt;/D&gt;&lt;D xsi:type="xsd:double"&gt;47.3&lt;/D&gt;&lt;D xsi:type="xsd:double"&gt;47.3&lt;/D&gt;&lt;D xsi:type="xsd:double"&gt;46.3&lt;/D&gt;&lt;D xsi:type="xsd:double"&gt;46.3&lt;/D&gt;&lt;D xsi:type="xsd:double"&gt;46.3&lt;/D&gt;&lt;D xsi:type="xsd:double"&gt;46.3&lt;/D&gt;&lt;D xsi:type="xsd:double"&gt;46.3&lt;/D&gt;&lt;D xsi:type="xsd:double"&gt;49.5&lt;/D&gt;&lt;D xsi:type="xsd:double"&gt;49.5&lt;/D&gt;&lt;D xsi:type="xsd:double"&gt;49.5&lt;/D&gt;&lt;D xsi:type="xsd:double"&gt;49.5&lt;/D&gt;&lt;D xsi:type="xsd:double"&gt;49.5&lt;/D&gt;&lt;D xsi:type="xsd:double"&gt;46.2&lt;/D&gt;&lt;D xsi:type="xsd:double"&gt;46.2&lt;/D&gt;&lt;D xsi:type="xsd:double"&gt;46.2&lt;/D&gt;&lt;D xsi:type="xsd:double"&gt;46.2&lt;/D&gt;&lt;D xsi:type="xsd:double"&gt;46.2&lt;/D&gt;&lt;D xsi:type="xsd:double"&gt;44.1&lt;/D&gt;&lt;D xsi:type="xsd:double"&gt;44.1&lt;/D&gt;&lt;D xsi:type="xsd:double"&gt;44.1&lt;/D&gt;&lt;D xsi:type="xsd:double"&gt;44.1&lt;/D&gt;&lt;D xsi:type="xsd:double"&gt;44.1&lt;/D&gt;&lt;D xsi:type="xsd:double"&gt;40.9&lt;/D&gt;&lt;D xsi:type="xsd:double"&gt;40.9&lt;/D&gt;&lt;D xsi:type="xsd:double"&gt;40.9&lt;/D&gt;&lt;D xsi:type="xsd:double"&gt;40.9&lt;/D&gt;&lt;D xsi:type="xsd:double"&gt;40.9&lt;/D&gt;&lt;D xsi:type="xsd:double"&gt;39.8&lt;/D&gt;&lt;D xsi:type="xsd:double"&gt;39.8&lt;/D&gt;&lt;D xsi:type="xsd:double"&gt;39.8&lt;/D&gt;&lt;D xsi:type="xsd:double"&gt;39.8&lt;/D&gt;&lt;D xsi:type="xsd:double"&gt;39.8&lt;/D&gt;&lt;D xsi:type="xsd:double"&gt;37.6&lt;/D&gt;&lt;D xsi:type="xsd:double"&gt;37.6&lt;/D&gt;&lt;D xsi:type="xsd:double"&gt;37.6&lt;/D&gt;&lt;D xsi:type="xsd:double"&gt;37.6&lt;/D&gt;&lt;D xsi:type="xsd:double"&gt;37.6&lt;/D&gt;&lt;D xsi:type="xsd:double"&gt;37&lt;/D&gt;&lt;D xsi:type="xsd:double"&gt;37&lt;/D&gt;&lt;D xsi:type="xsd:double"&gt;37&lt;/D&gt;&lt;D xsi:type="xsd:double"&gt;37&lt;/D&gt;&lt;D xsi:type="xsd:double"&gt;37&lt;/D&gt;&lt;D xsi:type="xsd:double"&gt;40.9&lt;/D&gt;&lt;D xsi:type="xsd:double"&gt;40.9&lt;/D&gt;&lt;D xsi:type="xsd:double"&gt;40.9&lt;/D&gt;&lt;D xsi:type="xsd:double"&gt;40.9&lt;/D&gt;&lt;D xsi:type="xsd:double"&gt;40.9&lt;/D&gt;&lt;D xsi:type="xsd:double"&gt;45.2&lt;/D&gt;&lt;D xsi:type="xsd:double"&gt;45.2&lt;/D&gt;&lt;D xsi:type="xsd:double"&gt;45.2&lt;/D&gt;&lt;D xsi:type="xsd:double"&gt;45.2&lt;/D&gt;&lt;D xsi:type="xsd:double"&gt;45.2&lt;/D&gt;&lt;D xsi:type="xsd:double"&gt;43&lt;/D&gt;&lt;D xsi:type="xsd:double"&gt;43&lt;/D&gt;&lt;D xsi:type="xsd:double"&gt;43&lt;/D&gt;&lt;D xsi:type="xsd:double"&gt;43&lt;/D&gt;&lt;D xsi:type="xsd:double"&gt;43&lt;/D&gt;&lt;D xsi:type="xsd:double"&gt;45.6&lt;/D&gt;&lt;D xsi:type="xsd:double"&gt;45.6&lt;/D&gt;&lt;D xsi:type="xsd:double"&gt;45.6&lt;/D&gt;&lt;D xsi:type="xsd:double"&gt;45.6&lt;/D&gt;&lt;D xsi:type="xsd:double"&gt;45.6&lt;/D&gt;&lt;D xsi:type="xsd:double"&gt;51.1&lt;/D&gt;&lt;D xsi:type="xsd:double"&gt;51.1&lt;/D&gt;&lt;D xsi:type="xsd:double"&gt;51.1&lt;/D&gt;&lt;D xsi:type="xsd:double"&gt;51.1&lt;/D&gt;&lt;D xsi:type="xsd:double"&gt;51.1&lt;/D&gt;&lt;D xsi:type="xsd:double"&gt;54.9&lt;/D&gt;&lt;D xsi:type="xsd:double"&gt;54.9&lt;/D&gt;&lt;D xsi:type="xsd:double"&gt;54.9&lt;/D&gt;&lt;D xsi:type="xsd:double"&gt;54.9&lt;/D&gt;&lt;D xsi:type="xsd:double"&gt;54.9&lt;/D&gt;&lt;D xsi:type="xsd:double"&gt;54.3&lt;/D&gt;&lt;D xsi:type="xsd:double"&gt;54.3&lt;/D&gt;&lt;D xsi:type="xsd:double"&gt;54.3&lt;/D&gt;&lt;D xsi:type="xsd:double"&gt;54.3&lt;/D&gt;&lt;D xsi:type="xsd:double"&gt;54.3&lt;/D&gt;&lt;D xsi:type="xsd:double"&gt;54.2&lt;/D&gt;&lt;D xsi:type="xsd:double"&gt;54.2&lt;/D&gt;&lt;D xsi:type="xsd:double"&gt;54.2&lt;/D&gt;&lt;D xsi:type="xsd:double"&gt;54.2&lt;/D&gt;&lt;D xsi:type="xsd:double"&gt;54.2&lt;/D&gt;&lt;D xsi:type="xsd:double"&gt;55.4&lt;/D&gt;&lt;D xsi:type="xsd:double"&gt;55.4&lt;/D&gt;&lt;D xsi:type="xsd:double"&gt;55.4&lt;/D&gt;&lt;D xsi:type="xsd:double"&gt;55.4&lt;/D&gt;&lt;D xsi:type="xsd:double"&gt;55.4&lt;/D&gt;&lt;D xsi:type="xsd:double"&gt;57.3&lt;/D&gt;&lt;D xsi:type="xsd:double"&gt;57.3&lt;/D&gt;&lt;D xsi:type="xsd:double"&gt;57.3&lt;/D&gt;&lt;D xsi:type="xsd:double"&gt;57.3&lt;/D&gt;&lt;D xsi:type="xsd:double"&gt;57.3&lt;/D&gt;&lt;D xsi:type="xsd:double"&gt;51.6&lt;/D&gt;&lt;D xsi:type="xsd:double"&gt;51.6&lt;/D&gt;&lt;D xsi:type="xsd:double"&gt;51.6&lt;/D&gt;&lt;D xsi:type="xsd:double"&gt;51.6&lt;/D&gt;&lt;D xsi:type="xsd:double"&gt;51.6&lt;/D&gt;&lt;D xsi:type="xsd:double"&gt;50.6&lt;/D&gt;&lt;D xsi:type="xsd:double"&gt;50.6&lt;/D&gt;&lt;D xsi:type="xsd:double"&gt;50.6&lt;/D&gt;&lt;D xsi:type="xsd:double"&gt;50.6&lt;/D&gt;&lt;D xsi:type="xsd:double"&gt;50.6&lt;/D&gt;&lt;D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xsi:type="xsd:double"&gt;50.6&lt;/D&gt;&lt;D xsi:type="xsd:double"&gt;50.6&lt;/D&gt;&lt;D xsi:type="xsd:double"&gt;50.6&lt;/D&gt;&lt;D xsi:type="xsd:double"&gt;50.6&lt;/D&gt;&lt;D xsi:type="xsd:double"&gt;50.6&lt;/D&gt;&lt;D xsi:type="xsd:double"&gt;53.3&lt;/D&gt;&lt;D xsi:type="xsd:double"&gt;53.3&lt;/D&gt;&lt;D xsi:type="xsd:double"&gt;53.3&lt;/D&gt;&lt;D xsi:type="xsd:double"&gt;53.3&lt;/D&gt;&lt;D xsi:type="xsd:double"&gt;53.3&lt;/D&gt;&lt;D xsi:type="xsd:double"&gt;52.2&lt;/D&gt;&lt;D xsi:type="xsd:double"&gt;52.2&lt;/D&gt;&lt;D xsi:type="xsd:double"&gt;52.2&lt;/D&gt;&lt;D xsi:type="xsd:double"&gt;52.2&lt;/D&gt;&lt;D xsi:type="xsd:double"&gt;52.2&lt;/D&gt;&lt;D xsi:type="xsd:double"&gt;53.4&lt;/D&gt;&lt;D xsi:type="xsd:double"&gt;53.4&lt;/D&gt;&lt;D xsi:type="xsd:double"&gt;53.4&lt;/D&gt;&lt;D xsi:type="xsd:double"&gt;53.4&lt;/D&gt;&lt;D xsi:type="xsd:double"&gt;53.4&lt;/D&gt;&lt;D xsi:type="xsd:double"&gt;52.7&lt;/D&gt;&lt;D xsi:type="xsd:double"&gt;52.7&lt;/D&gt;&lt;D xsi:type="xsd:double"&gt;52.7&lt;/D&gt;&lt;D xsi:type="xsd:double"&gt;52.7&lt;/D&gt;&lt;D xsi:type="xsd:double"&gt;52.7&lt;/D&gt;&lt;D xsi:type="xsd:double"&gt;55.1&lt;/D&gt;&lt;D xsi:type="xsd:double"&gt;55.1&lt;/D&gt;&lt;D xsi:type="xsd:double"&gt;55.1&lt;/D&gt;&lt;D xsi:type="xsd:double"&gt;55.1&lt;/D&gt;&lt;D xsi:type="xsd:double"&gt;55.1&lt;/D&gt;&lt;D xsi:type="xsd:double"&gt;56&lt;/D&gt;&lt;D xsi:type="xsd:double"&gt;56&lt;/D&gt;&lt;D xsi:type="xsd:double"&gt;56&lt;/D&gt;&lt;D xsi:type="xsd:double"&gt;56&lt;/D&gt;&lt;D xsi:type="xsd:double"&gt;56&lt;/D&gt;&lt;D xsi:type="xsd:double"&gt;57.3&lt;/D&gt;&lt;D xsi:type="xsd:double"&gt;57.3&lt;/D&gt;&lt;D xsi:type="xsd:double"&gt;57.3&lt;/D&gt;&lt;D xsi:type="xsd:double"&gt;57.3&lt;/D&gt;&lt;D xsi:type="xsd:double"&gt;57.3&lt;/D&gt;&lt;D xsi:type="xsd:double"&gt;54.5&lt;/D&gt;&lt;D xsi:type="xsd:double"&gt;54.5&lt;/D&gt;&lt;D xsi:type="xsd:double"&gt;54.5&lt;/D&gt;&lt;D xsi:type="xsd:double"&gt;54.5&lt;/D&gt;&lt;D xsi:type="xsd:double"&gt;54.5&lt;/D&gt;&lt;D xsi:type="xsd:double"&gt;55.6&lt;/D&gt;&lt;D xsi:type="xsd:double"&gt;55.6&lt;/D&gt;&lt;D xsi:type="xsd:double"&gt;55.6&lt;/D&gt;&lt;D xsi:type="xsd:double"&gt;55.6&lt;/D&gt;&lt;D xsi:type="xsd:double"&gt;55.6&lt;/D&gt;&lt;D xsi:type="xsd:double"&gt;58.8&lt;/D&gt;&lt;D xsi:type="xsd:double"&gt;58.8&lt;/D&gt;&lt;D xsi:type="xsd:double"&gt;58.8&lt;/D&gt;&lt;D xsi:type="xsd:double"&gt;58.8&lt;/D&gt;&lt;D xsi:type="xsd:double"&gt;58.8&lt;/D&gt;&lt;D xsi:type="xsd:double"&gt;56.8&lt;/D&gt;&lt;D xsi:type="xsd:double"&gt;56.8&lt;/D&gt;&lt;D xsi:type="xsd:double"&gt;56.8&lt;/D&gt;&lt;D xsi:type="xsd:double"&gt;56.8&lt;/D&gt;&lt;D xsi:type="xsd:double"&gt;56.8&lt;/D&gt;&lt;D xsi:type="xsd:double"&gt;56.2&lt;/D&gt;&lt;D xsi:type="xsd:double"&gt;56.2&lt;/D&gt;&lt;D xsi:type="xsd:double"&gt;56.2&lt;/D&gt;&lt;D xsi:type="xsd:double"&gt;56.2&lt;/D&gt;&lt;D xsi:type="xsd:double"&gt;56.2&lt;/D&gt;&lt;D xsi:type="xsd:double"&gt;55.4&lt;/D&gt;&lt;D xsi:type="xsd:double"&gt;55.4&lt;/D&gt;&lt;D xsi:type="xsd:double"&gt;55.4&lt;/D&gt;&lt;D xsi:type="xsd:double"&gt;55.4&lt;/D&gt;&lt;D xsi:type="xsd:double"&gt;55.4&lt;/D&gt;&lt;D xsi:type="xsd:double"&gt;55.7&lt;/D&gt;&lt;D xsi:type="xsd:double"&gt;55.7&lt;/D&gt;&lt;D xsi:type="xsd:double"&gt;55.7&lt;/D&gt;&lt;D xsi:type="xsd:double"&gt;55.7&lt;/D&gt;&lt;D xsi:type="xsd:double"&gt;55.7&lt;/D&gt;&lt;D xsi:type="xsd:double"&gt;56.2&lt;/D&gt;&lt;D xsi:type="xsd:double"&gt;56.2&lt;/D&gt;&lt;D xsi:type="xsd:double"&gt;56.2&lt;/D&gt;&lt;D xsi:type="xsd:double"&gt;56.2&lt;/D&gt;&lt;D xsi:type="xsd:double"&gt;56.2&lt;/D&gt;&lt;D xsi:type="xsd:double"&gt;48.4&lt;/D&gt;&lt;D xsi:type="xsd:double"&gt;48.4&lt;/D&gt;&lt;D xsi:type="xsd:double"&gt;48.4&lt;/D&gt;&lt;D xsi:type="xsd:double"&gt;48.4&lt;/D&gt;&lt;D xsi:type="xsd:double"&gt;48.4&lt;/D&gt;&lt;D xsi:type="xsd:double"&gt;46.7&lt;/D&gt;&lt;D xsi:type="xsd:double"&gt;46.7&lt;/D&gt;&lt;D xsi:type="xsd:double"&gt;46.7&lt;/D&gt;&lt;D xsi:type="xsd:double"&gt;46.7&lt;/D&gt;&lt;D xsi:type="xsd:double"&gt;46.7&lt;/D&gt;&lt;D xsi:type="xsd:double"&gt;45.6&lt;/D&gt;&lt;D xsi:type="xsd:double"&gt;45.6&lt;/D&gt;&lt;D xsi:type="xsd:double"&gt;45.6&lt;/D&gt;&lt;D xsi:type="xsd:double"&gt;45.6&lt;/D&gt;&lt;D xsi:type="xsd:double"&gt;45.6&lt;/D&gt;&lt;D xsi:type="xsd:double"&gt;45.1&lt;/D&gt;&lt;D xsi:type="xsd:double"&gt;45.1&lt;/D&gt;&lt;D xsi:type="xsd:double"&gt;45.1&lt;/D&gt;&lt;D xsi:type="xsd:double"&gt;45.1&lt;/D&gt;&lt;D xsi:type="xsd:double"&gt;45.1&lt;/D&gt;&lt;D xsi:type="xsd:double"&gt;47.2&lt;/D&gt;&lt;D xsi:type="xsd:double"&gt;47.2&lt;/D&gt;&lt;D xsi:type="xsd:double"&gt;47.2&lt;/D&gt;&lt;D xsi:type="xsd:double"&gt;47.2&lt;/D&gt;&lt;D xsi:type="xsd:double"&gt;47.2&lt;/D&gt;&lt;D xsi:type="xsd:double"&gt;45.6&lt;/D&gt;&lt;D xsi:type="xsd:double"&gt;45.6&lt;/D&gt;&lt;D xsi:type="xsd:double"&gt;45.6&lt;/D&gt;&lt;D xsi:type="xsd:double"&gt;45.6&lt;/D&gt;&lt;D xsi:type="xsd:double"&gt;45.6&lt;/D&gt;&lt;D xsi:type="xsd:double"&gt;43.3&lt;/D&gt;&lt;D xsi:type="xsd:double"&gt;43.3&lt;/D&gt;&lt;D xsi:type="xsd:double"&gt;43.3&lt;/D&gt;&lt;D xsi:type="xsd:double"&gt;43.3&lt;/D&gt;&lt;D xsi:type="xsd:double"&gt;43.3&lt;/D&gt;&lt;D xsi:type="xsd:double"&gt;41.4&lt;/D&gt;&lt;D xsi:type="xsd:double"&gt;41.4&lt;/D&gt;&lt;D xsi:type="xsd:double"&gt;41.4&lt;/D&gt;&lt;D xsi:type="xsd:double"&gt;41.4&lt;/D&gt;&lt;D xsi:type="xsd:double"&gt;41.4&lt;/D&gt;&lt;D xsi:type="xsd:double"&gt;36.7&lt;/D&gt;&lt;D xsi:type="xsd:double"&gt;36.7&lt;/D&gt;&lt;D xsi:type="xsd:double"&gt;36.7&lt;/D&gt;&lt;D xsi:type="xsd:double"&gt;36.7&lt;/D&gt;&lt;D xsi:type="xsd:double"&gt;36.7&lt;/D&gt;&lt;D xsi:type="xsd:double"&gt;33.3&lt;/D&gt;&lt;D xsi:type="xsd:double"&gt;33.3&lt;/D&gt;&lt;D xsi:type="xsd:double"&gt;33.3&lt;/D&gt;&lt;D xsi:type="xsd:double"&gt;33.3&lt;/D&gt;&lt;D xsi:type="xsd:double"&gt;33.3&lt;/D&gt;&lt;D xsi:type="xsd:double"&gt;29.4&lt;/D&gt;&lt;D xsi:type="xsd:double"&gt;29.4&lt;/D&gt;&lt;D xsi:type="xsd:double"&gt;29.4&lt;/D&gt;&lt;D xsi:type="xsd:double"&gt;29.4&lt;/D&gt;&lt;D xsi:type="xsd:double"&gt;29.4&lt;/D&gt;&lt;D xsi:type="xsd:double"&gt;33.3&lt;/D&gt;&lt;D xsi:type="xsd:double"&gt;33.3&lt;/D&gt;&lt;D xsi:type="xsd:double"&gt;33.3&lt;/D&gt;&lt;D xsi:type="xsd:double"&gt;33.3&lt;/D&gt;&lt;D xsi:type="xsd:double"&gt;33.3&lt;/D&gt;&lt;D xsi:type="xsd:double"&gt;36.7&lt;/D&gt;&lt;D xsi:type="xsd:double"&gt;36.7&lt;/D&gt;&lt;D xsi:type="xsd:double"&gt;36.7&lt;/D&gt;&lt;D xsi:type="xsd:double"&gt;36.7&lt;/D&gt;&lt;D xsi:type="xsd:double"&gt;36.7&lt;/D&gt;&lt;D xsi:type="xsd:double"&gt;41.7&lt;/D&gt;&lt;D xsi:type="xsd:double"&gt;41.7&lt;/D&gt;&lt;D xsi:type="xsd:double"&gt;41.7&lt;/D&gt;&lt;D xsi:type="xsd:double"&gt;41.7&lt;/D&gt;&lt;D xsi:type="xsd:double"&gt;41.7&lt;/D&gt;&lt;D xsi:type="xsd:double"&gt;38.9&lt;/D&gt;&lt;D xsi:type="xsd:double"&gt;38.9&lt;/D&gt;&lt;D xsi:type="xsd:double"&gt;38.9&lt;/D&gt;&lt;D xsi:type="xsd:double"&gt;38.9&lt;/D&gt;&lt;D xsi:type="xsd:double"&gt;38.9&lt;/D&gt;&lt;D xsi:type="xsd:double"&gt;38.2&lt;/D&gt;&lt;D xsi:type="xsd:double"&gt;38.2&lt;/D&gt;&lt;D xsi:type="xsd:double"&gt;38.2&lt;/D&gt;&lt;D xsi:type="xsd:double"&gt;38.2&lt;/D&gt;&lt;D xsi:type="xsd:double"&gt;38.2&lt;/D&gt;&lt;D xsi:type="xsd:double"&gt;35.6&lt;/D&gt;&lt;D xsi:type="xsd:double"&gt;35.6&lt;/D&gt;&lt;D xsi:type="xsd:double"&gt;35.6&lt;/D&gt;&lt;D xsi:type="xsd:double"&gt;35.6&lt;/D&gt;&lt;D xsi:type="xsd:double"&gt;35.6&lt;/D&gt;&lt;D xsi:type="xsd:double"&gt;32.6&lt;/D&gt;&lt;D xsi:type="xsd:double"&gt;32.6&lt;/D&gt;&lt;D xsi:type="xsd:double"&gt;32.6&lt;/D&gt;&lt;D xsi:type="xsd:double"&gt;32.6&lt;/D&gt;&lt;D xsi:type="xsd:double"&gt;32.6&lt;/D&gt;&lt;D xsi:type="xsd:double"&gt;37&lt;/D&gt;&lt;D xsi:type="xsd:double"&gt;37&lt;/D&gt;&lt;D xsi:type="xsd:double"&gt;37&lt;/D&gt;&lt;D xsi:type="xsd:double"&gt;37&lt;/D&gt;&lt;D xsi:type="xsd:double"&gt;37&lt;/D&gt;&lt;D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xsi:type="xsd:double"&gt;37&lt;/D&gt;&lt;D xsi:type="xsd:double"&gt;37&lt;/D&gt;&lt;D xsi:type="xsd:double"&gt;37&lt;/D&gt;&lt;D xsi:type="xsd:double"&gt;37&lt;/D&gt;&lt;D xsi:type="xsd:double"&gt;37&lt;/D&gt;&lt;D xsi:type="xsd:double"&gt;38.5&lt;/D&gt;&lt;D xsi:type="xsd:double"&gt;38.5&lt;/D&gt;&lt;D xsi:type="xsd:double"&gt;38.5&lt;/D&gt;&lt;D xsi:type="xsd:double"&gt;38.5&lt;/D&gt;&lt;D xsi:type="xsd:double"&gt;38.5&lt;/D&gt;&lt;D xsi:type="xsd:double"&gt;39.8&lt;/D&gt;&lt;D xsi:type="xsd:double"&gt;39.8&lt;/D&gt;&lt;D xsi:type="xsd:double"&gt;39.8&lt;/D&gt;&lt;D xsi:type="xsd:double"&gt;39.8&lt;/D&gt;&lt;D xsi:type="xsd:double"&gt;39.8&lt;/D&gt;&lt;D xsi:type="xsd:double"&gt;39.3&lt;/D&gt;&lt;D xsi:type="xsd:double"&gt;39.3&lt;/D&gt;&lt;D xsi:type="xsd:double"&gt;39.3&lt;/D&gt;&lt;D xsi:type="xsd:double"&gt;39.3&lt;/D&gt;&lt;D xsi:type="xsd:double"&gt;39.3&lt;/D&gt;&lt;D xsi:type="xsd:double"&gt;43.8&lt;/D&gt;&lt;D xsi:type="xsd:double"&gt;43.8&lt;/D&gt;&lt;D xsi:type="xsd:double"&gt;43.8&lt;/D&gt;&lt;D xsi:type="xsd:double"&gt;43.8&lt;/D&gt;&lt;D xsi:type="xsd:double"&gt;43.8&lt;/D&gt;&lt;D xsi:type="xsd:double"&gt;47.2&lt;/D&gt;&lt;D xsi:type="xsd:double"&gt;47.2&lt;/D&gt;&lt;D xsi:type="xsd:double"&gt;47.2&lt;/D&gt;&lt;D xsi:type="xsd:double"&gt;47.2&lt;/D&gt;&lt;D xsi:type="xsd:double"&gt;47.2&lt;/D&gt;&lt;D xsi:type="xsd:double"&gt;56&lt;/D&gt;&lt;D xsi:type="xsd:double"&gt;56&lt;/D&gt;&lt;D xsi:type="xsd:double"&gt;56&lt;/D&gt;&lt;D xsi:type="xsd:double"&gt;56&lt;/D&gt;&lt;D xsi:type="xsd:double"&gt;56&lt;/D&gt;&lt;D xsi:type="xsd:double"&gt;54&lt;/D&gt;&lt;D xsi:type="xsd:double"&gt;54&lt;/D&gt;&lt;D xsi:type="xsd:double"&gt;54&lt;/D&gt;&lt;D xsi:type="xsd:double"&gt;54&lt;/D&gt;&lt;D xsi:type="xsd:double"&gt;54&lt;/D&gt;&lt;D xsi:type="xsd:double"&gt;53.3&lt;/D&gt;&lt;D xsi:type="xsd:double"&gt;53.3&lt;/D&gt;&lt;D xsi:type="xsd:double"&gt;53.3&lt;/D&gt;&lt;D xsi:type="xsd:double"&gt;53.3&lt;/D&gt;&lt;D xsi:type="xsd:double"&gt;53.3&lt;/D&gt;&lt;D xsi:type="xsd:double"&gt;51.1&lt;/D&gt;&lt;D xsi:type="xsd:double"&gt;51.1&lt;/D&gt;&lt;D xsi:type="xsd:double"&gt;51.1&lt;/D&gt;&lt;D xsi:type="xsd:double"&gt;51.1&lt;/D&gt;&lt;D xsi:type="xsd:double"&gt;51.1&lt;/D&gt;&lt;D xsi:type="xsd:double"&gt;48.9&lt;/D&gt;&lt;D xsi:type="xsd:double"&gt;48.9&lt;/D&gt;&lt;D xsi:type="xsd:double"&gt;48.9&lt;/D&gt;&lt;D xsi:type="xsd:double"&gt;48.9&lt;/D&gt;&lt;D xsi:type="xsd:double"&gt;48.9&lt;/D&gt;&lt;D xsi:type="xsd:double"&gt;48.3&lt;/D&gt;&lt;D xsi:type="xsd:double"&gt;48.3&lt;/D&gt;&lt;D xsi:type="xsd:double"&gt;48.3&lt;/D&gt;&lt;D xsi:type="xsd:double"&gt;48.3&lt;/D&gt;&lt;D xsi:type="xsd:double"&gt;48.3&lt;/D&gt;&lt;D xsi:type="xsd:double"&gt;48.9&lt;/D&gt;&lt;D xsi:type="xsd:double"&gt;48.9&lt;/D&gt;&lt;D xsi:type="xsd:double"&gt;48.9&lt;/D&gt;&lt;D xsi:type="xsd:double"&gt;48.9&lt;/D&gt;&lt;D xsi:type="xsd:double"&gt;48.9&lt;/D&gt;&lt;D xsi:type="xsd:double"&gt;46.1&lt;/D&gt;&lt;D xsi:type="xsd:double"&gt;46.1&lt;/D&gt;&lt;D xsi:type="xsd:double"&gt;46.1&lt;/D&gt;&lt;D xsi:type="xsd:double"&gt;46.1&lt;/D&gt;&lt;D xsi:type="xsd:double"&gt;46.1&lt;/D&gt;&lt;D xsi:type="xsd:double"&gt;44.9&lt;/D&gt;&lt;D xsi:type="xsd:double"&gt;44.9&lt;/D&gt;&lt;D xsi:type="xsd:double"&gt;44.9&lt;/D&gt;&lt;D xsi:type="xsd:double"&gt;44.9&lt;/D&gt;&lt;D xsi:type="xsd:double"&gt;44.9&lt;/D&gt;&lt;D xsi:type="xsd:double"&gt;42.1&lt;/D&gt;&lt;D xsi:type="xsd:double"&gt;42.1&lt;/D&gt;&lt;D xsi:type="xsd:double"&gt;42.1&lt;/D&gt;&lt;D xsi:type="xsd:double"&gt;42.1&lt;/D&gt;&lt;D xsi:type="xsd:double"&gt;42.1&lt;/D&gt;&lt;D xsi:type="xsd:double"&gt;41.1&lt;/D&gt;&lt;D xsi:type="xsd:double"&gt;41.1&lt;/D&gt;&lt;D xsi:type="xsd:double"&gt;41.1&lt;/D&gt;&lt;D xsi:type="xsd:double"&gt;41.1&lt;/D&gt;&lt;D xsi:type="xsd:double"&gt;41.1&lt;/D&gt;&lt;D xsi:type="xsd:double"&gt;35.6&lt;/D&gt;&lt;D xsi:type="xsd:double"&gt;35.6&lt;/D&gt;&lt;D xsi:type="xsd:double"&gt;35.6&lt;/D&gt;&lt;D xsi:type="xsd:double"&gt;35.6&lt;/D&gt;&lt;D xsi:type="xsd:double"&gt;35.6&lt;/D&gt;&lt;D xsi:type="xsd:double"&gt;34.1&lt;/D&gt;&lt;D xsi:type="xsd:double"&gt;34.1&lt;/D&gt;&lt;D xsi:type="xsd:double"&gt;34.1&lt;/D&gt;&lt;D xsi:type="xsd:double"&gt;34.1&lt;/D&gt;&lt;D xsi:type="xsd:double"&gt;34.1&lt;/D&gt;&lt;D xsi:type="xsd:double"&gt;38.9&lt;/D&gt;&lt;D xsi:type="xsd:double"&gt;38.9&lt;/D&gt;&lt;D xsi:type="xsd:double"&gt;38.9&lt;/D&gt;&lt;D xsi:type="xsd:double"&gt;38.9&lt;/D&gt;&lt;D xsi:type="xsd:double"&gt;38.9&lt;/D&gt;&lt;D xsi:type="xsd:double"&gt;40&lt;/D&gt;&lt;D xsi:type="xsd:double"&gt;40&lt;/D&gt;&lt;D xsi:type="xsd:double"&gt;40&lt;/D&gt;&lt;D xsi:type="xsd:double"&gt;40&lt;/D&gt;&lt;D xsi:type="xsd:double"&gt;40&lt;/D&gt;&lt;D xsi:type="xsd:double"&gt;52.2&lt;/D&gt;&lt;D xsi:type="xsd:double"&gt;52.2&lt;/D&gt;&lt;D xsi:type="xsd:double"&gt;52.2&lt;/D&gt;&lt;D xsi:type="xsd:double"&gt;52.2&lt;/D&gt;&lt;D xsi:type="xsd:double"&gt;52.2&lt;/D&gt;&lt;D xsi:type="xsd:double"&gt;53.4&lt;/D&gt;&lt;D xsi:type="xsd:double"&gt;53.4&lt;/D&gt;&lt;D xsi:type="xsd:double"&gt;53.4&lt;/D&gt;&lt;D xsi:type="xsd:double"&gt;53.4&lt;/D&gt;&lt;D xsi:type="xsd:double"&gt;53.4&lt;/D&gt;&lt;D xsi:type="xsd:double"&gt;48.3&lt;/D&gt;&lt;D xsi:type="xsd:double"&gt;48.3&lt;/D&gt;&lt;D xsi:type="xsd:double"&gt;48.3&lt;/D&gt;&lt;D xsi:type="xsd:double"&gt;48.3&lt;/D&gt;&lt;D xsi:type="xsd:double"&gt;48.3&lt;/D&gt;&lt;D xsi:type="xsd:double"&gt;51.1&lt;/D&gt;&lt;D xsi:type="xsd:double"&gt;51.1&lt;/D&gt;&lt;D xsi:type="xsd:double"&gt;51.1&lt;/D&gt;&lt;D xsi:type="xsd:double"&gt;51.1&lt;/D&gt;&lt;D xsi:type="xsd:double"&gt;51.1&lt;/D&gt;&lt;D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xsi:type="xsd:double"&gt;48.4&lt;/D&gt;&lt;D xsi:type="xsd:double"&gt;48.4&lt;/D&gt;&lt;D xsi:type="xsd:double"&gt;48.4&lt;/D&gt;&lt;D xsi:type="xsd:double"&gt;48.4&lt;/D&gt;&lt;D xsi:type="xsd:double"&gt;48.4&lt;/D&gt;&lt;D xsi:type="xsd:double"&gt;50&lt;/D&gt;&lt;D xsi:type="xsd:double"&gt;50&lt;/D&gt;&lt;D xsi:type="xsd:double"&gt;50&lt;/D&gt;&lt;D xsi:type="xsd:double"&gt;50&lt;/D&gt;&lt;D xsi:type="xsd:double"&gt;50&lt;/D&gt;&lt;D xsi:type="xsd:double"&gt;50.6&lt;/D&gt;&lt;D xsi:type="xsd:double"&gt;50.6&lt;/D&gt;&lt;D xsi:type="xsd:double"&gt;50.6&lt;/D&gt;&lt;D xsi:type="xsd:double"&gt;50.6&lt;/D&gt;&lt;D xsi:type="xsd:double"&gt;50.6&lt;/D&gt;&lt;D xsi:type="xsd:double"&gt;46.1&lt;/D&gt;&lt;D xsi:type="xsd:double"&gt;46.1&lt;/D&gt;&lt;D xsi:type="xsd:double"&gt;46.1&lt;/D&gt;&lt;D xsi:type="xsd:double"&gt;46.1&lt;/D&gt;&lt;D xsi:type="xsd:double"&gt;46.1&lt;/D&gt;&lt;D xsi:type="xsd:double"&gt;44.4&lt;/D&gt;&lt;D xsi:type="xsd:double"&gt;44.4&lt;/D&gt;&lt;D xsi:type="xsd:double"&gt;44.4&lt;/D&gt;&lt;D xsi:type="xsd:double"&gt;44.4&lt;/D&gt;&lt;D xsi:type="xsd:double"&gt;44.4&lt;/D&gt;&lt;D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xsi:type="xsd:double"&gt;49.5&lt;/D&gt;&lt;D xsi:type="xsd:double"&gt;49.5&lt;/D&gt;&lt;D xsi:type="xsd:double"&gt;49.5&lt;/D&gt;&lt;D xsi:type="xsd:double"&gt;49.5&lt;/D&gt;&lt;D xsi:type="xsd:double"&gt;49.5&lt;/D&gt;&lt;D xsi:type="xsd:double"&gt;47.2&lt;/D&gt;&lt;D xsi:type="xsd:double"&gt;47.2&lt;/D&gt;&lt;D xsi:type="xsd:double"&gt;47.2&lt;/D&gt;&lt;D xsi:type="xsd:double"&gt;47.2&lt;/D&gt;&lt;D xsi:type="xsd:double"&gt;47.2&lt;/D&gt;&lt;D xsi:type="xsd:double"&gt;48.9&lt;/D&gt;&lt;D xsi:type="xsd:double"&gt;48.9&lt;/D&gt;&lt;D xsi:type="xsd:double"&gt;48.9&lt;/D&gt;&lt;D xsi:type="xsd:double"&gt;48.9&lt;/D&gt;&lt;D xsi:type="xsd:double"&gt;48.9&lt;/D&gt;&lt;D xsi:type="xsd:double"&gt;50.6&lt;/D&gt;&lt;D xsi:type="xsd:double"&gt;50.6&lt;/D&gt;&lt;D xsi:type="xsd:double"&gt;50.6&lt;/D&gt;&lt;D xsi:type="xsd:double"&gt;50.6&lt;/D&gt;&lt;D xsi:type="xsd:double"&gt;50.6&lt;/D&gt;&lt;D xsi:type="xsd:double"&gt;46.7&lt;/D&gt;&lt;D xsi:type="xsd:double"&gt;46.7&lt;/D&gt;&lt;D xsi:type="xsd:double"&gt;46.7&lt;/D&gt;&lt;D xsi:type="xsd:double"&gt;46.7&lt;/D&gt;&lt;D xsi:type="xsd:double"&gt;46.7&lt;/D&gt;&lt;D xsi:type="xsd:double"&gt;47.8&lt;/D&gt;&lt;D xsi:type="xsd:double"&gt;47.8&lt;/D&gt;&lt;D xsi:type="xsd:double"&gt;47.8&lt;/D&gt;&lt;D xsi:type="xsd:double"&gt;47.8&lt;/D&gt;&lt;D xsi:type="xsd:double"&gt;47.8&lt;/D&gt;&lt;D xsi:type="xsd:double"&gt;48.3&lt;/D&gt;&lt;D xsi:type="xsd:double"&gt;48.3&lt;/D&gt;&lt;D xsi:type="xsd:double"&gt;48.3&lt;/D&gt;&lt;D xsi:type="xsd:double"&gt;48.3&lt;/D&gt;&lt;D xsi:type="xsd:double"&gt;48.3&lt;/D&gt;&lt;D xsi:type="xsd:double"&gt;50.6&lt;/D&gt;&lt;D xsi:type="xsd:double"&gt;50.6&lt;/D&gt;&lt;D xsi:type="xsd:double"&gt;50.6&lt;/D&gt;&lt;D xsi:type="xsd:double"&gt;50.6&lt;/D&gt;&lt;D xsi:type="xsd:double"&gt;50.6&lt;/D&gt;&lt;D xsi:type="xsd:double"&gt;51.6&lt;/D&gt;&lt;D xsi:type="xsd:double"&gt;51.6&lt;/D&gt;&lt;D xsi:type="xsd:double"&gt;51.6&lt;/D&gt;&lt;D xsi:type="xsd:double"&gt;51.6&lt;/D&gt;&lt;D xsi:type="xsd:double"&gt;51.6&lt;/D&gt;&lt;D xsi:type="xsd:double"&gt;48.3&lt;/D&gt;&lt;D xsi:type="xsd:double"&gt;48.3&lt;/D&gt;&lt;D xsi:type="xsd:double"&gt;48.3&lt;/D&gt;&lt;D xsi:type="xsd:double"&gt;48.3&lt;/D&gt;&lt;D xsi:type="xsd:double"&gt;48.3&lt;/D&gt;&lt;D xsi:type="xsd:double"&gt;49.4&lt;/D&gt;&lt;D xsi:type="xsd:double"&gt;49.4&lt;/D&gt;&lt;D xsi:type="xsd:double"&gt;49.4&lt;/D&gt;&lt;D xsi:type="xsd:double"&gt;49.4&lt;/D&gt;&lt;D xsi:type="xsd:double"&gt;49.4&lt;/D&gt;&lt;D xsi:type="xsd:double"&gt;47.2&lt;/D&gt;&lt;D xsi:type="xsd:double"&gt;47.2&lt;/D&gt;&lt;D xsi:type="xsd:double"&gt;47.2&lt;/D&gt;&lt;D xsi:type="xsd:double"&gt;47.2&lt;/D&gt;&lt;D xsi:type="xsd:double"&gt;47.2&lt;/D&gt;&lt;D xsi:type="xsd:double"&gt;42.2&lt;/D&gt;&lt;D xsi:type="xsd:double"&gt;42.2&lt;/D&gt;&lt;D xsi:type="xsd:double"&gt;42.2&lt;/D&gt;&lt;D xsi:type="xsd:double"&gt;42.2&lt;/D&gt;&lt;D xsi:type="xsd:double"&gt;42.2&lt;/D&gt;&lt;D xsi:type="xsd:double"&gt;36.7&lt;/D&gt;&lt;D xsi:type="xsd:double"&gt;36.7&lt;/D&gt;&lt;D xsi:type="xsd:double"&gt;36.7&lt;/D&gt;&lt;D xsi:type="xsd:double"&gt;36.7&lt;/D&gt;&lt;D xsi:type="xsd:double"&gt;36.7&lt;/D&gt;&lt;D xsi:type="xsd:double"&gt;35.6&lt;/D&gt;&lt;D xsi:type="xsd:double"&gt;35.6&lt;/D&gt;&lt;D xsi:type="xsd:double"&gt;35.6&lt;/D&gt;&lt;D xsi:type="xsd:double"&gt;35.6&lt;/D&gt;&lt;D xsi:type="xsd:double"&gt;35.6&lt;/D&gt;&lt;D xsi:type="xsd:double"&gt;42.7&lt;/D&gt;&lt;D xsi:type="xsd:double"&gt;42.7&lt;/D&gt;&lt;D xsi:type="xsd:double"&gt;42.7&lt;/D&gt;&lt;D xsi:type="xsd:double"&gt;42.7&lt;/D&gt;&lt;D xsi:type="xsd:double"&gt;42.7&lt;/D&gt;&lt;D xsi:type="xsd:double"&gt;41.4&lt;/D&gt;&lt;D xsi:type="xsd:double"&gt;41.4&lt;/D&gt;&lt;D xsi:type="xsd:double"&gt;41.4&lt;/D&gt;&lt;D xsi:type="xsd:double"&gt;41.4&lt;/D&gt;&lt;D xsi:type="xsd:double"&gt;41.4&lt;/D&gt;&lt;D xsi:type="xsd:double"&gt;43.6&lt;/D&gt;&lt;D xsi:type="xsd:double"&gt;43.6&lt;/D&gt;&lt;D xsi:type="xsd:double"&gt;43.6&lt;/D&gt;&lt;D xsi:type="xsd:double"&gt;43.6&lt;/D&gt;&lt;D xsi:type="xsd:double"&gt;43.6&lt;/D&gt;&lt;D xsi:type="xsd:double"&gt;44.8&lt;/D&gt;&lt;D xsi:type="xsd:double"&gt;44.8&lt;/D&gt;&lt;D xsi:type="xsd:double"&gt;44.8&lt;/D&gt;&lt;D xsi:type="xsd:double"&gt;44.8&lt;/D&gt;&lt;D xsi:type="xsd:double"&gt;44.8&lt;/D&gt;&lt;D xsi:type="xsd:double"&gt;47.7&lt;/D&gt;&lt;D xsi:type="xsd:double"&gt;47.7&lt;/D&gt;&lt;D xsi:type="xsd:double"&gt;47.7&lt;/D&gt;&lt;D xsi:type="xsd:double"&gt;47.7&lt;/D&gt;&lt;D xsi:type="xsd:double"&gt;47.7&lt;/D&gt;&lt;D xsi:type="xsd:double"&gt;42.5&lt;/D&gt;&lt;D xsi:type="xsd:double"&gt;42.5&lt;/D&gt;&lt;D xsi:type="xsd:double"&gt;42.5&lt;/D&gt;&lt;D xsi:type="xsd:double"&gt;42.5&lt;/D&gt;&lt;D xsi:type="xsd:double"&gt;42.5&lt;/D&gt;&lt;D xsi:type="xsd:double"&gt;40.9&lt;/D&gt;&lt;D xsi:type="xsd:double"&gt;40.9&lt;/D&gt;&lt;D xsi:type="xsd:double"&gt;40.9&lt;/D&gt;&lt;D xsi:type="xsd:double"&gt;40.9&lt;/D&gt;&lt;D xsi:type="xsd:double"&gt;40.9&lt;/D&gt;&lt;D xsi:type="xsd:double"&gt;40.7&lt;/D&gt;&lt;D xsi:type="xsd:double"&gt;40.7&lt;/D&gt;&lt;D xsi:type="xsd:double"&gt;40.7&lt;/D&gt;&lt;D xsi:type="xsd:double"&gt;40.7&lt;/D&gt;&lt;D xsi:type="xsd:double"&gt;40.7&lt;/D&gt;&lt;D xsi:type="xsd:double"&gt;41&lt;/D&gt;&lt;D xsi:type="xsd:double"&gt;41&lt;/D&gt;&lt;D xsi:type="xsd:double"&gt;41&lt;/D&gt;&lt;D xsi:type="xsd:double"&gt;41&lt;/D&gt;&lt;D xsi:type="xsd:double"&gt;41&lt;/D&gt;&lt;D xsi:type="xsd:double"&gt;40.4&lt;/D&gt;&lt;D xsi:type="xsd:double"&gt;40.4&lt;/D&gt;&lt;D xsi:type="xsd:double"&gt;40.4&lt;/D&gt;&lt;D xsi:type="xsd:double"&gt;40.4&lt;/D&gt;&lt;D xsi:type="xsd:double"&gt;40.4&lt;/D&gt;&lt;D xsi:type="xsd:double"&gt;36&lt;/D&gt;&lt;D xsi:type="xsd:double"&gt;36&lt;/D&gt;&lt;D xsi:type="xsd:double"&gt;36&lt;/D&gt;&lt;D xsi:type="xsd:double"&gt;36&lt;/D&gt;&lt;D xsi:type="xsd:double"&gt;36&lt;/D&gt;&lt;D xsi:type="xsd:double"&gt;39.1&lt;/D&gt;&lt;D xsi:type="xsd:double"&gt;39.1&lt;/D&gt;&lt;D xsi:type="xsd:double"&gt;39.1&lt;/D&gt;&lt;D xsi:type="xsd:double"&gt;39.1&lt;/D&gt;&lt;D xsi:type="xsd:double"&gt;39.1&lt;/D&gt;&lt;D xsi:type="xsd:double"&gt;43.2&lt;/D&gt;&lt;D xsi:type="xsd:double"&gt;43.2&lt;/D&gt;&lt;D xsi:type="xsd:double"&gt;43.2&lt;/D&gt;&lt;D xsi:type="xsd:double"&gt;43.2&lt;/D&gt;&lt;D xsi:type="xsd:double"&gt;43.2&lt;/D&gt;&lt;D xsi:type="xsd:double"&gt;36&lt;/D&gt;&lt;D xsi:type="xsd:double"&gt;36&lt;/D&gt;&lt;D xsi:type="xsd:double"&gt;36&lt;/D&gt;&lt;D xsi:type="xsd:double"&gt;36&lt;/D&gt;&lt;D xsi:type="xsd:double"&gt;36&lt;/D&gt;&lt;D xsi:type="xsd:double"&gt;31&lt;/D&gt;&lt;D xsi:type="xsd:double"&gt;31&lt;/D&gt;&lt;D xsi:type="xsd:double"&gt;31&lt;/D&gt;&lt;D xsi:type="xsd:double"&gt;31&lt;/D&gt;&lt;D xsi:type="xsd:double"&gt;31&lt;/D&gt;&lt;D xsi:type="xsd:double"&gt;28.9&lt;/D&gt;&lt;D xsi:type="xsd:double"&gt;28.9&lt;/D&gt;&lt;D xsi:type="xsd:double"&gt;28.9&lt;/D&gt;&lt;D xsi:type="xsd:double"&gt;28.9&lt;/D&gt;&lt;D xsi:type="xsd:double"&gt;28.9&lt;/D&gt;&lt;D xsi:type="xsd:double"&gt;28.4&lt;/D&gt;&lt;D xsi:type="xsd:double"&gt;28.4&lt;/D&gt;&lt;D xsi:type="xsd:double"&gt;28.4&lt;/D&gt;&lt;D xsi:type="xsd:double"&gt;28.4&lt;/D&gt;&lt;D xsi:type="xsd:double"&gt;28.4&lt;/D&gt;&lt;D xsi:type="xsd:double"&gt;26.4&lt;/D&gt;&lt;D xsi:type="xsd:double"&gt;26.4&lt;/D&gt;&lt;D xsi:type="xsd:double"&gt;26.4&lt;/D&gt;&lt;D xsi:type="xsd:double"&gt;26.4&lt;/D&gt;&lt;D xsi:type="xsd:double"&gt;26.4&lt;/D&gt;&lt;D xsi:type="xsd:double"&gt;29.7&lt;/D&gt;&lt;D xsi:type="xsd:double"&gt;29.7&lt;/D&gt;&lt;D xsi:type="xsd:double"&gt;29.7&lt;/D&gt;&lt;D xsi:type="xsd:double"&gt;29.7&lt;/D&gt;&lt;D xsi:type="xsd:double"&gt;29.7&lt;/D&gt;&lt;D xsi:type="xsd:double"&gt;28.6&lt;/D&gt;&lt;D xsi:type="xsd:double"&gt;28.6&lt;/D&gt;&lt;D xsi:type="xsd:double"&gt;28.6&lt;/D&gt;&lt;D xsi:type="xsd:double"&gt;28.6&lt;/D&gt;&lt;D xsi:type="xsd:double"&gt;28.6&lt;/D&gt;&lt;D xsi:type="xsd:double"&gt;31.1&lt;/D&gt;&lt;D xsi:type="xsd:double"&gt;31.1&lt;/D&gt;&lt;D xsi:type="xsd:double"&gt;31.1&lt;/D&gt;&lt;D xsi:type="xsd:double"&gt;31.1&lt;/D&gt;&lt;D xsi:type="xsd:double"&gt;31.1&lt;/D&gt;&lt;D xsi:type="xsd:double"&gt;32.3&lt;/D&gt;&lt;D xsi:type="xsd:double"&gt;32.3&lt;/D&gt;&lt;D xsi:type="xsd:double"&gt;32.3&lt;/D&gt;&lt;D xsi:type="xsd:double"&gt;32.3&lt;/D&gt;&lt;D xsi:type="xsd:double"&gt;32.3&lt;/D&gt;&lt;D xsi:type="xsd:double"&gt;35.2&lt;/D&gt;&lt;D xsi:type="xsd:double"&gt;35.2&lt;/D&gt;&lt;D xsi:type="xsd:double"&gt;35.2&lt;/D&gt;&lt;D xsi:type="xsd:double"&gt;35.2&lt;/D&gt;&lt;D xsi:type="xsd:double"&gt;35.2&lt;/D&gt;&lt;D xsi:type="xsd:double"&gt;34.8&lt;/D&gt;&lt;D xsi:type="xsd:double"&gt;34.8&lt;/D&gt;&lt;D xsi:type="xsd:double"&gt;34.8&lt;/D&gt;&lt;D xsi:type="xsd:double"&gt;34.8&lt;/D&gt;&lt;D xsi:type="xsd:double"&gt;34.8&lt;/D&gt;&lt;D xsi:type="xsd:double"&gt;38.7&lt;/D&gt;&lt;D xsi:type="xsd:double"&gt;38.7&lt;/D&gt;&lt;D xsi:type="xsd:double"&gt;38.7&lt;/D&gt;&lt;D xsi:type="xsd:double"&gt;38.7&lt;/D&gt;&lt;D xsi:type="xsd:double"&gt;38.7&lt;/D&gt;&lt;D xsi:type="xsd:double"&gt;43&lt;/D&gt;&lt;D xsi:type="xsd:double"&gt;43&lt;/D&gt;&lt;D xsi:type="xsd:double"&gt;43&lt;/D&gt;&lt;D xsi:type="xsd:double"&gt;43&lt;/D&gt;&lt;D xsi:type="xsd:double"&gt;43&lt;/D&gt;&lt;D xsi:type="xsd:double"&gt;41.8&lt;/D&gt;&lt;D xsi:type="xsd:double"&gt;41.8&lt;/D&gt;&lt;D xsi:type="xsd:double"&gt;41.8&lt;/D&gt;&lt;D xsi:type="xsd:double"&gt;41.8&lt;/D&gt;&lt;D xsi:type="xsd:double"&gt;41.8&lt;/D&gt;&lt;D xsi:type="xsd:double"&gt;38.5&lt;/D&gt;&lt;D xsi:type="xsd:double"&gt;38.5&lt;/D&gt;&lt;D xsi:type="xsd:double"&gt;38.5&lt;/D&gt;&lt;D xsi:type="xsd:double"&gt;38.5&lt;/D&gt;&lt;D xsi:type="xsd:double"&gt;38.5&lt;/D&gt;&lt;D xsi:type="xsd:double"&gt;35.1&lt;/D&gt;&lt;D xsi:type="xsd:double"&gt;35.1&lt;/D&gt;&lt;D xsi:type="xsd:double"&gt;35.1&lt;/D&gt;&lt;D xsi:typ</t>
        </r>
      </text>
    </comment>
    <comment ref="A35" authorId="0" shapeId="0" xr:uid="{8605154C-EB2E-436C-A543-68BC5F731456}">
      <text>
        <r>
          <rPr>
            <b/>
            <sz val="9"/>
            <color indexed="81"/>
            <rFont val="Tahoma"/>
            <charset val="1"/>
          </rPr>
          <t>e="xsd:double"&gt;35.1&lt;/D&gt;&lt;D xsi:type="xsd:double"&gt;35.1&lt;/D&gt;&lt;D xsi:type="xsd:double"&gt;26.9&lt;/D&gt;&lt;D xsi:type="xsd:double"&gt;26.9&lt;/D&gt;&lt;D xsi:type="xsd:double"&gt;26.9&lt;/D&gt;&lt;D xsi:type="xsd:double"&gt;26.9&lt;/D&gt;&lt;D xsi:type="xsd:double"&gt;26.9&lt;/D&gt;&lt;D xsi:type="xsd:double"&gt;25.3&lt;/D&gt;&lt;D xsi:type="xsd:double"&gt;25.3&lt;/D&gt;&lt;D xsi:type="xsd:double"&gt;25.3&lt;/D&gt;&lt;D xsi:type="xsd:double"&gt;25.3&lt;/D&gt;&lt;D xsi:type="xsd:double"&gt;25.3&lt;/D&gt;&lt;D xsi:type="xsd:double"&gt;23.1&lt;/D&gt;&lt;D xsi:type="xsd:double"&gt;23.1&lt;/D&gt;&lt;D xsi:type="xsd:double"&gt;23.1&lt;/D&gt;&lt;D xsi:type="xsd:double"&gt;23.1&lt;/D&gt;&lt;D xsi:type="xsd:double"&gt;23.1&lt;/D&gt;&lt;D xsi:type="xsd:double"&gt;29&lt;/D&gt;&lt;D xsi:type="xsd:double"&gt;29&lt;/D&gt;&lt;D xsi:type="xsd:double"&gt;29&lt;/D&gt;&lt;D xsi:type="xsd:double"&gt;29&lt;/D&gt;&lt;D xsi:type="xsd:double"&gt;29&lt;/D&gt;&lt;D xsi:type="xsd:double"&gt;30.9&lt;/D&gt;&lt;D xsi:type="xsd:double"&gt;30.9&lt;/D&gt;&lt;D xsi:type="xsd:double"&gt;30.9&lt;/D&gt;&lt;D xsi:type="xsd:double"&gt;30.9&lt;/D&gt;&lt;D xsi:type="xsd:double"&gt;30.9&lt;/D&gt;&lt;D xsi:type="xsd:double"&gt;31.9&lt;/D&gt;&lt;D xsi:type="xsd:double"&gt;31.9&lt;/D&gt;&lt;D xsi:type="xsd:double"&gt;31.9&lt;/D&gt;&lt;D xsi:type="xsd:double"&gt;31.9&lt;/D&gt;&lt;D xsi:type="xsd:double"&gt;31.9&lt;/D&gt;&lt;D xsi:type="xsd:double"&gt;30.3&lt;/D&gt;&lt;D xsi:type="xsd:double"&gt;30.3&lt;/D&gt;&lt;D xsi:type="xsd:double"&gt;30.3&lt;/D&gt;&lt;D xsi:type="xsd:double"&gt;30.3&lt;/D&gt;&lt;D xsi:type="xsd:double"&gt;30.3&lt;/D&gt;&lt;D xsi:type="xsd:double"&gt;23.1&lt;/D&gt;&lt;D xsi:type="xsd:double"&gt;23.1&lt;/D&gt;&lt;D xsi:type="xsd:double"&gt;23.1&lt;/D&gt;&lt;D xsi:type="xsd:double"&gt;23.1&lt;/D&gt;&lt;D xsi:type="xsd:double"&gt;23.1&lt;/D&gt;&lt;D xsi:type="xsd:double"&gt;22.2&lt;/D&gt;&lt;D xsi:type="xsd:double"&gt;22.2&lt;/D&gt;&lt;D xsi:type="xsd:double"&gt;22.2&lt;/D&gt;&lt;D xsi:type="xsd:double"&gt;22.2&lt;/D&gt;&lt;D xsi:type="xsd:double"&gt;22.2&lt;/D&gt;&lt;D xsi:type="xsd:double"&gt;22.4&lt;/D&gt;&lt;D xsi:type="xsd:double"&gt;22.4&lt;/D&gt;&lt;D xsi:type="xsd:double"&gt;22.4&lt;/D&gt;&lt;D xsi:type="xsd:double"&gt;22.4&lt;/D&gt;&lt;D xsi:type="xsd:double"&gt;22.4&lt;/D&gt;&lt;D xsi:type="xsd:double"&gt;25.3&lt;/D&gt;&lt;D xsi:type="xsd:double"&gt;25.3&lt;/D&gt;&lt;D xsi:type="xsd:double"&gt;25.3&lt;/D&gt;&lt;D xsi:type="xsd:double"&gt;25.3&lt;/D&gt;&lt;D xsi:type="xsd:double"&gt;25.3&lt;/D&gt;&lt;D xsi:type="xsd:double"&gt;33.7&lt;/D&gt;&lt;D xsi:type="xsd:double"&gt;33.7&lt;/D&gt;&lt;D xsi:type="xsd:double"&gt;33.7&lt;/D&gt;&lt;D xsi:type="xsd:double"&gt;33.7&lt;/D&gt;&lt;D xsi:type="xsd:double"&gt;33.7&lt;/D&gt;&lt;D xsi:type="xsd:double"&gt;37.5&lt;/D&gt;&lt;D xsi:type="xsd:double"&gt;37.5&lt;/D&gt;&lt;D xsi:type="xsd:double"&gt;37.5&lt;/D&gt;&lt;D xsi:type="xsd:double"&gt;37.5&lt;/D&gt;&lt;D xsi:type="xsd:double"&gt;37.5&lt;/D&gt;&lt;D xsi:type="xsd:double"&gt;37.9&lt;/D&gt;&lt;D xsi:type="xsd:double"&gt;37.9&lt;/D&gt;&lt;D xsi:type="xsd:double"&gt;37.9&lt;/D&gt;&lt;D xsi:type="xsd:double"&gt;37.9&lt;/D&gt;&lt;D xsi:type="xsd:double"&gt;37.9&lt;/D&gt;&lt;D xsi:type="xsd:double"&gt;38.2&lt;/D&gt;&lt;D xsi:type="xsd:double"&gt;38.2&lt;/D&gt;&lt;D xsi:type="xsd:double"&gt;38.2&lt;/D&gt;&lt;D xsi:type="xsd:double"&gt;38.2&lt;/D&gt;&lt;D xsi:type="xsd:double"&gt;38.2&lt;/D&gt;&lt;D xsi:type="xsd:double"&gt;37.8&lt;/D&gt;&lt;D xsi:type="xsd:double"&gt;37.8&lt;/D&gt;&lt;D xsi:type="xsd:double"&gt;37.8&lt;/D&gt;&lt;D xsi:type="xsd:double"&gt;37.8&lt;/D&gt;&lt;D xsi:type="xsd:double"&gt;37.8&lt;/D&gt;&lt;D xsi:type="xsd:double"&gt;39.3&lt;/D&gt;&lt;D xsi:type="xsd:double"&gt;39.3&lt;/D&gt;&lt;D xsi:type="xsd:double"&gt;39.3&lt;/D&gt;&lt;D xsi:type="xsd:double"&gt;39.3&lt;/D&gt;&lt;D xsi:type="xsd:double"&gt;39.3&lt;/D&gt;&lt;D xsi:type="xsd:double"&gt;40.7&lt;/D&gt;&lt;D xsi:type="xsd:double"&gt;40.7&lt;/D&gt;&lt;D xsi:type="xsd:double"&gt;40.7&lt;/D&gt;&lt;D xsi:type="xsd:double"&gt;40.7&lt;/D&gt;&lt;D xsi:type="xsd:double"&gt;40.7&lt;/D&gt;&lt;D xsi:type="xsd:double"&gt;31.8&lt;/D&gt;&lt;D xsi:type="xsd:double"&gt;31.8&lt;/D&gt;&lt;D xsi:type="xsd:double"&gt;31.8&lt;/D&gt;&lt;D xsi:type="xsd:double"&gt;31.8&lt;/D&gt;&lt;D xsi:type="xsd:double"&gt;31.8&lt;/D&gt;&lt;D xsi:type="xsd:double"&gt;34&lt;/D&gt;&lt;D xsi:type="xsd:double"&gt;34&lt;/D&gt;&lt;D xsi:type="xsd:double"&gt;34&lt;/D&gt;&lt;D xsi:type="xsd:double"&gt;34&lt;/D&gt;&lt;D xsi:type="xsd:double"&gt;34&lt;/D&gt;&lt;D xsi:type="xsd:double"&gt;30&lt;/D&gt;&lt;D xsi:type="xsd:double"&gt;30&lt;/D&gt;&lt;D xsi:type="xsd:double"&gt;30&lt;/D&gt;&lt;D xsi:type="xsd:double"&gt;30&lt;/D&gt;&lt;D xsi:type="xsd:double"&gt;30&lt;/D&gt;&lt;D xsi:type="xsd:double"&gt;29.2&lt;/D&gt;&lt;D xsi:type="xsd:double"&gt;29.2&lt;/D&gt;&lt;D xsi:type="xsd:double"&gt;29.2&lt;/D&gt;&lt;D xsi:type="xsd:double"&gt;29.2&lt;/D&gt;&lt;D xsi:type="xsd:double"&gt;29.2&lt;/D&gt;&lt;D xsi:type="xsd:double"&gt;27.8&lt;/D&gt;&lt;D xsi:type="xsd:double"&gt;27.8&lt;/D&gt;&lt;D xsi:type="xsd:double"&gt;27.8&lt;/D&gt;&lt;D xsi:type="xsd:double"&gt;27.8&lt;/D&gt;&lt;D xsi:type="xsd:double"&gt;27.8&lt;/D&gt;&lt;D xsi:type="xsd:double"&gt;27.4&lt;/D&gt;&lt;D xsi:type="xsd:double"&gt;27.4&lt;/D&gt;&lt;D xsi:type="xsd:double"&gt;27.4&lt;/D&gt;&lt;D xsi:type="xsd:double"&gt;27.4&lt;/D&gt;&lt;D xsi:type="xsd:double"&gt;27.4&lt;/D&gt;&lt;D xsi:type="xsd:double"&gt;31.9&lt;/D&gt;&lt;D xsi:type="xsd:double"&gt;31.9&lt;/D&gt;&lt;D xsi:type="xsd:double"&gt;31.9&lt;/D&gt;&lt;D xsi:type="xsd:double"&gt;31.9&lt;/D&gt;&lt;D xsi:type="xsd:double"&gt;31.9&lt;/D&gt;&lt;D xsi:type="xsd:double"&gt;33.7&lt;/D&gt;&lt;D xsi:type="xsd:double"&gt;33.7&lt;/D&gt;&lt;D xsi:type="xsd:double"&gt;33.7&lt;/D&gt;&lt;D xsi:type="xsd:double"&gt;33.7&lt;/D&gt;&lt;D xsi:type="xsd:double"&gt;33.7&lt;/D&gt;&lt;D xsi:type="xsd:double"&gt;36.3&lt;/D&gt;&lt;D xsi:type="xsd:double"&gt;36.3&lt;/D&gt;&lt;D xsi:type="xsd:double"&gt;36.3&lt;/D&gt;&lt;D xsi:type="xsd:double"&gt;36.3&lt;/D&gt;&lt;D xsi:type="xsd:double"&gt;36.3&lt;/D&gt;&lt;D xsi:type="xsd:double"&gt;43&lt;/D&gt;&lt;D xsi:type="xsd:double"&gt;43&lt;/D&gt;&lt;D xsi:type="xsd:double"&gt;43&lt;/D&gt;&lt;D xsi:type="xsd:double"&gt;43&lt;/D&gt;&lt;D xsi:type="xsd:double"&gt;43&lt;/D&gt;&lt;D xsi:type="xsd:double"&gt;44.8&lt;/D&gt;&lt;D xsi:type="xsd:double"&gt;44.8&lt;/D&gt;&lt;D xsi:type="xsd:double"&gt;44.8&lt;/D&gt;&lt;D xsi:type="xsd:double"&gt;44.8&lt;/D&gt;&lt;D xsi:type="xsd:double"&gt;44.8&lt;/D&gt;&lt;D xsi:type="xsd:double"&gt;37.9&lt;/D&gt;&lt;D xsi:type="xsd:double"&gt;37.9&lt;/D&gt;&lt;D xsi:type="xsd:double"&gt;37.9&lt;/D&gt;&lt;D xsi:type="xsd:double"&gt;37.9&lt;/D&gt;&lt;D xsi:type="xsd:double"&gt;37.9&lt;/D&gt;&lt;D xsi:type="xsd:double"&gt;47.3&lt;/D&gt;&lt;D xsi:type="xsd:double"&gt;47.3&lt;/D&gt;&lt;D xsi:type="xsd:double"&gt;47.3&lt;/D&gt;&lt;D xsi:type="xsd:double"&gt;47.3&lt;/D&gt;&lt;D xsi:type="xsd:double"&gt;47.3&lt;/D&gt;&lt;D xsi:type="xsd:double"&gt;46&lt;/D&gt;&lt;D xsi:type="xsd:double"&gt;46&lt;/D&gt;&lt;D xsi:type="xsd:double"&gt;46&lt;/D&gt;&lt;D xsi:type="xsd:double"&gt;46&lt;/D&gt;&lt;D xsi:type="xsd:double"&gt;46&lt;/D&gt;&lt;D xsi:type="xsd:double"&gt;44.4&lt;/D&gt;&lt;D xsi:type="xsd:double"&gt;44.4&lt;/D&gt;&lt;D xsi:type="xsd:double"&gt;44.4&lt;/D&gt;&lt;D xsi:type="xsd:double"&gt;44.4&lt;/D&gt;&lt;D xsi:type="xsd:double"&gt;44.4&lt;/D&gt;&lt;D xsi:type="xsd:double"&gt;40.9&lt;/D&gt;&lt;D xsi:type="xsd:double"&gt;40.9&lt;/D&gt;&lt;D xsi:type="xsd:double"&gt;40.9&lt;/D&gt;&lt;D xsi:type="xsd:double"&gt;40.9&lt;/D&gt;&lt;D xsi:type="xsd:double"&gt;40.9&lt;/D&gt;&lt;D xsi:type="xsd:double"&gt;39.1&lt;/D&gt;&lt;D xsi:type="xsd:double"&gt;39.1&lt;/D&gt;&lt;D xsi:type="xsd:double"&gt;39.1&lt;/D&gt;&lt;D xsi:type="xsd:double"&gt;39.1&lt;/D&gt;&lt;D xsi:type="xsd:double"&gt;39.1&lt;/D&gt;&lt;D xsi:type="xsd:double"&gt;37.8&lt;/D&gt;&lt;D xsi:type="xsd:double"&gt;37.8&lt;/D&gt;&lt;D xsi:type="xsd:double"&gt;37.8&lt;/D&gt;&lt;D xsi:type="xsd:double"&gt;37.8&lt;/D&gt;&lt;D xsi:type="xsd:double"&gt;37.8&lt;/D&gt;&lt;D xsi:type="xsd:double"&gt;37.4&lt;/D&gt;&lt;D xsi:type="xsd:double"&gt;37.4&lt;/D&gt;&lt;D xsi:type="xsd:double"&gt;37.4&lt;/D&gt;&lt;D xsi:type="xsd:double"&gt;37.4&lt;/D&gt;&lt;D xsi:type="xsd:double"&gt;37.4&lt;/D&gt;&lt;D xsi:type="xsd:double"&gt;36.4&lt;/D&gt;&lt;D xsi:type="xsd:double"&gt;36.4&lt;/D&gt;&lt;D xsi:type="xsd:double"&gt;36.4&lt;/D&gt;&lt;D xsi:type="xsd:double"&gt;36.4&lt;/D&gt;&lt;D xsi:type="xsd:double"&gt;36.4&lt;/D&gt;&lt;D xsi:type="xsd:double"&gt;36.7&lt;/D&gt;&lt;D xsi:type="xsd:double"&gt;36.7&lt;/D&gt;&lt;D xsi:type="xsd:double"&gt;36.7&lt;/D&gt;&lt;D xsi:type="xsd:double"&gt;36.7&lt;/D&gt;&lt;D xsi:type="xsd:double"&gt;36.7&lt;/D&gt;&lt;D xsi:type="xsd:double"&gt;30.9&lt;/D&gt;&lt;D xsi:type="xsd:double"&gt;30.9&lt;/D&gt;&lt;D xsi:type="xsd:double"&gt;30.9&lt;/D&gt;&lt;D xsi:type="xsd:double"&gt;30.9&lt;/D&gt;&lt;D xsi:type="xsd:double"&gt;30.9&lt;/D&gt;&lt;D xsi:type="xsd:double"&gt;31.1&lt;/D&gt;&lt;D xsi:type="xsd:double"&gt;31.1&lt;/D&gt;&lt;D xsi:type="xsd:double"&gt;31.1&lt;/D&gt;&lt;D xsi:type="xsd:double"&gt;31.1&lt;/D&gt;&lt;D xsi:type="xsd:double"&gt;31.1&lt;/D&gt;&lt;D xsi:type="xsd:double"&gt;41.9&lt;/D&gt;&lt;D xsi:type="xsd:double"&gt;41.9&lt;/D&gt;&lt;D xsi:type="xsd:double"&gt;41.9&lt;/D&gt;&lt;D xsi:type="xsd:double"&gt;41.9&lt;/D&gt;&lt;D xsi:type="xsd:double"&gt;41.9&lt;/D&gt;&lt;D xsi:type="xsd:double"&gt;42&lt;/D&gt;&lt;D xsi:type="xsd:double"&gt;42&lt;/D&gt;&lt;D xsi:type="xsd:double"&gt;42&lt;/D&gt;&lt;D xsi:type="xsd:double"&gt;42&lt;/D&gt;&lt;D xsi:type="xsd:double"&gt;42&lt;/D&gt;&lt;D xsi:type="xsd:double"&gt;41.6&lt;/D&gt;&lt;D xsi:type="xsd:double"&gt;41.6&lt;/D&gt;&lt;D xsi:type="xsd:double"&gt;41.6&lt;/D&gt;&lt;D xsi:type="xsd:double"&gt;41.6&lt;/D&gt;&lt;D xsi:type="xsd:double"&gt;41.6&lt;/D&gt;&lt;D xsi:type="xsd:double"&gt;36.7&lt;/D&gt;&lt;D xsi:type="xsd:double"&gt;36.7&lt;/D&gt;&lt;D xsi:type="xsd:double"&gt;36.7&lt;/D&gt;&lt;D xsi:type="xsd:double"&gt;36.7&lt;/D&gt;&lt;D xsi:type="xsd:double"&gt;36.7&lt;/D&gt;&lt;D xsi:type="xsd:double"&gt;41.6&lt;/D&gt;&lt;D xsi:type="xsd:double"&gt;41.6&lt;/D&gt;&lt;D xsi:type="xsd:double"&gt;41.6&lt;/D&gt;&lt;D xsi:type="xsd:double"&gt;41.6&lt;/D&gt;&lt;D xsi:type="xsd:double"&gt;41.6&lt;/D&gt;&lt;D xsi:type="xsd:double"&gt;40.2&lt;/D&gt;&lt;D xsi:type="xsd:double"&gt;40.2&lt;/D&gt;&lt;D xsi:type="xsd:double"&gt;40.2&lt;/D&gt;&lt;D xsi:type="xsd:double"&gt;40.2&lt;/D&gt;&lt;D xsi:type="xsd:double"&gt;40.2&lt;/D&gt;&lt;D xsi:type="xsd:double"&gt;41.6&lt;/D&gt;&lt;D xsi:type="xsd:double"&gt;41.6&lt;/D&gt;&lt;D xsi:type="xsd:double"&gt;41.6&lt;/D&gt;&lt;D xsi:type="xsd:double"&gt;41.6&lt;/D&gt;&lt;D xsi:type="xsd:double"&gt;41.6&lt;/D&gt;&lt;D xsi:type="xsd:double"&gt;45.6&lt;/D&gt;&lt;D xsi:type="xsd:double"&gt;45.6&lt;/D&gt;&lt;D xsi:type="xsd:double"&gt;45.6&lt;/D&gt;&lt;D xsi:type="xsd:double"&gt;45.6&lt;/D&gt;&lt;D xsi:type="xsd:double"&gt;45.6&lt;/D&gt;&lt;D xsi:type="xsd:double"&gt;48.4&lt;/D&gt;&lt;D xsi:type="xsd:double"&gt;48.4&lt;/D&gt;&lt;D xsi:type="xsd:double"&gt;48.4&lt;/D&gt;&lt;D xsi:type="xsd:double"&gt;48.4&lt;/D&gt;&lt;D xsi:type="xsd:double"&gt;48.4&lt;/D&gt;&lt;D xsi:type="xsd:double"&gt;52.2&lt;/D&gt;&lt;D xsi:type="xsd:double"&gt;52.2&lt;/D&gt;&lt;D xsi:type="xsd:double"&gt;52.2&lt;/D&gt;&lt;D xsi:type="xsd:double"&gt;52.2&lt;/D&gt;&lt;D xsi:type="xsd:double"&gt;52.2&lt;/D&gt;&lt;D xsi:type="xsd:double"&gt;54.9&lt;/D&gt;&lt;D xsi:type="xsd:double"&gt;54.9&lt;/D&gt;&lt;D xsi:type="xsd:double"&gt;54.9&lt;/D&gt;&lt;D xsi:type="xsd:double"&gt;54.9&lt;/D&gt;&lt;D xsi:type="xsd:double"&gt;54.9&lt;/D&gt;&lt;D xsi:type="xsd:double"&gt;56.5&lt;/D&gt;&lt;D xsi:type="xsd:double"&gt;56.5&lt;/D&gt;&lt;D xsi:type="xsd:double"&gt;56.5&lt;/D&gt;&lt;D xsi:type="xsd:double"&gt;56.5&lt;/D&gt;&lt;D xsi:type="xsd:double"&gt;56.5&lt;/D&gt;&lt;D xsi:type="xsd:double"&gt;53.3&lt;/D&gt;&lt;D xsi:type="xsd:double"&gt;53.3&lt;/D&gt;&lt;D xsi:type="xsd:double"&gt;53.3&lt;/D&gt;&lt;D xsi:type="xsd:double"&gt;53.3&lt;/D&gt;&lt;D xsi:type="xsd:double"&gt;53.3&lt;/D&gt;&lt;D xsi:type="xsd:double"&gt;49.4&lt;/D&gt;&lt;D xsi:type="xsd:double"&gt;49.4&lt;/D&gt;&lt;D xsi:type="xsd:double"&gt;49.4&lt;/D&gt;&lt;D xsi:type="xsd:double"&gt;49.4&lt;/D&gt;&lt;D xsi:type="xsd:double"&gt;49.4&lt;/D&gt;&lt;D xsi:type="xsd:double"&gt;47.3&lt;/D&gt;&lt;D xsi:type="xsd:double"&gt;47.3&lt;/D&gt;&lt;D xsi:type="xsd:double"&gt;47.3&lt;/D&gt;&lt;D xsi:type="xsd:double"&gt;47.3&lt;/D&gt;&lt;D xsi:type="xsd:double"&gt;47.3&lt;/D&gt;&lt;D xsi:type="xsd:double"&gt;47.9&lt;/D&gt;&lt;D xsi:type="xsd:double"&gt;47.9&lt;/D&gt;&lt;D xsi:type="xsd:double"&gt;47.9&lt;/D&gt;&lt;D xsi:type="xsd:double"&gt;47.9&lt;/D&gt;&lt;D xsi:type="xsd:double"&gt;47.9&lt;/D&gt;&lt;D xsi:type="xsd:double"&gt;51.1&lt;/D&gt;&lt;D xsi:type="xsd:double"&gt;51.1&lt;/D&gt;&lt;D xsi:type="xsd:double"&gt;51.1&lt;/D&gt;&lt;D xsi:type="xsd:double"&gt;51.1&lt;/D&gt;&lt;D xsi:type="xsd:double"&gt;51.1&lt;/D&gt;&lt;D xsi:type="xsd:double"&gt;54.5&lt;/D&gt;&lt;D xsi:type="xsd:double"&gt;54.5&lt;/D&gt;&lt;D xsi:type="xsd:double"&gt;54.5&lt;/D&gt;&lt;D xsi:type="xsd:double"&gt;54.5&lt;/D&gt;&lt;D xsi:type="xsd:double"&gt;54.5&lt;/D&gt;&lt;D xsi:type="xsd:double"&gt;53.8&lt;/D&gt;&lt;D xsi:type="xsd:double"&gt;53.8&lt;/D&gt;&lt;D xsi:type="xsd:double"&gt;53.8&lt;/D&gt;&lt;D xsi:type="xsd:double"&gt;53.8&lt;/D&gt;&lt;D xsi:type="xsd:double"&gt;53.8&lt;/D&gt;&lt;D xsi:type="xsd:double"&gt;56.5&lt;/D&gt;&lt;D xsi:type="xsd:double"&gt;56.5&lt;/D&gt;&lt;D xsi:type="xsd:double"&gt;56.5&lt;/D&gt;&lt;D xsi:type="xsd:double"&gt;56.5&lt;/D&gt;&lt;D xsi:type="xsd:double"&gt;56.5&lt;/D&gt;&lt;D xsi:type="xsd:double"&gt;62&lt;/D&gt;&lt;D xsi:type="xsd:double"&gt;62&lt;/D&gt;&lt;D xsi:type="xsd:double"&gt;62&lt;/D&gt;&lt;D xsi:type="xsd:double"&gt;62&lt;/D&gt;&lt;D xsi:type="xsd:double"&gt;62&lt;/D&gt;&lt;D xsi:type="xsd:double"&gt;60.2&lt;/D&gt;&lt;D xsi:type="xsd:double"&gt;60.2&lt;/D&gt;&lt;D xsi:type="xsd:double"&gt;60.2&lt;/D&gt;&lt;D xsi:type="xsd:double"&gt;60.2&lt;/D&gt;&lt;D xsi:type="xsd:double"&gt;60.2&lt;/D&gt;&lt;D xsi:type="xsd:double"&gt;56.5&lt;/D&gt;&lt;D xsi:type="xsd:double"&gt;56.5&lt;/D&gt;&lt;D xsi:type="xsd:double"&gt;56.5&lt;/D&gt;&lt;D xsi:type="xsd:double"&gt;56.5&lt;/D&gt;&lt;D xsi:type="xsd:double"&gt;56.5&lt;/D&gt;&lt;D xsi:type="xsd:double"&gt;55.6&lt;/D&gt;&lt;D xsi:type="xsd:double"&gt;55.6&lt;/D&gt;&lt;D xsi:type="xsd:double"&gt;55.6&lt;/D&gt;&lt;D xsi:type="xsd:double"&gt;55.6&lt;/D&gt;&lt;D xsi:type="xsd:double"&gt;55.6&lt;/D&gt;&lt;D xsi:type="xsd:double"&gt;53.9&lt;/D&gt;&lt;D xsi:type="xsd:double"&gt;53.9&lt;/D&gt;&lt;D xsi:type="xsd:double"&gt;53.9&lt;/D&gt;&lt;D xsi:type="xsd:double"&gt;53.9&lt;/D&gt;&lt;D xsi:type="xsd:double"&gt;53.9&lt;/D&gt;&lt;D xsi:type="xsd:double"&gt;48.3&lt;/D&gt;&lt;D xsi:type="xsd:double"&gt;48.3&lt;/D&gt;&lt;D xsi:type="xsd:double"&gt;48.3&lt;/D&gt;&lt;D xsi:type="xsd:double"&gt;48.3&lt;/D&gt;&lt;D xsi:type="xsd:double"&gt;48.3&lt;/D&gt;&lt;D xsi:type="xsd:double"&gt;42.9&lt;/D&gt;&lt;D xsi:type="xsd:double"&gt;42.9&lt;/D&gt;&lt;D xsi:type="xsd:double"&gt;42.9&lt;/D&gt;&lt;D xsi:type="xsd:double"&gt;42.9&lt;/D&gt;&lt;D xsi:type="xsd:double"&gt;42.9&lt;/D&gt;&lt;D xsi:type="xsd:double"&gt;41.7&lt;/D&gt;&lt;D xsi:type="xsd:double"&gt;41.7&lt;/D&gt;&lt;D xsi:type="xsd:double"&gt;41.7&lt;/D&gt;&lt;D xsi:type="xsd:double"&gt;41.7&lt;/D&gt;&lt;D xsi:type="xsd:double"&gt;41.7&lt;/D&gt;&lt;D xsi:type="xsd:double"&gt;40.6&lt;/D&gt;&lt;D xsi:type="xsd:double"&gt;40.6&lt;/D&gt;&lt;D xsi:type="xsd:double"&gt;40.6&lt;/D&gt;&lt;D xsi:type="xsd:double"&gt;40.6&lt;/D&gt;&lt;D xsi:type="xsd:double"&gt;40.6&lt;/D&gt;&lt;D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xsi:type="xsd:double"&gt;47.2&lt;/D&gt;&lt;D xsi:type="xsd:double"&gt;47.2&lt;/D&gt;&lt;D xsi:type="xsd:double"&gt;47.2&lt;/D&gt;&lt;D xsi:type="xsd:double"&gt;47.2&lt;/D&gt;&lt;D xsi:type="xsd:double"&gt;47.2&lt;/D&gt;&lt;D xsi:type="xsd:double"&gt;53.9&lt;/D&gt;&lt;D xsi:type="xsd:double"&gt;53.9&lt;/D&gt;&lt;D xsi:type="xsd:double"&gt;53.9&lt;/D&gt;&lt;D xsi:type="xsd:double"&gt;53.9&lt;/D&gt;&lt;D xsi:type="xsd:double"&gt;53.9&lt;/D&gt;&lt;D xsi:type="xsd:double"&gt;52.3&lt;/D&gt;&lt;D xsi:type="xsd:double"&gt;52.3&lt;/D&gt;&lt;D xsi:type="xsd:double"&gt;52.3&lt;/D&gt;&lt;D xsi:type="xsd:double"&gt;52.3&lt;/D&gt;&lt;D xsi:type="xsd:double"&gt;52.3&lt;/D&gt;&lt;D xsi:type="xsd:double"&gt;49.5&lt;/D&gt;&lt;D xsi:type="xsd:double"&gt;49.5&lt;/D&gt;&lt;D xsi:type="xsd:double"&gt;49.5&lt;/D&gt;&lt;D xsi:type="xsd:double"&gt;49.5&lt;/D&gt;&lt;D xsi:type="xsd:double"&gt;49.5&lt;/D&gt;&lt;D xsi:type="xsd:double"&gt;49.4&lt;/D&gt;&lt;D xsi:type="xsd:double"&gt;49.4&lt;/D&gt;&lt;D xsi:type="xsd:double"&gt;49.4&lt;/D&gt;&lt;D xsi:type="xsd:double"&gt;49.4&lt;/D&gt;&lt;D xsi:type="xsd:double"&gt;49.4&lt;/D&gt;&lt;D xsi:type="xsd:double"&gt;53.8&lt;/D&gt;&lt;D xsi:type="xsd:double"&gt;53.8&lt;/D&gt;&lt;D xsi:type="xsd:double"&gt;53.8&lt;/D&gt;&lt;D xsi:type="xsd:double"&gt;53.8&lt;/D&gt;&lt;D xsi:type="xsd:double"&gt;53.8&lt;/D&gt;&lt;D xsi:type="xsd:double"&gt;53.3&lt;/D&gt;&lt;D xsi:type="xsd:double"&gt;53.3&lt;/D&gt;&lt;D xsi:type="xsd:double"&gt;53.3&lt;/D&gt;&lt;D xsi:type="xsd:double"&gt;53.3&lt;/D&gt;&lt;D xsi:type="xsd:double"&gt;53.3&lt;/D&gt;&lt;D xsi:type="xsd:double"&gt;56.7&lt;/D&gt;&lt;D xsi:type="xsd:double"&gt;56.7&lt;/D&gt;&lt;D xsi:type="xsd:double"&gt;56.7&lt;/D&gt;&lt;D xsi:type="xsd:double"&gt;56.7&lt;/D&gt;&lt;D xsi:type="xsd:double"&gt;56.7&lt;/D&gt;&lt;D xsi:type="xsd:double"&gt;52.2&lt;/D&gt;&lt;D xsi:type="xsd:double"&gt;52.2&lt;/D&gt;&lt;D xsi:type="xsd:double"&gt;52.2&lt;/D&gt;&lt;D xsi:type="xsd:double"&gt;52.2&lt;/D&gt;&lt;D xsi:type="xsd:double"&gt;52.2&lt;/D&gt;&lt;D xsi:type="xsd:double"&gt;53.8&lt;/D&gt;&lt;D xsi:type="xsd:double"&gt;53.8&lt;/D&gt;&lt;D xsi:type="xsd:double"&gt;53.8&lt;/D&gt;&lt;D xsi:type="xsd:double"&gt;53.8&lt;/D&gt;&lt;D xsi:type="xsd:double"&gt;53.8&lt;/D&gt;&lt;D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xsi:type="xsd:double"&gt;53.3&lt;/D&gt;&lt;D xsi:type="xsd:double"&gt;53.3&lt;/D&gt;&lt;D xsi:type="xsd:double"&gt;53.3&lt;/D&gt;&lt;D xsi:type="xsd:double"&gt;53.3&lt;/D&gt;&lt;D xsi:type="xsd:double"&gt;53.3&lt;/D&gt;&lt;D xsi:type="xsd:double"&gt;51.7&lt;/D&gt;&lt;D xsi:type="xsd:double"&gt;51.7&lt;/D&gt;&lt;D xsi:type="xsd:double"&gt;51.7&lt;/D&gt;&lt;D xsi:type="xsd:double"&gt;51.7&lt;/D&gt;&lt;D xsi:type="xsd:double"&gt;51.7&lt;/D&gt;&lt;D xsi:type="xsd:double"&gt;51.1&lt;/D&gt;&lt;D xsi:type="xsd:double"&gt;51.1&lt;/D&gt;&lt;D xsi:type="xsd:double"&gt;51.1&lt;/D&gt;&lt;D xsi:type="xsd:double"&gt;51.1&lt;/D&gt;&lt;D xsi:type="xsd:double"&gt;51.1&lt;/D&gt;&lt;D xsi:type="xsd:double"&gt;52.7&lt;/D&gt;&lt;D xsi:type="xsd:double"&gt;52.7&lt;/D&gt;&lt;D xsi:type="xsd:double"&gt;52.7&lt;/D&gt;&lt;D xsi:type="xsd:double"&gt;52.7&lt;/D&gt;&lt;D xsi:type="xsd:double"&gt;52.7&lt;/D&gt;&lt;D xsi:type="xsd:double"&gt;49.5&lt;/D&gt;&lt;D xsi:type="xsd:double"&gt;49.5&lt;/D&gt;&lt;D xsi:type="xsd:double"&gt;49.5&lt;/D&gt;&lt;D xsi:type="xsd:double"&gt;49.5&lt;/D&gt;&lt;D xsi:type="xsd:double"&gt;49.5&lt;/D&gt;&lt;D xsi:type="xsd:double"&gt;50.6&lt;/D&gt;&lt;D xsi:type="xsd:double"&gt;50.6&lt;/D&gt;&lt;D xsi:type="xsd:double"&gt;50.6&lt;/D&gt;&lt;D xsi:type="xsd:double"&gt;50.6&lt;/D&gt;&lt;D xsi:type="xsd:double"&gt;50.6&lt;/D&gt;&lt;D xsi:type="xsd:double"&gt;48.4&lt;/D&gt;&lt;D xsi:type="xsd:double"&gt;48.4&lt;/D&gt;&lt;D xsi:type="xsd:double"&gt;48.4&lt;/D&gt;&lt;D xsi:type="xsd:double"&gt;48.4&lt;/D&gt;&lt;D xsi:type="xsd:double"&gt;48.4&lt;/D&gt;&lt;D xsi:type="xsd:double"&gt;46.6&lt;/D&gt;&lt;D xsi:type="xsd:double"&gt;46.6&lt;/D&gt;&lt;D xsi:type="xsd:double"&gt;46.6&lt;/D&gt;&lt;D xsi:type="xsd:double"&gt;46.6&lt;/D&gt;&lt;D xsi:type="xsd:double"&gt;46.6&lt;/D&gt;&lt;D xsi:type="xsd:double"&gt;45.5&lt;/D&gt;&lt;D xsi:type="xsd:double"&gt;45.5&lt;/D&gt;&lt;D xsi:type="xsd:double"&gt;45.5&lt;/D&gt;&lt;D xsi:type="xsd:double"&gt;45.5&lt;/D&gt;&lt;D xsi:type="xsd:double"&gt;45.5&lt;/D&gt;&lt;D xsi:type="xsd:double"&gt;46.2&lt;/D&gt;&lt;D xsi:type="xsd:double"&gt;46.2&lt;/D&gt;&lt;D xsi:type="xsd:double"&gt;46.2&lt;/D&gt;&lt;D xsi:type="xsd:double"&gt;46.2&lt;/D&gt;&lt;D xsi:type="xsd:double"&gt;46.2&lt;/D&gt;&lt;D xsi:type="xsd:double"&gt;50.5&lt;/D&gt;&lt;D xsi:type="xsd:double"&gt;50.5&lt;/D&gt;&lt;D xsi:type="xsd:double"&gt;50.5&lt;/D&gt;&lt;D xsi:type="xsd:double"&gt;50.5&lt;/D&gt;&lt;D xsi:type="xsd:double"&gt;50.5&lt;/D&gt;&lt;D xsi:type="xsd:double"&gt;50&lt;/D&gt;&lt;D xsi:type="xsd:double"&gt;50&lt;/D&gt;&lt;D xsi:type="xsd:double"&gt;50&lt;/D&gt;&lt;D xsi:type="xsd:double"&gt;50&lt;/D&gt;&lt;D xsi:type="xsd:double"&gt;50&lt;/D&gt;&lt;D xsi:type="xsd:double"&gt;51.1&lt;/D&gt;&lt;D xsi:type="xsd:double"&gt;51.1&lt;/D&gt;&lt;D xsi:type="xsd:double"&gt;51.1&lt;/D&gt;&lt;D xsi:type="xsd:double"&gt;51.1&lt;/D&gt;&lt;D xsi:type="xsd:double"&gt;51.1&lt;/D&gt;&lt;D xsi:type="xsd:double"&gt;52.2&lt;/D&gt;&lt;D xsi:type="xsd:double"&gt;52.2&lt;/D&gt;&lt;D xsi:type="xsd:double"&gt;52.2&lt;/D&gt;&lt;D xsi:type="xsd:double"&gt;52.2&lt;/D&gt;&lt;D xsi:type="xsd:double"&gt;52.2&lt;/D&gt;&lt;D xsi:type="xsd:double"&gt;53.3&lt;/D&gt;&lt;D xsi:type="xsd:double"&gt;53.3&lt;/D&gt;&lt;D xsi:type="xsd:double"&gt;53.3&lt;/D&gt;&lt;D xsi:type="xsd:double"&gt;53.3&lt;/D&gt;&lt;D xsi:type="xsd:double"&gt;53.3&lt;/D&gt;&lt;D xsi:type="xsd:double"&gt;52.7&lt;/D&gt;&lt;D xsi:type="xsd:double"&gt;52.7&lt;/D&gt;&lt;D xsi:type="xsd:double"&gt;52.7&lt;/D&gt;&lt;D xsi:type="xsd:double"&gt;52.7&lt;/D&gt;&lt;D xsi:type="xsd:double"&gt;52.7&lt;/D&gt;&lt;D xsi:type="xsd:double"&gt;50.5&lt;/D&gt;&lt;D xsi:type="xsd:double"&gt;50.5&lt;/D&gt;&lt;D xsi:type="xsd:double"&gt;50.5&lt;/D&gt;&lt;D xsi:type="xsd:double"&gt;50.5&lt;/D&gt;&lt;D xsi:type="xsd:double"&gt;50.5&lt;/D&gt;&lt;D xsi:type="xsd:double"&gt;55.4&lt;/D&gt;&lt;D xsi:type="xsd:double"&gt;55.4&lt;/D&gt;&lt;D xsi:type="xsd:double"&gt;55.4&lt;/D&gt;&lt;D xsi:type="xsd:double"&gt;55.4&lt;/D&gt;&lt;D xsi:type="xsd:double"&gt;55.4&lt;/D&gt;&lt;D xsi:type="xsd:double"&gt;55.3&lt;/D&gt;&lt;D xsi:type="xsd:double"&gt;55.3&lt;/D&gt;&lt;D xsi:type="xsd:double"&gt;55.3&lt;/D&gt;&lt;D xsi:type="xsd:double"&gt;55.3&lt;/D&gt;&lt;D xsi:type="xsd:double"&gt;55.3&lt;/D&gt;&lt;D xsi:type="xsd:double"&gt;56.5&lt;/D&gt;&lt;D xsi:type="xsd:double"&gt;56.5&lt;/D&gt;&lt;D xsi:type="xsd:double"&gt;56.5&lt;/D&gt;&lt;D xsi:type="xsd:double"&gt;56.5&lt;/D&gt;&lt;D xsi:type="xsd:double"&gt;56.5&lt;/D&gt;&lt;D xsi:type="xsd:double"&gt;58.8&lt;/D&gt;&lt;D xsi:type="xsd:double"&gt;58.8&lt;/D&gt;&lt;D xsi:type="xsd:double"&gt;58.8&lt;/D&gt;&lt;D xsi:type="xsd:double"&gt;58.8&lt;/D&gt;&lt;D xsi:type="xsd:double"&gt;58.8&lt;/D&gt;&lt;D xsi:type="xsd:double"&gt;59.6&lt;/D&gt;&lt;D xsi:type="xsd:double"&gt;59.6&lt;/D&gt;&lt;D xsi:type="xsd:double"&gt;59.6&lt;/D&gt;&lt;D xsi:type="xsd:double"&gt;59.6&lt;/D&gt;&lt;D xsi:type="xsd:double"&gt;59.6&lt;/D&gt;&lt;D xsi:type="xsd:double"&gt;59.8&lt;/D&gt;&lt;D xsi:type="xsd:double"&gt;59.8&lt;/D&gt;&lt;D xsi:type="xsd:double"&gt;59.8&lt;/D&gt;&lt;D xsi:type="xsd:double"&gt;59.8&lt;/D&gt;&lt;D xsi:type="xsd:double"&gt;59.8&lt;/D&gt;&lt;D xsi:type="xsd:double"&gt;57.5&lt;/D&gt;&lt;D xsi:type="xsd:double"&gt;57.5&lt;/D&gt;&lt;D xsi:type="xsd:double"&gt;57.5&lt;/D&gt;&lt;D xsi:type="xsd:double"&gt;57.5&lt;/D&gt;&lt;D xsi:type="xsd:double"&gt;57.5&lt;/D&gt;&lt;D xsi:type="xsd:double"&gt;58.5&lt;/D&gt;&lt;D xsi:type="xsd:double"&gt;58.5&lt;/D&gt;&lt;D xsi:type="xsd:double"&gt;58.5&lt;/D&gt;&lt;D xsi:type="xsd:double"&gt;58.5&lt;/D&gt;&lt;D xsi:type="xsd:double"&gt;58.5&lt;/D&gt;&lt;D xsi:type="xsd:double"&gt;56.4&lt;/D&gt;&lt;D xsi:type="xsd:double"&gt;56.4&lt;/D&gt;&lt;D xsi:type="xsd:double"&gt;56.4&lt;/D&gt;&lt;D xsi:type="xsd:double"&gt;56.4&lt;/D&gt;&lt;D xsi:type="xsd:double"&gt;56.4&lt;/D&gt;&lt;D xsi:type="xsd:double"&gt;52.1&lt;/D&gt;&lt;D xsi:type="xsd:double"&gt;52.1&lt;/D&gt;&lt;D xsi:type="xsd:double"&gt;52.1&lt;/D&gt;&lt;D xsi:type="xsd:double"&gt;52.1&lt;/D&gt;&lt;D xsi:type="xsd:double"&gt;52.1&lt;/D&gt;&lt;D xsi:type="xsd:double"&gt;53.7&lt;/D&gt;&lt;D xsi:type="xsd:double"&gt;53.7&lt;/D&gt;&lt;D xsi:type="xsd:double"&gt;53.7&lt;/D&gt;&lt;D xsi:type="xsd:double"&gt;53.7&lt;/D&gt;&lt;D xsi:type="xsd:double"&gt;53.7&lt;/D&gt;&lt;D xsi:type="xsd:double"&gt;52.7&lt;/D&gt;&lt;D xsi:type="xsd:double"&gt;52.7&lt;/D&gt;&lt;D xsi:type="xsd:double"&gt;52.7&lt;/D&gt;&lt;D xsi:type="xsd:double"&gt;52.7&lt;/D&gt;&lt;D xsi:type="xsd:double"&gt;52.7&lt;/D&gt;&lt;D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xsi:type="xsd:double"&gt;49.5&lt;/D&gt;&lt;D xsi:type="xsd:double"&gt;49.5&lt;/D&gt;&lt;D xsi:type="xsd:double"&gt;49.5&lt;/D&gt;&lt;D xsi:type="xsd:double"&gt;49.5&lt;/D&gt;&lt;D xsi:type="xsd:double"&gt;49.5&lt;/D&gt;&lt;D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xsi:type="xsd:double"&gt;45.8&lt;/D&gt;&lt;D xsi:type="xsd:double"&gt;45.8&lt;/D&gt;&lt;D xsi:type="xsd:double"&gt;45.8&lt;/D&gt;&lt;D xsi:type="xsd:double"&gt;45.8&lt;/D&gt;&lt;D xsi:type="xsd:double"&gt;45.8&lt;/D&gt;&lt;D xsi:type="xsd:double"&gt;43.2&lt;/D&gt;&lt;D xsi:type="xsd:double"&gt;43.2&lt;/D&gt;&lt;D xsi:type="xsd:double"&gt;43.2&lt;/D&gt;&lt;D xsi:type="xsd:double"&gt;43.2&lt;/D&gt;&lt;D xsi:type="xsd:double"&gt;43.2&lt;/D&gt;&lt;D xsi:type="xsd:double"&gt;42.1&lt;/D&gt;&lt;D xsi:type="xsd:double"&gt;42.1&lt;/D&gt;&lt;D xsi:type="xsd:double"&gt;42.1&lt;/D&gt;&lt;D xsi:type="xsd:double"&gt;42.1&lt;/D&gt;&lt;D xsi:type="xsd:double"&gt;42.1&lt;/D&gt;&lt;D xsi:type="xsd:double"&gt;40&lt;/D&gt;&lt;D xsi:type="xsd:double"&gt;40&lt;/D&gt;&lt;D xsi:type="xsd:double"&gt;40&lt;/D&gt;&lt;D xsi:type="xsd:double"&gt;40&lt;/D&gt;&lt;D xsi:type="xsd:double"&gt;40&lt;/D&gt;&lt;D xsi:type="xsd:double"&gt;40.9&lt;/D&gt;&lt;D xsi:type="xsd:double"&gt;40.9&lt;/D&gt;&lt;D xsi:type="xsd:double"&gt;40.9&lt;/D&gt;&lt;D xsi:type="xsd:double"&gt;40.9&lt;/D&gt;&lt;D xsi:type="xsd:double"&gt;40.9&lt;/D&gt;&lt;D xsi:type="xsd:double"&gt;40.2&lt;/D&gt;&lt;D xsi:type="xsd:double"&gt;40.2&lt;/D&gt;&lt;D xsi:type="xsd:double"&gt;40.2&lt;/D&gt;&lt;D xsi:type="xsd:double"&gt;40.2&lt;/D&gt;&lt;D xsi:type="xsd:double"&gt;40.2&lt;/D&gt;&lt;D xsi:type="xsd:double"&gt;41.5&lt;/D&gt;&lt;D xsi:type="xsd:double"&gt;41.5&lt;/D&gt;&lt;D xsi:type="xsd:double"&gt;41.5&lt;/D&gt;&lt;D xsi:type="xsd:double"&gt;41.5&lt;/D&gt;&lt;D xsi:type="xsd:double"&gt;41.5&lt;/D&gt;&lt;D xsi:type="xsd:double"&gt;42.2&lt;/D&gt;&lt;D xsi:type="xsd:double"&gt;42.2&lt;/D&gt;&lt;D xsi:type="xsd:double"&gt;42.2&lt;/D&gt;&lt;D xsi:type="xsd:double"&gt;42.2&lt;/D&gt;&lt;D xsi:type="xsd:double"&gt;42.2&lt;/D&gt;&lt;D xsi:type="xsd:double"&gt;42.1&lt;/D&gt;&lt;D xsi:type="xsd:double"&gt;42.1&lt;/D&gt;&lt;D xsi:type="xsd:double"&gt;42.1&lt;/D&gt;&lt;D xsi:type="xsd:double"&gt;42.1&lt;/D&gt;&lt;D xsi:type="xsd:double"&gt;42.1&lt;/D&gt;&lt;D xsi:type="xsd:double"&gt;42.2&lt;/D&gt;&lt;D xsi:type="xsd:double"&gt;42.2&lt;/D&gt;&lt;D xsi:type="xsd:double"&gt;42.2&lt;/D&gt;&lt;D xsi:type="xsd:double"&gt;42.2&lt;/D&gt;&lt;D xsi:type="xsd:double"&gt;42.2&lt;/D&gt;&lt;D xsi:type="xsd:double"&gt;38.7&lt;/D&gt;&lt;D xsi:type="xsd:double"&gt;38.7&lt;/D&gt;&lt;D xsi:type="xsd:double"&gt;38.7&lt;/D&gt;&lt;D xsi:type="xsd:double"&gt;38.7&lt;/D&gt;&lt;D xsi:type="xsd:double"&gt;38.7&lt;/D&gt;&lt;D xsi:type="xsd:double"&gt;37.4&lt;/D&gt;&lt;D xsi:type="xsd:double"&gt;37.4&lt;/D&gt;&lt;D xsi:type="xsd:double"&gt;37.4&lt;/D&gt;&lt;D xsi:type="xsd:double"&gt;37.4&lt;/D&gt;&lt;D xsi:type="xsd:double"&gt;37.4&lt;/D&gt;&lt;D xsi:type="xsd:double"&gt;35.6&lt;/D&gt;&lt;D xsi:type="xsd:double"&gt;35.6&lt;/D&gt;&lt;D xsi:type="xsd:double"&gt;35.6&lt;/D&gt;&lt;D xsi:type="xsd:double"&gt;35.6&lt;/D&gt;&lt;D xsi:type="xsd:double"&gt;35.6&lt;/D&gt;&lt;D xsi:type="xsd:double"&gt;38.7&lt;/D&gt;&lt;D xsi:type="xsd:double"&gt;38.7&lt;/D&gt;&lt;D xsi:type="xsd:double"&gt;38.7&lt;/D&gt;&lt;D xsi:type="xsd:double"&gt;38.7&lt;/D&gt;&lt;D xsi:type="xsd:double"&gt;38.7&lt;/D&gt;&lt;D xsi:type="xsd:double"&gt;40.2&lt;/D&gt;&lt;D xsi:type="xsd:double"&gt;40.2&lt;/D&gt;&lt;D xsi:type="xsd:double"&gt;40.2&lt;/D&gt;&lt;D xsi:type="xsd:double"&gt;40.2&lt;/D&gt;&lt;D xsi:type="xsd:double"&gt;40.2&lt;/D&gt;&lt;D xsi:type="xsd:double"&gt;42.6&lt;/D&gt;&lt;D xsi:type="xsd:double"&gt;42.6&lt;/D&gt;&lt;D xsi:type="xsd:double"&gt;42.6&lt;/D&gt;&lt;D xsi:type="xsd:double"&gt;42.6&lt;/D&gt;&lt;D xsi:type="xsd:double"&gt;42.6&lt;/D&gt;&lt;D xsi:type="xsd:double"&gt;43.8&lt;/D&gt;&lt;D xsi:type="xsd:double"&gt;43.8&lt;/D&gt;&lt;D xsi:type="xsd:double"&gt;43.8&lt;/D&gt;&lt;D xsi:type="xsd:double"&gt;43.8&lt;/D&gt;&lt;D xsi:type="xsd:double"&gt;43.8&lt;/D&gt;&lt;D xsi:type="xsd:double"&gt;46.3&lt;/D&gt;&lt;D xsi:type="xsd:double"&gt;46.3&lt;/D&gt;&lt;D xsi:type="xsd:double"&gt;46.3&lt;/D&gt;&lt;D xsi:type="xsd:double"&gt;46.3&lt;/D&gt;&lt;D xsi:type="xsd:double"&gt;46.3&lt;/D&gt;&lt;D xsi:type="xsd:double"&gt;44.3&lt;/D&gt;&lt;D xsi:type="xsd:double"&gt;44.3&lt;/D&gt;&lt;D xsi:type="xsd:double"&gt;44.3&lt;/D&gt;&lt;D xsi:type="xsd:double"&gt;44.3&lt;/D&gt;&lt;D xsi:type="xsd:double"&gt;44.3&lt;/D&gt;&lt;D xsi:type="xsd:double"&gt;43.9&lt;/D&gt;&lt;D xsi:type="xsd:double"&gt;43.9&lt;/D&gt;&lt;D xsi:type="xsd:double"&gt;43.9&lt;/D&gt;&lt;D xsi:type="xsd:double"&gt;43.9&lt;/D&gt;&lt;D xsi:type="xsd:double"&gt;43.9&lt;/D&gt;&lt;D xsi:type="xsd:double"&gt;45.4&lt;/D&gt;&lt;D xsi:type="xsd:double"&gt;45.4&lt;/D&gt;&lt;D xsi:type="xsd:double"&gt;45.4&lt;/D&gt;&lt;D xsi:type="xsd:double"&gt;45.4&lt;/D&gt;&lt;D xsi:type="xsd:double"&gt;45.4&lt;/D&gt;&lt;D xsi:type="xsd:double"&gt;48&lt;/D&gt;&lt;D xsi:type="xsd:double"&gt;48&lt;/D&gt;&lt;D xsi:type="xsd:double"&gt;48&lt;/D&gt;&lt;D xsi:type="xsd:double"&gt;48&lt;/D&gt;&lt;D xsi:type="xsd:double"&gt;48&lt;/D&gt;&lt;D xsi:type="xsd:double"&gt;53.2&lt;/D&gt;&lt;D xsi:type="xsd:double"&gt;53.2&lt;/D&gt;&lt;D xsi:type="xsd:double"&gt;53.2&lt;/D&gt;&lt;D xsi:type="xsd:double"&gt;53.2&lt;/D&gt;&lt;D xsi:type="xsd:double"&gt;53.2&lt;/D&gt;&lt;D xsi:type="xsd:double"&gt;49.5&lt;/D&gt;&lt;D xsi:type="xsd:double"&gt;49.5&lt;/D&gt;&lt;D xsi:type="xsd:double"&gt;49.5&lt;/D&gt;&lt;D xsi:type="xsd:double"&gt;49.5&lt;/D&gt;&lt;D xsi:type="xsd:double"&gt;49.5&lt;/D&gt;&lt;D xsi:type="xsd:double"&gt;46.7&lt;/D&gt;&lt;D xsi:type="xsd:double"&gt;46.7&lt;/D&gt;&lt;D xsi:type="xsd:double"&gt;46.7&lt;/D&gt;&lt;D xsi:type="xsd:double"&gt;46.7&lt;/D&gt;&lt;D xsi:type="xsd:double"&gt;46.7&lt;/D&gt;&lt;D xsi:type="xsd:double"&gt;46.3&lt;/D&gt;&lt;D xsi:type="xsd:double"&gt;46.3&lt;/D&gt;&lt;D xsi:type="xsd:double"&gt;46.3&lt;/D&gt;&lt;D xsi:type="xsd:double"&gt;46.3&lt;/D&gt;&lt;D xsi:type="xsd:double"&gt;46.3&lt;/D&gt;&lt;D xsi:type="xsd:double"&gt;42.3&lt;/D&gt;&lt;D xsi:type="xsd:double"&gt;42.3&lt;/D&gt;&lt;D xsi:type="xsd:double"&gt;42.3&lt;/D&gt;&lt;D xsi:type="xsd:double"&gt;42.3&lt;/D&gt;&lt;D xsi:type="xsd:double"&gt;42.3&lt;/D&gt;&lt;D xsi:type="xsd:double"&gt;42.7&lt;/D&gt;&lt;D xsi:type="xsd:double"&gt;42.7&lt;/D&gt;&lt;D xsi:type="xsd:double"&gt;42.7&lt;/D&gt;&lt;D xsi:type="xsd:double"&gt;42.7&lt;/D&gt;&lt;D xsi:type="xsd:double"&gt;42.7&lt;/D&gt;&lt;D xsi:type="xsd:double"&gt;42.6&lt;/D&gt;&lt;D xsi:type="xsd:double"&gt;42.6&lt;/D&gt;&lt;D xsi:type="xsd:double"&gt;42.6&lt;/D&gt;&lt;D xsi:type="xsd:double"&gt;42.6&lt;/D&gt;&lt;D xsi:type="xsd:double"&gt;42.6&lt;/D&gt;&lt;D xsi:type="xsd:double"&gt;45.3&lt;/D&gt;&lt;D xsi:type="xsd:double"&gt;45.3&lt;/D&gt;&lt;D xsi:type="xsd:double"&gt;45.3&lt;/D&gt;&lt;D xsi:type="xsd:double"&gt;45.3&lt;/D&gt;&lt;D xsi:type="xsd:double"&gt;45.3&lt;/D&gt;&lt;D xsi:type="xsd:double"&gt;48.9&lt;/D&gt;&lt;D xsi:type="xsd:double"&gt;48.9&lt;/D&gt;&lt;D xsi:type="xsd:double"&gt;48.9&lt;/D&gt;&lt;D xsi:type="xsd:double"&gt;48.9&lt;/D&gt;&lt;D xsi:type="xsd:double"&gt;48.9&lt;/D&gt;&lt;D xsi:type="xsd:double"&gt;51.6&lt;/D&gt;&lt;D xsi:type="xsd:double"&gt;51.6&lt;/D&gt;&lt;D xsi:type="xsd:double"&gt;51.6&lt;/D&gt;&lt;D xsi:type="xsd:double"&gt;51.6&lt;/D&gt;&lt;D xsi:type="xsd:double"&gt;51.6&lt;/D&gt;&lt;D xsi:type="xsd:double"&gt;52.6&lt;/D&gt;&lt;D xsi:type="xsd:double"&gt;52.6&lt;/D&gt;&lt;D xsi:type="xsd:double"&gt;52.6&lt;/D&gt;&lt;D xsi:type="xsd:double"&gt;52.6&lt;/D&gt;&lt;D xsi:type="xsd:double"&gt;52.6&lt;/D&gt;&lt;D xsi:type="xsd:double"&gt;53.7&lt;/D&gt;&lt;D xsi:type="xsd:double"&gt;53.7&lt;/D&gt;&lt;D xsi:type="xsd:double"&gt;53.7&lt;/D&gt;&lt;D xsi:type="xsd:double"&gt;53.7&lt;/D&gt;&lt;D xsi:type="xsd:double"&gt;53.7&lt;/D&gt;&lt;D xsi:type="xsd:double"&gt;57.3&lt;/D&gt;&lt;D xsi:type="xsd:double"&gt;57.3&lt;/D&gt;&lt;D xsi:type="xsd:double"&gt;57.3&lt;/D&gt;&lt;D xsi:type="xsd:double"&gt;57.3&lt;/D&gt;&lt;D xsi:type="xsd:double"&gt;57.3&lt;/D&gt;&lt;D xsi:type="xsd:double"&gt;56.8&lt;/D&gt;&lt;D xsi:type="xsd:double"&gt;56.8&lt;/D&gt;&lt;D xsi:type="xsd:double"&gt;56.8&lt;/D&gt;&lt;D xsi:type="xsd:double"&gt;56.8&lt;/D&gt;&lt;D xsi:type="xsd:double"&gt;56.8&lt;/D&gt;&lt;D xsi:type="xsd:double"&gt;55.7&lt;/D&gt;&lt;D xsi:type="xsd:double"&gt;55.7&lt;/D&gt;&lt;D xsi:type="xsd:double"&gt;55.7&lt;/D&gt;&lt;D xsi:type="xsd:double"&gt;55.7&lt;/D&gt;&lt;D xsi:type="xsd:double"&gt;55.7&lt;/D&gt;&lt;D xsi:type="xsd:double"&gt;60.4&lt;/D&gt;&lt;D xsi:type="xsd:double"&gt;60.4&lt;/D&gt;&lt;D xsi:type="xsd:double"&gt;60.4&lt;/D&gt;&lt;D xsi:type="xsd:double"&gt;60.4&lt;/D&gt;&lt;D xsi:type="xsd:double"&gt;60.4&lt;/D&gt;&lt;D xsi:type="xsd:double"&gt;55&lt;/D&gt;&lt;D xsi:type="xsd:double"&gt;55&lt;/D&gt;&lt;D xsi:type="xsd:double"&gt;55&lt;/D&gt;&lt;D xsi:type="xsd:double"&gt;55&lt;/D&gt;&lt;D xsi:type="xsd:double"&gt;55&lt;/D&gt;&lt;D xsi:type="xsd:double"&gt;58.8&lt;/D&gt;&lt;D xsi:type="xsd:double"&gt;58.8&lt;/D&gt;&lt;D xsi:type="xsd:double"&gt;58.8&lt;/D&gt;&lt;D xsi:type="xsd:double"&gt;58.8&lt;/D&gt;&lt;D xsi:type="xsd:double"&gt;58.8&lt;/D&gt;&lt;D xsi:type="xsd:double"&gt;56.2&lt;/D&gt;&lt;D xsi:type="xsd:double"&gt;56.2&lt;/D&gt;&lt;D xsi:type="xsd:double"&gt;56.2&lt;/D&gt;&lt;D xsi:type="xsd:double"&gt;56.2&lt;/D&gt;&lt;D xsi:type="xsd:double"&gt;56.2&lt;/D&gt;&lt;D xsi:type="xsd:double"&gt;55.8&lt;/D&gt;&lt;D xsi:type="xsd:double"&gt;55.8&lt;/D&gt;&lt;D xsi:type="xsd:double"&gt;55.8&lt;/D&gt;&lt;D xsi:type="xsd:double"&gt;55.8&lt;/D&gt;&lt;D xsi:type="xsd:double"&gt;55.8&lt;/D&gt;&lt;D xsi:type="xsd:double"&gt;53.6&lt;/D&gt;&lt;D xsi:type="xsd:double"&gt;53.6&lt;/D&gt;&lt;D xsi:type="xsd:double"&gt;53.6&lt;/D&gt;&lt;D xsi:type="xsd:double"&gt;53.6&lt;/D&gt;&lt;D xsi:type="xsd:double"&gt;53.6&lt;/D&gt;&lt;D xsi:type="xsd:double"&gt;53.1&lt;/D&gt;&lt;D xsi:type="xsd:double"&gt;53.1&lt;/D&gt;&lt;D xsi:type="xsd:double"&gt;53.1&lt;/D&gt;&lt;D xsi:type="xsd:double"&gt;53.1&lt;/D&gt;&lt;D xsi:type="xsd:double"&gt;53.1&lt;/D&gt;&lt;D xsi:type="xsd:double"&gt;50.6&lt;/D&gt;&lt;D xsi:type="xsd:double"&gt;50.6&lt;/D&gt;&lt;D xsi:type="xsd:double"&gt;50.6&lt;/D&gt;&lt;D xsi:type="xsd:double"&gt;50.6&lt;/D&gt;&lt;D xsi:type="xsd:double"&gt;50.6&lt;/D&gt;&lt;D xsi:type="xsd:double"&gt;46.4&lt;/D&gt;&lt;D xsi:type="xsd:double"&gt;46.4&lt;/D&gt;&lt;D xsi:type="xsd:double"&gt;46.4&lt;/D&gt;&lt;D xsi:type="xsd:double"&gt;46.4&lt;/D&gt;&lt;D xsi:type="xsd:double"&gt;46.4&lt;/D&gt;&lt;D xsi:type="xsd:double"&gt;44.8&lt;/D&gt;&lt;D xsi:type="xsd:double"&gt;44.8&lt;/D&gt;&lt;D xsi:type="xsd:double"&gt;44.8&lt;/D&gt;&lt;D xsi:type="xsd:double"&gt;44.8&lt;/D&gt;&lt;D xsi:type="xsd:double"&gt;44.8&lt;/D&gt;&lt;D xsi:type="xsd:double"&gt;45.3&lt;/D&gt;&lt;D xsi:type="xsd:double"&gt;45.3&lt;/D&gt;&lt;D xsi:type="xsd:double"&gt;45.3&lt;/D&gt;&lt;D xsi:type="xsd:double"&gt;45.3&lt;/D&gt;&lt;D xsi:type="xsd:double"&gt;45.3&lt;/D&gt;&lt;D xsi:type="xsd:double"&gt;45.8&lt;/D&gt;&lt;D xsi:type="xsd:double"&gt;45.8&lt;/D&gt;&lt;D xsi:type="xsd:double"&gt;45.8&lt;/D&gt;&lt;D xsi:type="xsd:double"&gt;45.8&lt;/D&gt;&lt;D xsi:type="xsd:double"&gt;45.8&lt;/D&gt;&lt;D xsi:type="xsd:double"&gt;49.5&lt;/D&gt;&lt;D xsi:type="xsd:double"&gt;49.5&lt;/D&gt;&lt;D xsi:type="xsd:double"&gt;49.5&lt;/D&gt;&lt;D xsi:type="xsd:double"&gt;49.5&lt;/D&gt;&lt;D xsi:type="xsd:double"&gt;49.5&lt;/D&gt;&lt;D xsi:type="xsd:double"&gt;53.2&lt;/D&gt;&lt;D xsi:type="xsd:double"&gt;53.2&lt;/D&gt;&lt;D xsi:type="xsd:double"&gt;53.2&lt;/D&gt;&lt;D xsi:type="xsd:double"&gt;53.2&lt;/D&gt;&lt;D xsi:type="xsd:double"&gt;53.2&lt;/D&gt;&lt;D xsi:type="xsd:double"&gt;54.3&lt;/D&gt;&lt;D xsi:type="xsd:double"&gt;54.3&lt;/D&gt;&lt;D xsi:type="xsd:double"&gt;54.3&lt;/D&gt;&lt;D xsi:type="xsd:double"&gt;54.3&lt;/D&gt;&lt;D xsi:type="xsd:double"&gt;54.3&lt;/D&gt;&lt;D xsi:type="xsd:double"&gt;53.2&lt;/D&gt;&lt;D xsi:type="xsd:double"&gt;53.2&lt;/D&gt;&lt;D xsi:type="xsd:double"&gt;53.2&lt;/D&gt;&lt;D xsi:type="xsd:double"&gt;53.2&lt;/D&gt;&lt;D xsi:type="xsd:double"&gt;53.2&lt;/D&gt;&lt;D xsi:type="xsd:double"&gt;52.1&lt;/D&gt;&lt;D xsi:type="xsd:double"&gt;52.1&lt;/D&gt;&lt;D xsi:type="xsd:double"&gt;52.1&lt;/D&gt;&lt;D xsi:type="xsd:double"&gt;52.1&lt;/D&gt;&lt;D xsi:type="xsd:double"&gt;52.1&lt;/D&gt;&lt;D xsi:type="xsd:double"&gt;51.1&lt;/D&gt;&lt;D xsi:type="xsd:double"&gt;51.1&lt;/D&gt;&lt;D xsi:type="xsd:double"&gt;51.1&lt;/D&gt;&lt;D xsi:type="xsd:double"&gt;51.1&lt;/D&gt;&lt;D xsi:type="xsd:double"&gt;51.1&lt;/D&gt;&lt;D xsi:type="xsd:double"&gt;56.8&lt;/D&gt;&lt;D xsi:type="xsd:double"&gt;56.8&lt;/D&gt;&lt;D xsi:type="xsd:double"&gt;56.8&lt;/D&gt;&lt;D xsi:type="xsd:double"&gt;56.8&lt;/D&gt;&lt;D xsi:type="xsd:double"&gt;56.8&lt;/D&gt;&lt;D xsi:type="xsd:double"&gt;57.3&lt;/D&gt;&lt;D xsi:type="xsd:double"&gt;57.3&lt;/D&gt;&lt;D xsi:type="xsd:double"&gt;57.3&lt;/D&gt;&lt;D xsi:type="xsd:double"&gt;57.3&lt;/D&gt;&lt;D xsi:type="xsd:double"&gt;57.3&lt;/D&gt;&lt;D xsi:type="xsd:double"&gt;59.1&lt;/D&gt;&lt;D xsi:type="xsd:double"&gt;59.1&lt;/D&gt;&lt;D xsi:type="xsd:double"&gt;59.1&lt;/D&gt;&lt;D xsi:type="xsd:double"&gt;59.1&lt;/D&gt;&lt;D xsi:type="xsd:double"&gt;59.1&lt;/D&gt;&lt;D xsi:type="xsd:double"&gt;57.3&lt;/D&gt;&lt;D xsi:type="xsd:double"&gt;57.3&lt;/D&gt;&lt;D xsi:type="xsd:double"&gt;57.3&lt;/D&gt;&lt;D xsi:type="xsd:double"&gt;57.3&lt;/D&gt;&lt;D xsi:type="xsd:double"&gt;57.3&lt;/D&gt;&lt;D xsi:type="xsd:double"&gt;55.9&lt;/D&gt;&lt;D xsi:type="xsd:double"&gt;55.9&lt;/D&gt;&lt;D xsi:type="xsd:double"&gt;55.9&lt;/D&gt;&lt;D xsi:type="xsd:double"&gt;55.9&lt;/D&gt;&lt;D xsi:type="xsd:double"&gt;55.9&lt;/D&gt;&lt;D xsi:type="xsd:double"&gt;52.7&lt;/D&gt;&lt;D xsi:type="xsd:double"&gt;52.7&lt;/D&gt;&lt;D xsi:type="xsd:double"&gt;52.7&lt;/D&gt;&lt;D xsi:type="xsd:double"&gt;52.7&lt;/D&gt;&lt;D xsi:type="xsd:double"&gt;52.7&lt;/D&gt;&lt;D xsi:type="xsd:double"&gt;54.5&lt;/D&gt;&lt;D xsi:type="xsd:double"&gt;54.5&lt;/D&gt;&lt;D xsi:type="xsd:double"&gt;54.5&lt;/D&gt;&lt;D xsi:type="xsd:double"&gt;54.5&lt;/D&gt;&lt;D xsi:type="xsd:double"&gt;54.5&lt;/D&gt;&lt;D xsi:type="xsd:double"&gt;53.9&lt;/D&gt;&lt;D xsi:type="xsd:double"&gt;53.9&lt;/D&gt;&lt;D xsi:type="xsd:double"&gt;53.9&lt;/D&gt;&lt;D xsi:type="xsd:double"&gt;53.9&lt;/D&gt;&lt;D xsi:type="xsd:double"&gt;53.9&lt;/D&gt;&lt;D xsi:type="xsd:double"&gt;55.1&lt;/D&gt;&lt;D xsi:type="xsd:double"&gt;55.1&lt;/D&gt;&lt;D xsi:type="xsd:double"&gt;55.1&lt;/D&gt;&lt;D xsi:type="xsd:double"&gt;55.1&lt;/D&gt;&lt;D xsi:type="xsd:double"&gt;55.1&lt;/D&gt;&lt;D xsi:type="xsd:double"&gt;53.9&lt;/D&gt;&lt;D xsi:type="xsd:double"&gt;53.9&lt;/D&gt;&lt;D xsi:type="xsd:double"&gt;53.9&lt;/D&gt;&lt;D xsi:type="xsd:double"&gt;53.9&lt;/D&gt;&lt;D xsi:type="xsd:double"&gt;53.9&lt;/D&gt;&lt;D xsi:type="xsd:double"&gt;52.7&lt;/D&gt;&lt;D xsi:type="xsd:double"&gt;52.7&lt;/D&gt;&lt;D xsi:type="xsd:double"&gt;52.7&lt;/D&gt;&lt;D xsi:type="xsd:double"&gt;52.7&lt;/D&gt;&lt;D xsi:type="xsd:double"&gt;52.7&lt;/D&gt;&lt;D xsi:type="xsd:double"&gt;50.6&lt;/D&gt;&lt;D xsi:type="xsd:double"&gt;50.6&lt;/D&gt;&lt;D xsi:type="xsd:double"&gt;50.6&lt;/D&gt;&lt;D xsi:type="xsd:double"&gt;50.6&lt;/D&gt;&lt;D xsi:type="xsd:double"&gt;50.6&lt;/D&gt;&lt;D xsi:type="xsd:double"&gt;47.8&lt;/D&gt;&lt;D xsi:type="xsd:double"&gt;47.8&lt;/D&gt;&lt;D xsi:type="xsd:double"&gt;47.8&lt;/D&gt;&lt;D xsi:type="xsd:double"&gt;47.8&lt;/D&gt;&lt;D xsi:type="xsd:double"&gt;47.8&lt;/D&gt;&lt;D xsi:type="xsd:double"&gt;46.7&lt;/D&gt;&lt;D xsi:type="xsd:double"&gt;46.7&lt;/D&gt;&lt;D xsi:type="xsd:double"&gt;46.7&lt;/D&gt;&lt;D xsi:type="xsd:double"&gt;46.7&lt;/D&gt;&lt;D xsi:type="xsd:double"&gt;46.7&lt;/D&gt;&lt;D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xsi:type="xsd:double"&gt;43.5&lt;/D&gt;&lt;D xsi:type="xsd:double"&gt;43.5&lt;/D&gt;&lt;D xsi:type="xsd:double"&gt;43.5&lt;/D&gt;&lt;D xsi:type="xsd:double"&gt;43.5&lt;/D&gt;&lt;D xsi:type="xsd:double"&gt;43.5&lt;/D&gt;&lt;D xsi:type="xsd:double"&gt;44&lt;/D&gt;&lt;D xsi:type="xsd:double"&gt;44&lt;/D&gt;&lt;D xsi:type="xsd:double"&gt;44&lt;/D&gt;&lt;D xsi:type="xsd:double"&gt;44&lt;/D&gt;&lt;D xsi:type="xsd:double"&gt;44&lt;/D&gt;&lt;D xsi:type="xsd:double"&gt;48.4&lt;/D&gt;&lt;D xsi:type="xsd:double"&gt;48.4&lt;/D&gt;&lt;D xsi:type="xsd:double"&gt;48.4&lt;/D&gt;&lt;D xsi:type="xsd:double"&gt;48.4&lt;/D&gt;&lt;D xsi:type="xsd:double"&gt;48.4&lt;/D&gt;&lt;D xsi:type="xsd:double"&gt;46.2&lt;/D&gt;&lt;D xsi:type="xsd:double"&gt;46.2&lt;/D&gt;&lt;D xsi:type="xsd:double"&gt;46.2&lt;/D&gt;&lt;D xsi:type="xsd:double"&gt;46.2&lt;/D&gt;&lt;D xsi:type="xsd:double"&gt;46.2&lt;/D&gt;&lt;D xsi:type="xsd:double"&gt;47.9&lt;/D&gt;&lt;D xsi:type="xsd:double"&gt;47.9&lt;/D&gt;&lt;D xsi:type="xsd:double"&gt;47.9&lt;/D&gt;&lt;D xsi:type="xsd:double"&gt;47.9&lt;/D&gt;&lt;D xsi:type="xsd:double"&gt;47.9&lt;/D&gt;&lt;D xsi:type="xsd:double"&gt;51.6&lt;/D&gt;&lt;D xsi:type="xsd:double"&gt;51.6&lt;/D&gt;&lt;D xsi:type="xsd:double"&gt;51.6&lt;/D&gt;&lt;D xsi:type="xsd:double"&gt;51.6&lt;/D&gt;&lt;D xsi:type="xsd:double"&gt;51.6&lt;/D&gt;&lt;D xsi:type="xsd:double"&gt;53.6&lt;/D&gt;&lt;D xsi:type="xsd:double"&gt;53.6&lt;/D&gt;&lt;D xsi:type="xsd:double"&gt;53.6&lt;/D&gt;&lt;D xsi:type="xsd:double"&gt;53.6&lt;/D&gt;&lt;D xsi:type="xsd:double"&gt;53.6&lt;/D&gt;&lt;D xsi:type="xsd:double"&gt;54.5&lt;/D&gt;&lt;D xsi:type="xsd:double"&gt;54.5&lt;/D&gt;&lt;D xsi:type="xsd:double"&gt;54.5&lt;/D&gt;&lt;D xsi:type="xsd:double"&gt;54.5&lt;/D&gt;&lt;D xsi:type="xsd:double"&gt;54.5&lt;/D&gt;&lt;D xsi:type="xsd:double"&gt;55.7&lt;/D&gt;&lt;D xsi:type="xsd:double"&gt;55.7&lt;/D&gt;&lt;D xsi:type="xsd:double"&gt;55.7&lt;/D&gt;&lt;D xsi:type="xsd:double"&gt;55.7&lt;/D&gt;&lt;D xsi:type="xsd:double"&gt;55.7&lt;/D&gt;&lt;D xsi:type="xsd:double"&gt;54.7&lt;/D&gt;&lt;D xsi:type="xsd:double"&gt;54.7&lt;/D&gt;&lt;D xsi:type="xsd:double"&gt;54.7&lt;/D&gt;&lt;D xsi:type="xsd:double"&gt;54.7&lt;/D&gt;&lt;D xsi:type="xsd:double"&gt;54.</t>
        </r>
      </text>
    </comment>
    <comment ref="A36" authorId="0" shapeId="0" xr:uid="{0DFDF286-C3DA-489E-8FE2-9D3DD55A3FD7}">
      <text>
        <r>
          <rPr>
            <b/>
            <sz val="9"/>
            <color indexed="81"/>
            <rFont val="Tahoma"/>
            <charset val="1"/>
          </rPr>
          <t>7&lt;/D&gt;&lt;D xsi:type="xsd:double"&gt;54.1&lt;/D&gt;&lt;D xsi:type="xsd:double"&gt;54.1&lt;/D&gt;&lt;D xsi:type="xsd:double"&gt;54.1&lt;/D&gt;&lt;D xsi:type="xsd:double"&gt;54.1&lt;/D&gt;&lt;D xsi:type="xsd:double"&gt;54.1&lt;/D&gt;&lt;D xsi:type="xsd:double"&gt;56.6&lt;/D&gt;&lt;D xsi:type="xsd:double"&gt;56.6&lt;/D&gt;&lt;D xsi:type="xsd:double"&gt;56.6&lt;/D&gt;&lt;D xsi:type="xsd:double"&gt;56.6&lt;/D&gt;&lt;D xsi:type="xsd:double"&gt;56.6&lt;/D&gt;&lt;D xsi:type="xsd:double"&gt;54.6&lt;/D&gt;&lt;D xsi:type="xsd:double"&gt;54.6&lt;/D&gt;&lt;D xsi:type="xsd:double"&gt;54.6&lt;/D&gt;&lt;D xsi:type="xsd:double"&gt;54.6&lt;/D&gt;&lt;D xsi:type="xsd:double"&gt;54.6&lt;/D&gt;&lt;D xsi:type="xsd:double"&gt;54.5&lt;/D&gt;&lt;D xsi:type="xsd:double"&gt;54.5&lt;/D&gt;&lt;D xsi:type="xsd:double"&gt;54.5&lt;/D&gt;&lt;D xsi:type="xsd:double"&gt;54.5&lt;/D&gt;&lt;D xsi:type="xsd:double"&gt;54.5&lt;/D&gt;&lt;D xsi:type="xsd:double"&gt;56&lt;/D&gt;&lt;D xsi:type="xsd:double"&gt;56&lt;/D&gt;&lt;D xsi:type="xsd:double"&gt;56&lt;/D&gt;&lt;D xsi:type="xsd:double"&gt;56&lt;/D&gt;&lt;D xsi:type="xsd:double"&gt;56&lt;/D&gt;&lt;D xsi:type="xsd:double"&gt;55.9&lt;/D&gt;&lt;D xsi:type="xsd:double"&gt;55.9&lt;/D&gt;&lt;D xsi:type="xsd:double"&gt;55.9&lt;/D&gt;&lt;D xsi:type="xsd:double"&gt;55.9&lt;/D&gt;&lt;D xsi:type="xsd:double"&gt;55.9&lt;/D&gt;&lt;D xsi:type="xsd:double"&gt;59.4&lt;/D&gt;&lt;D xsi:type="xsd:double"&gt;59.4&lt;/D&gt;&lt;D xsi:type="xsd:double"&gt;59.4&lt;/D&gt;&lt;D xsi:type="xsd:double"&gt;59.4&lt;/D&gt;&lt;D xsi:type="xsd:double"&gt;59.4&lt;/D&gt;&lt;D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xsi:type="xsd:double"&gt;61.2&lt;/D&gt;&lt;D xsi:type="xsd:double"&gt;61.2&lt;/D&gt;&lt;D xsi:type="xsd:double"&gt;61.2&lt;/D&gt;&lt;D xsi:type="xsd:double"&gt;61.2&lt;/D&gt;&lt;D xsi:type="xsd:double"&gt;61.2&lt;/D&gt;&lt;D xsi:type="xsd:double"&gt;62.1&lt;/D&gt;&lt;D xsi:type="xsd:double"&gt;62.1&lt;/D&gt;&lt;D xsi:type="xsd:double"&gt;62.1&lt;/D&gt;&lt;D xsi:type="xsd:double"&gt;62.1&lt;/D&gt;&lt;D xsi:type="xsd:double"&gt;62.1&lt;/D&gt;&lt;D xsi:type="xsd:double"&gt;60.8&lt;/D&gt;&lt;D xsi:type="xsd:double"&gt;60.8&lt;/D&gt;&lt;D xsi:type="xsd:double"&gt;60.8&lt;/D&gt;&lt;D xsi:type="xsd:double"&gt;60.8&lt;/D&gt;&lt;D xsi:type="xsd:double"&gt;60.8&lt;/D&gt;&lt;D xsi:type="xsd:double"&gt;57.3&lt;/D&gt;&lt;D xsi:type="xsd:double"&gt;57.3&lt;/D&gt;&lt;D xsi:type="xsd:double"&gt;57.3&lt;/D&gt;&lt;D xsi:type="xsd:double"&gt;57.3&lt;/D&gt;&lt;D xsi:type="xsd:double"&gt;57.3&lt;/D&gt;&lt;D xsi:type="xsd:double"&gt;57.1&lt;/D&gt;&lt;D xsi:type="xsd:double"&gt;57.1&lt;/D&gt;&lt;D xsi:type="xsd:double"&gt;57.1&lt;/D&gt;&lt;D xsi:type="xsd:double"&gt;57.1&lt;/D&gt;&lt;D xsi:type="xsd:double"&gt;57.1&lt;/D&gt;&lt;D xsi:type="xsd:double"&gt;58.2&lt;/D&gt;&lt;D xsi:type="xsd:double"&gt;58.2&lt;/D&gt;&lt;D xsi:type="xsd:double"&gt;58.2&lt;/D&gt;&lt;D xsi:type="xsd:double"&gt;58.2&lt;/D&gt;&lt;D xsi:type="xsd:double"&gt;58.2&lt;/D&gt;&lt;D xsi:type="xsd:double"&gt;58.1&lt;/D&gt;&lt;D xsi:type="xsd:double"&gt;58.1&lt;/D&gt;&lt;D xsi:type="xsd:double"&gt;58.1&lt;/D&gt;&lt;D xsi:type="xsd:double"&gt;58.1&lt;/D&gt;&lt;D xsi:type="xsd:double"&gt;58.1&lt;/D&gt;&lt;D xsi:type="xsd:double"&gt;57&lt;/D&gt;&lt;D xsi:type="xsd:double"&gt;57&lt;/D&gt;&lt;D xsi:type="xsd:double"&gt;57&lt;/D&gt;&lt;D xsi:type="xsd:double"&gt;57&lt;/D&gt;&lt;D xsi:type="xsd:double"&gt;57&lt;/D&gt;&lt;D xsi:type="xsd:double"&gt;56.4&lt;/D&gt;&lt;D xsi:type="xsd:double"&gt;56.4&lt;/D&gt;&lt;D xsi:type="xsd:double"&gt;56.4&lt;/D&gt;&lt;D xsi:type="xsd:double"&gt;56.4&lt;/D&gt;&lt;D xsi:type="xsd:double"&gt;56.4&lt;/D&gt;&lt;D xsi:type="xsd:double"&gt;58.9&lt;/D&gt;&lt;D xsi:type="xsd:double"&gt;58.9&lt;/D&gt;&lt;D xsi:type="xsd:double"&gt;58.9&lt;/D&gt;&lt;D xsi:type="xsd:double"&gt;58.9&lt;/D&gt;&lt;D xsi:type="xsd:double"&gt;58.9&lt;/D&gt;&lt;D xsi:type="xsd:double"&gt;54.1&lt;/D&gt;&lt;D xsi:type="xsd:double"&gt;54.1&lt;/D&gt;&lt;D xsi:type="xsd:double"&gt;54.1&lt;/D&gt;&lt;D xsi:type="xsd:double"&gt;54.1&lt;/D&gt;&lt;D xsi:type="xsd:double"&gt;54.1&lt;/D&gt;&lt;D xsi:type="xsd:double"&gt;52.6&lt;/D&gt;&lt;D xsi:type="xsd:double"&gt;52.6&lt;/D&gt;&lt;D xsi:type="xsd:double"&gt;52.6&lt;/D&gt;&lt;D xsi:type="xsd:double"&gt;52.6&lt;/D&gt;&lt;D xsi:type="xsd:double"&gt;52.6&lt;/D&gt;&lt;D xsi:type="xsd:double"&gt;51&lt;/D&gt;&lt;D xsi:type="xsd:double"&gt;51&lt;/D&gt;&lt;D xsi:type="xsd:double"&gt;51&lt;/D&gt;&lt;D xsi:type="xsd:double"&gt;51&lt;/D&gt;&lt;D xsi:type="xsd:double"&gt;51&lt;/D&gt;&lt;D xsi:type="xsd:double"&gt;50&lt;/D&gt;&lt;D xsi:type="xsd:double"&gt;50&lt;/D&gt;&lt;D xsi:type="xsd:double"&gt;50&lt;/D&gt;&lt;D xsi:type="xsd:double"&gt;50&lt;/D&gt;&lt;D xsi:type="xsd:double"&gt;50&lt;/D&gt;&lt;D xsi:type="xsd:double"&gt;50&lt;/D&gt;&lt;D xsi:type="xsd:double"&gt;50&lt;/D&gt;&lt;D xsi:type="xsd:double"&gt;50&lt;/D&gt;&lt;D xsi:type="xsd:double"&gt;50&lt;/D&gt;&lt;D xsi:type="xsd:double"&gt;50&lt;/D&gt;&lt;D xsi:type="xsd:double"&gt;45.9&lt;/D&gt;&lt;D xsi:type="xsd:double"&gt;45.9&lt;/D&gt;&lt;D xsi:type="xsd:double"&gt;45.9&lt;/D&gt;&lt;D xsi:type="xsd:double"&gt;45.9&lt;/D&gt;&lt;D xsi:type="xsd:double"&gt;45.9&lt;/D&gt;&lt;D xsi:type="xsd:double"&gt;43.6&lt;/D&gt;&lt;D xsi:type="xsd:double"&gt;43.6&lt;/D&gt;&lt;D xsi:type="xsd:double"&gt;43.6&lt;/D&gt;&lt;D xsi:type="xsd:double"&gt;43.6&lt;/D&gt;&lt;D xsi:type="xsd:double"&gt;43.6&lt;/D&gt;&lt;D xsi:type="xsd:double"&gt;39.6&lt;/D&gt;&lt;/FQL&gt;&lt;FQL&gt;&lt;Q&gt;SP50^FMA_COS_UP("EPS","1M",+1,0,-7AY,,"PORTAGG","MEANR")/(FMA_COS_UP("EPS","1M",+1,0,-7AY,,"PORTAGG","MEANR")+FMA_COS_DOWN("EPS","1M",+1,0,-7AY,,"PORTAGG","MEANR"))&lt;/Q&gt;&lt;R&gt;1762&lt;/R&gt;&lt;C&gt;1&lt;/C&gt;&lt;D xsi:type="xsd:double"&gt;0.585746102449889&lt;/D&gt;&lt;D xsi:type="xsd:double"&gt;0.585746102449889&lt;/D&gt;&lt;D xsi:type="xsd:double"&gt;0.58351409978308&lt;/D&gt;&lt;D xsi:type="xsd:double"&gt;0.589130434782609&lt;/D&gt;&lt;D xsi:type="xsd:double"&gt;0.581140350877193&lt;/D&gt;&lt;D xsi:type="xsd:double"&gt;0.581497797356828&lt;/D&gt;&lt;D xsi:type="xsd:double"&gt;0.586283185840708&lt;/D&gt;&lt;D xsi:type="xsd:double"&gt;0.573913043478261&lt;/D&gt;&lt;D xsi:type="xsd:double"&gt;0.566739606126915&lt;/D&gt;&lt;D xsi:type="xsd:double"&gt;0.563318777292576&lt;/D&gt;&lt;D xsi:type="xsd:double"&gt;0.554083885209713&lt;/D&gt;&lt;D xsi:type="xsd:double"&gt;0.542600896860987&lt;/D&gt;&lt;D xsi:type="xsd:double"&gt;0.544642857142857&lt;/D&gt;&lt;D xsi:type="xsd:double"&gt;0.522935779816514&lt;/D&gt;&lt;D xsi:type="xsd:double"&gt;0.505910165484634&lt;/D&gt;&lt;D xsi:type="xsd:double"&gt;0.5&lt;/D&gt;&lt;D xsi:type="xsd:double"&gt;0.48792270531401&lt;/D&gt;&lt;D xsi:type="xsd:double"&gt;0.473300970873786&lt;/D&gt;&lt;D xsi:type="xsd:double"&gt;0.452322738386308&lt;/D&gt;&lt;D xsi:type="xsd:double"&gt;0.448019801980198&lt;/D&gt;&lt;D xsi:type="xsd:double"&gt;0.45771144278607&lt;/D&gt;&lt;D xsi:type="xsd:double"&gt;0.448717948717949&lt;/D&gt;&lt;D xsi:type="xsd:double"&gt;0.454780361757106&lt;/D&gt;&lt;D xsi:type="xsd:double"&gt;0.457446808510638&lt;/D&gt;&lt;D xsi:type="xsd:double"&gt;0.449864498644986&lt;/D&gt;&lt;D xsi:type="xsd:double"&gt;0.46505376344086&lt;/D&gt;&lt;D xsi:type="xsd:double"&gt;0.448648648648649&lt;/D&gt;&lt;D xsi:type="xsd:double"&gt;0.434426229508197&lt;/D&gt;&lt;D xsi:type="xsd:double"&gt;0.447293447293447&lt;/D&gt;&lt;D xsi:type="xsd:double"&gt;0.441926345609065&lt;/D&gt;&lt;D xsi:type="xsd:double"&gt;0.449275362318841&lt;/D&gt;&lt;D xsi:type="xsd:double"&gt;0.461764705882353&lt;/D&gt;&lt;D xsi:type="xsd:double"&gt;0.43343653250774&lt;/D&gt;&lt;D xsi:type="xsd:double"&gt;0.444099378881988&lt;/D&gt;&lt;D xsi:type="xsd:double"&gt;0.4375&lt;/D&gt;&lt;D xsi:type="xsd:double"&gt;0.440251572327044&lt;/D&gt;&lt;D xsi:type="xsd:double"&gt;0.470059880239521&lt;/D&gt;&lt;D xsi:type="xsd:double"&gt;0.471471471471471&lt;/D&gt;&lt;D xsi:type="xsd:double"&gt;0.46749226006192&lt;/D&gt;&lt;D xsi:type="xsd:double"&gt;0.488958990536278&lt;/D&gt;&lt;D xsi:type="xsd:double"&gt;0.490384615384615&lt;/D&gt;&lt;D xsi:type="xsd:double"&gt;0.493939393939394&lt;/D&gt;&lt;D xsi:type="xsd:double"&gt;0.515151515151515&lt;/D&gt;&lt;D xsi:type="xsd:double"&gt;0.517350157728707&lt;/D&gt;&lt;D xsi:type="xsd:double"&gt;0.533980582524272&lt;/D&gt;&lt;D xsi:type="xsd:double"&gt;0.546875&lt;/D&gt;&lt;D xsi:type="xsd:double"&gt;0.543130990415335&lt;/D&gt;&lt;D xsi:type="xsd:double"&gt;0.539432176656151&lt;/D&gt;&lt;D xsi:type="xsd:double"&gt;0.522435897435897&lt;/D&gt;&lt;D xsi:type="xsd:double"&gt;0.521035598705502&lt;/D&gt;&lt;D xsi:type="xsd:double"&gt;0.542772861356932&lt;/D&gt;&lt;D xsi:type="xsd:double"&gt;0.558739255014327&lt;/D&gt;&lt;D xsi:type="xsd:double"&gt;0.573065902578797&lt;/D&gt;&lt;D xsi:type="xsd:double"&gt;0.573913043478261&lt;/D&gt;&lt;D xsi:type="xsd:double"&gt;0.569364161849711&lt;/D&gt;&lt;D xsi:type="xsd:double"&gt;0.583979328165375&lt;/D&gt;&lt;D xsi:type="xsd:double"&gt;0.579220779220779&lt;/D&gt;&lt;D xsi:type="xsd:double"&gt;0.590452261306533&lt;/D&gt;&lt;D xsi:type="xsd:double"&gt;0.587341772151899&lt;/D&gt;&lt;D xsi:type="xsd:double"&gt;0.613583138173302&lt;/D&gt;&lt;D xsi:type="xsd:double"&gt;0.611494252873563&lt;/D&gt;&lt;D xsi:type="xsd:double"&gt;0.609480812641084&lt;/D&gt;&lt;D xsi:type="xsd:double"&gt;0.610859728506787&lt;/D&gt;&lt;D xsi:type="xsd:double"&gt;0.613636363636364&lt;/D&gt;&lt;D xsi:type="xsd:double"&gt;0.621076233183857&lt;/D&gt;&lt;D xsi:type="xsd:double"&gt;0.625850340136054&lt;/D&gt;&lt;D xsi:type="xsd:double"&gt;0.609865470852018&lt;/D&gt;&lt;D xsi:type="xsd:double"&gt;0.602222222222222&lt;/D&gt;&lt;D xsi:type="xsd:double"&gt;0.606666666666667&lt;/D&gt;&lt;D xsi:type="xsd:double"&gt;0.595604395604396&lt;/D&gt;&lt;D xsi:type="xsd:double"&gt;0.590308370044053&lt;/D&gt;&lt;D xsi:type="xsd:double"&gt;0.580931263858093&lt;/D&gt;&lt;D xsi:type="xsd:double"&gt;0.574944071588367&lt;/D&gt;&lt;D xsi:type="xsd:double"&gt;0.566893424036281&lt;/D&gt;&lt;D xsi:type="xsd:double"&gt;0.565610859728507&lt;/D&gt;&lt;D xsi:type="xsd:double"&gt;0.549883990719258&lt;/D&gt;&lt;D xsi:type="xsd:double"&gt;0.518604651162791&lt;/D&gt;&lt;D xsi:type="xsd:double"&gt;0.519138755980861&lt;/D&gt;&lt;D xsi:type="xsd:double"&gt;0.513253012048193&lt;/D&gt;&lt;D xsi:type="xsd:double"&gt;0.508313539192399&lt;/D&gt;&lt;D xsi:type="xsd:double"&gt;0.484107579462103&lt;/D&gt;&lt;D xsi:type="xsd:double"&gt;0.476426799007444&lt;/D&gt;&lt;D xsi:type="xsd:double"&gt;0.463104325699746&lt;/D&gt;&lt;D xsi:type="xsd:double"&gt;0.465648854961832&lt;/D&gt;&lt;D xsi:type="xsd:double"&gt;0.469543147208122&lt;/D&gt;&lt;D xsi:type="xsd:double"&gt;0.475452196382429&lt;/D&gt;&lt;D xsi:type="xsd:double"&gt;0.474934036939314&lt;/D&gt;&lt;D xsi:type="xsd:double"&gt;0.489130434782609&lt;/D&gt;&lt;D xsi:type="xsd:double"&gt;0.483425414364641&lt;/D&gt;&lt;D xsi:type="xsd:double"&gt;0.493224932249323&lt;/D&gt;&lt;D xsi:type="xsd:double"&gt;0.50408719346049&lt;/D&gt;&lt;D xsi:type="xsd:double"&gt;0.497237569060773&lt;/D&gt;&lt;D xsi:type="xsd:double"&gt;0.508571428571429&lt;/D&gt;&lt;D xsi:type="xsd:double"&gt;0.513196480938416&lt;/D&gt;&lt;D xsi:type="xsd:double"&gt;0.511299435028249&lt;/D&gt;&lt;D xsi:type="xsd:double"&gt;0.512893982808023&lt;/D&gt;&lt;D xsi:type="xsd:double"&gt;0.511695906432749&lt;/D&gt;&lt;D xsi:type="xsd:double"&gt;0.513595166163142&lt;/D&gt;&lt;D xsi:type="xsd:double"&gt;0.511041009463722&lt;/D&gt;&lt;D xsi:type="xsd:double"&gt;0.484756097560976&lt;/D&gt;&lt;D xsi:type="xsd:double"&gt;0.491017964071856&lt;/D&gt;&lt;D xsi:type="xsd:double"&gt;0.497005988023952&lt;/D&gt;&lt;D xsi:type="xsd:double"&gt;0.489855072463768&lt;/D&gt;&lt;D xsi:type="xsd:double"&gt;0.494318181818182&lt;/D&gt;&lt;D xsi:type="xsd:double"&gt;0.482093663911846&lt;/D&gt;&lt;D xsi:type="xsd:double"&gt;0.477900552486188&lt;/D&gt;&lt;D xsi:type="xsd:double"&gt;0.479338842975207&lt;/D&gt;&lt;D xsi:type="xsd:double"&gt;0.477401129943503&lt;/D&gt;&lt;D xsi:type="xsd:double"&gt;0.469101123595506&lt;/D&gt;&lt;D xsi:type="xsd:double"&gt;0.48780487804878&lt;/D&gt;&lt;D xsi:type="xsd:double"&gt;0.496&lt;/D&gt;&lt;D xsi:type="xsd:double"&gt;0.511936339522546&lt;/D&gt;&lt;D xsi:type="xsd:double"&gt;0.506493506493506&lt;/D&gt;&lt;D xsi:type="xsd:double"&gt;0.501278772378517&lt;/D&gt;&lt;D xsi:type="xsd:double"&gt;0.491271820448878&lt;/D&gt;&lt;D xsi:type="xsd:double"&gt;0.477722772277228&lt;/D&gt;&lt;D xsi:type="xsd:double"&gt;0.482926829268293&lt;/D&gt;&lt;D xsi:type="xsd:double"&gt;0.489051094890511&lt;/D&gt;&lt;D xsi:type="xsd:double"&gt;0.485645933014354&lt;/D&gt;&lt;D xsi:type="xsd:double"&gt;0.725373134328358&lt;/D&gt;&lt;D xsi:type="xsd:double"&gt;0.734042553191489&lt;/D&gt;&lt;D xsi:type="xsd:double"&gt;0.731707317073171&lt;/D&gt;&lt;D xsi:type="xsd:double"&gt;0.736986301369863&lt;/D&gt;&lt;D xsi:type="xsd:double"&gt;0.728155339805825&lt;/D&gt;&lt;D xsi:type="xsd:double"&gt;0.73396674584323&lt;/D&gt;&lt;D xsi:type="xsd:double"&gt;0.725728155339806&lt;/D&gt;&lt;D xsi:type="xsd:double"&gt;0.732673267326733&lt;/D&gt;&lt;D xsi:type="xsd:double"&gt;0.712296983758701&lt;/D&gt;&lt;D xsi:type="xsd:double"&gt;0.702078521939954&lt;/D&gt;&lt;D xsi:type="xsd:double"&gt;0.69392523364486&lt;/D&gt;&lt;D xsi:type="xsd:double"&gt;0.684834123222749&lt;/D&gt;&lt;D xsi:type="xsd:double"&gt;0.688249400479616&lt;/D&gt;&lt;D xsi:type="xsd:double"&gt;0.68384074941452&lt;/D&gt;&lt;D xsi:type="xsd:double"&gt;0.676959619952494&lt;/D&gt;&lt;D xsi:type="xsd:double"&gt;0.657894736842105&lt;/D&gt;&lt;D xsi:type="xsd:double"&gt;0.640586797066015&lt;/D&gt;&lt;D xsi:type="xsd:double"&gt;0.622222222222222&lt;/D&gt;&lt;D xsi:type="xsd:double"&gt;0.630272952853598&lt;/D&gt;&lt;D xsi:type="xsd:double"&gt;0.638613861386139&lt;/D&gt;&lt;D xsi:type="xsd:double"&gt;0.614427860696517&lt;/D&gt;&lt;D xsi:type="xsd:double"&gt;0.6&lt;/D&gt;&lt;D xsi:type="xsd:double"&gt;0.587012987012987&lt;/D&gt;&lt;D xsi:type="xsd:double"&gt;0.58311345646438&lt;/D&gt;&lt;D xsi:type="xsd:double"&gt;0.595744680851064&lt;/D&gt;&lt;D xsi:type="xsd:double"&gt;0.579088471849866&lt;/D&gt;&lt;D xsi:type="xsd:double"&gt;0.573369565217391&lt;/D&gt;&lt;D xsi:type="xsd:double"&gt;0.565459610027855&lt;/D&gt;&lt;D xsi:type="xsd:double"&gt;0.575842696629214&lt;/D&gt;&lt;D xsi:type="xsd:double"&gt;0.571030640668524&lt;/D&gt;&lt;D xsi:type="xsd:double"&gt;0.561253561253561&lt;/D&gt;&lt;D xsi:type="xsd:double"&gt;0.554597701149425&lt;/D&gt;&lt;D xsi:type="xsd:double"&gt;0.546511627906977&lt;/D&gt;&lt;D xsi:type="xsd:double"&gt;0.538011695906433&lt;/D&gt;&lt;D xsi:type="xsd:double"&gt;0.53314121037464&lt;/D&gt;&lt;D xsi:type="xsd:double"&gt;0.530973451327434&lt;/D&gt;&lt;D xsi:type="xsd:double"&gt;0.51702786377709&lt;/D&gt;&lt;D xsi:type="xsd:double"&gt;0.538699690402477&lt;/D&gt;&lt;D xsi:type="xsd:double"&gt;0.517571884984026&lt;/D&gt;&lt;D xsi:type="xsd:double"&gt;0.488673139158576&lt;/D&gt;&lt;D xsi:type="xsd:double"&gt;0.490066225165563&lt;/D&gt;&lt;D xsi:type="xsd:double"&gt;0.510204081632653&lt;/D&gt;&lt;D xsi:type="xsd:double"&gt;0.513698630136986&lt;/D&gt;&lt;D xsi:type="xsd:double"&gt;0.513422818791946&lt;/D&gt;&lt;D xsi:type="xsd:double"&gt;0.513157894736842&lt;/D&gt;&lt;D xsi:type="xsd:double"&gt;0.524271844660194&lt;/D&gt;&lt;D xsi:type="xsd:double"&gt;0.528846153846154&lt;/D&gt;&lt;D xsi:type="xsd:double"&gt;0.517133956386293&lt;/D&gt;&lt;D xsi:type="xsd:double"&gt;0.512578616352201&lt;/D&gt;&lt;D xsi:type="xsd:double"&gt;0.520634920634921&lt;/D&gt;&lt;D xsi:type="xsd:double"&gt;0.524242424242424&lt;/D&gt;&lt;D xsi:type="xsd:double"&gt;0.527272727272727&lt;/D&gt;&lt;D xsi:type="xsd:double"&gt;0.529051987767584&lt;/D&gt;&lt;D xsi:type="xsd:double"&gt;0.533333333333333&lt;/D&gt;&lt;D xsi:type="xsd:double"&gt;0.545454545454545&lt;/D&gt;&lt;D xsi:type="xsd:double"&gt;0.569767441860465&lt;/D&gt;&lt;D xsi:type="xsd:double"&gt;0.57183908045977&lt;/D&gt;&lt;D xsi:type="xsd:double"&gt;0.58600583090379&lt;/D&gt;&lt;D xsi:type="xsd:double"&gt;0.586206896551724&lt;/D&gt;&lt;D xsi:type="xsd:double"&gt;0.587896253602305&lt;/D&gt;&lt;D xsi:type="xsd:double"&gt;0.597911227154047&lt;/D&gt;&lt;D xsi:type="xsd:double"&gt;0.585677749360614&lt;/D&gt;&lt;D xsi:type="xsd:double"&gt;0.595588235294118&lt;/D&gt;&lt;D xsi:type="xsd:double"&gt;0.598503740648379&lt;/D&gt;&lt;D xsi:type="xsd:double"&gt;0.602015113350126&lt;/D&gt;&lt;D xsi:type="xsd:double"&gt;0.618721461187215&lt;/D&gt;&lt;D xsi:type="xsd:double"&gt;0.623873873873874&lt;/D&gt;&lt;D xsi:type="xsd:double"&gt;0.623024830699774&lt;/D&gt;&lt;D xsi:type="xsd:double"&gt;0.625&lt;/D&gt;&lt;D xsi:type="xsd:double"&gt;0.629385964912281&lt;/D&gt;&lt;D xsi:type="xsd:double"&gt;0.628571428571429&lt;/D&gt;&lt;D xsi:type="xsd:double"&gt;0.62882096069869&lt;/D&gt;&lt;D xsi:type="xsd:double"&gt;0.62800875273523&lt;/D&gt;&lt;D xsi:type="xsd:double"&gt;0.62800875273523&lt;/D&gt;&lt;D xsi:type="xsd:double"&gt;0.617710583153348&lt;/D&gt;&lt;D xsi:type="xsd:double"&gt;0.610869565217391&lt;/D&gt;&lt;D xsi:type="xsd:double"&gt;0.605664488017429&lt;/D&gt;&lt;D xsi:type="xsd:double"&gt;0.597802197802198&lt;/D&gt;&lt;D xsi:type="xsd:double"&gt;0.583518930957684&lt;/D&gt;&lt;D xsi:type="xsd:double"&gt;0.563876651982379&lt;/D&gt;&lt;D xsi:type="xsd:double"&gt;0.530066815144766&lt;/D&gt;&lt;D xsi:type="xsd:double"&gt;0.502272727272727&lt;/D&gt;&lt;D xsi:type="xsd:double"&gt;0.493023255813954&lt;/D&gt;&lt;D xsi:type="xsd:double"&gt;0.470449172576832&lt;/D&gt;&lt;D xsi:type="xsd:double"&gt;0.476851851851852&lt;/D&gt;&lt;D xsi:type="xsd:double"&gt;0.457547169811321&lt;/D&gt;&lt;D xsi:type="xsd:double"&gt;0.432367149758454&lt;/D&gt;&lt;D xsi:type="xsd:double"&gt;0.41421568627451&lt;/D&gt;&lt;D xsi:type="xsd:double"&gt;0.401002506265664&lt;/D&gt;&lt;D xsi:type="xsd:double"&gt;0.404522613065327&lt;/D&gt;&lt;D xsi:type="xsd:double"&gt;0.411167512690355&lt;/D&gt;&lt;D xsi:type="xsd:double"&gt;0.402564102564103&lt;/D&gt;&lt;D xsi:type="xsd:double"&gt;0.39686684073107&lt;/D&gt;&lt;D xsi:type="xsd:double"&gt;0.393617021276596&lt;/D&gt;&lt;D xsi:type="xsd:double"&gt;0.393530997304582&lt;/D&gt;&lt;D xsi:type="xsd:double"&gt;0.404891304347826&lt;/D&gt;&lt;D xsi:type="xsd:double"&gt;0.405994550408719&lt;/D&gt;&lt;D xsi:type="xsd:double"&gt;0.415730337078652&lt;/D&gt;&lt;D xsi:type="xsd:double"&gt;0.425287356321839&lt;/D&gt;&lt;D xsi:type="xsd:double"&gt;0.449152542372881&lt;/D&gt;&lt;D xsi:type="xsd:double"&gt;0.448571428571429&lt;/D&gt;&lt;D xsi:type="xsd:double"&gt;0.454022988505747&lt;/D&gt;&lt;D xsi:type="xsd:double"&gt;0.442196531791907&lt;/D&gt;&lt;D xsi:type="xsd:double"&gt;0.464071856287425&lt;/D&gt;&lt;D xsi:type="xsd:double"&gt;0.476331360946746&lt;/D&gt;&lt;D xsi:type="xsd:double"&gt;0.48780487804878&lt;/D&gt;&lt;D xsi:type="xsd:double"&gt;0.48948948948949&lt;/D&gt;&lt;D xsi:type="xsd:double"&gt;0.493939393939394&lt;/D&gt;&lt;D xsi:type="xsd:double"&gt;0.490853658536585&lt;/D&gt;&lt;D xsi:type="xsd:double"&gt;0.518181818181818&lt;/D&gt;&lt;D xsi:type="xsd:double"&gt;0.508982035928144&lt;/D&gt;&lt;D xsi:type="xsd:double"&gt;0.513353115727003&lt;/D&gt;&lt;D xsi:type="xsd:double"&gt;0.516417910447761&lt;/D&gt;&lt;D xsi:type="xsd:double"&gt;0.516516516516517&lt;/D&gt;&lt;D xsi:type="xsd:double"&gt;0.519402985074627&lt;/D&gt;&lt;D xsi:type="xsd:double"&gt;0.54434250764526&lt;/D&gt;&lt;D xsi:type="xsd:double"&gt;0.544615384615385&lt;/D&gt;&lt;D xsi:type="xsd:double"&gt;0.544303797468354&lt;/D&gt;&lt;D xsi:type="xsd:double"&gt;0.542207792207792&lt;/D&gt;&lt;D xsi:type="xsd:double"&gt;0.540298507462687&lt;/D&gt;&lt;D xsi:type="xsd:double"&gt;0.540540540540541&lt;/D&gt;&lt;D xsi:type="xsd:double"&gt;0.551428571428571&lt;/D&gt;&lt;D xsi:type="xsd:double"&gt;0.557471264367816&lt;/D&gt;&lt;D xsi:type="xsd:double"&gt;0.564432989690722&lt;/D&gt;&lt;D xsi:type="xsd:double"&gt;0.579081632653061&lt;/D&gt;&lt;D xsi:type="xsd:double"&gt;0.588972431077694&lt;/D&gt;&lt;D xsi:type="xsd:double"&gt;0.592875318066158&lt;/D&gt;&lt;D xsi:type="xsd:double"&gt;0.589285714285714&lt;/D&gt;&lt;D xsi:type="xsd:double"&gt;0.609977324263039&lt;/D&gt;&lt;D xsi:type="xsd:double"&gt;0.600886917960089&lt;/D&gt;&lt;D xsi:type="xsd:double"&gt;0.607142857142857&lt;/D&gt;&lt;D xsi:type="xsd:double"&gt;0.610738255033557&lt;/D&gt;&lt;D xsi:type="xsd:double"&gt;0.609480812641084&lt;/D&gt;&lt;D xsi:type="xsd:double"&gt;0.612691466083151&lt;/D&gt;&lt;D xsi:type="xsd:double"&gt;0.609170305676856&lt;/D&gt;&lt;D xsi:type="xsd:double"&gt;0.607456140350877&lt;/D&gt;&lt;D xsi:type="xsd:double"&gt;0.608315098468271&lt;/D&gt;&lt;D xsi:type="xsd:double"&gt;0.605263157894737&lt;/D&gt;&lt;D xsi:type="xsd:double"&gt;0.603896103896104&lt;/D&gt;&lt;D xsi:type="xsd:double"&gt;0.596949891067538&lt;/D&gt;&lt;D xsi:type="xsd:double"&gt;0.596949891067538&lt;/D&gt;&lt;D xsi:type="xsd:double"&gt;0.593406593406593&lt;/D&gt;&lt;D xsi:type="xsd:double"&gt;0.584070796460177&lt;/D&gt;&lt;D xsi:type="xsd:double"&gt;0.576158940397351&lt;/D&gt;&lt;D xsi:type="xsd:double"&gt;0.574610244988864&lt;/D&gt;&lt;D xsi:type="xsd:double"&gt;0.559819413092551&lt;/D&gt;&lt;D xsi:type="xsd:double"&gt;0.542141230068337&lt;/D&gt;&lt;D xsi:type="xsd:double"&gt;0.527777777777778&lt;/D&gt;&lt;D xsi:type="xsd:double"&gt;0.53810623556582&lt;/D&gt;&lt;D xsi:type="xsd:double"&gt;0.515294117647059&lt;/D&gt;&lt;D xsi:type="xsd:double"&gt;0.503614457831325&lt;/D&gt;&lt;D xsi:type="xsd:double"&gt;0.490243902439024&lt;/D&gt;&lt;D xsi:type="xsd:double"&gt;0.480295566502463&lt;/D&gt;&lt;D xsi:type="xsd:double"&gt;0.472019464720195&lt;/D&gt;&lt;D xsi:type="xsd:double"&gt;0.470443349753695&lt;/D&gt;&lt;D xsi:type="xsd:double"&gt;0.478908188585608&lt;/D&gt;&lt;D xsi:type="xsd:double"&gt;0.473417721518987&lt;/D&gt;&lt;D xsi:type="xsd:double"&gt;0.462337662337662&lt;/D&gt;&lt;D xsi:type="xsd:double"&gt;0.468586387434555&lt;/D&gt;&lt;D xsi:type="xsd:double"&gt;0.450549450549451&lt;/D&gt;&lt;D xsi:type="xsd:double"&gt;0.446866485013624&lt;/D&gt;&lt;D xsi:type="xsd:double"&gt;0.453551912568306&lt;/D&gt;&lt;D xsi:type="xsd:double"&gt;0.462603878116344&lt;/D&gt;&lt;D xsi:type="xsd:double"&gt;0.483050847457627&lt;/D&gt;&lt;D xsi:type="xsd:double"&gt;0.491428571428571&lt;/D&gt;&lt;D xsi:type="xsd:double"&gt;0.502923976608187&lt;/D&gt;&lt;D xsi:type="xsd:double"&gt;0.487031700288184&lt;/D&gt;&lt;D xsi:type="xsd:double"&gt;0.482954545454545&lt;/D&gt;&lt;D xsi:type="xsd:double"&gt;0.478753541076487&lt;/D&gt;&lt;D xsi:type="xsd:double"&gt;0.488636363636364&lt;/D&gt;&lt;D xsi:type="xsd:double"&gt;0.498559077809798&lt;/D&gt;&lt;D xsi:type="xsd:double"&gt;0.494047619047619&lt;/D&gt;&lt;D xsi:type="xsd:double"&gt;0.495601173020528&lt;/D&gt;&lt;D xsi:type="xsd:double"&gt;0.511764705882353&lt;/D&gt;&lt;D xsi:type="xsd:double"&gt;0.507374631268437&lt;/D&gt;&lt;D xsi:type="xsd:double"&gt;0.502994011976048&lt;/D&gt;&lt;D xsi:type="xsd:double"&gt;0.5&lt;/D&gt;&lt;D xsi:type="xsd:double"&gt;0.510086455331412&lt;/D&gt;&lt;D xsi:type="xsd:double"&gt;0.54&lt;/D&gt;&lt;D xsi:type="xsd:double"&gt;0.538011695906433&lt;/D&gt;&lt;D xsi:type="xsd:double"&gt;0.552147239263804&lt;/D&gt;&lt;D xsi:type="xsd:double"&gt;0.543909348441926&lt;/D&gt;&lt;D xsi:type="xsd:double"&gt;0.551428571428571&lt;/D&gt;&lt;D xsi:type="xsd:double"&gt;0.549019607843137&lt;/D&gt;&lt;D xsi:type="xsd:double"&gt;0.551136363636364&lt;/D&gt;&lt;D xsi:type="xsd:double"&gt;0.553977272727273&lt;/D&gt;&lt;D xsi:type="xsd:double"&gt;0.568922305764411&lt;/D&gt;&lt;D xsi:type="xsd:double"&gt;0.574257425742574&lt;/D&gt;&lt;D xsi:type="xsd:double"&gt;0.580246913580247&lt;/D&gt;&lt;D xsi:type="xsd:double"&gt;0.58&lt;/D&gt;&lt;D xsi:type="xsd:double"&gt;0.601830663615561&lt;/D&gt;&lt;D xsi:type="xsd:double"&gt;0.603174603174603&lt;/D&gt;&lt;D xsi:type="xsd:double"&gt;0.604966139954853&lt;/D&gt;&lt;D xsi:type="xsd:double"&gt;0.597315436241611&lt;/D&gt;&lt;D xsi:type="xsd:double"&gt;0.598654708520179&lt;/D&gt;&lt;D xsi:type="xsd:double"&gt;0.586206896551724&lt;/D&gt;&lt;D xsi:type="xsd:double"&gt;0.584221748400853&lt;/D&gt;&lt;D xsi:type="xsd:double"&gt;0.587096774193548&lt;/D&gt;&lt;D xsi:type="xsd:double"&gt;0.587982832618026&lt;/D&gt;&lt;D xsi:type="xsd:double"&gt;0.584051724137931&lt;/D&gt;&lt;D xsi:type="xsd:double"&gt;0.567685589519651&lt;/D&gt;&lt;D xsi:type="xsd:double"&gt;0.561946902654867&lt;/D&gt;&lt;D xsi:type="xsd:double"&gt;0.559734513274336&lt;/D&gt;&lt;D xsi:type="xsd:double"&gt;0.545253863134658&lt;/D&gt;&lt;D xsi:type="xsd:double"&gt;0.54&lt;/D&gt;&lt;D xsi:type="xsd:double"&gt;0.547085201793722&lt;/D&gt;&lt;D xsi:type="xsd:double"&gt;0.532879818594104&lt;/D&gt;&lt;D xsi:type="xsd:double"&gt;0.513888888888889&lt;/D&gt;&lt;D xsi:type="xsd:double"&gt;0.505800464037123&lt;/D&gt;&lt;D xsi:type="xsd:double"&gt;0.492924528301887&lt;/D&gt;&lt;D xsi:type="xsd:double"&gt;0.5&lt;/D&gt;&lt;D xsi:type="xsd:double"&gt;0.484705882352941&lt;/D&gt;&lt;D xsi:type="xsd:double"&gt;0.439320388349515&lt;/D&gt;&lt;D xsi:type="xsd:double"&gt;0.420792079207921&lt;/D&gt;&lt;D xsi:type="xsd:double"&gt;0.419191919191919&lt;/D&gt;&lt;D xsi:type="xsd:double"&gt;0.43&lt;/D&gt;&lt;D xsi:type="xsd:double"&gt;0.426020408163265&lt;/D&gt;&lt;D xsi:type="xsd:double"&gt;0.420779220779221&lt;/D&gt;&lt;D xsi:type="xsd:double"&gt;0.402631578947368&lt;/D&gt;&lt;D xsi:type="xsd:double"&gt;0.39142091152815&lt;/D&gt;&lt;D xsi:type="xsd:double"&gt;0.393700787401575&lt;/D&gt;&lt;D xsi:type="xsd:double"&gt;0.402666666666667&lt;/D&gt;&lt;D xsi:type="xsd:double"&gt;0.390835579514825&lt;/D&gt;&lt;D xsi:type="xsd:double"&gt;0.406593406593407&lt;/D&gt;&lt;D xsi:type="xsd:double"&gt;0.417366946778712&lt;/D&gt;&lt;D xsi:type="xsd:double"&gt;0.425770308123249&lt;/D&gt;&lt;D xsi:type="xsd:double"&gt;0.427777777777778&lt;/D&gt;&lt;D xsi:type="xsd:double"&gt;0.440579710144928&lt;/D&gt;&lt;D xsi:type="xsd:double"&gt;0.454545454545455&lt;/D&gt;&lt;D xsi:type="xsd:double"&gt;0.460869565217391&lt;/D&gt;&lt;D xsi:type="xsd:double"&gt;0.457227138643068&lt;/D&gt;&lt;D xsi:type="xsd:double"&gt;0.452380952380952&lt;/D&gt;&lt;D xsi:type="xsd:double"&gt;0.449848024316109&lt;/D&gt;&lt;D xsi:type="xsd:double"&gt;0.449101796407186&lt;/D&gt;&lt;D xsi:type="xsd:double"&gt;0.454545454545455&lt;/D&gt;&lt;D xsi:type="xsd:double"&gt;0.480712166172107&lt;/D&gt;&lt;D xsi:type="xsd:double"&gt;0.450746268656716&lt;/D&gt;&lt;D xsi:type="xsd:double"&gt;0.449275362318841&lt;/D&gt;&lt;D xsi:type="xsd:double"&gt;0.46242774566474&lt;/D&gt;&lt;D xsi:type="xsd:double"&gt;0.468208092485549&lt;/D&gt;&lt;D xsi:type="xsd:double"&gt;0.467605633802817&lt;/D&gt;&lt;D xsi:type="xsd:double"&gt;0.463888888888889&lt;/D&gt;&lt;D xsi:type="xsd:double"&gt;0.465753424657534&lt;/D&gt;&lt;D xsi:type="xsd:double"&gt;0.456284153005464&lt;/D&gt;&lt;D xsi:type="xsd:double"&gt;0.461538461538462&lt;/D&gt;&lt;D xsi:type="xsd:double"&gt;0.438172043010753&lt;/D&gt;&lt;D xsi:type="xsd:double"&gt;0.438502673796791&lt;/D&gt;&lt;D xsi:type="xsd:double"&gt;0.427440633245383&lt;/D&gt;&lt;D xsi:type="xsd:double"&gt;0.424552429667519&lt;/D&gt;&lt;D xsi:type="xsd:double"&gt;0.42997542997543&lt;/D&gt;&lt;D xsi:type="xsd:double"&gt;0.413875598086124&lt;/D&gt;&lt;D xsi:type="xsd:double"&gt;0.430260047281324&lt;/D&gt;&lt;D xsi:type="xsd:double"&gt;0.681818181818182&lt;/D&gt;&lt;D xsi:type="xsd:double"&gt;0.689458689458689&lt;/D&gt;&lt;D xsi:type="xsd:double"&gt;0.686131386861314&lt;/D&gt;&lt;D xsi:type="xsd:double"&gt;0.684085510688836&lt;/D&gt;&lt;D xsi:type="xsd:double"&gt;0.675480769230769&lt;/D&gt;&lt;D xsi:type="xsd:double"&gt;0.67156862745098&lt;/D&gt;&lt;D xsi:type="xsd:double"&gt;0.650943396226415&lt;/D&gt;&lt;D xsi:type="xsd:double"&gt;0.634433962264151&lt;/D&gt;&lt;D xsi:type="xsd:double"&gt;0.611111111111111&lt;/D&gt;&lt;D xsi:type="xsd:double"&gt;0.60774818401937&lt;/D&gt;&lt;D xsi:type="xsd:double"&gt;0.599022004889976&lt;/D&gt;&lt;D xsi:type="xsd:double"&gt;0.598591549295775&lt;/D&gt;&lt;D xsi:type="xsd:double"&gt;0.592417061611374&lt;/D&gt;&lt;D xsi:type="xsd:double"&gt;0.577294685990338&lt;/D&gt;&lt;D xsi:type="xsd:double"&gt;0.558024691358025&lt;/D&gt;&lt;D xsi:type="xsd:double"&gt;0.546134663341646&lt;/D&gt;&lt;D xsi:type="xsd:double"&gt;0.535626535626536&lt;/D&gt;&lt;D xsi:type="xsd:double"&gt;0.528117359413203&lt;/D&gt;&lt;D xsi:type="xsd:double"&gt;0.5125&lt;/D&gt;&lt;D xsi:type="xsd:double"&gt;0.508905852417303&lt;/D&gt;&lt;D xsi:type="xsd:double"&gt;0.478835978835979&lt;/D&gt;&lt;D xsi:type="xsd:double"&gt;0.48936170212766&lt;/D&gt;&lt;D xsi:type="xsd:double"&gt;0.493297587131367&lt;/D&gt;&lt;D xsi:type="xsd:double"&gt;0.472375690607735&lt;/D&gt;&lt;D xsi:type="xsd:double"&gt;0.472067039106145&lt;/D&gt;&lt;D xsi:type="xsd:double"&gt;0.466666666666667&lt;/D&gt;&lt;D xsi:type="xsd:double"&gt;0.469101123595506&lt;/D&gt;&lt;D xsi:type="xsd:double"&gt;0.451149425287356&lt;/D&gt;&lt;D xsi:type="xsd:double"&gt;0.450581395348837&lt;/D&gt;&lt;D xsi:type="xsd:double"&gt;0.430722891566265&lt;/D&gt;&lt;D xsi:type="xsd:double"&gt;0.428125&lt;/D&gt;&lt;D xsi:type="xsd:double"&gt;0.43312101910828&lt;/D&gt;&lt;D xsi:type="xsd:double"&gt;0.434920634920635&lt;/D&gt;&lt;D xsi:type="xsd:double"&gt;0.428104575163399&lt;/D&gt;&lt;D xsi:type="xsd:double"&gt;0.443333333333333&lt;/D&gt;&lt;D xsi:type="xsd:double"&gt;0.466666666666667&lt;/D&gt;&lt;D xsi:type="xsd:double"&gt;0.46843853820598&lt;/D&gt;&lt;D xsi:type="xsd:double"&gt;0.485049833887043&lt;/D&gt;&lt;D xsi:type="xsd:double"&gt;0.483221476510067&lt;/D&gt;&lt;D xsi:type="xsd:double"&gt;0.470383275261324&lt;/D&gt;&lt;D xsi:type="xsd:double"&gt;0.470383275261324&lt;/D&gt;&lt;D xsi:type="xsd:double"&gt;0.482758620689655&lt;/D&gt;&lt;D xsi:type="xsd:double"&gt;0.479452054794521&lt;/D&gt;&lt;D xsi:type="xsd:double"&gt;0.491582491582492&lt;/D&gt;&lt;D xsi:type="xsd:double"&gt;0.491582491582492&lt;/D&gt;&lt;D xsi:type="xsd:double"&gt;0.496688741721854&lt;/D&gt;&lt;D xsi:type="xsd:double"&gt;0.487012987012987&lt;/D&gt;&lt;D xsi:type="xsd:double"&gt;0.491749174917492&lt;/D&gt;&lt;D xsi:type="xsd:double"&gt;0.5&lt;/D&gt;&lt;D xsi:type="xsd:double"&gt;0.506410256410256&lt;/D&gt;&lt;D xsi:type="xsd:double"&gt;0.516025641025641&lt;/D&gt;&lt;D xsi:type="xsd:double"&gt;0.5125&lt;/D&gt;&lt;D xsi:type="xsd:double"&gt;0.515923566878981&lt;/D&gt;&lt;D xsi:type="xsd:double"&gt;0.518987341772152&lt;/D&gt;&lt;D xsi:type="xsd:double"&gt;0.518292682926829&lt;/D&gt;&lt;D xsi:type="xsd:double"&gt;0.513846153846154&lt;/D&gt;&lt;D xsi:type="xsd:double"&gt;0.526645768025078&lt;/D&gt;&lt;D xsi:type="xsd:double"&gt;0.525&lt;/D&gt;&lt;D xsi:type="xsd:double"&gt;0.512893982808023&lt;/D&gt;&lt;D xsi:type="xsd:double"&gt;0.515406162464986&lt;/D&gt;&lt;D xsi:type="xsd:double"&gt;0.498644986449864&lt;/D&gt;&lt;D xsi:type="xsd:double"&gt;0.504&lt;/D&gt;&lt;D xsi:type="xsd:double"&gt;0.510695187165775&lt;/D&gt;&lt;D xsi:type="xsd:double"&gt;0.521028037383178&lt;/D&gt;&lt;D xsi:type="xsd:double"&gt;0.521939953810624&lt;/D&gt;&lt;D xsi:type="xsd:double"&gt;0.519721577726218&lt;/D&gt;&lt;D xsi:type="xsd:double"&gt;0.517482517482518&lt;/D&gt;&lt;D xsi:type="xsd:double"&gt;0.519911504424779&lt;/D&gt;&lt;D xsi:type="xsd:double"&gt;0.504504504504504&lt;/D&gt;&lt;D xsi:type="xsd:double"&gt;0.495515695067265&lt;/D&gt;&lt;D xsi:type="xsd:double"&gt;0.490950226244344&lt;/D&gt;&lt;D xsi:type="xsd:double"&gt;0.489749430523918&lt;/D&gt;&lt;D xsi:type="xsd:double"&gt;0.480898876404494&lt;/D&gt;&lt;D xsi:type="xsd:double"&gt;0.475446428571429&lt;/D&gt;&lt;D xsi:type="xsd:double"&gt;0.456375838926175&lt;/D&gt;&lt;D xsi:type="xsd:double"&gt;0.457399103139013&lt;/D&gt;&lt;D xsi:type="xsd:double"&gt;0.453932584269663&lt;/D&gt;&lt;D xsi:type="xsd:double"&gt;0.44273127753304&lt;/D&gt;&lt;D xsi:type="xsd:double"&gt;0.42152466367713&lt;/D&gt;&lt;D xsi:type="xsd:double"&gt;0.40990990990991&lt;/D&gt;&lt;D xsi:type="xsd:double"&gt;0.394977168949772&lt;/D&gt;&lt;D xsi:type="xsd:double"&gt;0.37962962962963&lt;/D&gt;&lt;D xsi:type="xsd:double"&gt;0.364896073903002&lt;/D&gt;&lt;D xsi:type="xsd:double"&gt;0.36104513064133&lt;/D&gt;&lt;D xsi:type="xsd:double"&gt;0.339759036144578&lt;/D&gt;&lt;D xsi:type="xsd:double"&gt;0.308641975308642&lt;/D&gt;&lt;D xsi:type="xsd:double"&gt;0.283582089552239&lt;/D&gt;&lt;D xsi:type="xsd:double"&gt;0.292079207920792&lt;/D&gt;&lt;D xsi:type="xsd:double"&gt;0.28030303030303&lt;/D&gt;&lt;D xsi:type="xsd:double"&gt;0.271317829457364&lt;/D&gt;&lt;D xsi:type="xsd:double"&gt;0.265984654731458&lt;/D&gt;&lt;D xsi:type="xsd:double"&gt;0.264397905759162&lt;/D&gt;&lt;D xsi:type="xsd:double"&gt;0.257731958762887&lt;/D&gt;&lt;D xsi:type="xsd:double"&gt;0.246684350132626&lt;/D&gt;&lt;D xsi:type="xsd:double"&gt;0.255376344086022&lt;/D&gt;&lt;D xsi:type="xsd:double"&gt;0.277628032345013&lt;/D&gt;&lt;D xsi:type="xsd:double"&gt;0.289617486338798&lt;/D&gt;&lt;D xsi:type="xsd:double"&gt;0.310734463276836&lt;/D&gt;&lt;D xsi:type="xsd:double"&gt;0.352238805970149&lt;/D&gt;&lt;D xsi:type="xsd:double"&gt;0.36280487804878&lt;/D&gt;&lt;D xsi:type="xsd:double"&gt;0.369230769230769&lt;/D&gt;&lt;D xsi:type="xsd:double"&gt;0.38125&lt;/D&gt;&lt;D xsi:type="xsd:double"&gt;0.391304347826087&lt;/D&gt;&lt;D xsi:type="xsd:double"&gt;0.442367601246106&lt;/D&gt;&lt;D xsi:type="xsd:double"&gt;0.437299035369775&lt;/D&gt;&lt;D xsi:type="xsd:double"&gt;0.441860465116279&lt;/D&gt;&lt;D xsi:type="xsd:double"&gt;0.446735395189003&lt;/D&gt;&lt;D xsi:type="xsd:double"&gt;0.474916387959866&lt;/D&gt;&lt;D xsi:type="xsd:double"&gt;0.481727574750831&lt;/D&gt;&lt;D xsi:type="xsd:double"&gt;0.493377483443709&lt;/D&gt;&lt;D xsi:type="xsd:double"&gt;0.489864864864865&lt;/D&gt;&lt;D xsi:type="xsd:double"&gt;0.486301369863014&lt;/D&gt;&lt;D xsi:type="xsd:double"&gt;0.521035598705502&lt;/D&gt;&lt;D xsi:type="xsd:double"&gt;0.53525641025641&lt;/D&gt;&lt;D xsi:type="xsd:double"&gt;0.546623794212219&lt;/D&gt;&lt;D xsi:type="xsd:double"&gt;0.53921568627451&lt;/D&gt;&lt;D xsi:type="xsd:double"&gt;0.534883720930233&lt;/D&gt;&lt;D xsi:type="xsd:double"&gt;0.560606060606061&lt;/D&gt;&lt;D xsi:type="xsd:double"&gt;0.574018126888218&lt;/D&gt;&lt;D xsi:type="xsd:double"&gt;0.586309523809524&lt;/D&gt;&lt;D xsi:type="xsd:double"&gt;0.576576576576577&lt;/D&gt;&lt;D xsi:type="xsd:double"&gt;0.590909090909091&lt;/D&gt;&lt;D xsi:type="xsd:double"&gt;0.575129533678757&lt;/D&gt;&lt;D xsi:type="xsd:double"&gt;0.589285714285714&lt;/D&gt;&lt;D xsi:type="xsd:double"&gt;0.58974358974359&lt;/D&gt;&lt;D xsi:type="xsd:double"&gt;0.5859375&lt;/D&gt;&lt;D xsi:type="xsd:double"&gt;0.576112412177986&lt;/D&gt;&lt;D xsi:type="xsd:double"&gt;0.570114942528736&lt;/D&gt;&lt;D xsi:type="xsd:double"&gt;0.56221198156682&lt;/D&gt;&lt;D xsi:type="xsd:double"&gt;0.560919540229885&lt;/D&gt;&lt;D xsi:type="xsd:double"&gt;0.555035128805621&lt;/D&gt;&lt;D xsi:type="xsd:double"&gt;0.548098434004474&lt;/D&gt;&lt;D xsi:type="xsd:double"&gt;0.532150776053215&lt;/D&gt;&lt;D xsi:type="xsd:double"&gt;0.519736842105263&lt;/D&gt;&lt;D xsi:type="xsd:double"&gt;0.512087912087912&lt;/D&gt;&lt;D xsi:type="xsd:double"&gt;0.509933774834437&lt;/D&gt;&lt;D xsi:type="xsd:double"&gt;0.485838779956427&lt;/D&gt;&lt;D xsi:type="xsd:double"&gt;0.48695652173913&lt;/D&gt;&lt;D xsi:type="xsd:double"&gt;0.468950749464668&lt;/D&gt;&lt;D xsi:type="xsd:double"&gt;0.468817204301075&lt;/D&gt;&lt;D xsi:type="xsd:double"&gt;0.463203463203463&lt;/D&gt;&lt;D xsi:type="xsd:double"&gt;0.45021645021645&lt;/D&gt;&lt;D xsi:type="xsd:double"&gt;0.445414847161572&lt;/D&gt;&lt;D xsi:type="xsd:double"&gt;0.436241610738255&lt;/D&gt;&lt;D xsi:type="xsd:double"&gt;0.416666666666667&lt;/D&gt;&lt;D xsi:type="xsd:double"&gt;0.399092970521542&lt;/D&gt;&lt;D xsi:type="xsd:double"&gt;0.380090497737557&lt;/D&gt;&lt;D xsi:type="xsd:double"&gt;0.369020501138952&lt;/D&gt;&lt;D xsi:type="xsd:double"&gt;0.352803738317757&lt;/D&gt;&lt;D xsi:type="xsd:double"&gt;0.322274881516588&lt;/D&gt;&lt;D xsi:type="xsd:double"&gt;0.302158273381295&lt;/D&gt;&lt;D xsi:type="xsd:double"&gt;0.306413301662708&lt;/D&gt;&lt;D xsi:type="xsd:double"&gt;0.301435406698565&lt;/D&gt;&lt;D xsi:type="xsd:double"&gt;0.289855072463768&lt;/D&gt;&lt;D xsi:type="xsd:double"&gt;0.309927360774818&lt;/D&gt;&lt;D xsi:type="xsd:double"&gt;0.298994974874372&lt;/D&gt;&lt;D xsi:type="xsd:double"&gt;0.293233082706767&lt;/D&gt;&lt;D xsi:type="xsd:double"&gt;0.312020460358056&lt;/D&gt;&lt;D xsi:type="xsd:double"&gt;0.297709923664122&lt;/D&gt;&lt;D xsi:type="xsd:double"&gt;0.305263157894737&lt;/D&gt;&lt;D xsi:type="xsd:double"&gt;0.300531914893617&lt;/D&gt;&lt;D xsi:type="xsd:double"&gt;0.30939226519337&lt;/D&gt;&lt;D xsi:type="xsd:double"&gt;0.328611898016997&lt;/D&gt;&lt;D xsi:type="xsd:double"&gt;0.34593023255814&lt;/D&gt;&lt;D xsi:type="xsd:double"&gt;0.36036036036036&lt;/D&gt;&lt;D xsi:type="xsd:double"&gt;0.391812865497076&lt;/D&gt;&lt;D xsi:type="xsd:double"&gt;0.420749279538905&lt;/D&gt;&lt;D xsi:type="xsd:double"&gt;0.42816091954023&lt;/D&gt;&lt;D xsi:type="xsd:double"&gt;0.451327433628319&lt;/D&gt;&lt;D xsi:type="xsd:double"&gt;0.462462462462462&lt;/D&gt;&lt;D xsi:type="xsd:double"&gt;0.488165680473373&lt;/D&gt;&lt;D xsi:type="xsd:double"&gt;0.492401215805471&lt;/D&gt;&lt;D xsi:type="xsd:double"&gt;0.489425981873112&lt;/D&gt;&lt;D xsi:type="xsd:double"&gt;0.498452012383901&lt;/D&gt;&lt;D xsi:type="xsd:double"&gt;0.518292682926829&lt;/D&gt;&lt;D xsi:type="xsd:double"&gt;0.510574018126888&lt;/D&gt;&lt;D xsi:type="xsd:double"&gt;0.510574018126888&lt;/D&gt;&lt;D xsi:type="xsd:double"&gt;0.509316770186335&lt;/D&gt;&lt;D xsi:type="xsd:double"&gt;0.506211180124224&lt;/D&gt;&lt;D xsi:type="xsd:double"&gt;0.505714285714286&lt;/D&gt;&lt;D xsi:type="xsd:double"&gt;0.515580736543909&lt;/D&gt;&lt;D xsi:type="xsd:double"&gt;0.539106145251397&lt;/D&gt;&lt;D xsi:type="xsd:double"&gt;0.535612535612536&lt;/D&gt;&lt;D xsi:type="xsd:double"&gt;0.534682080924855&lt;/D&gt;&lt;D xsi:type="xsd:double"&gt;0.55440414507772&lt;/D&gt;&lt;D xsi:type="xsd:double"&gt;0.571788413098237&lt;/D&gt;&lt;D xsi:type="xsd:double"&gt;0.564356435643564&lt;/D&gt;&lt;D xsi:type="xsd:double"&gt;0.5625&lt;/D&gt;&lt;D xsi:type="xsd:double"&gt;0.61520190023753&lt;/D&gt;&lt;D xsi:type="xsd:double"&gt;0.635730858468677&lt;/D&gt;&lt;D xsi:type="xsd:double"&gt;0.6289592760181&lt;/D&gt;&lt;D xsi:type="xsd:double"&gt;0.63431151241535&lt;/D&gt;&lt;D xsi:type="xsd:double"&gt;0.635535307517084&lt;/D&gt;&lt;D xsi:type="xsd:double"&gt;0.64&lt;/D&gt;&lt;D xsi:type="xsd:double"&gt;0.630044843049327&lt;/D&gt;&lt;D xsi:type="xsd:double"&gt;0.636363636363636&lt;/D&gt;&lt;D xsi:type="xsd:double"&gt;0.63956043956044&lt;/D&gt;&lt;D xsi:type="xsd:double"&gt;0.642384105960265&lt;/D&gt;&lt;D xsi:type="xsd:double"&gt;0.634955752212389&lt;/D&gt;&lt;D xsi:type="xsd:double"&gt;0.629464285714286&lt;/D&gt;&lt;D xsi:type="xsd:double"&gt;0.630872483221476&lt;/D&gt;&lt;D xsi:type="xsd:double"&gt;0.624444444444444&lt;/D&gt;&lt;D xsi:type="xsd:double"&gt;0.618834080717489&lt;/D&gt;&lt;D xsi:type="xsd:double"&gt;0.604444444444444&lt;/D&gt;&lt;D xsi:type="xsd:double"&gt;0.595454545454545&lt;/D&gt;&lt;D xsi:type="xsd:double"&gt;0.593533487297921&lt;/D&gt;&lt;D xsi:type="xsd:double"&gt;0.560747663551402&lt;/D&gt;&lt;D xsi:type="xsd:double"&gt;0.556603773584906&lt;/D&gt;&lt;D xsi:type="xsd:double"&gt;0.532407407407407&lt;/D&gt;&lt;D xsi:type="xsd:double"&gt;0.52&lt;/D&gt;&lt;D xsi:type="xsd:double"&gt;0.473429951690821&lt;/D&gt;&lt;D xsi:type="xsd:double"&gt;0.444717444717445&lt;/D&gt;&lt;D xsi:type="xsd:double"&gt;0.4325&lt;/D&gt;&lt;D xsi:type="xsd:double"&gt;0.413965087281795&lt;/D&gt;&lt;D xsi:type="xsd:double"&gt;0.442786069651741&lt;/D&gt;&lt;D xsi:type="xsd:double"&gt;0.428571428571429&lt;/D&gt;&lt;D xsi:type="xsd:double"&gt;0.424936386768448&lt;/D&gt;&lt;D xsi:type="xsd:double"&gt;0.421188630490956&lt;/D&gt;&lt;D xsi:type="xsd:double"&gt;0.394805194805195&lt;/D&gt;&lt;D xsi:type="xsd:double"&gt;0.390052356020942&lt;/D&gt;&lt;D xsi:type="xsd:double"&gt;0.393048128342246&lt;/D&gt;&lt;D xsi:type="xsd:double"&gt;0.392857142857143&lt;/D&gt;&lt;D xsi:type="xsd:double"&gt;0.397368421052632&lt;/D&gt;&lt;D xsi:type="xsd:double"&gt;0.413513513513514&lt;/D&gt;&lt;D xsi:type="xsd:double"&gt;0.422343324250681&lt;/D&gt;&lt;D xsi:type="xsd:double"&gt;0.418282548476454&lt;/D&gt;&lt;D xsi:type="xsd:double"&gt;0.421203438395415&lt;/D&gt;&lt;D xsi:type="xsd:double"&gt;0.418032786885246&lt;/D&gt;&lt;D xsi:type="xsd:double"&gt;0.433962264150943&lt;/D&gt;&lt;D xsi:type="xsd:double"&gt;0.445983379501385&lt;/D&gt;&lt;D xsi:type="xsd:double"&gt;0.435897435897436&lt;/D&gt;&lt;D xsi:type="xsd:double"&gt;0.424068767908309&lt;/D&gt;&lt;D xsi:type="xsd:double"&gt;0.430594900849858&lt;/D&gt;&lt;D xsi:type="xsd:double"&gt;0.434659090909091&lt;/D&gt;&lt;D xsi:type="xsd:double"&gt;0.464788732394366&lt;/D&gt;&lt;D xsi:type="xsd:double"&gt;0.472067039106145&lt;/D&gt;&lt;D xsi:type="xsd:double"&gt;0.48169014084507&lt;/D&gt;&lt;D xsi:type="xsd:double"&gt;0.484149855907781&lt;/D&gt;&lt;D xsi:type="xsd:double"&gt;0.502873563218391&lt;/D&gt;&lt;D xsi:type="xsd:double"&gt;0.486111111111111&lt;/D&gt;&lt;D xsi:type="xsd:double"&gt;0.502762430939227&lt;/D&gt;&lt;D xsi:type="xsd:double"&gt;0.508196721311475&lt;/D&gt;&lt;D xsi:type="xsd:double"&gt;0.517808219178082&lt;/D&gt;&lt;D xsi:type="xsd:double"&gt;0.539893617021277&lt;/D&gt;&lt;D xsi:type="xsd:double"&gt;0.54353562005277&lt;/D&gt;&lt;D xsi:type="xsd:double"&gt;0.541333333333333&lt;/D&gt;&lt;D xsi:type="xsd:double"&gt;0.542105263157895&lt;/D&gt;&lt;D xsi:type="xsd:double"&gt;0.541884816753927&lt;/D&gt;&lt;D xsi:type="xsd:double"&gt;0.566326530612245&lt;/D&gt;&lt;D xsi:type="xsd:double"&gt;0.579207920792079&lt;/D&gt;&lt;D xsi:type="xsd:double"&gt;0.579710144927536&lt;/D&gt;&lt;D xsi:type="xsd:dou</t>
        </r>
      </text>
    </comment>
    <comment ref="A37" authorId="0" shapeId="0" xr:uid="{7C4CCFA8-C828-4B02-8D87-E3D8229FBB67}">
      <text>
        <r>
          <rPr>
            <b/>
            <sz val="9"/>
            <color indexed="81"/>
            <rFont val="Tahoma"/>
            <charset val="1"/>
          </rPr>
          <t>ble"&gt;0.754545454545455&lt;/D&gt;&lt;D xsi:type="xsd:double"&gt;0.753117206982544&lt;/D&gt;&lt;D xsi:type="xsd:double"&gt;0.75615763546798&lt;/D&gt;&lt;D xsi:type="xsd:double"&gt;0.753180661577608&lt;/D&gt;&lt;D xsi:type="xsd:double"&gt;0.748051948051948&lt;/D&gt;&lt;D xsi:type="xsd:double"&gt;0.748792270531401&lt;/D&gt;&lt;D xsi:type="xsd:double"&gt;0.742788461538462&lt;/D&gt;&lt;D xsi:type="xsd:double"&gt;0.728179551122195&lt;/D&gt;&lt;D xsi:type="xsd:double"&gt;0.725190839694656&lt;/D&gt;&lt;D xsi:type="xsd:double"&gt;0.717616580310881&lt;/D&gt;&lt;D xsi:type="xsd:double"&gt;0.718592964824121&lt;/D&gt;&lt;D xsi:type="xsd:double"&gt;0.703324808184143&lt;/D&gt;&lt;D xsi:type="xsd:double"&gt;0.688144329896907&lt;/D&gt;&lt;D xsi:type="xsd:double"&gt;0.677083333333333&lt;/D&gt;&lt;D xsi:type="xsd:double"&gt;0.668435013262599&lt;/D&gt;&lt;D xsi:type="xsd:double"&gt;0.673521850899743&lt;/D&gt;&lt;D xsi:type="xsd:double"&gt;0.673469387755102&lt;/D&gt;&lt;D xsi:type="xsd:double"&gt;0.637795275590551&lt;/D&gt;&lt;D xsi:type="xsd:double"&gt;0.635869565217391&lt;/D&gt;&lt;D xsi:type="xsd:double"&gt;0.632596685082873&lt;/D&gt;&lt;D xsi:type="xsd:double"&gt;0.637640449438202&lt;/D&gt;&lt;D xsi:type="xsd:double"&gt;0.635057471264368&lt;/D&gt;&lt;D xsi:type="xsd:double"&gt;0.624633431085044&lt;/D&gt;&lt;D xsi:type="xsd:double"&gt;0.6&lt;/D&gt;&lt;D xsi:type="xsd:double"&gt;0.579268292682927&lt;/D&gt;&lt;D xsi:type="xsd:double"&gt;0.584097859327217&lt;/D&gt;&lt;D xsi:type="xsd:double"&gt;0.58307210031348&lt;/D&gt;&lt;D xsi:type="xsd:double"&gt;0.574193548387097&lt;/D&gt;&lt;D xsi:type="xsd:double"&gt;0.583333333333333&lt;/D&gt;&lt;D xsi:type="xsd:double"&gt;0.564935064935065&lt;/D&gt;&lt;D xsi:type="xsd:double"&gt;0.559870550161812&lt;/D&gt;&lt;D xsi:type="xsd:double"&gt;0.574675324675325&lt;/D&gt;&lt;D xsi:type="xsd:double"&gt;0.59&lt;/D&gt;&lt;D xsi:type="xsd:double"&gt;0.587628865979381&lt;/D&gt;&lt;D xsi:type="xsd:double"&gt;0.575438596491228&lt;/D&gt;&lt;D xsi:type="xsd:double"&gt;0.550173010380623&lt;/D&gt;&lt;D xsi:type="xsd:double"&gt;0.561594202898551&lt;/D&gt;&lt;D xsi:type="xsd:double"&gt;0.546511627906977&lt;/D&gt;&lt;D xsi:type="xsd:double"&gt;0.545454545454545&lt;/D&gt;&lt;D xsi:type="xsd:double"&gt;0.611721611721612&lt;/D&gt;&lt;D xsi:type="xsd:double"&gt;0.606060606060606&lt;/D&gt;&lt;D xsi:type="xsd:double"&gt;0.612167300380228&lt;/D&gt;&lt;D xsi:type="xsd:double"&gt;0.605839416058394&lt;/D&gt;&lt;D xsi:type="xsd:double"&gt;0.608058608058608&lt;/D&gt;&lt;D xsi:type="xsd:double"&gt;0.613475177304965&lt;/D&gt;&lt;D xsi:type="xsd:double"&gt;0.615120274914089&lt;/D&gt;&lt;D xsi:type="xsd:double"&gt;0.608108108108108&lt;/D&gt;&lt;D xsi:type="xsd:double"&gt;0.597972972972973&lt;/D&gt;&lt;D xsi:type="xsd:double"&gt;0.612179487179487&lt;/D&gt;&lt;D xsi:type="xsd:double"&gt;0.619808306709265&lt;/D&gt;&lt;D xsi:type="xsd:double"&gt;0.638977635782748&lt;/D&gt;&lt;D xsi:type="xsd:double"&gt;0.652597402597403&lt;/D&gt;&lt;D xsi:type="xsd:double"&gt;0.662295081967213&lt;/D&gt;&lt;D xsi:type="xsd:double"&gt;0.653721682847896&lt;/D&gt;&lt;D xsi:type="xsd:double"&gt;0.661290322580645&lt;/D&gt;&lt;D xsi:type="xsd:double"&gt;0.650641025641026&lt;/D&gt;&lt;D xsi:type="xsd:double"&gt;0.667721518987342&lt;/D&gt;&lt;D xsi:type="xsd:double"&gt;0.671974522292994&lt;/D&gt;&lt;D xsi:type="xsd:double"&gt;0.699421965317919&lt;/D&gt;&lt;D xsi:type="xsd:double"&gt;0.716292134831461&lt;/D&gt;&lt;D xsi:type="xsd:double"&gt;0.701369863013699&lt;/D&gt;&lt;D xsi:type="xsd:double"&gt;0.710875331564987&lt;/D&gt;&lt;D xsi:type="xsd:double"&gt;0.717741935483871&lt;/D&gt;&lt;D xsi:type="xsd:double"&gt;0.732101616628176&lt;/D&gt;&lt;D xsi:type="xsd:double"&gt;0.736363636363636&lt;/D&gt;&lt;D xsi:type="xsd:double"&gt;0.734553775743707&lt;/D&gt;&lt;D xsi:type="xsd:double"&gt;0.730414746543779&lt;/D&gt;&lt;D xsi:type="xsd:double"&gt;0.741721854304636&lt;/D&gt;&lt;D xsi:type="xsd:double"&gt;0.734649122807018&lt;/D&gt;&lt;D xsi:type="xsd:double"&gt;0.733624454148472&lt;/D&gt;&lt;D xsi:type="xsd:double"&gt;0.729257641921397&lt;/D&gt;&lt;D xsi:type="xsd:double"&gt;0.728070175438597&lt;/D&gt;&lt;D xsi:type="xsd:double"&gt;0.718614718614719&lt;/D&gt;&lt;D xsi:type="xsd:double"&gt;0.711496746203905&lt;/D&gt;&lt;D xsi:type="xsd:double"&gt;0.706521739130435&lt;/D&gt;&lt;D xsi:type="xsd:double"&gt;0.705882352941177&lt;/D&gt;&lt;D xsi:type="xsd:double"&gt;0.702407002188184&lt;/D&gt;&lt;D xsi:type="xsd:double"&gt;0.690631808278867&lt;/D&gt;&lt;D xsi:type="xsd:double"&gt;0.686936936936937&lt;/D&gt;&lt;D xsi:type="xsd:double"&gt;0.665127020785219&lt;/D&gt;&lt;D xsi:type="xsd:double"&gt;0.648584905660377&lt;/D&gt;&lt;D xsi:type="xsd:double"&gt;0.637469586374696&lt;/D&gt;&lt;D xsi:type="xsd:double"&gt;0.631067961165049&lt;/D&gt;&lt;D xsi:type="xsd:double"&gt;0.607843137254902&lt;/D&gt;&lt;D xsi:type="xsd:double"&gt;0.582278481012658&lt;/D&gt;&lt;D xsi:type="xsd:double"&gt;0.564304461942257&lt;/D&gt;&lt;D xsi:type="xsd:double"&gt;0.558823529411765&lt;/D&gt;&lt;D xsi:type="xsd:double"&gt;0.556135770234987&lt;/D&gt;&lt;D xsi:type="xsd:double"&gt;0.563968668407311&lt;/D&gt;&lt;D xsi:type="xsd:double"&gt;0.556451612903226&lt;/D&gt;&lt;D xsi:type="xsd:double"&gt;0.537433155080214&lt;/D&gt;&lt;D xsi:type="xsd:double"&gt;0.51219512195122&lt;/D&gt;&lt;D xsi:type="xsd:double"&gt;0.506631299734748&lt;/D&gt;&lt;D xsi:type="xsd:double"&gt;0.506887052341598&lt;/D&gt;&lt;D xsi:type="xsd:double"&gt;0.514044943820225&lt;/D&gt;&lt;D xsi:type="xsd:double"&gt;0.515580736543909&lt;/D&gt;&lt;D xsi:type="xsd:double"&gt;0.523529411764706&lt;/D&gt;&lt;D xsi:type="xsd:double"&gt;0.545977011494253&lt;/D&gt;&lt;D xsi:type="xsd:double"&gt;0.557184750733138&lt;/D&gt;&lt;D xsi:type="xsd:double"&gt;0.547826086956522&lt;/D&gt;&lt;D xsi:type="xsd:double"&gt;0.544378698224852&lt;/D&gt;&lt;D xsi:type="xsd:double"&gt;0.540372670807453&lt;/D&gt;&lt;D xsi:type="xsd:double"&gt;0.548286604361371&lt;/D&gt;&lt;D xsi:type="xsd:double"&gt;0.570977917981073&lt;/D&gt;&lt;D xsi:type="xsd:double"&gt;0.608974358974359&lt;/D&gt;&lt;D xsi:type="xsd:double"&gt;0.60797342192691&lt;/D&gt;&lt;D xsi:type="xsd:double"&gt;0.610921501706485&lt;/D&gt;&lt;D xsi:type="xsd:double"&gt;0.590163934426229&lt;/D&gt;&lt;D xsi:type="xsd:double"&gt;0.590163934426229&lt;/D&gt;&lt;D xsi:type="xsd:double"&gt;0.586319218241042&lt;/D&gt;&lt;D xsi:type="xsd:double"&gt;0.589225589225589&lt;/D&gt;&lt;D xsi:type="xsd:double"&gt;0.593220338983051&lt;/D&gt;&lt;D xsi:type="xsd:double"&gt;0.632075471698113&lt;/D&gt;&lt;D xsi:type="xsd:double"&gt;0.627009646302251&lt;/D&gt;&lt;D xsi:type="xsd:double"&gt;0.653846153846154&lt;/D&gt;&lt;D xsi:type="xsd:double"&gt;0.655844155844156&lt;/D&gt;&lt;D xsi:type="xsd:double"&gt;0.65016501650165&lt;/D&gt;&lt;D xsi:type="xsd:double"&gt;0.688271604938272&lt;/D&gt;&lt;D xsi:type="xsd:double"&gt;0.694704049844237&lt;/D&gt;&lt;D xsi:type="xsd:double"&gt;0.700305810397553&lt;/D&gt;&lt;D xsi:type="xsd:double"&gt;0.703703703703704&lt;/D&gt;&lt;D xsi:type="xsd:double"&gt;0.770491803278688&lt;/D&gt;&lt;D xsi:type="xsd:double"&gt;0.772727272727273&lt;/D&gt;&lt;D xsi:type="xsd:double"&gt;0.790697674418605&lt;/D&gt;&lt;D xsi:type="xsd:double"&gt;0.786458333333333&lt;/D&gt;&lt;D xsi:type="xsd:double"&gt;0.789473684210526&lt;/D&gt;&lt;D xsi:type="xsd:double"&gt;0.814988290398126&lt;/D&gt;&lt;D xsi:type="xsd:double"&gt;0.820276497695853&lt;/D&gt;&lt;D xsi:type="xsd:double"&gt;0.825688073394495&lt;/D&gt;&lt;D xsi:type="xsd:double"&gt;0.825287356321839&lt;/D&gt;&lt;D xsi:type="xsd:double"&gt;0.822170900692841&lt;/D&gt;&lt;D xsi:type="xsd:double"&gt;0.835164835164835&lt;/D&gt;&lt;D xsi:type="xsd:double"&gt;0.836244541484716&lt;/D&gt;&lt;D xsi:type="xsd:double"&gt;0.837004405286344&lt;/D&gt;&lt;D xsi:type="xsd:double"&gt;0.83370288248337&lt;/D&gt;&lt;D xsi:type="xsd:double"&gt;0.832962138084632&lt;/D&gt;&lt;D xsi:type="xsd:double"&gt;0.827133479212254&lt;/D&gt;&lt;D xsi:type="xsd:double"&gt;0.814814814814815&lt;/D&gt;&lt;D xsi:type="xsd:double"&gt;0.821192052980132&lt;/D&gt;&lt;D xsi:type="xsd:double"&gt;0.824053452115813&lt;/D&gt;&lt;D xsi:type="xsd:double"&gt;0.821826280623608&lt;/D&gt;&lt;D xsi:type="xsd:double"&gt;0.827354260089686&lt;/D&gt;&lt;D xsi:type="xsd:double"&gt;0.812917594654788&lt;/D&gt;&lt;D xsi:type="xsd:double"&gt;0.807339449541284&lt;/D&gt;&lt;D xsi:type="xsd:double"&gt;0.80607476635514&lt;/D&gt;&lt;D xsi:type="xsd:double"&gt;0.800475059382423&lt;/D&gt;&lt;D xsi:type="xsd:double"&gt;0.814726840855107&lt;/D&gt;&lt;D xsi:type="xsd:double"&gt;0.816867469879518&lt;/D&gt;&lt;D xsi:type="xsd:double"&gt;0.796992481203007&lt;/D&gt;&lt;D xsi:type="xsd:double"&gt;0.776381909547739&lt;/D&gt;&lt;D xsi:type="xsd:double"&gt;0.776923076923077&lt;/D&gt;&lt;D xsi:type="xsd:double"&gt;0.771794871794872&lt;/D&gt;&lt;D xsi:type="xsd:double"&gt;0.765625&lt;/D&gt;&lt;D xsi:type="xsd:double"&gt;0.757180156657963&lt;/D&gt;&lt;D xsi:type="xsd:double"&gt;0.762532981530343&lt;/D&gt;&lt;D xsi:type="xsd:double"&gt;0.759358288770054&lt;/D&gt;&lt;D xsi:type="xsd:double"&gt;0.745308310991957&lt;/D&gt;&lt;D xsi:type="xsd:double"&gt;0.757412398921833&lt;/D&gt;&lt;D xsi:type="xsd:double"&gt;0.745257452574526&lt;/D&gt;&lt;D xsi:type="xsd:double"&gt;0.736263736263736&lt;/D&gt;&lt;D xsi:type="xsd:double"&gt;0.742296918767507&lt;/D&gt;&lt;D xsi:type="xsd:double"&gt;0.73109243697479&lt;/D&gt;&lt;D xsi:type="xsd:double"&gt;0.730659025787966&lt;/D&gt;&lt;D xsi:type="xsd:double"&gt;0.724340175953079&lt;/D&gt;&lt;D xsi:type="xsd:double"&gt;0.741279069767442&lt;/D&gt;&lt;D xsi:type="xsd:double"&gt;0.748538011695906&lt;/D&gt;&lt;D xsi:type="xsd:double"&gt;0.753709198813056&lt;/D&gt;&lt;D xsi:type="xsd:double"&gt;0.752238805970149&lt;/D&gt;&lt;D xsi:type="xsd:double"&gt;0.74702380952381&lt;/D&gt;&lt;D xsi:type="xsd:double"&gt;0.74390243902439&lt;/D&gt;&lt;D xsi:type="xsd:double"&gt;0.750716332378224&lt;/D&gt;&lt;D xsi:type="xsd:double"&gt;0.75&lt;/D&gt;&lt;D xsi:type="xsd:double"&gt;0.756598240469208&lt;/D&gt;&lt;D xsi:type="xsd:double"&gt;0.765957446808511&lt;/D&gt;&lt;D xsi:type="xsd:double"&gt;0.767801857585139&lt;/D&gt;&lt;D xsi:type="xsd:double"&gt;0.773255813953488&lt;/D&gt;&lt;D xsi:type="xsd:double"&gt;0.773255813953488&lt;/D&gt;&lt;D xsi:type="xsd:double"&gt;0.784702549575071&lt;/D&gt;&lt;D xsi:type="xsd:double"&gt;0.78448275862069&lt;/D&gt;&lt;D xsi:type="xsd:double"&gt;0.789473684210526&lt;/D&gt;&lt;D xsi:type="xsd:double"&gt;0.780898876404494&lt;/D&gt;&lt;D xsi:type="xsd:double"&gt;0.775&lt;/D&gt;&lt;D xsi:type="xsd:double"&gt;0.78236914600551&lt;/D&gt;&lt;D xsi:type="xsd:double"&gt;0.782122905027933&lt;/D&gt;&lt;D xsi:type="xsd:double"&gt;0.789915966386555&lt;/D&gt;&lt;D xsi:type="xsd:double"&gt;0.802030456852792&lt;/D&gt;&lt;D xsi:type="xsd:double"&gt;0.795511221945137&lt;/D&gt;&lt;D xsi:type="xsd:double"&gt;0.805486284289277&lt;/D&gt;&lt;D xsi:type="xsd:double"&gt;0.807594936708861&lt;/D&gt;&lt;D xsi:type="xsd:double"&gt;0.80622009569378&lt;/D&gt;&lt;D xsi:type="xsd:double"&gt;0.81986143187067&lt;/D&gt;&lt;D xsi:type="xsd:double"&gt;0.815489749430524&lt;/D&gt;&lt;D xsi:type="xsd:double"&gt;0.81981981981982&lt;/D&gt;&lt;D xsi:type="xsd:double"&gt;0.816742081447964&lt;/D&gt;&lt;D xsi:type="xsd:double"&gt;0.821978021978022&lt;/D&gt;&lt;D xsi:type="xsd:double"&gt;0.821350762527233&lt;/D&gt;&lt;D xsi:type="xsd:double"&gt;0.825431034482759&lt;/D&gt;&lt;D xsi:type="xsd:double"&gt;0.83010752688172&lt;/D&gt;&lt;D xsi:type="xsd:double"&gt;0.829741379310345&lt;/D&gt;&lt;D xsi:type="xsd:double"&gt;0.817987152034261&lt;/D&gt;&lt;D xsi:type="xsd:double"&gt;0.811965811965812&lt;/D&gt;&lt;D xsi:type="xsd:double"&gt;0.817596566523605&lt;/D&gt;&lt;D xsi:type="xsd:double"&gt;0.810344827586207&lt;/D&gt;&lt;D xsi:type="xsd:double"&gt;0.811816192560175&lt;/D&gt;&lt;D xsi:type="xsd:double"&gt;0.800438596491228&lt;/D&gt;&lt;D xsi:type="xsd:double"&gt;0.792035398230089&lt;/D&gt;&lt;D xsi:type="xsd:double"&gt;0.790909090909091&lt;/D&gt;&lt;D xsi:type="xsd:double"&gt;0.783410138248848&lt;/D&gt;&lt;D xsi:type="xsd:double"&gt;0.767058823529412&lt;/D&gt;&lt;D xsi:type="xsd:double"&gt;0.768321513002364&lt;/D&gt;&lt;D xsi:type="xsd:double"&gt;0.750593824228028&lt;/D&gt;&lt;D xsi:type="xsd:double"&gt;0.740831295843521&lt;/D&gt;&lt;D xsi:type="xsd:double"&gt;0.732323232323232&lt;/D&gt;&lt;D xsi:type="xsd:double"&gt;0.717557251908397&lt;/D&gt;&lt;D xsi:type="xsd:double"&gt;0.7025&lt;/D&gt;&lt;D xsi:type="xsd:double"&gt;0.702020202020202&lt;/D&gt;&lt;D xsi:type="xsd:double"&gt;0.70360824742268&lt;/D&gt;&lt;D xsi:type="xsd:double"&gt;0.686528497409326&lt;/D&gt;&lt;D xsi:type="xsd:double"&gt;0.681347150259067&lt;/D&gt;&lt;D xsi:type="xsd:double"&gt;0.676923076923077&lt;/D&gt;&lt;D xsi:type="xsd:double"&gt;0.680628272251309&lt;/D&gt;&lt;D xsi:type="xsd:double"&gt;0.682926829268293&lt;/D&gt;&lt;D xsi:type="xsd:double"&gt;0.676795580110497&lt;/D&gt;&lt;D xsi:type="xsd:double"&gt;0.659154929577465&lt;/D&gt;&lt;D xsi:type="xsd:double"&gt;0.680555555555556&lt;/D&gt;&lt;D xsi:type="xsd:double"&gt;0.677966101694915&lt;/D&gt;&lt;D xsi:type="xsd:double"&gt;0.671348314606742&lt;/D&gt;&lt;D xsi:type="xsd:double"&gt;0.670520231213873&lt;/D&gt;&lt;D xsi:type="xsd:double"&gt;0.676384839650146&lt;/D&gt;&lt;D xsi:type="xsd:double"&gt;0.635854341736695&lt;/D&gt;&lt;D xsi:type="xsd:double"&gt;0.635854341736695&lt;/D&gt;&lt;D xsi:type="xsd:double"&gt;0.640804597701149&lt;/D&gt;&lt;D xsi:type="xsd:double"&gt;0.640718562874252&lt;/D&gt;&lt;D xsi:type="xsd:double"&gt;0.638036809815951&lt;/D&gt;&lt;D xsi:type="xsd:double"&gt;0.612612612612613&lt;/D&gt;&lt;D xsi:type="xsd:double"&gt;0.577380952380952&lt;/D&gt;&lt;D xsi:type="xsd:double"&gt;0.568513119533528&lt;/D&gt;&lt;D xsi:type="xsd:double"&gt;0.58&lt;/D&gt;&lt;D xsi:type="xsd:double"&gt;0.596491228070175&lt;/D&gt;&lt;D xsi:type="xsd:double"&gt;0.582352941176471&lt;/D&gt;&lt;D xsi:type="xsd:double"&gt;0.581395348837209&lt;/D&gt;&lt;D xsi:type="xsd:double"&gt;0.587392550143267&lt;/D&gt;&lt;D xsi:type="xsd:double"&gt;0.569405099150142&lt;/D&gt;&lt;D xsi:type="xsd:double"&gt;0.575498575498576&lt;/D&gt;&lt;D xsi:type="xsd:double"&gt;0.576502732240437&lt;/D&gt;&lt;D xsi:type="xsd:double"&gt;0.576407506702413&lt;/D&gt;&lt;D xsi:type="xsd:double"&gt;0.571428571428571&lt;/D&gt;&lt;D xsi:type="xsd:double"&gt;0.574803149606299&lt;/D&gt;&lt;D xsi:type="xsd:double"&gt;0.593830334190231&lt;/D&gt;&lt;D xsi:type="xsd:double"&gt;0.603535353535353&lt;/D&gt;&lt;D xsi:type="xsd:double"&gt;0.5925&lt;/D&gt;&lt;D xsi:type="xsd:double"&gt;0.599508599508599&lt;/D&gt;&lt;D xsi:type="xsd:double"&gt;0.608591885441527&lt;/D&gt;&lt;D xsi:type="xsd:double"&gt;0.793269230769231&lt;/D&gt;&lt;D xsi:type="xsd:double"&gt;0.792941176470588&lt;/D&gt;&lt;D xsi:type="xsd:double"&gt;0.789346246973366&lt;/D&gt;&lt;D xsi:type="xsd:double"&gt;0.794044665012407&lt;/D&gt;&lt;D xsi:type="xsd:double"&gt;0.784615384615385&lt;/D&gt;&lt;D xsi:type="xsd:double"&gt;0.778301886792453&lt;/D&gt;&lt;D xsi:type="xsd:double"&gt;0.773584905660377&lt;/D&gt;&lt;D xsi:type="xsd:double"&gt;0.783132530120482&lt;/D&gt;&lt;D xsi:type="xsd:double"&gt;0.779951100244499&lt;/D&gt;&lt;D xsi:type="xsd:double"&gt;0.780141843971631&lt;/D&gt;&lt;D xsi:type="xsd:double"&gt;0.772511848341232&lt;/D&gt;&lt;D xsi:type="xsd:double"&gt;0.762836185819071&lt;/D&gt;&lt;D xsi:type="xsd:double"&gt;0.7475&lt;/D&gt;&lt;D xsi:type="xsd:double"&gt;0.747474747474748&lt;/D&gt;&lt;D xsi:type="xsd:double"&gt;0.741935483870968&lt;/D&gt;&lt;D xsi:type="xsd:double"&gt;0.725190839694656&lt;/D&gt;&lt;D xsi:type="xsd:double"&gt;0.72987012987013&lt;/D&gt;&lt;D xsi:type="xsd:double"&gt;0.723404255319149&lt;/D&gt;&lt;D xsi:type="xsd:double"&gt;0.716981132075472&lt;/D&gt;&lt;D xsi:type="xsd:double"&gt;0.728&lt;/D&gt;&lt;D xsi:type="xsd:double"&gt;0.715447154471545&lt;/D&gt;&lt;D xsi:type="xsd:double"&gt;0.707520891364902&lt;/D&gt;&lt;D xsi:type="xsd:double"&gt;0.684813753581662&lt;/D&gt;&lt;D xsi:type="xsd:double"&gt;0.68695652173913&lt;/D&gt;&lt;D xsi:type="xsd:double"&gt;0.689855072463768&lt;/D&gt;&lt;D xsi:type="xsd:double"&gt;0.694117647058824&lt;/D&gt;&lt;D xsi:type="xsd:double"&gt;0.6996996996997&lt;/D&gt;&lt;D xsi:type="xsd:double"&gt;0.705521472392638&lt;/D&gt;&lt;D xsi:type="xsd:double"&gt;0.70516717325228&lt;/D&gt;&lt;D xsi:type="xsd:double"&gt;0.70125786163522&lt;/D&gt;&lt;D xsi:type="xsd:double"&gt;0.6875&lt;/D&gt;&lt;D xsi:type="xsd:double"&gt;0.666666666666667&lt;/D&gt;&lt;D xsi:type="xsd:double"&gt;0.674576271186441&lt;/D&gt;&lt;D xsi:type="xsd:double"&gt;0.700325732899023&lt;/D&gt;&lt;D xsi:type="xsd:double"&gt;0.693069306930693&lt;/D&gt;&lt;D xsi:type="xsd:double"&gt;0.720136518771331&lt;/D&gt;&lt;D xsi:type="xsd:double"&gt;0.72027972027972&lt;/D&gt;&lt;D xsi:type="xsd:double"&gt;0.72962962962963&lt;/D&gt;&lt;D xsi:type="xsd:double"&gt;0.731292517006803&lt;/D&gt;&lt;D xsi:type="xsd:double"&gt;0.725694444444444&lt;/D&gt;&lt;D xsi:type="xsd:double"&gt;0.73489932885906&lt;/D&gt;&lt;D xsi:type="xsd:double"&gt;0.73489932885906&lt;/D&gt;&lt;D xsi:type="xsd:double"&gt;0.720779220779221&lt;/D&gt;&lt;D xsi:type="xsd:double"&gt;0.730769230769231&lt;/D&gt;&lt;D xsi:type="xsd:double"&gt;0.746835443037975&lt;/D&gt;&lt;D xsi:type="xsd:double"&gt;0.744408945686901&lt;/D&gt;&lt;D xsi:type="xsd:double"&gt;0.736842105263158&lt;/D&gt;&lt;D xsi:type="xsd:double"&gt;0.717391304347826&lt;/D&gt;&lt;D xsi:type="xsd:double"&gt;0.717391304347826&lt;/D&gt;&lt;D xsi:type="xsd:double"&gt;0.713846153846154&lt;/D&gt;&lt;D xsi:type="xsd:double"&gt;0.710191082802548&lt;/D&gt;&lt;D xsi:type="xsd:double"&gt;0.750769230769231&lt;/D&gt;&lt;D xsi:type="xsd:double"&gt;0.755351681957186&lt;/D&gt;&lt;D xsi:type="xsd:double"&gt;0.742424242424242&lt;/D&gt;&lt;D xsi:type="xsd:double"&gt;0.747747747747748&lt;/D&gt;&lt;D xsi:type="xsd:double"&gt;0.75&lt;/D&gt;&lt;D xsi:type="xsd:double"&gt;0.792397660818713&lt;/D&gt;&lt;D xsi:type="xsd:double"&gt;0.802816901408451&lt;/D&gt;&lt;D xsi:type="xsd:double"&gt;0.800561797752809&lt;/D&gt;&lt;D xsi:type="xsd:double"&gt;0.808864265927978&lt;/D&gt;&lt;D xsi:type="xsd:double"&gt;0.805013927576602&lt;/D&gt;&lt;D xsi:type="xsd:double"&gt;0.824644549763033&lt;/D&gt;&lt;D xsi:type="xsd:double"&gt;0.81986143187067&lt;/D&gt;&lt;D xsi:type="xsd:double"&gt;0.819444444444444&lt;/D&gt;&lt;D xsi:type="xsd:double"&gt;0.815420560747664&lt;/D&gt;&lt;D xsi:type="xsd:double"&gt;0.827050997782705&lt;/D&gt;&lt;D xsi:type="xsd:double"&gt;0.830065359477124&lt;/D&gt;&lt;D xsi:type="xsd:double"&gt;0.81917211328976&lt;/D&gt;&lt;D xsi:type="xsd:double"&gt;0.820175438596491&lt;/D&gt;&lt;D xsi:type="xsd:double"&gt;0.821192052980132&lt;/D&gt;&lt;D xsi:type="xsd:double"&gt;0.828633405639913&lt;/D&gt;&lt;D xsi:type="xsd:double"&gt;0.827510917030568&lt;/D&gt;&lt;D xsi:type="xsd:double"&gt;0.8207343412527&lt;/D&gt;&lt;D xsi:type="xsd:double"&gt;0.817391304347826&lt;/D&gt;&lt;D xsi:type="xsd:double"&gt;0.821350762527233&lt;/D&gt;&lt;D xsi:type="xsd:double"&gt;0.821120689655172&lt;/D&gt;&lt;D xsi:type="xsd:double"&gt;0.822368421052632&lt;/D&gt;&lt;D xsi:type="xsd:double"&gt;0.802247191011236&lt;/D&gt;&lt;D xsi:type="xsd:double"&gt;0.795045045045045&lt;/D&gt;&lt;D xsi:type="xsd:double"&gt;0.795454545454545&lt;/D&gt;&lt;D xsi:type="xsd:double"&gt;0.80091533180778&lt;/D&gt;&lt;D xsi:type="xsd:double"&gt;0.786046511627907&lt;/D&gt;&lt;D xsi:type="xsd:double"&gt;0.76978417266187&lt;/D&gt;&lt;D xsi:type="xsd:double"&gt;0.754257907542579&lt;/D&gt;&lt;D xsi:type="xsd:double"&gt;0.749379652605459&lt;/D&gt;&lt;D xsi:type="xsd:double"&gt;0.755501222493888&lt;/D&gt;&lt;D xsi:type="xsd:double"&gt;0.749385749385749&lt;/D&gt;&lt;D xsi:type="xsd:double"&gt;0.738035264483627&lt;/D&gt;&lt;D xsi:type="xsd:double"&gt;0.736180904522613&lt;/D&gt;&lt;D xsi:type="xsd:double"&gt;0.72987012987013&lt;/D&gt;&lt;D xsi:type="xsd:double"&gt;0.734536082474227&lt;/D&gt;&lt;D xsi:type="xsd:double"&gt;0.72987012987013&lt;/D&gt;&lt;D xsi:type="xsd:double"&gt;0.735064935064935&lt;/D&gt;&lt;D xsi:type="xsd:double"&gt;0.735449735449735&lt;/D&gt;&lt;D xsi:type="xsd:double"&gt;0.737837837837838&lt;/D&gt;&lt;D xsi:type="xsd:double"&gt;0.736986301369863&lt;/D&gt;&lt;D xsi:type="xsd:double"&gt;0.709039548022599&lt;/D&gt;&lt;D xsi:type="xsd:double"&gt;0.706896551724138&lt;/D&gt;&lt;D xsi:type="xsd:double"&gt;0.692307692307692&lt;/D&gt;&lt;D xsi:type="xsd:double"&gt;0.701492537313433&lt;/D&gt;&lt;D xsi:type="xsd:double"&gt;0.700296735905044&lt;/D&gt;&lt;D xsi:type="xsd:double"&gt;0.685015290519878&lt;/D&gt;&lt;D xsi:type="xsd:double"&gt;0.682098765432099&lt;/D&gt;&lt;D xsi:type="xsd:double"&gt;0.689024390243902&lt;/D&gt;&lt;D xsi:type="xsd:double"&gt;0.687697160883281&lt;/D&gt;&lt;D xsi:type="xsd:double"&gt;0.673780487804878&lt;/D&gt;&lt;D xsi:type="xsd:double"&gt;0.686746987951807&lt;/D&gt;&lt;D xsi:type="xsd:double"&gt;0.699404761904762&lt;/D&gt;&lt;D xsi:type="xsd:double"&gt;0.701807228915663&lt;/D&gt;&lt;D xsi:type="xsd:double"&gt;0.6996996996997&lt;/D&gt;&lt;D xsi:type="xsd:double"&gt;0.688622754491018&lt;/D&gt;&lt;D xsi:type="xsd:double"&gt;0.699404761904762&lt;/D&gt;&lt;D xsi:type="xsd:double"&gt;0.705705705705706&lt;/D&gt;&lt;D xsi:type="xsd:double"&gt;0.687878787878788&lt;/D&gt;&lt;D xsi:type="xsd:double"&gt;0.670807453416149&lt;/D&gt;&lt;D xsi:type="xsd:double"&gt;0.6875&lt;/D&gt;&lt;D xsi:type="xsd:double"&gt;0.671597633136095&lt;/D&gt;&lt;D xsi:type="xsd:double"&gt;0.68141592920354&lt;/D&gt;&lt;D xsi:type="xsd:double"&gt;0.677514792899408&lt;/D&gt;&lt;D xsi:type="xsd:double"&gt;0.71195652173913&lt;/D&gt;&lt;D xsi:type="xsd:double"&gt;0.721052631578947&lt;/D&gt;&lt;D xsi:type="xsd:double"&gt;0.719480519480519&lt;/D&gt;&lt;D xsi:type="xsd:double"&gt;0.721784776902887&lt;/D&gt;&lt;D xsi:type="xsd:double"&gt;0.722955145118733&lt;/D&gt;&lt;D xsi:type="xsd:double"&gt;0.72877358490566&lt;/D&gt;&lt;D xsi:type="xsd:double"&gt;0.735498839907193&lt;/D&gt;&lt;D xsi:type="xsd:double"&gt;0.736720554272517&lt;/D&gt;&lt;D xsi:type="xsd:double"&gt;0.737819025522042&lt;/D&gt;&lt;D xsi:type="xsd:double"&gt;0.740654205607477&lt;/D&gt;&lt;D xsi:type="xsd:double"&gt;0.76017130620985&lt;/D&gt;&lt;D xsi:type="xsd:double"&gt;0.764957264957265&lt;/D&gt;&lt;D xsi:type="xsd:double"&gt;0.761802575107296&lt;/D&gt;&lt;D xsi:type="xsd:double"&gt;0.76889848812095&lt;/D&gt;&lt;D xsi:type="xsd:double"&gt;0.765217391304348&lt;/D&gt;&lt;D xsi:type="xsd:double"&gt;0.760683760683761&lt;/D&gt;&lt;D xsi:type="xsd:double"&gt;0.759656652360515&lt;/D&gt;&lt;D xsi:type="xsd:double"&gt;0.745726495726496&lt;/D&gt;&lt;D xsi:type="xsd:double"&gt;0.751072961373391&lt;/D&gt;&lt;D xsi:type="xsd:double"&gt;0.747300215982721&lt;/D&gt;&lt;D xsi:type="xsd:double"&gt;0.755411255411255&lt;/D&gt;&lt;D xsi:type="xsd:double"&gt;0.735807860262009&lt;/D&gt;&lt;D xsi:type="xsd:double"&gt;0.720620842572062&lt;/D&gt;&lt;D xsi:type="xsd:double"&gt;0.711111111111111&lt;/D&gt;&lt;D xsi:type="xsd:double"&gt;0.703370786516854&lt;/D&gt;&lt;D xsi:type="xsd:double"&gt;0.70627802690583&lt;/D&gt;&lt;D xsi:type="xsd:double"&gt;0.690205011389522&lt;/D&gt;&lt;D xsi:type="xsd:double"&gt;0.668981481481482&lt;/D&gt;&lt;D xsi:type="xsd:double"&gt;0.651764705882353&lt;/D&gt;&lt;D xsi:type="xsd:double"&gt;0.64200477326969&lt;/D&gt;&lt;D xsi:type="xsd:double"&gt;0.637002341920375&lt;/D&gt;&lt;D xsi:type="xsd:double"&gt;0.616113744075829&lt;/D&gt;&lt;D xsi:type="xsd:double"&gt;0.617577197149644&lt;/D&gt;&lt;D xsi:type="xsd:double"&gt;0.596199524940618&lt;/D&gt;&lt;D xsi:type="xsd:double"&gt;0.597122302158273&lt;/D&gt;&lt;D xsi:type="xsd:double"&gt;0.583941605839416&lt;/D&gt;&lt;D xsi:type="xsd:double"&gt;0.582089552238806&lt;/D&gt;&lt;D xsi:type="xsd:double"&gt;0.570707070707071&lt;/D&gt;&lt;D xsi:type="xsd:double"&gt;0.548717948717949&lt;/D&gt;&lt;D xsi:type="xsd:double"&gt;0.532981530343008&lt;/D&gt;&lt;D xsi:type="xsd:double"&gt;0.547945205479452&lt;/D&gt;&lt;D xsi:type="xsd:double"&gt;0.527027027027027&lt;/D&gt;&lt;D xsi:type="xsd:double"&gt;0.523415977961432&lt;/D&gt;&lt;D xsi:type="xsd:double"&gt;0.534435261707989&lt;/D&gt;&lt;D xsi:type="xsd:double"&gt;0.52247191011236&lt;/D&gt;&lt;D xsi:type="xsd:double"&gt;0.526027397260274&lt;/D&gt;&lt;D xsi:type="xsd:double"&gt;0.539509536784741&lt;/D&gt;&lt;D xsi:type="xsd:double"&gt;0.536388140161725&lt;/D&gt;&lt;D xsi:type="xsd:double"&gt;0.528455284552846&lt;/D&gt;&lt;D xsi:type="xsd:double"&gt;0.489637305699482&lt;/D&gt;&lt;D xsi:type="xsd:double"&gt;0.475195822454308&lt;/D&gt;&lt;D xsi:type="xsd:double"&gt;0.461333333333333&lt;/D&gt;&lt;D xsi:type="xsd:double"&gt;0.469333333333333&lt;/D&gt;&lt;D xsi:type="xsd:double"&gt;0.46916890080429&lt;/D&gt;&lt;D xsi:type="xsd:double"&gt;0.44987146529563&lt;/D&gt;&lt;D xsi:type="xsd:double"&gt;0.437823834196891&lt;/D&gt;&lt;D xsi:type="xsd:double"&gt;0.433420365535248&lt;/D&gt;&lt;D xsi:type="xsd:double"&gt;0.419525065963061&lt;/D&gt;&lt;D xsi:type="xsd:double"&gt;0.411140583554377&lt;/D&gt;&lt;D xsi:type="xsd:double"&gt;0.387755102040816&lt;/D&gt;&lt;D xsi:type="xsd:double"&gt;0.375634517766497&lt;/D&gt;&lt;D xsi:type="xsd:double"&gt;0.368020304568528&lt;/D&gt;&lt;D xsi:type="xsd:double"&gt;0.360103626943005&lt;/D&gt;&lt;D xsi:type="xsd:double"&gt;0.356020942408377&lt;/D&gt;&lt;D xsi:type="xsd:double"&gt;0.311881188118812&lt;/D&gt;&lt;D xsi:type="xsd:double"&gt;0.300733496332518&lt;/D&gt;&lt;D xsi:type="xsd:double"&gt;0.292270531400966&lt;/D&gt;&lt;D xsi:type="xsd:double"&gt;0.284671532846715&lt;/D&gt;&lt;D xsi:type="xsd:double"&gt;0.280788177339901&lt;/D&gt;&lt;D xsi:type="xsd:double"&gt;0.272093023255814&lt;/D&gt;&lt;D xsi:type="xsd:double"&gt;0.272930648769575&lt;/D&gt;&lt;D xsi:type="xsd:double"&gt;0.263157894736842&lt;/D&gt;&lt;D xsi:type="xsd:double"&gt;0.262472885032538&lt;/D&gt;&lt;D xsi:type="xsd:double"&gt;0.235668789808917&lt;/D&gt;&lt;D xsi:type="xsd:double"&gt;0.206315789473684&lt;/D&gt;&lt;D xsi:type="xsd:double"&gt;0.20125786163522&lt;/D&gt;&lt;D xsi:type="xsd:double"&gt;0.19375&lt;/D&gt;&lt;D xsi:type="xsd:double"&gt;0.194560669456067&lt;/D&gt;&lt;D xsi:type="xsd:double"&gt;0.172557172557173&lt;/D&gt;&lt;D xsi:type="xsd:double"&gt;0.163223140495868&lt;/D&gt;&lt;D xsi:type="xsd:double"&gt;0.14968814968815&lt;/D&gt;&lt;D xsi:type="xsd:double"&gt;0.136929460580913&lt;/D&gt;&lt;D xsi:type="xsd:double"&gt;0.135135135135135&lt;/D&gt;&lt;D xsi:type="xsd:double"&gt;0.134020618556701&lt;/D&gt;&lt;D xsi:type="xsd:double"&gt;0.113168724279835&lt;/D&gt;&lt;D xsi:type="xsd:double"&gt;0.101659751037344&lt;/D&gt;&lt;D xsi:type="xsd:double"&gt;0.0916666666666667&lt;/D&gt;&lt;D xsi:type="xsd:double"&gt;0.0920502092050209&lt;/D&gt;&lt;D xsi:type="xsd:double"&gt;0.0958333333333333&lt;/D&gt;&lt;D xsi:type="xsd:double"&gt;0.0895833333333333&lt;/D&gt;&lt;D xsi:type="xsd:double"&gt;0.0810810810810811&lt;/D&gt;&lt;D xsi:type="xsd:double"&gt;0.0770833333333333&lt;/D&gt;&lt;D xsi:type="xsd:double"&gt;0.0810810810810811&lt;/D&gt;&lt;D xsi:type="xsd:double"&gt;0.0786749482401656&lt;/D&gt;&lt;D xsi:type="xsd:double"&gt;0.0748440748440748&lt;/D&gt;&lt;D xsi:type="xsd:double"&gt;0.0708333333333333&lt;/D&gt;&lt;D xsi:type="xsd:double"&gt;0.0627615062761506&lt;/D&gt;&lt;D xsi:type="xsd:double"&gt;0.0609243697478992&lt;/D&gt;&lt;D xsi:type="xsd:double"&gt;0.0651260504201681&lt;/D&gt;&lt;D xsi:type="xsd:double"&gt;0.0610526315789474&lt;/D&gt;&lt;D xsi:type="xsd:double"&gt;0.0607966457023061&lt;/D&gt;&lt;D xsi:type="xsd:double"&gt;0.0595744680851064&lt;/D&gt;&lt;D xsi:type="xsd:double"&gt;0.0595744680851064&lt;/D&gt;&lt;D xsi:type="xsd:double"&gt;0.0683760683760684&lt;/D&gt;&lt;D xsi:type="xsd:double"&gt;0.0749464668094218&lt;/D&gt;&lt;D xsi:type="xsd:double"&gt;0.08207343412527&lt;/D&gt;&lt;D xsi:type="xsd:double"&gt;0.0824295010845987&lt;/D&gt;&lt;D xsi:type="xsd:double"&gt;0.0867678958785249&lt;/D&gt;&lt;D xsi:type="xsd:double"&gt;0.0833333333333333&lt;/D&gt;&lt;D xsi:type="xsd:double"&gt;0.0905077262693157&lt;/D&gt;&lt;D xsi:type="xsd:double"&gt;0.0953436807095344&lt;/D&gt;&lt;D xsi:type="xsd:double"&gt;0.0982142857142857&lt;/D&gt;&lt;D xsi:type="xsd:double"&gt;0.101123595505618&lt;/D&gt;&lt;D xsi:type="xsd:double"&gt;0.0904977375565611&lt;/D&gt;&lt;D xsi:type="xsd:double"&gt;0.110112359550562&lt;/D&gt;&lt;D xsi:type="xsd:double"&gt;0.122448979591837&lt;/D&gt;&lt;D xsi:type="xsd:double"&gt;0.128205128205128&lt;/D&gt;&lt;D xsi:type="xsd:double"&gt;0.140845070422535&lt;/D&gt;&lt;D xsi:type="xsd:double"&gt;0.148584905660377&lt;/D&gt;&lt;D xsi:type="xsd:double"&gt;0.166666666666667&lt;/D&gt;&lt;D xsi:type="xsd:double"&gt;0.173076923076923&lt;/D&gt;&lt;D xsi:type="xsd:double"&gt;0.186440677966102&lt;/D&gt;&lt;D xsi:type="xsd:double"&gt;0.21078431372549&lt;/D&gt;&lt;D xsi:type="xsd:double"&gt;0.24009900990099&lt;/D&gt;&lt;D xsi:type="xsd:double"&gt;0.260545905707196&lt;/D&gt;&lt;D xsi:type="xsd:double"&gt;0.28428927680798&lt;/D&gt;&lt;D xsi:type="xsd:double"&gt;0.301507537688442&lt;/D&gt;&lt;D xsi:type="xsd:double"&gt;0.305343511450382&lt;/D&gt;&lt;D xsi:type="xsd:double"&gt;0.320512820512821&lt;/D&gt;&lt;D xsi:type="xsd:double"&gt;0.33587786259542&lt;/D&gt;&lt;D xsi:type="xsd:double"&gt;0.350253807106599&lt;/D&gt;&lt;D xsi:type="xsd:double"&gt;0.363636363636364&lt;/D&gt;&lt;D xsi:type="xsd:double"&gt;0.676020408163265&lt;/D&gt;&lt;D xsi:type="xsd:double"&gt;0.675879396984925&lt;/D&gt;&lt;D xsi:type="xsd:double"&gt;0.655696202531646&lt;/D&gt;&lt;D xsi:type="xsd:double"&gt;0.650385604113111&lt;/D&gt;&lt;D xsi:type="xsd:double"&gt;0.647668393782383&lt;/D&gt;&lt;D xsi:type="xsd:double"&gt;0.65625&lt;/D&gt;&lt;D xsi:type="xsd:double"&gt;0.660975609756098&lt;/D&gt;&lt;D xsi:type="xsd:double"&gt;0.663316582914573&lt;/D&gt;&lt;D xsi:type="xsd:double"&gt;0.658097686375321&lt;/D&gt;&lt;D xsi:type="xsd:double"&gt;0.663316582914573&lt;/D&gt;&lt;D xsi:type="xsd:double"&gt;0.655612244897959&lt;/D&gt;&lt;D xsi:type="xsd:double"&gt;0.660526315789474&lt;/D&gt;&lt;D xsi:type="xsd:double"&gt;0.649732620320856&lt;/D&gt;&lt;D xsi:type="xsd:double"&gt;0.645776566757493&lt;/D&gt;&lt;D xsi:type="xsd:double"&gt;0.629333333333333&lt;/D&gt;&lt;D xsi:type="xsd:double"&gt;0.621621621621622&lt;/D&gt;&lt;D xsi:type="xsd:double"&gt;0.608219178082192&lt;/D&gt;&lt;D xsi:type="xsd:double"&gt;0.603932584269663&lt;/D&gt;&lt;D xsi:type="xsd:double"&gt;0.598265895953757&lt;/D&gt;&lt;D xsi:type="xsd:double"&gt;0.618075801749271&lt;/D&gt;&lt;D xsi:type="xsd:double"&gt;0.606060606060606&lt;/D&gt;&lt;D xsi:type="xsd:double"&gt;0.560509554140127&lt;/D&gt;&lt;D xsi:type="xsd:double"&gt;0.529801324503311&lt;/D&gt;&lt;D xsi:type="xsd:double"&gt;0.529209621993127&lt;/D&gt;&lt;D xsi:type="xsd:double"&gt;0.524475524475524&lt;/D&gt;&lt;D xsi:type="xsd:double"&gt;0.522648083623693&lt;/D&gt;&lt;D xsi:type="xsd:double"&gt;0.51056338028169&lt;/D&gt;&lt;D xsi:type="xsd:double"&gt;0.507142857142857&lt;/D&gt;&lt;D xsi:type="xsd:double"&gt;0.5&lt;/D&gt;&lt;D xsi:type="xsd:double"&gt;0.50709219858156&lt;/D&gt;&lt;D xsi:type="xsd:double"&gt;0.503597122302158&lt;/D&gt;&lt;D xsi:type="xsd:double"&gt;0.501845018450184&lt;/D&gt;&lt;D xsi:type="xsd:double"&gt;0.515037593984962&lt;/D&gt;&lt;D xsi:type="xsd:double"&gt;0.505576208178439&lt;/D&gt;&lt;D xsi:type="xsd:double"&gt;0.5&lt;/D&gt;&lt;D xsi:type="xsd:double"&gt;0.518939393939394&lt;/D&gt;&lt;D xsi:type="xsd:double"&gt;0.516&lt;/D&gt;&lt;D xsi:type="xsd:double"&gt;0.514522821576763&lt;/D&gt;&lt;D xsi:type="xsd:double"&gt;0.547169811320755&lt;/D&gt;&lt;D xsi:type="xsd:double"&gt;0.525691699604743&lt;/D&gt;&lt;D xsi:type="xsd:double"&gt;0.531496062992126&lt;/D&gt;&lt;D xsi:type="xsd:double"&gt;0.533864541832669&lt;/D&gt;&lt;D xsi:type="xsd:double"&gt;0.523809523809524&lt;/D&gt;&lt;D xsi:type="xsd:double"&gt;0.525490196078431&lt;/D&gt;&lt;D xsi:type="xsd:double"&gt;0.519230769230769&lt;/D&gt;&lt;D xsi:type="xsd:double"&gt;0.522900763358779&lt;/D&gt;&lt;D xsi:type="xsd:double"&gt;0.533333333333333&lt;/D&gt;&lt;D xsi:type="xsd:double"&gt;0.528776978417266&lt;/D&gt;&lt;D xsi:type="xsd:double"&gt;0.543165467625899&lt;/D&gt;&lt;D xsi:type="xsd:double"&gt;0.569395017793594&lt;/D&gt;&lt;D xsi:type="xsd:double"&gt;0.553113553113553&lt;/D&gt;&lt;D xsi:type="xsd:double"&gt;0.541818181818182&lt;/D&gt;&lt;D xsi:type="xsd:double"&gt;0.570909090909091&lt;/D&gt;&lt;D xsi:type="xsd:double"&gt;0.557971014492754&lt;/D&gt;&lt;D xsi:type="xsd:double"&gt;0.563380281690141&lt;/D&gt;&lt;D xsi:type="xsd:double"&gt;0.567857142857143&lt;/D&gt;&lt;D xsi:type="xsd:double"&gt;0.562913907284768&lt;/D&gt;&lt;D xsi:type="xsd:double"&gt;0.542483660130719&lt;/D&gt;&lt;D xsi:type="xsd:double"&gt;0.545454545454545&lt;/D&gt;&lt;D xsi:type="xsd:double"&gt;0.529605263157895&lt;/D&gt;&lt;D xsi:type="xsd:double"&gt;0.534653465346535&lt;/D&gt;&lt;D xsi:type="xsd:double"&gt;0.567934782608696&lt;/D&gt;&lt;D xsi:type="xsd:double"&gt;0.570291777188329&lt;/D&gt;&lt;D xsi:type="xsd:double"&gt;0.566489361702128&lt;/D&gt;&lt;D xsi:type="xsd:double"&gt;0.566844919786096&lt;/D&gt;&lt;D xsi:type="xsd:double"&gt;0.57311320754717&lt;/D&gt;&lt;D xsi:type="xsd:double"&gt;0.57345971563981&lt;/D&gt;&lt;D xsi:type="xsd:double"&gt;0.578454332552693&lt;/D&gt;&lt;D xsi:type="xsd:double"&gt;0.578823529411765&lt;/D&gt;&lt;D xsi:type="xsd:double"&gt;0.580568720379147&lt;/D&gt;&lt;D xsi:type="xsd:double"&gt;0.578231292517007&lt;/D&gt;&lt;D xsi:type="xsd:double"&gt;0.573059360730594&lt;/D&gt;&lt;D xsi:type="xsd:double"&gt;0.569794050343249&lt;/D&gt;&lt;D xsi:type="xsd:double"&gt;0.564220183486238&lt;/D&gt;&lt;D xsi:type="xsd:double"&gt;0.565819861431871&lt;/D&gt;&lt;D xsi:type="xsd:double"&gt;0.554022988505747&lt;/D&gt;&lt;D xsi:type="xsd:double"&gt;0.548837209302326&lt;/D&gt;&lt;D xsi:type="xsd:double"&gt;0.522352941176471&lt;/D&gt;&lt;D xsi:type="xsd:double"&gt;0.523696682464455&lt;/D&gt;&lt;D xsi:type="xsd:double"&gt;0.509661835748792&lt;/D&gt;&lt;D xsi:type="xsd:double"&gt;0.506024096385542&lt;/D&gt;&lt;D xsi:type="xsd:double"&gt;0.495121951219512&lt;/D&gt;&lt;D xsi:type="xsd:double"&gt;0.474489795918367&lt;/D&gt;&lt;D xsi:type="xsd:double"&gt;0.475452196382429&lt;/D&gt;&lt;D xsi:type="xsd:double"&gt;0.470744680851064&lt;/D&gt;&lt;D xsi:type="xsd:double"&gt;0.452380952380952&lt;/D&gt;&lt;D xsi:type="xsd:double"&gt;0.445623342175066&lt;/D&gt;&lt;D xsi:type="xsd:double"&gt;0.412398921832884&lt;/D&gt;&lt;D xsi:type="xsd:double"&gt;0.36986301369863&lt;/D&gt;&lt;D xsi:type="xsd:double"&gt;0.365921787709497&lt;/D&gt;&lt;D xsi:type="xsd:double"&gt;0.367231638418079&lt;/D&gt;&lt;D xsi:type="xsd:double"&gt;0.370786516853933&lt;/D&gt;&lt;D xsi:type="xsd:double"&gt;0.346478873239437&lt;/D&gt;&lt;D xsi:type="xsd:double"&gt;0.365439093484419&lt;/D&gt;&lt;D xsi:type="xsd:double"&gt;0.367052023121387&lt;/D&gt;&lt;D xsi:type="xsd:double"&gt;0.337349397590361&lt;/D&gt;&lt;D xsi:type="xsd:double"&gt;0.329113924050633&lt;/D&gt;&lt;D xsi:type="xsd:double"&gt;0.346153846153846&lt;/D&gt;&lt;D xsi:type="xsd:double"&gt;0.383838383838384&lt;/D&gt;&lt;D xsi:type="xsd:double"&gt;0.392491467576792&lt;/D&gt;&lt;D xsi:type="xsd:double"&gt;0.425249169435216&lt;/D&gt;&lt;D xsi:type="xsd:double"&gt;0.384879725085911&lt;/D&gt;&lt;D xsi:type="xsd:double"&gt;0.388111888111888&lt;/D&gt;&lt;D xsi:type="xsd:double"&gt;0.402135231316726&lt;/D&gt;&lt;D xsi:type="xsd:double"&gt;0.41304347826087&lt;/D&gt;&lt;D xsi:type="xsd:double"&gt;0.442105263157895&lt;/D&gt;&lt;D xsi:type="xsd:double"&gt;0.450704225352113&lt;/D&gt;&lt;D xsi:type="xsd:double"&gt;0.470175438596491&lt;/D&gt;&lt;D xsi:type="xsd:double"&gt;0.466192170818505&lt;/D&gt;&lt;D xsi:type="xsd:double"&gt;0.467625899280576&lt;/D&gt;&lt;D xsi:type="xsd:double"&gt;0.479452054794521&lt;/D&gt;&lt;D xsi:type="xsd:double"&gt;0.476190476190476&lt;/D&gt;&lt;D xsi:type="xsd:double"&gt;0.479591836734694&lt;/D&gt;&lt;D xsi:type="xsd:double"&gt;0.45993031358885&lt;/D&gt;&lt;D xsi:type="xsd:double"&gt;0.460714285714286&lt;/D&gt;&lt;D xsi:type="xsd:double"&gt;0.483221476510067&lt;/D&gt;&lt;D xsi:type="xsd:double"&gt;0.486666666666667&lt;/D&gt;&lt;D xsi:type="xsd:double"&gt;0.498293515358362&lt;/D&gt;&lt;D xsi:type="xsd:double"&gt;0.501730103806228&lt;/D&gt;&lt;D xsi:type="xsd:double"&gt;0.5&lt;/D&gt;&lt;D xsi:type="xsd:double"&gt;0.495268138801262&lt;/D&gt;&lt;D xsi:type="xsd:double"&gt;0.504615384615385&lt;/D&gt;&lt;D xsi:type="xsd:double"&gt;0.495412844036697&lt;/D&gt;&lt;D xsi:type="xsd:double"&gt;0.49375&lt;/D&gt;&lt;D xsi:type="xsd:double"&gt;0.546174142480211&lt;/D&gt;&lt;D xsi:type="xsd:double"&gt;0.554123711340206&lt;/D&gt;&lt;D xsi:type="xsd:double"&gt;0.546835443037975&lt;/D&gt;&lt;D xsi:type="xsd:double"&gt;0.547557840616967&lt;/D&gt;&lt;D xsi:type="xsd:double"&gt;0.552083333333333&lt;/D&gt;&lt;D xsi:type="xsd:double"&gt;0.569086651053864&lt;/D&gt;&lt;D xsi:type="xsd:double"&gt;0.568129330254042&lt;/D&gt;&lt;D xsi:type="xsd:double"&gt;0.560364464692483&lt;/D&gt;&lt;D xsi:type="xsd:double"&gt;0.556064073226545&lt;/D&gt;&lt;D xsi:type="xsd:double"&gt;0.560640732265446&lt;/D&gt;&lt;D xsi:type="xsd:double"&gt;0.557483731019523&lt;/D&gt;&lt;D xsi:type="xsd:double"&gt;0.559912854030501&lt;/D&gt;&lt;D xsi:type="xsd:double"&gt;0.550976138828633&lt;/D&gt;&lt;D xsi:type="xsd:double"&gt;0.555555555555556&lt;/D&gt;&lt;D xsi:type="xsd:double"&gt;0.551948051948052&lt;/D&gt;&lt;D xsi:type="xsd:double"&gt;0.543103448275862&lt;/D&gt;&lt;D xsi:type="xsd:double"&gt;0.535637149028078&lt;/D&gt;&lt;D xsi:type="xsd:double"&gt;0.523605150214592&lt;/D&gt;&lt;D xsi:type="xsd:double"&gt;0.506493506493506&lt;/D&gt;&lt;D xsi:type="xsd:double"&gt;0.508771929824561&lt;/D&gt;&lt;D xsi:type="xsd:double"&gt;0.504366812227074&lt;/D&gt;&lt;D xsi:type="xsd:double"&gt;0.501113585746102&lt;/D&gt;&lt;D xsi:type="xsd:double"&gt;0.479545454545455&lt;/D&gt;&lt;D xsi:type="xsd:double"&gt;0.445727482678984&lt;/D&gt;&lt;D xsi:type="xsd:double"&gt;0.447058823529412&lt;/D&gt;&lt;D xsi:type="xsd:double"&gt;0.441805225653207&lt;/D&gt;&lt;D xsi:type="xsd:double"&gt;0.436320754716981&lt;/D&gt;&lt;D xsi:type="xsd:double"&gt;0.432304038004751&lt;/D&gt;&lt;D xsi:type="xsd:double"&gt;0.42822966507177&lt;/D&gt;&lt;D xsi:type="xsd:double"&gt;0.426150121065375&lt;/D&gt;&lt;D xsi:type="xsd:double"&gt;0.418886198547215&lt;/D&gt;&lt;D xsi:type="xsd:double"&gt;0.413793103448276&lt;/D&gt;&lt;D xsi:type="xsd:double"&gt;0.416666666666667&lt;/D&gt;&lt;D xsi:type="xsd:double"&gt;0.414141414141414&lt;/D&gt;&lt;D xsi:type="xsd:double"&gt;0.424870466321244&lt;/D&gt;&lt;D xsi:type="xsd:double"&gt;0.412987012987013&lt;/D&gt;&lt;D xsi:type="xsd:double"&gt;0.408488063660477&lt;/D&gt;&lt;D xsi:type="xsd:double"&gt;0.392857142857143&lt;/D&gt;&lt;D xsi:type="xsd:double"&gt;0.397790055248619&lt;/D&gt;&lt;D xsi:type="xsd:double"&gt;0.389684813753582&lt;/D&gt;&lt;D xsi:type="xsd:double"&gt;0.398280802292264&lt;/D&gt;&lt;D xsi:type="xsd:double"&gt;0.399408284023669&lt;/D&gt;&lt;D xsi:type="xsd:double"&gt;0.413489736070381&lt;/D&gt;&lt;D xsi:type="xsd:double"&gt;0.407624633431085&lt;/D&gt;&lt;D xsi:type="xsd:double"&gt;0.40117994100295&lt;/D&gt;&lt;D xsi:type="xsd:double"&gt;0.39039039039039&lt;/D&gt;&lt;D xsi:type="xsd:double"&gt;0.409090909090909&lt;/D&gt;&lt;D xsi:type="xsd:double"&gt;0.409090909090909&lt;/D&gt;&lt;D xsi:type="xsd:double"&gt;0.41304347826087&lt;/D&gt;&lt;D xsi:type="xsd:double"&gt;0.424778761061947&lt;/D&gt;&lt;D xsi:type="xsd:double"&gt;0.43108504398827&lt;/D&gt;&lt;D xsi:type="xsd:double"&gt;0.419939577039275&lt;/D&gt;&lt;D xsi:type="xsd:double"&gt;0.431192660550459&lt;/D&gt;&lt;D xsi:type="xsd:double"&gt;0.429467084639498&lt;/D&gt;&lt;D xsi:type="xsd:double"&gt;0.471471471471471&lt;/D&gt;&lt;D xsi:type="xsd:double"&gt;0.481481481481481&lt;/D&gt;&lt;D xsi:type="xsd:double"&gt;0.490740740740741&lt;/D&gt;&lt;D xsi:type="xsd:double"&gt;0.489028213166144&lt;/D&gt;&lt;D xsi:type="xsd:double"&gt;0.496815286624204&lt;/D&gt;&lt;D xsi:type="xsd:double"&gt;0.513677811550152&lt;/D&gt;&lt;D xsi:type="xsd:double"&gt;0.514880952380952&lt;/D&gt;&lt;D xsi:type="xsd:double"&gt;0.529411764705882&lt;/D&gt;&lt;D xsi:type="xsd:double"&gt;0.532544378698225&lt;/D&gt;&lt;D xsi:type="xsd:double"&gt;0.532934131736527&lt;/D&gt;&lt;D xsi:type="xsd:double"&gt;0.577720207253886&lt;/D&gt;&lt;D xsi:type="xsd:double"&gt;0.575197889182058&lt;/D&gt;&lt;D xsi:type="xsd:double"&gt;0.581151832460733&lt;/D&gt;&lt;D xsi:type="xsd:double"&gt;0.579220779220779&lt;/D&gt;&lt;D xsi:type="xsd:double"&gt;0.606714628297362&lt;/D&gt;&lt;D xsi:type="xsd:double"&gt;0.591647331786543&lt;/D&gt;&lt;D xsi:type="xsd:double"&gt;0.587557603686636&lt;/D&gt;&lt;D xsi:type="xsd:double"&gt;0.592760180995475&lt;/D&gt;&lt;D xsi:type="xsd:double"&gt;0.594533029612756&lt;/D&gt;&lt;D xsi:type="xsd:double"&gt;0.604910714285714&lt;/D&gt;&lt;D xsi:type="xsd:double"&gt;0.604444444444444&lt;/D&gt;&lt;D xsi:type="xsd:double"&gt;0.616228070175439&lt;/D&gt;&lt;D xsi:type="xsd:double"&gt;0.621212121212121&lt;/D&gt;&lt;D xsi:type="xsd:double"&gt;0.62472885032538&lt;/D&gt;&lt;D xsi:type="xsd:double"&gt;0.621794871794872&lt;/D&gt;&lt;D xsi:type="xsd:double"&gt;0.608602150537634&lt;/D&gt;&lt;D xsi:type="xsd:double"&gt;0.61437908496732&lt;/D&gt;&lt;D xsi:type="xsd:double"&gt;0.613882863340564&lt;/D&gt;&lt;D xsi:type="xsd:double"&gt;0.611842105263158&lt;/D&gt;&lt;D xsi:type="xsd:double"&gt;0.602620087336245&lt;/D&gt;&lt;D xsi:type="xsd:double"&gt;0.588495575221239&lt;/D&gt;&lt;D xsi:type="xsd:double"&gt;0.561521252796421&lt;/D&gt;&lt;D xsi:type="xsd:double"&gt;0.546067415730337&lt;/D&gt;&lt;D xsi:type="xsd:double"&gt;0.533180778032037&lt;/D&gt;&lt;D xsi:type="xsd:double"&gt;0.528604118993135&lt;/D&gt;&lt;D xsi:type="xsd:double"&gt;0.525345622119816&lt;/D&gt;&lt;D xsi:type="xsd:double"&gt;0.52112676056</t>
        </r>
      </text>
    </comment>
    <comment ref="A38" authorId="0" shapeId="0" xr:uid="{A4457DB2-5CDE-45AE-980B-EF48D40BEBFE}">
      <text>
        <r>
          <rPr>
            <b/>
            <sz val="9"/>
            <color indexed="81"/>
            <rFont val="Tahoma"/>
            <charset val="1"/>
          </rPr>
          <t>338&lt;/D&gt;&lt;D xsi:type="xsd:double"&gt;0.507211538461538&lt;/D&gt;&lt;D xsi:type="xsd:double"&gt;0.5&lt;/D&gt;&lt;D xsi:type="xsd:double"&gt;0.493827160493827&lt;/D&gt;&lt;D xsi:type="xsd:double"&gt;0.488607594936709&lt;/D&gt;&lt;D xsi:type="xsd:double"&gt;0.485714285714286&lt;/D&gt;&lt;D xsi:type="xsd:double"&gt;0.471698113207547&lt;/D&gt;&lt;D xsi:type="xsd:double"&gt;0.446236559139785&lt;/D&gt;&lt;D xsi:type="xsd:double"&gt;0.444743935309973&lt;/D&gt;&lt;D xsi:type="xsd:double"&gt;0.434540389972145&lt;/D&gt;&lt;D xsi:type="xsd:double"&gt;0.441011235955056&lt;/D&gt;&lt;D xsi:type="xsd:double"&gt;0.429799426934097&lt;/D&gt;&lt;D xsi:type="xsd:double"&gt;0.43646408839779&lt;/D&gt;&lt;D xsi:type="xsd:double"&gt;0.450704225352113&lt;/D&gt;&lt;D xsi:type="xsd:double"&gt;0.452449567723343&lt;/D&gt;&lt;D xsi:type="xsd:double"&gt;0.464497041420118&lt;/D&gt;&lt;D xsi:type="xsd:double"&gt;0.466463414634146&lt;/D&gt;&lt;D xsi:type="xsd:double"&gt;0.445454545454545&lt;/D&gt;&lt;D xsi:type="xsd:double"&gt;0.43312101910828&lt;/D&gt;&lt;D xsi:type="xsd:double"&gt;0.442675159235669&lt;/D&gt;&lt;D xsi:type="xsd:double"&gt;0.4375&lt;/D&gt;&lt;D xsi:type="xsd:double"&gt;0.43613707165109&lt;/D&gt;&lt;D xsi:type="xsd:double"&gt;0.44794952681388&lt;/D&gt;&lt;D xsi:type="xsd:double"&gt;0.452830188679245&lt;/D&gt;&lt;D xsi:type="xsd:double"&gt;0.43167701863354&lt;/D&gt;&lt;D xsi:type="xsd:double"&gt;0.437308868501529&lt;/D&gt;&lt;D xsi:type="xsd:double"&gt;0.428571428571429&lt;/D&gt;&lt;D xsi:type="xsd:double"&gt;0.436950146627566&lt;/D&gt;&lt;D xsi:type="xsd:double"&gt;0.418879056047198&lt;/D&gt;&lt;D xsi:type="xsd:double"&gt;0.425595238095238&lt;/D&gt;&lt;D xsi:type="xsd:double"&gt;0.422857142857143&lt;/D&gt;&lt;D xsi:type="xsd:double"&gt;0.418994413407821&lt;/D&gt;&lt;D xsi:type="xsd:double"&gt;0.415512465373961&lt;/D&gt;&lt;D xsi:type="xsd:double"&gt;0.410810810810811&lt;/D&gt;&lt;D xsi:type="xsd:double"&gt;0.41688654353562&lt;/D&gt;&lt;D xsi:type="xsd:double"&gt;0.411311053984576&lt;/D&gt;&lt;D xsi:type="xsd:double"&gt;0.406091370558376&lt;/D&gt;&lt;D xsi:type="xsd:double"&gt;0.396984924623116&lt;/D&gt;&lt;D xsi:type="xsd:double"&gt;0.672535211267606&lt;/D&gt;&lt;D xsi:type="xsd:double"&gt;0.66189111747851&lt;/D&gt;&lt;D xsi:type="xsd:double"&gt;0.654761904761905&lt;/D&gt;&lt;D xsi:type="xsd:double"&gt;0.649700598802395&lt;/D&gt;&lt;D xsi:type="xsd:double"&gt;0.637795275590551&lt;/D&gt;&lt;D xsi:type="xsd:double"&gt;0.633245382585752&lt;/D&gt;&lt;D xsi:type="xsd:double"&gt;0.631436314363144&lt;/D&gt;&lt;D xsi:type="xsd:double"&gt;0.624309392265193&lt;/D&gt;&lt;D xsi:type="xsd:double"&gt;0.602631578947368&lt;/D&gt;&lt;D xsi:type="xsd:double"&gt;0.602631578947368&lt;/D&gt;&lt;D xsi:type="xsd:double"&gt;0.579514824797844&lt;/D&gt;&lt;D xsi:type="xsd:double"&gt;0.556473829201102&lt;/D&gt;&lt;D xsi:type="xsd:double"&gt;0.548476454293629&lt;/D&gt;&lt;D xsi:type="xsd:double"&gt;0.550135501355014&lt;/D&gt;&lt;D xsi:type="xsd:double"&gt;0.535714285714286&lt;/D&gt;&lt;D xsi:type="xsd:double"&gt;0.514044943820225&lt;/D&gt;&lt;D xsi:type="xsd:double"&gt;0.51304347826087&lt;/D&gt;&lt;D xsi:type="xsd:double"&gt;0.505882352941176&lt;/D&gt;&lt;D xsi:type="xsd:double"&gt;0.49584487534626&lt;/D&gt;&lt;D xsi:type="xsd:double"&gt;0.46927374301676&lt;/D&gt;&lt;D xsi:type="xsd:double"&gt;0.451977401129944&lt;/D&gt;&lt;D xsi:type="xsd:double"&gt;0.430232558139535&lt;/D&gt;&lt;D xsi:type="xsd:double"&gt;0.414201183431953&lt;/D&gt;&lt;D xsi:type="xsd:double"&gt;0.418879056047198&lt;/D&gt;&lt;D xsi:type="xsd:double"&gt;0.421212121212121&lt;/D&gt;&lt;D xsi:type="xsd:double"&gt;0.411764705882353&lt;/D&gt;&lt;D xsi:type="xsd:double"&gt;0.407051282051282&lt;/D&gt;&lt;D xsi:type="xsd:double"&gt;0.396103896103896&lt;/D&gt;&lt;D xsi:type="xsd:double"&gt;0.374581939799331&lt;/D&gt;&lt;D xsi:type="xsd:double"&gt;0.367003367003367&lt;/D&gt;&lt;D xsi:type="xsd:double"&gt;0.369127516778524&lt;/D&gt;&lt;D xsi:type="xsd:double"&gt;0.370748299319728&lt;/D&gt;&lt;D xsi:type="xsd:double"&gt;0.376237623762376&lt;/D&gt;&lt;D xsi:type="xsd:double"&gt;0.378839590443686&lt;/D&gt;&lt;D xsi:type="xsd:double"&gt;0.371134020618557&lt;/D&gt;&lt;D xsi:type="xsd:double"&gt;0.384615384615385&lt;/D&gt;&lt;D xsi:type="xsd:double"&gt;0.39051094890511&lt;/D&gt;&lt;D xsi:type="xsd:double"&gt;0.39426523297491&lt;/D&gt;&lt;D xsi:type="xsd:double"&gt;0.413284132841328&lt;/D&gt;&lt;D xsi:type="xsd:double"&gt;0.412213740458015&lt;/D&gt;&lt;D xsi:type="xsd:double"&gt;0.412&lt;/D&gt;&lt;D xsi:type="xsd:double"&gt;0.434615384615385&lt;/D&gt;&lt;D xsi:type="xsd:double"&gt;0.44106463878327&lt;/D&gt;&lt;D xsi:type="xsd:double"&gt;0.439393939393939&lt;/D&gt;&lt;D xsi:type="xsd:double"&gt;0.435114503816794&lt;/D&gt;&lt;D xsi:type="xsd:double"&gt;0.437037037037037&lt;/D&gt;&lt;D xsi:type="xsd:double"&gt;0.444029850746269&lt;/D&gt;&lt;D xsi:type="xsd:double"&gt;0.458646616541353&lt;/D&gt;&lt;D xsi:type="xsd:double"&gt;0.47037037037037&lt;/D&gt;&lt;D xsi:type="xsd:double"&gt;0.479553903345725&lt;/D&gt;&lt;D xsi:type="xsd:double"&gt;0.469534050179211&lt;/D&gt;&lt;D xsi:type="xsd:double"&gt;0.468085106382979&lt;/D&gt;&lt;D xsi:type="xsd:double"&gt;0.487544483985765&lt;/D&gt;&lt;D xsi:type="xsd:double"&gt;0.501706484641638&lt;/D&gt;&lt;D xsi:type="xsd:double"&gt;0.501706484641638&lt;/D&gt;&lt;D xsi:type="xsd:double"&gt;0.537704918032787&lt;/D&gt;&lt;D xsi:type="xsd:double"&gt;0.558823529411765&lt;/D&gt;&lt;D xsi:type="xsd:double"&gt;0.564356435643564&lt;/D&gt;&lt;D xsi:type="xsd:double"&gt;0.569023569023569&lt;/D&gt;&lt;D xsi:type="xsd:double"&gt;0.612121212121212&lt;/D&gt;&lt;D xsi:type="xsd:double"&gt;0.591304347826087&lt;/D&gt;&lt;D xsi:type="xsd:double"&gt;0.617142857142857&lt;/D&gt;&lt;D xsi:type="xsd:double"&gt;0.629737609329446&lt;/D&gt;&lt;D xsi:type="xsd:double"&gt;0.627906976744186&lt;/D&gt;&lt;D xsi:type="xsd:double"&gt;0.64735516372796&lt;/D&gt;&lt;D xsi:type="xsd:double"&gt;0.641148325358852&lt;/D&gt;&lt;D xsi:type="xsd:double"&gt;0.640963855421687&lt;/D&gt;&lt;D xsi:type="xsd:double"&gt;0.639902676399027&lt;/D&gt;&lt;D xsi:type="xsd:double"&gt;0.645308924485126&lt;/D&gt;&lt;D xsi:type="xsd:double"&gt;0.650684931506849&lt;/D&gt;&lt;D xsi:type="xsd:double"&gt;0.646788990825688&lt;/D&gt;&lt;D xsi:type="xsd:double"&gt;0.650574712643678&lt;/D&gt;&lt;D xsi:type="xsd:double"&gt;0.648837209302326&lt;/D&gt;&lt;D xsi:type="xsd:double"&gt;0.648018648018648&lt;/D&gt;&lt;D xsi:type="xsd:double"&gt;0.634259259259259&lt;/D&gt;&lt;D xsi:type="xsd:double"&gt;0.626168224299065&lt;/D&gt;&lt;D xsi:type="xsd:double"&gt;0.616666666666667&lt;/D&gt;&lt;D xsi:type="xsd:double"&gt;0.608695652173913&lt;/D&gt;&lt;D xsi:type="xsd:double"&gt;0.6&lt;/D&gt;&lt;D xsi:type="xsd:double"&gt;0.587378640776699&lt;/D&gt;&lt;D xsi:type="xsd:double"&gt;0.570707070707071&lt;/D&gt;&lt;D xsi:type="xsd:double"&gt;0.55699481865285&lt;/D&gt;&lt;D xsi:type="xsd:double"&gt;0.543080939947781&lt;/D&gt;&lt;D xsi:type="xsd:double"&gt;0.530927835051546&lt;/D&gt;&lt;D xsi:type="xsd:double"&gt;0.521052631578947&lt;/D&gt;&lt;D xsi:type="xsd:double"&gt;0.509283819628647&lt;/D&gt;&lt;D xsi:type="xsd:double"&gt;0.491847826086957&lt;/D&gt;&lt;D xsi:type="xsd:double"&gt;0.483240223463687&lt;/D&gt;&lt;D xsi:type="xsd:double"&gt;0.497206703910615&lt;/D&gt;&lt;D xsi:type="xsd:double"&gt;0.495726495726496&lt;/D&gt;&lt;D xsi:type="xsd:double"&gt;0.494219653179191&lt;/D&gt;&lt;D xsi:type="xsd:double"&gt;0.48695652173913&lt;/D&gt;&lt;D xsi:type="xsd:double"&gt;0.483582089552239&lt;/D&gt;&lt;D xsi:type="xsd:double"&gt;0.48048048048048&lt;/D&gt;&lt;D xsi:type="xsd:double"&gt;0.475757575757576&lt;/D&gt;&lt;D xsi:type="xsd:double"&gt;0.459876543209877&lt;/D&gt;&lt;D xsi:type="xsd:double"&gt;0.463022508038585&lt;/D&gt;&lt;D xsi:type="xsd:double"&gt;0.467105263157895&lt;/D&gt;&lt;D xsi:type="xsd:double"&gt;0.476666666666667&lt;/D&gt;&lt;D xsi:type="xsd:double"&gt;0.503378378378378&lt;/D&gt;&lt;D xsi:type="xsd:double"&gt;0.521739130434783&lt;/D&gt;&lt;D xsi:type="xsd:double"&gt;0.512280701754386&lt;/D&gt;&lt;D xsi:type="xsd:double"&gt;0.508960573476703&lt;/D&gt;&lt;D xsi:type="xsd:double"&gt;0.529616724738676&lt;/D&gt;&lt;D xsi:type="xsd:double"&gt;0.539007092198582&lt;/D&gt;&lt;D xsi:type="xsd:double"&gt;0.554307116104869&lt;/D&gt;&lt;D xsi:type="xsd:double"&gt;0.554716981132075&lt;/D&gt;&lt;D xsi:type="xsd:double"&gt;0.573122529644269&lt;/D&gt;&lt;D xsi:type="xsd:double"&gt;0.585820895522388&lt;/D&gt;&lt;D xsi:type="xsd:double"&gt;0.569852941176471&lt;/D&gt;&lt;D xsi:type="xsd:double"&gt;0.605839416058394&lt;/D&gt;&lt;D xsi:type="xsd:double"&gt;0.610486891385768&lt;/D&gt;&lt;D xsi:type="xsd:double"&gt;0.616858237547893&lt;/D&gt;&lt;D xsi:type="xsd:double"&gt;0.625454545454545&lt;/D&gt;&lt;D xsi:type="xsd:double"&gt;0.639285714285714&lt;/D&gt;&lt;D xsi:type="xsd:double"&gt;0.644366197183099&lt;/D&gt;&lt;D xsi:type="xsd:double"&gt;0.647482014388489&lt;/D&gt;&lt;D xsi:type="xsd:double"&gt;0.654411764705882&lt;/D&gt;&lt;D xsi:type="xsd:double"&gt;0.643097643097643&lt;/D&gt;&lt;D xsi:type="xsd:double"&gt;0.652317880794702&lt;/D&gt;&lt;D xsi:type="xsd:double"&gt;0.637540453074434&lt;/D&gt;&lt;D xsi:type="xsd:double"&gt;0.638436482084691&lt;/D&gt;&lt;D xsi:type="xsd:double"&gt;0.668604651162791&lt;/D&gt;&lt;D xsi:type="xsd:double"&gt;0.676966292134832&lt;/D&gt;&lt;D xsi:type="xsd:double"&gt;0.668508287292818&lt;/D&gt;&lt;D xsi:type="xsd:double"&gt;0.664819944598338&lt;/D&gt;&lt;D xsi:type="xsd:double"&gt;0.66016713091922&lt;/D&gt;&lt;D xsi:type="xsd:double"&gt;0.67481662591687&lt;/D&gt;&lt;D xsi:type="xsd:double"&gt;0.677725118483412&lt;/D&gt;&lt;D xsi:type="xsd:double"&gt;0.670616113744076&lt;/D&gt;&lt;D xsi:type="xsd:double"&gt;0.670644391408115&lt;/D&gt;&lt;D xsi:type="xsd:double"&gt;0.668257756563246&lt;/D&gt;&lt;D xsi:type="xsd:double"&gt;0.678651685393258&lt;/D&gt;&lt;D xsi:type="xsd:double"&gt;0.684684684684685&lt;/D&gt;&lt;D xsi:type="xsd:double"&gt;0.682432432432432&lt;/D&gt;&lt;D xsi:type="xsd:double"&gt;0.679545454545455&lt;/D&gt;&lt;D xsi:type="xsd:double"&gt;0.677345537757437&lt;/D&gt;&lt;D xsi:type="xsd:double"&gt;0.659955257270693&lt;/D&gt;&lt;D xsi:type="xsd:double"&gt;0.669662921348315&lt;/D&gt;&lt;D xsi:type="xsd:double"&gt;0.663656884875847&lt;/D&gt;&lt;D xsi:type="xsd:double"&gt;0.653061224489796&lt;/D&gt;&lt;D xsi:type="xsd:double"&gt;0.658314350797267&lt;/D&gt;&lt;D xsi:type="xsd:double"&gt;0.663594470046083&lt;/D&gt;&lt;D xsi:type="xsd:double"&gt;0.650118203309693&lt;/D&gt;&lt;D xsi:type="xsd:double"&gt;0.634382566585956&lt;/D&gt;&lt;D xsi:type="xsd:double"&gt;0.604938271604938&lt;/D&gt;&lt;D xsi:type="xsd:double"&gt;0.593984962406015&lt;/D&gt;&lt;D xsi:type="xsd:double"&gt;0.5925&lt;/D&gt;&lt;D xsi:type="xsd:double"&gt;0.58656330749354&lt;/D&gt;&lt;D xsi:type="xsd:double"&gt;0.56282722513089&lt;/D&gt;&lt;D xsi:type="xsd:double"&gt;0.539083557951482&lt;/D&gt;&lt;D xsi:type="xsd:double"&gt;0.521857923497268&lt;/D&gt;&lt;D xsi:type="xsd:double"&gt;0.543010752688172&lt;/D&gt;&lt;D xsi:type="xsd:double"&gt;0.537396121883656&lt;/D&gt;&lt;D xsi:type="xsd:double"&gt;0.53257790368272&lt;/D&gt;&lt;D xsi:type="xsd:double"&gt;0.52&lt;/D&gt;&lt;D xsi:type="xsd:double"&gt;0.512968299711816&lt;/D&gt;&lt;D xsi:type="xsd:double"&gt;0.519061583577713&lt;/D&gt;&lt;D xsi:type="xsd:double"&gt;0.495548961424332&lt;/D&gt;&lt;D xsi:type="xsd:double"&gt;0.502994011976048&lt;/D&gt;&lt;D xsi:type="xsd:double"&gt;0.50920245398773&lt;/D&gt;&lt;D xsi:type="xsd:double"&gt;0.492354740061162&lt;/D&gt;&lt;D xsi:type="xsd:double"&gt;0.525157232704403&lt;/D&gt;&lt;D xsi:type="xsd:double"&gt;0.541935483870968&lt;/D&gt;&lt;D xsi:type="xsd:double"&gt;0.529220779220779&lt;/D&gt;&lt;D xsi:type="xsd:double"&gt;0.536423841059603&lt;/D&gt;&lt;D xsi:type="xsd:double"&gt;0.537735849056604&lt;/D&gt;&lt;D xsi:type="xsd:double"&gt;0.547169811320755&lt;/D&gt;&lt;D xsi:type="xsd:double"&gt;0.529968454258675&lt;/D&gt;&lt;D xsi:type="xsd:double"&gt;0.521311475409836&lt;/D&gt;&lt;D xsi:type="xsd:double"&gt;0.526845637583893&lt;/D&gt;&lt;D xsi:type="xsd:double"&gt;0.547540983606557&lt;/D&gt;&lt;D xsi:type="xsd:double"&gt;0.555932203389831&lt;/D&gt;&lt;D xsi:type="xsd:double"&gt;0.544520547945205&lt;/D&gt;&lt;D xsi:type="xsd:double"&gt;0.551601423487544&lt;/D&gt;&lt;D xsi:type="xsd:double"&gt;0.553191489361702&lt;/D&gt;&lt;D xsi:type="xsd:double"&gt;0.569965870307167&lt;/D&gt;&lt;D xsi:type="xsd:double"&gt;0.561461794019934&lt;/D&gt;&lt;D xsi:type="xsd:double"&gt;0.572368421052632&lt;/D&gt;&lt;D xsi:type="xsd:double"&gt;0.578947368421053&lt;/D&gt;&lt;D xsi:type="xsd:double"&gt;0.579124579124579&lt;/D&gt;&lt;D xsi:type="xsd:double"&gt;0.598784194528875&lt;/D&gt;&lt;D xsi:type="xsd:double"&gt;0.601190476190476&lt;/D&gt;&lt;D xsi:type="xsd:double"&gt;0.605263157894737&lt;/D&gt;&lt;D xsi:type="xsd:double"&gt;0.605341246290801&lt;/D&gt;&lt;D xsi:type="xsd:double"&gt;0.614243323442137&lt;/D&gt;&lt;D xsi:type="xsd:double"&gt;0.659459459459459&lt;/D&gt;&lt;D xsi:type="xsd:double"&gt;0.66578947368421&lt;/D&gt;&lt;D xsi:type="xsd:double"&gt;0.659517426273458&lt;/D&gt;&lt;D xsi:type="xsd:double"&gt;0.662303664921466&lt;/D&gt;&lt;D xsi:type="xsd:double"&gt;0.67710843373494&lt;/D&gt;&lt;D xsi:type="xsd:double"&gt;0.670588235294118&lt;/D&gt;&lt;D xsi:type="xsd:double"&gt;0.674473067915691&lt;/D&gt;&lt;D xsi:type="xsd:double"&gt;0.686915887850467&lt;/D&gt;&lt;D xsi:type="xsd:double"&gt;0.68997668997669&lt;/D&gt;&lt;D xsi:type="xsd:double"&gt;0.715596330275229&lt;/D&gt;&lt;D xsi:type="xsd:double"&gt;0.712018140589569&lt;/D&gt;&lt;D xsi:type="xsd:double"&gt;0.710045662100457&lt;/D&gt;&lt;D xsi:type="xsd:double"&gt;0.694570135746606&lt;/D&gt;&lt;D xsi:type="xsd:double"&gt;0.694760820045558&lt;/D&gt;&lt;D xsi:type="xsd:double"&gt;0.69248291571754&lt;/D&gt;&lt;D xsi:type="xsd:double"&gt;0.682648401826484&lt;/D&gt;&lt;D xsi:type="xsd:double"&gt;0.671296296296296&lt;/D&gt;&lt;D xsi:type="xsd:double"&gt;0.674473067915691&lt;/D&gt;&lt;D xsi:type="xsd:double"&gt;0.671428571428571&lt;/D&gt;&lt;D xsi:type="xsd:double"&gt;0.668235294117647&lt;/D&gt;&lt;D xsi:type="xsd:double"&gt;0.646489104116223&lt;/D&gt;&lt;D xsi:type="xsd:double"&gt;0.614427860696517&lt;/D&gt;&lt;D xsi:type="xsd:double"&gt;0.600502512562814&lt;/D&gt;&lt;D xsi:type="xsd:double"&gt;0.597435897435897&lt;/D&gt;&lt;D xsi:type="xsd:double"&gt;0.603580562659846&lt;/D&gt;&lt;D xsi:type="xsd:double"&gt;0.598958333333333&lt;/D&gt;&lt;D xsi:type="xsd:double"&gt;0.586206896551724&lt;/D&gt;&lt;D xsi:type="xsd:double"&gt;0.555555555555556&lt;/D&gt;&lt;D xsi:type="xsd:double"&gt;0.545706371191136&lt;/D&gt;&lt;D xsi:type="xsd:double"&gt;0.550408719346049&lt;/D&gt;&lt;D xsi:type="xsd:double"&gt;0.543956043956044&lt;/D&gt;&lt;D xsi:type="xsd:double"&gt;0.543909348441926&lt;/D&gt;&lt;D xsi:type="xsd:double"&gt;0.53314121037464&lt;/D&gt;&lt;D xsi:type="xsd:double"&gt;0.532163742690059&lt;/D&gt;&lt;D xsi:type="xsd:double"&gt;0.532212885154062&lt;/D&gt;&lt;D xsi:type="xsd:double"&gt;0.518207282913165&lt;/D&gt;&lt;D xsi:type="xsd:double"&gt;0.517142857142857&lt;/D&gt;&lt;D xsi:type="xsd:double"&gt;0.529585798816568&lt;/D&gt;&lt;D xsi:type="xsd:double"&gt;0.531914893617021&lt;/D&gt;&lt;D xsi:type="xsd:double"&gt;0.547550432276657&lt;/D&gt;&lt;D xsi:type="xsd:double"&gt;0.542274052478134&lt;/D&gt;&lt;D xsi:type="xsd:double"&gt;0.555555555555556&lt;/D&gt;&lt;D xsi:type="xsd:double"&gt;0.554896142433234&lt;/D&gt;&lt;D xsi:type="xsd:double"&gt;0.553516819571865&lt;/D&gt;&lt;D xsi:type="xsd:double"&gt;0.56797583081571&lt;/D&gt;&lt;D xsi:type="xsd:double"&gt;0.56969696969697&lt;/D&gt;&lt;D xsi:type="xsd:double"&gt;0.596330275229358&lt;/D&gt;&lt;D xsi:type="xsd:double"&gt;0.601226993865031&lt;/D&gt;&lt;D xsi:type="xsd:double"&gt;0.592705167173252&lt;/D&gt;&lt;D xsi:type="xsd:double"&gt;0.601796407185629&lt;/D&gt;&lt;D xsi:type="xsd:double"&gt;0.622418879056047&lt;/D&gt;&lt;D xsi:type="xsd:double"&gt;0.619760479041916&lt;/D&gt;&lt;D xsi:type="xsd:double"&gt;0.629411764705882&lt;/D&gt;&lt;D xsi:type="xsd:double"&gt;0.628654970760234&lt;/D&gt;&lt;D xsi:type="xsd:double"&gt;0.648725212464589&lt;/D&gt;&lt;D xsi:type="xsd:double"&gt;0.654494382022472&lt;/D&gt;&lt;D xsi:type="xsd:double"&gt;0.66016713091922&lt;/D&gt;&lt;D xsi:type="xsd:double"&gt;0.672176308539945&lt;/D&gt;&lt;D xsi:type="xsd:double"&gt;0.658263305322129&lt;/D&gt;&lt;D xsi:type="xsd:double"&gt;0.682926829268293&lt;/D&gt;&lt;D xsi:type="xsd:double"&gt;0.684895833333333&lt;/D&gt;&lt;D xsi:type="xsd:double"&gt;0.701298701298701&lt;/D&gt;&lt;D xsi:type="xsd:double"&gt;0.707253886010363&lt;/D&gt;&lt;D xsi:type="xsd:double"&gt;0.728426395939086&lt;/D&gt;&lt;D xsi:type="xsd:double"&gt;0.73697270471464&lt;/D&gt;&lt;D xsi:type="xsd:double"&gt;0.758169934640523&lt;/D&gt;&lt;D xsi:type="xsd:double"&gt;0.778097982708934&lt;/D&gt;&lt;D xsi:type="xsd:double"&gt;0.776470588235294&lt;/D&gt;&lt;D xsi:type="xsd:double"&gt;0.774025974025974&lt;/D&gt;&lt;D xsi:type="xsd:double"&gt;0.767857142857143&lt;/D&gt;&lt;D xsi:type="xsd:double"&gt;0.760416666666667&lt;/D&gt;&lt;D xsi:type="xsd:double"&gt;0.75130890052356&lt;/D&gt;&lt;D xsi:type="xsd:double"&gt;0.75187969924812&lt;/D&gt;&lt;D xsi:type="xsd:double"&gt;0.746231155778894&lt;/D&gt;&lt;D xsi:type="xsd:double"&gt;0.748717948717949&lt;/D&gt;&lt;D xsi:type="xsd:double"&gt;0.746113989637306&lt;/D&gt;&lt;D xsi:type="xsd:double"&gt;0.741514360313316&lt;/D&gt;&lt;D xsi:type="xsd:double"&gt;0.732647814910026&lt;/D&gt;&lt;D xsi:type="xsd:double"&gt;0.727979274611399&lt;/D&gt;&lt;D xsi:type="xsd:double"&gt;0.715789473684211&lt;/D&gt;&lt;D xsi:type="xsd:double"&gt;0.711590296495957&lt;/D&gt;&lt;D xsi:type="xsd:double"&gt;0.715469613259669&lt;/D&gt;&lt;D xsi:type="xsd:double"&gt;0.712737127371274&lt;/D&gt;&lt;D xsi:type="xsd:double"&gt;0.708446866485014&lt;/D&gt;&lt;D xsi:type="xsd:double"&gt;0.694050991501416&lt;/D&gt;&lt;D xsi:type="xsd:double"&gt;0.675516224188791&lt;/D&gt;&lt;D xsi:type="xsd:double"&gt;0.674698795180723&lt;/D&gt;&lt;D xsi:type="xsd:double"&gt;0.667673716012085&lt;/D&gt;&lt;D xsi:type="xsd:double"&gt;0.661490683229814&lt;/D&gt;&lt;D xsi:type="xsd:double"&gt;0.673076923076923&lt;/D&gt;&lt;D xsi:type="xsd:double"&gt;0.684563758389262&lt;/D&gt;&lt;D xsi:type="xsd:double"&gt;0.679310344827586&lt;/D&gt;&lt;D xsi:type="xsd:double"&gt;0.678082191780822&lt;/D&gt;&lt;D xsi:type="xsd:double"&gt;0.669014084507042&lt;/D&gt;&lt;D xsi:type="xsd:double"&gt;0.681318681318681&lt;/D&gt;&lt;D xsi:type="xsd:double"&gt;0.680933852140078&lt;/D&gt;&lt;D xsi:type="xsd:double"&gt;0.66030534351145&lt;/D&gt;&lt;D xsi:type="xsd:double"&gt;0.646153846153846&lt;/D&gt;&lt;D xsi:type="xsd:double"&gt;0.635658914728682&lt;/D&gt;&lt;D xsi:type="xsd:double"&gt;0.62109375&lt;/D&gt;&lt;D xsi:type="xsd:double"&gt;0.628571428571429&lt;/D&gt;&lt;D xsi:type="xsd:double"&gt;0.628099173553719&lt;/D&gt;&lt;D xsi:type="xsd:double"&gt;0.609243697478992&lt;/D&gt;&lt;D xsi:type="xsd:double"&gt;0.622317596566524&lt;/D&gt;&lt;D xsi:type="xsd:double"&gt;0.609090909090909&lt;/D&gt;&lt;D xsi:type="xsd:double"&gt;0.626086956521739&lt;/D&gt;&lt;D xsi:type="xsd:double"&gt;0.628205128205128&lt;/D&gt;&lt;D xsi:type="xsd:double"&gt;0.639484978540773&lt;/D&gt;&lt;D xsi:type="xsd:double"&gt;0.617021276595745&lt;/D&gt;&lt;D xsi:type="xsd:double"&gt;0.63135593220339&lt;/D&gt;&lt;D xsi:type="xsd:double"&gt;0.635983263598326&lt;/D&gt;&lt;D xsi:type="xsd:double"&gt;0.621399176954732&lt;/D&gt;&lt;D xsi:type="xsd:double"&gt;0.628571428571429&lt;/D&gt;&lt;D xsi:type="xsd:double"&gt;0.619246861924686&lt;/D&gt;&lt;D xsi:type="xsd:double"&gt;0.619047619047619&lt;/D&gt;&lt;D xsi:type="xsd:double"&gt;0.639676113360324&lt;/D&gt;&lt;D xsi:type="xsd:double"&gt;0.633744855967078&lt;/D&gt;&lt;D xsi:type="xsd:double"&gt;0.641666666666667&lt;/D&gt;&lt;D xsi:type="xsd:double"&gt;0.656652360515021&lt;/D&gt;&lt;D xsi:type="xsd:double"&gt;0.659836065573771&lt;/D&gt;&lt;D xsi:type="xsd:double"&gt;0.672268907563025&lt;/D&gt;&lt;D xsi:type="xsd:double"&gt;0.672064777327935&lt;/D&gt;&lt;D xsi:type="xsd:double"&gt;0.64367816091954&lt;/D&gt;&lt;D xsi:type="xsd:double"&gt;0.651162790697674&lt;/D&gt;&lt;D xsi:type="xsd:double"&gt;0.662020905923345&lt;/D&gt;&lt;D xsi:type="xsd:double"&gt;0.659863945578231&lt;/D&gt;&lt;D xsi:type="xsd:double"&gt;0.670846394984326&lt;/D&gt;&lt;D xsi:type="xsd:double"&gt;0.674050632911392&lt;/D&gt;&lt;D xsi:type="xsd:double"&gt;0.674050632911392&lt;/D&gt;&lt;D xsi:type="xsd:double"&gt;0.68974358974359&lt;/D&gt;&lt;D xsi:type="xsd:double"&gt;0.687041564792176&lt;/D&gt;&lt;D xsi:type="xsd:double"&gt;0.683823529411765&lt;/D&gt;&lt;D xsi:type="xsd:double"&gt;0.67910447761194&lt;/D&gt;&lt;D xsi:type="xsd:double"&gt;0.665071770334928&lt;/D&gt;&lt;D xsi:type="xsd:double"&gt;0.667447306791569&lt;/D&gt;&lt;D xsi:type="xsd:double"&gt;0.666666666666667&lt;/D&gt;&lt;D xsi:type="xsd:double"&gt;0.668235294117647&lt;/D&gt;&lt;D xsi:type="xsd:double"&gt;0.669811320754717&lt;/D&gt;&lt;D xsi:type="xsd:double"&gt;0.653669724770642&lt;/D&gt;&lt;D xsi:type="xsd:double"&gt;0.645977011494253&lt;/D&gt;&lt;D xsi:type="xsd:double"&gt;0.645161290322581&lt;/D&gt;&lt;D xsi:type="xsd:double"&gt;0.640661938534279&lt;/D&gt;&lt;D xsi:type="xsd:double"&gt;0.630695443645084&lt;/D&gt;&lt;D xsi:type="xsd:double"&gt;0.627684964200477&lt;/D&gt;&lt;D xsi:type="xsd:double"&gt;0.636585365853659&lt;/D&gt;&lt;D xsi:type="xsd:double"&gt;0.628787878787879&lt;/D&gt;&lt;D xsi:type="xsd:double"&gt;0.628865979381443&lt;/D&gt;&lt;D xsi:type="xsd:double"&gt;0.624671916010499&lt;/D&gt;&lt;D xsi:type="xsd:double"&gt;0.617801047120419&lt;/D&gt;&lt;D xsi:type="xsd:double"&gt;0.609756097560976&lt;/D&gt;&lt;D xsi:type="xsd:double"&gt;0.573369565217391&lt;/D&gt;&lt;D xsi:type="xsd:double"&gt;0.557692307692308&lt;/D&gt;&lt;D xsi:type="xsd:double"&gt;0.550279329608939&lt;/D&gt;&lt;D xsi:type="xsd:double"&gt;0.539106145251397&lt;/D&gt;&lt;D xsi:type="xsd:double"&gt;0.528089887640449&lt;/D&gt;&lt;D xsi:type="xsd:double"&gt;0.543103448275862&lt;/D&gt;&lt;D xsi:type="xsd:double"&gt;0.556195965417867&lt;/D&gt;&lt;D xsi:type="xsd:double"&gt;0.542168674698795&lt;/D&gt;&lt;D xsi:type="xsd:double"&gt;0.554545454545455&lt;/D&gt;&lt;D xsi:type="xsd:double"&gt;0.54320987654321&lt;/D&gt;&lt;D xsi:type="xsd:double"&gt;0.531847133757962&lt;/D&gt;&lt;D xsi:type="xsd:double"&gt;0.527156549520767&lt;/D&gt;&lt;D xsi:type="xsd:double"&gt;0.514563106796116&lt;/D&gt;&lt;D xsi:type="xsd:double"&gt;0.513333333333333&lt;/D&gt;&lt;D xsi:type="xsd:double"&gt;0.51219512195122&lt;/D&gt;&lt;D xsi:type="xsd:double"&gt;0.512455516014235&lt;/D&gt;&lt;D xsi:type="xsd:double"&gt;0.498220640569395&lt;/D&gt;&lt;D xsi:type="xsd:double"&gt;0.496268656716418&lt;/D&gt;&lt;D xsi:type="xsd:double"&gt;0.482269503546099&lt;/D&gt;&lt;D xsi:type="xsd:double"&gt;0.496376811594203&lt;/D&gt;&lt;D xsi:type="xsd:double"&gt;0.485401459854015&lt;/D&gt;&lt;D xsi:type="xsd:double"&gt;0.494339622641509&lt;/D&gt;&lt;D xsi:type="xsd:double"&gt;0.50965250965251&lt;/D&gt;&lt;D xsi:type="xsd:double"&gt;0.5&lt;/D&gt;&lt;D xsi:type="xsd:double"&gt;0.501901140684411&lt;/D&gt;&lt;D xsi:type="xsd:double"&gt;0.529197080291971&lt;/D&gt;&lt;D xsi:type="xsd:double"&gt;0.533582089552239&lt;/D&gt;&lt;D xsi:type="xsd:double"&gt;0.522727272727273&lt;/D&gt;&lt;D xsi:type="xsd:double"&gt;0.535211267605634&lt;/D&gt;&lt;D xsi:type="xsd:double"&gt;0.539007092198582&lt;/D&gt;&lt;D xsi:type="xsd:double"&gt;0.533807829181495&lt;/D&gt;&lt;D xsi:type="xsd:double"&gt;0.537634408602151&lt;/D&gt;&lt;D xsi:type="xsd:double"&gt;0.551470588235294&lt;/D&gt;&lt;D xsi:type="xsd:double"&gt;0.56993006993007&lt;/D&gt;&lt;D xsi:type="xsd:double"&gt;0.574912891986063&lt;/D&gt;&lt;D xsi:type="xsd:double"&gt;0.581314878892734&lt;/D&gt;&lt;D xsi:type="xsd:double"&gt;0.580985915492958&lt;/D&gt;&lt;D xsi:type="xsd:double"&gt;0.570149253731343&lt;/D&gt;&lt;D xsi:type="xsd:double"&gt;0.567251461988304&lt;/D&gt;&lt;D xsi:type="xsd:double"&gt;0.569364161849711&lt;/D&gt;&lt;D xsi:type="xsd:double"&gt;0.576470588235294&lt;/D&gt;&lt;D xsi:type="xsd:double"&gt;0.572271386430678&lt;/D&gt;&lt;D xsi:type="xsd:double"&gt;0.625&lt;/D&gt;&lt;D xsi:type="xsd:double"&gt;0.632098765432099&lt;/D&gt;&lt;D xsi:type="xsd:double"&gt;0.628640776699029&lt;/D&gt;&lt;D xsi:type="xsd:double"&gt;0.633004926108374&lt;/D&gt;&lt;D xsi:type="xsd:double"&gt;0.633663366336634&lt;/D&gt;&lt;D xsi:type="xsd:double"&gt;0.637231503579952&lt;/D&gt;&lt;/FQL&gt;&lt;FQL&gt;&lt;Q&gt;VIX^FG_PRICE(-1M,,,USD)&lt;/Q&gt;&lt;R&gt;1&lt;/R&gt;&lt;C&gt;1&lt;/C&gt;&lt;D xsi:type="xsd:double"&gt;12.44&lt;/D&gt;&lt;/FQL&gt;&lt;FQL&gt;&lt;Q&gt;ACWX-US^FG_PRICE(-1M)/FG_PRICE_MAVG(-1M,,,,200)&lt;/Q&gt;&lt;R&gt;1&lt;/R&gt;&lt;C&gt;1&lt;/C&gt;&lt;D xsi:type="xsd:double"&gt;1.04743213524945&lt;/D&gt;&lt;/FQL&gt;&lt;FQL&gt;&lt;Q&gt;ACWX-US^FMA_EPS(NTMA,-1W,,,,"PORTAGG","MEANR")/AVG(FMA_EPS(NTMA,-1W,-200D,,,"PORTAGG","MEANR"))&lt;/Q&gt;&lt;R&gt;1&lt;/R&gt;&lt;C&gt;1&lt;/C&gt;&lt;D xsi:type="xsd:double"&gt;1.04466707648413&lt;/D&gt;&lt;/FQL&gt;&lt;FQL&gt;&lt;Q&gt;ACWX-US^FG_PRICE(0)/FG_PRICE_MAVG(0,,,,200)&lt;/Q&gt;&lt;R&gt;1&lt;/R&gt;&lt;C&gt;1&lt;/C&gt;&lt;D xsi:type="xsd:double"&gt;1.05643254851363&lt;/D&gt;&lt;/FQL&gt;&lt;FQL&gt;&lt;Q&gt;ACWX-US^FMA_PCT_ABOVE_MAVG(200,0,,,,"PORTAGG")/AVG(FMA_PCT_ABOVE_MAVG(200,0,-200D,,,"PORTAGG"))&lt;/Q&gt;&lt;R&gt;1&lt;/R&gt;&lt;C&gt;1&lt;/C&gt;&lt;D xsi:type="xsd:double"&gt;0.955260237767926&lt;/D&gt;&lt;/FQL&gt;&lt;FQL&gt;&lt;Q&gt;SP50^FMA_EPS(NTMA,-1M,,,,"PORTAGG","MEANR")/AVG(FMA_EPS(NTMA,-1M,-200D,,,"PORTAGG","MEANR"))&lt;/Q&gt;&lt;R&gt;1&lt;/R&gt;&lt;C&gt;1&lt;/C&gt;&lt;D xsi:type="xsd:double"&gt;1.04669612961665&lt;/D&gt;&lt;/FQL&gt;&lt;FQL&gt;&lt;Q&gt;SP50^FG_PRICE(-1M)/FG_PRICE_MAVG(-1M,,,,200)&lt;/Q&gt;&lt;R&gt;1&lt;/R&gt;&lt;C&gt;1&lt;/C&gt;&lt;D xsi:type="xsd:double"&gt;1.12215000495059&lt;/D&gt;&lt;/FQL&gt;&lt;FQL&gt;&lt;Q&gt;SP50^FMA_PCT_ABOVE_MAVG(200,-1W,,,,"PORTAGG")/AVG(FMA_PCT_ABOVE_MAVG(200,-1W,-200D,,,"PORTAGG"))&lt;/Q&gt;&lt;R&gt;1&lt;/R&gt;&lt;C&gt;1&lt;/C&gt;&lt;D xsi:type="xsd:double"&gt;0.92837827973254&lt;/D&gt;&lt;/FQL&gt;&lt;FQL&gt;&lt;Q&gt;TLT-US^FG_PRICE(-1W)/FG_PRICE_MAVG(-1W,,,,200)&lt;/Q&gt;&lt;R&gt;1&lt;/R&gt;&lt;C&gt;1&lt;/C&gt;&lt;D xsi:type="xsd:double"&gt;1.03783583304493&lt;/D&gt;&lt;/FQL&gt;&lt;FQL&gt;&lt;Q&gt;TLT-US^FG_PRICE(0)/FG_PRICE_MAVG(0,,,,200)&lt;/Q&gt;&lt;R&gt;1&lt;/R&gt;&lt;C&gt;1&lt;/C&gt;&lt;D xsi:type="xsd:double"&gt;1.05855185343128&lt;/D&gt;&lt;/FQL&gt;&lt;FQL&gt;&lt;Q&gt;SP50^FG_PRICE(0)/FG_PRICE_MAVG(0,,,,200)&lt;/Q&gt;&lt;R&gt;1&lt;/R&gt;&lt;C&gt;1&lt;/C&gt;&lt;D xsi:type="xsd:double"&gt;1.10216139711764&lt;/D&gt;&lt;/FQL&gt;&lt;FQL&gt;&lt;Q&gt;ACWX^FG_PRICE(0,-7AY)&lt;/Q&gt;&lt;R&gt;1762&lt;/R&gt;&lt;C&gt;1&lt;/C&gt;&lt;D xsi:type="xsd:double"&gt;54.9&lt;/D&gt;&lt;D xsi:type="xsd:double"&gt;55.16&lt;/D&gt;&lt;D xsi:type="xsd:double"&gt;54.56&lt;/D&gt;&lt;D xsi:type="xsd:double"&gt;54.18&lt;/D&gt;&lt;D xsi:type="xsd:double"&gt;53.52&lt;/D&gt;&lt;D xsi:type="xsd:double"&gt;53.44&lt;/D&gt;&lt;D xsi:type="xsd:double"&gt;52.68&lt;/D&gt;&lt;D xsi:type="xsd:double"&gt;52.63&lt;/D&gt;&lt;D xsi:type="xsd:double"&gt;52.42&lt;/D&gt;&lt;D xsi:type="xsd:double"&gt;51.45&lt;/D&gt;&lt;D xsi:type="xsd:double"&gt;51.19&lt;/D&gt;&lt;D xsi:type="xsd:double"&gt;50.99&lt;/D&gt;&lt;D xsi:type="xsd:double"&gt;52.16&lt;/D&gt;&lt;D xsi:type="xsd:double"&gt;52.98&lt;/D&gt;&lt;D xsi:type="xsd:double"&gt;54.28&lt;/D&gt;&lt;D xsi:type="xsd:double"&gt;53.41&lt;/D&gt;&lt;D xsi:type="xsd:double"&gt;53.37&lt;/D&gt;&lt;D xsi:type="xsd:double"&gt;53.62&lt;/D&gt;&lt;D xsi:type="xsd:double"&gt;52.98&lt;/D&gt;&lt;D xsi:type="xsd:double"&gt;53.27&lt;/D&gt;&lt;D xsi:type="xsd:double"&gt;53.95&lt;/D&gt;&lt;D xsi:type="xsd:double"&gt;54.3&lt;/D&gt;&lt;D xsi:type="xsd:double"&gt;53.8&lt;/D&gt;&lt;D xsi:type="xsd:double"&gt;54.17&lt;/D&gt;&lt;D xsi:type="xsd:double"&gt;54.7&lt;/D&gt;&lt;D xsi:type="xsd:double"&gt;55.19&lt;/D&gt;&lt;D xsi:type="xsd:double"&gt;54.92&lt;/D&gt;&lt;D xsi:type="xsd:double"&gt;55.41&lt;/D&gt;&lt;D xsi:type="xsd:double"&gt;54.91&lt;/D&gt;&lt;D xsi:type="xsd:double"&gt;54.7&lt;/D&gt;&lt;D xsi:type="xsd:double"&gt;54.07&lt;/D&gt;&lt;D xsi:type="xsd:double"&gt;54.14&lt;/D&gt;&lt;D xsi:type="xsd:double"&gt;54.32&lt;/D&gt;&lt;D xsi:type="xsd:double"&gt;54.02&lt;/D&gt;&lt;D xsi:type="xsd:double"&gt;53.37&lt;/D&gt;&lt;D xsi:type="xsd:double"&gt;53.21&lt;/D&gt;&lt;D xsi:type="xsd:double"&gt;53.13&lt;/D&gt;&lt;D xsi:type="xsd:double"&gt;53.08&lt;/D&gt;&lt;D xsi:type="xsd:double"&gt;52.98&lt;/D&gt;&lt;D xsi:type="xsd:double"&gt;53.29&lt;/D&gt;&lt;D xsi:type="xsd:double"&gt;53.24&lt;/D&gt;&lt;D xsi:type="xsd:double"&gt;52.89&lt;/D&gt;&lt;D xsi:type="xsd:double"&gt;53.2&lt;/D&gt;&lt;D xsi:type="xsd:double"&gt;53.2&lt;/D&gt;&lt;D xsi:type="xsd:double"&gt;52.91&lt;/D&gt;&lt;D xsi:type="xsd:double"&gt;52.73&lt;/D&gt;&lt;D xsi:type="xsd:double"&gt;53.06&lt;/D&gt;&lt;D xsi:type="xsd:double"&gt;53.63&lt;/D&gt;&lt;D xsi:type="xsd:double"&gt;53.03&lt;/D&gt;&lt;D xsi:type="xsd:double"&gt;54.33&lt;/D&gt;&lt;D xsi:type="xsd:double"&gt;54.25&lt;/D&gt;&lt;D xsi:type="xsd:double"&gt;54.86&lt;/D&gt;&lt;D xsi:type="xsd:double"&gt;54.64&lt;/D&gt;&lt;D xsi:type="xsd:double"&gt;54.12&lt;/D&gt;&lt;D xsi:type="xsd:double"&gt;54.43&lt;/D&gt;&lt;D xsi:type="xsd:double"&gt;54.15&lt;/D&gt;&lt;D xsi:type="xsd:double"&gt;53.94&lt;/D&gt;&lt;D xsi:type="xsd:double"&gt;53.65&lt;/D&gt;&lt;D xsi:type="xsd:double"&gt;54.51&lt;/D&gt;&lt;D xsi:type="xsd:double"&gt;54.55&lt;/D&gt;&lt;D xsi:type="xsd:double"&gt;54.2&lt;/D&gt;&lt;D xsi:type="xsd:double"&gt;54.52&lt;/D&gt;&lt;D xsi:type="xsd:double"&gt;54.92&lt;/D&gt;&lt;D xsi:type="xsd:double"&gt;55.09&lt;/D&gt;&lt;D xsi:type="xsd:double"&gt;55.11&lt;/D&gt;&lt;D xsi:type="xsd:double"&gt;54.9&lt;/D&gt;&lt;D xsi:type="xsd:double"&gt;55.04&lt;/D&gt;&lt;D xsi:type="xsd:double"&gt;54.48&lt;/D&gt;&lt;D xsi:type="xsd:double"&gt;54.17&lt;/D&gt;&lt;D xsi:type="xsd:double"&gt;54.03&lt;/D&gt;&lt;D xsi:type="xsd:double"&gt;53.95&lt;/D&gt;&lt;D xsi:type="xsd:double"&gt;53.63&lt;/D&gt;&lt;D xsi:type="xsd:double"&gt;53.68&lt;/D&gt;&lt;D xsi:type="xsd:double"&gt;53.72&lt;/D&gt;&lt;D xsi:type="xsd:double"&gt;53.4&lt;/D&gt;&lt;D xsi:type="xsd:double"&gt;52.92&lt;/D&gt;&lt;D xsi:type="xsd:double"&gt;52.03&lt;/D&gt;&lt;D xsi:type="xsd:double"&gt;52.09&lt;/D&gt;&lt;D xsi:type="xsd:double"&gt;52.82&lt;/D&gt;&lt;D xsi:type="xsd:double"&gt;52.53&lt;/D&gt;&lt;D xsi:type="xsd:double"&gt;52.12&lt;/D&gt;&lt;D xsi:type="xsd:double"&gt;52.17&lt;/D&gt;&lt;D xsi:type="xsd:double"&gt;52.26&lt;/D&gt;&lt;D xsi:type="xsd:double"&gt;51.74&lt;/D&gt;&lt;D xsi:type="xsd:double"&gt;51.16&lt;/D&gt;&lt;D xsi:type="xsd:double"&gt;51.19&lt;/D&gt;&lt;D xsi:type="xsd:double"&gt;51.2&lt;/D&gt;&lt;D xsi:type="xsd:double"&gt;51.2&lt;/D&gt;&lt;D xsi:type="xsd:double"&gt;51.72&lt;/D&gt;&lt;D xsi:type="xsd:double"&gt;51.97&lt;/D&gt;&lt;D xsi:type="xsd:double"&gt;52.91&lt;/D&gt;&lt;D xsi:type="xsd:double"&gt;52.75&lt;/D&gt;&lt;D xsi:type="xsd:double"&gt;53.47&lt;/D&gt;&lt;D xsi:type="xsd:double"&gt;53.35&lt;/D&gt;&lt;D xsi:type="xsd:double"&gt;53.1&lt;/D&gt;&lt;D xsi:type="xsd:double"&gt;52.94&lt;/D&gt;&lt;D xsi:type="xsd:double"&gt;53.28&lt;/D&gt;&lt;D xsi:type="xsd:double"&gt;53.06&lt;/D&gt;&lt;D xsi:type="xsd:double"&gt;53.53&lt;/D&gt;&lt;D xsi:type="xsd:double"&gt;53.39&lt;/D&gt;&lt;D xsi:type="xsd:double"&gt;53.42&lt;/D&gt;&lt;D xsi:type="xsd:double"&gt;53.13&lt;/D&gt;&lt;D xsi:type="xsd:double"&gt;53.11&lt;/D&gt;&lt;D xsi:type="xsd:double"&gt;53.15&lt;/D&gt;&lt;D xsi:type="xsd:double"&gt;53.39&lt;/D&gt;&lt;D xsi:type="xsd:double"&gt;53.38&lt;/D&gt;&lt;D xsi:type="xsd:double"&gt;52.8&lt;/D&gt;&lt;D xsi:type="xsd:double"&gt;52.82&lt;/D&gt;&lt;D xsi:type="xsd:double"&gt;52.8&lt;/D&gt;&lt;D xsi:type="xsd:double"&gt;52.91&lt;/D&gt;&lt;D xsi:type="xsd:double"&gt;53.24&lt;/D&gt;&lt;D xsi:type="xsd:double"&gt;53.29&lt;/D&gt;&lt;D xsi:type="xsd:double"&gt;52.82&lt;/D&gt;&lt;D xsi:type="xsd:double"&gt;52.99&lt;/D&gt;&lt;D xsi:type="xsd:double"&gt;53.14&lt;/D&gt;&lt;D xsi:type="xsd:double"&gt;52.57&lt;/D&gt;&lt;D xsi:type="xsd:double"&gt;51.93&lt;/D&gt;&lt;D xsi:type="xsd:double"&gt;52.13&lt;/D&gt;&lt;D xsi:type="xsd:double"&gt;52.26&lt;/D&gt;&lt;D xsi:type="xsd:double"&gt;51.68&lt;/D&gt;&lt;D xsi:type="xsd:double"&gt;51.57&lt;/D&gt;&lt;D xsi:type="xsd:double"&gt;51.98&lt;/D&gt;&lt;D xsi:type="xsd:double"&gt;51.88&lt;/D&gt;&lt;D xsi:type="xsd:double"&gt;52.03&lt;/D&gt;&lt;D xsi:type="xsd:double"&gt;51.96&lt;/D&gt;&lt;D xsi:type="xsd:double"&gt;51.43&lt;/D&gt;&lt;D xsi:type="xsd:double"&gt;51.38&lt;/D&gt;&lt;D xsi:type="xsd:double"&gt;51.23&lt;/D&gt;&lt;D xsi:type="xsd:double"&gt;51.14&lt;/D&gt;&lt;D xsi:type="xsd:double"&gt;50.61&lt;/D&gt;&lt;D xsi:type="xsd:double"&gt;49.98&lt;/D&gt;&lt;D xsi:type="xsd:double"&gt;50.89&lt;/D&gt;&lt;D xsi:type="xsd:double"&gt;50.69&lt;/D&gt;&lt;D xsi:type="xsd:double"&gt;50.48&lt;/D&gt;&lt;D xsi:type="xsd:double"&gt;50.65&lt;/D&gt;&lt;D xsi:type="xsd:double"&gt;50.62&lt;/D&gt;&lt;D xsi:type="xsd:double"&gt;50.06&lt;/D&gt;&lt;D xsi:type="xsd:double"&gt;50.3&lt;/D&gt;&lt;D xsi:type="xsd:double"&gt;50.65&lt;/D&gt;&lt;D xsi:type="xsd:double"&gt;50.16&lt;/D&gt;&lt;D xsi:type="xsd:double"&gt;50.45&lt;/D&gt;&lt;D xsi:type="xsd:double"&gt;50.59&lt;/D&gt;&lt;D xsi:type="xsd:double"&gt;50.36&lt;/D&gt;&lt;D xsi:type="xsd:double"&gt;50.18&lt;/D&gt;&lt;D xsi:type="xsd:double"&gt;50.08&lt;/D&gt;&lt;D xsi:type="xsd:double"&gt;49.67&lt;/D&gt;&lt;D xsi:type="xsd:double"&gt;49.64&lt;/D&gt;&lt;D xsi:type="xsd:double"&gt;49.65&lt;/D&gt;&lt;D xsi:type="xsd:double"&gt;49.39&lt;/D&gt;&lt;D xsi:type="xsd:double"&gt;48.96&lt;/D&gt;&lt;D xsi:type="xsd:double"&gt;49.56&lt;/D&gt;&lt;D xsi:type="xsd:double"&gt;50.43&lt;/D&gt;&lt;D xsi:type="xsd:double"&gt;50.27&lt;/D&gt;&lt;D xsi:type="xsd:double"&gt;50.22&lt;/D&gt;&lt;D xsi:type="xsd:double"&gt;50.04&lt;/D&gt;&lt;D xsi:type="xsd:double"&gt;50.54&lt;/D&gt;&lt;D xsi:type="xsd:double"&gt;50.21&lt;/D&gt;&lt;D xsi:type="xsd:double"&gt;50.15&lt;/D&gt;&lt;D xsi:type="xsd:double"&gt;50.09&lt;/D&gt;&lt;D xsi:type="xsd:double"&gt;50.42&lt;/D&gt;&lt;D xsi:type="xsd:double"&gt;51.04&lt;/D&gt;&lt;D xsi:type="xsd:double"&gt;50.98&lt;/D&gt;&lt;D xsi:type="xsd:double"&gt;50.98&lt;/D&gt;&lt;D xsi:type="xsd:double"&gt;50.74&lt;/D&gt;&lt;D xsi:type="xsd:double"&gt;50.45&lt;/D&gt;&lt;D xsi:type="xsd:double"&gt;50.46&lt;/D&gt;&lt;D xsi:type="xsd:double"&gt;49.62&lt;/D&gt;&lt;D xsi:type="xsd:double"&gt;51&lt;/D&gt;&lt;D xsi:type="xsd:double"&gt;50.5&lt;/D&gt;&lt;D xsi:type="xsd:double"&gt;50.37&lt;/D&gt;&lt;D xsi:type="xsd:double"&gt;50.83&lt;/D&gt;&lt;D xsi:type="xsd:double"&gt;50.37&lt;/D&gt;&lt;D xsi:type="xsd:double"&gt;49.67&lt;/D&gt;&lt;D xsi:type="xsd:double"&gt;49.62&lt;/D&gt;&lt;D xsi:type="xsd:double"&gt;49.48&lt;/D&gt;&lt;D xsi:type="xsd:double"&gt;49.41&lt;/D&gt;&lt;D xsi:type="xsd:double"&gt;49.19&lt;/D&gt;&lt;D xsi:type="xsd:double"&gt;49.13&lt;/D&gt;&lt;D xsi:type="xsd:double"&gt;49.32&lt;/D&gt;&lt;D xsi:type="xsd:double"&gt;49.75&lt;/D&gt;&lt;D xsi:type="xsd:double"&gt;49.31&lt;/D&gt;&lt;D xsi:type="xsd:double"&gt;49.31&lt;/D&gt;&lt;D xsi:type="xsd:double"&gt;49.33&lt;/D&gt;&lt;D xsi:type="xsd:double"&gt;49.2&lt;/D&gt;&lt;D xsi:type="xsd:double"&gt;49.38&lt;/D&gt;&lt;D xsi:type="xsd:double"&gt;49.09&lt;/D&gt;&lt;D xsi:type="xsd:double"&gt;49.04&lt;/D&gt;&lt;D xsi:type="xsd:double"&gt;49.27&lt;/D&gt;&lt;D xsi:type="xsd:double"&gt;48.96&lt;/D&gt;&lt;D xsi:type="xsd:double"&gt;48.5&lt;/D&gt;&lt;D xsi:type="xsd:double"&gt;48.67&lt;/D&gt;&lt;D xsi:type="xsd:double"&gt;48.62&lt;/D&gt;&lt;D xsi:type="xsd:double"&gt;47.42&lt;/D&gt;&lt;D xsi:type="xsd:double"&gt;47.33&lt;/D&gt;&lt;D xsi:type="xsd:double"&gt;47.04&lt;/D&gt;&lt;D xsi:type="xsd:double"&gt;47.19&lt;/D&gt;&lt;D xsi:type="xsd:double"&gt;47.3&lt;/D&gt;&lt;D xsi:type="xsd:double"&gt;47.6&lt;/D&gt;&lt;D xsi:type="xsd:double"&gt;47.6&lt;/D&gt;&lt;D xsi:type="xsd:double"&gt;46.94&lt;/D&gt;&lt;D xsi:type="xsd:double"&gt;45.99&lt;/D&gt;&lt;D xsi:type="xsd:double"&gt;45.54&lt;/D&gt;&lt;D xsi:type="xsd:double"&gt;45.54&lt;/D&gt;&lt;D xsi:type="xsd:double"&gt;44.98&lt;/D&gt;&lt;D xsi:type="xsd:double"&gt;45.09&lt;/D&gt;&lt;D xsi:type="xsd:double"&gt;45.39&lt;/D&gt;&lt;D xsi:type="xsd:double"&gt;45.81&lt;/D&gt;&lt;D xsi:type="xsd:double"&gt;45.46&lt;/D&gt;&lt;D xsi:type="xsd:double"&gt;45.48&lt;/D&gt;&lt;D xsi:type="xsd:double"&gt;45.94&lt;/D&gt;&lt;D xsi:type="xsd:double"&gt;46.29&lt;/D&gt;&lt;D xsi:type="xsd:double"&gt;47.08&lt;/D&gt;&lt;D xsi:type="xsd:double"&gt;47.09&lt;/D&gt;&lt;D xsi:type="xsd:double"&gt;46.77&lt;/D&gt;&lt;D xsi:type="xsd:double"&gt;47.08&lt;/D&gt;&lt;D xsi:type="xsd:double"&gt;47.53&lt;/D&gt;&lt;D xsi:type="xsd:double"&gt;47.31&lt;/D&gt;&lt;D xsi:type="xsd:double"&gt;46.65&lt;/D&gt;&lt;D xsi:type="xsd:double"&gt;46.72&lt;/D&gt;&lt;D xsi:type="xsd:double"&gt;46.17&lt;/D&gt;&lt;D xsi:type="xsd:double"&gt;45.8&lt;/D&gt;&lt;D xsi:type="xsd:double"&gt;45.82&lt;/D&gt;&lt;D xsi:type="xsd:double"&gt;46.42&lt;/D&gt;&lt;D xsi:type="xsd:double"&gt;47.01&lt;/D&gt;&lt;D xsi:type="xsd:double"&gt;47.1&lt;/D&gt;&lt;D xsi:type="xsd:double"&gt;46.8&lt;/D&gt;&lt;D xsi:type="xsd:double"&gt;46.86&lt;/D&gt;&lt;D xsi:type="xsd:double"&gt;47.51&lt;/D&gt;&lt;D xsi:type="xsd:double"&gt;47.68&lt;/D&gt;&lt;D xsi:type="xsd:double"&gt;47.51&lt;/D&gt;&lt;D xsi:type="xsd:double"&gt;48.38&lt;/D&gt;&lt;D xsi:type="xsd:double"&gt;48.5&lt;/D&gt;&lt;D xsi:type="xsd:double"&gt;48.59&lt;/D&gt;&lt;D xsi:type="xsd:double"&gt;48.72&lt;/D&gt;&lt;D xsi:type="xsd:double"&gt;48.83&lt;/D&gt;&lt;D xsi:type="xsd:double"&gt;48.27&lt;/D&gt;&lt;D xsi:type="xsd:double"&gt;48.37&lt;/D&gt;&lt;D xsi:type="xsd:double"&gt;48.53&lt;/D&gt;&lt;D xsi:type="xsd:double"&gt;48.02&lt;/D&gt;&lt;D xsi:type="xsd:double"&gt;48.06&lt;/D&gt;&lt;D xsi:type="xsd:double"&gt;48.33&lt;/D&gt;&lt;D xsi:type="xsd:double"&gt;48.53&lt;/D&gt;&lt;D xsi:type="xsd:double"&gt;48.93&lt;/D&gt;&lt;D xsi:type="xsd:double"&gt;48.72&lt;/D&gt;&lt;D xsi:type="xsd:double"&gt;49.07&lt;/D&gt;&lt;D xsi:type="xsd:double"&gt;49.12&lt;/D&gt;&lt;D xsi:type="xsd:double"&gt;48.48&lt;/D&gt;&lt;D xsi:type="xsd:double"&gt;47.98&lt;/D&gt;&lt;D xsi:type="xsd:double"&gt;47.74&lt;/D&gt;&lt;D xsi:type="xsd:double"&gt;48.25&lt;/D&gt;&lt;D xsi:type="xsd:double"&gt;47.69&lt;/D&gt;&lt;D xsi:type="xsd:double"&gt;47.79&lt;/D&gt;&lt;D xsi:type="xsd:double"&gt;47.62&lt;/D&gt;&lt;D xsi:type="xsd:double"&gt;47.74&lt;/D&gt;&lt;D xsi:type="xsd:double"&gt;47.92&lt;/D&gt;&lt;D xsi:type="xsd:double"&gt;48.32&lt;/D&gt;&lt;D xsi:type="xsd:double"&gt;48.95&lt;/D&gt;&lt;D xsi:type="xsd:double"&gt;49.17&lt;/D&gt;&lt;D xsi:type="xsd:double"&gt;49.61&lt;/D&gt;&lt;D xsi:type="xsd:double"&gt;49.44&lt;/D&gt;&lt;D xsi:type="xsd:double"&gt;49.4&lt;/D&gt;&lt;D xsi:type="xsd:double"&gt;49.79&lt;/D&gt;&lt;D xsi:type="xsd:double"&gt;49.53&lt;/D&gt;&lt;D xsi:type="xsd:double"&gt;49.45&lt;/D&gt;&lt;D xsi:type="xsd:double"&gt;49.49&lt;/D&gt;&lt;D xsi:type="xsd:double"&gt;50.52&lt;/D&gt;&lt;D xsi:type="xsd:double"&gt;51.15&lt;/D&gt;&lt;D xsi:type="xsd:double"&gt;51.14&lt;/D&gt;&lt;D xsi:type="xsd:double"&gt;50.53&lt;/D&gt;&lt;D xsi:type="xsd:double"&gt;50.81&lt;/D&gt;&lt;D xsi:type="xsd:double"&gt;50.67&lt;/D&gt;&lt;D xsi:type="xsd:double"&gt;50.49&lt;/D&gt;&lt;D xsi:type="xsd:double"&gt;50.35&lt;/D&gt;&lt;D xsi:type="xsd:double"&gt;50.33&lt;/D&gt;&lt;D xsi:type="xsd:double"&gt;50.58&lt;/D&gt;&lt;D xsi:type="xsd:double"&gt;50.54&lt;/D&gt;&lt;D xsi:type="xsd:double"&gt;50.42&lt;/D&gt;&lt;D xsi:type="xsd:double"&gt;50.41&lt;/D&gt;&lt;D xsi:type="xsd:double"&gt;50.74&lt;/D&gt;&lt;D xsi:type="xsd:double"&gt;49.97&lt;/D&gt;&lt;D xsi:type="xsd:double"&gt;49.01&lt;/D&gt;&lt;D xsi:type="xsd:double"&gt;48.56&lt;/D&gt;&lt;D xsi:type="xsd:double"&gt;48.47&lt;/D&gt;&lt;D xsi:type="xsd:double"&gt;48.03&lt;/D&gt;&lt;D xsi:type="xsd:double"&gt;48.92&lt;/D&gt;&lt;D xsi:type="xsd:double"&gt;49.42&lt;/D&gt;&lt;D xsi:type="xsd:double"&gt;49.22&lt;/D&gt;&lt;D xsi:type="xsd:double"&gt;48.73&lt;/D&gt;&lt;D xsi:type="xsd:double"&gt;48.83&lt;/D&gt;&lt;D xsi:type="xsd:double"&gt;48.88&lt;/D&gt;&lt;D xsi:type="xsd:double"&gt;48.45&lt;/D&gt;&lt;D xsi:type="xsd:double"&gt;48.32&lt;/D&gt;&lt;D xsi:type="xsd:double"&gt;49.06&lt;/D&gt;&lt;D xsi:type="xsd:double"&gt;49.33&lt;/D&gt;&lt;D xsi:type="xsd:double"&gt;49.3&lt;/D&gt;&lt;D xsi:type="xsd:double"&gt;50.07&lt;/D&gt;&lt;D xsi:type="xsd:double"&gt;50.2&lt;/D&gt;&lt;D xsi:type="xsd:double"&gt;49.68&lt;/D&gt;&lt;D xsi:type="xsd:double"&gt;49.49&lt;/D&gt;&lt;D xsi:type="xsd:double"&gt;49&lt;/D&gt;&lt;D xsi:type="xsd:double"&gt;48.84&lt;/D&gt;&lt;D xsi:type="xsd:double"&gt;48.82&lt;/D&gt;&lt;D xsi:type="xsd:double"&gt;48.38&lt;/D&gt;&lt;D xsi:type="xsd:double"&gt;49.53&lt;/D&gt;&lt;D xsi:type="xsd:double"&gt;49.1&lt;/D&gt;&lt;D xsi:type="xsd:double"&gt;49.33&lt;/D&gt;&lt;D xsi:type="xsd:double"&gt;48.61&lt;/D&gt;&lt;D xsi:type="xsd:double"&gt;47.82&lt;/D&gt;&lt;D xsi:type="xsd:double"&gt;48.33&lt;/D&gt;&lt;D xsi:type="xsd:double"&gt;48.85&lt;/D&gt;&lt;D xsi:type="xsd:double"&gt;48.26&lt;/D&gt;&lt;D xsi:type="xsd:double"&gt;48.36&lt;/D&gt;&lt;D xsi:type="xsd:double"&gt;49&lt;/D&gt;&lt;D xsi:type="xsd:double"&gt;49.71&lt;/D&gt;&lt;D xsi:type="xsd:double"&gt;49.59&lt;/D&gt;&lt;D xsi:type="xsd:double"&gt;49.42&lt;/D&gt;&lt;D xsi:type="xsd:double"&gt;49.53&lt;/D&gt;&lt;D xsi:type="xsd:double"&gt;49.32&lt;/D&gt;&lt;D xsi:type="xsd:double"&gt;49.79&lt;/D&gt;&lt;D xsi:type="xsd:double"&gt;49.25&lt;/D&gt;&lt;D xsi:type="xsd:double"&gt;49.48&lt;/D&gt;&lt;D xsi:type="xsd:double"&gt;49.67&lt;/D&gt;&lt;D xsi:type="xsd:double"&gt;49.72&lt;/D&gt;&lt;D xsi:type="xsd:double"&gt;49.97&lt;/D&gt;&lt;D xsi:type="xsd:double"&gt;49.93&lt;/D&gt;&lt;D xsi:type="xsd:double"&gt;49.17&lt;/D&gt;&lt;D xsi:type="xsd:double"&gt;49.13&lt;/D&gt;&lt;D xsi:type="xsd:double"&gt;49.09&lt;/D&gt;&lt;D xsi:type="xsd:double"&gt;49.59&lt;/D&gt;&lt;D xsi:type="xsd:double"&gt;49.68&lt;/D&gt;&lt;D xsi:type="xsd:double"&gt;49.61&lt;/D&gt;&lt;D xsi:type="xsd:double"&gt;48.99&lt;/D&gt;&lt;D xsi:type="xsd:double"&gt;48.96&lt;/D&gt;&lt;D xsi:type="xsd:double"&gt;49.72&lt;/D&gt;&lt;D xsi:type="xsd:double"&gt;49.66&lt;/D&gt;&lt;D xsi:type="xsd:double"&gt;49.67&lt;/D&gt;&lt;D xsi:type="xsd:double"&gt;49.69&lt;/D&gt;&lt;D xsi:type="xsd:double"&gt;49.95&lt;/D&gt;&lt;D xsi:type="xsd:double"&gt;49.78&lt;/D&gt;&lt;D xsi:type="xsd:double"&gt;49.77&lt;/D&gt;&lt;D xsi:type="xsd:double"&gt;49.99&lt;/D&gt;&lt;D xsi:type="xsd:double"&gt;49.31&lt;/D&gt;&lt;D xsi:type="xsd:double"&gt;49.2&lt;/D&gt;&lt;D xsi:type="xsd:double"&gt;49.01&lt;/D&gt;&lt;D xsi:type="xsd:double"&gt;48.97&lt;/D&gt;&lt;D xsi:type="xsd:double"&gt;48.77&lt;/D&gt;&lt;D xsi:type="xsd:double"&gt;49.11&lt;/D&gt;&lt;D xsi:type="xsd:double"&gt;49.12&lt;/D&gt;&lt;D xsi:type="xsd:double"&gt;48.77&lt;/D&gt;&lt;D xsi:type="xsd:double"&gt;48.61&lt;/D&gt;&lt;D xsi:type="xsd:double"&gt;48.06&lt;/D&gt;&lt;D xsi:type="xsd:double"&gt;47.62&lt;/D&gt;&lt;D xsi:type="xsd:double"&gt;47.4&lt;/D&gt;&lt;D x</t>
        </r>
      </text>
    </comment>
    <comment ref="A39" authorId="0" shapeId="0" xr:uid="{1A162908-3543-4A79-A2FD-43C161A87C58}">
      <text>
        <r>
          <rPr>
            <b/>
            <sz val="9"/>
            <color indexed="81"/>
            <rFont val="Tahoma"/>
            <charset val="1"/>
          </rPr>
          <t>si:type="xsd:double"&gt;47.15&lt;/D&gt;&lt;D xsi:type="xsd:double"&gt;47.26&lt;/D&gt;&lt;D xsi:type="xsd:double"&gt;47.11&lt;/D&gt;&lt;D xsi:type="xsd:double"&gt;47.17&lt;/D&gt;&lt;D xsi:type="xsd:double"&gt;46.58&lt;/D&gt;&lt;D xsi:type="xsd:double"&gt;46.04&lt;/D&gt;&lt;D xsi:type="xsd:double"&gt;46.49&lt;/D&gt;&lt;D xsi:type="xsd:double"&gt;45.79&lt;/D&gt;&lt;D xsi:type="xsd:double"&gt;47.06&lt;/D&gt;&lt;D xsi:type="xsd:double"&gt;46.6&lt;/D&gt;&lt;D xsi:type="xsd:double"&gt;46.79&lt;/D&gt;&lt;D xsi:type="xsd:double"&gt;47.22&lt;/D&gt;&lt;D xsi:type="xsd:double"&gt;47.8&lt;/D&gt;&lt;D xsi:type="xsd:double"&gt;47.61&lt;/D&gt;&lt;D xsi:type="xsd:double"&gt;48.43&lt;/D&gt;&lt;D xsi:type="xsd:double"&gt;48.54&lt;/D&gt;&lt;D xsi:type="xsd:double"&gt;47.95&lt;/D&gt;&lt;D xsi:type="xsd:double"&gt;47.81&lt;/D&gt;&lt;D xsi:type="xsd:double"&gt;47.32&lt;/D&gt;&lt;D xsi:type="xsd:double"&gt;47.71&lt;/D&gt;&lt;D xsi:type="xsd:double"&gt;47.23&lt;/D&gt;&lt;D xsi:type="xsd:double"&gt;48.08&lt;/D&gt;&lt;D xsi:type="xsd:double"&gt;47.84&lt;/D&gt;&lt;D xsi:type="xsd:double"&gt;48.12&lt;/D&gt;&lt;D xsi:type="xsd:double"&gt;48.69&lt;/D&gt;&lt;D xsi:type="xsd:double"&gt;48.77&lt;/D&gt;&lt;D xsi:type="xsd:double"&gt;48.98&lt;/D&gt;&lt;D xsi:type="xsd:double"&gt;49.23&lt;/D&gt;&lt;D xsi:type="xsd:double"&gt;49.2&lt;/D&gt;&lt;D xsi:type="xsd:double"&gt;48.76&lt;/D&gt;&lt;D xsi:type="xsd:double"&gt;48.99&lt;/D&gt;&lt;D xsi:type="xsd:double"&gt;48.88&lt;/D&gt;&lt;D xsi:type="xsd:double"&gt;49.13&lt;/D&gt;&lt;D xsi:type="xsd:double"&gt;48.75&lt;/D&gt;&lt;D xsi:type="xsd:double"&gt;49.29&lt;/D&gt;&lt;D xsi:type="xsd:double"&gt;49.88&lt;/D&gt;&lt;D xsi:type="xsd:double"&gt;50.01&lt;/D&gt;&lt;D xsi:type="xsd:double"&gt;49.56&lt;/D&gt;&lt;D xsi:type="xsd:double"&gt;49.35&lt;/D&gt;&lt;D xsi:type="xsd:double"&gt;49.9&lt;/D&gt;&lt;D xsi:type="xsd:double"&gt;50.03&lt;/D&gt;&lt;D xsi:type="xsd:double"&gt;49.82&lt;/D&gt;&lt;D xsi:type="xsd:double"&gt;49.62&lt;/D&gt;&lt;D xsi:type="xsd:double"&gt;49.65&lt;/D&gt;&lt;D xsi:type="xsd:double"&gt;49.39&lt;/D&gt;&lt;D xsi:type="xsd:double"&gt;48.89&lt;/D&gt;&lt;D xsi:type="xsd:double"&gt;48.82&lt;/D&gt;&lt;D xsi:type="xsd:double"&gt;49.05&lt;/D&gt;&lt;D xsi:type="xsd:double"&gt;49.04&lt;/D&gt;&lt;D xsi:type="xsd:double"&gt;48.72&lt;/D&gt;&lt;D xsi:type="xsd:double"&gt;48.16&lt;/D&gt;&lt;D xsi:type="xsd:double"&gt;47.84&lt;/D&gt;&lt;D xsi:type="xsd:double"&gt;47.62&lt;/D&gt;&lt;D xsi:type="xsd:double"&gt;47.39&lt;/D&gt;&lt;D xsi:type="xsd:double"&gt;46.3&lt;/D&gt;&lt;D xsi:type="xsd:double"&gt;46.7&lt;/D&gt;&lt;D xsi:type="xsd:double"&gt;45.8&lt;/D&gt;&lt;D xsi:type="xsd:double"&gt;45.5&lt;/D&gt;&lt;D xsi:type="xsd:double"&gt;46.01&lt;/D&gt;&lt;D xsi:type="xsd:double"&gt;45.32&lt;/D&gt;&lt;D xsi:type="xsd:double"&gt;45.88&lt;/D&gt;&lt;D xsi:type="xsd:double"&gt;45.59&lt;/D&gt;&lt;D xsi:type="xsd:double"&gt;45.46&lt;/D&gt;&lt;D xsi:type="xsd:double"&gt;45.88&lt;/D&gt;&lt;D xsi:type="xsd:double"&gt;45.4&lt;/D&gt;&lt;D xsi:type="xsd:double"&gt;45.27&lt;/D&gt;&lt;D xsi:type="xsd:double"&gt;45.35&lt;/D&gt;&lt;D xsi:type="xsd:double"&gt;45.62&lt;/D&gt;&lt;D xsi:type="xsd:double"&gt;46.75&lt;/D&gt;&lt;D xsi:type="xsd:double"&gt;46.76&lt;/D&gt;&lt;D xsi:type="xsd:double"&gt;46.68&lt;/D&gt;&lt;D xsi:type="xsd:double"&gt;46.56&lt;/D&gt;&lt;D xsi:type="xsd:double"&gt;46.64&lt;/D&gt;&lt;D xsi:type="xsd:double"&gt;46.3&lt;/D&gt;&lt;D xsi:type="xsd:double"&gt;46.38&lt;/D&gt;&lt;D xsi:type="xsd:double"&gt;46.57&lt;/D&gt;&lt;D xsi:type="xsd:double"&gt;47.22&lt;/D&gt;&lt;D xsi:type="xsd:double"&gt;47.23&lt;/D&gt;&lt;D xsi:type="xsd:double"&gt;46.96&lt;/D&gt;&lt;D xsi:type="xsd:double"&gt;45.99&lt;/D&gt;&lt;D xsi:type="xsd:double"&gt;45.66&lt;/D&gt;&lt;D xsi:type="xsd:double"&gt;46.15&lt;/D&gt;&lt;D xsi:type="xsd:double"&gt;46.04&lt;/D&gt;&lt;D xsi:type="xsd:double"&gt;45.6&lt;/D&gt;&lt;D xsi:type="xsd:double"&gt;45.11&lt;/D&gt;&lt;D xsi:type="xsd:double"&gt;45.45&lt;/D&gt;&lt;D xsi:type="xsd:double"&gt;45.51&lt;/D&gt;&lt;D xsi:type="xsd:double"&gt;45.49&lt;/D&gt;&lt;D xsi:type="xsd:double"&gt;45.78&lt;/D&gt;&lt;D xsi:type="xsd:double"&gt;45.31&lt;/D&gt;&lt;D xsi:type="xsd:double"&gt;45.71&lt;/D&gt;&lt;D xsi:type="xsd:double"&gt;44.81&lt;/D&gt;&lt;D xsi:type="xsd:double"&gt;42.64&lt;/D&gt;&lt;D xsi:type="xsd:double"&gt;43.33&lt;/D&gt;&lt;D xsi:type="xsd:double"&gt;42.89&lt;/D&gt;&lt;D xsi:type="xsd:double"&gt;42.79&lt;/D&gt;&lt;D xsi:type="xsd:double"&gt;41.15&lt;/D&gt;&lt;D xsi:type="xsd:double"&gt;41.31&lt;/D&gt;&lt;D xsi:type="xsd:double"&gt;41.87&lt;/D&gt;&lt;D xsi:type="xsd:double"&gt;41.42&lt;/D&gt;&lt;D xsi:type="xsd:double"&gt;41.76&lt;/D&gt;&lt;D xsi:type="xsd:double"&gt;41.52&lt;/D&gt;&lt;D xsi:type="xsd:double"&gt;41.86&lt;/D&gt;&lt;D xsi:type="xsd:double"&gt;41.38&lt;/D&gt;&lt;D xsi:type="xsd:double"&gt;40.61&lt;/D&gt;&lt;D xsi:type="xsd:double"&gt;41.1&lt;/D&gt;&lt;D xsi:type="xsd:double"&gt;40.39&lt;/D&gt;&lt;D xsi:type="xsd:double"&gt;40.33&lt;/D&gt;&lt;D xsi:type="xsd:double"&gt;40.94&lt;/D&gt;&lt;D xsi:type="xsd:double"&gt;40.73&lt;/D&gt;&lt;D xsi:type="xsd:double"&gt;39.72&lt;/D&gt;&lt;D xsi:type="xsd:double"&gt;40.38&lt;/D&gt;&lt;D xsi:type="xsd:double"&gt;39.69&lt;/D&gt;&lt;D xsi:type="xsd:double"&gt;39.82&lt;/D&gt;&lt;D xsi:type="xsd:double"&gt;40.32&lt;/D&gt;&lt;D xsi:type="xsd:double"&gt;40.65&lt;/D&gt;&lt;D xsi:type="xsd:double"&gt;41.39&lt;/D&gt;&lt;D xsi:type="xsd:double"&gt;42.04&lt;/D&gt;&lt;D xsi:type="xsd:double"&gt;42.38&lt;/D&gt;&lt;D xsi:type="xsd:double"&gt;40.84&lt;/D&gt;&lt;D xsi:type="xsd:double"&gt;40.01&lt;/D&gt;&lt;D xsi:type="xsd:double"&gt;40.11&lt;/D&gt;&lt;D xsi:type="xsd:double"&gt;40.79&lt;/D&gt;&lt;D xsi:type="xsd:double"&gt;39.97&lt;/D&gt;&lt;D xsi:type="xsd:double"&gt;40.11&lt;/D&gt;&lt;D xsi:type="xsd:double"&gt;40.71&lt;/D&gt;&lt;D xsi:type="xsd:double"&gt;41.96&lt;/D&gt;&lt;D xsi:type="xsd:double"&gt;42.13&lt;/D&gt;&lt;D xsi:type="xsd:double"&gt;42.73&lt;/D&gt;&lt;D xsi:type="xsd:double"&gt;43.35&lt;/D&gt;&lt;D xsi:type="xsd:double"&gt;43.15&lt;/D&gt;&lt;D xsi:type="xsd:double"&gt;43.49&lt;/D&gt;&lt;D xsi:type="xsd:double"&gt;43.89&lt;/D&gt;&lt;D xsi:type="xsd:double"&gt;43.7&lt;/D&gt;&lt;D xsi:type="xsd:double"&gt;45.24&lt;/D&gt;&lt;D xsi:type="xsd:double"&gt;44.61&lt;/D&gt;&lt;D xsi:type="xsd:double"&gt;43.64&lt;/D&gt;&lt;D xsi:type="xsd:double"&gt;43.62&lt;/D&gt;&lt;D xsi:type="xsd:double"&gt;43.25&lt;/D&gt;&lt;D xsi:type="xsd:double"&gt;43.5&lt;/D&gt;&lt;D xsi:type="xsd:double"&gt;43.79&lt;/D&gt;&lt;D xsi:type="xsd:double"&gt;44.27&lt;/D&gt;&lt;D xsi:type="xsd:double"&gt;44.46&lt;/D&gt;&lt;D xsi:type="xsd:double"&gt;44.87&lt;/D&gt;&lt;D xsi:type="xsd:double"&gt;45.04&lt;/D&gt;&lt;D xsi:type="xsd:double"&gt;46.09&lt;/D&gt;&lt;D xsi:type="xsd:double"&gt;45.46&lt;/D&gt;&lt;D xsi:type="xsd:double"&gt;45.42&lt;/D&gt;&lt;D xsi:type="xsd:double"&gt;45.29&lt;/D&gt;&lt;D xsi:type="xsd:double"&gt;45.93&lt;/D&gt;&lt;D xsi:type="xsd:double"&gt;46.59&lt;/D&gt;&lt;D xsi:type="xsd:double"&gt;46.75&lt;/D&gt;&lt;D xsi:type="xsd:double"&gt;47.1&lt;/D&gt;&lt;D xsi:type="xsd:double"&gt;47.08&lt;/D&gt;&lt;D xsi:type="xsd:double"&gt;47.36&lt;/D&gt;&lt;D xsi:type="xsd:double"&gt;46.96&lt;/D&gt;&lt;D xsi:type="xsd:double"&gt;46.91&lt;/D&gt;&lt;D xsi:type="xsd:double"&gt;45.99&lt;/D&gt;&lt;D xsi:type="xsd:double"&gt;46.2&lt;/D&gt;&lt;D xsi:type="xsd:double"&gt;46.09&lt;/D&gt;&lt;D xsi:type="xsd:double"&gt;46.36&lt;/D&gt;&lt;D xsi:type="xsd:double"&gt;46.11&lt;/D&gt;&lt;D xsi:type="xsd:double"&gt;45.79&lt;/D&gt;&lt;D xsi:type="xsd:double"&gt;46.36&lt;/D&gt;&lt;D xsi:type="xsd:double"&gt;46.52&lt;/D&gt;&lt;D xsi:type="xsd:double"&gt;46.1&lt;/D&gt;&lt;D xsi:type="xsd:double"&gt;45.87&lt;/D&gt;&lt;D xsi:type="xsd:double"&gt;44.89&lt;/D&gt;&lt;D xsi:type="xsd:double"&gt;45.43&lt;/D&gt;&lt;D xsi:type="xsd:double"&gt;45.11&lt;/D&gt;&lt;D xsi:type="xsd:double"&gt;45.4&lt;/D&gt;&lt;D xsi:type="xsd:double"&gt;44.88&lt;/D&gt;&lt;D xsi:type="xsd:double"&gt;45.13&lt;/D&gt;&lt;D xsi:type="xsd:double"&gt;44.1&lt;/D&gt;&lt;D xsi:type="xsd:double"&gt;43.87&lt;/D&gt;&lt;D xsi:type="xsd:double"&gt;43.31&lt;/D&gt;&lt;D xsi:type="xsd:double"&gt;43.89&lt;/D&gt;&lt;D xsi:type="xsd:double"&gt;43.95&lt;/D&gt;&lt;D xsi:type="xsd:double"&gt;44.03&lt;/D&gt;&lt;D xsi:type="xsd:double"&gt;44.91&lt;/D&gt;&lt;D xsi:type="xsd:double"&gt;44.88&lt;/D&gt;&lt;D xsi:type="xsd:double"&gt;44.11&lt;/D&gt;&lt;D xsi:type="xsd:double"&gt;44.2&lt;/D&gt;&lt;D xsi:type="xsd:double"&gt;44.97&lt;/D&gt;&lt;D xsi:type="xsd:double"&gt;45&lt;/D&gt;&lt;D xsi:type="xsd:double"&gt;45.2&lt;/D&gt;&lt;D xsi:type="xsd:double"&gt;45.42&lt;/D&gt;&lt;D xsi:type="xsd:double"&gt;45.69&lt;/D&gt;&lt;D xsi:type="xsd:double"&gt;45.76&lt;/D&gt;&lt;D xsi:type="xsd:double"&gt;44.54&lt;/D&gt;&lt;D xsi:type="xsd:double"&gt;44.6&lt;/D&gt;&lt;D xsi:type="xsd:double"&gt;45.1&lt;/D&gt;&lt;D xsi:type="xsd:double"&gt;44.36&lt;/D&gt;&lt;D xsi:type="xsd:double"&gt;44.47&lt;/D&gt;&lt;D xsi:type="xsd:double"&gt;45.63&lt;/D&gt;&lt;D xsi:type="xsd:double"&gt;44.88&lt;/D&gt;&lt;D xsi:type="xsd:double"&gt;44.93&lt;/D&gt;&lt;D xsi:type="xsd:double"&gt;46.54&lt;/D&gt;&lt;D xsi:type="xsd:double"&gt;47.51&lt;/D&gt;&lt;D xsi:type="xsd:double"&gt;49.42&lt;/D&gt;&lt;D xsi:type="xsd:double"&gt;49.82&lt;/D&gt;&lt;D xsi:type="xsd:double"&gt;49.61&lt;/D&gt;&lt;D xsi:type="xsd:double"&gt;49.42&lt;/D&gt;&lt;D xsi:type="xsd:double"&gt;50.17&lt;/D&gt;&lt;D xsi:type="xsd:double"&gt;49.21&lt;/D&gt;&lt;D xsi:type="xsd:double"&gt;49.65&lt;/D&gt;&lt;D xsi:type="xsd:double"&gt;49.63&lt;/D&gt;&lt;D xsi:type="xsd:double"&gt;49.02&lt;/D&gt;&lt;D xsi:type="xsd:double"&gt;48.4&lt;/D&gt;&lt;D xsi:type="xsd:double"&gt;48.35&lt;/D&gt;&lt;D xsi:type="xsd:double"&gt;48.65&lt;/D&gt;&lt;D xsi:type="xsd:double"&gt;47.97&lt;/D&gt;&lt;D xsi:type="xsd:double"&gt;47.68&lt;/D&gt;&lt;D xsi:type="xsd:double"&gt;47.14&lt;/D&gt;&lt;D xsi:type="xsd:double"&gt;48.28&lt;/D&gt;&lt;D xsi:type="xsd:double"&gt;47.33&lt;/D&gt;&lt;D xsi:type="xsd:double"&gt;47.29&lt;/D&gt;&lt;D xsi:type="xsd:double"&gt;46.02&lt;/D&gt;&lt;D xsi:type="xsd:double"&gt;46.19&lt;/D&gt;&lt;D xsi:type="xsd:double"&gt;46.47&lt;/D&gt;&lt;D xsi:type="xsd:double"&gt;46.21&lt;/D&gt;&lt;D xsi:type="xsd:double"&gt;47.66&lt;/D&gt;&lt;D xsi:type="xsd:double"&gt;48.19&lt;/D&gt;&lt;D xsi:type="xsd:double"&gt;49.82&lt;/D&gt;&lt;D xsi:type="xsd:double"&gt;49.03&lt;/D&gt;&lt;D xsi:type="xsd:double"&gt;48.64&lt;/D&gt;&lt;D xsi:type="xsd:double"&gt;48.77&lt;/D&gt;&lt;D xsi:type="xsd:double"&gt;49.2&lt;/D&gt;&lt;D xsi:type="xsd:double"&gt;48.46&lt;/D&gt;&lt;D xsi:type="xsd:double"&gt;48.14&lt;/D&gt;&lt;D xsi:type="xsd:double"&gt;49.41&lt;/D&gt;&lt;D xsi:type="xsd:double"&gt;49.72&lt;/D&gt;&lt;D xsi:type="xsd:double"&gt;50.49&lt;/D&gt;&lt;D xsi:type="xsd:double"&gt;51.19&lt;/D&gt;&lt;D xsi:type="xsd:double"&gt;51.02&lt;/D&gt;&lt;D xsi:type="xsd:double"&gt;50.96&lt;/D&gt;&lt;D xsi:type="xsd:double"&gt;51.19&lt;/D&gt;&lt;D xsi:type="xsd:double"&gt;51.53&lt;/D&gt;&lt;D xsi:type="xsd:double"&gt;50.89&lt;/D&gt;&lt;D xsi:type="xsd:double"&gt;51.28&lt;/D&gt;&lt;D xsi:type="xsd:double"&gt;51.83&lt;/D&gt;&lt;D xsi:type="xsd:double"&gt;51.79&lt;/D&gt;&lt;D xsi:type="xsd:double"&gt;51.8&lt;/D&gt;&lt;D xsi:type="xsd:double"&gt;52.46&lt;/D&gt;&lt;D xsi:type="xsd:double"&gt;53.2&lt;/D&gt;&lt;D xsi:type="xsd:double"&gt;52.78&lt;/D&gt;&lt;D xsi:type="xsd:double"&gt;52.27&lt;/D&gt;&lt;D xsi:type="xsd:double"&gt;53.08&lt;/D&gt;&lt;D xsi:type="xsd:double"&gt;53.27&lt;/D&gt;&lt;D xsi:type="xsd:double"&gt;52.28&lt;/D&gt;&lt;D xsi:type="xsd:double"&gt;52.35&lt;/D&gt;&lt;D xsi:type="xsd:double"&gt;52.39&lt;/D&gt;&lt;D xsi:type="xsd:double"&gt;52.05&lt;/D&gt;&lt;D xsi:type="xsd:double"&gt;52.6&lt;/D&gt;&lt;D xsi:type="xsd:double"&gt;51.99&lt;/D&gt;&lt;D xsi:type="xsd:double"&gt;52.39&lt;/D&gt;&lt;D xsi:type="xsd:double"&gt;51.82&lt;/D&gt;&lt;D xsi:type="xsd:double"&gt;51.51&lt;/D&gt;&lt;D xsi:type="xsd:double"&gt;49.28&lt;/D&gt;&lt;D xsi:type="xsd:double"&gt;48.85&lt;/D&gt;&lt;D xsi:type="xsd:double"&gt;48.97&lt;/D&gt;&lt;D xsi:type="xsd:double"&gt;49.62&lt;/D&gt;&lt;D xsi:type="xsd:double"&gt;50.32&lt;/D&gt;&lt;D xsi:type="xsd:double"&gt;48.58&lt;/D&gt;&lt;D xsi:type="xsd:double"&gt;48.26&lt;/D&gt;&lt;D xsi:type="xsd:double"&gt;49.86&lt;/D&gt;&lt;D xsi:type="xsd:double"&gt;51.08&lt;/D&gt;&lt;D xsi:type="xsd:double"&gt;51.93&lt;/D&gt;&lt;D xsi:type="xsd:double"&gt;51.38&lt;/D&gt;&lt;D xsi:type="xsd:double"&gt;52.37&lt;/D&gt;&lt;D xsi:type="xsd:double"&gt;53.24&lt;/D&gt;&lt;D xsi:type="xsd:double"&gt;52&lt;/D&gt;&lt;D xsi:type="xsd:double"&gt;52.75&lt;/D&gt;&lt;D xsi:type="xsd:double"&gt;53.25&lt;/D&gt;&lt;D xsi:type="xsd:double"&gt;53.92&lt;/D&gt;&lt;D xsi:type="xsd:double"&gt;54.26&lt;/D&gt;&lt;D xsi:type="xsd:double"&gt;55.04&lt;/D&gt;&lt;D xsi:type="xsd:double"&gt;54.79&lt;/D&gt;&lt;D xsi:type="xsd:double"&gt;53.82&lt;/D&gt;&lt;D xsi:type="xsd:double"&gt;54.16&lt;/D&gt;&lt;D xsi:type="xsd:double"&gt;54.95&lt;/D&gt;&lt;D xsi:type="xsd:double"&gt;55.54&lt;/D&gt;&lt;D xsi:type="xsd:double"&gt;54.65&lt;/D&gt;&lt;D xsi:type="xsd:double"&gt;54.31&lt;/D&gt;&lt;D xsi:type="xsd:double"&gt;54.25&lt;/D&gt;&lt;D xsi:type="xsd:double"&gt;54.09&lt;/D&gt;&lt;D xsi:type="xsd:double"&gt;54.89&lt;/D&gt;&lt;D xsi:type="xsd:double"&gt;54.61&lt;/D&gt;&lt;D xsi:type="xsd:double"&gt;54.18&lt;/D&gt;&lt;D xsi:type="xsd:double"&gt;53.1&lt;/D&gt;&lt;D xsi:type="xsd:double"&gt;52.87&lt;/D&gt;&lt;D xsi:type="xsd:double"&gt;53.2&lt;/D&gt;&lt;D xsi:type="xsd:double"&gt;53.6&lt;/D&gt;&lt;D xsi:type="xsd:double"&gt;53.78&lt;/D&gt;&lt;D xsi:type="xsd:double"&gt;54.38&lt;/D&gt;&lt;D xsi:type="xsd:double"&gt;55.15&lt;/D&gt;&lt;D xsi:type="xsd:double"&gt;55.34&lt;/D&gt;&lt;D xsi:type="xsd:double"&gt;55.28&lt;/D&gt;&lt;D xsi:type="xsd:double"&gt;56.13&lt;/D&gt;&lt;D xsi:type="xsd:double"&gt;56.17&lt;/D&gt;&lt;D xsi:type="xsd:double"&gt;56.7&lt;/D&gt;&lt;D xsi:type="xsd:double"&gt;56.06&lt;/D&gt;&lt;D xsi:type="xsd:double"&gt;55.22&lt;/D&gt;&lt;D xsi:type="xsd:double"&gt;55.6&lt;/D&gt;&lt;D xsi:type="xsd:double"&gt;55.35&lt;/D&gt;&lt;D xsi:type="xsd:double"&gt;55.41&lt;/D&gt;&lt;D xsi:type="xsd:double"&gt;56.02&lt;/D&gt;&lt;D xsi:type="xsd:double"&gt;55.92&lt;/D&gt;&lt;D xsi:type="xsd:double"&gt;55.6&lt;/D&gt;&lt;D xsi:type="xsd:double"&gt;55.69&lt;/D&gt;&lt;D xsi:type="xsd:double"&gt;55.66&lt;/D&gt;&lt;D xsi:type="xsd:double"&gt;55.81&lt;/D&gt;&lt;D xsi:type="xsd:double"&gt;55.8&lt;/D&gt;&lt;D xsi:type="xsd:double"&gt;55.47&lt;/D&gt;&lt;D xsi:type="xsd:double"&gt;55.15&lt;/D&gt;&lt;D xsi:type="xsd:double"&gt;54.67&lt;/D&gt;&lt;D xsi:type="xsd:double"&gt;53.94&lt;/D&gt;&lt;D xsi:type="xsd:double"&gt;54.31&lt;/D&gt;&lt;D xsi:type="xsd:double"&gt;54.89&lt;/D&gt;&lt;D xsi:type="xsd:double"&gt;54.83&lt;/D&gt;&lt;D xsi:type="xsd:double"&gt;54.35&lt;/D&gt;&lt;D xsi:type="xsd:double"&gt;54.6&lt;/D&gt;&lt;D xsi:type="xsd:double"&gt;56.1&lt;/D&gt;&lt;D xsi:type="xsd:double"&gt;56&lt;/D&gt;&lt;D xsi:type="xsd:double"&gt;56.42&lt;/D&gt;&lt;D xsi:type="xsd:double"&gt;56.305&lt;/D&gt;&lt;D xsi:type="xsd:double"&gt;55.22&lt;/D&gt;&lt;D xsi:type="xsd:double"&gt;54.71&lt;/D&gt;&lt;D xsi:type="xsd:double"&gt;55.1&lt;/D&gt;&lt;D xsi:type="xsd:double"&gt;54.41&lt;/D&gt;&lt;D xsi:type="xsd:double"&gt;54.68&lt;/D&gt;&lt;D xsi:type="xsd:double"&gt;55.05&lt;/D&gt;&lt;D xsi:type="xsd:double"&gt;54.8&lt;/D&gt;&lt;D xsi:type="xsd:double"&gt;56.39&lt;/D&gt;&lt;D xsi:type="xsd:double"&gt;56.62&lt;/D&gt;&lt;D xsi:type="xsd:double"&gt;56.65&lt;/D&gt;&lt;D xsi:type="xsd:double"&gt;57.05&lt;/D&gt;&lt;D xsi:type="xsd:double"&gt;57.44&lt;/D&gt;&lt;D xsi:type="xsd:double"&gt;57.58&lt;/D&gt;&lt;D xsi:type="xsd:double"&gt;57.73&lt;/D&gt;&lt;D xsi:type="xsd:double"&gt;57.81&lt;/D&gt;&lt;D xsi:type="xsd:double"&gt;57.92&lt;/D&gt;&lt;D xsi:type="xsd:double"&gt;57.63&lt;/D&gt;&lt;D xsi:type="xsd:double"&gt;57.21&lt;/D&gt;&lt;D xsi:type="xsd:double"&gt;57.75&lt;/D&gt;&lt;D xsi:type="xsd:double"&gt;57.92&lt;/D&gt;&lt;D xsi:type="xsd:double"&gt;57.75&lt;/D&gt;&lt;D xsi:type="xsd:double"&gt;57.68&lt;/D&gt;&lt;D xsi:type="xsd:double"&gt;57.74&lt;/D&gt;&lt;D xsi:type="xsd:double"&gt;57.35&lt;/D&gt;&lt;D xsi:type="xsd:double"&gt;57.6&lt;/D&gt;&lt;D xsi:type="xsd:double"&gt;57.07&lt;/D&gt;&lt;D xsi:type="xsd:double"&gt;57.58&lt;/D&gt;&lt;D xsi:type="xsd:double"&gt;57.14&lt;/D&gt;&lt;D xsi:type="xsd:double"&gt;57.45&lt;/D&gt;&lt;D xsi:type="xsd:double"&gt;57.49&lt;/D&gt;&lt;D xsi:type="xsd:double"&gt;57.47&lt;/D&gt;&lt;D xsi:type="xsd:double"&gt;57.25&lt;/D&gt;&lt;D xsi:type="xsd:double"&gt;57.58&lt;/D&gt;&lt;D xsi:type="xsd:double"&gt;57.4&lt;/D&gt;&lt;D xsi:type="xsd:double"&gt;56.94&lt;/D&gt;&lt;D xsi:type="xsd:double"&gt;57.11&lt;/D&gt;&lt;D xsi:type="xsd:double"&gt;56.64&lt;/D&gt;&lt;D xsi:type="xsd:double"&gt;56.16&lt;/D&gt;&lt;D xsi:type="xsd:double"&gt;55.54&lt;/D&gt;&lt;D xsi:type="xsd:double"&gt;55.58&lt;/D&gt;&lt;D xsi:type="xsd:double"&gt;55.71&lt;/D&gt;&lt;D xsi:type="xsd:double"&gt;55.68&lt;/D&gt;&lt;D xsi:type="xsd:double"&gt;55&lt;/D&gt;&lt;D xsi:type="xsd:double"&gt;55.32&lt;/D&gt;&lt;D xsi:type="xsd:double"&gt;54.97&lt;/D&gt;&lt;D xsi:type="xsd:double"&gt;55.68&lt;/D&gt;&lt;D xsi:type="xsd:double"&gt;55.41&lt;/D&gt;&lt;D xsi:type="xsd:double"&gt;55.43&lt;/D&gt;&lt;D xsi:type="xsd:double"&gt;55.66&lt;/D&gt;&lt;D xsi:type="xsd:double"&gt;56.77&lt;/D&gt;&lt;D xsi:type="xsd:double"&gt;56.64&lt;/D&gt;&lt;D xsi:type="xsd:double"&gt;57.2&lt;/D&gt;&lt;D xsi:type="xsd:double"&gt;56.6&lt;/D&gt;&lt;D xsi:type="xsd:double"&gt;56.14&lt;/D&gt;&lt;D xsi:type="xsd:double"&gt;55.69&lt;/D&gt;&lt;D xsi:type="xsd:double"&gt;56.88&lt;/D&gt;&lt;D xsi:type="xsd:double"&gt;57.47&lt;/D&gt;&lt;D xsi:type="xsd:double"&gt;57.8&lt;/D&gt;&lt;D xsi:type="xsd:double"&gt;57.63&lt;/D&gt;&lt;D xsi:type="xsd:double"&gt;57.96&lt;/D&gt;&lt;D xsi:type="xsd:double"&gt;57.62&lt;/D&gt;&lt;D xsi:type="xsd:double"&gt;57.75&lt;/D&gt;&lt;D xsi:type="xsd:double"&gt;57.85&lt;/D&gt;&lt;D xsi:type="xsd:double"&gt;58.44&lt;/D&gt;&lt;D xsi:type="xsd:double"&gt;58.36&lt;/D&gt;&lt;D xsi:type="xsd:double"&gt;58.11&lt;/D&gt;&lt;D xsi:type="xsd:double"&gt;57.95&lt;/D&gt;&lt;D xsi:type="xsd:double"&gt;57.38&lt;/D&gt;&lt;D xsi:type="xsd:double"&gt;57.2&lt;/D&gt;&lt;D xsi:type="xsd:double"&gt;57.18&lt;/D&gt;&lt;D xsi:type="xsd:double"&gt;56.6&lt;/D&gt;&lt;D xsi:type="xsd:double"&gt;56.98&lt;/D&gt;&lt;D xsi:type="xsd:double"&gt;56.98&lt;/D&gt;&lt;D xsi:type="xsd:double"&gt;56.46&lt;/D&gt;&lt;D xsi:type="xsd:double"&gt;55.83&lt;/D&gt;&lt;D xsi:type="xsd:double"&gt;55.68&lt;/D&gt;&lt;D xsi:type="xsd:double"&gt;56.38&lt;/D&gt;&lt;D xsi:type="xsd:double"&gt;56.52&lt;/D&gt;&lt;D xsi:type="xsd:double"&gt;57.16&lt;/D&gt;&lt;D xsi:type="xsd:double"&gt;57.51&lt;/D&gt;&lt;D xsi:type="xsd:double"&gt;57.35&lt;/D&gt;&lt;D xsi:type="xsd:double"&gt;57.55&lt;/D&gt;&lt;D xsi:type="xsd:double"&gt;57.26&lt;/D&gt;&lt;D xsi:type="xsd:double"&gt;57.12&lt;/D&gt;&lt;D xsi:type="xsd:double"&gt;57.09&lt;/D&gt;&lt;D xsi:type="xsd:double"&gt;57.38&lt;/D&gt;&lt;D xsi:type="xsd:double"&gt;57.2&lt;/D&gt;&lt;D xsi:type="xsd:double"&gt;57.25&lt;/D&gt;&lt;D xsi:type="xsd:double"&gt;56.87&lt;/D&gt;&lt;D xsi:type="xsd:double"&gt;56.56&lt;/D&gt;&lt;D xsi:type="xsd:double"&gt;57.02&lt;/D&gt;&lt;D xsi:type="xsd:double"&gt;56.61&lt;/D&gt;&lt;D xsi:type="xsd:double"&gt;55.96&lt;/D&gt;&lt;D xsi:type="xsd:double"&gt;56.47&lt;/D&gt;&lt;D xsi:type="xsd:double"&gt;56.76&lt;/D&gt;&lt;D xsi:type="xsd:double"&gt;56.74&lt;/D&gt;&lt;D xsi:type="xsd:double"&gt;56.67&lt;/D&gt;&lt;D xsi:type="xsd:double"&gt;55.97&lt;/D&gt;&lt;D xsi:type="xsd:double"&gt;55.61&lt;/D&gt;&lt;D xsi:type="xsd:double"&gt;56.59&lt;/D&gt;&lt;D xsi:type="xsd:double"&gt;57.11&lt;/D&gt;&lt;D xsi:type="xsd:double"&gt;57.42&lt;/D&gt;&lt;D xsi:type="xsd:double"&gt;57.28&lt;/D&gt;&lt;D xsi:type="xsd:double"&gt;57.5&lt;/D&gt;&lt;D xsi:type="xsd:double"&gt;57.32&lt;/D&gt;&lt;D xsi:type="xsd:double"&gt;56.34&lt;/D&gt;&lt;D xsi:type="xsd:double"&gt;57.25&lt;/D&gt;&lt;D xsi:type="xsd:double"&gt;57.06&lt;/D&gt;&lt;D xsi:type="xsd:double"&gt;57.56&lt;/D&gt;&lt;D xsi:type="xsd:double"&gt;57.53&lt;/D&gt;&lt;D xsi:type="xsd:double"&gt;57.51&lt;/D&gt;&lt;D xsi:type="xsd:double"&gt;57.89&lt;/D&gt;&lt;D xsi:type="xsd:double"&gt;57.91&lt;/D&gt;&lt;D xsi:type="xsd:double"&gt;58.14&lt;/D&gt;&lt;D xsi:type="xsd:double"&gt;57.91&lt;/D&gt;&lt;D xsi:type="xsd:double"&gt;57.41&lt;/D&gt;&lt;D xsi:type="xsd:double"&gt;57.55&lt;/D&gt;&lt;D xsi:type="xsd:double"&gt;57.56&lt;/D&gt;&lt;D xsi:type="xsd:double"&gt;56.95&lt;/D&gt;&lt;D xsi:type="xsd:double"&gt;57.93&lt;/D&gt;&lt;D xsi:type="xsd:double"&gt;58.13&lt;/D&gt;&lt;D xsi:type="xsd:double"&gt;58.63&lt;/D&gt;&lt;D xsi:type="xsd:double"&gt;58.68&lt;/D&gt;&lt;D xsi:type="xsd:double"&gt;58.58&lt;/D&gt;&lt;D xsi:type="xsd:double"&gt;58.54&lt;/D&gt;&lt;D xsi:type="xsd:double"&gt;58.85&lt;/D&gt;&lt;D xsi:type="xsd:double"&gt;59.04&lt;/D&gt;&lt;D xsi:type="xsd:double"&gt;59.14&lt;/D&gt;&lt;D xsi:type="xsd:double"&gt;59.14&lt;/D&gt;&lt;D xsi:type="xsd:double"&gt;58.6&lt;/D&gt;&lt;D xsi:type="xsd:double"&gt;59.03&lt;/D&gt;&lt;D xsi:type="xsd:double"&gt;58.9&lt;/D&gt;&lt;D xsi:type="xsd:double"&gt;58.34&lt;/D&gt;&lt;D xsi:type="xsd:double"&gt;58.13&lt;/D&gt;&lt;D xsi:type="xsd:double"&gt;58.07&lt;/D&gt;&lt;D xsi:type="xsd:double"&gt;57.95&lt;/D&gt;&lt;D xsi:type="xsd:double"&gt;57.78&lt;/D&gt;&lt;D xsi:type="xsd:double"&gt;57.4&lt;/D&gt;&lt;D xsi:type="xsd:double"&gt;57.56&lt;/D&gt;&lt;D xsi:type="xsd:double"&gt;56.88&lt;/D&gt;&lt;D xsi:type="xsd:double"&gt;57.31&lt;/D&gt;&lt;D xsi:type="xsd:double"&gt;56.97&lt;/D&gt;&lt;D xsi:type="xsd:double"&gt;57.07&lt;/D&gt;&lt;D xsi:type="xsd:double"&gt;56.08&lt;/D&gt;&lt;D xsi:type="xsd:double"&gt;55.79&lt;/D&gt;&lt;D xsi:type="xsd:double"&gt;56.91&lt;/D&gt;&lt;D xsi:type="xsd:double"&gt;57.45&lt;/D&gt;&lt;D xsi:type="xsd:double"&gt;57.98&lt;/D&gt;&lt;D xsi:type="xsd:double"&gt;57.35&lt;/D&gt;&lt;D xsi:type="xsd:double"&gt;56.86&lt;/D&gt;&lt;D xsi:type="xsd:double"&gt;56.25&lt;/D&gt;&lt;D xsi:type="xsd:double"&gt;57&lt;/D&gt;&lt;D xsi:type="xsd:double"&gt;56.59&lt;/D&gt;&lt;D xsi:type="xsd:double"&gt;57.36&lt;/D&gt;&lt;D xsi:type="xsd:double"&gt;57.43&lt;/D&gt;&lt;D xsi:type="xsd:double"&gt;57.12&lt;/D&gt;&lt;D xsi:type="xsd:double"&gt;57.24&lt;/D&gt;&lt;D xsi:type="xsd:double"&gt;57.16&lt;/D&gt;&lt;D xsi:type="xsd:double"&gt;56.54&lt;/D&gt;&lt;D xsi:type="xsd:double"&gt;56.74&lt;/D&gt;&lt;D xsi:type="xsd:double"&gt;56.19&lt;/D&gt;&lt;D xsi:type="xsd:double"&gt;57.02&lt;/D&gt;&lt;D xsi:type="xsd:double"&gt;57.24&lt;/D&gt;&lt;D xsi:type="xsd:double"&gt;56.92&lt;/D&gt;&lt;D xsi:type="xsd:double"&gt;56.46&lt;/D&gt;&lt;D xsi:type="xsd:double"&gt;56.37&lt;/D&gt;&lt;D xsi:type="xsd:double"&gt;56.08&lt;/D&gt;&lt;D xsi:type="xsd:double"&gt;56.39&lt;/D&gt;&lt;D xsi:type="xsd:double"&gt;56.43&lt;/D&gt;&lt;D xsi:type="xsd:double"&gt;56&lt;/D&gt;&lt;D xsi:type="xsd:double"&gt;56.22&lt;/D&gt;&lt;D xsi:type="xsd:double"&gt;56.52&lt;/D&gt;&lt;D xsi:type="xsd:double"&gt;55.92&lt;/D&gt;&lt;D xsi:type="xsd:double"&gt;55.18&lt;/D&gt;&lt;D xsi:type="xsd:double"&gt;55.25&lt;/D&gt;&lt;D xsi:type="xsd:double"&gt;55.29&lt;/D&gt;&lt;D xsi:type="xsd:double"&gt;55.52&lt;/D&gt;&lt;D xsi:type="xsd:double"&gt;54.61&lt;/D&gt;&lt;D xsi:type="xsd:double"&gt;54.34&lt;/D&gt;&lt;D xsi:type="xsd:double"&gt;54.92&lt;/D&gt;&lt;D xsi:type="xsd:double"&gt;55.75&lt;/D&gt;&lt;D xsi:type="xsd:double"&gt;55.75&lt;/D&gt;&lt;D xsi:type="xsd:double"&gt;55.47&lt;/D&gt;&lt;D xsi:type="xsd:double"&gt;56.15&lt;/D&gt;&lt;D xsi:type="xsd:double"&gt;56&lt;/D&gt;&lt;D xsi:type="xsd:double"&gt;55.8&lt;/D&gt;&lt;D xsi:type="xsd:double"&gt;55.73&lt;/D&gt;&lt;D xsi:type="xsd:double"&gt;55.94&lt;/D&gt;&lt;D xsi:type="xsd:double"&gt;55.16&lt;/D&gt;&lt;D xsi:type="xsd:double"&gt;55.03&lt;/D&gt;&lt;D xsi:type="xsd:double"&gt;54.17&lt;/D&gt;&lt;D xsi:type="xsd:double"&gt;54.77&lt;/D&gt;&lt;D xsi:type="xsd:double"&gt;54.27&lt;/D&gt;&lt;D xsi:type="xsd:double"&gt;55.08&lt;/D&gt;&lt;D xsi:type="xsd:double"&gt;55.31&lt;/D&gt;&lt;D xsi:type="xsd:double"&gt;55.47&lt;/D&gt;&lt;D xsi:type="xsd:double"&gt;54.24&lt;/D&gt;&lt;D xsi:type="xsd:double"&gt;55.13&lt;/D&gt;&lt;D xsi:type="xsd:double"&gt;56.17&lt;/D&gt;&lt;D xsi:type="xsd:double"&gt;56.13&lt;/D&gt;&lt;D xsi:type="xsd:double"&gt;56.02&lt;/D&gt;&lt;D xsi:type="xsd:double"&gt;56.64&lt;/D&gt;&lt;D xsi:type="xsd:double"&gt;56.36&lt;/D&gt;&lt;D xsi:type="xsd:double"&gt;56.82&lt;/D&gt;&lt;D xsi:type="xsd:double"&gt;57&lt;/D&gt;&lt;D xsi:type="xsd:double"&gt;56.69&lt;/D&gt;&lt;D xsi:type="xsd:double"&gt;56.45&lt;/D&gt;&lt;D xsi:type="xsd:double"&gt;56.03&lt;/D&gt;&lt;D xsi:type="xsd:double"&gt;56.06&lt;/D&gt;&lt;D xsi:type="xsd:double"&gt;55.67&lt;/D&gt;&lt;D xsi:type="xsd:double"&gt;55.34&lt;/D&gt;&lt;D xsi:type="xsd:double"&gt;54.94&lt;/D&gt;&lt;D xsi:type="xsd:double"&gt;54.92&lt;/D&gt;&lt;D xsi:type="xsd:double"&gt;54.73&lt;/D&gt;&lt;D xsi:type="xsd:double"&gt;54.11&lt;/D&gt;&lt;D xsi:type="xsd:double"&gt;53.19&lt;/D&gt;&lt;D xsi:type="xsd:double"&gt;54.43&lt;/D&gt;&lt;D xsi:type="xsd:double"&gt;54.07&lt;/D&gt;&lt;D xsi:type="xsd:double"&gt;55.39&lt;/D&gt;&lt;D xsi:type="xsd:double"&gt;55.48&lt;/D&gt;&lt;D xsi:type="xsd:double"&gt;55.39&lt;/D&gt;&lt;D xsi:type="xsd:double"&gt;55.77&lt;/D&gt;&lt;D xsi:type="xsd:double"&gt;55.69&lt;/D&gt;&lt;D xsi:type="xsd:double"&gt;55.11&lt;/D&gt;&lt;D xsi:type="xsd:double"&gt;54.58&lt;/D&gt;&lt;D xsi:type="xsd:double"&gt;55.37&lt;/D&gt;&lt;D xsi:type="xsd:double"&gt;54.92&lt;/D&gt;&lt;D xsi:type="xsd:double"&gt;54.96&lt;/D&gt;&lt;D xsi:type="xsd:double"&gt;54.64&lt;/D&gt;&lt;D xsi:type="xsd:double"&gt;55.36&lt;/D&gt;&lt;D xsi:type="xsd:double"&gt;54.62&lt;/D&gt;&lt;D xsi:type="xsd:double"&gt;54.33&lt;/D&gt;&lt;D xsi:type="xsd:double"&gt;54.1&lt;/D&gt;&lt;D xsi:type="xsd:double"&gt;53.32&lt;/D&gt;&lt;D xsi:type="xsd:double"&gt;53.04&lt;/D&gt;&lt;D xsi:type="xsd:double"&gt;53.3&lt;/D&gt;&lt;D xsi:type="xsd:double"&gt;53.04&lt;/D&gt;&lt;D xsi:type="xsd:double"&gt;52.6&lt;/D&gt;&lt;D xsi:type="xsd:double"&gt;52.29&lt;/D&gt;&lt;D xsi:type="xsd:double"&gt;52.36&lt;/D&gt;&lt;D xsi:type="xsd:double"&gt;51.83&lt;/D&gt;&lt;D xsi:type="xsd:double"&gt;52.01&lt;/D&gt;&lt;D xsi:type="xsd:double"&gt;52.65&lt;/D&gt;&lt;D xsi:type="xsd:double"&gt;52.92&lt;/D&gt;&lt;D xsi:type="xsd:double"&gt;52.53&lt;/D&gt;&lt;D xsi:type="xsd:double"&gt;52.34&lt;/D&gt;&lt;D xsi:type="xsd:double"&gt;51.78&lt;/D&gt;&lt;D xsi:type="xsd:double"&gt;52.34&lt;/D&gt;&lt;D xsi:type="xsd:double"&gt;52.59&lt;/D&gt;&lt;D xsi:type="xsd:double"&gt;52.31&lt;/D&gt;&lt;D xsi:type="xsd:double"&gt;52.41&lt;/D&gt;&lt;D xsi:type="xsd:double"&gt;52.26&lt;/D&gt;&lt;D xsi:type="xsd:double"&gt;52.52&lt;/D&gt;&lt;D xsi:type="xsd:double"&gt;52.06&lt;/D&gt;&lt;D xsi:type="xsd:double"&gt;51.79&lt;/D&gt;&lt;D xsi:type="xsd:double"&gt;51.74&lt;/D&gt;&lt;D xsi:type="xsd:double"&gt;50.73&lt;/D&gt;&lt;D xsi:type="xsd:double"&gt;51.85&lt;/D&gt;&lt;D xsi:type="xsd:double"&gt;51.47&lt;/D&gt;&lt;D xsi:type="xsd:double"&gt;51.55&lt;/D&gt;&lt;D xsi:type="xsd:double"&gt;50.85&lt;/D&gt;&lt;D xsi:type="xsd:double"&gt;50.8&lt;/D&gt;&lt;D xsi:type="xsd:double"&gt;50.64&lt;/D&gt;&lt;D xsi:type="xsd:double"&gt;50.35&lt;/D&gt;&lt;D xsi:type="xsd:double"&gt;50.57&lt;/D&gt;&lt;D xsi:type="xsd:double"&gt;50.65&lt;/D&gt;&lt;D xsi:type="xsd:double"&gt;50.02&lt;/D&gt;&lt;D xsi:type="xsd:double"&gt;49.3&lt;/D&gt;&lt;D xsi:type="xsd:double"&gt;49.95&lt;/D&gt;&lt;D xsi:type="xsd:double"&gt;49.55&lt;/D&gt;&lt;D xsi:type="xsd:double"&gt;49.43&lt;/D&gt;&lt;D xsi:type="xsd:double"&gt;48.43&lt;/D&gt;&lt;D xsi:type="xsd:double"&gt;48.27&lt;/D&gt;&lt;D xsi:type="xsd:double"&gt;47.25&lt;/D&gt;&lt;D xsi:type="xsd:double"&gt;46.47&lt;/D&gt;&lt;D xsi:type="xsd:double"&gt;45.61&lt;/D&gt;&lt;D xsi:type="xsd:double"&gt;45.05&lt;/D&gt;&lt;D xsi:type="xsd:double"&gt;45.33&lt;/D&gt;&lt;D xsi:type="xsd:double"&gt;45.1&lt;/D&gt;&lt;D xsi:type="xsd:double"&gt;46.38&lt;/D&gt;&lt;D xsi:type="xsd:double"&gt;46.53&lt;/D&gt;&lt;D xsi:type="xsd:double"&gt;47.3&lt;/D&gt;&lt;D xsi:type="xsd:double"&gt;47.06&lt;/D&gt;&lt;D xsi:type="xsd:double"&gt;47.04&lt;/D&gt;&lt;D xsi:type="xsd:double"&gt;47.19&lt;/D&gt;&lt;D xsi:type="xsd:double"&gt;46.88&lt;/D&gt;&lt;D xsi:type="xsd:double"&gt;47.07&lt;/D&gt;&lt;D xsi:type="xsd:double"&gt;46.91&lt;/D&gt;&lt;D xsi:type="xsd:double"&gt;47.35&lt;/D&gt;&lt;D xsi:type="xsd:double"&gt;47.46&lt;/D&gt;&lt;D xsi:type="xsd:double"&gt;47.87&lt;/D&gt;&lt;D xsi:type="xsd:double"&gt;47.59&lt;/D&gt;&lt;D xsi:type="xsd:double"&gt;47.28&lt;/D&gt;&lt;D xsi:type="xsd:double"&gt;46.9&lt;/D&gt;&lt;D xsi:type="xsd:double"&gt;46.46&lt;/D&gt;&lt;D xsi:type="xsd:double"&gt;46.83&lt;/D&gt;&lt;D xsi:type="xsd:double"&gt;46.14&lt;/D&gt;&lt;D xsi:type="xsd:double"&gt;46.37&lt;/D&gt;&lt;D xsi:type="xsd:double"&gt;45.99&lt;/D&gt;&lt;D xsi:type="xsd:double"&gt;45.93&lt;/D&gt;&lt;D xsi:type="xsd:double"&gt;46.04&lt;/D&gt;&lt;D xsi:type="xsd:double"&gt;45.36&lt;/D&gt;&lt;D xsi:type="xsd:double"&gt;45.25&lt;/D&gt;&lt;D xsi:type="xsd:double"&gt;45.3&lt;/D&gt;&lt;D xsi:type="xsd:double"&gt;45.875&lt;/D&gt;&lt;D xsi:type="xsd:double"&gt;45.92&lt;/D&gt;&lt;D xsi:type="xsd:double"&gt;46.81&lt;/D&gt;&lt;D xsi:type="xsd:double"&gt;47.2&lt;/D&gt;&lt;D xsi:type="xsd:double"&gt;47.23&lt;/D&gt;&lt;D xsi:type="xsd:double"&gt;47.26&lt;/D&gt;&lt;D xsi:type="xsd:double"&gt;46.93&lt;/D&gt;&lt;D xsi:type="xsd:double"&gt;46.51&lt;/D&gt;&lt;D xsi:type="xsd:double"&gt;46.1&lt;/D&gt;&lt;D xsi:type="xsd:double"&gt;46.7&lt;/D&gt;&lt;D xsi:type="xsd:double"&gt;45.88&lt;/D&gt;&lt;D xsi:type="xsd:double"&gt;46.55&lt;/D&gt;&lt;D xsi:type="xsd:double"&gt;46.52&lt;/D&gt;&lt;D xsi:type="xsd:double"&gt;47.56&lt;/D&gt;&lt;D xsi:type="xsd:double"&gt;47.18&lt;/D&gt;&lt;D xsi:type="xsd:double"&gt;46.85&lt;/D&gt;&lt;D xsi:type="xsd:double"&gt;47.43&lt;/D&gt;&lt;D xsi:type="xsd:double"&gt;47.03&lt;/D&gt;&lt;D xsi:type="xsd:double"&gt;47.44&lt;/D&gt;&lt;D xsi:type="xsd:double"&gt;47.19&lt;/D&gt;&lt;D xsi:type="xsd:double"&gt;47.05&lt;/D&gt;&lt;D xsi:type="xsd:double"&gt;46.45&lt;/D&gt;&lt;D xsi:type="xsd:double"&gt;46.58&lt;/D&gt;&lt;D xsi:type="xsd:double"&gt;46.72&lt;/D&gt;&lt;D xsi:type="xsd:double"&gt;47.03&lt;/D&gt;&lt;D xsi:type="xsd:double"&gt;47.03&lt;/D&gt;&lt;D xsi:type="xsd:double"&gt;46.62&lt;/D&gt;&lt;D xsi:type="xsd:double"&gt;46.85&lt;/D&gt;&lt;D xsi:type="xsd:double"&gt;47.03&lt;/D&gt;&lt;D xsi:type="xsd:double"&gt;46.14&lt;/D&gt;&lt;D xsi:type="xsd:double"&gt;46.08&lt;/D&gt;&lt;D xsi:type="xsd:double"&gt;45.95&lt;/D&gt;&lt;D xsi:type="xsd:double"&gt;46.37&lt;/D&gt;&lt;D xsi:type="xsd:double"&gt;46.29&lt;/D&gt;&lt;D xsi:type="xsd:double"&gt;46.02&lt;/D&gt;&lt;D xsi:type="xsd:double"&gt;45.62&lt;/D&gt;&lt;D xsi:type="xsd:double"&gt;44.98&lt;/D&gt;&lt;D xsi:type="xsd:double"&gt;45.74&lt;/D&gt;&lt;D xsi:type="xsd:double"&gt;46.31&lt;/D&gt;&lt;D xsi:type="xsd:double"&gt;45.74&lt;/D&gt;&lt;D xsi:type="xsd:double"&gt;46.07&lt;/D&gt;&lt;D xsi:type="xsd:double"&gt;45.4&lt;/D&gt;&lt;D xsi:type="xsd:double"&gt;45.56&lt;/D&gt;&lt;D xsi:type="xsd:double"&gt;45.95&lt;/D&gt;&lt;D xsi:type="xsd:double"&gt;45.95&lt;/D&gt;&lt;D xsi:type="xsd:double"&gt;45.7&lt;/D&gt;&lt;D xsi:type="xsd:double"&gt;45.39&lt;/D&gt;&lt;D xsi:type="xsd:double"&gt;45.18&lt;/D&gt;&lt;D xsi:type="xsd:double"&gt;45.56&lt;/D&gt;&lt;D xsi:type="xsd:double"&gt;45.1&lt;/D&gt;&lt;D xsi:type="xsd:double"&gt;44.64&lt;/D&gt;&lt;D xsi:type="xsd:double"&gt;44.93&lt;/D&gt;&lt;D xsi:type="xsd:double"&gt;44.68&lt;/D&gt;&lt;D xsi:type="xsd:double"&gt;45.03&lt;/D&gt;&lt;D xsi:type="xsd:double"&gt;44.43&lt;/D&gt;&lt;D xsi:type="xsd:double"&gt;45.14&lt;/D&gt;&lt;D xsi:type="xsd:double"&gt;44.1&lt;/D&gt;&lt;D xsi:type="xsd:double"&gt;43.48&lt;/D&gt;&lt;D xsi:type="xsd:double"&gt;43.24&lt;/D&gt;&lt;D xsi:type="xsd:double"&gt;43.28&lt;/D&gt;&lt;D xsi:type="xsd:double"&gt;42.94&lt;/D&gt;&lt;D xsi:type="xsd:double"&gt;43.54&lt;/D&gt;&lt;D xsi:type="xsd:double"&gt;43.12&lt;/D&gt;&lt;D xsi:type="xsd:double"&gt;44.06&lt;/D&gt;&lt;D xsi:type="xsd:double"&gt;43.76&lt;/D&gt;&lt;D xsi:type="xsd:double"&gt;43.26&lt;/D&gt;&lt;D xsi:type="xsd:double"&gt;43.41&lt;/D&gt;&lt;D xsi:type="xsd:double"&gt;43.55&lt;/D&gt;&lt;D xsi:type="xsd:double"&gt;43.37&lt;/D&gt;&lt;D xsi:type="xsd:double"&gt;42.88&lt;/D&gt;&lt;D xsi:type="xsd:double"&gt;43.34&lt;/D&gt;&lt;D xsi:type="xsd:double"&gt;42.57&lt;/D&gt;&lt;D xsi:type="xsd:double"&gt;44.91&lt;/D&gt;&lt;D xsi:type="xsd:double"&gt;44.93&lt;/D&gt;&lt;D xsi:type="xsd:double"&gt;45.47&lt;/D&gt;&lt;D xsi:type="xsd:double"&gt;44.92&lt;/D&gt;&lt;D xsi:type="xsd:double"&gt;44.09&lt;/D&gt;&lt;D xsi:type="xsd:double"&gt;44.34&lt;/D&gt;&lt;D xsi:type="xsd:double"&gt;43.41&lt;/D&gt;&lt;D xsi:type="xsd:double"&gt;42.82&lt;/D&gt;&lt;D xsi:type="xsd:double"&gt;41.89&lt;/D&gt;&lt;D xsi:type="xsd:double"&gt;41.86&lt;/D&gt;&lt;D xsi:type="xsd:double"&gt;41.65&lt;/D&gt;&lt;D xsi:type="xsd:double"&gt;41.22&lt;/D&gt;&lt;D xsi:type="xsd:double"&gt;40.19&lt;/D&gt;&lt;D xsi:type="xsd:double"&gt;40.51&lt;/D&gt;&lt;D xsi:type="xsd:double"&gt;40.92&lt;/D&gt;&lt;D xsi:type="xsd:double"&gt;40.23&lt;/D&gt;&lt;D xsi:type="xsd:double"&gt;40.68&lt;/D&gt;&lt;D xsi:type="xsd:double"&gt;39.17&lt;/D&gt;&lt;D xsi:type="xsd:double"&gt;39.27&lt;/D&gt;&lt;D xsi:type="xsd:double"&gt;39.44&lt;/D&gt;&lt;D xsi:type="xsd:double"&gt;39.74&lt;/D&gt;&lt;D xsi:type="xsd:double"&gt;40.21&lt;/D&gt;&lt;D xsi:type="xsd:double"&gt;40.22&lt;/D&gt;&lt;D xsi:type="xsd:double"&gt;39.55&lt;/D&gt;&lt;D xsi:type="xsd:double"&gt;39.06&lt;/D&gt;&lt;D xsi:type="xsd:double"&gt;39.28&lt;/D&gt;&lt;D xsi:type="xsd:double"&gt;39.15&lt;/D&gt;&lt;D xsi:type="xsd:double"&gt;39.04&lt;/D&gt;&lt;D xsi:type="xsd:double"&gt;40.05&lt;/D&gt;&lt;D xsi:type="xsd:double"&gt;40.89&lt;/D&gt;&lt;D xsi:type="xsd:double"&gt;39.83&lt;/D&gt;&lt;D xsi:type="xsd:double"&gt;39.6&lt;/D&gt;&lt;D xsi:type="xsd:double"&gt;39.01&lt;/D&gt;&lt;D xsi:type="xsd:double"&gt;38.67&lt;/D&gt;&lt;D xsi:type="xsd:double"&gt;38.82&lt;/D&gt;&lt;D xsi:type="xsd:double"&gt;38.01&lt;/D&gt;&lt;D xsi:type="xsd:double"&gt;38.93&lt;/D&gt;&lt;D xsi:type="xsd:double"&gt;39.41&lt;/D&gt;&lt;D xsi:type="xsd:double"&gt;38.45&lt;/D&gt;&lt;D xsi:type="xsd:double"&gt;38.4&lt;/D&gt;&lt;D xsi:type="xsd:double"&gt;39.54&lt;/D&gt;&lt;D xsi:type="xsd:double"&gt;38.82&lt;/D&gt;&lt;D xsi:type="xsd:double"&gt;39.09&lt;/D&gt;&lt;D xsi:type="xsd:double"&gt;38.45&lt;/D&gt;&lt;D xsi:type="xsd:double"&gt;38.11&lt;/D&gt;&lt;D xsi:type="xsd:double"&gt;37.84&lt;/D&gt;&lt;D xsi:type="xsd:double"&gt;35.95&lt;/D&gt;&lt;D xsi:type="xsd:double"&gt;36.7&lt;/D&gt;&lt;D xsi:type="xsd:double"&gt;35.85&lt;/D&gt;&lt;D xsi:type="xsd:double"&gt;37.65&lt;/D&gt;&lt;D xsi:type="xsd:double"&gt;37.62&lt;/D&gt;&lt;D xsi:type="xsd:double"&gt;37.02&lt;/D&gt;&lt;D xsi:type="xsd:double"&gt;38.45&lt;/D&gt;&lt;D xsi:type="xsd:double"&gt;36.98&lt;/D&gt;&lt;D xsi:type="xsd:double"&gt;35.55&lt;/D&gt;&lt;D xsi:type="xsd:double"&gt;32.8&lt;/D&gt;&lt;D xsi:type="xsd:double"&gt;33.42&lt;/D&gt;&lt;D xsi:type="xsd:double"&gt;33.67&lt;/D&gt;&lt;D xsi:type="xsd:double"&gt;33.17&lt;/D&gt;&lt;D xsi:type="xsd:double"&gt;35.57&lt;/D&gt;&lt;D xsi:type="xsd:double"&gt;33.75&lt;/D&gt;&lt;D xsi:type="xsd:double"&gt;37.9&lt;/D&gt;&lt;D xsi:type="xsd:double"&gt;35.55&lt;/D&gt;&lt;D xsi:type="xsd:double"&gt;40&lt;/D&gt;&lt;D xsi:type="xsd:double"&gt;42.1&lt;/D&gt;&lt;D xsi:type="xsd:double"&gt;40.5&lt;/D&gt;&lt;D xsi:type="xsd:double"&gt;44.02&lt;/D&gt;&lt;D xsi:type="xsd:double"&gt;44.67&lt;/D&gt;&lt;D xsi:type="xsd:double"&gt;45.76&lt;/D&gt;&lt;D xsi:type="xsd:double"&gt;44.7&lt;/D&gt;&lt;D xsi:type="xsd:double"&gt;44.99&lt;/D&gt;&lt;D xsi:type="xsd:double"&gt;44.28&lt;/D&gt;&lt;D xsi:type="xsd:double"&gt;44.55&lt;/D&gt;&lt;D xsi:type="xsd:double"&gt;45.88&lt;/D&gt;&lt;D xsi:type="xsd:double"&gt;45.73&lt;/D&gt;&lt;D xsi:type="xsd:double"&gt;46.4&lt;/D&gt;&lt;D xsi:type="xsd:double"&gt;48.18&lt;/D&gt;&lt;D xsi:type="xsd:double"&gt;48.43&lt;/D&gt;&lt;D xsi:type="xsd:double"&gt;48.83&lt;/D&gt;&lt;D xsi:type="xsd:double"&gt;48.58&lt;/D&gt;&lt;D xsi:type="xsd:double"&gt;48.91&lt;/D&gt;&lt;D xsi:type="xsd:double"&gt;48.93&lt;/D&gt;&lt;D xsi:type="xsd:double"&gt;49.36&lt;/D&gt;&lt;D xsi:type="xsd:double"&gt;49&lt;/D&gt;&lt;D xsi:type="xsd:double"&gt;48.66&lt;/D&gt;&lt;D xsi:type="xsd:double"&gt;48.52&lt;/D&gt;&lt;D xsi:type="xsd:double"&gt;49.02&lt;/D&gt;&lt;D xsi:type="xsd:double"&gt;48.89&lt;/D&gt;&lt;D xsi:type="xsd:double"&gt;48.47&lt;/D&gt;&lt;D xsi:type="xsd:double"&gt;47.57&lt;/D&gt;&lt;D xsi:type="xsd:double"&gt;47.44&lt;/D&gt;&lt;D xsi:type="xsd:double"&gt;48.23&lt;/D&gt;&lt;D xsi:type="xsd:double"&gt;48.42&lt;/D&gt;&lt;D xsi:type="xsd:double"&gt;48.39&lt;/D&gt;&lt;D xsi:type="xsd:double"&gt;47.97&lt;/D&gt;&lt;D xsi:type="xsd:double"&gt;49.1&lt;/D&gt;&lt;D xsi:type="xsd:double"&gt;49.39&lt;/D&gt;&lt;D xsi:type="xsd:double"&gt;49.57&lt;/D&gt;&lt;D xsi:type="xsd:double"&gt;49.39&lt;/D&gt;&lt;D xsi:type="xsd:double"&gt;50&lt;/D&gt;&lt;D xsi:type="xsd:double"&gt;49.83&lt;/D&gt;&lt;D xsi:type="xsd:double"&gt;49.57&lt;/D&gt;&lt;D xsi:type="xsd:double"&gt;49.68&lt;/D&gt;&lt;D xsi:type="xsd:double"&gt;49.73&lt;/D&gt;&lt;D xsi:type="xsd:double"&gt;49.3&lt;/D&gt;&lt;D xsi:type="xsd:double"&gt;49.36&lt;/D&gt;&lt;D xsi:type="xsd:double"&gt;49.23&lt;/D&gt;&lt;D xsi:type="xsd:double"&gt;49.1&lt;/D&gt;&lt;D xsi:type="xsd:double"&gt;49.2&lt;/D&gt;&lt;D xsi:type="xsd:double"&gt;49.08&lt;/D&gt;&lt;D xsi:type="xsd:double"&gt;49.72&lt;/D&gt;&lt;D xsi:type="xsd:double"&gt;49.12&lt;/D&gt;&lt;D xsi:type="xsd:double"&gt;48.92&lt;/D&gt;&lt;D xsi:type="xsd:double"&gt;49.22&lt;/D&gt;&lt;D xsi:type="xsd:double"&gt;49.13&lt;/D&gt;&lt;D xsi:type="xsd:double"&gt;48.92&lt;/D&gt;&lt;D xsi:type="xsd:double"&gt;48.97&lt;/D&gt;&lt;D xsi:type="xsd:double"&gt;48.85&lt;/D&gt;&lt;D xsi:type="xsd:double"&gt;48.84&lt;/D&gt;&lt;D xsi:type="xsd:double"&gt;48.82&lt;/D&gt;&lt;D xsi:type="xsd:double"&gt;48.79&lt;/D&gt;&lt;D xsi:type="xsd:double"&gt;48.82&lt;/D&gt;&lt;D xsi:type="xsd:double"&gt;49.24&lt;/D&gt;&lt;D xsi:type="xsd:double"&gt;48.99&lt;/D&gt;&lt;D xsi:type="xsd:double"&gt;48.53&lt;/D&gt;&lt;D xsi:type="xsd:double"&gt;48.19&lt;/D&gt;&lt;D xsi:type="xsd:double"&gt;48.11&lt;/D&gt;&lt;D xsi:type="xsd:double"&gt;48.29&lt;/D&gt;&lt;D xsi:type="xsd:double"&gt;47.95&lt;/D&gt;&lt;D xsi:type="xsd:double"&gt;47.94&lt;/D&gt;&lt;D xsi:type="xsd:double"&gt;47.51&lt;/D&gt;&lt;D xsi:type="xsd:double"&gt;47.71&lt;/D&gt;&lt;D xsi:type="xsd:double"&gt;47.94&lt;/D&gt;&lt;D xsi:type="xsd:double"&gt;48.35&lt;/D&gt;&lt;D xsi:type="xsd:double"&gt;48.21&lt;/D&gt;&lt;D xsi:type="xsd:double"&gt;48.24&lt;/D&gt;&lt;D xsi:type="xsd:double"&gt;47.9&lt;/D&gt;&lt;D xsi:type="xsd:double"&gt;47.83&lt;/D&gt;&lt;D xsi:type="xsd:double"&gt;47.88&lt;/D&gt;&lt;D xsi:type="xsd:double"&gt;48.15&lt;/D&gt;&lt;D xsi:type="xsd:double"&gt;48.19&lt;/D&gt;&lt;D xsi:type="xsd:double"&gt;48.2&lt;/D&gt;&lt;D xsi:type="xsd:double"&gt;47.84&lt;/D&gt;&lt;D xsi:type="xsd:double"&gt;47.92&lt;/D&gt;&lt;D xsi:type="xsd:double"&gt;48.14&lt;/D&gt;&lt;D xsi:type="xsd:double"&gt;48.19&lt;/D&gt;&lt;D xsi:type="xsd:double"&gt;48.35&lt;/D&gt;&lt;D xsi:type="xsd:double"&gt;48.49&lt;/D&gt;&lt;D xsi:type="xsd:double"&gt;48.29&lt;/D&gt;&lt;D xsi:type="xsd:double"&gt;48.33&lt;/D&gt;&lt;D xsi:type="xsd:double"&gt;48.29&lt;/D&gt;&lt;D xsi:type="xsd:double"&gt;47.99&lt;/D&gt;&lt;D xsi:type="xsd:double"&gt;47.47&lt;/D&gt;&lt;D xsi:type="xsd:double"&gt;47.7&lt;/D&gt;&lt;D xsi:type="xsd:double"&gt;47.48&lt;/D&gt;&lt;D xsi:type="xsd:double"&gt;47.6&lt;/D&gt;&lt;D xsi:type="xsd:double"&gt;47.35&lt;/D&gt;&lt;D xsi:type="xsd:double"&gt;47.3&lt;/D&gt;&lt;D xsi:type="xsd:double"&gt;47.16&lt;/D&gt;&lt;D xsi:type="xsd:double"&gt;47.05&lt;/D&gt;&lt;D xsi:type="xsd:double"&gt;47.14&lt;/D&gt;&lt;D xsi:type="xsd:double"&gt;46.78&lt;/D&gt;&lt;D xsi:type="xsd:double"&gt;46.87&lt;/D&gt;&lt;D xsi:type="xsd:double"&gt;46.75&lt;/D&gt;&lt;D xsi:type="xsd:double"&gt;46.69&lt;/D&gt;&lt;D xsi:type="xsd:double"&gt;46.22&lt;/D&gt;&lt;D xsi:type="xsd:double"&gt;46.36&lt;/D&gt;&lt;D xsi:type="xsd:double"&gt;45.66&lt;/D&gt;&lt;D xsi:type="xsd:double"&gt;45.28&lt;/D&gt;&lt;D xsi:type="xsd:double"&gt;44.92&lt;/D&gt;&lt;D xsi:type="xsd:double"&gt;45.37&lt;/D&gt;&lt;D xsi:type="xsd:double"&gt;45.55&lt;/D&gt;&lt;D xsi:type="xsd:double"&gt;45.19&lt;/D&gt;&lt;D xsi:type="xsd:double"&gt;44.83&lt;/D&gt;&lt;D xsi:type="xsd:double"&gt;45.66&lt;/D&gt;&lt;D xsi:type="xsd:double"&gt;46.05&lt;/D&gt;&lt;D xsi:type="xsd:double"&gt;45.87&lt;/D&gt;&lt;D xsi:type="xsd:double"&gt;46.16&lt;/D&gt;&lt;D xsi:type="xsd:double"&gt;46.04&lt;/D&gt;&lt;D xsi:type="xsd:double"&gt;46.16&lt;/D&gt;&lt;D xsi:type="xsd:double"&gt;46.39&lt;/D&gt;&lt;D xsi:type="xsd:double"&gt;46.45&lt;/D&gt;&lt;D xsi:type="xsd:double"&gt;46.53&lt;/D&gt;&lt;D xsi:type="xsd:double"&gt;46.47&lt;/D&gt;&lt;D xsi:type="xsd:double"&gt;46.54&lt;/D&gt;&lt;D xsi:type="xsd:double"&gt;46.45&lt;/D&gt;&lt;D xsi:type="xsd:double"&gt;46.75&lt;/D&gt;&lt;D xsi:type="xsd:double"&gt;46.59&lt;/D&gt;&lt;D xsi:type="xsd:double"&gt;46.32&lt;/D&gt;&lt;D xsi:type="xsd:double"&gt;45.99&lt;/D&gt;&lt;D xsi:type="xsd:double"&gt;45.95&lt;/D&gt;&lt;D xsi:type="xsd:double"&gt;45.83&lt;/D&gt;&lt;D xsi:type="xsd:double"&gt;45.7&lt;/D&gt;&lt;D xsi:type="xsd:double"&gt;45.33&lt;/D&gt;&lt;D xsi:type="xsd:double"&gt;44.7&lt;/D&gt;&lt;D xsi:type="xsd:double"&gt;44.85&lt;/D&gt;&lt;D xsi:type="xsd:double"&gt;44.62&lt;/D&gt;&lt;D xsi:type="xsd:double"&gt;44.22&lt;/D&gt;&lt;D xsi:type="xsd:double"&gt;44.2&lt;/D&gt;&lt;D xsi:type="xsd:double"&gt;44.2&lt;/D&gt;&lt;D xsi:type="xsd:double"&gt;43.87&lt;/D&gt;&lt;D xsi:type="xsd:double"&gt;44.44&lt;/D&gt;&lt;D xsi:type="xsd:double"&gt;44.7&lt;/D&gt;&lt;D xsi:type="xsd:double"&gt;44.3&lt;/D&gt;&lt;D xsi:type="xsd:double"&gt;44.45&lt;/D&gt;&lt;D xsi:type="xsd:double"&gt;44.16&lt;/D&gt;&lt;D xsi:type="xsd:double"&gt;43.62&lt;/D&gt;&lt;D xsi:type="xsd:double"&gt;43.46&lt;/D&gt;&lt;D xsi:type="xsd:double"&gt;44.71&lt;/D&gt;&lt;D xsi:type="xsd:double"&gt;44.2&lt;/D&gt;&lt;D xsi:type="xsd:double"&gt;44.71&lt;/D&gt;&lt;D xsi:type="xsd:double"&gt;44.99&lt;/D&gt;&lt;D xsi:type="xsd:double"&gt;44.48&lt;/D&gt;&lt;D xsi:type="xsd:double"&gt;44.32&lt;/D&gt;&lt;D xsi:type="xsd:double"&gt;43.95&lt;/D&gt;&lt;D xsi:type="xsd:double"&gt;45.21&lt;/D&gt;&lt;D xsi:type="xsd:double"&gt;45.55&lt;/D&gt;&lt;D xsi:type="xsd:double"&gt;45.95&lt;/D&gt;&lt;D xsi:type="xsd:double"&gt;46.32&lt;/D&gt;&lt;D xsi:type="xsd:double"&gt;46.75&lt;/D&gt;&lt;D xsi:type="xsd:double"&gt;46.77&lt;/D&gt;&lt;D xsi:type="xsd:double"&gt;46.66&lt;/D&gt;&lt;D xsi:type="xsd:double"&gt;47.07&lt;/D&gt;&lt;D xsi:type="xsd:double"&gt;47.09&lt;/D&gt;&lt;D xsi:type="xsd:double"&gt;46.81&lt;/D&gt;&lt;D xsi:type="xsd:double"&gt;46.84&lt;/D&gt;&lt;D xsi:type="xsd:double"&gt;46.94&lt;/D&gt;&lt;D xsi:type="xsd:double"&gt;46.7&lt;/D&gt;&lt;D xsi:type="xsd:double"&gt;46.78&lt;/D&gt;&lt;D xsi:type="xsd:double"&gt;46.93&lt;/D&gt;&lt;D xsi:type="xsd:double"&gt;46.88&lt;/D&gt;&lt;D xsi:type="xsd:double"&gt;46.84&lt;/D&gt;&lt;D xsi:type="xsd:double"&gt;46.83&lt;/D&gt;&lt;D xsi:type="xsd:double"&gt;46.58&lt;/D&gt;&lt;D xsi:type="xsd:double"&gt;46.74&lt;/D&gt;&lt;D xsi:type="xsd:double"&gt;47.05&lt;/D&gt;&lt;D xsi:type="xsd:double"&gt;47.36&lt;/D&gt;&lt;D xsi:type="xsd:double"&gt;47.15&lt;/D&gt;&lt;D xsi:type="xsd:double"&gt;47.095&lt;/D&gt;&lt;D xsi:type="xsd:double"&gt;46.76&lt;/D&gt;&lt;D xsi:type="xsd:double"&gt;46.71&lt;/D&gt;&lt;D xsi:type="xsd:double"&gt;46.49&lt;/D&gt;&lt;D xsi:type="xsd:double"&gt;46.33&lt;/D&gt;&lt;D xsi:type="xsd:double"&gt;46.73&lt;/D&gt;&lt;D xsi:type="xsd:double"&gt;46.62&lt;/D&gt;&lt;D xsi:type="xsd:double"&gt;46.85&lt;/D&gt;&lt;D xsi:type="xsd:double"&gt;46.32&lt;/D&gt;&lt;D xsi:type="xsd:double"&gt;45.99&lt;/D&gt;&lt;D xsi:type="xsd:double"&gt;45.25&lt;/D&gt;&lt;D xsi:type="xsd:double"&gt;45.98&lt;/D&gt;&lt;D xsi:type="xsd:double"&gt;46.28&lt;/D&gt;&lt;D xsi:type="xsd:double"&gt;46.3&lt;/D&gt;&lt;D xsi:type="xsd:double"&gt;46.7&lt;/D&gt;&lt;D xsi:type="xsd:double"&gt;46.41&lt;/D&gt;&lt;D xsi:type="xsd:double"&gt;46.16&lt;/D&gt;&lt;D xsi:type="xsd:double"&gt;45.65&lt;/D&gt;&lt;D xsi:type="xsd:double"&gt;45.55&lt;/D&gt;&lt;D xsi:type="xsd:double"&gt;45.61&lt;/D&gt;&lt;D xsi:type="xsd:double"&gt;45.17&lt;/D&gt;&lt;D xsi:type="xsd:double"&gt;44.9&lt;/D&gt;&lt;D xsi:type="xsd:double"&gt;45.14&lt;/D&gt;&lt;D xsi:type="xsd:double"&gt;44.95&lt;/D&gt;&lt;D xsi:type="xsd:double"&gt;45.12&lt;/D&gt;&lt;D xsi:type="xsd:double"&gt;45.38&lt;/D&gt;&lt;D xsi:type="xsd:double"&gt;45.02&lt;/D&gt;&lt;D xsi:type="xsd:do</t>
        </r>
      </text>
    </comment>
    <comment ref="A40" authorId="0" shapeId="0" xr:uid="{A92B819F-36B0-4E5A-9D68-D4B5BB263966}">
      <text>
        <r>
          <rPr>
            <b/>
            <sz val="9"/>
            <color indexed="81"/>
            <rFont val="Tahoma"/>
            <charset val="1"/>
          </rPr>
          <t>uble"&gt;45.54&lt;/D&gt;&lt;D xsi:type="xsd:double"&gt;45.68&lt;/D&gt;&lt;D xsi:type="xsd:double"&gt;45.34&lt;/D&gt;&lt;D xsi:type="xsd:double"&gt;45.51&lt;/D&gt;&lt;D xsi:type="xsd:double"&gt;45.92&lt;/D&gt;&lt;D xsi:type="xsd:double"&gt;45.78&lt;/D&gt;&lt;D xsi:type="xsd:double"&gt;45.58&lt;/D&gt;&lt;D xsi:type="xsd:double"&gt;45.1&lt;/D&gt;&lt;D xsi:type="xsd:double"&gt;46.28&lt;/D&gt;&lt;D xsi:type="xsd:double"&gt;45.95&lt;/D&gt;&lt;D xsi:type="xsd:double"&gt;46.33&lt;/D&gt;&lt;D xsi:type="xsd:double"&gt;46.29&lt;/D&gt;&lt;D xsi:type="xsd:double"&gt;47.11&lt;/D&gt;&lt;D xsi:type="xsd:double"&gt;47.73&lt;/D&gt;&lt;D xsi:type="xsd:double"&gt;47.2&lt;/D&gt;&lt;D xsi:type="xsd:double"&gt;47.3&lt;/D&gt;&lt;D xsi:type="xsd:double"&gt;47.57&lt;/D&gt;&lt;D xsi:type="xsd:double"&gt;47.52&lt;/D&gt;&lt;D xsi:type="xsd:double"&gt;47.4&lt;/D&gt;&lt;D xsi:type="xsd:double"&gt;47.18&lt;/D&gt;&lt;D xsi:type="xsd:double"&gt;47.22&lt;/D&gt;&lt;D xsi:type="xsd:double"&gt;47.665&lt;/D&gt;&lt;D xsi:type="xsd:double"&gt;47.56&lt;/D&gt;&lt;D xsi:type="xsd:double"&gt;47.67&lt;/D&gt;&lt;D xsi:type="xsd:double"&gt;47.73&lt;/D&gt;&lt;D xsi:type="xsd:double"&gt;47.63&lt;/D&gt;&lt;D xsi:type="xsd:double"&gt;47.44&lt;/D&gt;&lt;D xsi:type="xsd:double"&gt;47.52&lt;/D&gt;&lt;D xsi:type="xsd:double"&gt;47.15&lt;/D&gt;&lt;D xsi:type="xsd:double"&gt;47.37&lt;/D&gt;&lt;D xsi:type="xsd:double"&gt;47.24&lt;/D&gt;&lt;D xsi:type="xsd:double"&gt;47.4&lt;/D&gt;&lt;D xsi:type="xsd:double"&gt;47.38&lt;/D&gt;&lt;D xsi:type="xsd:double"&gt;47.25&lt;/D&gt;&lt;D xsi:type="xsd:double"&gt;47.21&lt;/D&gt;&lt;D xsi:type="xsd:double"&gt;46.88&lt;/D&gt;&lt;D xsi:type="xsd:double"&gt;46.88&lt;/D&gt;&lt;D xsi:type="xsd:double"&gt;46.27&lt;/D&gt;&lt;D xsi:type="xsd:double"&gt;46&lt;/D&gt;&lt;D xsi:type="xsd:double"&gt;45.96&lt;/D&gt;&lt;D xsi:type="xsd:double"&gt;46.12&lt;/D&gt;&lt;D xsi:type="xsd:double"&gt;45.9&lt;/D&gt;&lt;D xsi:type="xsd:double"&gt;45.83&lt;/D&gt;&lt;D xsi:type="xsd:double"&gt;46.87&lt;/D&gt;&lt;D xsi:type="xsd:double"&gt;46.84&lt;/D&gt;&lt;D xsi:type="xsd:double"&gt;46.82&lt;/D&gt;&lt;D xsi:type="xsd:double"&gt;46.78&lt;/D&gt;&lt;D xsi:type="xsd:double"&gt;46.47&lt;/D&gt;&lt;D xsi:type="xsd:double"&gt;45.96&lt;/D&gt;&lt;D xsi:type="xsd:double"&gt;46.05&lt;/D&gt;&lt;D xsi:type="xsd:double"&gt;45.795&lt;/D&gt;&lt;D xsi:type="xsd:double"&gt;45.73&lt;/D&gt;&lt;D xsi:type="xsd:double"&gt;45.19&lt;/D&gt;&lt;D xsi:type="xsd:double"&gt;45.27&lt;/D&gt;&lt;D xsi:type="xsd:double"&gt;45.96&lt;/D&gt;&lt;D xsi:type="xsd:double"&gt;46.13&lt;/D&gt;&lt;D xsi:type="xsd:double"&gt;45.98&lt;/D&gt;&lt;D xsi:type="xsd:double"&gt;46.07&lt;/D&gt;&lt;D xsi:type="xsd:double"&gt;45.83&lt;/D&gt;&lt;D xsi:type="xsd:double"&gt;46.1&lt;/D&gt;&lt;D xsi:type="xsd:double"&gt;46.28&lt;/D&gt;&lt;D xsi:type="xsd:double"&gt;46.15&lt;/D&gt;&lt;D xsi:type="xsd:double"&gt;45.95&lt;/D&gt;&lt;D xsi:type="xsd:double"&gt;45.67&lt;/D&gt;&lt;D xsi:type="xsd:double"&gt;45.83&lt;/D&gt;&lt;D xsi:type="xsd:double"&gt;45.61&lt;/D&gt;&lt;D xsi:type="xsd:double"&gt;45.41&lt;/D&gt;&lt;D xsi:type="xsd:double"&gt;44.94&lt;/D&gt;&lt;D xsi:type="xsd:double"&gt;44.89&lt;/D&gt;&lt;D xsi:type="xsd:double"&gt;44.95&lt;/D&gt;&lt;D xsi:type="xsd:double"&gt;44.47&lt;/D&gt;&lt;D xsi:type="xsd:double"&gt;44.59&lt;/D&gt;&lt;D xsi:type="xsd:double"&gt;44.76&lt;/D&gt;&lt;D xsi:type="xsd:double"&gt;45.28&lt;/D&gt;&lt;D xsi:type="xsd:double"&gt;45.6&lt;/D&gt;&lt;D xsi:type="xsd:double"&gt;45.2&lt;/D&gt;&lt;D xsi:type="xsd:double"&gt;45.03&lt;/D&gt;&lt;D xsi:type="xsd:double"&gt;45.12&lt;/D&gt;&lt;D xsi:type="xsd:double"&gt;45.03&lt;/D&gt;&lt;D xsi:type="xsd:double"&gt;44.46&lt;/D&gt;&lt;D xsi:type="xsd:double"&gt;44.34&lt;/D&gt;&lt;D xsi:type="xsd:double"&gt;44.65&lt;/D&gt;&lt;D xsi:type="xsd:double"&gt;44.09&lt;/D&gt;&lt;D xsi:type="xsd:double"&gt;43.93&lt;/D&gt;&lt;D xsi:type="xsd:double"&gt;43.71&lt;/D&gt;&lt;D xsi:type="xsd:double"&gt;44.39&lt;/D&gt;&lt;D xsi:type="xsd:double"&gt;43.96&lt;/D&gt;&lt;D xsi:type="xsd:double"&gt;43.81&lt;/D&gt;&lt;D xsi:type="xsd:double"&gt;43.62&lt;/D&gt;&lt;D xsi:type="xsd:double"&gt;43.32&lt;/D&gt;&lt;D xsi:type="xsd:double"&gt;43.54&lt;/D&gt;&lt;D xsi:type="xsd:double"&gt;43.78&lt;/D&gt;&lt;D xsi:type="xsd:double"&gt;43.58&lt;/D&gt;&lt;D xsi:type="xsd:double"&gt;43.04&lt;/D&gt;&lt;D xsi:type="xsd:double"&gt;42.76&lt;/D&gt;&lt;D xsi:type="xsd:double"&gt;42.7&lt;/D&gt;&lt;D xsi:type="xsd:double"&gt;41.42&lt;/D&gt;&lt;D xsi:type="xsd:double"&gt;41.81&lt;/D&gt;&lt;D xsi:type="xsd:double"&gt;41.96&lt;/D&gt;&lt;D xsi:type="xsd:double"&gt;41.89&lt;/D&gt;&lt;D xsi:type="xsd:double"&gt;41.7&lt;/D&gt;&lt;D xsi:type="xsd:double"&gt;41.65&lt;/D&gt;&lt;D xsi:type="xsd:double"&gt;40.69&lt;/D&gt;&lt;D xsi:type="xsd:double"&gt;41.03&lt;/D&gt;&lt;D xsi:type="xsd:double"&gt;41.71&lt;/D&gt;&lt;D xsi:type="xsd:double"&gt;41.74&lt;/D&gt;&lt;D xsi:type="xsd:double"&gt;42.22&lt;/D&gt;&lt;D xsi:type="xsd:double"&gt;42.52&lt;/D&gt;&lt;D xsi:type="xsd:double"&gt;42.95&lt;/D&gt;&lt;D xsi:type="xsd:double"&gt;43.53&lt;/D&gt;&lt;D xsi:type="xsd:double"&gt;43.53&lt;/D&gt;&lt;D xsi:type="xsd:double"&gt;42.93&lt;/D&gt;&lt;D xsi:type="xsd:double"&gt;42.78&lt;/D&gt;&lt;D xsi:type="xsd:double"&gt;43.141&lt;/D&gt;&lt;D xsi:type="xsd:double"&gt;43.64&lt;/D&gt;&lt;D xsi:type="xsd:double"&gt;44.1&lt;/D&gt;&lt;D xsi:type="xsd:double"&gt;45.18&lt;/D&gt;&lt;D xsi:type="xsd:double"&gt;44.52&lt;/D&gt;&lt;D xsi:type="xsd:double"&gt;44.7&lt;/D&gt;&lt;D xsi:type="xsd:double"&gt;44.89&lt;/D&gt;&lt;D xsi:type="xsd:double"&gt;44.18&lt;/D&gt;&lt;D xsi:type="xsd:double"&gt;44.22&lt;/D&gt;&lt;D xsi:type="xsd:double"&gt;43.63&lt;/D&gt;&lt;D xsi:type="xsd:double"&gt;43.98&lt;/D&gt;&lt;D xsi:type="xsd:double"&gt;43.3&lt;/D&gt;&lt;D xsi:type="xsd:double"&gt;44.15&lt;/D&gt;&lt;D xsi:type="xsd:double"&gt;44.58&lt;/D&gt;&lt;D xsi:type="xsd:double"&gt;44.56&lt;/D&gt;&lt;D xsi:type="xsd:double"&gt;44.22&lt;/D&gt;&lt;D xsi:type="xsd:double"&gt;44.07&lt;/D&gt;&lt;D xsi:type="xsd:double"&gt;43.86&lt;/D&gt;&lt;D xsi:type="xsd:double"&gt;44.56&lt;/D&gt;&lt;D xsi:type="xsd:double"&gt;44.96&lt;/D&gt;&lt;D xsi:type="xsd:double"&gt;45.61&lt;/D&gt;&lt;D xsi:type="xsd:double"&gt;44.98&lt;/D&gt;&lt;D xsi:type="xsd:double"&gt;44.83&lt;/D&gt;&lt;D xsi:type="xsd:double"&gt;44.79&lt;/D&gt;&lt;D xsi:type="xsd:double"&gt;44.69&lt;/D&gt;&lt;D xsi:type="xsd:double"&gt;43.89&lt;/D&gt;&lt;D xsi:type="xsd:double"&gt;43.5&lt;/D&gt;&lt;D xsi:type="xsd:double"&gt;42.94&lt;/D&gt;&lt;D xsi:type="xsd:double"&gt;43.21&lt;/D&gt;&lt;D xsi:type="xsd:double"&gt;43.54&lt;/D&gt;&lt;D xsi:type="xsd:double"&gt;42.96&lt;/D&gt;&lt;D xsi:type="xsd:double"&gt;44.18&lt;/D&gt;&lt;D xsi:type="xsd:double"&gt;44.6&lt;/D&gt;&lt;D xsi:type="xsd:double"&gt;44.63&lt;/D&gt;&lt;D xsi:type="xsd:double"&gt;44.33&lt;/D&gt;&lt;D xsi:type="xsd:double"&gt;45.19&lt;/D&gt;&lt;D xsi:type="xsd:double"&gt;45.54&lt;/D&gt;&lt;D xsi:type="xsd:double"&gt;44.7&lt;/D&gt;&lt;D xsi:type="xsd:double"&gt;44.83&lt;/D&gt;&lt;D xsi:type="xsd:double"&gt;44.43&lt;/D&gt;&lt;D xsi:type="xsd:double"&gt;44.99&lt;/D&gt;&lt;D xsi:type="xsd:double"&gt;46.1&lt;/D&gt;&lt;D xsi:type="xsd:double"&gt;46.25&lt;/D&gt;&lt;D xsi:type="xsd:double"&gt;46.39&lt;/D&gt;&lt;D xsi:type="xsd:double"&gt;46.67&lt;/D&gt;&lt;D xsi:type="xsd:double"&gt;47.32&lt;/D&gt;&lt;D xsi:type="xsd:double"&gt;47.44&lt;/D&gt;&lt;D xsi:type="xsd:double"&gt;47.84&lt;/D&gt;&lt;D xsi:type="xsd:double"&gt;47.69&lt;/D&gt;&lt;D xsi:type="xsd:double"&gt;48.07&lt;/D&gt;&lt;D xsi:type="xsd:double"&gt;48.09&lt;/D&gt;&lt;D xsi:type="xsd:double"&gt;48.08&lt;/D&gt;&lt;D xsi:type="xsd:double"&gt;47.85&lt;/D&gt;&lt;D xsi:type="xsd:double"&gt;48.15&lt;/D&gt;&lt;D xsi:type="xsd:double"&gt;48.1&lt;/D&gt;&lt;D xsi:type="xsd:double"&gt;47.52&lt;/D&gt;&lt;D xsi:type="xsd:double"&gt;47.24&lt;/D&gt;&lt;D xsi:type="xsd:double"&gt;46.79&lt;/D&gt;&lt;D xsi:type="xsd:double"&gt;46.84&lt;/D&gt;&lt;D xsi:type="xsd:double"&gt;46.82&lt;/D&gt;&lt;D xsi:type="xsd:double"&gt;46.43&lt;/D&gt;&lt;D xsi:type="xsd:double"&gt;46.22&lt;/D&gt;&lt;D xsi:type="xsd:double"&gt;46.15&lt;/D&gt;&lt;D xsi:type="xsd:double"&gt;46.05&lt;/D&gt;&lt;D xsi:type="xsd:double"&gt;46.38&lt;/D&gt;&lt;D xsi:type="xsd:double"&gt;46.45&lt;/D&gt;&lt;D xsi:type="xsd:double"&gt;46.9&lt;/D&gt;&lt;D xsi:type="xsd:double"&gt;47.48&lt;/D&gt;&lt;D xsi:type="xsd:double"&gt;47.7&lt;/D&gt;&lt;D xsi:type="xsd:double"&gt;48.3&lt;/D&gt;&lt;D xsi:type="xsd:double"&gt;48.06&lt;/D&gt;&lt;D xsi:type="xsd:double"&gt;48.16&lt;/D&gt;&lt;D xsi:type="xsd:double"&gt;47.57&lt;/D&gt;&lt;D xsi:type="xsd:double"&gt;47.13&lt;/D&gt;&lt;D xsi:type="xsd:double"&gt;47.56&lt;/D&gt;&lt;D xsi:type="xsd:double"&gt;47.3&lt;/D&gt;&lt;D xsi:type="xsd:double"&gt;47.02&lt;/D&gt;&lt;D xsi:type="xsd:double"&gt;46.76&lt;/D&gt;&lt;D xsi:type="xsd:double"&gt;46.47&lt;/D&gt;&lt;D xsi:type="xsd:double"&gt;46.07&lt;/D&gt;&lt;D xsi:type="xsd:double"&gt;46.96&lt;/D&gt;&lt;D xsi:type="xsd:double"&gt;46.84&lt;/D&gt;&lt;D xsi:type="xsd:double"&gt;47.17&lt;/D&gt;&lt;D xsi:type="xsd:double"&gt;48.11&lt;/D&gt;&lt;D xsi:type="xsd:double"&gt;48.25&lt;/D&gt;&lt;D xsi:type="xsd:double"&gt;48.21&lt;/D&gt;&lt;D xsi:type="xsd:double"&gt;47.91&lt;/D&gt;&lt;D xsi:type="xsd:double"&gt;48.11&lt;/D&gt;&lt;D xsi:type="xsd:double"&gt;48&lt;/D&gt;&lt;D xsi:type="xsd:double"&gt;48.38&lt;/D&gt;&lt;D xsi:type="xsd:double"&gt;48.6&lt;/D&gt;&lt;D xsi:type="xsd:double"&gt;48.52&lt;/D&gt;&lt;D xsi:type="xsd:double"&gt;48.53&lt;/D&gt;&lt;D xsi:type="xsd:double"&gt;48.44&lt;/D&gt;&lt;D xsi:type="xsd:double"&gt;48.74&lt;/D&gt;&lt;D xsi:type="xsd:double"&gt;48.26&lt;/D&gt;&lt;D xsi:type="xsd:double"&gt;47.88&lt;/D&gt;&lt;D xsi:type="xsd:double"&gt;48&lt;/D&gt;&lt;D xsi:type="xsd:double"&gt;47.62&lt;/D&gt;&lt;D xsi:type="xsd:double"&gt;47.89&lt;/D&gt;&lt;D xsi:type="xsd:double"&gt;47.88&lt;/D&gt;&lt;D xsi:type="xsd:double"&gt;47.73&lt;/D&gt;&lt;D xsi:type="xsd:double"&gt;47.83&lt;/D&gt;&lt;D xsi:type="xsd:double"&gt;47.69&lt;/D&gt;&lt;D xsi:type="xsd:double"&gt;47.27&lt;/D&gt;&lt;D xsi:type="xsd:double"&gt;48.11&lt;/D&gt;&lt;D xsi:type="xsd:double"&gt;48.06&lt;/D&gt;&lt;D xsi:type="xsd:double"&gt;47.58&lt;/D&gt;&lt;D xsi:type="xsd:double"&gt;47.22&lt;/D&gt;&lt;D xsi:type="xsd:double"&gt;46.9&lt;/D&gt;&lt;D xsi:type="xsd:double"&gt;46.8&lt;/D&gt;&lt;D xsi:type="xsd:double"&gt;47.25&lt;/D&gt;&lt;D xsi:type="xsd:double"&gt;46.85&lt;/D&gt;&lt;D xsi:type="xsd:double"&gt;46.54&lt;/D&gt;&lt;D xsi:type="xsd:double"&gt;47.15&lt;/D&gt;&lt;D xsi:type="xsd:double"&gt;47.11&lt;/D&gt;&lt;D xsi:type="xsd:double"&gt;47.82&lt;/D&gt;&lt;D xsi:type="xsd:double"&gt;47.35&lt;/D&gt;&lt;D xsi:type="xsd:double"&gt;47.77&lt;/D&gt;&lt;D xsi:type="xsd:double"&gt;47.63&lt;/D&gt;&lt;D xsi:type="xsd:double"&gt;48.84&lt;/D&gt;&lt;D xsi:type="xsd:double"&gt;49.23&lt;/D&gt;&lt;D xsi:type="xsd:double"&gt;49.515&lt;/D&gt;&lt;D xsi:type="xsd:double"&gt;49.67&lt;/D&gt;&lt;D xsi:type="xsd:double"&gt;49.72&lt;/D&gt;&lt;D xsi:type="xsd:double"&gt;49.95&lt;/D&gt;&lt;D xsi:type="xsd:double"&gt;49.73&lt;/D&gt;&lt;D xsi:type="xsd:double"&gt;49.7&lt;/D&gt;&lt;D xsi:type="xsd:double"&gt;50.04&lt;/D&gt;&lt;D xsi:type="xsd:double"&gt;49.6&lt;/D&gt;&lt;D xsi:type="xsd:double"&gt;49.69&lt;/D&gt;&lt;D xsi:type="xsd:double"&gt;49.4&lt;/D&gt;&lt;D xsi:type="xsd:double"&gt;49.04&lt;/D&gt;&lt;D xsi:type="xsd:double"&gt;49.24&lt;/D&gt;&lt;D xsi:type="xsd:double"&gt;48.67&lt;/D&gt;&lt;D xsi:type="xsd:double"&gt;49.64&lt;/D&gt;&lt;D xsi:type="xsd:double"&gt;49.88&lt;/D&gt;&lt;D xsi:type="xsd:double"&gt;50.05&lt;/D&gt;&lt;D xsi:type="xsd:double"&gt;50.47&lt;/D&gt;&lt;D xsi:type="xsd:double"&gt;50.49&lt;/D&gt;&lt;D xsi:type="xsd:double"&gt;50.15&lt;/D&gt;&lt;D xsi:type="xsd:double"&gt;50.405&lt;/D&gt;&lt;D xsi:type="xsd:double"&gt;50.52&lt;/D&gt;&lt;D xsi:type="xsd:double"&gt;50.27&lt;/D&gt;&lt;D xsi:type="xsd:double"&gt;50.78&lt;/D&gt;&lt;D xsi:type="xsd:double"&gt;50.68&lt;/D&gt;&lt;D xsi:type="xsd:double"&gt;50.62&lt;/D&gt;&lt;D xsi:type="xsd:double"&gt;50.11&lt;/D&gt;&lt;D xsi:type="xsd:double"&gt;49.96&lt;/D&gt;&lt;D xsi:type="xsd:double"&gt;49.93&lt;/D&gt;&lt;D xsi:type="xsd:double"&gt;49.93&lt;/D&gt;&lt;D xsi:type="xsd:double"&gt;49.73&lt;/D&gt;&lt;D xsi:type="xsd:double"&gt;49.685&lt;/D&gt;&lt;D xsi:type="xsd:double"&gt;49.8&lt;/D&gt;&lt;D xsi:type="xsd:double"&gt;49.97&lt;/D&gt;&lt;D xsi:type="xsd:double"&gt;50.25&lt;/D&gt;&lt;D xsi:type="xsd:double"&gt;50.11&lt;/D&gt;&lt;D xsi:type="xsd:double"&gt;49.8&lt;/D&gt;&lt;D xsi:type="xsd:double"&gt;49.9&lt;/D&gt;&lt;D xsi:type="xsd:double"&gt;50.11&lt;/D&gt;&lt;D xsi:type="xsd:double"&gt;50.23&lt;/D&gt;&lt;D xsi:type="xsd:double"&gt;50.56&lt;/D&gt;&lt;D xsi:type="xsd:double"&gt;50.79&lt;/D&gt;&lt;D xsi:type="xsd:double"&gt;50.4&lt;/D&gt;&lt;D xsi:type="xsd:double"&gt;50.21&lt;/D&gt;&lt;D xsi:type="xsd:double"&gt;50.15&lt;/D&gt;&lt;D xsi:type="xsd:double"&gt;50.26&lt;/D&gt;&lt;D xsi:type="xsd:double"&gt;50.12&lt;/D&gt;&lt;D xsi:type="xsd:double"&gt;50.27&lt;/D&gt;&lt;D xsi:type="xsd:double"&gt;49.62&lt;/D&gt;&lt;D xsi:type="xsd:double"&gt;49.29&lt;/D&gt;&lt;D xsi:type="xsd:double"&gt;49.83&lt;/D&gt;&lt;D xsi:type="xsd:double"&gt;49.49&lt;/D&gt;&lt;D xsi:type="xsd:double"&gt;49.36&lt;/D&gt;&lt;D xsi:type="xsd:double"&gt;49&lt;/D&gt;&lt;D xsi:type="xsd:double"&gt;49.69&lt;/D&gt;&lt;D xsi:type="xsd:double"&gt;49.19&lt;/D&gt;&lt;D xsi:type="xsd:double"&gt;49.07&lt;/D&gt;&lt;D xsi:type="xsd:double"&gt;49.55&lt;/D&gt;&lt;D xsi:type="xsd:double"&gt;48.55&lt;/D&gt;&lt;D xsi:type="xsd:double"&gt;49.2&lt;/D&gt;&lt;D xsi:type="xsd:double"&gt;50.27&lt;/D&gt;&lt;D xsi:type="xsd:double"&gt;50.13&lt;/D&gt;&lt;D xsi:type="xsd:double"&gt;49.98&lt;/D&gt;&lt;D xsi:type="xsd:double"&gt;50.45&lt;/D&gt;&lt;D xsi:type="xsd:double"&gt;50.54&lt;/D&gt;&lt;D xsi:type="xsd:double"&gt;50.555&lt;/D&gt;&lt;D xsi:type="xsd:double"&gt;50.41&lt;/D&gt;&lt;D xsi:type="xsd:double"&gt;50.82&lt;/D&gt;&lt;D xsi:type="xsd:double"&gt;50.74&lt;/D&gt;&lt;D xsi:type="xsd:double"&gt;50.24&lt;/D&gt;&lt;D xsi:type="xsd:double"&gt;50.13&lt;/D&gt;&lt;D xsi:type="xsd:double"&gt;50.21&lt;/D&gt;&lt;D xsi:type="xsd:double"&gt;49.82&lt;/D&gt;&lt;D xsi:type="xsd:double"&gt;49.62&lt;/D&gt;&lt;D xsi:type="xsd:double"&gt;49.45&lt;/D&gt;&lt;D xsi:type="xsd:double"&gt;50.02&lt;/D&gt;&lt;D xsi:type="xsd:double"&gt;50.58&lt;/D&gt;&lt;D xsi:type="xsd:double"&gt;51.49&lt;/D&gt;&lt;D xsi:type="xsd:double"&gt;51.06&lt;/D&gt;&lt;D xsi:type="xsd:double"&gt;50.51&lt;/D&gt;&lt;D xsi:type="xsd:double"&gt;50.35&lt;/D&gt;&lt;D xsi:type="xsd:double"&gt;50.5&lt;/D&gt;&lt;D xsi:type="xsd:double"&gt;51&lt;/D&gt;&lt;D xsi:type="xsd:double"&gt;50.92&lt;/D&gt;&lt;D xsi:type="xsd:double"&gt;50.43&lt;/D&gt;&lt;D xsi:type="xsd:double"&gt;49.49&lt;/D&gt;&lt;D xsi:type="xsd:double"&gt;49.47&lt;/D&gt;&lt;D xsi:type="xsd:double"&gt;48.78&lt;/D&gt;&lt;D xsi:type="xsd:double"&gt;48.43&lt;/D&gt;&lt;D xsi:type="xsd:double"&gt;49.76&lt;/D&gt;&lt;D xsi:type="xsd:double"&gt;50.69&lt;/D&gt;&lt;D xsi:type="xsd:double"&gt;49.46&lt;/D&gt;&lt;D xsi:type="xsd:double"&gt;51.49&lt;/D&gt;&lt;D xsi:type="xsd:double"&gt;52.69&lt;/D&gt;&lt;D xsi:type="xsd:double"&gt;52.68&lt;/D&gt;&lt;D xsi:type="xsd:double"&gt;52.63&lt;/D&gt;&lt;D xsi:type="xsd:double"&gt;53.15&lt;/D&gt;&lt;D xsi:type="xsd:double"&gt;53.74&lt;/D&gt;&lt;D xsi:type="xsd:double"&gt;53.23&lt;/D&gt;&lt;D xsi:type="xsd:double"&gt;53.37&lt;/D&gt;&lt;D xsi:type="xsd:double"&gt;53.19&lt;/D&gt;&lt;D xsi:type="xsd:double"&gt;52.99&lt;/D&gt;&lt;D xsi:type="xsd:double"&gt;52.71&lt;/D&gt;&lt;D xsi:type="xsd:double"&gt;52.43&lt;/D&gt;&lt;D xsi:type="xsd:double"&gt;52.47&lt;/D&gt;&lt;D xsi:type="xsd:double"&gt;52.09&lt;/D&gt;&lt;D xsi:type="xsd:double"&gt;52.2&lt;/D&gt;&lt;D xsi:type="xsd:double"&gt;51.73&lt;/D&gt;&lt;D xsi:type="xsd:double"&gt;51.42&lt;/D&gt;&lt;D xsi:type="xsd:double"&gt;51.56&lt;/D&gt;&lt;D xsi:type="xsd:double"&gt;51.565&lt;/D&gt;&lt;D xsi:type="xsd:double"&gt;51.57&lt;/D&gt;&lt;D xsi:type="xsd:double"&gt;51.2&lt;/D&gt;&lt;D xsi:type="xsd:double"&gt;50.82&lt;/D&gt;&lt;D xsi:type="xsd:double"&gt;50.5&lt;/D&gt;&lt;D xsi:type="xsd:double"&gt;49.95&lt;/D&gt;&lt;D xsi:type="xsd:double"&gt;49.89&lt;/D&gt;&lt;D xsi:type="xsd:double"&gt;49.77&lt;/D&gt;&lt;D xsi:type="xsd:double"&gt;49.67&lt;/D&gt;&lt;D xsi:type="xsd:double"&gt;49.68&lt;/D&gt;&lt;D xsi:type="xsd:double"&gt;49.52&lt;/D&gt;&lt;D xsi:type="xsd:double"&gt;49.29&lt;/D&gt;&lt;D xsi:type="xsd:double"&gt;49.31&lt;/D&gt;&lt;D xsi:type="xsd:double"&gt;50.01&lt;/D&gt;&lt;D xsi:type="xsd:double"&gt;49.45&lt;/D&gt;&lt;D xsi:type="xsd:double"&gt;49.47&lt;/D&gt;&lt;D xsi:type="xsd:double"&gt;49.7&lt;/D&gt;&lt;D xsi:type="xsd:double"&gt;49.46&lt;/D&gt;&lt;D xsi:type="xsd:double"&gt;49.48&lt;/D&gt;&lt;D xsi:type="xsd:double"&gt;49.32&lt;/D&gt;&lt;D xsi:type="xsd:double"&gt;49.05&lt;/D&gt;&lt;D xsi:type="xsd:double"&gt;48.915&lt;/D&gt;&lt;D xsi:type="xsd:double"&gt;49.16&lt;/D&gt;&lt;D xsi:type="xsd:double"&gt;49.21&lt;/D&gt;&lt;D xsi:type="xsd:double"&gt;49.39&lt;/D&gt;&lt;D xsi:type="xsd:double"&gt;49.49&lt;/D&gt;&lt;D xsi:type="xsd:double"&gt;49.58&lt;/D&gt;&lt;D xsi:type="xsd:double"&gt;49.94&lt;/D&gt;&lt;D xsi:type="xsd:double"&gt;49.68&lt;/D&gt;&lt;D xsi:type="xsd:double"&gt;50.09&lt;/D&gt;&lt;D xsi:type="xsd:double"&gt;49.87&lt;/D&gt;&lt;D xsi:type="xsd:double"&gt;49.7&lt;/D&gt;&lt;D xsi:type="xsd:double"&gt;49.27&lt;/D&gt;&lt;D xsi:type="xsd:double"&gt;49.18&lt;/D&gt;&lt;D xsi:type="xsd:double"&gt;49.22&lt;/D&gt;&lt;D xsi:type="xsd:double"&gt;48.685&lt;/D&gt;&lt;D xsi:type="xsd:double"&gt;48.94&lt;/D&gt;&lt;D xsi:type="xsd:double"&gt;49.04&lt;/D&gt;&lt;D xsi:type="xsd:double"&gt;49.18&lt;/D&gt;&lt;D xsi:type="xsd:double"&gt;49.33&lt;/D&gt;&lt;D xsi:type="xsd:double"&gt;49.61&lt;/D&gt;&lt;D xsi:type="xsd:double"&gt;49.44&lt;/D&gt;&lt;D xsi:type="xsd:double"&gt;49.64&lt;/D&gt;&lt;D xsi:type="xsd:double"&gt;49.45&lt;/D&gt;&lt;D xsi:type="xsd:double"&gt;49.54&lt;/D&gt;&lt;D xsi:type="xsd:double"&gt;49.42&lt;/D&gt;&lt;D xsi:type="xsd:double"&gt;49.28&lt;/D&gt;&lt;D xsi:type="xsd:double"&gt;49.08&lt;/D&gt;&lt;D xsi:type="xsd:double"&gt;49.04&lt;/D&gt;&lt;D xsi:type="xsd:double"&gt;48.81&lt;/D&gt;&lt;D xsi:type="xsd:double"&gt;48.9&lt;/D&gt;&lt;D xsi:type="xsd:double"&gt;49.05&lt;/D&gt;&lt;D xsi:type="xsd:double"&gt;48.97&lt;/D&gt;&lt;D xsi:type="xsd:double"&gt;49.13&lt;/D&gt;&lt;D xsi:type="xsd:double"&gt;49.18&lt;/D&gt;&lt;D xsi:type="xsd:double"&gt;49.33&lt;/D&gt;&lt;D xsi:type="xsd:double"&gt;49.21&lt;/D&gt;&lt;D xsi:type="xsd:double"&gt;49.345&lt;/D&gt;&lt;D xsi:type="xsd:double"&gt;49.35&lt;/D&gt;&lt;D xsi:type="xsd:double"&gt;49.08&lt;/D&gt;&lt;D xsi:type="xsd:double"&gt;49.09&lt;/D&gt;&lt;D xsi:type="xsd:double"&gt;48.95&lt;/D&gt;&lt;D xsi:type="xsd:double"&gt;48.5&lt;/D&gt;&lt;D xsi:type="xsd:double"&gt;48.54&lt;/D&gt;&lt;D xsi:type="xsd:double"&gt;48.62&lt;/D&gt;&lt;D xsi:type="xsd:double"&gt;48.57&lt;/D&gt;&lt;D xsi:type="xsd:double"&gt;48.62&lt;/D&gt;&lt;D xsi:type="xsd:double"&gt;48.31&lt;/D&gt;&lt;D xsi:type="xsd:double"&gt;48.35&lt;/D&gt;&lt;D xsi:type="xsd:double"&gt;48.01&lt;/D&gt;&lt;D xsi:type="xsd:double"&gt;47.95&lt;/D&gt;&lt;D xsi:type="xsd:double"&gt;47.97&lt;/D&gt;&lt;D xsi:type="xsd:double"&gt;48.08&lt;/D&gt;&lt;D xsi:type="xsd:double"&gt;48.46&lt;/D&gt;&lt;D xsi:type="xsd:double"&gt;48.42&lt;/D&gt;&lt;D xsi:type="xsd:double"&gt;48.5&lt;/D&gt;&lt;D xsi:type="xsd:double"&gt;48.55&lt;/D&gt;&lt;D xsi:type="xsd:double"&gt;48.36&lt;/D&gt;&lt;D xsi:type="xsd:double"&gt;48.29&lt;/D&gt;&lt;D xsi:type="xsd:double"&gt;48.21&lt;/D&gt;&lt;D xsi:type="xsd:double"&gt;48.09&lt;/D&gt;&lt;D xsi:type="xsd:double"&gt;48.35&lt;/D&gt;&lt;D xsi:type="xsd:double"&gt;48.23&lt;/D&gt;&lt;D xsi:type="xsd:double"&gt;47.8&lt;/D&gt;&lt;D xsi:type="xsd:double"&gt;47.87&lt;/D&gt;&lt;D xsi:type="xsd:double"&gt;47.505&lt;/D&gt;&lt;D xsi:type="xsd:double"&gt;47.17&lt;/D&gt;&lt;D xsi:type="xsd:double"&gt;47.56&lt;/D&gt;&lt;D xsi:type="xsd:double"&gt;47.39&lt;/D&gt;&lt;D xsi:type="xsd:double"&gt;47.08&lt;/D&gt;&lt;D xsi:type="xsd:double"&gt;47.13&lt;/D&gt;&lt;D xsi:type="xsd:double"&gt;47.27&lt;/D&gt;&lt;D xsi:type="xsd:double"&gt;47.33&lt;/D&gt;&lt;D xsi:type="xsd:double"&gt;47.06&lt;/D&gt;&lt;D xsi:type="xsd:double"&gt;47.04&lt;/D&gt;&lt;D xsi:type="xsd:double"&gt;47.03&lt;/D&gt;&lt;D xsi:type="xsd:double"&gt;46.71&lt;/D&gt;&lt;D xsi:type="xsd:double"&gt;46.67&lt;/D&gt;&lt;/FQL&gt;&lt;FQL&gt;&lt;Q&gt;^FDS_ECON_SOURCE('USSU2929307')&lt;/Q&gt;&lt;R&gt;1&lt;/R&gt;&lt;C&gt;1&lt;/C&gt;&lt;D xsi:type="xsd:string"&gt;Investors Intelligence&lt;/D&gt;&lt;/FQL&gt;&lt;FQL&gt;&lt;Q&gt;ACWI-US^FMA_PCT_ABOVE_MAVG(200,-1M,,,,"PORTAGG")&lt;/Q&gt;&lt;R&gt;1&lt;/R&gt;&lt;C&gt;1&lt;/C&gt;&lt;D xsi:type="xsd:double"&gt;61.3235926085088&lt;/D&gt;&lt;/FQL&gt;&lt;FQL&gt;&lt;Q&gt;ACWX-US^FG_PRICE(-1M)/FG_PRICE_MAVG(-1M,,,,50)&lt;/Q&gt;&lt;R&gt;1&lt;/R&gt;&lt;C&gt;1&lt;/C&gt;&lt;D xsi:type="xsd:double"&gt;0.992835439347902&lt;/D&gt;&lt;/FQL&gt;&lt;FQL&gt;&lt;Q&gt;ACWX-US^FMA_EPS(NTMA,-1W,,,,"PORTAGG","MEANR")/AVG(FMA_EPS(NTMA,-1W,-50D,,,"PORTAGG","MEANR"))&lt;/Q&gt;&lt;R&gt;1&lt;/R&gt;&lt;C&gt;1&lt;/C&gt;&lt;D xsi:type="xsd:double"&gt;1.02744875509796&lt;/D&gt;&lt;/FQL&gt;&lt;FQL&gt;&lt;Q&gt;ACWX-US^FG_PRICE(0)/FG_PRICE_MAVG(0,,,,50)&lt;/Q&gt;&lt;R&gt;1&lt;/R&gt;&lt;C&gt;1&lt;/C&gt;&lt;D xsi:type="xsd:double"&gt;1.02537475673031&lt;/D&gt;&lt;/FQL&gt;&lt;FQL&gt;&lt;Q&gt;ACWX-US^FMA_PCT_ABOVE_MAVG(200,0,,,,"PORTAGG")/AVG(FMA_PCT_ABOVE_MAVG(200,0,-50D,,,"PORTAGG"))&lt;/Q&gt;&lt;R&gt;1&lt;/R&gt;&lt;C&gt;1&lt;/C&gt;&lt;D xsi:type="xsd:double"&gt;0.951172863818878&lt;/D&gt;&lt;/FQL&gt;&lt;FQL&gt;&lt;Q&gt;SP50^FMA_EPS(NTMA,-1M,,,,"PORTAGG","MEANR")/AVG(FMA_EPS(NTMA,-1M,-50D,,,"PORTAGG","MEANR"))&lt;/Q&gt;&lt;R&gt;1&lt;/R&gt;&lt;C&gt;1&lt;/C&gt;&lt;D xsi:type="xsd:double"&gt;1.00269717848142&lt;/D&gt;&lt;/FQL&gt;&lt;FQL&gt;&lt;Q&gt;SP50^FG_PRICE(-1M)/FG_PRICE_MAVG(-1M,,,,50)&lt;/Q&gt;&lt;R&gt;1&lt;/R&gt;&lt;C&gt;1&lt;/C&gt;&lt;D xsi:type="xsd:double"&gt;1.03616780647757&lt;/D&gt;&lt;/FQL&gt;&lt;FQL&gt;&lt;Q&gt;SP50^FMA_PCT_ABOVE_MAVG(200,-1W,,,,"PORTAGG")/AVG(FMA_PCT_ABOVE_MAVG(200,-1W,-50D,,,"PORTAGG"))&lt;/Q&gt;&lt;R&gt;1&lt;/R&gt;&lt;C&gt;1&lt;/C&gt;&lt;D xsi:type="xsd:double"&gt;0.943548520291088&lt;/D&gt;&lt;/FQL&gt;&lt;FQL&gt;&lt;Q&gt;TLT-US^FG_PRICE(-1W)/FG_PRICE_MAVG(-1W,,,,50)&lt;/Q&gt;&lt;R&gt;1&lt;/R&gt;&lt;C&gt;1&lt;/C&gt;&lt;D xsi:type="xsd:double"&gt;1.03101175391958&lt;/D&gt;&lt;/FQL&gt;&lt;FQL&gt;&lt;Q&gt;TLT-US^FG_PRICE(0)/FG_PRICE_MAVG(0,,,,50)&lt;/Q&gt;&lt;R&gt;1&lt;/R&gt;&lt;C&gt;1&lt;/C&gt;&lt;D xsi:type="xsd:double"&gt;1.04778814439449&lt;/D&gt;&lt;/FQL&gt;&lt;FQL&gt;&lt;Q&gt;SP50^FG_PRICE(0)/FG_PRICE_MAVG(0,,,,50)&lt;/Q&gt;&lt;R&gt;1&lt;/R&gt;&lt;C&gt;1&lt;/C&gt;&lt;D xsi:type="xsd:double"&gt;1.02243761291419&lt;/D&gt;&lt;/FQL&gt;&lt;FQL&gt;&lt;Q&gt;ACWI-US^FMA_PCT_ABOVE_MAVG(50,-1M,,,,"PORTAGG")/AVG(FMA_PCT_ABOVE_MAVG(50,-1M,-200D,,,"PORTAGG"))&lt;/Q&gt;&lt;R&gt;1&lt;/R&gt;&lt;C&gt;1&lt;/C&gt;&lt;D xsi:type="xsd:double"&gt;0.735120528651715&lt;/D&gt;&lt;/FQL&gt;&lt;FQL&gt;&lt;Q&gt;ACWI-US^FMA_PCT_ABOVE_MAVG(50,-1W,,,,"PORTAGG")/AVG(FMA_PCT_ABOVE_MAVG(50,-1W,-200D,,,"PORTAGG"))&lt;/Q&gt;&lt;R&gt;1&lt;/R&gt;&lt;C&gt;1&lt;/C&gt;&lt;D xsi:type="xsd:double"&gt;0.711278936270514&lt;/D&gt;&lt;/FQL&gt;&lt;FQL&gt;&lt;Q&gt;SP50^FMA_PCT_ABOVE_MAVG(50,-1M,,,,"PORTAGG")/AVG(FMA_PCT_ABOVE_MAVG(50,-1M,-200D,,,"PORTAGG"))&lt;/Q&gt;&lt;R&gt;1&lt;/R&gt;&lt;C&gt;1&lt;/C&gt;&lt;D xsi:type="xsd:double"&gt;0.719911500657625&lt;/D&gt;&lt;/FQL&gt;&lt;FQL&gt;&lt;Q&gt;SPXEKW^FG_PRICE(-1W)/FG_PRICE_MAVG(-1W,,,,200)&lt;/Q&gt;&lt;R&gt;1&lt;/R&gt;&lt;C&gt;1&lt;/C&gt;&lt;D xsi:type="xsd:double"&gt;1.04389081167034&lt;/D&gt;&lt;/FQL&gt;&lt;FQL&gt;&lt;Q&gt;^SPEC_ID_UNITS('CC_US:FDS_ECON_RINDPRD_M')&lt;/Q&gt;&lt;R&gt;0&lt;/R&gt;&lt;C&gt;0&lt;/C&gt;&lt;/FQL&gt;&lt;FQL&gt;&lt;Q&gt;^CONVERT_DATE(FDS_ECON_STARTDATE('USSU2929306', W),'YYYYMMDD')&lt;/Q&gt;&lt;R&gt;1&lt;/R&gt;&lt;C&gt;1&lt;/C&gt;&lt;D xsi:type="xsd:string"&gt;19690620&lt;/D&gt;&lt;/FQL&gt;&lt;FQL&gt;&lt;Q&gt;SHY-US^FG_PRICE(-1M)/FG_PRICE_MAVG(-1M,,,,100)&lt;/Q&gt;&lt;R&gt;1&lt;/R&gt;&lt;C&gt;1&lt;/C&gt;&lt;D xsi:type="xsd:double"&gt;1.00203843949541&lt;/D&gt;&lt;/FQL&gt;&lt;FQL&gt;&lt;Q&gt;ACWI-US^FMA_PCT_ABOVE_MAVG(50,-1M,,,,"PORTAGG")/AVG(FMA_PCT_ABOVE_MAVG(50,-1M,-100D,,,"PORTAGG"))&lt;/Q&gt;&lt;R&gt;1&lt;/R&gt;&lt;C&gt;1&lt;/C&gt;&lt;D xsi:type="xsd:double"&gt;0.826364428778072&lt;/D&gt;&lt;/FQL&gt;&lt;FQL&gt;&lt;Q&gt;ACWI-US^FMA_PCT_ABOVE_MAVG(50,-1W,,,,"PORTAGG")/AVG(FMA_PCT_ABOVE_MAVG(50,-1W,-100D,,,"PORTAGG"))&lt;/Q&gt;&lt;R&gt;1&lt;/R&gt;&lt;C&gt;1&lt;/C&gt;&lt;D xsi:type="xsd:double"&gt;0.793309301618266&lt;/D&gt;&lt;/FQL&gt;&lt;FQL&gt;&lt;Q&gt;TLT-US^FG_PRICE(-1W)/FG_PRICE_MAVG(-1W,,,,100)&lt;/Q&gt;&lt;R&gt;1&lt;/R&gt;&lt;C&gt;1&lt;/C&gt;&lt;D xsi:type="xsd:double"&gt;1.04536238541575&lt;/D&gt;&lt;/FQL&gt;&lt;FQL&gt;&lt;Q&gt;SHY-US^FG_PRICE(0)/FG_PRICE_MAVG(0,,,,100)&lt;/Q&gt;&lt;R&gt;1&lt;/R&gt;&lt;C&gt;1&lt;/C&gt;&lt;D xsi:type="xsd:double"&gt;1.01222781985186&lt;/D&gt;&lt;/FQL&gt;&lt;FQL&gt;&lt;Q&gt;SP50^FMA_PCT_ABOVE_MAVG(200,-1M,,,,"PORTAGG")&lt;/Q&gt;&lt;R&gt;1&lt;/R&gt;&lt;C&gt;1&lt;/C&gt;&lt;D xsi:type="xsd:double"&gt;66.8&lt;/D&gt;&lt;/FQL&gt;&lt;FQL&gt;&lt;Q&gt;SP50^FMA_PCT_ABOVE_MAVG(50,-1M,,,,"PORTAGG")/AVG(FMA_PCT_ABOVE_MAVG(50,-1M,-100D,,,"PORTAGG"))&lt;/Q&gt;&lt;R&gt;1&lt;/R&gt;&lt;C&gt;1&lt;/C&gt;&lt;D xsi:type="xsd:double"&gt;0.896597671889724&lt;/D&gt;&lt;/FQL&gt;&lt;FQL&gt;&lt;Q&gt;SP50^FMA_PCT_ABOVE_MAVG(200,-1W,,,,"PORTAGG")&lt;/Q&gt;&lt;R&gt;1&lt;/R&gt;&lt;C&gt;1&lt;/C&gt;&lt;D xsi:type="xsd:double"&gt;64.2714570858283&lt;/D&gt;&lt;/FQL&gt;&lt;FQL&gt;&lt;Q&gt;SPXEKW^FG_PRICE(-1W)/FG_PRICE_MAVG(-1W,,,,100)&lt;/Q&gt;&lt;R&gt;1&lt;/R&gt;&lt;C&gt;1&lt;/C&gt;&lt;D xsi:type="xsd:double"&gt;1.00683794067333&lt;/D&gt;&lt;/FQL&gt;&lt;FQL&gt;&lt;Q&gt;SP50^FMA_PCT_ABOVE_MAVG(200,0,,,,"PORTAGG")&lt;/Q&gt;&lt;R&gt;1&lt;/R&gt;&lt;C&gt;1&lt;/C&gt;&lt;D xsi:type="xsd:double"&gt;72.6546906187625&lt;/D&gt;&lt;/FQL&gt;&lt;FQL&gt;&lt;Q&gt;SP50^FMA_PCT_ABOVE_MAVG(50,0,,,,"PORTAGG")/AVG(FMA_PCT_ABOVE_MAVG(50,0,-100D,,,"PORTAGG"))&lt;/Q&gt;&lt;R&gt;1&lt;/R&gt;&lt;C&gt;1&lt;/C&gt;&lt;D xsi:type="xsd:double"&gt;1.33175675973765&lt;/D&gt;&lt;/FQL&gt;&lt;FQL&gt;&lt;Q&gt;^CONVERT_DATE(FDS_ECON_ENDDATE('ISMBUS@NM', M),'YYYYMMDD')&lt;/Q&gt;&lt;R&gt;1&lt;/R&gt;&lt;C&gt;1&lt;/C&gt;&lt;D xsi:type="xsd:string"&gt;20240731&lt;/D&gt;&lt;/FQL&gt;&lt;FQL&gt;&lt;Q&gt;^ECON_EXPR_DATA('RETURNS(FDS_COM[USCM1020424,DIST=STEP,CONV=AVERAGENP], -1AY)',0,0/0/-10,M)&lt;/Q&gt;&lt;R&gt;120&lt;/R&gt;&lt;C&gt;1&lt;/C&gt;&lt;D xsi:type="xsd:double"&gt;-0.930094840880735&lt;/D&gt;&lt;D xsi:type="xsd:double"&gt;0.556901114676944&lt;/D&gt;&lt;D xsi:type="xsd:double"&gt;1.15398761345487&lt;/D&gt;&lt;D xsi:type="xsd:double"&gt;-1.05042104726436&lt;/D&gt;&lt;D xsi:type="xsd:double"&gt;-2.36475913041382&lt;/D&gt;&lt;D xsi:type="xsd:double"&gt;-4.62869792436104&lt;/D&gt;&lt;D xsi:type="xsd:double"&gt;-6.5161249521889&lt;/D&gt;&lt;D xsi:type="xsd:double"&gt;-5.27237505004669&lt;/D&gt;&lt;D xsi:type="xsd:double"&gt;-4.2152220951622&lt;/D&gt;&lt;D xsi:type="xsd:double"&gt;-2.48124116263714&lt;/D&gt;&lt;D xsi:type="xsd:double"&gt;-4.08995048822745&lt;/D&gt;&lt;D xsi:type="xsd:double"&gt;-8.45687837843641&lt;/D&gt;&lt;D xsi:type="xsd:double"&gt;-7.04026237935681&lt;/D&gt;&lt;D xsi:type="xsd:double"&gt;-14.3456205413212&lt;/D&gt;&lt;D xsi:type="xsd:double"&gt;-16.5407503924542&lt;/D&gt;&lt;D xsi:type="xsd:double"&gt;-17.9345447323357&lt;/D&gt;&lt;D xsi:type="xsd:double"&gt;-16.6119768444135&lt;/D&gt;&lt;D xsi:type="xsd:double"&gt;-12.1428959649688&lt;/D&gt;&lt;D xsi:type="xsd:double"&gt;-10.3222374256317&lt;/D&gt;&lt;D xsi:type="xsd:double"&gt;-10.8942557461103&lt;/D&gt;&lt;D xsi:type="xsd:double"&gt;-13.0395633918361&lt;/D&gt;&lt;D xsi:type="xsd:double"&gt;-12.4190367653239&lt;/D&gt;&lt;D xsi:type="xsd:double"&gt;-6.21072091568685&lt;/D&gt;&lt;D xsi:type="xsd:double"&gt;-1.9602996041134&lt;/D&gt;&lt;D xsi:type="xsd:double"&gt;-2.40552207199869&lt;/D&gt;&lt;D xsi:type="xsd:double"&gt;6.06867909212898&lt;/D&gt;&lt;D xsi:type="xsd:double"&gt;12.8193690420289&lt;/D&gt;&lt;D xsi:type="xsd:double"&gt;19.8300046726354&lt;/D&gt;&lt;D xsi:type="xsd:double"&gt;19.2192120318399&lt;/D&gt;&lt;D xsi:type="xsd:double"&gt;18.8183982496217&lt;/D&gt;&lt;D xsi:type="xsd:double"&gt;22.466498627402&lt;/D&gt;&lt;D xsi:type="xsd:double"&gt;27.5347671483247&lt;/D&gt;&lt;D xsi:type="xsd:double"&gt;36.3056784130328&lt;/D&gt;&lt;D xsi:type="xsd:double"&gt;37.3898187275655&lt;/D&gt;&lt;D xsi:type="xsd:double"&gt;35.3179391136786&lt;/D&gt;&lt;D xsi:type="xsd:double"&gt;39.3752632868657&lt;/D&gt;&lt;D xsi:type="xsd:double"&gt;43.8492000093728&lt;/D&gt;&lt;D xsi:type="xsd:double"&gt;44.7057724498342&lt;/D&gt;&lt;D xsi:type="xsd:double"&gt;40.1742901171889&lt;/D&gt;&lt;D xsi:type="xsd:double"&gt;37.7452340625925&lt;/D&gt;&lt;D xsi:type="xsd:double"&gt;29.470040868283&lt;/D&gt;&lt;D xsi:type="xsd:double"&gt;19.476394691627&lt;/D&gt;&lt;D xsi:type="xsd:double"&gt;14.3430390639642&lt;/D&gt;&lt;D xsi:type="xsd:double"&gt;12.5087510377391&lt;/D&gt;&lt;D xsi:type="xsd:double"&gt;8.51398009150108&lt;/D&gt;&lt;D xsi:type="xsd:double"&gt;6.30159724840527&lt;/D&gt;&lt;D xsi:type="xsd:double"&gt;3.44754243472731&lt;/D&gt;&lt;D xsi:type="xsd:double"&gt;-0.185827727794163&lt;/D&gt;&lt;D xsi:type="xsd:double"&gt;-5.08527692887812&lt;/D&gt;&lt;D xsi:type="xsd:double"&gt;-8.75550568555354&lt;/D&gt;&lt;D xsi:type="xsd:double"&gt;-11.2373565761227&lt;/D&gt;&lt;D xsi:type="xsd:double"&gt;-15.7091294477998&lt;/D&gt;&lt;D xsi:type="xsd:double"&gt;-11.2954034949531&lt;/D&gt;&lt;D xsi:type="xsd:double"&gt;-5.29328234983609&lt;/D&gt;&lt;D xsi:type="xsd:double"&gt;-3.78390946677889&lt;/D&gt;&lt;D xsi:type="xsd:double"&gt;-7.96157354642081&lt;/D&gt;&lt;D xsi:type="xsd:double"&gt;-9.55730515030611&lt;/D&gt;&lt;D xsi:type="xsd:double"&gt;-9.36167649380613&lt;/D&gt;&lt;D xsi:type="xsd:double"&gt;-8.52207000030489&lt;/D&gt;&lt;D xsi:type="xsd:double"&gt;-10.3620414435848&lt;/D&gt;&lt;D xsi:type="xsd:double"&gt;-11.8285079109976&lt;/D&gt;&lt;D xsi:type="xsd:double"&gt;-12.1461118277137&lt;/D&gt;&lt;D xsi:type="xsd:double"&gt;-9.16591584294957&lt;/D&gt;&lt;D xsi:type="xsd:double"&gt;-6.36754389153434&lt;/D&gt;&lt;D xsi:type="xsd:double"&gt;-6.68797398899712&lt;/D&gt;&lt;D xsi:type="xsd:double"&gt;-7.9946215519231&lt;/D&gt;&lt;D xsi:type="xsd:double"&gt;-8.35668293322579&lt;/D&gt;&lt;D xsi:type="xsd:double"&gt;-4.28879899226342&lt;/D&gt;&lt;D xsi:type="xsd:double"&gt;-2.89838619200078&lt;/D&gt;&lt;D xsi:type="xsd:double"&gt;-3.79632429117088&lt;/D&gt;&lt;D xsi:type="xsd:double"&gt;-5.90420875586462&lt;/D&gt;&lt;D xsi:type="xsd:double"&gt;-2.91783023162592&lt;/D&gt;&lt;D xsi:type="xsd:double"&gt;1.09138695477555&lt;/D&gt;&lt;D xsi:type="xsd:double"&gt;3.86915206151781&lt;/D&gt;&lt;D xsi:type="xsd:double"&gt;2.85895698145153&lt;/D&gt;&lt;D xsi:type="xsd:double"&gt;3.66977135130147&lt;/D&gt;&lt;D xsi:type="xsd:double"&gt;2.87117528095038&lt;/D&gt;&lt;D xsi:type="xsd:double"&gt;3.61660494122393&lt;/D&gt;&lt;D xsi:type="xsd:double"&gt;3.94953383944889&lt;/D&gt;&lt;D xsi:type="xsd:double"&gt;2.52949862452128&lt;/D&gt;&lt;D xsi:type="xsd:double"&gt;3.11487988667443&lt;/D&gt;&lt;D xsi:type="xsd:double"&gt;9.13137014960723&lt;/D&gt;&lt;D xsi:type="xsd:double"&gt;12.4844217919736&lt;/D&gt;&lt;D xsi:type="xsd:double"&gt;12.0354123768236&lt;/D&gt;&lt;D xsi:type="xsd:double"&gt;10.27360427064&lt;/D&gt;&lt;D xsi:type="xsd:double"&gt;11.1980062395529&lt;/D&gt;&lt;D xsi:type="xsd:double"&gt;11.5330618953273&lt;/D&gt;&lt;D xsi:type="xsd:double"&gt;12.2529023008018&lt;/D&gt;&lt;D xsi:type="xsd:double"&gt;17.1035127715752&lt;/D&gt;&lt;D xsi:type="xsd:double"&gt;19.9937319891378&lt;/D&gt;&lt;D xsi:type="xsd:double"&gt;22.7775137379224&lt;/D&gt;&lt;D xsi:type="xsd:double"&gt;23.1062243863863&lt;/D&gt;&lt;D xsi:type="xsd:double"&gt;20.0994074423258&lt;/D&gt;&lt;D xsi:type="xsd:double"&gt;8.56364127243978&lt;/D&gt;&lt;D xsi:type="xsd:double"&gt;3.82426462070764&lt;/D&gt;&lt;D xsi:type="xsd:double"&gt;2.91754754899229&lt;/D&gt;&lt;D xsi:type="xsd:double"&gt;1.23291598390955&lt;/D&gt;&lt;D xsi:type="xsd:double"&gt;-3.21286313354903&lt;/D&gt;&lt;D xsi:type="xsd:double"&gt;-4.04446225007846&lt;/D&gt;&lt;D xsi:type="xsd:double"&gt;-3.74359856554936&lt;/D&gt;&lt;D xsi:type="xsd:double"&gt;-7.21339593380546&lt;/D&gt;&lt;D xsi:type="xsd:double"&gt;-11.0424017091646&lt;/D&gt;&lt;D xsi:type="xsd:double"&gt;-15.6093105943377&lt;/D&gt;&lt;D xsi:type="xsd:double"&gt;-19.3281316343349&lt;/D&gt;&lt;D xsi:type="xsd:double"&gt;-20.1236938558814&lt;/D&gt;&lt;D xsi:type="xsd:double"&gt;-16.1832493340863&lt;/D&gt;&lt;D xsi:type="xsd:double"&gt;-15.5174369152254&lt;/D&gt;&lt;D xsi:type="xsd:double"&gt;-16.2016169260429&lt;/D&gt;&lt;D xsi:type="xsd:double"&gt;-15.0670360849183&lt;/D&gt;&lt;D xsi:type="xsd:double"&gt;-12.6085756053709&lt;/D&gt;&lt;D xsi:type="xsd:double"&gt;-13.1159733712808&lt;/D&gt;&lt;D xsi:type="xsd:double"&gt;-13.6094544469634&lt;/D&gt;&lt;D xsi:type="xsd:double"&gt;-12.1970682665692&lt;/D&gt;&lt;D xsi:type="xsd:double"&gt;-10.1716561055658&lt;/D&gt;&lt;D xsi:type="xsd:double"&gt;-8.12719972463461&lt;/D&gt;&lt;D xsi:type="xsd:double"&gt;-6.00073488479311&lt;/D&gt;&lt;D xsi:type="xsd:double"&gt;-2.95810181950646&lt;/D&gt;&lt;D xsi:type="xsd:double"&gt;-1.69609165160164&lt;/D&gt;&lt;D xsi:type="xsd:double"&gt;-0.105643875345851&lt;/D&gt;&lt;D xsi:type="xsd:double"&gt;0.8592687163127&lt;/D&gt;&lt;/FQL&gt;&lt;FQL&gt;&lt;Q&gt;^FDS_ECON_UNITS('USSU2929307')&lt;/Q&gt;&lt;R&gt;1&lt;/R&gt;&lt;C&gt;1&lt;/C&gt;&lt;D xsi:type="xsd:string"&gt;Percent&lt;/D&gt;&lt;/FQL&gt;&lt;FQL&gt;&lt;Q&gt;SHY-US^FG_PRICE(-1M)/FG_PRICE_MAVG(-1M,,,,200)&lt;/Q&gt;&lt;R&gt;1&lt;/R&gt;&lt;C&gt;1&lt;/C&gt;&lt;D xsi:type="xsd:double"&gt;1.00243457165412&lt;/D&gt;&lt;/FQL&gt;&lt;FQL&gt;&lt;Q&gt;SP50^FMA_PCT_ABOVE_MAVG(50,0,,,,"PORTAGG")/AVG(FMA_PCT_ABOVE_MAVG(50,0,-200D,,,"PORTAGG"))&lt;/Q&gt;&lt;R&gt;1&lt;/R&gt;&lt;C&gt;1&lt;/C&gt;&lt;D xsi:type="xsd:double"&gt;1.14671710146313&lt;/D&gt;&lt;/FQL&gt;&lt;FQL&gt;&lt;Q&gt;ACWX-US^FMA_EPS(NTMA,-1M,,,,"PORTAGG","MEANR")/AVG(FMA_EPS(NTMA,-1M,-100D,,,"PORTAGG","MEANR"))&lt;/Q&gt;&lt;R&gt;1&lt;/R&gt;&lt;C&gt;1&lt;/C&gt;&lt;D xsi:type="xsd:double"&gt;1.00486861331044&lt;/D&gt;&lt;/FQL&gt;&lt;FQL&gt;&lt;Q&gt;ACWX-US^FG_PRICE(-1W)/FG_PRICE_MAVG(-1W,,,,100)&lt;/Q&gt;&lt;R&gt;1&lt;/R&gt;&lt;C&gt;1&lt;/C&gt;&lt;D xsi:type="xsd:double"&gt;0.985608209968445&lt;/D&gt;&lt;/FQL&gt;&lt;FQL&gt;&lt;Q&gt;ACWX-US^FMA_PCT_ABOVE_MAVG(50,0,,,,"PORTAGG")/AVG(FMA_PCT_ABOVE_MAVG(50,0,-100D,,,"PORTAGG"))&lt;/Q&gt;&lt;R&gt;1&lt;/R&gt;&lt;C&gt;1&lt;/C&gt;&lt;D xsi:type="xsd:double"&gt;0.876157401035683&lt;/D&gt;&lt;/FQL&gt;&lt;FQL&gt;&lt;Q&gt;SPXEKW^FG_PRICE(-1M)/FG_PRICE_MAVG(-1M,,,,100)&lt;/Q&gt;&lt;R&gt;1&lt;/R&gt;&lt;C&gt;1&lt;/C&gt;&lt;D xsi:type="xsd:double"&gt;1.00284711717441&lt;/D&gt;&lt;/FQL&gt;&lt;FQL&gt;&lt;Q&gt;SHY-US^FG_PRICE(-1W)/FG_PRICE_MAVG(-1W,,,,100)&lt;/Q&gt;&lt;R&gt;1&lt;/R&gt;&lt;C&gt;1&lt;/C&gt;&lt;D xsi:type="xsd:double"&gt;1.0110073300483&lt;/D&gt;&lt;/FQL&gt;&lt;FQL&gt;&lt;Q&gt;SPXEKW^FG_PRICE(0)/FG_PRICE_MAVG(0,,,,100)&lt;/Q&gt;&lt;R&gt;1&lt;/R&gt;&lt;C&gt;1&lt;/C&gt;&lt;D xsi:type="xsd:double"&gt;1.03380313077136&lt;/D&gt;&lt;/FQL&gt;&lt;FQL&gt;&lt;Q&gt;ACWX-US^FMA_PCT_ABOVE_MAVG(200,0,,,,"PORTAGG")/AVG(FMA_PCT_ABOVE_MAVG(200,0,-100D,,,"PORTAGG"))&lt;/Q&gt;&lt;R&gt;1&lt;/R&gt;&lt;C&gt;1&lt;/C&gt;&lt;D xsi:type="xsd:double"&gt;0.906520293507068&lt;/D&gt;&lt;/FQL&gt;&lt;FQL&gt;&lt;Q&gt;TLT-US^FG_PRICE(-1M)/FG_PRICE_MAVG(-1M,,,,100)&lt;/Q&gt;&lt;R&gt;1&lt;/R&gt;&lt;C&gt;1&lt;/C&gt;&lt;D xsi:type="xsd:double"&gt;0.996133984253746&lt;/D&gt;&lt;/FQL&gt;&lt;FQL&gt;&lt;Q&gt;SP50^FMA_EPS(NTMA,-1M,,,,"PORTAGG","MEANR")/AVG(FMA_EPS(NTMA,-1M,-100D,,,"PORTAGG","MEANR"))&lt;/Q&gt;&lt;R&gt;1&lt;/R&gt;&lt;C&gt;1&lt;/C&gt;&lt;D xsi:type="xsd:double"&gt;1.01942756546767&lt;/D&gt;&lt;/FQL&gt;&lt;FQL&gt;&lt;Q&gt;ACWX-US^FG_PRICE(-1M)/FG_PRICE_MAVG(-1M,,,,100)&lt;/Q&gt;&lt;R&gt;1&lt;/R&gt;&lt;C&gt;1&lt;/C&gt;&lt;D xsi:type="xsd:double"&gt;1.00453392121792&lt;/D&gt;&lt;/FQL&gt;&lt;FQL&gt;&lt;Q&gt;SP50^FG_PRICE(-1M)/FG_PRICE_MAVG(-1M,,,,100)&lt;/Q&gt;&lt;R&gt;1&lt;/R&gt;&lt;C&gt;1&lt;/C&gt;&lt;D xsi:type="xsd:double"&gt;1.05134482330392&lt;/D&gt;&lt;/FQL&gt;&lt;FQL&gt;&lt;Q&gt;SP50^FG_PRICE(0)/FG_PRICE_MAVG(0,,,,100)&lt;/Q&gt;&lt;R&gt;1&lt;/R&gt;&lt;C&gt;1&lt;/C&gt;&lt;D xsi:type="xsd:double"&gt;1.04962920022708&lt;/D&gt;&lt;/FQL&gt;&lt;FQL&gt;&lt;Q&gt;ACWI-US^FMA_PCT_ABOVE_MAVG(50,-1M,,,,"PORTAGG")/AVG(FMA_PCT_ABOVE_MAVG(50,-1M,-50D,,,"PORTAGG"))&lt;/Q&gt;&lt;R&gt;1&lt;/R&gt;&lt;C&gt;1&lt;/C&gt;&lt;D xsi:type="xsd:double"&gt;0.940991347456484&lt;/D&gt;&lt;/FQL&gt;&lt;FQL&gt;&lt;Q&gt;ACWX-US^FMA_PCT_ABOVE_MAVG(200,0,,,,"PORTAGG")&lt;/Q&gt;&lt;R&gt;1&lt;/R&gt;&lt;C&gt;1&lt;/C&gt;&lt;D xsi:type="xsd:double"&gt;55.9550561797753&lt;/D&gt;&lt;/FQL&gt;&lt;FQL&gt;&lt;Q&gt;SP50^FMA_EPS(NTMA,-1W,,,,"PORTAGG","MEANR")/AVG(FMA_EPS(NTMA,-1W,-50D,,,"PORTAGG","MEANR"))&lt;/Q&gt;&lt;R&gt;1&lt;/R&gt;&lt;C&gt;1&lt;/C&gt;&lt;D xsi:type="xsd:double"&gt;1.00862439875002&lt;/D&gt;&lt;/FQL&gt;&lt;FQL&gt;&lt;Q&gt;ACWX-US^FMA_EPS(NTMA,0,,,,"PORTAGG","MEANR")/AVG(FMA_EPS(NTMA,0,-100D,,,"PORTAGG","MEANR"))&lt;/Q&gt;&lt;R&gt;1&lt;/R&gt;&lt;C&gt;1&lt;/C&gt;&lt;D xsi:type="xsd:double"&gt;1.0416351179196&lt;/D&gt;&lt;/FQL&gt;&lt;FQL&gt;&lt;Q&gt;SP50^FMA_PCT_ABOVE_MAVG(50,-1W,,,,"PORTAGG")/AVG(FMA_PCT_ABOVE_MAVG(50,-1W,-100D,,,"PORTAGG"))&lt;/Q&gt;&lt;R&gt;1&lt;/R&gt;&lt;C&gt;1&lt;/C&gt;&lt;D xsi:type="xsd:double"&gt;1.07966477723212&lt;/D&gt;&lt;/FQL&gt;&lt;FQL&gt;&lt;Q&gt;^CONVERT_DATE(ECON_EXPR_ENDDATE('RETURNS(FDS_ECON[US.LMCLAIMS,DIST=STEP,CONV=AVERAGE], -1AY)', M),'YYYYMMDD')&lt;/Q&gt;&lt;R&gt;1&lt;/R&gt;&lt;C&gt;1&lt;/C&gt;&lt;D xsi:type="xsd:string"&gt;20240731&lt;/D&gt;&lt;/FQL&gt;&lt;FQL&gt;&lt;Q&gt;ACWX-US^FMA_EPS(NTMA,-1W,,,,"PORTAGG","MEANR")/AVG(FMA_EPS(NTMA,-1W,-100D,,,"PORTAGG","MEANR"))&lt;/Q&gt;&lt;R&gt;1&lt;/R&gt;&lt;C&gt;1&lt;/C&gt;&lt;D xsi:type="xsd:double"&gt;1.0364693778145&lt;/D&gt;&lt;/FQL&gt;&lt;FQL&gt;&lt;Q&gt;SP50^FMA_PCT_ABOVE_MAVG(200,-1W,,,,"PORTAGG")/AVG(FMA_PCT_ABOVE_MAVG(200,-1W,-100D,,,"PORTAGG"))&lt;/Q&gt;&lt;R&gt;1&lt;/R&gt;&lt;C&gt;1&lt;/C&gt;&lt;D xsi:type="xsd:double"&gt;0.903183330341421&lt;/D&gt;&lt;/FQL&gt;&lt;FQL&gt;&lt;Q&gt;^CONVERT_DATE(FDS_ECON_ENDDATE('ISMPMI@M', M),'YYYYMMDD')&lt;/Q&gt;&lt;R&gt;1&lt;/R&gt;&lt;C&gt;1&lt;/C&gt;&lt;D xsi:type="xsd:string"&gt;20240731&lt;/D&gt;&lt;/FQL&gt;&lt;FQL&gt;&lt;Q&gt;ACWI-US^FMA_PCT_ABOVE_MAVG(50,-1W,,,,"PORTAGG")/AVG(FMA_PCT_ABOVE_MAVG(50,-1W,-50D,,,"PORTAGG"))&lt;/Q&gt;&lt;R&gt;1&lt;/R&gt;&lt;C&gt;1&lt;/C&gt;&lt;D xsi:type="xsd:double"&gt;0.843983376024328&lt;/D&gt;&lt;/FQL&gt;&lt;FQL&gt;&lt;Q&gt;SP50^FMA_PCT_ABOVE_MAVG(50,-1M,,,,"PORTAGG")/AVG(FMA_PCT_ABOVE_MAVG(50,-1M,-50D,,,"PORTAGG"))&lt;/Q&gt;&lt;R&gt;1&lt;/R&gt;&lt;C&gt;1&lt;/C&gt;&lt;D xsi:type="xsd:double"&gt;0.947238928376162&lt;/D&gt;&lt;/FQL&gt;&lt;FQL&gt;&lt;Q&gt;SPXEKW^FG_PRICE(-1W)/FG_PRICE_MAVG(-1W,,,,50)&lt;/Q&gt;&lt;R&gt;1&lt;/R&gt;&lt;C&gt;1&lt;/C&gt;&lt;D xsi:type="xsd:double"&gt;1.00306766238184&lt;/D&gt;&lt;/FQL&gt;&lt;FQL&gt;&lt;Q&gt;^CONVERT_DATE(FDS_ECON_ENDDATE('ISMPRD@M', M),'YYYYMMDD')&lt;/Q&gt;&lt;R&gt;1&lt;/R&gt;&lt;C&gt;1&lt;/C&gt;&lt;D xsi:type="xsd:string"&gt;20240731&lt;/D&gt;&lt;/FQL&gt;&lt;FQL&gt;&lt;Q&gt;SP50^FG_PRICE(-1W)/FG_PRICE_MAVG(-1W,,,,200)&lt;/Q&gt;&lt;R&gt;1&lt;/R&gt;&lt;C&gt;1&lt;/C&gt;&lt;D xsi:type="xsd:double"&gt;1.06202104662379&lt;/D&gt;&lt;/FQL&gt;&lt;FQL&gt;&lt;Q&gt;ACWI-US^FMA_PCT_ABOVE_MAVG(200,-1M,,,,"PORTAGG")/AVG(FMA_PCT_ABOVE_MAVG(200,-1M,-200D,,,"PORTAGG"))&lt;/Q&gt;&lt;R&gt;1&lt;/R&gt;&lt;C&gt;1&lt;/C&gt;&lt;D xsi:type="xsd:double"&gt;0.989515844687207&lt;/D&gt;&lt;/FQL&gt;&lt;FQL&gt;&lt;Q&gt;SP50^FMA_EPS(NTMA,-1W,,,,"PORTAGG","MEANR")/AVG(FMA_EPS(NTMA,-1W,-200D,,,"PORTAGG","MEANR"))&lt;/Q&gt;&lt;R&gt;1&lt;/R&gt;&lt;C&gt;1&lt;/C&gt;&lt;D xsi:type="xsd:double"&gt;1.05120683922647&lt;/D&gt;&lt;/FQL&gt;&lt;FQL&gt;&lt;Q&gt;SP50^FMA_EPS(NTMA,0,,,,"PORTAGG","MEANR")/AVG(FMA_EPS(NTMA,0,-200D,,,"PORTAGG","MEANR"))&lt;/Q&gt;&lt;R&gt;1&lt;/R&gt;&lt;C&gt;1&lt;/C&gt;&lt;D xsi:type="xsd:double"&gt;1.0533962226925&lt;/D&gt;&lt;/FQL&gt;&lt;FQL&gt;&lt;Q&gt;ACWI-US^FMA_PCT_ABOVE_MAVG(200,-1M,,,,"PORTAGG")/AVG(FMA_PCT_ABOVE_MAVG(200,-1M,-100D,,,"PORTAGG"))&lt;/Q&gt;&lt;R&gt;1&lt;/R&gt;&lt;C&gt;1&lt;/C&gt;&lt;D xsi:type="xsd:double"&gt;0.924968584323392&lt;/D&gt;&lt;/FQL&gt;&lt;FQL&gt;&lt;Q&gt;SP50^FMA_EPS(NTMA,-1W,,,,"PORTAGG","MEANR")/AVG(FMA_EPS(NTMA,-1W,-100D,,,"PORTAGG","MEANR"))&lt;/Q&gt;&lt;R&gt;1&lt;/R&gt;&lt;C&gt;1&lt;/C&gt;&lt;D xsi:type="xsd:double"&gt;1.02367820191382&lt;/D&gt;&lt;/FQL&gt;&lt;FQL&gt;&lt;Q&gt;SP50^FMA_EPS(NTMA,0,,,,"PORTAGG","MEANR")/AVG(FMA_EPS(NTMA,0,-100D,,,"PORTAGG","MEANR"))&lt;/Q&gt;&lt;R&gt;1&lt;/R&gt;&lt;C&gt;1&lt;/C&gt;&lt;D xsi:type="xsd:double"&gt;1.02586795138573&lt;/D&gt;&lt;/FQL&gt;&lt;FQL&gt;&lt;Q&gt;ACWI-US^FMA_PCT_ABOVE_MAVG(200,-1M,,,,"PORTAGG")/AVG(FMA_PCT_ABOVE_MAVG(200,-1M,-50D,,,"PORTAGG"))&lt;/Q&gt;&lt;R&gt;1&lt;/R&gt;&lt;C&gt;1&lt;/C&gt;&lt;D xsi:type="xsd:double"&gt;0.973268383461279&lt;/D&gt;&lt;/FQL&gt;&lt;FQL&gt;&lt;Q&gt;SHY-US^FG_PRICE(-1M)/FG_PRICE_MAVG(-1M,,,,50)&lt;/Q&gt;&lt;R&gt;1&lt;/R&gt;&lt;C&gt;1&lt;/C&gt;&lt;D xsi:type="xsd:double"&gt;1.00329557714378&lt;/D&gt;&lt;/FQL&gt;&lt;FQL&gt;&lt;Q&gt;SP50^FMA_EPS(NTMA,0,,,,"PORTAGG","MEANR")/AVG(FMA_EPS(NTMA,0,-50D,,,"PORTAGG","MEANR"))&lt;/Q&gt;&lt;R&gt;1&lt;/R&gt;&lt;C&gt;1&lt;/C&gt;&lt;D xsi:type="xsd:double"&gt;1.01107308757821&lt;/D&gt;&lt;/FQL&gt;&lt;FQL&gt;&lt;Q&gt;TLT^FG_PRICE(0,-7AY)&lt;/Q&gt;&lt;R&gt;1762&lt;/R&gt;&lt;C&gt;1&lt;/C&gt;&lt;D xsi:type="xsd:double"&gt;98.67&lt;/D&gt;&lt;D xsi:type="xsd:double"&gt;97.89&lt;/D&gt;&lt;D xsi:type="xsd:double"&gt;97.44&lt;/D&gt;&lt;D xsi:type="xsd:double"&gt;97.1&lt;/D&gt;&lt;D xsi:type="xsd:double"&gt;97.89&lt;/D&gt;&lt;D xsi:type="xsd:double"&gt;97.28&lt;/D&gt;&lt;D xsi:type="xsd:double"&gt;96.61&lt;/D&gt;&lt;D xsi:type="xsd:double"&gt;96.26&lt;/D&gt;&lt;D xsi:type="xsd:double"&gt;95.32&lt;/D&gt;&lt;D xsi:type="xsd:double"&gt;95.91&lt;/D&gt;&lt;D xsi:type="xsd:double"&gt;96.59&lt;/D&gt;&lt;D xsi:type="xsd:double"&gt;98.8&lt;/D&gt;&lt;D xsi:type="xsd:double"&gt;98.28&lt;/D&gt;&lt;D xsi:type="xsd:double"&gt;95.31&lt;/D&gt;&lt;D xsi:type="xsd:double"&gt;94.81&lt;/D&gt;&lt;D xsi:type="xsd:double"&gt;93.85&lt;/D&gt;&lt;D xsi:type="xsd:double"&gt;93.49&lt;/D&gt;&lt;D xsi:type="xsd:double"&gt;92.99&lt;/D&gt;&lt;D xsi:type="xsd:double"&gt;92.27&lt;/D&gt;&lt;D xsi:type="xsd:double"&gt;91.52&lt;/D&gt;&lt;D xsi:type="xsd:double"&gt;92.52&lt;/D&gt;&lt;D xsi:type="xsd:double"&gt;92.65&lt;/D&gt;&lt;D xsi:type="xsd:double"&gt;92.92&lt;/D&gt;&lt;D xsi:type="xsd:double"&gt;93.47&lt;/D&gt;&lt;D xsi:type="xsd:double"&gt;94.19&lt;/D&gt;&lt;D xsi:type="xsd:double"&gt;94.17&lt;/D&gt;&lt;D xsi:type="xsd:double"&gt;92.86&lt;/D&gt;&lt;D xsi:type="xsd:double"&gt;93.94&lt;/D&gt;&lt;D xsi:type="xsd:double"&gt;93.54&lt;/D&gt;&lt;D xsi:type="xsd:double"&gt;92.64&lt;/D&gt;&lt;D xsi:type="xsd:double"&gt;92.35&lt;/D&gt;&lt;D xsi:type="xsd:double"&gt;92.76&lt;/D&gt;&lt;D xsi:type="xsd:double"&gt;92.56&lt;/D&gt;&lt;D xsi:type="xsd:double"&gt;91.8&lt;/D&gt;&lt;D xsi:type="xsd:double"&gt;90.61&lt;/D&gt;&lt;D xsi:type="xsd:double"&gt;89.91&lt;/D&gt;&lt;D xsi:type="xsd:double"&gt;91.78&lt;/D&gt;&lt;D xsi:type="xsd:double"&gt;93.52&lt;/D&gt;&lt;D xsi:type="xsd:double"&gt;93.15&lt;/D&gt;&lt;D xsi:type="xsd:double"&gt;94.5&lt;/D&gt;&lt;D xsi:type="xsd:double"&gt;94.34&lt;/D&gt;&lt;D xsi:type="xsd:double"&gt;93.96&lt;/D&gt;&lt;D xsi:type="xsd:double"&gt;93.96&lt;/D&gt;&lt;D xsi:type="xsd:double"&gt;94.59&lt;/D&gt;&lt;D xsi:type="xsd:double"&gt;93.73&lt;/D&gt;&lt;D xsi:type="xsd:double"&gt;94.67&lt;/D&gt;&lt;D xsi:type="xsd:double"&gt;93.88&lt;/D&gt;&lt;D xsi:type="xsd:double"&gt;92.52&lt;/D&gt;&lt;D xsi:type="xsd:double"&gt;91.83&lt;/D&gt;&lt;D xsi:type="xsd:double"&gt;90.89&lt;/D&gt;&lt;D xsi:type="xsd:double"&gt;91.5&lt;/D&gt;&lt;D xsi:type="xsd:double"&gt;93.21&lt;/D&gt;&lt;D xsi:type="xsd:double"&gt;93.35&lt;/D&gt;&lt;D xsi:type="xsd:double"&gt;92.67&lt;/D&gt;&lt;D xsi:type="xsd:double"&gt;91.6&lt;/D&gt;&lt;D xsi:type="xsd:double"&gt;90.45&lt;/D&gt;&lt;D xsi:type="xsd:double"&gt;89.84&lt;/D&gt;&lt;D xsi:type="xsd:double"&gt;88.98&lt;/D&gt;&lt;D xsi:type="xsd:double"&gt;90.07&lt;/D&gt;&lt;D xsi:type="xsd:double"&gt;91.38&lt;/D&gt;&lt;D xsi:type="xsd:double"&gt;91.11&lt;/D&gt;&lt;D xsi:type="xsd:double"&gt;91.7&lt;/D&gt;&lt;D xsi:type="xsd:double"&gt;91.59&lt;/D&gt;&lt;D xsi:type="xsd:double"&gt;91.12&lt;/D&gt;&lt;D xsi</t>
        </r>
      </text>
    </comment>
    <comment ref="A41" authorId="0" shapeId="0" xr:uid="{85C49F87-D723-44E1-A4F6-DB69413770AC}">
      <text>
        <r>
          <rPr>
            <b/>
            <sz val="9"/>
            <color indexed="81"/>
            <rFont val="Tahoma"/>
            <charset val="1"/>
          </rPr>
          <t>:type="xsd:double"&gt;91.39&lt;/D&gt;&lt;D xsi:type="xsd:double"&gt;92.01&lt;/D&gt;&lt;D xsi:type="xsd:double"&gt;92.1&lt;/D&gt;&lt;D xsi:type="xsd:double"&gt;90.86&lt;/D&gt;&lt;D xsi:type="xsd:double"&gt;90.35&lt;/D&gt;&lt;D xsi:type="xsd:double"&gt;90.12&lt;/D&gt;&lt;D xsi:type="xsd:double"&gt;90.63&lt;/D&gt;&lt;D xsi:type="xsd:double"&gt;90.19&lt;/D&gt;&lt;D xsi:type="xsd:double"&gt;90.74&lt;/D&gt;&lt;D xsi:type="xsd:double"&gt;90.19&lt;/D&gt;&lt;D xsi:type="xsd:double"&gt;89.84&lt;/D&gt;&lt;D xsi:type="xsd:double"&gt;88.94&lt;/D&gt;&lt;D xsi:type="xsd:double"&gt;88.56&lt;/D&gt;&lt;D xsi:type="xsd:double"&gt;88.22&lt;/D&gt;&lt;D xsi:type="xsd:double"&gt;88.98&lt;/D&gt;&lt;D xsi:type="xsd:double"&gt;88.24&lt;/D&gt;&lt;D xsi:type="xsd:double"&gt;87.78&lt;/D&gt;&lt;D xsi:type="xsd:double"&gt;88.4&lt;/D&gt;&lt;D xsi:type="xsd:double"&gt;89.03&lt;/D&gt;&lt;D xsi:type="xsd:double"&gt;89&lt;/D&gt;&lt;D xsi:type="xsd:double"&gt;89.15&lt;/D&gt;&lt;D xsi:type="xsd:double"&gt;88.83&lt;/D&gt;&lt;D xsi:type="xsd:double"&gt;89.28&lt;/D&gt;&lt;D xsi:type="xsd:double"&gt;88.3&lt;/D&gt;&lt;D xsi:type="xsd:double"&gt;88.89&lt;/D&gt;&lt;D xsi:type="xsd:double"&gt;90.29&lt;/D&gt;&lt;D xsi:type="xsd:double"&gt;89.81&lt;/D&gt;&lt;D xsi:type="xsd:double"&gt;90.22&lt;/D&gt;&lt;D xsi:type="xsd:double"&gt;92.23&lt;/D&gt;&lt;D xsi:type="xsd:double"&gt;91.38&lt;/D&gt;&lt;D xsi:type="xsd:double"&gt;91.39&lt;/D&gt;&lt;D xsi:type="xsd:double"&gt;92.68&lt;/D&gt;&lt;D xsi:type="xsd:double"&gt;92.02&lt;/D&gt;&lt;D xsi:type="xsd:double"&gt;92.04&lt;/D&gt;&lt;D xsi:type="xsd:double"&gt;92.55&lt;/D&gt;&lt;D xsi:type="xsd:double"&gt;94.62&lt;/D&gt;&lt;D xsi:type="xsd:double"&gt;94.7&lt;/D&gt;&lt;D xsi:type="xsd:double"&gt;93.77&lt;/D&gt;&lt;D xsi:type="xsd:double"&gt;93.51&lt;/D&gt;&lt;D xsi:type="xsd:double"&gt;93.98&lt;/D&gt;&lt;D xsi:type="xsd:double"&gt;93.09&lt;/D&gt;&lt;D xsi:type="xsd:double"&gt;92.89&lt;/D&gt;&lt;D xsi:type="xsd:double"&gt;92.92&lt;/D&gt;&lt;D xsi:type="xsd:double"&gt;92.66&lt;/D&gt;&lt;D xsi:type="xsd:double"&gt;92.94&lt;/D&gt;&lt;D xsi:type="xsd:double"&gt;92.97&lt;/D&gt;&lt;D xsi:type="xsd:double"&gt;94.42&lt;/D&gt;&lt;D xsi:type="xsd:double"&gt;94.88&lt;/D&gt;&lt;D xsi:type="xsd:double"&gt;95.68&lt;/D&gt;&lt;D xsi:type="xsd:double"&gt;95.73&lt;/D&gt;&lt;D xsi:type="xsd:double"&gt;95.9&lt;/D&gt;&lt;D xsi:type="xsd:double"&gt;95.99&lt;/D&gt;&lt;D xsi:type="xsd:double"&gt;95.43&lt;/D&gt;&lt;D xsi:type="xsd:double"&gt;94.09&lt;/D&gt;&lt;D xsi:type="xsd:double"&gt;94.47&lt;/D&gt;&lt;D xsi:type="xsd:double"&gt;94.18&lt;/D&gt;&lt;D xsi:type="xsd:double"&gt;93.52&lt;/D&gt;&lt;D xsi:type="xsd:double"&gt;92.93&lt;/D&gt;&lt;D xsi:type="xsd:double"&gt;93.59&lt;/D&gt;&lt;D xsi:type="xsd:double"&gt;93.87&lt;/D&gt;&lt;D xsi:type="xsd:double"&gt;92.63&lt;/D&gt;&lt;D xsi:type="xsd:double"&gt;92.18&lt;/D&gt;&lt;D xsi:type="xsd:double"&gt;92.84&lt;/D&gt;&lt;D xsi:type="xsd:double"&gt;92.76&lt;/D&gt;&lt;D xsi:type="xsd:double"&gt;93.3&lt;/D&gt;&lt;D xsi:type="xsd:double"&gt;92.82&lt;/D&gt;&lt;D xsi:type="xsd:double"&gt;92.35&lt;/D&gt;&lt;D xsi:type="xsd:double"&gt;93.96&lt;/D&gt;&lt;D xsi:type="xsd:double"&gt;93.85&lt;/D&gt;&lt;D xsi:type="xsd:double"&gt;94.04&lt;/D&gt;&lt;D xsi:type="xsd:double"&gt;94.59&lt;/D&gt;&lt;D xsi:type="xsd:double"&gt;95.05&lt;/D&gt;&lt;D xsi:type="xsd:double"&gt;94.13&lt;/D&gt;&lt;D xsi:type="xsd:double"&gt;96.07&lt;/D&gt;&lt;D xsi:type="xsd:double"&gt;98.24&lt;/D&gt;&lt;D xsi:type="xsd:double"&gt;96.66&lt;/D&gt;&lt;D xsi:type="xsd:double"&gt;95.72&lt;/D&gt;&lt;D xsi:type="xsd:double"&gt;94.86&lt;/D&gt;&lt;D xsi:type="xsd:double"&gt;93.78&lt;/D&gt;&lt;D xsi:type="xsd:double"&gt;93.96&lt;/D&gt;&lt;D xsi:type="xsd:double"&gt;93.35&lt;/D&gt;&lt;D xsi:type="xsd:double"&gt;93.9&lt;/D&gt;&lt;D xsi:type="xsd:double"&gt;94.65&lt;/D&gt;&lt;D xsi:type="xsd:double"&gt;94.09&lt;/D&gt;&lt;D xsi:type="xsd:double"&gt;93.79&lt;/D&gt;&lt;D xsi:type="xsd:double"&gt;94.67&lt;/D&gt;&lt;D xsi:type="xsd:double"&gt;94.82&lt;/D&gt;&lt;D xsi:type="xsd:double"&gt;96.52&lt;/D&gt;&lt;D xsi:type="xsd:double"&gt;96.71&lt;/D&gt;&lt;D xsi:type="xsd:double"&gt;96.17&lt;/D&gt;&lt;D xsi:type="xsd:double"&gt;96.62&lt;/D&gt;&lt;D xsi:type="xsd:double"&gt;97.24&lt;/D&gt;&lt;D xsi:type="xsd:double"&gt;96.29&lt;/D&gt;&lt;D xsi:type="xsd:double"&gt;97.22&lt;/D&gt;&lt;D xsi:type="xsd:double"&gt;98.72&lt;/D&gt;&lt;D xsi:type="xsd:double"&gt;98.31&lt;/D&gt;&lt;D xsi:type="xsd:double"&gt;98.88&lt;/D&gt;&lt;D xsi:type="xsd:double"&gt;99.78&lt;/D&gt;&lt;D xsi:type="xsd:double"&gt;100.51&lt;/D&gt;&lt;D xsi:type="xsd:double"&gt;98.76&lt;/D&gt;&lt;D xsi:type="xsd:double"&gt;98.475&lt;/D&gt;&lt;D xsi:type="xsd:double"&gt;98.93&lt;/D&gt;&lt;D xsi:type="xsd:double"&gt;99.56&lt;/D&gt;&lt;D xsi:type="xsd:double"&gt;98.89&lt;/D&gt;&lt;D xsi:type="xsd:double"&gt;98.36&lt;/D&gt;&lt;D xsi:type="xsd:double"&gt;99.15&lt;/D&gt;&lt;D xsi:type="xsd:double"&gt;99.04&lt;/D&gt;&lt;D xsi:type="xsd:double"&gt;96.84&lt;/D&gt;&lt;D xsi:type="xsd:double"&gt;94.62&lt;/D&gt;&lt;D xsi:type="xsd:double"&gt;94.34&lt;/D&gt;&lt;D xsi:type="xsd:double"&gt;94.54&lt;/D&gt;&lt;D xsi:type="xsd:double"&gt;95.32&lt;/D&gt;&lt;D xsi:type="xsd:double"&gt;95.87&lt;/D&gt;&lt;D xsi:type="xsd:double"&gt;94.61&lt;/D&gt;&lt;D xsi:type="xsd:double"&gt;92.615&lt;/D&gt;&lt;D xsi:type="xsd:double"&gt;92.99&lt;/D&gt;&lt;D xsi:type="xsd:double"&gt;91.56&lt;/D&gt;&lt;D xsi:type="xsd:double"&gt;92.63&lt;/D&gt;&lt;D xsi:type="xsd:double"&gt;91.48&lt;/D&gt;&lt;D xsi:type="xsd:double"&gt;91.3&lt;/D&gt;&lt;D xsi:type="xsd:double"&gt;89.8&lt;/D&gt;&lt;D xsi:type="xsd:double"&gt;90.87&lt;/D&gt;&lt;D xsi:type="xsd:double"&gt;90.55&lt;/D&gt;&lt;D xsi:type="xsd:double"&gt;90.59&lt;/D&gt;&lt;D xsi:type="xsd:double"&gt;90.04&lt;/D&gt;&lt;D xsi:type="xsd:double"&gt;89.62&lt;/D&gt;&lt;D xsi:type="xsd:double"&gt;88.52&lt;/D&gt;&lt;D xsi:type="xsd:double"&gt;89.78&lt;/D&gt;&lt;D xsi:type="xsd:double"&gt;87.79&lt;/D&gt;&lt;D xsi:type="xsd:double"&gt;87.99&lt;/D&gt;&lt;D xsi:type="xsd:double"&gt;87.5&lt;/D&gt;&lt;D xsi:type="xsd:double"&gt;89.56&lt;/D&gt;&lt;D xsi:type="xsd:double"&gt;88.06&lt;/D&gt;&lt;D xsi:type="xsd:double"&gt;86.78&lt;/D&gt;&lt;D xsi:type="xsd:double"&gt;87.63&lt;/D&gt;&lt;D xsi:type="xsd:double"&gt;87.04&lt;/D&gt;&lt;D xsi:type="xsd:double"&gt;85.1&lt;/D&gt;&lt;D xsi:type="xsd:double"&gt;83.58&lt;/D&gt;&lt;D xsi:type="xsd:double"&gt;83.99&lt;/D&gt;&lt;D xsi:type="xsd:double"&gt;84.37&lt;/D&gt;&lt;D xsi:type="xsd:double"&gt;84.73&lt;/D&gt;&lt;D xsi:type="xsd:double"&gt;83.45&lt;/D&gt;&lt;D xsi:type="xsd:double"&gt;85.35&lt;/D&gt;&lt;D xsi:type="xsd:double"&gt;84.24&lt;/D&gt;&lt;D xsi:type="xsd:double"&gt;83.24&lt;/D&gt;&lt;D xsi:type="xsd:double"&gt;82.77&lt;/D&gt;&lt;D xsi:type="xsd:double"&gt;84.5&lt;/D&gt;&lt;D xsi:type="xsd:double"&gt;85.25&lt;/D&gt;&lt;D xsi:type="xsd:double"&gt;86.2&lt;/D&gt;&lt;D xsi:type="xsd:double"&gt;87.61&lt;/D&gt;&lt;D xsi:type="xsd:double"&gt;86.07&lt;/D&gt;&lt;D xsi:type="xsd:double"&gt;88.47&lt;/D&gt;&lt;D xsi:type="xsd:double"&gt;86.66&lt;/D&gt;&lt;D xsi:type="xsd:double"&gt;86.78&lt;/D&gt;&lt;D xsi:type="xsd:double"&gt;84.79&lt;/D&gt;&lt;D xsi:type="xsd:double"&gt;85.83&lt;/D&gt;&lt;D xsi:type="xsd:double"&gt;86.26&lt;/D&gt;&lt;D xsi:type="xsd:double"&gt;85.06&lt;/D&gt;&lt;D xsi:type="xsd:double"&gt;86.93&lt;/D&gt;&lt;D xsi:type="xsd:double"&gt;88.69&lt;/D&gt;&lt;D xsi:type="xsd:double"&gt;88.68&lt;/D&gt;&lt;D xsi:type="xsd:double"&gt;88.41&lt;/D&gt;&lt;D xsi:type="xsd:double"&gt;88.87&lt;/D&gt;&lt;D xsi:type="xsd:double"&gt;89.18&lt;/D&gt;&lt;D xsi:type="xsd:double"&gt;91.43&lt;/D&gt;&lt;D xsi:type="xsd:double"&gt;90.7&lt;/D&gt;&lt;D xsi:type="xsd:double"&gt;93.09&lt;/D&gt;&lt;D xsi:type="xsd:double"&gt;92.8&lt;/D&gt;&lt;D xsi:type="xsd:double"&gt;93.49&lt;/D&gt;&lt;D xsi:type="xsd:double"&gt;92.96&lt;/D&gt;&lt;D xsi:type="xsd:double"&gt;93.53&lt;/D&gt;&lt;D xsi:type="xsd:double"&gt;94.21&lt;/D&gt;&lt;D xsi:type="xsd:double"&gt;94.23&lt;/D&gt;&lt;D xsi:type="xsd:double"&gt;93.69&lt;/D&gt;&lt;D xsi:type="xsd:double"&gt;94.37&lt;/D&gt;&lt;D xsi:type="xsd:double"&gt;94.01&lt;/D&gt;&lt;D xsi:type="xsd:double"&gt;93.75&lt;/D&gt;&lt;D xsi:type="xsd:double"&gt;93.52&lt;/D&gt;&lt;D xsi:type="xsd:double"&gt;94.85&lt;/D&gt;&lt;D xsi:type="xsd:double"&gt;96.64&lt;/D&gt;&lt;D xsi:type="xsd:double"&gt;96.21&lt;/D&gt;&lt;D xsi:type="xsd:double"&gt;96.31&lt;/D&gt;&lt;D xsi:type="xsd:double"&gt;95.32&lt;/D&gt;&lt;D xsi:type="xsd:double"&gt;95.22&lt;/D&gt;&lt;D xsi:type="xsd:double"&gt;94.91&lt;/D&gt;&lt;D xsi:type="xsd:double"&gt;95.54&lt;/D&gt;&lt;D xsi:type="xsd:double"&gt;93.23&lt;/D&gt;&lt;D xsi:type="xsd:double"&gt;92.52&lt;/D&gt;&lt;D xsi:type="xsd:double"&gt;93.77&lt;/D&gt;&lt;D xsi:type="xsd:double"&gt;93.44&lt;/D&gt;&lt;D xsi:type="xsd:double"&gt;93.84&lt;/D&gt;&lt;D xsi:type="xsd:double"&gt;94.58&lt;/D&gt;&lt;D xsi:type="xsd:double"&gt;95.16&lt;/D&gt;&lt;D xsi:type="xsd:double"&gt;95.37&lt;/D&gt;&lt;D xsi:type="xsd:double"&gt;95.59&lt;/D&gt;&lt;D xsi:type="xsd:double"&gt;97.19&lt;/D&gt;&lt;D xsi:type="xsd:double"&gt;96.69&lt;/D&gt;&lt;D xsi:type="xsd:double"&gt;95.58&lt;/D&gt;&lt;D xsi:type="xsd:double"&gt;96.53&lt;/D&gt;&lt;D xsi:type="xsd:double"&gt;94.85&lt;/D&gt;&lt;D xsi:type="xsd:double"&gt;97.09&lt;/D&gt;&lt;D xsi:type="xsd:double"&gt;98.14&lt;/D&gt;&lt;D xsi:type="xsd:double"&gt;100.05&lt;/D&gt;&lt;D xsi:type="xsd:double"&gt;99.81&lt;/D&gt;&lt;D xsi:type="xsd:double"&gt;99.3&lt;/D&gt;&lt;D xsi:type="xsd:double"&gt;101.27&lt;/D&gt;&lt;D xsi:type="xsd:double"&gt;101.17&lt;/D&gt;&lt;D xsi:type="xsd:double"&gt;101.36&lt;/D&gt;&lt;D xsi:type="xsd:double"&gt;101.73&lt;/D&gt;&lt;D xsi:type="xsd:double"&gt;101.7&lt;/D&gt;&lt;D xsi:type="xsd:double"&gt;102.95&lt;/D&gt;&lt;D xsi:type="xsd:double"&gt;101.8&lt;/D&gt;&lt;D xsi:type="xsd:double"&gt;101.34&lt;/D&gt;&lt;D xsi:type="xsd:double"&gt;101.29&lt;/D&gt;&lt;D xsi:type="xsd:double"&gt;101.89&lt;/D&gt;&lt;D xsi:type="xsd:double"&gt;100.83&lt;/D&gt;&lt;D xsi:type="xsd:double"&gt;99.72&lt;/D&gt;&lt;D xsi:type="xsd:double"&gt;99.21&lt;/D&gt;&lt;D xsi:type="xsd:double"&gt;99.08&lt;/D&gt;&lt;D xsi:type="xsd:double"&gt;99.68&lt;/D&gt;&lt;D xsi:type="xsd:double"&gt;101.11&lt;/D&gt;&lt;D xsi:type="xsd:double"&gt;102.08&lt;/D&gt;&lt;D xsi:type="xsd:double"&gt;102.94&lt;/D&gt;&lt;D xsi:type="xsd:double"&gt;101.74&lt;/D&gt;&lt;D xsi:type="xsd:double"&gt;103.61&lt;/D&gt;&lt;D xsi:type="xsd:double"&gt;103.17&lt;/D&gt;&lt;D xsi:type="xsd:double"&gt;103.44&lt;/D&gt;&lt;D xsi:type="xsd:double"&gt;103.33&lt;/D&gt;&lt;D xsi:type="xsd:double"&gt;102.31&lt;/D&gt;&lt;D xsi:type="xsd:double"&gt;103.56&lt;/D&gt;&lt;D xsi:type="xsd:double"&gt;103.31&lt;/D&gt;&lt;D xsi:type="xsd:double"&gt;102.6&lt;/D&gt;&lt;D xsi:type="xsd:double"&gt;103&lt;/D&gt;&lt;D xsi:type="xsd:double"&gt;102.02&lt;/D&gt;&lt;D xsi:type="xsd:double"&gt;101.21&lt;/D&gt;&lt;D xsi:type="xsd:double"&gt;102.22&lt;/D&gt;&lt;D xsi:type="xsd:double"&gt;101.92&lt;/D&gt;&lt;D xsi:type="xsd:double"&gt;102.06&lt;/D&gt;&lt;D xsi:type="xsd:double"&gt;100.88&lt;/D&gt;&lt;D xsi:type="xsd:double"&gt;102.4&lt;/D&gt;&lt;D xsi:type="xsd:double"&gt;101.8&lt;/D&gt;&lt;D xsi:type="xsd:double"&gt;101.99&lt;/D&gt;&lt;D xsi:type="xsd:double"&gt;103.12&lt;/D&gt;&lt;D xsi:type="xsd:double"&gt;102.99&lt;/D&gt;&lt;D xsi:type="xsd:double"&gt;102.1&lt;/D&gt;&lt;D xsi:type="xsd:double"&gt;101.09&lt;/D&gt;&lt;D xsi:type="xsd:double"&gt;100.28&lt;/D&gt;&lt;D xsi:type="xsd:double"&gt;100.53&lt;/D&gt;&lt;D xsi:type="xsd:double"&gt;101.03&lt;/D&gt;&lt;D xsi:type="xsd:double"&gt;100.74&lt;/D&gt;&lt;D xsi:type="xsd:double"&gt;101.1&lt;/D&gt;&lt;D xsi:type="xsd:double"&gt;101.82&lt;/D&gt;&lt;D xsi:type="xsd:double"&gt;102.58&lt;/D&gt;&lt;D xsi:type="xsd:double"&gt;102.88&lt;/D&gt;&lt;D xsi:type="xsd:double"&gt;103.19&lt;/D&gt;&lt;D xsi:type="xsd:double"&gt;104.27&lt;/D&gt;&lt;D xsi:type="xsd:double"&gt;105.15&lt;/D&gt;&lt;D xsi:type="xsd:double"&gt;104.05&lt;/D&gt;&lt;D xsi:type="xsd:double"&gt;103.05&lt;/D&gt;&lt;D xsi:type="xsd:double"&gt;103.42&lt;/D&gt;&lt;D xsi:type="xsd:double"&gt;104.89&lt;/D&gt;&lt;D xsi:type="xsd:double"&gt;105.24&lt;/D&gt;&lt;D xsi:type="xsd:double"&gt;106.29&lt;/D&gt;&lt;D xsi:type="xsd:double"&gt;105.7&lt;/D&gt;&lt;D xsi:type="xsd:double"&gt;103.13&lt;/D&gt;&lt;D xsi:type="xsd:double"&gt;106.46&lt;/D&gt;&lt;D xsi:type="xsd:double"&gt;104.77&lt;/D&gt;&lt;D xsi:type="xsd:double"&gt;105.82&lt;/D&gt;&lt;D xsi:type="xsd:double"&gt;106.96&lt;/D&gt;&lt;D xsi:type="xsd:double"&gt;105.41&lt;/D&gt;&lt;D xsi:type="xsd:double"&gt;104.4&lt;/D&gt;&lt;D xsi:type="xsd:double"&gt;104.99&lt;/D&gt;&lt;D xsi:type="xsd:double"&gt;104.1&lt;/D&gt;&lt;D xsi:type="xsd:double"&gt;104.2&lt;/D&gt;&lt;D xsi:type="xsd:double"&gt;103.83&lt;/D&gt;&lt;D xsi:type="xsd:double"&gt;105.08&lt;/D&gt;&lt;D xsi:type="xsd:double"&gt;106.05&lt;/D&gt;&lt;D xsi:type="xsd:double"&gt;106.89&lt;/D&gt;&lt;D xsi:type="xsd:double"&gt;107&lt;/D&gt;&lt;D xsi:type="xsd:double"&gt;106.78&lt;/D&gt;&lt;D xsi:type="xsd:double"&gt;108.53&lt;/D&gt;&lt;D xsi:type="xsd:double"&gt;108.25&lt;/D&gt;&lt;D xsi:type="xsd:double"&gt;107.13&lt;/D&gt;&lt;D xsi:type="xsd:double"&gt;106.6&lt;/D&gt;&lt;D xsi:type="xsd:double"&gt;106.37&lt;/D&gt;&lt;D xsi:type="xsd:double"&gt;104.8&lt;/D&gt;&lt;D xsi:type="xsd:double"&gt;104.32&lt;/D&gt;&lt;D xsi:type="xsd:double"&gt;104.53&lt;/D&gt;&lt;D xsi:type="xsd:double"&gt;104.34&lt;/D&gt;&lt;D xsi:type="xsd:double"&gt;106.85&lt;/D&gt;&lt;D xsi:type="xsd:double"&gt;106.4&lt;/D&gt;&lt;D xsi:type="xsd:double"&gt;106.4&lt;/D&gt;&lt;D xsi:type="xsd:double"&gt;105&lt;/D&gt;&lt;D xsi:type="xsd:double"&gt;105.91&lt;/D&gt;&lt;D xsi:type="xsd:double"&gt;106.85&lt;/D&gt;&lt;D xsi:type="xsd:double"&gt;105.27&lt;/D&gt;&lt;D xsi:type="xsd:double"&gt;106.1&lt;/D&gt;&lt;D xsi:type="xsd:double"&gt;104.09&lt;/D&gt;&lt;D xsi:type="xsd:double"&gt;105.83&lt;/D&gt;&lt;D xsi:type="xsd:double"&gt;105.59&lt;/D&gt;&lt;D xsi:type="xsd:double"&gt;102.07&lt;/D&gt;&lt;D xsi:type="xsd:double"&gt;101.82&lt;/D&gt;&lt;D xsi:type="xsd:double"&gt;101.72&lt;/D&gt;&lt;D xsi:type="xsd:double"&gt;101.1&lt;/D&gt;&lt;D xsi:type="xsd:double"&gt;101.89&lt;/D&gt;&lt;D xsi:type="xsd:double"&gt;99.48&lt;/D&gt;&lt;D xsi:type="xsd:double"&gt;100.37&lt;/D&gt;&lt;D xsi:type="xsd:double"&gt;101.71&lt;/D&gt;&lt;D xsi:type="xsd:double"&gt;101.25&lt;/D&gt;&lt;D xsi:type="xsd:double"&gt;100.97&lt;/D&gt;&lt;D xsi:type="xsd:double"&gt;102.3&lt;/D&gt;&lt;D xsi:type="xsd:double"&gt;101.31&lt;/D&gt;&lt;D xsi:type="xsd:double"&gt;100.39&lt;/D&gt;&lt;D xsi:type="xsd:double"&gt;102.38&lt;/D&gt;&lt;D xsi:type="xsd:double"&gt;101.59&lt;/D&gt;&lt;D xsi:type="xsd:double"&gt;103.05&lt;/D&gt;&lt;D xsi:type="xsd:double"&gt;104.02&lt;/D&gt;&lt;D xsi:type="xsd:double"&gt;104.26&lt;/D&gt;&lt;D xsi:type="xsd:double"&gt;103.39&lt;/D&gt;&lt;D xsi:type="xsd:double"&gt;104.56&lt;/D&gt;&lt;D xsi:type="xsd:double"&gt;105.56&lt;/D&gt;&lt;D xsi:type="xsd:double"&gt;105.06&lt;/D&gt;&lt;D xsi:type="xsd:double"&gt;105.91&lt;/D&gt;&lt;D xsi:type="xsd:double"&gt;106.7&lt;/D&gt;&lt;D xsi:type="xsd:double"&gt;108.32&lt;/D&gt;&lt;D xsi:type="xsd:double"&gt;108.18&lt;/D&gt;&lt;D xsi:type="xsd:double"&gt;107.17&lt;/D&gt;&lt;D xsi:type="xsd:double"&gt;106.32&lt;/D&gt;&lt;D xsi:type="xsd:double"&gt;106.71&lt;/D&gt;&lt;D xsi:type="xsd:double"&gt;106.98&lt;/D&gt;&lt;D xsi:type="xsd:double"&gt;107.48&lt;/D&gt;&lt;D xsi:type="xsd:double"&gt;107.22&lt;/D&gt;&lt;D xsi:type="xsd:double"&gt;105.7&lt;/D&gt;&lt;D xsi:type="xsd:double"&gt;106.2&lt;/D&gt;&lt;D xsi:type="xsd:double"&gt;107.95&lt;/D&gt;&lt;D xsi:type="xsd:double"&gt;108.63&lt;/D&gt;&lt;D xsi:type="xsd:double"&gt;106.06&lt;/D&gt;&lt;D xsi:type="xsd:double"&gt;106.75&lt;/D&gt;&lt;D xsi:type="xsd:double"&gt;107.76&lt;/D&gt;&lt;D xsi:type="xsd:double"&gt;105.68&lt;/D&gt;&lt;D xsi:type="xsd:double"&gt;103.99&lt;/D&gt;&lt;D xsi:type="xsd:double"&gt;105.74&lt;/D&gt;&lt;D xsi:type="xsd:double"&gt;105.18&lt;/D&gt;&lt;D xsi:type="xsd:double"&gt;103.28&lt;/D&gt;&lt;D xsi:type="xsd:double"&gt;102.85&lt;/D&gt;&lt;D xsi:type="xsd:double"&gt;101.46&lt;/D&gt;&lt;D xsi:type="xsd:double"&gt;99.56&lt;/D&gt;&lt;D xsi:type="xsd:double"&gt;100.68&lt;/D&gt;&lt;D xsi:type="xsd:double"&gt;99.55&lt;/D&gt;&lt;D xsi:type="xsd:double"&gt;100.14&lt;/D&gt;&lt;D xsi:type="xsd:double"&gt;102.16&lt;/D&gt;&lt;D xsi:type="xsd:double"&gt;103.68&lt;/D&gt;&lt;D xsi:type="xsd:double"&gt;103.7&lt;/D&gt;&lt;D xsi:type="xsd:double"&gt;103.44&lt;/D&gt;&lt;D xsi:type="xsd:double"&gt;105.31&lt;/D&gt;&lt;D xsi:type="xsd:double"&gt;107.11&lt;/D&gt;&lt;D xsi:type="xsd:double"&gt;108.32&lt;/D&gt;&lt;D xsi:type="xsd:double"&gt;108.16&lt;/D&gt;&lt;D xsi:type="xsd:double"&gt;107.7&lt;/D&gt;&lt;D xsi:type="xsd:double"&gt;106.67&lt;/D&gt;&lt;D xsi:type="xsd:double"&gt;106.33&lt;/D&gt;&lt;D xsi:type="xsd:double"&gt;109.17&lt;/D&gt;&lt;D xsi:type="xsd:double"&gt;109.47&lt;/D&gt;&lt;D xsi:type="xsd:double"&gt;106.95&lt;/D&gt;&lt;D xsi:type="xsd:double"&gt;105.59&lt;/D&gt;&lt;D xsi:type="xsd:double"&gt;107.09&lt;/D&gt;&lt;D xsi:type="xsd:double"&gt;105.76&lt;/D&gt;&lt;D xsi:type="xsd:double"&gt;102.73&lt;/D&gt;&lt;D xsi:type="xsd:double"&gt;101.98&lt;/D&gt;&lt;D xsi:type="xsd:double"&gt;103.19&lt;/D&gt;&lt;D xsi:type="xsd:double"&gt;102.9&lt;/D&gt;&lt;D xsi:type="xsd:double"&gt;103.25&lt;/D&gt;&lt;D xsi:type="xsd:double"&gt;101.48&lt;/D&gt;&lt;D xsi:type="xsd:double"&gt;100.06&lt;/D&gt;&lt;D xsi:type="xsd:double"&gt;99.64&lt;/D&gt;&lt;D xsi:type="xsd:double"&gt;100.33&lt;/D&gt;&lt;D xsi:type="xsd:double"&gt;101.4&lt;/D&gt;&lt;D xsi:type="xsd:double"&gt;99.23&lt;/D&gt;&lt;D xsi:type="xsd:double"&gt;97.65&lt;/D&gt;&lt;D xsi:type="xsd:double"&gt;97.89&lt;/D&gt;&lt;D xsi:type="xsd:double"&gt;98.25&lt;/D&gt;&lt;D xsi:type="xsd:double"&gt;94.61&lt;/D&gt;&lt;D xsi:type="xsd:double"&gt;94.3&lt;/D&gt;&lt;D xsi:type="xsd:double"&gt;93.28&lt;/D&gt;&lt;D xsi:type="xsd:double"&gt;94.22&lt;/D&gt;&lt;D xsi:type="xsd:double"&gt;95.83&lt;/D&gt;&lt;D xsi:type="xsd:double"&gt;96.35&lt;/D&gt;&lt;D xsi:type="xsd:double"&gt;96.77&lt;/D&gt;&lt;D xsi:type="xsd:double"&gt;96.11&lt;/D&gt;&lt;D xsi:type="xsd:double"&gt;96.8&lt;/D&gt;&lt;D xsi:type="xsd:double"&gt;97.47&lt;/D&gt;&lt;D xsi:type="xsd:double"&gt;96.46&lt;/D&gt;&lt;D xsi:type="xsd:double"&gt;95.09&lt;/D&gt;&lt;D xsi:type="xsd:double"&gt;92.4&lt;/D&gt;&lt;D xsi:type="xsd:double"&gt;93.17&lt;/D&gt;&lt;D xsi:type="xsd:double"&gt;94.88&lt;/D&gt;&lt;D xsi:type="xsd:double"&gt;96.53&lt;/D&gt;&lt;D xsi:type="xsd:double"&gt;98.32&lt;/D&gt;&lt;D xsi:type="xsd:double"&gt;98.09&lt;/D&gt;&lt;D xsi:type="xsd:double"&gt;98.57&lt;/D&gt;&lt;D xsi:type="xsd:double"&gt;99.39&lt;/D&gt;&lt;D xsi:type="xsd:double"&gt;100.35&lt;/D&gt;&lt;D xsi:type="xsd:double"&gt;99.86&lt;/D&gt;&lt;D xsi:type="xsd:double"&gt;99.42&lt;/D&gt;&lt;D xsi:type="xsd:double"&gt;100.99&lt;/D&gt;&lt;D xsi:type="xsd:double"&gt;101.98&lt;/D&gt;&lt;D xsi:type="xsd:double"&gt;102.55&lt;/D&gt;&lt;D xsi:type="xsd:double"&gt;103.54&lt;/D&gt;&lt;D xsi:type="xsd:double"&gt;103.83&lt;/D&gt;&lt;D xsi:type="xsd:double"&gt;102.45&lt;/D&gt;&lt;D xsi:type="xsd:double"&gt;103.79&lt;/D&gt;&lt;D xsi:type="xsd:double"&gt;104.33&lt;/D&gt;&lt;D xsi:type="xsd:double"&gt;100.95&lt;/D&gt;&lt;D xsi:type="xsd:double"&gt;103.68&lt;/D&gt;&lt;D xsi:type="xsd:double"&gt;105.7&lt;/D&gt;&lt;D xsi:type="xsd:double"&gt;105.27&lt;/D&gt;&lt;D xsi:type="xsd:double"&gt;108.03&lt;/D&gt;&lt;D xsi:type="xsd:double"&gt;106.25&lt;/D&gt;&lt;D xsi:type="xsd:double"&gt;107.32&lt;/D&gt;&lt;D xsi:type="xsd:double"&gt;107.07&lt;/D&gt;&lt;D xsi:type="xsd:double"&gt;107.97&lt;/D&gt;&lt;D xsi:type="xsd:double"&gt;108.04&lt;/D&gt;&lt;D xsi:type="xsd:double"&gt;107.67&lt;/D&gt;&lt;D xsi:type="xsd:double"&gt;107.42&lt;/D&gt;&lt;D xsi:type="xsd:double"&gt;108.31&lt;/D&gt;&lt;D xsi:type="xsd:double"&gt;108.07&lt;/D&gt;&lt;D xsi:type="xsd:double"&gt;109.19&lt;/D&gt;&lt;D xsi:type="xsd:double"&gt;107.49&lt;/D&gt;&lt;D xsi:type="xsd:double"&gt;110.22&lt;/D&gt;&lt;D xsi:type="xsd:double"&gt;109.6&lt;/D&gt;&lt;D xsi:type="xsd:double"&gt;111.88&lt;/D&gt;&lt;D xsi:type="xsd:double"&gt;112.96&lt;/D&gt;&lt;D xsi:type="xsd:double"&gt;112.68&lt;/D&gt;&lt;D xsi:type="xsd:double"&gt;113.62&lt;/D&gt;&lt;D xsi:type="xsd:double"&gt;112.77&lt;/D&gt;&lt;D xsi:type="xsd:double"&gt;111.22&lt;/D&gt;&lt;D xsi:type="xsd:double"&gt;112.04&lt;/D&gt;&lt;D xsi:type="xsd:double"&gt;112.66&lt;/D&gt;&lt;D xsi:type="xsd:double"&gt;113.04&lt;/D&gt;&lt;D xsi:type="xsd:double"&gt;114.89&lt;/D&gt;&lt;D xsi:type="xsd:double"&gt;114.72&lt;/D&gt;&lt;D xsi:type="xsd:double"&gt;115.93&lt;/D&gt;&lt;D xsi:type="xsd:double"&gt;115.45&lt;/D&gt;&lt;D xsi:type="xsd:double"&gt;115.55&lt;/D&gt;&lt;D xsi:type="xsd:double"&gt;114.39&lt;/D&gt;&lt;D xsi:type="xsd:double"&gt;117.12&lt;/D&gt;&lt;D xsi:type="xsd:double"&gt;117.89&lt;/D&gt;&lt;D xsi:type="xsd:double"&gt;118.35&lt;/D&gt;&lt;D xsi:type="xsd:double"&gt;116.47&lt;/D&gt;&lt;D xsi:type="xsd:double"&gt;119.31&lt;/D&gt;&lt;D xsi:type="xsd:double"&gt;119.35&lt;/D&gt;&lt;D xsi:type="xsd:double"&gt;117.5&lt;/D&gt;&lt;D xsi:type="xsd:double"&gt;120.04&lt;/D&gt;&lt;D xsi:type="xsd:double"&gt;117.43&lt;/D&gt;&lt;D xsi:type="xsd:double"&gt;117.75&lt;/D&gt;&lt;D xsi:type="xsd:double"&gt;116.82&lt;/D&gt;&lt;D xsi:type="xsd:double"&gt;117.48&lt;/D&gt;&lt;D xsi:type="xsd:double"&gt;117.39&lt;/D&gt;&lt;D xsi:type="xsd:double"&gt;118.55&lt;/D&gt;&lt;D xsi:type="xsd:double"&gt;116.59&lt;/D&gt;&lt;D xsi:type="xsd:double"&gt;114.61&lt;/D&gt;&lt;D xsi:type="xsd:double"&gt;114.31&lt;/D&gt;&lt;D xsi:type="xsd:double"&gt;114.93&lt;/D&gt;&lt;D xsi:type="xsd:double"&gt;116.14&lt;/D&gt;&lt;D xsi:type="xsd:double"&gt;115.49&lt;/D&gt;&lt;D xsi:type="xsd:double"&gt;116.44&lt;/D&gt;&lt;D xsi:type="xsd:double"&gt;115.12&lt;/D&gt;&lt;D xsi:type="xsd:double"&gt;114.44&lt;/D&gt;&lt;D xsi:type="xsd:double"&gt;112.5&lt;/D&gt;&lt;D xsi:type="xsd:double"&gt;113.76&lt;/D&gt;&lt;D xsi:type="xsd:double"&gt;114.77&lt;/D&gt;&lt;D xsi:type="xsd:double"&gt;116.73&lt;/D&gt;&lt;D xsi:type="xsd:double"&gt;115.82&lt;/D&gt;&lt;D xsi:type="xsd:double"&gt;114.87&lt;/D&gt;&lt;D xsi:type="xsd:double"&gt;113.87&lt;/D&gt;&lt;D xsi:type="xsd:double"&gt;112.12&lt;/D&gt;&lt;D xsi:type="xsd:double"&gt;111.6&lt;/D&gt;&lt;D xsi:type="xsd:double"&gt;112.56&lt;/D&gt;&lt;D xsi:type="xsd:double"&gt;114.14&lt;/D&gt;&lt;D xsi:type="xsd:double"&gt;113.21&lt;/D&gt;&lt;D xsi:type="xsd:double"&gt;110.18&lt;/D&gt;&lt;D xsi:type="xsd:double"&gt;112.08&lt;/D&gt;&lt;D xsi:type="xsd:double"&gt;111.72&lt;/D&gt;&lt;D xsi:type="xsd:double"&gt;110.84&lt;/D&gt;&lt;D xsi:type="xsd:double"&gt;108.81&lt;/D&gt;&lt;D xsi:type="xsd:double"&gt;110.2&lt;/D&gt;&lt;D xsi:type="xsd:double"&gt;113.77&lt;/D&gt;&lt;D xsi:type="xsd:double"&gt;114.48&lt;/D&gt;&lt;D xsi:type="xsd:double"&gt;114.1&lt;/D&gt;&lt;D xsi:type="xsd:double"&gt;115.12&lt;/D&gt;&lt;D xsi:type="xsd:double"&gt;113.89&lt;/D&gt;&lt;D xsi:type="xsd:double"&gt;116.03&lt;/D&gt;&lt;D xsi:type="xsd:double"&gt;116.28&lt;/D&gt;&lt;D xsi:type="xsd:double"&gt;116.22&lt;/D&gt;&lt;D xsi:type="xsd:double"&gt;116.56&lt;/D&gt;&lt;D xsi:type="xsd:double"&gt;119.08&lt;/D&gt;&lt;D xsi:type="xsd:double"&gt;118.79&lt;/D&gt;&lt;D xsi:type="xsd:double"&gt;119.33&lt;/D&gt;&lt;D xsi:type="xsd:double"&gt;118.86&lt;/D&gt;&lt;D xsi:type="xsd:double"&gt;116.56&lt;/D&gt;&lt;D xsi:type="xsd:double"&gt;118.51&lt;/D&gt;&lt;D xsi:type="xsd:double"&gt;117.18&lt;/D&gt;&lt;D xsi:type="xsd:double"&gt;116.9&lt;/D&gt;&lt;D xsi:type="xsd:double"&gt;114.46&lt;/D&gt;&lt;D xsi:type="xsd:double"&gt;115.86&lt;/D&gt;&lt;D xsi:type="xsd:double"&gt;115.98&lt;/D&gt;&lt;D xsi:type="xsd:double"&gt;117.72&lt;/D&gt;&lt;D xsi:type="xsd:double"&gt;117.94&lt;/D&gt;&lt;D xsi:type="xsd:double"&gt;115.71&lt;/D&gt;&lt;D xsi:type="xsd:double"&gt;114.67&lt;/D&gt;&lt;D xsi:type="xsd:double"&gt;113.67&lt;/D&gt;&lt;D xsi:type="xsd:double"&gt;115.37&lt;/D&gt;&lt;D xsi:type="xsd:double"&gt;118.62&lt;/D&gt;&lt;D xsi:type="xsd:double"&gt;117.97&lt;/D&gt;&lt;D xsi:type="xsd:double"&gt;117.18&lt;/D&gt;&lt;D xsi:type="xsd:double"&gt;119.45&lt;/D&gt;&lt;D xsi:type="xsd:double"&gt;121.02&lt;/D&gt;&lt;D xsi:type="xsd:double"&gt;120.84&lt;/D&gt;&lt;D xsi:type="xsd:double"&gt;122.41&lt;/D&gt;&lt;D xsi:type="xsd:double"&gt;121.19&lt;/D&gt;&lt;D xsi:type="xsd:double"&gt;119.99&lt;/D&gt;&lt;D xsi:type="xsd:double"&gt;120.75&lt;/D&gt;&lt;D xsi:type="xsd:double"&gt;121.65&lt;/D&gt;&lt;D xsi:type="xsd:double"&gt;119.25&lt;/D&gt;&lt;D xsi:type="xsd:double"&gt;120.15&lt;/D&gt;&lt;D xsi:type="xsd:double"&gt;120.75&lt;/D&gt;&lt;D xsi:type="xsd:double"&gt;123.22&lt;/D&gt;&lt;D xsi:type="xsd:double"&gt;122.97&lt;/D&gt;&lt;D xsi:type="xsd:double"&gt;123.14&lt;/D&gt;&lt;D xsi:type="xsd:double"&gt;125.12&lt;/D&gt;&lt;D xsi:type="xsd:double"&gt;126.49&lt;/D&gt;&lt;D xsi:type="xsd:double"&gt;127.45&lt;/D&gt;&lt;D xsi:type="xsd:double"&gt;128.49&lt;/D&gt;&lt;D xsi:type="xsd:double"&gt;131.46&lt;/D&gt;&lt;D xsi:type="xsd:double"&gt;132.38&lt;/D&gt;&lt;D xsi:type="xsd:double"&gt;132.08&lt;/D&gt;&lt;D xsi:type="xsd:double"&gt;131.76&lt;/D&gt;&lt;D xsi:type="xsd:double"&gt;130.74&lt;/D&gt;&lt;D xsi:type="xsd:double"&gt;129.76&lt;/D&gt;&lt;D xsi:type="xsd:double"&gt;128.66&lt;/D&gt;&lt;D xsi:type="xsd:double"&gt;130.47&lt;/D&gt;&lt;D xsi:type="xsd:double"&gt;131.5&lt;/D&gt;&lt;D xsi:type="xsd:double"&gt;128.68&lt;/D&gt;&lt;D xsi:type="xsd:double"&gt;130.35&lt;/D&gt;&lt;D xsi:type="xsd:double"&gt;133.44&lt;/D&gt;&lt;D xsi:type="xsd:double"&gt;131.83&lt;/D&gt;&lt;D xsi:type="xsd:double"&gt;132.82&lt;/D&gt;&lt;D xsi:type="xsd:double"&gt;131.53&lt;/D&gt;&lt;D xsi:type="xsd:double"&gt;131.76&lt;/D&gt;&lt;D xsi:type="xsd:double"&gt;134.91&lt;/D&gt;&lt;D xsi:type="xsd:double"&gt;134.46&lt;/D&gt;&lt;D xsi:type="xsd:double"&gt;136.42&lt;/D&gt;&lt;D xsi:type="xsd:double"&gt;137.77&lt;/D&gt;&lt;D xsi:type="xsd:double"&gt;139.17&lt;/D&gt;&lt;D xsi:type="xsd:double"&gt;140.24&lt;/D&gt;&lt;D xsi:type="xsd:double"&gt;137.86&lt;/D&gt;&lt;D xsi:type="xsd:double"&gt;136.47&lt;/D&gt;&lt;D xsi:type="xsd:double"&gt;141.3&lt;/D&gt;&lt;D xsi:type="xsd:double"&gt;139.87&lt;/D&gt;&lt;D xsi:type="xsd:double"&gt;136.87&lt;/D&gt;&lt;D xsi:type="xsd:double"&gt;136.77&lt;/D&gt;&lt;D xsi:type="xsd:double"&gt;136.68&lt;/D&gt;&lt;D xsi:type="xsd:double"&gt;138.59&lt;/D&gt;&lt;D xsi:type="xsd:double"&gt;138.23&lt;/D&gt;&lt;D xsi:type="xsd:double"&gt;136.79&lt;/D&gt;&lt;D xsi:type="xsd:double"&gt;135.78&lt;/D&gt;&lt;D xsi:type="xsd:double"&gt;134.98&lt;/D&gt;&lt;D xsi:type="xsd:double"&gt;136.53&lt;/D&gt;&lt;D xsi:type="xsd:double"&gt;138.25&lt;/D&gt;&lt;D xsi:type="xsd:double"&gt;136.23&lt;/D&gt;&lt;D xsi:type="xsd:double"&gt;138.43&lt;/D&gt;&lt;D xsi:type="xsd:double"&gt;138.17&lt;/D&gt;&lt;D xsi:type="xsd:double"&gt;139.1&lt;/D&gt;&lt;D xsi:type="xsd:double"&gt;139.01&lt;/D&gt;&lt;D xsi:type="xsd:double"&gt;141.09&lt;/D&gt;&lt;D xsi:type="xsd:double"&gt;142.2&lt;/D&gt;&lt;D xsi:type="xsd:double"&gt;141.72&lt;/D&gt;&lt;D xsi:type="xsd:double"&gt;142.39&lt;/D&gt;&lt;D xsi:type="xsd:double"&gt;143.13&lt;/D&gt;&lt;D xsi:type="xsd:double"&gt;143.08&lt;/D&gt;&lt;D xsi:type="xsd:double"&gt;140.5&lt;/D&gt;&lt;D xsi:type="xsd:double"&gt;142.22&lt;/D&gt;&lt;D xsi:type="xsd:double"&gt;142.45&lt;/D&gt;&lt;D xsi:type="xsd:double"&gt;143.63&lt;/D&gt;&lt;D xsi:type="xsd:double"&gt;141.94&lt;/D&gt;&lt;D xsi:type="xsd:double"&gt;141.07&lt;/D&gt;&lt;D xsi:type="xsd:double"&gt;140.1&lt;/D&gt;&lt;D xsi:type="xsd:double"&gt;142.1&lt;/D&gt;&lt;D xsi:type="xsd:double"&gt;144.28&lt;/D&gt;&lt;D xsi:type="xsd:double"&gt;143.01&lt;/D&gt;&lt;D xsi:type="xsd:double"&gt;143.56&lt;/D&gt;&lt;D xsi:type="xsd:double"&gt;142.61&lt;/D&gt;&lt;D xsi:type="xsd:double"&gt;142.26&lt;/D&gt;&lt;D xsi:type="xsd:double"&gt;143.29&lt;/D&gt;&lt;D xsi:type="xsd:double"&gt;142.92&lt;/D&gt;&lt;D xsi:type="xsd:double"&gt;143.7&lt;/D&gt;&lt;D xsi:type="xsd:double"&gt;144.3&lt;/D&gt;&lt;D xsi:type="xsd:double"&gt;148.19&lt;/D&gt;&lt;D xsi:type="xsd:double"&gt;147.9&lt;/D&gt;&lt;D xsi:type="xsd:double"&gt;146.67&lt;/D&gt;&lt;D xsi:type="xsd:double"&gt;148.29&lt;/D&gt;&lt;D xsi:type="xsd:double"&gt;148.88&lt;/D&gt;&lt;D xsi:type="xsd:double"&gt;148.52&lt;/D&gt;&lt;D xsi:type="xsd:double"&gt;149.82&lt;/D&gt;&lt;D xsi:type="xsd:double"&gt;149.13&lt;/D&gt;&lt;D xsi:type="xsd:double"&gt;149.7&lt;/D&gt;&lt;D xsi:type="xsd:double"&gt;150.83&lt;/D&gt;&lt;D xsi:type="xsd:double"&gt;149.14&lt;/D&gt;&lt;D xsi:type="xsd:double"&gt;149.25&lt;/D&gt;&lt;D xsi:type="xsd:double"&gt;150.7&lt;/D&gt;&lt;D xsi:type="xsd:double"&gt;151.06&lt;/D&gt;&lt;D xsi:type="xsd:double"&gt;148.86&lt;/D&gt;&lt;D xsi:type="xsd:double"&gt;149.22&lt;/D&gt;&lt;D xsi:type="xsd:double"&gt;148.39&lt;/D&gt;&lt;D xsi:type="xsd:double"&gt;151&lt;/D&gt;&lt;D xsi:type="xsd:double"&gt;152.23&lt;/D&gt;&lt;D xsi:type="xsd:double"&gt;154.35&lt;/D&gt;&lt;D xsi:type="xsd:double"&gt;152.53&lt;/D&gt;&lt;D xsi:type="xsd:double"&gt;152.34&lt;/D&gt;&lt;D xsi:type="xsd:double"&gt;151.59&lt;/D&gt;&lt;D xsi:type="xsd:double"&gt;149.32&lt;/D&gt;&lt;D xsi:type="xsd:double"&gt;150.53&lt;/D&gt;&lt;D xsi:type="xsd:double"&gt;146.82&lt;/D&gt;&lt;D xsi:type="xsd:double"&gt;144.5&lt;/D&gt;&lt;D xsi:type="xsd:double"&gt;146.62&lt;/D&gt;&lt;D xsi:type="xsd:double"&gt;148.36&lt;/D&gt;&lt;D xsi:type="xsd:double"&gt;146.81&lt;/D&gt;&lt;D xsi:type="xsd:double"&gt;146.26&lt;/D&gt;&lt;D xsi:type="xsd:double"&gt;145.11&lt;/D&gt;&lt;D xsi:type="xsd:double"&gt;145.48&lt;/D&gt;&lt;D xsi:type="xsd:double"&gt;147.33&lt;/D&gt;&lt;D xsi:type="xsd:double"&gt;147.98&lt;/D&gt;&lt;D xsi:type="xsd:double"&gt;148.2&lt;/D&gt;&lt;D xsi:type="xsd:double"&gt;150.96&lt;/D&gt;&lt;D xsi:type="xsd:double"&gt;149.02&lt;/D&gt;&lt;D xsi:type="xsd:double"&gt;149.3&lt;/D&gt;&lt;D xsi:type="xsd:double"&gt;147.1&lt;/D&gt;&lt;D xsi:type="xsd:double"&gt;145.57&lt;/D&gt;&lt;D xsi:type="xsd:double"&gt;147.09&lt;/D&gt;&lt;D xsi:type="xsd:double"&gt;146.44&lt;/D&gt;&lt;D xsi:type="xsd:double"&gt;147.69&lt;/D&gt;&lt;D xsi:type="xsd:double"&gt;147.24&lt;/D&gt;&lt;D xsi:type="xsd:double"&gt;147.74&lt;/D&gt;&lt;D xsi:type="xsd:double"&gt;145.1&lt;/D&gt;&lt;D xsi:type="xsd:double"&gt;143.91&lt;/D&gt;&lt;D xsi:type="xsd:double"&gt;144.13&lt;/D&gt;&lt;D xsi:type="xsd:double"&gt;142.56&lt;/D&gt;&lt;D xsi:type="xsd:double"&gt;142.73&lt;/D&gt;&lt;D xsi:type="xsd:double"&gt;143.7&lt;/D&gt;&lt;D xsi:type="xsd:double"&gt;145.71&lt;/D&gt;&lt;D xsi:type="xsd:double"&gt;145.03&lt;/D&gt;&lt;D xsi:type="xsd:double"&gt;145.88&lt;/D&gt;&lt;D xsi:type="xsd:double"&gt;145.34&lt;/D&gt;&lt;D xsi:type="xsd:double"&gt;143.94&lt;/D&gt;&lt;D xsi:type="xsd:double"&gt;141.52&lt;/D&gt;&lt;D xsi:type="xsd:double"&gt;141.88&lt;/D&gt;&lt;D xsi:type="xsd:double"&gt;142.88&lt;/D&gt;&lt;D xsi:type="xsd:double"&gt;144.39&lt;/D&gt;&lt;D xsi:type="xsd:double"&gt;143.58&lt;/D&gt;&lt;D xsi:type="xsd:double"&gt;144.98&lt;/D&gt;&lt;D xsi:type="xsd:double"&gt;145.35&lt;/D&gt;&lt;D xsi:type="xsd:double"&gt;144.32&lt;/D&gt;&lt;D xsi:type="xsd:double"&gt;144.34&lt;/D&gt;&lt;D xsi:type="xsd:double"&gt;144.09&lt;/D&gt;&lt;D xsi:type="xsd:double"&gt;146.37&lt;/D&gt;&lt;D xsi:type="xsd:double"&gt;146.91&lt;/D&gt;&lt;D xsi:type="xsd:double"&gt;148.36&lt;/D&gt;&lt;D xsi:type="xsd:double"&gt;151.79&lt;/D&gt;&lt;D xsi:type="xsd:double"&gt;150.89&lt;/D&gt;&lt;D xsi:type="xsd:double"&gt;151.02&lt;/D&gt;&lt;D xsi:type="xsd:double"&gt;149.17&lt;/D&gt;&lt;D xsi:type="xsd:double"&gt;149.89&lt;/D&gt;&lt;D xsi:type="xsd:double"&gt;150.58&lt;/D&gt;&lt;D xsi:type="xsd:double"&gt;151.11&lt;/D&gt;&lt;D xsi:type="xsd:double"&gt;149.3&lt;/D&gt;&lt;D xsi:type="xsd:double"&gt;148.4&lt;/D&gt;&lt;D xsi:type="xsd:double"&gt;149.72&lt;/D&gt;&lt;D xsi:type="xsd:double"&gt;147.93&lt;/D&gt;&lt;D xsi:type="xsd:double"&gt;146.93&lt;/D&gt;&lt;D xsi:type="xsd:double"&gt;148.18&lt;/D&gt;&lt;D xsi:type="xsd:double"&gt;149.54&lt;/D&gt;&lt;D xsi:type="xsd:double"&gt;148.89&lt;/D&gt;&lt;D xsi:type="xsd:double"&gt;148.83&lt;/D&gt;&lt;D xsi:type="xsd:double"&gt;149.85&lt;/D&gt;&lt;D xsi:type="xsd:double"&gt;149.46&lt;/D&gt;&lt;D xsi:type="xsd:double"&gt;148.45&lt;/D&gt;&lt;D xsi:type="xsd:double"&gt;148.04&lt;/D&gt;&lt;D xsi:type="xsd:double"&gt;149.28&lt;/D&gt;&lt;D xsi:type="xsd:double"&gt;150.45&lt;/D&gt;&lt;D xsi:type="xsd:double"&gt;150.55&lt;/D&gt;&lt;D xsi:type="xsd:double"&gt;150.45&lt;/D&gt;&lt;D xsi:type="xsd:double"&gt;149.35&lt;/D&gt;&lt;D xsi:type="xsd:double"&gt;148.85&lt;/D&gt;&lt;D xsi:type="xsd:double"&gt;148.91&lt;/D&gt;&lt;D xsi:type="xsd:double"&gt;148.55&lt;/D&gt;&lt;D xsi:type="xsd:double"&gt;146.24&lt;/D&gt;&lt;D xsi:type="xsd:double"&gt;146.48&lt;/D&gt;&lt;D xsi:type="xsd:double"&gt;146.57&lt;/D&gt;&lt;D xsi:type="xsd:double"&gt;147.25&lt;/D&gt;&lt;D xsi:type="xsd:double"&gt;147.78&lt;/D&gt;&lt;D xsi:type="xsd:double"&gt;150.29&lt;/D&gt;&lt;D xsi:type="xsd:double"&gt;151.06&lt;/D&gt;&lt;D xsi:type="xsd:double"&gt;150.75&lt;/D&gt;&lt;D xsi:type="xsd:double"&gt;150.67&lt;/D&gt;&lt;D xsi:type="xsd:double"&gt;149.52&lt;/D&gt;&lt;D xsi:type="xsd:double"&gt;148.82&lt;/D&gt;&lt;D xsi:type="xsd:double"&gt;149.65&lt;/D&gt;&lt;D xsi:type="xsd:double"&gt;149.64&lt;/D&gt;&lt;D xsi:type="xsd:double"&gt;148.06&lt;/D&gt;&lt;D xsi:type="xsd:double"&gt;148.5&lt;/D&gt;&lt;D xsi:type="xsd:double"&gt;149.5&lt;/D&gt;&lt;D xsi:type="xsd:double"&gt;148.1&lt;/D&gt;&lt;D xsi:type="xsd:double"&gt;150&lt;/D&gt;&lt;D xsi:type="xsd:double"&gt;151.46&lt;/D&gt;&lt;D xsi:type="xsd:double"&gt;148.21&lt;/D&gt;&lt;D xsi:type="xsd:double"&gt;148.49&lt;/D&gt;&lt;D xsi:type="xsd:double"&gt;146.87&lt;/D&gt;&lt;D xsi:type="xsd:double"&gt;145.22&lt;/D&gt;&lt;D xsi:type="xsd:double"&gt;146.34&lt;/D&gt;&lt;D xsi:type="xsd:double"&gt;146.53&lt;/D&gt;&lt;D xsi:type="xsd:double"&gt;148.62&lt;/D&gt;&lt;D xsi:type="xsd:double"&gt;148.04&lt;/D&gt;&lt;D xsi:type="xsd:double"&gt;146.74&lt;/D&gt;&lt;D xsi:type="xsd:double"&gt;145.04&lt;/D&gt;&lt;D xsi:type="xsd:double"&gt;144.17&lt;/D&gt;&lt;D xsi:type="xsd:double"&gt;144.35&lt;/D&gt;&lt;D xsi:type="xsd:double"&gt;143.71&lt;/D&gt;&lt;D xsi:type="xsd:double"&gt;143.47&lt;/D&gt;&lt;D xsi:type="xsd:double"&gt;142.01&lt;/D&gt;&lt;D xsi:type="xsd:double"&gt;143.5&lt;/D&gt;&lt;D xsi:type="xsd:double"&gt;143.27&lt;/D&gt;&lt;D xsi:type="xsd:double"&gt;143.64&lt;/D&gt;&lt;D xsi:type="xsd:double"&gt;143.29&lt;/D&gt;&lt;D xsi:type="xsd:double"&gt;145.73&lt;/D&gt;&lt;D xsi:type="xsd:double"&gt;143.04&lt;/D&gt;&lt;D xsi:type="xsd:double"&gt;140.93&lt;/D&gt;&lt;D xsi:type="xsd:double"&gt;141.05&lt;/D&gt;&lt;D xsi:type="xsd:double"&gt;141.22&lt;/D&gt;&lt;D xsi:type="xsd:double"&gt;142.31&lt;/D&gt;&lt;D xsi:type="xsd:double"&gt;142.54&lt;/D&gt;&lt;D xsi:type="xsd:double"&gt;141.69&lt;/D&gt;&lt;D xsi:type="xsd:double"&gt;140.45&lt;/D&gt;&lt;D xsi:type="xsd:double"&gt;139.47&lt;/D&gt;&lt;D xsi:type="xsd:double"&gt;139.9&lt;/D&gt;&lt;D xsi:type="xsd:double"&gt;138.01&lt;/D&gt;&lt;D xsi:type="xsd:double"&gt;138.53&lt;/D&gt;&lt;D xsi:type="xsd:double"&gt;138.21&lt;/D&gt;&lt;D xsi:type="xsd:double"&gt;138.44&lt;/D&gt;&lt;D xsi:type="xsd:double"&gt;138.655&lt;/D&gt;&lt;D xsi:type="xsd:double"&gt;139.22&lt;/D&gt;&lt;D xsi:type="xsd:double"&gt;139.46&lt;/D&gt;&lt;D xsi:type="xsd:double"&gt;138.18&lt;/D&gt;&lt;D xsi:type="xsd:double"&gt;137.67&lt;/D&gt;&lt;D xsi:type="xsd:double"&gt;137.23&lt;/D&gt;&lt;D xsi:type="xsd:double"&gt;136.11&lt;/D&gt;&lt;D xsi:type="xsd:double"&gt;136.44&lt;/D&gt;&lt;D xsi:type="xsd:double"&gt;136.79&lt;/D&gt;&lt;D xsi:type="xsd:double"&gt;137.08&lt;/D&gt;&lt;D xsi:type="xsd:double"&gt;135.81&lt;/D&gt;&lt;D xsi:type="xsd:double"&gt;135.6&lt;/D&gt;&lt;D xsi:type="xsd:double"&gt;137.04&lt;/D&gt;&lt;D xsi:type="xsd:double"&gt;137.82&lt;/D&gt;&lt;D xsi:type="xsd:double"&gt;139.23&lt;/D&gt;&lt;D xsi:type="xsd:double"&gt;139.92&lt;/D&gt;&lt;D xsi:type="xsd:double"&gt;139.69&lt;/D&gt;&lt;D xsi:type="xsd:double"&gt;139.46&lt;/D&gt;&lt;D xsi:type="xsd:double"&gt;138.52&lt;/D&gt;&lt;D xsi:type="xsd:double"&gt;138.64&lt;/D&gt;&lt;D xsi:type="xsd:double"&gt;138.32&lt;/D&gt;&lt;D xsi:type="xsd:double"&gt;138.73&lt;/D&gt;&lt;D xsi:type="xsd:double"&gt;138.64&lt;/D&gt;&lt;D xsi:type="xsd:double"&gt;139.86&lt;/D&gt;&lt;D xsi:type="xsd:double"&gt;140.06&lt;/D&gt;&lt;D xsi:type="xsd:double"&gt;140.39&lt;/D&gt;&lt;D xsi:type="xsd:double"&gt;139.78&lt;/D&gt;&lt;D xsi:type="xsd:double"&gt;139.5&lt;/D&gt;&lt;D xsi:type="xsd:double"&gt;138.86&lt;/D&gt;&lt;D xsi:type="xsd:double"&gt;139.26&lt;/D&gt;&lt;D xsi:type="xsd:double"&gt;140.35&lt;/D&gt;&lt;D xsi:type="xsd:double"&gt;138.04&lt;/D&gt;&lt;D xsi:type="xsd:double"&gt;138.48&lt;/D&gt;&lt;D xsi:type="xsd:double"&gt;137.45&lt;/D&gt;&lt;D xsi:type="xsd:double"&gt;137.51&lt;/D&gt;&lt;D xsi:type="xsd:double"&gt;138.01&lt;/D&gt;&lt;D xsi:type="xsd:double"&gt;136.88&lt;/D&gt;&lt;D xsi:type="xsd:double"&gt;137.84&lt;/D&gt;&lt;D xsi:type="xsd:double"&gt;136.91&lt;/D&gt;&lt;D xsi:type="xsd:double"&gt;137.51&lt;/D&gt;&lt;D xsi:type="xsd:double"&gt;135.45&lt;/D&gt;&lt;D xsi:type="xsd:double"&gt;136.21&lt;/D&gt;&lt;D xsi:type="xsd:double"&gt;135.5&lt;/D&gt;&lt;D xsi:type="xsd:double"&gt;136.66&lt;/D&gt;&lt;D xsi:type="xsd:double"&gt;137.14&lt;/D&gt;&lt;D xsi:type="xsd:double"&gt;138.23&lt;/D&gt;&lt;D xsi:type="xsd:double"&gt;137.49&lt;/D&gt;&lt;D xsi:type="xsd:double"&gt;136.26&lt;/D&gt;&lt;D xsi:type="xsd:double"&gt;134.75&lt;/D&gt;&lt;D xsi:type="xsd:double"&gt;133.92&lt;/D&gt;&lt;D xsi:type="xsd:double"&gt;135.29&lt;/D&gt;&lt;D xsi:type="xsd:double"&gt;136.31&lt;/D&gt;&lt;D xsi:type="xsd:double"&gt;136.86&lt;/D&gt;&lt;D xsi:type="xsd:double"&gt;136.06&lt;/D&gt;&lt;D xsi:type="xsd:double"&gt;139.01&lt;/D&gt;&lt;D xsi:type="xsd:double"&gt;140.02&lt;/D&gt;&lt;D xsi:type="xsd:double"&gt;139.74&lt;/D&gt;&lt;D xsi:type="xsd:double"&gt;137.83&lt;/D&gt;&lt;D xsi:type="xsd:double"&gt;138.91&lt;/D&gt;&lt;D xsi:type="xsd:double"&gt;138.64&lt;/D&gt;&lt;D xsi:type="xsd:double"&gt;139.54&lt;/D&gt;&lt;D xsi:type="xsd:double"&gt;141.07&lt;/D&gt;&lt;D xsi:type="xsd:double"&gt;141.06&lt;/D&gt;&lt;D xsi:type="xsd:double"&gt;143.12&lt;/D&gt;&lt;D xsi:type="xsd:double"&gt;138.54&lt;/D&gt;&lt;D xsi:type="xsd:double"&gt;140.84&lt;/D&gt;&lt;D xsi:type="xsd:double"&gt;141.77&lt;/D&gt;&lt;D xsi:type="xsd:double"&gt;142.18&lt;/D&gt;&lt;D xsi:type="xsd:double"&gt;143.27&lt;/D&gt;&lt;D xsi:type="xsd:double"&gt;145.2&lt;/D&gt;&lt;D xsi:type="xsd:double"&gt;145.79&lt;/D&gt;&lt;D xsi:type="xsd:double"&gt;144.87&lt;/D&gt;&lt;D xsi:type="xsd:double"&gt;147.11&lt;/D&gt;&lt;D xsi:type="xsd:double"&gt;148.96&lt;/D&gt;&lt;D xsi:type="xsd:double"&gt;149.78&lt;/D&gt;&lt;D xsi:type="xsd:double"&gt;148.79&lt;/D&gt;&lt;D xsi:type="xsd:double"&gt;148.68&lt;/D&gt;&lt;D xsi:type="xsd:double"&gt;148.03&lt;/D&gt;&lt;D xsi:type="xsd:double"&gt;149.28&lt;/D&gt;&lt;D xsi:type="xsd:double"&gt;149.68&lt;/D&gt;&lt;D xsi:type="xsd:double"&gt;151.02&lt;/D&gt;&lt;D xsi:type="xsd:double"&gt;152&lt;/D&gt;&lt;D xsi:type="xsd:double"&gt;152&lt;/D&gt;&lt;D xsi:type="xsd:double"&gt;152.92&lt;/D&gt;&lt;D xsi:type="xsd:double"&gt;153.77&lt;/D&gt;&lt;D xsi:type="xsd:double"&gt;153.38&lt;/D&gt;&lt;D xsi:type="xsd:double"&gt;153.67&lt;/D&gt;&lt;D xsi:type="xsd:double"&gt;151.88&lt;/D&gt;&lt;D xsi:type="xsd:double"&gt;151.39&lt;/D&gt;&lt;D xsi:type="xsd:double"&gt;152.46&lt;/D&gt;&lt;D xsi:type="xsd:double"&gt;152.31&lt;/D&gt;&lt;D xsi:type="xsd:double"&gt;151.82&lt;/D&gt;&lt;D xsi:type="xsd:double"&gt;151.22&lt;/D&gt;&lt;D xsi:type="xsd:double"&gt;152.65&lt;/D&gt;&lt;D xsi:type="xsd:double"&gt;150.95&lt;/D&gt;&lt;D xsi:type="xsd:double"&gt;151.07&lt;/D&gt;&lt;D xsi:type="xsd:double"&gt;151.32&lt;/D&gt;&lt;D xsi:type="xsd:double"&gt;151.81&lt;/D&gt;&lt;D xsi:type="xsd:double"&gt;153.16&lt;/D&gt;&lt;D xsi:type="xsd:double"&gt;156.37&lt;/D&gt;&lt;D xsi:type="xsd:double"&gt;157.54&lt;/D&gt;&lt;D xsi:type="xsd:double"&gt;157.73&lt;/D&gt;&lt;D xsi:type="xsd:double"&gt;157.5&lt;/D&gt;&lt;D xsi:type="xsd:double"&gt;157.16&lt;/D&gt;&lt;D xsi:type="xsd:double"&gt;157.36&lt;/D&gt;&lt;D xsi:type="xsd:double"&gt;157.29&lt;/D&gt;&lt;D xsi:type="xsd:double"&gt;156.67&lt;/D&gt;&lt;D xsi:type="xsd:double"&gt;157.76&lt;/D&gt;&lt;D xsi:type="xsd:double"&gt;156.95&lt;/D&gt;&lt;D xsi:type="xsd:double"&gt;156.33&lt;/D&gt;&lt;D xsi:type="xsd:double"&gt;156.8&lt;/D&gt;&lt;D xsi:type="xsd:double"&gt;157.38&lt;/D&gt;&lt;D xsi:type="xsd:double"&gt;157.8&lt;/D&gt;&lt;D xsi:type="xsd:double"&gt;158.33&lt;/D&gt;&lt;D xsi:type="xsd:double"&gt;158.77&lt;/D&gt;&lt;D xsi:type="xsd:double"&gt;158.21&lt;/D&gt;&lt;D xsi:type="xsd:double"&gt;156.82&lt;/D&gt;&lt;D xsi:type="xsd:double"&gt;157.34&lt;/D&gt;&lt;D xsi:type="xsd:double"&gt;156.6&lt;/D&gt;&lt;D xsi:type="xsd:double"&gt;155.2&lt;/D&gt;&lt;D xsi:type="xsd:double"&gt;157.51&lt;/D&gt;&lt;D xsi:type="xsd:double"&gt;156.25&lt;/D&gt;&lt;D xsi:type="xsd:double"&gt;157.5&lt;/D&gt;&lt;D xsi:type="xsd:double"&gt;160.02&lt;/D&gt;&lt;D xsi:type="xsd:double"&gt;160.22&lt;/D&gt;&lt;D xsi:type="xsd:double"&gt;158.68&lt;/D&gt;&lt;D xsi:type="xsd:double"&gt;159.17&lt;/D&gt;&lt;D xsi:type="xsd:double"&gt;160.77&lt;/D&gt;&lt;D xsi:type="xsd:double"&gt;161.51&lt;/D&gt;&lt;D xsi:type="xsd:double"&gt;160.09&lt;/D&gt;&lt;D xsi:type="xsd:double"&gt;159.27&lt;/D&gt;&lt;D xsi:type="xsd:double"&gt;158.81&lt;/D&gt;&lt;D xsi:type="xsd:double"&gt;157.78&lt;/D&gt;&lt;D xsi:type="xsd:double"&gt;158.16&lt;/D&gt;&lt;D xsi:type="xsd:double"&gt;158.37&lt;/D&gt;&lt;D xsi:type="xsd:double"&gt;155.72&lt;/D&gt;&lt;D xsi:type="xsd:double"&gt;155.16&lt;/D&gt;&lt;D xsi:type="xsd:double"&gt;156.06&lt;/D&gt;&lt;D xsi:type="xsd:double"&gt;159.41&lt;/D&gt;&lt;D xsi:type="xsd:double"&gt;161.36&lt;/D&gt;&lt;D xsi:type="xsd:double"&gt;161.08&lt;/D&gt;&lt;D xsi:type="xsd:double"&gt;157.66&lt;/D&gt;&lt;D xsi:type="xsd:double"&gt;158.58&lt;/D&gt;&lt;D xsi:type="xsd:double"&gt;157.57&lt;/D&gt;&lt;D xsi:type="xsd:double"&gt;159.14&lt;/D&gt;&lt;D xsi:type="xsd:double"&gt;160.7&lt;/D&gt;&lt;D xsi:type="xsd:double"&gt;160.55&lt;/D&gt;&lt;D xsi:type="xsd:double"&gt;159.48&lt;/D&gt;&lt;D xsi:type="xsd:double"&gt;158.01&lt;/D&gt;&lt;D xsi:type="xsd:double"&gt;157.05&lt;/D&gt;&lt;D xsi:type="xsd:double"&gt;158.7&lt;/D&gt;&lt;D xsi:type="xsd:double"&gt;159.25&lt;/D&gt;&lt;D xsi:type="xsd:double"&gt;160.78&lt;/D&gt;&lt;D xsi:type="xsd:double"&gt;161.39&lt;/D&gt;&lt;D xsi:type="xsd:double"&gt;161.84&lt;/D&gt;&lt;D xsi:type="xsd:double"&gt;162.12&lt;/D&gt;&lt;D xsi:type="xsd:double"&gt;161.75&lt;/D&gt;&lt;D xsi:type="xsd:double"&gt;160.6&lt;/D&gt;&lt;D xsi:type="xsd:double"&gt;160.09&lt;/D&gt;&lt;D xsi:type="xsd:double"&gt;160.12&lt;/D&gt;&lt;D xsi:type="xsd:double"&gt;159.26&lt;/D&gt;&lt;D xsi:type="xsd:double"&gt;160.43&lt;/D&gt;&lt;D xsi:type="xsd:double"&gt;159.57&lt;/D&gt;&lt;D xsi:type="xsd:double"&gt;162.75&lt;/D&gt;&lt;D xsi:type="xsd:double"&gt;163.36&lt;/D&gt;&lt;D xsi:type="xsd:double"&gt;163.26&lt;/D&gt;&lt;D xsi:type="xsd:double"&gt;164.84&lt;/D&gt;&lt;D xsi:type="xsd:double"&gt;164.65&lt;/D&gt;&lt;D xsi:type="xsd:double"&gt;165.12&lt;/D&gt;&lt;D xsi:type="xsd:double"&gt;165.12&lt;/D&gt;&lt;D xsi:type="xsd:double"&gt;164.49&lt;/D&gt;&lt;D xsi:type="xsd:double"&gt;164.27&lt;/D&gt;&lt;D xsi:type="xsd:double"&gt;164.4&lt;/D&gt;&lt;D xsi:type="xsd:double"&gt;163.57&lt;/D&gt;&lt;D xsi:type="xsd:double"&gt;164.08&lt;/D&gt;&lt;D xsi:type="xsd:double"&gt;163.58&lt;/D&gt;&lt;D xsi:type="xsd:double"&gt;164.07&lt;/D&gt;&lt;D xsi:type="xsd:double"&gt;164.47&lt;/D&gt;&lt;D xsi:type="xsd:double"&gt;164.48&lt;/D&gt;&lt;D xsi:type="xsd:double"&gt;164.13&lt;/D&gt;&lt;D xsi:type="xsd:double"&gt;163.3&lt;/D&gt;&lt;D xsi:type="xsd:double"&gt;163.74&lt;/D&gt;&lt;D xsi:type="xsd:double"&gt;162.74&lt;/D&gt;&lt;D xsi:type="xsd:double"&gt;165.89&lt;/D&gt;&lt;D xsi:type="xsd:double"&gt;165.42&lt;/D&gt;&lt;D xsi:type="xsd:double"&gt;163.86&lt;/D&gt;&lt;D xsi:type="xsd:double"&gt;162.19&lt;/D&gt;&lt;D xsi:type="xsd:double"&gt;161.12&lt;/D&gt;&lt;D xsi:type="xsd:double"&gt;161.24&lt;/D&gt;&lt;D xsi:type="xsd:double"&gt;164.03&lt;/D&gt;&lt;D xsi:type="xsd:double"&gt;164.66&lt;/D&gt;&lt;D xsi:type="xsd:double"&gt;165.93&lt;/D&gt;&lt;D xsi:type="xsd:double"&gt;166.2&lt;/D&gt;&lt;D xsi:type="xsd:double"&gt;165.21&lt;/D&gt;&lt;D xsi:type="xsd:double"&gt;163.73&lt;/D&gt;&lt;D xsi:type="xsd:double"&gt;164.76&lt;/D&gt;&lt;D xsi:type="xsd:double"&gt;163.59&lt;/D&gt;&lt;D xsi:type="xsd:double"&gt;163.18&lt;/D&gt;&lt;D xsi:type="</t>
        </r>
      </text>
    </comment>
    <comment ref="A42" authorId="0" shapeId="0" xr:uid="{C17D783C-4C61-4B5D-8B30-04240F4477C6}">
      <text>
        <r>
          <rPr>
            <b/>
            <sz val="9"/>
            <color indexed="81"/>
            <rFont val="Tahoma"/>
            <charset val="1"/>
          </rPr>
          <t>xsd:double"&gt;163.82&lt;/D&gt;&lt;D xsi:type="xsd:double"&gt;165.59&lt;/D&gt;&lt;D xsi:type="xsd:double"&gt;167.105&lt;/D&gt;&lt;D xsi:type="xsd:double"&gt;169.12&lt;/D&gt;&lt;D xsi:type="xsd:double"&gt;169.88&lt;/D&gt;&lt;D xsi:type="xsd:double"&gt;171.02&lt;/D&gt;&lt;D xsi:type="xsd:double"&gt;170.07&lt;/D&gt;&lt;D xsi:type="xsd:double"&gt;171.57&lt;/D&gt;&lt;D xsi:type="xsd:double"&gt;169.95&lt;/D&gt;&lt;D xsi:type="xsd:double"&gt;171&lt;/D&gt;&lt;D xsi:type="xsd:double"&gt;171.11&lt;/D&gt;&lt;D xsi:type="xsd:double"&gt;169.99&lt;/D&gt;&lt;D xsi:type="xsd:double"&gt;170.28&lt;/D&gt;&lt;D xsi:type="xsd:double"&gt;169.11&lt;/D&gt;&lt;D xsi:type="xsd:double"&gt;169.74&lt;/D&gt;&lt;D xsi:type="xsd:double"&gt;169.75&lt;/D&gt;&lt;D xsi:type="xsd:double"&gt;167.79&lt;/D&gt;&lt;D xsi:type="xsd:double"&gt;167.29&lt;/D&gt;&lt;D xsi:type="xsd:double"&gt;167.19&lt;/D&gt;&lt;D xsi:type="xsd:double"&gt;166.78&lt;/D&gt;&lt;D xsi:type="xsd:double"&gt;167.13&lt;/D&gt;&lt;D xsi:type="xsd:double"&gt;166.34&lt;/D&gt;&lt;D xsi:type="xsd:double"&gt;167.12&lt;/D&gt;&lt;D xsi:type="xsd:double"&gt;166.88&lt;/D&gt;&lt;D xsi:type="xsd:double"&gt;166.33&lt;/D&gt;&lt;D xsi:type="xsd:double"&gt;167.17&lt;/D&gt;&lt;D xsi:type="xsd:double"&gt;164.55&lt;/D&gt;&lt;D xsi:type="xsd:double"&gt;165.21&lt;/D&gt;&lt;D xsi:type="xsd:double"&gt;162.92&lt;/D&gt;&lt;D xsi:type="xsd:double"&gt;163.59&lt;/D&gt;&lt;D xsi:type="xsd:double"&gt;163.42&lt;/D&gt;&lt;D xsi:type="xsd:double"&gt;163.93&lt;/D&gt;&lt;D xsi:type="xsd:double"&gt;164.73&lt;/D&gt;&lt;D xsi:type="xsd:double"&gt;165.25&lt;/D&gt;&lt;D xsi:type="xsd:double"&gt;163.5&lt;/D&gt;&lt;D xsi:type="xsd:double"&gt;163.03&lt;/D&gt;&lt;D xsi:type="xsd:double"&gt;161.3&lt;/D&gt;&lt;D xsi:type="xsd:double"&gt;162.41&lt;/D&gt;&lt;D xsi:type="xsd:double"&gt;162.39&lt;/D&gt;&lt;D xsi:type="xsd:double"&gt;162.26&lt;/D&gt;&lt;D xsi:type="xsd:double"&gt;160.56&lt;/D&gt;&lt;D xsi:type="xsd:double"&gt;159.9&lt;/D&gt;&lt;D xsi:type="xsd:double"&gt;162.39&lt;/D&gt;&lt;D xsi:type="xsd:double"&gt;162.3&lt;/D&gt;&lt;D xsi:type="xsd:double"&gt;163.88&lt;/D&gt;&lt;D xsi:type="xsd:double"&gt;160.84&lt;/D&gt;&lt;D xsi:type="xsd:double"&gt;158.49&lt;/D&gt;&lt;D xsi:type="xsd:double"&gt;156.71&lt;/D&gt;&lt;D xsi:type="xsd:double"&gt;156.11&lt;/D&gt;&lt;D xsi:type="xsd:double"&gt;157.23&lt;/D&gt;&lt;D xsi:type="xsd:double"&gt;159.54&lt;/D&gt;&lt;D xsi:type="xsd:double"&gt;161.69&lt;/D&gt;&lt;D xsi:type="xsd:double"&gt;162.28&lt;/D&gt;&lt;D xsi:type="xsd:double"&gt;163.59&lt;/D&gt;&lt;D xsi:type="xsd:double"&gt;162.43&lt;/D&gt;&lt;D xsi:type="xsd:double"&gt;163.03&lt;/D&gt;&lt;D xsi:type="xsd:double"&gt;163.33&lt;/D&gt;&lt;D xsi:type="xsd:double"&gt;165.55&lt;/D&gt;&lt;D xsi:type="xsd:double"&gt;164.56&lt;/D&gt;&lt;D xsi:type="xsd:double"&gt;164.15&lt;/D&gt;&lt;D xsi:type="xsd:double"&gt;163.66&lt;/D&gt;&lt;D xsi:type="xsd:double"&gt;163.05&lt;/D&gt;&lt;D xsi:type="xsd:double"&gt;166.71&lt;/D&gt;&lt;D xsi:type="xsd:double"&gt;167.14&lt;/D&gt;&lt;D xsi:type="xsd:double"&gt;165.52&lt;/D&gt;&lt;D xsi:type="xsd:double"&gt;164.37&lt;/D&gt;&lt;D xsi:type="xsd:double"&gt;162.7&lt;/D&gt;&lt;D xsi:type="xsd:double"&gt;163.98&lt;/D&gt;&lt;D xsi:type="xsd:double"&gt;166.14&lt;/D&gt;&lt;D xsi:type="xsd:double"&gt;163.41&lt;/D&gt;&lt;D xsi:type="xsd:double"&gt;166.09&lt;/D&gt;&lt;D xsi:type="xsd:double"&gt;167.16&lt;/D&gt;&lt;D xsi:type="xsd:double"&gt;167.95&lt;/D&gt;&lt;D xsi:type="xsd:double"&gt;166.74&lt;/D&gt;&lt;D xsi:type="xsd:double"&gt;168.71&lt;/D&gt;&lt;D xsi:type="xsd:double"&gt;169.59&lt;/D&gt;&lt;D xsi:type="xsd:double"&gt;167.66&lt;/D&gt;&lt;D xsi:type="xsd:double"&gt;170.84&lt;/D&gt;&lt;D xsi:type="xsd:double"&gt;170.44&lt;/D&gt;&lt;D xsi:type="xsd:double"&gt;169.54&lt;/D&gt;&lt;D xsi:type="xsd:double"&gt;171.29&lt;/D&gt;&lt;D xsi:type="xsd:double"&gt;169.16&lt;/D&gt;&lt;D xsi:type="xsd:double"&gt;167.81&lt;/D&gt;&lt;D xsi:type="xsd:double"&gt;170.09&lt;/D&gt;&lt;D xsi:type="xsd:double"&gt;168.18&lt;/D&gt;&lt;D xsi:type="xsd:double"&gt;163.84&lt;/D&gt;&lt;D xsi:type="xsd:double"&gt;163.88&lt;/D&gt;&lt;D xsi:type="xsd:double"&gt;165.39&lt;/D&gt;&lt;D xsi:type="xsd:double"&gt;165.09&lt;/D&gt;&lt;D xsi:type="xsd:double"&gt;166.3&lt;/D&gt;&lt;D xsi:type="xsd:double"&gt;168.06&lt;/D&gt;&lt;D xsi:type="xsd:double"&gt;168.5&lt;/D&gt;&lt;D xsi:type="xsd:double"&gt;168.1&lt;/D&gt;&lt;D xsi:type="xsd:double"&gt;167.04&lt;/D&gt;&lt;D xsi:type="xsd:double"&gt;164.97&lt;/D&gt;&lt;D xsi:type="xsd:double"&gt;166.32&lt;/D&gt;&lt;D xsi:type="xsd:double"&gt;167.7&lt;/D&gt;&lt;D xsi:type="xsd:double"&gt;163.34&lt;/D&gt;&lt;D xsi:type="xsd:double"&gt;162.54&lt;/D&gt;&lt;D xsi:type="xsd:double"&gt;162.91&lt;/D&gt;&lt;D xsi:type="xsd:double"&gt;166&lt;/D&gt;&lt;D xsi:type="xsd:double"&gt;159.43&lt;/D&gt;&lt;D xsi:type="xsd:double"&gt;148.28&lt;/D&gt;&lt;D xsi:type="xsd:double"&gt;144.35&lt;/D&gt;&lt;D xsi:type="xsd:double"&gt;152.98&lt;/D&gt;&lt;D xsi:type="xsd:double"&gt;163.91&lt;/D&gt;&lt;D xsi:type="xsd:double"&gt;153.94&lt;/D&gt;&lt;D xsi:type="xsd:double"&gt;157.5&lt;/D&gt;&lt;D xsi:type="xsd:double"&gt;156.53&lt;/D&gt;&lt;D xsi:type="xsd:double"&gt;162.51&lt;/D&gt;&lt;D xsi:type="xsd:double"&gt;171.29&lt;/D&gt;&lt;D xsi:type="xsd:double"&gt;166.77&lt;/D&gt;&lt;D xsi:type="xsd:double"&gt;158.52&lt;/D&gt;&lt;D xsi:type="xsd:double"&gt;154.67&lt;/D&gt;&lt;D xsi:type="xsd:double"&gt;156.33&lt;/D&gt;&lt;D xsi:type="xsd:double"&gt;153.94&lt;/D&gt;&lt;D xsi:type="xsd:double"&gt;155.31&lt;/D&gt;&lt;D xsi:type="xsd:double"&gt;151.88&lt;/D&gt;&lt;D xsi:type="xsd:double"&gt;150.25&lt;/D&gt;&lt;D xsi:type="xsd:double"&gt;151.05&lt;/D&gt;&lt;D xsi:type="xsd:double"&gt;150.25&lt;/D&gt;&lt;D xsi:type="xsd:double"&gt;148.04&lt;/D&gt;&lt;D xsi:type="xsd:double"&gt;146.67&lt;/D&gt;&lt;D xsi:type="xsd:double"&gt;145.53&lt;/D&gt;&lt;D xsi:type="xsd:double"&gt;145.54&lt;/D&gt;&lt;D xsi:type="xsd:double"&gt;144.55&lt;/D&gt;&lt;D xsi:type="xsd:double"&gt;143.92&lt;/D&gt;&lt;D xsi:type="xsd:double"&gt;143.37&lt;/D&gt;&lt;D xsi:type="xsd:double"&gt;144.1&lt;/D&gt;&lt;D xsi:type="xsd:double"&gt;144.83&lt;/D&gt;&lt;D xsi:type="xsd:double"&gt;144.43&lt;/D&gt;&lt;D xsi:type="xsd:double"&gt;142.65&lt;/D&gt;&lt;D xsi:type="xsd:double"&gt;142.01&lt;/D&gt;&lt;D xsi:type="xsd:double"&gt;143.58&lt;/D&gt;&lt;D xsi:type="xsd:double"&gt;145.54&lt;/D&gt;&lt;D xsi:type="xsd:double"&gt;145.9&lt;/D&gt;&lt;D xsi:type="xsd:double"&gt;144.58&lt;/D&gt;&lt;D xsi:type="xsd:double"&gt;144.56&lt;/D&gt;&lt;D xsi:type="xsd:double"&gt;143.16&lt;/D&gt;&lt;D xsi:type="xsd:double"&gt;144.29&lt;/D&gt;&lt;D xsi:type="xsd:double"&gt;142.08&lt;/D&gt;&lt;D xsi:type="xsd:double"&gt;140.94&lt;/D&gt;&lt;D xsi:type="xsd:double"&gt;139.96&lt;/D&gt;&lt;D xsi:type="xsd:double"&gt;139.47&lt;/D&gt;&lt;D xsi:type="xsd:double"&gt;138.02&lt;/D&gt;&lt;D xsi:type="xsd:double"&gt;139.21&lt;/D&gt;&lt;D xsi:type="xsd:double"&gt;139.65&lt;/D&gt;&lt;D xsi:type="xsd:double"&gt;138.73&lt;/D&gt;&lt;D xsi:type="xsd:double"&gt;138.02&lt;/D&gt;&lt;D xsi:type="xsd:double"&gt;138.44&lt;/D&gt;&lt;D xsi:type="xsd:double"&gt;137.22&lt;/D&gt;&lt;D xsi:type="xsd:double"&gt;136.74&lt;/D&gt;&lt;D xsi:type="xsd:double"&gt;137.645&lt;/D&gt;&lt;D xsi:type="xsd:double"&gt;138.33&lt;/D&gt;&lt;D xsi:type="xsd:double"&gt;139.12&lt;/D&gt;&lt;D xsi:type="xsd:double"&gt;137.015&lt;/D&gt;&lt;D xsi:type="xsd:double"&gt;135.48&lt;/D&gt;&lt;D xsi:type="xsd:double"&gt;136.82&lt;/D&gt;&lt;D xsi:type="xsd:double"&gt;137.32&lt;/D&gt;&lt;D xsi:type="xsd:double"&gt;137.17&lt;/D&gt;&lt;D xsi:type="xsd:double"&gt;136.84&lt;/D&gt;&lt;D xsi:type="xsd:double"&gt;136.45&lt;/D&gt;&lt;D xsi:type="xsd:double"&gt;136.65&lt;/D&gt;&lt;D xsi:type="xsd:double"&gt;136.47&lt;/D&gt;&lt;D xsi:type="xsd:double"&gt;136.47&lt;/D&gt;&lt;D xsi:type="xsd:double"&gt;137.6&lt;/D&gt;&lt;D xsi:type="xsd:double"&gt;137.79&lt;/D&gt;&lt;D xsi:type="xsd:double"&gt;139.04&lt;/D&gt;&lt;D xsi:type="xsd:double"&gt;137.45&lt;/D&gt;&lt;D xsi:type="xsd:double"&gt;139.75&lt;/D&gt;&lt;D xsi:type="xsd:double"&gt;138.66&lt;/D&gt;&lt;D xsi:type="xsd:double"&gt;138.65&lt;/D&gt;&lt;D xsi:type="xsd:double"&gt;138.35&lt;/D&gt;&lt;D xsi:type="xsd:double"&gt;139.12&lt;/D&gt;&lt;D xsi:type="xsd:double"&gt;139.8&lt;/D&gt;&lt;D xsi:type="xsd:double"&gt;141.21&lt;/D&gt;&lt;D xsi:type="xsd:double"&gt;138.31&lt;/D&gt;&lt;D xsi:type="xsd:double"&gt;140.42&lt;/D&gt;&lt;D xsi:type="xsd:double"&gt;140.72&lt;/D&gt;&lt;D xsi:type="xsd:double"&gt;141.13&lt;/D&gt;&lt;D xsi:type="xsd:double"&gt;140.31&lt;/D&gt;&lt;D xsi:type="xsd:double"&gt;139.9&lt;/D&gt;&lt;D xsi:type="xsd:double"&gt;139.72&lt;/D&gt;&lt;D xsi:type="xsd:double"&gt;140.6&lt;/D&gt;&lt;D xsi:type="xsd:double"&gt;139.16&lt;/D&gt;&lt;D xsi:type="xsd:double"&gt;138.01&lt;/D&gt;&lt;D xsi:type="xsd:double"&gt;137.76&lt;/D&gt;&lt;D xsi:type="xsd:double"&gt;137.91&lt;/D&gt;&lt;D xsi:type="xsd:double"&gt;136.5&lt;/D&gt;&lt;D xsi:type="xsd:double"&gt;135.62&lt;/D&gt;&lt;D xsi:type="xsd:double"&gt;135&lt;/D&gt;&lt;D xsi:type="xsd:double"&gt;134.91&lt;/D&gt;&lt;D xsi:type="xsd:double"&gt;135.48&lt;/D&gt;&lt;D xsi:type="xsd:double"&gt;137.98&lt;/D&gt;&lt;D xsi:type="xsd:double"&gt;137.15&lt;/D&gt;&lt;D xsi:type="xsd:double"&gt;138.71&lt;/D&gt;&lt;D xsi:type="xsd:double"&gt;140.56&lt;/D&gt;&lt;D xsi:type="xsd:double"&gt;141.24&lt;/D&gt;&lt;D xsi:type="xsd:double"&gt;139.36&lt;/D&gt;&lt;D xsi:type="xsd:double"&gt;137.35&lt;/D&gt;&lt;D xsi:type="xsd:double"&gt;137.26&lt;/D&gt;&lt;D xsi:type="xsd:double"&gt;138.52&lt;/D&gt;&lt;D xsi:type="xsd:double"&gt;139.2&lt;/D&gt;&lt;D xsi:type="xsd:double"&gt;139.48&lt;/D&gt;&lt;D xsi:type="xsd:double"&gt;139.34&lt;/D&gt;&lt;D xsi:type="xsd:double"&gt;138.53&lt;/D&gt;&lt;D xsi:type="xsd:double"&gt;139.58&lt;/D&gt;&lt;D xsi:type="xsd:double"&gt;139.58&lt;/D&gt;&lt;D xsi:type="xsd:double"&gt;139.92&lt;/D&gt;&lt;D xsi:type="xsd:double"&gt;139.75&lt;/D&gt;&lt;D xsi:type="xsd:double"&gt;141.46&lt;/D&gt;&lt;D xsi:type="xsd:double"&gt;140.44&lt;/D&gt;&lt;D xsi:type="xsd:double"&gt;142.2&lt;/D&gt;&lt;D xsi:type="xsd:double"&gt;144.35&lt;/D&gt;&lt;D xsi:type="xsd:double"&gt;145.17&lt;/D&gt;&lt;D xsi:type="xsd:double"&gt;144.78&lt;/D&gt;&lt;D xsi:type="xsd:double"&gt;145.99&lt;/D&gt;&lt;D xsi:type="xsd:double"&gt;144.92&lt;/D&gt;&lt;D xsi:type="xsd:double"&gt;143.61&lt;/D&gt;&lt;D xsi:type="xsd:double"&gt;143.26&lt;/D&gt;&lt;D xsi:type="xsd:double"&gt;143.08&lt;/D&gt;&lt;D xsi:type="xsd:double"&gt;142.73&lt;/D&gt;&lt;D xsi:type="xsd:double"&gt;142.38&lt;/D&gt;&lt;D xsi:type="xsd:double"&gt;141.47&lt;/D&gt;&lt;D xsi:type="xsd:double"&gt;143.57&lt;/D&gt;&lt;D xsi:type="xsd:double"&gt;141.86&lt;/D&gt;&lt;D xsi:type="xsd:double"&gt;141.89&lt;/D&gt;&lt;D xsi:type="xsd:double"&gt;140.04&lt;/D&gt;&lt;D xsi:type="xsd:double"&gt;139.62&lt;/D&gt;&lt;D xsi:type="xsd:double"&gt;139.03&lt;/D&gt;&lt;D xsi:type="xsd:double"&gt;138.28&lt;/D&gt;&lt;D xsi:type="xsd:double"&gt;136.54&lt;/D&gt;&lt;D xsi:type="xsd:double"&gt;139.52&lt;/D&gt;&lt;D xsi:type="xsd:double"&gt;140.44&lt;/D&gt;&lt;D xsi:type="xsd:double"&gt;140.69&lt;/D&gt;&lt;D xsi:type="xsd:double"&gt;143.2&lt;/D&gt;&lt;D xsi:type="xsd:double"&gt;145.79&lt;/D&gt;&lt;D xsi:type="xsd:double"&gt;144.76&lt;/D&gt;&lt;D xsi:type="xsd:double"&gt;147.43&lt;/D&gt;&lt;D xsi:type="xsd:double"&gt;147.21&lt;/D&gt;&lt;D xsi:type="xsd:double"&gt;147.28&lt;/D&gt;&lt;D xsi:type="xsd:double"&gt;147.24&lt;/D&gt;&lt;D xsi:type="xsd:double"&gt;147.8&lt;/D&gt;&lt;D xsi:type="xsd:double"&gt;147.61&lt;/D&gt;&lt;D xsi:type="xsd:double"&gt;145.37&lt;/D&gt;&lt;D xsi:type="xsd:double"&gt;145.96&lt;/D&gt;&lt;D xsi:type="xsd:double"&gt;143.6&lt;/D&gt;&lt;D xsi:type="xsd:double"&gt;144.56&lt;/D&gt;&lt;D xsi:type="xsd:double"&gt;145.53&lt;/D&gt;&lt;D xsi:type="xsd:double"&gt;144.04&lt;/D&gt;&lt;D xsi:type="xsd:double"&gt;146.13&lt;/D&gt;&lt;D xsi:type="xsd:double"&gt;147.31&lt;/D&gt;&lt;D xsi:type="xsd:double"&gt;145.69&lt;/D&gt;&lt;D xsi:type="xsd:double"&gt;142.48&lt;/D&gt;&lt;D xsi:type="xsd:double"&gt;142.97&lt;/D&gt;&lt;D xsi:type="xsd:double"&gt;140.05&lt;/D&gt;&lt;D xsi:type="xsd:double"&gt;140.33&lt;/D&gt;&lt;D xsi:type="xsd:double"&gt;140.03&lt;/D&gt;&lt;D xsi:type="xsd:double"&gt;139.98&lt;/D&gt;&lt;D xsi:type="xsd:double"&gt;138.87&lt;/D&gt;&lt;D xsi:type="xsd:double"&gt;136.51&lt;/D&gt;&lt;D xsi:type="xsd:double"&gt;135.26&lt;/D&gt;&lt;D xsi:type="xsd:double"&gt;132.89&lt;/D&gt;&lt;D xsi:type="xsd:double"&gt;131.83&lt;/D&gt;&lt;D xsi:type="xsd:double"&gt;131.51&lt;/D&gt;&lt;D xsi:type="xsd:double"&gt;131.47&lt;/D&gt;&lt;D xsi:type="xsd:double"&gt;131.16&lt;/D&gt;&lt;D xsi:type="xsd:double"&gt;131.79&lt;/D&gt;&lt;D xsi:type="xsd:double"&gt;131.22&lt;/D&gt;&lt;D xsi:type="xsd:double"&gt;131.94&lt;/D&gt;&lt;D xsi:type="xsd:double"&gt;131.69&lt;/D&gt;&lt;D xsi:type="xsd:double"&gt;132&lt;/D&gt;&lt;D xsi:type="xsd:double"&gt;131.99&lt;/D&gt;&lt;D xsi:type="xsd:double"&gt;130.58&lt;/D&gt;&lt;D xsi:type="xsd:double"&gt;130.97&lt;/D&gt;&lt;D xsi:type="xsd:double"&gt;130.22&lt;/D&gt;&lt;D xsi:type="xsd:double"&gt;130.07&lt;/D&gt;&lt;D xsi:type="xsd:double"&gt;131.83&lt;/D&gt;&lt;D xsi:type="xsd:double"&gt;132.56&lt;/D&gt;&lt;D xsi:type="xsd:double"&gt;132.61&lt;/D&gt;&lt;D xsi:type="xsd:double"&gt;132.43&lt;/D&gt;&lt;D xsi:type="xsd:double"&gt;134.21&lt;/D&gt;&lt;D xsi:type="xsd:double"&gt;133.26&lt;/D&gt;&lt;D xsi:type="xsd:double"&gt;132.24&lt;/D&gt;&lt;D xsi:type="xsd:double"&gt;132.81&lt;/D&gt;&lt;D xsi:type="xsd:double"&gt;132.9&lt;/D&gt;&lt;D xsi:type="xsd:double"&gt;131.97&lt;/D&gt;&lt;D xsi:type="xsd:double"&gt;132.82&lt;/D&gt;&lt;D xsi:type="xsd:double"&gt;132.41&lt;/D&gt;&lt;D xsi:type="xsd:double"&gt;131.43&lt;/D&gt;&lt;D xsi:type="xsd:double"&gt;132.89&lt;/D&gt;&lt;D xsi:type="xsd:double"&gt;132.54&lt;/D&gt;&lt;D xsi:type="xsd:double"&gt;132.35&lt;/D&gt;&lt;D xsi:type="xsd:double"&gt;131.69&lt;/D&gt;&lt;D xsi:type="xsd:double"&gt;131.46&lt;/D&gt;&lt;D xsi:type="xsd:double"&gt;131.13&lt;/D&gt;&lt;D xsi:type="xsd:double"&gt;130.68&lt;/D&gt;&lt;D xsi:type="xsd:double"&gt;130.58&lt;/D&gt;&lt;D xsi:type="xsd:double"&gt;130.5&lt;/D&gt;&lt;D xsi:type="xsd:double"&gt;131.74&lt;/D&gt;&lt;D xsi:type="xsd:double"&gt;130.61&lt;/D&gt;&lt;D xsi:type="xsd:double"&gt;130.19&lt;/D&gt;&lt;D xsi:type="xsd:double"&gt;130.93&lt;/D&gt;&lt;D xsi:type="xsd:double"&gt;132.44&lt;/D&gt;&lt;D xsi:type="xsd:double"&gt;131.83&lt;/D&gt;&lt;D xsi:type="xsd:double"&gt;130.2&lt;/D&gt;&lt;D xsi:type="xsd:double"&gt;129.09&lt;/D&gt;&lt;D xsi:type="xsd:double"&gt;128.79&lt;/D&gt;&lt;D xsi:type="xsd:double"&gt;127.78&lt;/D&gt;&lt;D xsi:type="xsd:double"&gt;127.67&lt;/D&gt;&lt;D xsi:type="xsd:double"&gt;126.25&lt;/D&gt;&lt;D xsi:type="xsd:double"&gt;125.53&lt;/D&gt;&lt;D xsi:type="xsd:double"&gt;125.73&lt;/D&gt;&lt;D xsi:type="xsd:double"&gt;125.99&lt;/D&gt;&lt;D xsi:type="xsd:double"&gt;125.71&lt;/D&gt;&lt;D xsi:type="xsd:double"&gt;126.13&lt;/D&gt;&lt;D xsi:type="xsd:double"&gt;125.36&lt;/D&gt;&lt;D xsi:type="xsd:double"&gt;125.73&lt;/D&gt;&lt;D xsi:type="xsd:double"&gt;124.75&lt;/D&gt;&lt;D xsi:type="xsd:double"&gt;124.92&lt;/D&gt;&lt;D xsi:type="xsd:double"&gt;124.41&lt;/D&gt;&lt;D xsi:type="xsd:double"&gt;124.95&lt;/D&gt;&lt;D xsi:type="xsd:double"&gt;124&lt;/D&gt;&lt;D xsi:type="xsd:double"&gt;123.66&lt;/D&gt;&lt;D xsi:type="xsd:double"&gt;123.31&lt;/D&gt;&lt;D xsi:type="xsd:double"&gt;123.9&lt;/D&gt;&lt;D xsi:type="xsd:double"&gt;123.65&lt;/D&gt;&lt;D xsi:type="xsd:double"&gt;123.02&lt;/D&gt;&lt;D xsi:type="xsd:double"&gt;123.81&lt;/D&gt;&lt;D xsi:type="xsd:double"&gt;123.39&lt;/D&gt;&lt;D xsi:type="xsd:double"&gt;123.57&lt;/D&gt;&lt;D xsi:type="xsd:double"&gt;122.57&lt;/D&gt;&lt;D xsi:type="xsd:double"&gt;122.31&lt;/D&gt;&lt;D xsi:type="xsd:double"&gt;122.9&lt;/D&gt;&lt;D xsi:type="xsd:double"&gt;122.26&lt;/D&gt;&lt;D xsi:type="xsd:double"&gt;122.21&lt;/D&gt;&lt;D xsi:type="xsd:double"&gt;122.98&lt;/D&gt;&lt;D xsi:type="xsd:double"&gt;122.67&lt;/D&gt;&lt;D xsi:type="xsd:double"&gt;123.55&lt;/D&gt;&lt;D xsi:type="xsd:double"&gt;124.28&lt;/D&gt;&lt;D xsi:type="xsd:double"&gt;123.98&lt;/D&gt;&lt;D xsi:type="xsd:double"&gt;123.59&lt;/D&gt;&lt;D xsi:type="xsd:double"&gt;124.03&lt;/D&gt;&lt;D xsi:type="xsd:double"&gt;123.87&lt;/D&gt;&lt;D xsi:type="xsd:double"&gt;123.52&lt;/D&gt;&lt;D xsi:type="xsd:double"&gt;124.6&lt;/D&gt;&lt;D xsi:type="xsd:double"&gt;124.37&lt;/D&gt;&lt;D xsi:type="xsd:double"&gt;126.44&lt;/D&gt;&lt;D xsi:type="xsd:double"&gt;126.56&lt;/D&gt;&lt;D xsi:type="xsd:double"&gt;126.12&lt;/D&gt;&lt;D xsi:type="xsd:double"&gt;124.97&lt;/D&gt;&lt;D xsi:type="xsd:double"&gt;125.06&lt;/D&gt;&lt;D xsi:type="xsd:double"&gt;124.86&lt;/D&gt;&lt;D xsi:type="xsd:double"&gt;122.95&lt;/D&gt;&lt;D xsi:type="xsd:double"&gt;122.68&lt;/D&gt;&lt;D xsi:type="xsd:double"&gt;121.41&lt;/D&gt;&lt;D xsi:type="xsd:double"&gt;121.68&lt;/D&gt;&lt;D xsi:type="xsd:double"&gt;121.75&lt;/D&gt;&lt;D xsi:type="xsd:double"&gt;120.95&lt;/D&gt;&lt;D xsi:type="xsd:double"&gt;121.83&lt;/D&gt;&lt;D xsi:type="xsd:double"&gt;122.06&lt;/D&gt;&lt;D xsi:type="xsd:double"&gt;121.21&lt;/D&gt;&lt;D xsi:type="xsd:double"&gt;121.57&lt;/D&gt;&lt;D xsi:type="xsd:double"&gt;121.06&lt;/D&gt;&lt;D xsi:type="xsd:double"&gt;120.28&lt;/D&gt;&lt;D xsi:type="xsd:double"&gt;119.84&lt;/D&gt;&lt;D xsi:type="xsd:double"&gt;119.59&lt;/D&gt;&lt;D xsi:type="xsd:double"&gt;118.66&lt;/D&gt;&lt;D xsi:type="xsd:double"&gt;120.02&lt;/D&gt;&lt;D xsi:type="xsd:double"&gt;120.43&lt;/D&gt;&lt;D xsi:type="xsd:double"&gt;121.81&lt;/D&gt;&lt;D xsi:type="xsd:double"&gt;121.21&lt;/D&gt;&lt;D xsi:type="xsd:double"&gt;121.57&lt;/D&gt;&lt;D xsi:type="xsd:double"&gt;120.85&lt;/D&gt;&lt;D xsi:type="xsd:double"&gt;121.94&lt;/D&gt;&lt;D xsi:type="xsd:double"&gt;122.29&lt;/D&gt;&lt;D xsi:type="xsd:double"&gt;121.98&lt;/D&gt;&lt;D xsi:type="xsd:double"&gt;121.79&lt;/D&gt;&lt;D xsi:type="xsd:double"&gt;121.1&lt;/D&gt;&lt;D xsi:type="xsd:double"&gt;121.555&lt;/D&gt;&lt;D xsi:type="xsd:double"&gt;121.87&lt;/D&gt;&lt;D xsi:type="xsd:double"&gt;122.35&lt;/D&gt;&lt;D xsi:type="xsd:double"&gt;121.83&lt;/D&gt;&lt;D xsi:type="xsd:double"&gt;121.03&lt;/D&gt;&lt;D xsi:type="xsd:double"&gt;120.97&lt;/D&gt;&lt;D xsi:type="xsd:double"&gt;120.42&lt;/D&gt;&lt;D xsi:type="xsd:double"&gt;120.96&lt;/D&gt;&lt;D xsi:type="xsd:double"&gt;121.97&lt;/D&gt;&lt;D xsi:type="xsd:double"&gt;120.93&lt;/D&gt;&lt;D xsi:type="xsd:double"&gt;121.02&lt;/D&gt;&lt;D xsi:type="xsd:double"&gt;120.41&lt;/D&gt;&lt;D xsi:type="xsd:double"&gt;120.53&lt;/D&gt;&lt;D xsi:type="xsd:double"&gt;121.11&lt;/D&gt;&lt;D xsi:type="xsd:double"&gt;120.32&lt;/D&gt;&lt;D xsi:type="xsd:double"&gt;120.37&lt;/D&gt;&lt;D xsi:type="xsd:double"&gt;119.56&lt;/D&gt;&lt;D xsi:type="xsd:double"&gt;120.19&lt;/D&gt;&lt;D xsi:type="xsd:double"&gt;120.16&lt;/D&gt;&lt;D xsi:type="xsd:double"&gt;120.04&lt;/D&gt;&lt;D xsi:type="xsd:double"&gt;120.48&lt;/D&gt;&lt;D xsi:type="xsd:double"&gt;120.93&lt;/D&gt;&lt;D xsi:type="xsd:double"&gt;120.46&lt;/D&gt;&lt;D xsi:type="xsd:double"&gt;121.24&lt;/D&gt;&lt;D xsi:type="xsd:double"&gt;121.43&lt;/D&gt;&lt;D xsi:type="xsd:double"&gt;121.75&lt;/D&gt;&lt;D xsi:type="xsd:double"&gt;122.11&lt;/D&gt;&lt;D xsi:type="xsd:double"&gt;123.54&lt;/D&gt;&lt;D xsi:type="xsd:double"&gt;122.15&lt;/D&gt;&lt;D xsi:type="xsd:double"&gt;121.51&lt;/D&gt;&lt;D xsi:type="xsd:double"&gt;121.05&lt;/D&gt;&lt;D xsi:type="xsd:double"&gt;120.04&lt;/D&gt;&lt;D xsi:type="xsd:double"&gt;120.02&lt;/D&gt;&lt;D xsi:type="xsd:double"&gt;121.32&lt;/D&gt;&lt;D xsi:type="xsd:double"&gt;120.72&lt;/D&gt;&lt;D xsi:type="xsd:double"&gt;120.74&lt;/D&gt;&lt;D xsi:type="xsd:double"&gt;121.18&lt;/D&gt;&lt;D xsi:type="xsd:double"&gt;119.6&lt;/D&gt;&lt;D xsi:type="xsd:double"&gt;119.17&lt;/D&gt;&lt;D xsi:type="xsd:double"&gt;118.48&lt;/D&gt;&lt;D xsi:type="xsd:double"&gt;118.07&lt;/D&gt;&lt;D xsi:type="xsd:double"&gt;118.35&lt;/D&gt;&lt;D xsi:type="xsd:double"&gt;118.88&lt;/D&gt;&lt;D xsi:type="xsd:double"&gt;118.9&lt;/D&gt;&lt;D xsi:type="xsd:double"&gt;118.41&lt;/D&gt;&lt;D xsi:type="xsd:double"&gt;118.19&lt;/D&gt;&lt;D xsi:type="xsd:double"&gt;117.82&lt;/D&gt;&lt;D xsi:type="xsd:double"&gt;115.88&lt;/D&gt;&lt;D xsi:type="xsd:double"&gt;115.33&lt;/D&gt;&lt;D xsi:type="xsd:double"&gt;114.9&lt;/D&gt;&lt;D xsi:type="xsd:double"&gt;114.45&lt;/D&gt;&lt;D xsi:type="xsd:double"&gt;115.01&lt;/D&gt;&lt;D xsi:type="xsd:double"&gt;114.88&lt;/D&gt;&lt;D xsi:type="xsd:double"&gt;115.14&lt;/D&gt;&lt;D xsi:type="xsd:double"&gt;115.02&lt;/D&gt;&lt;D xsi:type="xsd:double"&gt;115.06&lt;/D&gt;&lt;D xsi:type="xsd:double"&gt;115.02&lt;/D&gt;&lt;D xsi:type="xsd:double"&gt;114.7&lt;/D&gt;&lt;D xsi:type="xsd:double"&gt;114.04&lt;/D&gt;&lt;D xsi:type="xsd:double"&gt;114.09&lt;/D&gt;&lt;D xsi:type="xsd:double"&gt;114.02&lt;/D&gt;&lt;D xsi:type="xsd:double"&gt;114.09&lt;/D&gt;&lt;D xsi:type="xsd:double"&gt;113.35&lt;/D&gt;&lt;D xsi:type="xsd:double"&gt;112.51&lt;/D&gt;&lt;D xsi:type="xsd:double"&gt;112.52&lt;/D&gt;&lt;D xsi:type="xsd:double"&gt;112.37&lt;/D&gt;&lt;D xsi:type="xsd:double"&gt;112.44&lt;/D&gt;&lt;D xsi:type="xsd:double"&gt;112&lt;/D&gt;&lt;D xsi:type="xsd:double"&gt;113.41&lt;/D&gt;&lt;D xsi:type="xsd:double"&gt;113.58&lt;/D&gt;&lt;D xsi:type="xsd:double"&gt;114.16&lt;/D&gt;&lt;D xsi:type="xsd:double"&gt;114.73&lt;/D&gt;&lt;D xsi:type="xsd:double"&gt;114.99&lt;/D&gt;&lt;D xsi:type="xsd:double"&gt;114.3&lt;/D&gt;&lt;D xsi:type="xsd:double"&gt;114.78&lt;/D&gt;&lt;D xsi:type="xsd:double"&gt;113.92&lt;/D&gt;&lt;D xsi:type="xsd:double"&gt;113.56&lt;/D&gt;&lt;D xsi:type="xsd:double"&gt;113.71&lt;/D&gt;&lt;D xsi:type="xsd:double"&gt;113.96&lt;/D&gt;&lt;D xsi:type="xsd:double"&gt;114&lt;/D&gt;&lt;D xsi:type="xsd:double"&gt;114.68&lt;/D&gt;&lt;D xsi:type="xsd:double"&gt;114.42&lt;/D&gt;&lt;D xsi:type="xsd:double"&gt;114.47&lt;/D&gt;&lt;D xsi:type="xsd:double"&gt;114.87&lt;/D&gt;&lt;D xsi:type="xsd:double"&gt;113.49&lt;/D&gt;&lt;D xsi:type="xsd:double"&gt;113.8&lt;/D&gt;&lt;D xsi:type="xsd:double"&gt;112.66&lt;/D&gt;&lt;D xsi:type="xsd:double"&gt;113.04&lt;/D&gt;&lt;D xsi:type="xsd:double"&gt;114.02&lt;/D&gt;&lt;D xsi:type="xsd:double"&gt;114.83&lt;/D&gt;&lt;D xsi:type="xsd:double"&gt;116.86&lt;/D&gt;&lt;D xsi:type="xsd:double"&gt;116.15&lt;/D&gt;&lt;D xsi:type="xsd:double"&gt;117.27&lt;/D&gt;&lt;D xsi:type="xsd:double"&gt;117.58&lt;/D&gt;&lt;D xsi:type="xsd:double"&gt;117.5&lt;/D&gt;&lt;D xsi:type="xsd:double"&gt;116.68&lt;/D&gt;&lt;D xsi:type="xsd:double"&gt;116.8&lt;/D&gt;&lt;D xsi:type="xsd:double"&gt;117.1&lt;/D&gt;&lt;D xsi:type="xsd:double"&gt;117.15&lt;/D&gt;&lt;D xsi:type="xsd:double"&gt;116.61&lt;/D&gt;&lt;D xsi:type="xsd:double"&gt;117.31&lt;/D&gt;&lt;D xsi:type="xsd:double"&gt;118.55&lt;/D&gt;&lt;D xsi:type="xsd:double"&gt;118.55&lt;/D&gt;&lt;D xsi:type="xsd:double"&gt;119.12&lt;/D&gt;&lt;D xsi:type="xsd:double"&gt;118.94&lt;/D&gt;&lt;D xsi:type="xsd:double"&gt;118.66&lt;/D&gt;&lt;D xsi:type="xsd:double"&gt;119.57&lt;/D&gt;&lt;D xsi:type="xsd:double"&gt;119.13&lt;/D&gt;&lt;D xsi:type="xsd:double"&gt;120.15&lt;/D&gt;&lt;D xsi:type="xsd:double"&gt;119.71&lt;/D&gt;&lt;D xsi:type="xsd:double"&gt;120.03&lt;/D&gt;&lt;D xsi:type="xsd:double"&gt;120.995&lt;/D&gt;&lt;D xsi:type="xsd:double"&gt;121.28&lt;/D&gt;&lt;D xsi:type="xsd:double"&gt;121.02&lt;/D&gt;&lt;D xsi:type="xsd:double"&gt;120.86&lt;/D&gt;&lt;D xsi:type="xsd:double"&gt;121.59&lt;/D&gt;&lt;D xsi:type="xsd:double"&gt;122.29&lt;/D&gt;&lt;D xsi:type="xsd:double"&gt;122.05&lt;/D&gt;&lt;D xsi:type="xsd:double"&gt;121.86&lt;/D&gt;&lt;D xsi:type="xsd:double"&gt;121.38&lt;/D&gt;&lt;D xsi:type="xsd:double"&gt;121.79&lt;/D&gt;&lt;D xsi:type="xsd:double"&gt;120.98&lt;/D&gt;&lt;D xsi:type="xsd:double"&gt;120.83&lt;/D&gt;&lt;D xsi:type="xsd:double"&gt;120.84&lt;/D&gt;&lt;D xsi:type="xsd:double"&gt;120.14&lt;/D&gt;&lt;D xsi:type="xsd:double"&gt;120.41&lt;/D&gt;&lt;D xsi:type="xsd:double"&gt;120.66&lt;/D&gt;&lt;D xsi:type="xsd:double"&gt;119.79&lt;/D&gt;&lt;D xsi:type="xsd:double"&gt;118.79&lt;/D&gt;&lt;D xsi:type="xsd:double"&gt;118.67&lt;/D&gt;&lt;D xsi:type="xsd:double"&gt;119.29&lt;/D&gt;&lt;D xsi:type="xsd:double"&gt;119.22&lt;/D&gt;&lt;D xsi:type="xsd:double"&gt;118.63&lt;/D&gt;&lt;D xsi:type="xsd:double"&gt;118.46&lt;/D&gt;&lt;D xsi:type="xsd:double"&gt;119.7&lt;/D&gt;&lt;D xsi:type="xsd:double"&gt;119.05&lt;/D&gt;&lt;D xsi:type="xsd:double"&gt;119.46&lt;/D&gt;&lt;D xsi:type="xsd:double"&gt;119.26&lt;/D&gt;&lt;D xsi:type="xsd:double"&gt;119.49&lt;/D&gt;&lt;D xsi:type="xsd:double"&gt;119.68&lt;/D&gt;&lt;D xsi:type="xsd:double"&gt;119.27&lt;/D&gt;&lt;D xsi:type="xsd:double"&gt;120.76&lt;/D&gt;&lt;D xsi:type="xsd:double"&gt;122.26&lt;/D&gt;&lt;D xsi:type="xsd:double"&gt;121.49&lt;/D&gt;&lt;D xsi:type="xsd:double"&gt;121.98&lt;/D&gt;&lt;D xsi:type="xsd:double"&gt;122.21&lt;/D&gt;&lt;D xsi:type="xsd:double"&gt;122.72&lt;/D&gt;&lt;D xsi:type="xsd:double"&gt;122.41&lt;/D&gt;&lt;D xsi:type="xsd:double"&gt;122.42&lt;/D&gt;&lt;D xsi:type="xsd:double"&gt;121.95&lt;/D&gt;&lt;D xsi:type="xsd:double"&gt;121.96&lt;/D&gt;&lt;D xsi:type="xsd:double"&gt;122.75&lt;/D&gt;&lt;D xsi:type="xsd:double"&gt;122.35&lt;/D&gt;&lt;D xsi:type="xsd:double"&gt;122&lt;/D&gt;&lt;D xsi:type="xsd:double"&gt;121.35&lt;/D&gt;&lt;D xsi:type="xsd:double"&gt;121.72&lt;/D&gt;&lt;D xsi:type="xsd:double"&gt;122.14&lt;/D&gt;&lt;D xsi:type="xsd:double"&gt;122.11&lt;/D&gt;&lt;D xsi:type="xsd:double"&gt;120.97&lt;/D&gt;&lt;D xsi:type="xsd:double"&gt;120.8&lt;/D&gt;&lt;D xsi:type="xsd:double"&gt;120.53&lt;/D&gt;&lt;D xsi:type="xsd:double"&gt;120.54&lt;/D&gt;&lt;D xsi:type="xsd:double"&gt;119.91&lt;/D&gt;&lt;D xsi:type="xsd:double"&gt;120.97&lt;/D&gt;&lt;D xsi:type="xsd:double"&gt;120.27&lt;/D&gt;&lt;D xsi:type="xsd:double"&gt;120.38&lt;/D&gt;&lt;D xsi:type="xsd:double"&gt;120.27&lt;/D&gt;&lt;D xsi:type="xsd:double"&gt;119.28&lt;/D&gt;&lt;D xsi:type="xsd:double"&gt;119.34&lt;/D&gt;&lt;D xsi:type="xsd:double"&gt;119.31&lt;/D&gt;&lt;D xsi:type="xsd:double"&gt;119.53&lt;/D&gt;&lt;D xsi:type="xsd:double"&gt;119.89&lt;/D&gt;&lt;D xsi:type="xsd:double"&gt;118.74&lt;/D&gt;&lt;D xsi:type="xsd:double"&gt;119.71&lt;/D&gt;&lt;D xsi:type="xsd:double"&gt;119.43&lt;/D&gt;&lt;D xsi:type="xsd:double"&gt;120.3&lt;/D&gt;&lt;D xsi:type="xsd:double"&gt;121.22&lt;/D&gt;&lt;D xsi:type="xsd:double"&gt;121.42&lt;/D&gt;&lt;D xsi:type="xsd:double"&gt;122.24&lt;/D&gt;&lt;D xsi:type="xsd:double"&gt;119.62&lt;/D&gt;&lt;D xsi:type="xsd:double"&gt;118.88&lt;/D&gt;&lt;D xsi:type="xsd:double"&gt;117.94&lt;/D&gt;&lt;D xsi:type="xsd:double"&gt;117.09&lt;/D&gt;&lt;D xsi:type="xsd:double"&gt;117.27&lt;/D&gt;&lt;D xsi:type="xsd:double"&gt;117.21&lt;/D&gt;&lt;D xsi:type="xsd:double"&gt;116.21&lt;/D&gt;&lt;D xsi:type="xsd:double"&gt;116.8&lt;/D&gt;&lt;D xsi:type="xsd:double"&gt;117.25&lt;/D&gt;&lt;D xsi:type="xsd:double"&gt;118.6&lt;/D&gt;&lt;D xsi:type="xsd:double"&gt;119.23&lt;/D&gt;&lt;D xsi:type="xsd:double"&gt;118.93&lt;/D&gt;&lt;D xsi:type="xsd:double"&gt;117.98&lt;/D&gt;&lt;D xsi:type="xsd:double"&gt;118.69&lt;/D&gt;&lt;D xsi:type="xsd:double"&gt;118.8&lt;/D&gt;&lt;D xsi:type="xsd:double"&gt;118.99&lt;/D&gt;&lt;D xsi:type="xsd:double"&gt;118.81&lt;/D&gt;&lt;D xsi:type="xsd:double"&gt;118.28&lt;/D&gt;&lt;D xsi:type="xsd:double"&gt;118.41&lt;/D&gt;&lt;D xsi:type="xsd:double"&gt;119.1&lt;/D&gt;&lt;D xsi:type="xsd:double"&gt;118.89&lt;/D&gt;&lt;D xsi:type="xsd:double"&gt;117.98&lt;/D&gt;&lt;D xsi:type="xsd:double"&gt;117.16&lt;/D&gt;&lt;D xsi:type="xsd:double"&gt;117.95&lt;/D&gt;&lt;D xsi:type="xsd:double"&gt;118.49&lt;/D&gt;&lt;D xsi:type="xsd:double"&gt;118.46&lt;/D&gt;&lt;D xsi:type="xsd:double"&gt;119.32&lt;/D&gt;&lt;D xsi:type="xsd:double"&gt;120.3&lt;/D&gt;&lt;D xsi:type="xsd:double"&gt;121.27&lt;/D&gt;&lt;D xsi:type="xsd:double"&gt;120.94&lt;/D&gt;&lt;D xsi:type="xsd:double"&gt;120.9&lt;/D&gt;&lt;D xsi:type="xsd:double"&gt;120.62&lt;/D&gt;&lt;D xsi:type="xsd:double"&gt;121.51&lt;/D&gt;&lt;D xsi:type="xsd:double"&gt;121.08&lt;/D&gt;&lt;D xsi:type="xsd:double"&gt;121.3&lt;/D&gt;&lt;D xsi:type="xsd:double"&gt;121.1&lt;/D&gt;&lt;D xsi:type="xsd:double"&gt;119.79&lt;/D&gt;&lt;D xsi:type="xsd:double"&gt;120.69&lt;/D&gt;&lt;D xsi:type="xsd:double"&gt;120.94&lt;/D&gt;&lt;D xsi:type="xsd:double"&gt;121.88&lt;/D&gt;&lt;D xsi:type="xsd:double"&gt;121.9&lt;/D&gt;&lt;D xsi:type="xsd:double"&gt;121.31&lt;/D&gt;&lt;D xsi:type="xsd:double"&gt;120.99&lt;/D&gt;&lt;D xsi:type="xsd:double"&gt;119.71&lt;/D&gt;&lt;D xsi:type="xsd:double"&gt;120.17&lt;/D&gt;&lt;D xsi:type="xsd:double"&gt;120.26&lt;/D&gt;&lt;D xsi:type="xsd:double"&gt;119.08&lt;/D&gt;&lt;D xsi:type="xsd:double"&gt;118.95&lt;/D&gt;&lt;D xsi:type="xsd:double"&gt;119.43&lt;/D&gt;&lt;D xsi:type="xsd:double"&gt;119.81&lt;/D&gt;&lt;D xsi:type="xsd:double"&gt;120.24&lt;/D&gt;&lt;D xsi:type="xsd:double"&gt;120.24&lt;/D&gt;&lt;D xsi:type="xsd:double"&gt;119.19&lt;/D&gt;&lt;D xsi:type="xsd:double"&gt;118.59&lt;/D&gt;&lt;D xsi:type="xsd:double"&gt;117.91&lt;/D&gt;&lt;D xsi:type="xsd:double"&gt;118.69&lt;/D&gt;&lt;D xsi:type="xsd:double"&gt;118.01&lt;/D&gt;&lt;D xsi:type="xsd:double"&gt;118.14&lt;/D&gt;&lt;D xsi:type="xsd:double"&gt;118.03&lt;/D&gt;&lt;D xsi:type="xsd:double"&gt;118.35&lt;/D&gt;&lt;D xsi:type="xsd:double"&gt;119.32&lt;/D&gt;&lt;D xsi:type="xsd:double"&gt;118.75&lt;/D&gt;&lt;D xsi:type="xsd:double"&gt;118&lt;/D&gt;&lt;D xsi:type="xsd:double"&gt;118.17&lt;/D&gt;&lt;D xsi:type="xsd:double"&gt;118.13&lt;/D&gt;&lt;D xsi:type="xsd:double"&gt;117.09&lt;/D&gt;&lt;D xsi:type="xsd:double"&gt;116.74&lt;/D&gt;&lt;D xsi:type="xsd:double"&gt;118.19&lt;/D&gt;&lt;D xsi:type="xsd:double"&gt;118.71&lt;/D&gt;&lt;D xsi:type="xsd:double"&gt;118.07&lt;/D&gt;&lt;D xsi:type="xsd:double"&gt;117.67&lt;/D&gt;&lt;D xsi:type="xsd:double"&gt;118.99&lt;/D&gt;&lt;D xsi:type="xsd:double"&gt;118.46&lt;/D&gt;&lt;D xsi:type="xsd:double"&gt;117.94&lt;/D&gt;&lt;D xsi:type="xsd:double"&gt;118.69&lt;/D&gt;&lt;D xsi:type="xsd:double"&gt;118.82&lt;/D&gt;&lt;D xsi:type="xsd:double"&gt;119.96&lt;/D&gt;&lt;D xsi:type="xsd:double"&gt;120.71&lt;/D&gt;&lt;D xsi:type="xsd:double"&gt;119.58&lt;/D&gt;&lt;D xsi:type="xsd:double"&gt;120.7&lt;/D&gt;&lt;D xsi:type="xsd:double"&gt;122.73&lt;/D&gt;&lt;D xsi:type="xsd:double"&gt;122.01&lt;/D&gt;&lt;D xsi:type="xsd:double"&gt;122.73&lt;/D&gt;&lt;D xsi:type="xsd:double"&gt;123.59&lt;/D&gt;&lt;D xsi:type="xsd:double"&gt;124.05&lt;/D&gt;&lt;D xsi:type="xsd:double"&gt;123.04&lt;/D&gt;&lt;D xsi:type="xsd:double"&gt;123.71&lt;/D&gt;&lt;D xsi:type="xsd:double"&gt;123.18&lt;/D&gt;&lt;D xsi:type="xsd:double"&gt;123.06&lt;/D&gt;&lt;D xsi:type="xsd:double"&gt;123.71&lt;/D&gt;&lt;D xsi:type="xsd:double"&gt;124.87&lt;/D&gt;&lt;D xsi:type="xsd:double"&gt;125.04&lt;/D&gt;&lt;D xsi:type="xsd:double"&gt;124.52&lt;/D&gt;&lt;D xsi:type="xsd:double"&gt;124.31&lt;/D&gt;&lt;D xsi:type="xsd:double"&gt;123.8&lt;/D&gt;&lt;D xsi:type="xsd:double"&gt;123.95&lt;/D&gt;&lt;D xsi:type="xsd:double"&gt;125.63&lt;/D&gt;&lt;D xsi:type="xsd:double"&gt;125.71&lt;/D&gt;&lt;D xsi:type="xsd:double"&gt;126.07&lt;/D&gt;&lt;D xsi:type="xsd:double"&gt;126.09&lt;/D&gt;&lt;D xsi:type="xsd:double"&gt;125.49&lt;/D&gt;&lt;D xsi:type="xsd:double"&gt;126.86&lt;/D&gt;&lt;D xsi:type="xsd:double"&gt;126.66&lt;/D&gt;&lt;D xsi:type="xsd:double"&gt;126.77&lt;/D&gt;&lt;D xsi:type="xsd:double"&gt;125.14&lt;/D&gt;&lt;D xsi:type="xsd:double"&gt;124.77&lt;/D&gt;&lt;D xsi:type="xsd:double"&gt;124.6&lt;/D&gt;&lt;D xsi:type="xsd:double"&gt;124.14&lt;/D&gt;&lt;D xsi:type="xsd:double"&gt;125.53&lt;/D&gt;&lt;D xsi:type="xsd:double"&gt;127.18&lt;/D&gt;&lt;D xsi:type="xsd:double"&gt;128.35&lt;/D&gt;&lt;D xsi:type="xsd:double"&gt;127.87&lt;/D&gt;&lt;D xsi:type="xsd:double"&gt;127.33&lt;/D&gt;&lt;D xsi:type="xsd:double"&gt;126.38&lt;/D&gt;&lt;D xsi:type="xsd:double"&gt;126.43&lt;/D&gt;&lt;D xsi:type="xsd:double"&gt;126.69&lt;/D&gt;&lt;D xsi:type="xsd:double"&gt;126.68&lt;/D&gt;&lt;D xsi:type="xsd:double"&gt;127.68&lt;/D&gt;&lt;D xsi:type="xsd:double"&gt;127.24&lt;/D&gt;&lt;D xsi:type="xsd:double"&gt;126.61&lt;/D&gt;&lt;D xsi:type="xsd:double"&gt;126.55&lt;/D&gt;&lt;D xsi:type="xsd:double"&gt;125.12&lt;/D&gt;&lt;D xsi:type="xsd:double"&gt;125.54&lt;/D&gt;&lt;D xsi:type="xsd:double"&gt;126.79&lt;/D&gt;&lt;D xsi:type="xsd:double"&gt;126.62&lt;/D&gt;&lt;D xsi:type="xsd:double"&gt;126.8&lt;/D&gt;&lt;D xsi:type="xsd:double"&gt;127.15&lt;/D&gt;&lt;D xsi:type="xsd:double"&gt;126.74&lt;/D&gt;&lt;D xsi:type="xsd:double"&gt;126.34&lt;/D&gt;&lt;D xsi:type="xsd:double"&gt;126.39&lt;/D&gt;&lt;D xsi:type="xsd:double"&gt;125.46&lt;/D&gt;&lt;D xsi:type="xsd:double"&gt;126.56&lt;/D&gt;&lt;D xsi:type="xsd:double"&gt;125.2&lt;/D&gt;&lt;D xsi:type="xsd:double"&gt;124.36&lt;/D&gt;&lt;D xsi:type="xsd:double"&gt;124.1&lt;/D&gt;&lt;D xsi:type="xsd:double"&gt;126&lt;/D&gt;&lt;D xsi:type="xsd:double"&gt;126.36&lt;/D&gt;&lt;D xsi:type="xsd:double"&gt;126.64&lt;/D&gt;&lt;D xsi:type="xsd:double"&gt;126.11&lt;/D&gt;&lt;D xsi:type="xsd:double"&gt;125.64&lt;/D&gt;&lt;D xsi:type="xsd:double"&gt;125.3&lt;/D&gt;&lt;D xsi:type="xsd:double"&gt;124.75&lt;/D&gt;&lt;D xsi:type="xsd:double"&gt;124.46&lt;/D&gt;&lt;D xsi:type="xsd:double"&gt;124.42&lt;/D&gt;&lt;D xsi:type="xsd:double"&gt;123.24&lt;/D&gt;&lt;D xsi:type="xsd:double"&gt;122.43&lt;/D&gt;&lt;D xsi:type="xsd:double"&gt;122.84&lt;/D&gt;&lt;D xsi:type="xsd:double"&gt;123.43&lt;/D&gt;&lt;D xsi:type="xsd:double"&gt;124.2&lt;/D&gt;&lt;D xsi:type="xsd:double"&gt;123.98&lt;/D&gt;&lt;D xsi:type="xsd:double"&gt;125.31&lt;/D&gt;&lt;D xsi:type="xsd:double"&gt;125.09&lt;/D&gt;&lt;D xsi:type="xsd:double"&gt;125.92&lt;/D&gt;&lt;D xsi:type="xsd:double"&gt;125.76&lt;/D&gt;&lt;D xsi:type="xsd:double"&gt;125.85&lt;/D&gt;&lt;D xsi:type="xsd:double"&gt;124.95&lt;/D&gt;&lt;D xsi:type="xsd:double"&gt;124.42&lt;/D&gt;&lt;D xsi:type="xsd:double"&gt;124.18&lt;/D&gt;&lt;D xsi:type="xsd:double"&gt;123.98&lt;/D&gt;&lt;D xsi:type="xsd:double"&gt;123.59&lt;/D&gt;&lt;D xsi:type="xsd:double"&gt;123.94&lt;/D&gt;&lt;D xsi:type="xsd:double"&gt;124.41&lt;/D&gt;&lt;D xsi:type="xsd:double"&gt;124.4&lt;/D&gt;&lt;D xsi:type="xsd:double"&gt;124.28&lt;/D&gt;&lt;D xsi:type="xsd:double"&gt;124.76&lt;/D&gt;&lt;D xsi:type="xsd:double"&gt;124.48&lt;/D&gt;&lt;D xsi:type="xsd:double"&gt;124.85&lt;/D&gt;&lt;D xsi:type="xsd:double"&gt;126.76&lt;/D&gt;&lt;D xsi:type="xsd:double"&gt;126.99&lt;/D&gt;&lt;D xsi:type="xsd:double"&gt;126.2&lt;/D&gt;&lt;D xsi:type="xsd:double"&gt;125.84&lt;/D&gt;&lt;D xsi:type="xsd:double"&gt;125.91&lt;/D&gt;&lt;D xsi:type="xsd:double"&gt;125.82&lt;/D&gt;&lt;D xsi:type="xsd:double"&gt;126.13&lt;/D&gt;&lt;D xsi:type="xsd:double"&gt;126.86&lt;/D&gt;&lt;D xsi:type="xsd:double"&gt;126.81&lt;/D&gt;&lt;D xsi:type="xsd:double"&gt;126.29&lt;/D&gt;&lt;D xsi:type="xsd:double"&gt;126.79&lt;/D&gt;&lt;D xsi:type="xsd:double"&gt;127.46&lt;/D&gt;&lt;D xsi:type="xsd:double"&gt;129&lt;/D&gt;&lt;D xsi:type="xsd:double"&gt;129.28&lt;/D&gt;&lt;D xsi:type="xsd:double"&gt;127.97&lt;/D&gt;&lt;D xsi:type="xsd:double"&gt;128.76&lt;/D&gt;&lt;D xsi:type="xsd:double"&gt;126.75&lt;/D&gt;&lt;D xsi:type="xsd:double"&gt;127.99&lt;/D&gt;&lt;D xsi:type="xsd:double"&gt;127.61&lt;/D&gt;&lt;D xsi:type="xsd:double"&gt;127.65&lt;/D&gt;&lt;D xsi:type="xsd:double"&gt;127.24&lt;/D&gt;&lt;D xsi:type="xsd:double"&gt;127.32&lt;/D&gt;&lt;D xsi:type="xsd:double"&gt;126.83&lt;/D&gt;&lt;D xsi:type="xsd:double"&gt;127.3&lt;/D&gt;&lt;D xsi:type="xsd:double"&gt;126.44&lt;/D&gt;&lt;D xsi:type="xsd:double"&gt;126.93&lt;/D&gt;&lt;D xsi:type="xsd:double"&gt;126.62&lt;/D&gt;&lt;/FQL&gt;&lt;FQL&gt;&lt;Q&gt;ACWX-US^FG_PRICE(0)/FG_PRICE_MAVG(0,,,,100)&lt;/Q&gt;&lt;R&gt;1&lt;/R&gt;&lt;C&gt;1&lt;/C&gt;&lt;D xsi:type="xsd:double"&gt;1.02695331571239&lt;/D&gt;&lt;/FQL&gt;&lt;FQL&gt;&lt;Q&gt;TLT-US^FG_PRICE(0)/FG_PRICE_MAVG(0,,,,100)&lt;/Q&gt;&lt;R&gt;1&lt;/R&gt;&lt;C&gt;1&lt;/C&gt;&lt;D xsi:type="xsd:double"&gt;1.06828376267146&lt;/D&gt;&lt;/FQL&gt;&lt;FQL&gt;&lt;Q&gt;SP50^FMA_PCT_ABOVE_MAVG(50,0,,,,"PORTAGG")/AVG(FMA_PCT_ABOVE_MAVG(50,0,-50D,,,"PORTAGG"))&lt;/Q&gt;&lt;R&gt;1&lt;/R&gt;&lt;C&gt;1&lt;/C&gt;&lt;D xsi:type="xsd:double"&gt;1.27877660673693&lt;/D&gt;&lt;/FQL&gt;&lt;FQL&gt;&lt;Q&gt;ACWI-US^FMA_PCT_ABOVE_MAVG(200,-1W,,,,"PORTAGG")/AVG(FMA_PCT_ABOVE_MAVG(200,-1W,-200D,,,"PORTAGG"))&lt;/Q&gt;&lt;R&gt;1&lt;/R&gt;&lt;C&gt;1&lt;/C&gt;&lt;D xsi:type="xsd:double"&gt;0.86510366638369&lt;/D&gt;&lt;/FQL&gt;&lt;FQL&gt;&lt;Q&gt;SP50^FMA_PCT_ABOVE_MAVG(200,-1M,,,,"PORTAGG")/AVG(FMA_PCT_ABOVE_MAVG(200,-1M,-200D,,,"PORTAGG"))&lt;/Q&gt;&lt;R&gt;1&lt;/R&gt;&lt;C&gt;1&lt;/C&gt;&lt;D xsi:type="xsd:double"&gt;0.963912547194661&lt;/D&gt;&lt;/FQL&gt;&lt;FQL&gt;&lt;Q&gt;SP50^FMA_PCT_ABOVE_MAVG(200,0,,,,"PORTAGG")/AVG(FMA_PCT_ABOVE_MAVG(200,0,-200D,,,"PORTAGG"))&lt;/Q&gt;&lt;R&gt;1&lt;/R&gt;&lt;C&gt;1&lt;/C&gt;&lt;D xsi:type="xsd:double"&gt;1.04974047327306&lt;/D&gt;&lt;/FQL&gt;&lt;FQL&gt;&lt;Q&gt;SP50^FMA_PCT_ABOVE_MAVG(200,0,,,,"PORTAGG")/AVG(FMA_PCT_ABOVE_MAVG(200,0,-100D,,,"PORTAGG"))&lt;/Q&gt;&lt;R&gt;1&lt;/R&gt;&lt;C&gt;1&lt;/C&gt;&lt;D xsi:type="xsd:double"&gt;1.02342326452312&lt;/D&gt;&lt;/FQL&gt;&lt;FQL&gt;&lt;Q&gt;SP50^FMA_PCT_ABOVE_MAVG(200,-1M,,,,"PORTAGG")/AVG(FMA_PCT_ABOVE_MAVG(200,-1M,-100D,,,"PORTAGG"))&lt;/Q&gt;&lt;R&gt;1&lt;/R&gt;&lt;C&gt;1&lt;/C&gt;&lt;D xsi:type="xsd:double"&gt;0.9251683286457&lt;/D&gt;&lt;/FQL&gt;&lt;FQL&gt;&lt;Q&gt;SP50^FG_PRICE(-1W)/FG_PRICE_MAVG(-1W,,,,50)&lt;/Q&gt;&lt;R&gt;1&lt;/R&gt;&lt;C&gt;1&lt;/C&gt;&lt;D xsi:type="xsd:double"&gt;0.981230363242478&lt;/D&gt;&lt;/FQL&gt;&lt;FQL&gt;&lt;Q&gt;SP50^FMA_PCT_ABOVE_MAVG(200,0,,,,"PORTAGG")/AVG(FMA_PCT_ABOVE_MAVG(200,0,-50D,,,"PORTAGG"))&lt;/Q&gt;&lt;R&gt;1&lt;/R&gt;&lt;C&gt;1&lt;/C&gt;&lt;D xsi:type="xsd:double"&gt;1.06532574727746&lt;/D&gt;&lt;/FQL&gt;&lt;FQL&gt;&lt;Q&gt;ACWI-US^FMA_PCT_ABOVE_MAVG(200,-1W,,,,"PORTAGG")/AVG(FMA_PCT_ABOVE_MAVG(200,-1W,-100D,,,"PORTAGG"))&lt;/Q&gt;&lt;R&gt;1&lt;/R&gt;&lt;C&gt;1&lt;/C&gt;&lt;D xsi:type="xsd:double"&gt;0.825700196675371&lt;/D&gt;&lt;/FQL&gt;&lt;FQL&gt;&lt;Q&gt;ACWI-US^FMA_PCT_ABOVE_MAVG(200,-1W,,,,"PORTAGG")/AVG(FMA_PCT_ABOVE_MAVG(200,-1W,-50D,,,"PORTAGG"))&lt;/Q&gt;&lt;R&gt;1&lt;/R&gt;&lt;C&gt;1&lt;/C&gt;&lt;D xsi:type="xsd:double"&gt;0.861738869027432&lt;/D&gt;&lt;/FQL&gt;&lt;FQL&gt;&lt;Q&gt;SP50^FMA_PCT_ABOVE_MAVG(200,-1M,,,,"PORTAGG")/AVG(FMA_PCT_ABOVE_MAVG(200,-1M,-50D,,,"PORTAGG"))&lt;/Q&gt;&lt;R&gt;1&lt;/R&gt;&lt;C&gt;1&lt;/C&gt;&lt;D xsi:type="xsd:double"&gt;1.00079904115062&lt;/D&gt;&lt;/FQL&gt;&lt;FQL&gt;&lt;Q&gt;SP50^FG_PRICE(-1W)/FG_PRICE_MAVG(-1W,,,,100)&lt;/Q&gt;&lt;R&gt;1&lt;/R&gt;&lt;C&gt;1&lt;/C&gt;&lt;D xsi:type="xsd:double"&gt;1.00594140826489&lt;/D&gt;&lt;/FQL&gt;&lt;FQL&gt;&lt;Q&gt;SP50^STD(FMA_PE(NTMA,0,-10AY,,"PORTAGG","MEANR"))&lt;/Q&gt;&lt;R&gt;1&lt;/R&gt;&lt;C&gt;1&lt;/C&gt;&lt;D xsi:type="xsd:double"&gt;2.21362655852556&lt;/D&gt;&lt;/FQL&gt;&lt;FQL&gt;&lt;Q&gt;TRYUS10Y-FDS^AVG(FG_YIELD(0,-10AY,M,,"YTM"))&lt;/Q&gt;&lt;R&gt;1&lt;/R&gt;&lt;C&gt;1&lt;/C&gt;&lt;D xsi:type="xsd:double"&gt;2.39087&lt;/D&gt;&lt;/FQL&gt;&lt;FQL&gt;&lt;Q&gt;TRYUS10Y-FDS^FG_YIELD(43913,,D,,"YTM")&lt;/Q&gt;&lt;R&gt;1&lt;/R&gt;&lt;C&gt;1&lt;/C&gt;&lt;D xsi:type="xsd:double"&gt;0.7555&lt;/D&gt;&lt;/FQL&gt;&lt;FQL&gt;&lt;Q&gt;SP50^STD(FMA_PE(LTMA,0,-10AY,,"PORTAGG","MEANR"))&lt;/Q&gt;&lt;R&gt;1&lt;/R&gt;&lt;C&gt;1&lt;/C&gt;&lt;D xsi:type="xsd:double"&gt;2.83842525404264&lt;/D&gt;&lt;/FQL&gt;&lt;FQL&gt;&lt;Q&gt;TRYUS10Y-FDS^FG_YIELD(0,,M,,"YTM")&lt;/Q&gt;&lt;R&gt;1&lt;/R&gt;&lt;C&gt;1&lt;/C&gt;&lt;D xsi:type="xsd:double"&gt;4.0541&lt;/D&gt;&lt;/FQL&gt;&lt;FQL&gt;&lt;Q&gt;TRYUS10Y-FDS^FG_YIELD(44845,,D,,"YTM")&lt;/Q&gt;&lt;R&gt;1&lt;/R&gt;&lt;C&gt;1&lt;/C&gt;&lt;D xsi:type="xsd:double"&gt;3.9357&lt;/D&gt;&lt;/FQL&gt;&lt;FQL&gt;&lt;Q&gt;QQQ^STD(FMA_PE(NTMA,0,-10AY,,"PORTAGG","MEANR"))&lt;/Q&gt;&lt;R&gt;1&lt;/R&gt;&lt;C&gt;1&lt;/C&gt;&lt;D xsi:type="xsd:double"&gt;3.91854794497605&lt;/D&gt;&lt;/FQL&gt;&lt;FQL&gt;&lt;Q&gt;TRYUS10Y-FDS^FG_YIELD(43458,,D,,"YTM")&lt;/Q&gt;&lt;R&gt;1&lt;/R&gt;&lt;C&gt;1&lt;/C&gt;&lt;D xsi:type="xsd:double"&gt;2.7404&lt;/D&gt;&lt;/FQL&gt;&lt;FQL&gt;&lt;Q&gt;QQQ^STD(FMA_PE(LTMA,0,-10AY,,"PORTAGG","MEANR"))&lt;/Q&gt;&lt;R&gt;1&lt;/R&gt;&lt;C&gt;1&lt;/C&gt;&lt;D xsi:type="xsd:double"&gt;4.40385054589711&lt;/D&gt;&lt;/FQL&gt;&lt;FQL&gt;&lt;Q&gt;SP50^STD(FG_PRICE_RSI(NOW,-10AY,,,14))&lt;/Q&gt;&lt;R&gt;1&lt;/R&gt;&lt;C&gt;1&lt;/C&gt;&lt;D xsi:type="xsd:double"&gt;11.7198180992676&lt;/D&gt;&lt;/FQL&gt;&lt;FQL&gt;&lt;Q&gt;VIX^STD(FG_PRICE(NOW,-10AY,,USD))&lt;/Q&gt;&lt;R&gt;1&lt;/R&gt;&lt;C&gt;1&lt;/C&gt;&lt;D xsi:type="xsd:double"&gt;7.2737542321807&lt;/D&gt;&lt;/FQL&gt;&lt;FQL&gt;&lt;Q&gt;TRYUS10Y-FDS^STD(FG_YIELD(0,-10AY,M,,"YTM"))&lt;/Q&gt;&lt;R&gt;1&lt;/R&gt;&lt;C&gt;1&lt;/C&gt;&lt;D xsi:type="xsd:double"&gt;1.01371152383024&lt;/D&gt;&lt;/FQL&gt;&lt;FQL&gt;&lt;Q&gt;^ECON_EXPR_DATA('RETURNS(SPEC_ID[DXY.Z:FG_PRICE_IDX,DIST=NONE,CONV=NONE], -1AQ)',NOW,NOW,D)&lt;/Q&gt;&lt;R&gt;1&lt;/R&gt;&lt;C&gt;1&lt;/C&gt;&lt;D xsi:type="xsd:double"&gt;-2.90375763582478&lt;/D&gt;&lt;/FQL&gt;&lt;FQL&gt;&lt;Q&gt;^ECON_EXPR_DATA('RETURNS(SPEC_ID[DXY.Z:FG_PRICE_IDX,DIST=NONE,CONV=NONE], -1AY)',NOW,NOW,D)&lt;/Q&gt;&lt;R&gt;1&lt;/R&gt;&lt;C&gt;1&lt;/C&gt;&lt;D xsi:type="xsd:double"&gt;-1.61930419165146&lt;/D&gt;&lt;/FQL&gt;&lt;FQL&gt;&lt;Q&gt;^ECON_EXPR_DATA('RETURNS(SPEC_ID[DXY.Z:FG_PRICE_IDX,DIST=NONE,CONV=NONE], -6AM)',NOW,NOW,D)&lt;/Q&gt;&lt;R&gt;1&lt;/R&gt;&lt;C&gt;1&lt;/C&gt;&lt;D xsi:type="xsd:double"&gt;-2.31073099639488&lt;/D&gt;&lt;/FQL&gt;&lt;FQL&gt;&lt;Q&gt;^PSETCAL('FIVEDAY');ECON_DATE(NOW, NOW, D, 'YYYYMMDD')&lt;/Q&gt;&lt;R&gt;1&lt;/R&gt;&lt;C&gt;1&lt;/C&gt;&lt;D xsi:type="xsd:string"&gt;20240821&lt;/D&gt;&lt;/FQL&gt;&lt;FQL&gt;&lt;Q&gt;^ECON_EXPR_SOURCE('RETURNS(SPEC_ID[DXY.Z:FG_PRICE_IDX,DIST=NONE,CONV=NONE], -1AQ)')&lt;/Q&gt;&lt;R&gt;1&lt;/R&gt;&lt;C&gt;1&lt;/C&gt;&lt;D xsi:type="xsd:string"&gt;FactSet Prices&lt;/D&gt;&lt;/FQL&gt;&lt;FQL&gt;&lt;Q&gt;^ECON_EXPR_SOURCE('RETURNS(SPEC_ID[DXY.Z:FG_PRICE_IDX,DIST=NONE,CONV=NONE], -1AY)')&lt;/Q&gt;&lt;R&gt;1&lt;/R&gt;&lt;C&gt;1&lt;/C&gt;&lt;D xsi:type="xsd:string"&gt;FactSet Prices&lt;/D&gt;&lt;/FQL&gt;&lt;FQL&gt;&lt;Q&gt;^ECON_EXPR_SOURCE('RETURNS(SPEC_ID[DXY.Z:FG_PRICE_IDX,DIST=NONE,CONV=NONE], -6AM)')&lt;/Q&gt;&lt;R&gt;1&lt;/R&gt;&lt;C&gt;1&lt;/C&gt;&lt;D xsi:type="xsd:string"&gt;FactSet Prices&lt;/D&gt;&lt;/FQL&gt;&lt;FQL&gt;&lt;Q&gt;^ECON_EXPR_UNITS('RETURNS(SPEC_ID[DXY.Z:FG_PRICE_IDX,DIST=NONE,CONV=NONE], -1AQ)')&lt;/Q&gt;&lt;R&gt;1&lt;/R&gt;&lt;C&gt;1&lt;/C&gt;&lt;D xsi:type="xsd:string"&gt;Growth Rate&lt;/D&gt;&lt;/FQL&gt;&lt;FQL&gt;&lt;Q&gt;^ECON_EXPR_UNITS('RETURNS(SPEC_ID[DXY.Z:FG_PRICE_IDX,DIST=NONE,CONV=NONE], -1AY)')&lt;/Q&gt;&lt;R&gt;1&lt;/R&gt;&lt;C&gt;1&lt;/C&gt;&lt;D xsi:type="xsd:string"&gt;Growth Rate&lt;/D&gt;&lt;/FQL&gt;&lt;FQL&gt;&lt;Q&gt;^ECON_EXPR_UNITS('RETURNS(SPEC_ID[DXY.Z:FG_PRICE_IDX,DIST=NONE,CONV=NONE], -6AM)')&lt;/Q&gt;&lt;R&gt;1&lt;/R&gt;&lt;C&gt;1&lt;/C&gt;&lt;D xsi:type="xsd:string"&gt;Growth Rate&lt;/D&gt;&lt;/FQL&gt;&lt;FQL&gt;&lt;Q&gt;^CONVERT_DATE(ECON_EXPR_ENDDATE('RETURNS(SPEC_ID[DXY.Z:FG_PRICE_IDX,DIST=NONE,CONV=NONE], -1AQ)', D),'YYYYMMDD')&lt;/Q&gt;&lt;R&gt;1&lt;/R&gt;&lt;C&gt;1&lt;/C&gt;&lt;D xsi:type="xsd:string"&gt;20240821&lt;/D&gt;&lt;/FQL&gt;&lt;FQL&gt;&lt;Q&gt;^CONVERT_DATE(ECON_EXPR_ENDDATE('RETURNS(SPEC_ID[DXY.Z:FG_PRICE_IDX,DIST=NONE,CONV=NONE], -1AY)', D),'YYYYMMDD')&lt;/Q&gt;&lt;R&gt;1&lt;/R&gt;&lt;C&gt;1&lt;/C&gt;&lt;D xsi:type="xsd:string"&gt;20240821&lt;/D&gt;&lt;/FQL&gt;&lt;FQL&gt;&lt;Q&gt;^CONVERT_DATE(ECON_EXPR_ENDDATE('RETURNS(SPEC_ID[DXY.Z:FG_PRICE_IDX,DIST=NONE,CONV=NONE], -6AM)', D),'YYYYMMDD')&lt;/Q&gt;&lt;R&gt;1&lt;/R&gt;&lt;C&gt;1&lt;/C&gt;&lt;D xsi:type="xsd:string"&gt;20240821&lt;/D&gt;&lt;/FQL&gt;&lt;FQL&gt;&lt;Q&gt;^CONVERT_DATE(ECON_EXPR_STARTDATE('RETURNS(SPEC_ID[DXY.Z:FG_PRICE_IDX,DIST=NONE,CONV=NONE], -1AQ)', D),'YYYYMMDD')&lt;/Q&gt;&lt;R&gt;1&lt;/R&gt;&lt;C&gt;1&lt;/C&gt;&lt;D xsi:type="xsd:string"&gt;19850405&lt;/D&gt;&lt;/FQL&gt;&lt;FQL&gt;&lt;Q&gt;^CONVERT_DATE(ECON_EXPR_STARTDATE('RETURNS(SPEC_ID[DXY.Z:FG_PRICE_IDX,DIST=NONE,CONV=NONE], -1AY)', D),'YYYYMMDD')&lt;/Q&gt;&lt;R&gt;1&lt;/R&gt;&lt;C&gt;1&lt;/C&gt;&lt;D xsi:type="xsd:string"&gt;19860106&lt;/D&gt;&lt;/FQL&gt;&lt;FQL&gt;&lt;Q&gt;^CONVERT_DATE(ECON_EXPR_STARTDATE('RETURNS(SPEC_ID[DXY.Z:FG_PRICE_IDX,DIST=NONE,CONV=NONE], -6AM)', D),'YYYYMMDD')&lt;/Q&gt;&lt;R&gt;1&lt;/R&gt;&lt;C&gt;1&lt;/C&gt;&lt;D xsi:type="xsd:string"&gt;19850709&lt;/D&gt;&lt;/FQL&gt;&lt;FQL&gt;&lt;Q&gt;^ECON_EXPR_DESCRIPTION('RETURNS(SPEC_ID[DXY.Z:FG_PRICE_IDX,DIST=NONE,CONV=NONE], -1AQ)')&lt;/Q&gt;&lt;R&gt;1&lt;/R&gt;&lt;C&gt;1&lt;/C&gt;&lt;D xsi:type="xsd:string"&gt;(% 1Q) United States Dollar Index - Index Price Level&lt;/D&gt;&lt;/FQL&gt;&lt;FQL&gt;&lt;Q&gt;^ECON_EXPR_DE</t>
        </r>
      </text>
    </comment>
    <comment ref="A43" authorId="0" shapeId="0" xr:uid="{A86401C1-7674-48C8-B594-80B2E3961BC8}">
      <text>
        <r>
          <rPr>
            <b/>
            <sz val="9"/>
            <color indexed="81"/>
            <rFont val="Tahoma"/>
            <charset val="1"/>
          </rPr>
          <t>SCRIPTION('RETURNS(SPEC_ID[DXY.Z:FG_PRICE_IDX,DIST=NONE,CONV=NONE], -1AY)')&lt;/Q&gt;&lt;R&gt;1&lt;/R&gt;&lt;C&gt;1&lt;/C&gt;&lt;D xsi:type="xsd:string"&gt;(% 1YR) United States Dollar Index - Index Price Level&lt;/D&gt;&lt;/FQL&gt;&lt;FQL&gt;&lt;Q&gt;^ECON_EXPR_DESCRIPTION('RETURNS(SPEC_ID[DXY.Z:FG_PRICE_IDX,DIST=NONE,CONV=NONE], -6AM)')&lt;/Q&gt;&lt;R&gt;1&lt;/R&gt;&lt;C&gt;1&lt;/C&gt;&lt;D xsi:type="xsd:string"&gt;(% 6M) United States Dollar Index - Index Price Level&lt;/D&gt;&lt;/FQL&gt;&lt;FQL&gt;&lt;Q&gt;^ECON_EXPR_DATA('RETURNS(SPEC_ID[DXY.Z:FG_PRICE_IDX,DIST=NONE,CONV=NONE], -1AY)',-1W,-1W,D)&lt;/Q&gt;&lt;R&gt;1&lt;/R&gt;&lt;C&gt;1&lt;/C&gt;&lt;D xsi:type="xsd:double"&gt;0.595958019585652&lt;/D&gt;&lt;/FQL&gt;&lt;FQL&gt;&lt;Q&gt;^ECON_EXPR_DATA('RETURNS(SPEC_ID[DXY.Z:FG_PRICE_IDX,DIST=NONE,CONV=NONE], -6AM)',-1W,-1W,D)&lt;/Q&gt;&lt;R&gt;1&lt;/R&gt;&lt;C&gt;1&lt;/C&gt;&lt;D xsi:type="xsd:double"&gt;-0.886052836426188&lt;/D&gt;&lt;/FQL&gt;&lt;FQL&gt;&lt;Q&gt;^ECON_EXPR_DATA('RETURNS(SPEC_ID[DXY.Z:FG_PRICE_IDX,DIST=NONE,CONV=NONE], -1AQ)',-1W,-1W,D)&lt;/Q&gt;&lt;R&gt;1&lt;/R&gt;&lt;C&gt;1&lt;/C&gt;&lt;D xsi:type="xsd:double"&gt;-2.05696052269209&lt;/D&gt;&lt;/FQL&gt;&lt;FQL&gt;&lt;Q&gt;^ECON_EXPR_DATA('RETURNS(SPEC_ID[DXY.Z:FG_PRICE_IDX,DIST=NONE,CONV=NONE], -1AY)',-1M,-1M,D)&lt;/Q&gt;&lt;R&gt;1&lt;/R&gt;&lt;C&gt;1&lt;/C&gt;&lt;D xsi:type="xsd:double"&gt;2.44237580073929&lt;/D&gt;&lt;/FQL&gt;&lt;FQL&gt;&lt;Q&gt;^ECON_EXPR_DATA('RETURNS(SPEC_ID[DXY.Z:FG_PRICE_IDX,DIST=NONE,CONV=NONE], -6AM)',-1M,-1M,D)&lt;/Q&gt;&lt;R&gt;1&lt;/R&gt;&lt;C&gt;1&lt;/C&gt;&lt;D xsi:type="xsd:double"&gt;4.83235299942566&lt;/D&gt;&lt;/FQL&gt;&lt;FQL&gt;&lt;Q&gt;^ECON_EXPR_DATA('RETURNS(SPEC_ID[DXY.Z:FG_PRICE_IDX,DIST=NONE,CONV=NONE], -1AQ)',-1M,-1M,D)&lt;/Q&gt;&lt;R&gt;1&lt;/R&gt;&lt;C&gt;1&lt;/C&gt;&lt;D xsi:type="xsd:double"&gt;1.26260210816291&lt;/D&gt;&lt;/FQL&gt;&lt;/Schema&gt;</t>
        </r>
      </text>
    </comment>
  </commentList>
</comments>
</file>

<file path=xl/sharedStrings.xml><?xml version="1.0" encoding="utf-8"?>
<sst xmlns="http://schemas.openxmlformats.org/spreadsheetml/2006/main" count="200" uniqueCount="98">
  <si>
    <t>SP50</t>
  </si>
  <si>
    <t>Sentiment</t>
  </si>
  <si>
    <t>VIX</t>
  </si>
  <si>
    <t>USSU2929306</t>
  </si>
  <si>
    <t>USSU2929307</t>
  </si>
  <si>
    <t>Bull Bear Ratio</t>
  </si>
  <si>
    <t>CNN Fear and Greed</t>
  </si>
  <si>
    <t>This sheet contains FactSet XML data for use with this workbook's =FDS codes.  Modifying the worksheet's contents may damage the workbook's =FDS functionality.</t>
  </si>
  <si>
    <t>S&amp;P 500</t>
  </si>
  <si>
    <t>ACWX</t>
  </si>
  <si>
    <t>US Equalweighted</t>
  </si>
  <si>
    <t>CC_US:FDS_ECON_RINDPRD_M</t>
  </si>
  <si>
    <t>ISMPRI@M</t>
  </si>
  <si>
    <t>ISMPRD@M</t>
  </si>
  <si>
    <t>ISMPMI@M</t>
  </si>
  <si>
    <t>RETURNS(FDS_ECON[US.LMCLAIMS,DIST=STEP,CONV=AVERAGE], -1AY)</t>
  </si>
  <si>
    <t>ISMBUS@NM</t>
  </si>
  <si>
    <t>RETURNS(FDS_COM[USCM1020424,DIST=STEP,CONV=AVERAGENP], -1AY)</t>
  </si>
  <si>
    <t>EPS Momentum</t>
  </si>
  <si>
    <t>% of Upward Revisions</t>
  </si>
  <si>
    <t xml:space="preserve">Industrial Production Growth </t>
  </si>
  <si>
    <t xml:space="preserve">Raw Industrials Index </t>
  </si>
  <si>
    <t>ISM Manufacturing PMI - Prices</t>
  </si>
  <si>
    <t>ISM Manufacturing PMI - Production</t>
  </si>
  <si>
    <t>ISM Manufacturing PMI - Composite</t>
  </si>
  <si>
    <t>Unemployment Claims</t>
  </si>
  <si>
    <t xml:space="preserve">ISM Services PMI - Business Activity </t>
  </si>
  <si>
    <t>TLT</t>
  </si>
  <si>
    <t>50DMA</t>
  </si>
  <si>
    <t>100DMA</t>
  </si>
  <si>
    <t>200DMA</t>
  </si>
  <si>
    <t>SPXEKW</t>
  </si>
  <si>
    <t>ACWX-US</t>
  </si>
  <si>
    <t>% of Stocks Px&gt;200DMA</t>
  </si>
  <si>
    <t>% of Stocks Px&gt;50DMA</t>
  </si>
  <si>
    <t>Level</t>
  </si>
  <si>
    <t>Short Trend</t>
  </si>
  <si>
    <t>Liquidity Conditions - 10y Yields</t>
  </si>
  <si>
    <t>Liquidity Conditions - 1y Treasury</t>
  </si>
  <si>
    <t>SHY-US</t>
  </si>
  <si>
    <t>TLT-US</t>
  </si>
  <si>
    <t xml:space="preserve">S&amp;P 500 Relative to Gold </t>
  </si>
  <si>
    <t>EPS Revisions</t>
  </si>
  <si>
    <t>XAU</t>
  </si>
  <si>
    <t>SPX</t>
  </si>
  <si>
    <t>SPX/TLT</t>
  </si>
  <si>
    <t>SPX/XAU</t>
  </si>
  <si>
    <t>1 Week Ago</t>
  </si>
  <si>
    <t>1M Ago</t>
  </si>
  <si>
    <t xml:space="preserve">S&amp;P 500 Relative to Bonds </t>
  </si>
  <si>
    <t>LAST MONTH READINGS</t>
  </si>
  <si>
    <t xml:space="preserve">S&amp;P 500 Relative to SHY </t>
  </si>
  <si>
    <t>SHY</t>
  </si>
  <si>
    <t>SPX/SHY</t>
  </si>
  <si>
    <t>Investors Intelligence, Sentiment Data, Bullish, Percent - United States</t>
  </si>
  <si>
    <t>Investors Intelligence, Sentiment Data, Bearish, Percent - United States</t>
  </si>
  <si>
    <t>LTMA PE-Weekly</t>
  </si>
  <si>
    <t>LTMA PE-Monthly</t>
  </si>
  <si>
    <t>Trailing PE (Percentile)</t>
  </si>
  <si>
    <t>Forward PE (Percentile)</t>
  </si>
  <si>
    <t>Current Reading</t>
  </si>
  <si>
    <t>Short Term Trend</t>
  </si>
  <si>
    <t xml:space="preserve">Technicals - %  Positive </t>
  </si>
  <si>
    <t>Earnings - % Positive</t>
  </si>
  <si>
    <t>Liquidity - % Positive</t>
  </si>
  <si>
    <t>Valuation - % Positive</t>
  </si>
  <si>
    <t>Sentiment - % Positive</t>
  </si>
  <si>
    <t>EPS Momentum - Relative to World</t>
  </si>
  <si>
    <t>US EPS</t>
  </si>
  <si>
    <t>World EPS</t>
  </si>
  <si>
    <t>Relative EPS</t>
  </si>
  <si>
    <t>US SENTIMENT SIGNALS</t>
  </si>
  <si>
    <t>OVERALL</t>
  </si>
  <si>
    <t>CAUTIOUS</t>
  </si>
  <si>
    <t>INVESTED</t>
  </si>
  <si>
    <t>Relative to World ex US</t>
  </si>
  <si>
    <t>SPX/ACWX</t>
  </si>
  <si>
    <t>ACWX/XAU</t>
  </si>
  <si>
    <t>ACWX/TLT</t>
  </si>
  <si>
    <t>Relative to SPX</t>
  </si>
  <si>
    <t>ACWX/SHY</t>
  </si>
  <si>
    <t xml:space="preserve">Index Relative to Gold </t>
  </si>
  <si>
    <t xml:space="preserve">Index Relative to Bonds </t>
  </si>
  <si>
    <t xml:space="preserve">Index Relative to SHY </t>
  </si>
  <si>
    <t>World x US</t>
  </si>
  <si>
    <t>ACWX EPS Revisions</t>
  </si>
  <si>
    <t>US$ Sentiment</t>
  </si>
  <si>
    <t>CASH</t>
  </si>
  <si>
    <t>WORLD x US SENTIMENT SIGNALS</t>
  </si>
  <si>
    <t>EPS Momentum - Relative to SPX</t>
  </si>
  <si>
    <t>Technicals/Liqdty/Earnings</t>
  </si>
  <si>
    <t xml:space="preserve">Short Term Momentum </t>
  </si>
  <si>
    <t>Technicals/Liquidity/Earnings Score</t>
  </si>
  <si>
    <t>TECHNICALS</t>
  </si>
  <si>
    <t>EARNINGS</t>
  </si>
  <si>
    <t>LIQUIDITY</t>
  </si>
  <si>
    <t>VALUATION</t>
  </si>
  <si>
    <t>SENTIMENT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</si>
</sst>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rgb="FFFFFFFF"/>
      <name val="Calibri"/>
      <family val="2"/>
    </font>
    <font>
      <b/>
      <sz val="12"/>
      <color theme="1"/>
      <name val="Calibri"/>
      <family val="2"/>
    </font>
    <font>
      <b/>
      <i/>
      <sz val="11"/>
      <color rgb="FFFFFFFF"/>
      <name val="Calibri"/>
      <family val="2"/>
    </font>
    <font>
      <sz val="11"/>
      <color rgb="FF000000"/>
      <name val="Aptos Narrow"/>
      <family val="2"/>
      <scheme val="minor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5B7F95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7">
    <xf numFmtId="0" fontId="0" fillId="0" borderId="0" xfId="0"/>
    <xf numFmtId="0" fontId="0" fillId="0" borderId="0" xfId="0" applyAlignment="1">
      <alignment horizontal="center"/>
    </xf>
    <xf numFmtId="164" fontId="0" fillId="0" borderId="0" xfId="1" applyNumberFormat="1" applyFont="1" applyAlignment="1">
      <alignment horizontal="center"/>
    </xf>
    <xf numFmtId="164" fontId="0" fillId="0" borderId="0" xfId="1" applyNumberFormat="1" applyFont="1" applyFill="1" applyAlignment="1">
      <alignment horizontal="center"/>
    </xf>
    <xf numFmtId="0" fontId="0" fillId="2" borderId="0" xfId="0" applyFill="1"/>
    <xf numFmtId="0" fontId="0" fillId="2" borderId="4" xfId="0" applyFill="1" applyBorder="1"/>
    <xf numFmtId="9" fontId="0" fillId="2" borderId="9" xfId="1" applyFont="1" applyFill="1" applyBorder="1" applyAlignment="1">
      <alignment horizontal="center"/>
    </xf>
    <xf numFmtId="9" fontId="0" fillId="2" borderId="10" xfId="1" applyFont="1" applyFill="1" applyBorder="1" applyAlignment="1">
      <alignment horizontal="center"/>
    </xf>
    <xf numFmtId="9" fontId="0" fillId="2" borderId="11" xfId="1" applyFont="1" applyFill="1" applyBorder="1" applyAlignment="1">
      <alignment horizontal="center"/>
    </xf>
    <xf numFmtId="0" fontId="0" fillId="2" borderId="5" xfId="0" applyFill="1" applyBorder="1"/>
    <xf numFmtId="0" fontId="0" fillId="2" borderId="6" xfId="0" applyFill="1" applyBorder="1"/>
    <xf numFmtId="14" fontId="0" fillId="0" borderId="0" xfId="0" applyNumberFormat="1"/>
    <xf numFmtId="1" fontId="0" fillId="0" borderId="0" xfId="0" applyNumberFormat="1"/>
    <xf numFmtId="1" fontId="0" fillId="2" borderId="0" xfId="1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9" fontId="1" fillId="2" borderId="0" xfId="1" applyFont="1" applyFill="1" applyBorder="1" applyAlignment="1">
      <alignment horizontal="center"/>
    </xf>
    <xf numFmtId="9" fontId="0" fillId="2" borderId="0" xfId="1" applyFont="1" applyFill="1" applyBorder="1" applyAlignment="1">
      <alignment horizontal="center"/>
    </xf>
    <xf numFmtId="1" fontId="0" fillId="2" borderId="7" xfId="1" applyNumberFormat="1" applyFont="1" applyFill="1" applyBorder="1" applyAlignment="1">
      <alignment horizontal="center"/>
    </xf>
    <xf numFmtId="2" fontId="0" fillId="2" borderId="0" xfId="1" applyNumberFormat="1" applyFont="1" applyFill="1" applyBorder="1" applyAlignment="1">
      <alignment horizontal="center"/>
    </xf>
    <xf numFmtId="165" fontId="0" fillId="2" borderId="0" xfId="1" applyNumberFormat="1" applyFont="1" applyFill="1" applyBorder="1" applyAlignment="1">
      <alignment horizontal="center"/>
    </xf>
    <xf numFmtId="164" fontId="0" fillId="2" borderId="10" xfId="1" applyNumberFormat="1" applyFont="1" applyFill="1" applyBorder="1" applyAlignment="1">
      <alignment horizontal="center"/>
    </xf>
    <xf numFmtId="164" fontId="0" fillId="2" borderId="13" xfId="1" applyNumberFormat="1" applyFont="1" applyFill="1" applyBorder="1" applyAlignment="1">
      <alignment horizontal="center"/>
    </xf>
    <xf numFmtId="164" fontId="0" fillId="2" borderId="9" xfId="1" applyNumberFormat="1" applyFont="1" applyFill="1" applyBorder="1" applyAlignment="1">
      <alignment horizontal="center"/>
    </xf>
    <xf numFmtId="164" fontId="0" fillId="2" borderId="12" xfId="1" applyNumberFormat="1" applyFont="1" applyFill="1" applyBorder="1" applyAlignment="1">
      <alignment horizontal="center"/>
    </xf>
    <xf numFmtId="14" fontId="0" fillId="2" borderId="0" xfId="0" applyNumberFormat="1" applyFill="1"/>
    <xf numFmtId="0" fontId="0" fillId="2" borderId="0" xfId="0" applyFill="1" applyAlignment="1">
      <alignment horizontal="center"/>
    </xf>
    <xf numFmtId="0" fontId="0" fillId="2" borderId="2" xfId="0" applyFill="1" applyBorder="1"/>
    <xf numFmtId="0" fontId="3" fillId="3" borderId="3" xfId="0" applyFont="1" applyFill="1" applyBorder="1" applyAlignment="1">
      <alignment horizontal="center" vertical="center" readingOrder="1"/>
    </xf>
    <xf numFmtId="0" fontId="3" fillId="3" borderId="5" xfId="0" applyFont="1" applyFill="1" applyBorder="1" applyAlignment="1">
      <alignment horizontal="center" vertical="center" readingOrder="1"/>
    </xf>
    <xf numFmtId="9" fontId="0" fillId="2" borderId="14" xfId="1" applyFont="1" applyFill="1" applyBorder="1" applyAlignment="1">
      <alignment horizontal="center"/>
    </xf>
    <xf numFmtId="9" fontId="0" fillId="2" borderId="4" xfId="1" applyFont="1" applyFill="1" applyBorder="1" applyAlignment="1">
      <alignment horizontal="center"/>
    </xf>
    <xf numFmtId="164" fontId="0" fillId="2" borderId="14" xfId="1" applyNumberFormat="1" applyFont="1" applyFill="1" applyBorder="1" applyAlignment="1">
      <alignment horizontal="center"/>
    </xf>
    <xf numFmtId="164" fontId="0" fillId="2" borderId="15" xfId="1" applyNumberFormat="1" applyFont="1" applyFill="1" applyBorder="1" applyAlignment="1">
      <alignment horizontal="center"/>
    </xf>
    <xf numFmtId="0" fontId="0" fillId="2" borderId="7" xfId="0" applyFill="1" applyBorder="1"/>
    <xf numFmtId="9" fontId="0" fillId="2" borderId="7" xfId="1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 readingOrder="1"/>
    </xf>
    <xf numFmtId="0" fontId="3" fillId="3" borderId="17" xfId="0" applyFont="1" applyFill="1" applyBorder="1" applyAlignment="1">
      <alignment horizontal="center" vertical="center" readingOrder="1"/>
    </xf>
    <xf numFmtId="0" fontId="1" fillId="2" borderId="18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 vertical="center" readingOrder="1"/>
    </xf>
    <xf numFmtId="0" fontId="4" fillId="2" borderId="0" xfId="0" applyFont="1" applyFill="1" applyAlignment="1">
      <alignment horizontal="center" vertical="center" readingOrder="1"/>
    </xf>
    <xf numFmtId="0" fontId="4" fillId="2" borderId="0" xfId="0" applyFont="1" applyFill="1" applyAlignment="1">
      <alignment vertical="center" readingOrder="1"/>
    </xf>
    <xf numFmtId="0" fontId="4" fillId="2" borderId="21" xfId="0" applyFont="1" applyFill="1" applyBorder="1" applyAlignment="1">
      <alignment horizontal="center" vertical="center" readingOrder="1"/>
    </xf>
    <xf numFmtId="0" fontId="4" fillId="2" borderId="16" xfId="0" applyFont="1" applyFill="1" applyBorder="1" applyAlignment="1">
      <alignment horizontal="center" vertical="center" readingOrder="1"/>
    </xf>
    <xf numFmtId="1" fontId="0" fillId="2" borderId="4" xfId="1" applyNumberFormat="1" applyFont="1" applyFill="1" applyBorder="1" applyAlignment="1">
      <alignment horizontal="center"/>
    </xf>
    <xf numFmtId="1" fontId="0" fillId="2" borderId="6" xfId="1" applyNumberFormat="1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 readingOrder="1"/>
    </xf>
    <xf numFmtId="0" fontId="4" fillId="2" borderId="2" xfId="0" applyFont="1" applyFill="1" applyBorder="1" applyAlignment="1">
      <alignment horizontal="center" vertical="center" readingOrder="1"/>
    </xf>
    <xf numFmtId="0" fontId="5" fillId="3" borderId="1" xfId="0" applyFont="1" applyFill="1" applyBorder="1" applyAlignment="1">
      <alignment horizontal="left" vertical="center" readingOrder="1"/>
    </xf>
    <xf numFmtId="2" fontId="0" fillId="2" borderId="9" xfId="1" applyNumberFormat="1" applyFont="1" applyFill="1" applyBorder="1" applyAlignment="1">
      <alignment horizontal="center"/>
    </xf>
    <xf numFmtId="2" fontId="0" fillId="2" borderId="10" xfId="1" applyNumberFormat="1" applyFont="1" applyFill="1" applyBorder="1" applyAlignment="1">
      <alignment horizontal="center"/>
    </xf>
    <xf numFmtId="0" fontId="6" fillId="0" borderId="0" xfId="0" applyFont="1"/>
    <xf numFmtId="2" fontId="0" fillId="0" borderId="0" xfId="0" applyNumberFormat="1"/>
    <xf numFmtId="0" fontId="4" fillId="2" borderId="2" xfId="0" applyFont="1" applyFill="1" applyBorder="1" applyAlignment="1">
      <alignment horizontal="center" vertical="center" wrapText="1" readingOrder="1"/>
    </xf>
    <xf numFmtId="0" fontId="4" fillId="2" borderId="21" xfId="0" applyFont="1" applyFill="1" applyBorder="1" applyAlignment="1">
      <alignment horizontal="center" vertical="center" wrapText="1" readingOrder="1"/>
    </xf>
    <xf numFmtId="164" fontId="0" fillId="2" borderId="7" xfId="1" applyNumberFormat="1" applyFont="1" applyFill="1" applyBorder="1" applyAlignment="1">
      <alignment horizontal="center"/>
    </xf>
    <xf numFmtId="164" fontId="0" fillId="2" borderId="6" xfId="1" applyNumberFormat="1" applyFont="1" applyFill="1" applyBorder="1" applyAlignment="1">
      <alignment horizontal="center"/>
    </xf>
    <xf numFmtId="0" fontId="1" fillId="2" borderId="1" xfId="0" applyFont="1" applyFill="1" applyBorder="1"/>
    <xf numFmtId="1" fontId="0" fillId="2" borderId="22" xfId="1" applyNumberFormat="1" applyFont="1" applyFill="1" applyBorder="1" applyAlignment="1">
      <alignment horizontal="center"/>
    </xf>
    <xf numFmtId="1" fontId="0" fillId="2" borderId="2" xfId="1" applyNumberFormat="1" applyFont="1" applyFill="1" applyBorder="1" applyAlignment="1">
      <alignment horizontal="center"/>
    </xf>
    <xf numFmtId="9" fontId="1" fillId="2" borderId="2" xfId="1" applyFont="1" applyFill="1" applyBorder="1" applyAlignment="1">
      <alignment horizontal="center"/>
    </xf>
    <xf numFmtId="9" fontId="1" fillId="2" borderId="3" xfId="1" applyFont="1" applyFill="1" applyBorder="1" applyAlignment="1">
      <alignment horizontal="center"/>
    </xf>
    <xf numFmtId="0" fontId="1" fillId="2" borderId="4" xfId="0" applyFont="1" applyFill="1" applyBorder="1"/>
    <xf numFmtId="9" fontId="1" fillId="2" borderId="5" xfId="1" applyFont="1" applyFill="1" applyBorder="1" applyAlignment="1">
      <alignment horizontal="center"/>
    </xf>
    <xf numFmtId="0" fontId="1" fillId="2" borderId="6" xfId="0" applyFont="1" applyFill="1" applyBorder="1"/>
    <xf numFmtId="9" fontId="1" fillId="2" borderId="7" xfId="1" applyFont="1" applyFill="1" applyBorder="1" applyAlignment="1">
      <alignment horizontal="center"/>
    </xf>
    <xf numFmtId="9" fontId="1" fillId="2" borderId="8" xfId="1" applyFont="1" applyFill="1" applyBorder="1" applyAlignment="1">
      <alignment horizontal="center"/>
    </xf>
    <xf numFmtId="9" fontId="1" fillId="2" borderId="17" xfId="1" applyFont="1" applyFill="1" applyBorder="1" applyAlignment="1">
      <alignment horizontal="center"/>
    </xf>
    <xf numFmtId="9" fontId="1" fillId="2" borderId="18" xfId="1" applyFont="1" applyFill="1" applyBorder="1" applyAlignment="1">
      <alignment horizontal="center"/>
    </xf>
    <xf numFmtId="9" fontId="1" fillId="2" borderId="19" xfId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readingOrder="1"/>
    </xf>
    <xf numFmtId="1" fontId="0" fillId="2" borderId="1" xfId="1" applyNumberFormat="1" applyFont="1" applyFill="1" applyBorder="1" applyAlignment="1">
      <alignment horizontal="center"/>
    </xf>
    <xf numFmtId="0" fontId="1" fillId="2" borderId="20" xfId="0" applyFont="1" applyFill="1" applyBorder="1"/>
    <xf numFmtId="0" fontId="0" fillId="2" borderId="21" xfId="0" applyFill="1" applyBorder="1"/>
    <xf numFmtId="0" fontId="1" fillId="2" borderId="21" xfId="0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1" fontId="1" fillId="2" borderId="0" xfId="1" applyNumberFormat="1" applyFont="1" applyFill="1" applyBorder="1" applyAlignment="1">
      <alignment horizontal="center"/>
    </xf>
    <xf numFmtId="1" fontId="1" fillId="2" borderId="5" xfId="1" applyNumberFormat="1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 readingOrder="1"/>
    </xf>
    <xf numFmtId="0" fontId="1" fillId="2" borderId="0" xfId="0" applyFont="1" applyFill="1" applyAlignment="1">
      <alignment horizontal="center"/>
    </xf>
    <xf numFmtId="0" fontId="4" fillId="2" borderId="7" xfId="0" applyFont="1" applyFill="1" applyBorder="1" applyAlignment="1">
      <alignment horizontal="center" vertical="center" readingOrder="1"/>
    </xf>
  </cellXfs>
  <cellStyles count="2">
    <cellStyle name="Normal" xfId="0" builtinId="0"/>
    <cellStyle name="Percent" xfId="1" builtinId="5"/>
  </cellStyles>
  <dxfs count="99"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FactsetData!$Q$2:$Q$262</c:f>
              <c:numCache>
                <c:formatCode>0</c:formatCode>
                <c:ptCount val="261"/>
                <c:pt idx="0">
                  <c:v>106.45125993007818</c:v>
                </c:pt>
                <c:pt idx="1">
                  <c:v>107.818581546289</c:v>
                </c:pt>
                <c:pt idx="2">
                  <c:v>107.13518326306526</c:v>
                </c:pt>
                <c:pt idx="3">
                  <c:v>106.7602292338125</c:v>
                </c:pt>
                <c:pt idx="4">
                  <c:v>104.62564412659049</c:v>
                </c:pt>
                <c:pt idx="5">
                  <c:v>105.12747572712121</c:v>
                </c:pt>
                <c:pt idx="6">
                  <c:v>104.34575618798374</c:v>
                </c:pt>
                <c:pt idx="7">
                  <c:v>104.62677925690589</c:v>
                </c:pt>
                <c:pt idx="8">
                  <c:v>105.24302077237263</c:v>
                </c:pt>
                <c:pt idx="9">
                  <c:v>102.67563138996127</c:v>
                </c:pt>
                <c:pt idx="10">
                  <c:v>101.44618646370955</c:v>
                </c:pt>
                <c:pt idx="11">
                  <c:v>98.847412974561209</c:v>
                </c:pt>
                <c:pt idx="12">
                  <c:v>101.66579069085788</c:v>
                </c:pt>
                <c:pt idx="13">
                  <c:v>106.63934432732925</c:v>
                </c:pt>
                <c:pt idx="14">
                  <c:v>109.84954285305052</c:v>
                </c:pt>
                <c:pt idx="15">
                  <c:v>109.18786488652989</c:v>
                </c:pt>
                <c:pt idx="16">
                  <c:v>109.52753106211988</c:v>
                </c:pt>
                <c:pt idx="17">
                  <c:v>110.63826865211983</c:v>
                </c:pt>
                <c:pt idx="18">
                  <c:v>110.1671011576629</c:v>
                </c:pt>
                <c:pt idx="19">
                  <c:v>111.6904352517732</c:v>
                </c:pt>
                <c:pt idx="20">
                  <c:v>111.89136858130311</c:v>
                </c:pt>
                <c:pt idx="21">
                  <c:v>112.45844502847699</c:v>
                </c:pt>
                <c:pt idx="22">
                  <c:v>111.10305380586306</c:v>
                </c:pt>
                <c:pt idx="23">
                  <c:v>111.20826883519187</c:v>
                </c:pt>
                <c:pt idx="24">
                  <c:v>111.4361658586152</c:v>
                </c:pt>
                <c:pt idx="25">
                  <c:v>112.45850383515128</c:v>
                </c:pt>
                <c:pt idx="26">
                  <c:v>113.50169982328067</c:v>
                </c:pt>
                <c:pt idx="27">
                  <c:v>113.20131662961847</c:v>
                </c:pt>
                <c:pt idx="28">
                  <c:v>112.65723131528833</c:v>
                </c:pt>
                <c:pt idx="29">
                  <c:v>113.32310694701397</c:v>
                </c:pt>
                <c:pt idx="30">
                  <c:v>112.36671613892307</c:v>
                </c:pt>
                <c:pt idx="31">
                  <c:v>112.01643353675516</c:v>
                </c:pt>
                <c:pt idx="32">
                  <c:v>112.63303828419215</c:v>
                </c:pt>
                <c:pt idx="33">
                  <c:v>112.94084369045362</c:v>
                </c:pt>
                <c:pt idx="34">
                  <c:v>113.0487013542603</c:v>
                </c:pt>
                <c:pt idx="35">
                  <c:v>113.59151085680338</c:v>
                </c:pt>
                <c:pt idx="36">
                  <c:v>111.15928457678895</c:v>
                </c:pt>
                <c:pt idx="37">
                  <c:v>109.02804574422161</c:v>
                </c:pt>
                <c:pt idx="38">
                  <c:v>109.25579855855922</c:v>
                </c:pt>
                <c:pt idx="39">
                  <c:v>108.33833667730677</c:v>
                </c:pt>
                <c:pt idx="40">
                  <c:v>108.42039462206584</c:v>
                </c:pt>
                <c:pt idx="41">
                  <c:v>108.14211965630824</c:v>
                </c:pt>
                <c:pt idx="42">
                  <c:v>108.77596456259404</c:v>
                </c:pt>
                <c:pt idx="43">
                  <c:v>108.05627481596061</c:v>
                </c:pt>
                <c:pt idx="44">
                  <c:v>108.45694571050772</c:v>
                </c:pt>
                <c:pt idx="45">
                  <c:v>107.02887607277759</c:v>
                </c:pt>
                <c:pt idx="46">
                  <c:v>108.61843872888643</c:v>
                </c:pt>
                <c:pt idx="47">
                  <c:v>111.4410058335928</c:v>
                </c:pt>
                <c:pt idx="48">
                  <c:v>111.01908158687243</c:v>
                </c:pt>
                <c:pt idx="49">
                  <c:v>114.9587192154416</c:v>
                </c:pt>
                <c:pt idx="50">
                  <c:v>114.03036143418025</c:v>
                </c:pt>
                <c:pt idx="51">
                  <c:v>113.2122378926036</c:v>
                </c:pt>
                <c:pt idx="52">
                  <c:v>112.59005550572897</c:v>
                </c:pt>
                <c:pt idx="53">
                  <c:v>112.33500871387115</c:v>
                </c:pt>
                <c:pt idx="54">
                  <c:v>114.32152949279124</c:v>
                </c:pt>
                <c:pt idx="55">
                  <c:v>115.19045544106427</c:v>
                </c:pt>
                <c:pt idx="56">
                  <c:v>115.52508933538353</c:v>
                </c:pt>
                <c:pt idx="57">
                  <c:v>116.01929532080968</c:v>
                </c:pt>
                <c:pt idx="58">
                  <c:v>116.44726498585246</c:v>
                </c:pt>
                <c:pt idx="59">
                  <c:v>114.88455147772844</c:v>
                </c:pt>
                <c:pt idx="60">
                  <c:v>114.48452950309272</c:v>
                </c:pt>
                <c:pt idx="61">
                  <c:v>114.41992592262432</c:v>
                </c:pt>
                <c:pt idx="62">
                  <c:v>115.39900869449154</c:v>
                </c:pt>
                <c:pt idx="63">
                  <c:v>116.35825367174677</c:v>
                </c:pt>
                <c:pt idx="64">
                  <c:v>116.05749521852664</c:v>
                </c:pt>
                <c:pt idx="65">
                  <c:v>114.84433313048325</c:v>
                </c:pt>
                <c:pt idx="66">
                  <c:v>115.02450820500236</c:v>
                </c:pt>
                <c:pt idx="67">
                  <c:v>115.41326255820653</c:v>
                </c:pt>
                <c:pt idx="68">
                  <c:v>115.40425989980035</c:v>
                </c:pt>
                <c:pt idx="69">
                  <c:v>115.3997592655904</c:v>
                </c:pt>
                <c:pt idx="70">
                  <c:v>114.58504467537614</c:v>
                </c:pt>
                <c:pt idx="71">
                  <c:v>114.46048648735815</c:v>
                </c:pt>
                <c:pt idx="72">
                  <c:v>113.87632050819873</c:v>
                </c:pt>
                <c:pt idx="73">
                  <c:v>114.66092673425747</c:v>
                </c:pt>
                <c:pt idx="74">
                  <c:v>114.42102079994091</c:v>
                </c:pt>
                <c:pt idx="75">
                  <c:v>114.54116149924492</c:v>
                </c:pt>
                <c:pt idx="76">
                  <c:v>113.09192916202961</c:v>
                </c:pt>
                <c:pt idx="77">
                  <c:v>113.66089901928927</c:v>
                </c:pt>
                <c:pt idx="78">
                  <c:v>114.26413105321392</c:v>
                </c:pt>
                <c:pt idx="79">
                  <c:v>114.59250326686684</c:v>
                </c:pt>
                <c:pt idx="80">
                  <c:v>114.29236142810441</c:v>
                </c:pt>
                <c:pt idx="81">
                  <c:v>113.60446712970821</c:v>
                </c:pt>
                <c:pt idx="82">
                  <c:v>112.99945584049975</c:v>
                </c:pt>
                <c:pt idx="83">
                  <c:v>111.91243108081188</c:v>
                </c:pt>
                <c:pt idx="84">
                  <c:v>110.47410905375304</c:v>
                </c:pt>
                <c:pt idx="85">
                  <c:v>110.93876927103439</c:v>
                </c:pt>
                <c:pt idx="86">
                  <c:v>110.40386144937004</c:v>
                </c:pt>
                <c:pt idx="87">
                  <c:v>111.64293364612202</c:v>
                </c:pt>
                <c:pt idx="88">
                  <c:v>112.02569414663358</c:v>
                </c:pt>
                <c:pt idx="89">
                  <c:v>110.84024382717809</c:v>
                </c:pt>
                <c:pt idx="90">
                  <c:v>113.46243259999288</c:v>
                </c:pt>
                <c:pt idx="91">
                  <c:v>112.60912320100695</c:v>
                </c:pt>
                <c:pt idx="92">
                  <c:v>111.67907681776266</c:v>
                </c:pt>
                <c:pt idx="93">
                  <c:v>112.47228983451349</c:v>
                </c:pt>
                <c:pt idx="94">
                  <c:v>111.93305022818247</c:v>
                </c:pt>
                <c:pt idx="95">
                  <c:v>110.06836553954487</c:v>
                </c:pt>
                <c:pt idx="96">
                  <c:v>111.58070081375811</c:v>
                </c:pt>
                <c:pt idx="97">
                  <c:v>111.09592857940549</c:v>
                </c:pt>
                <c:pt idx="98">
                  <c:v>111.46035807873673</c:v>
                </c:pt>
                <c:pt idx="99">
                  <c:v>108.79496886615591</c:v>
                </c:pt>
                <c:pt idx="100">
                  <c:v>108.76416842564552</c:v>
                </c:pt>
                <c:pt idx="101">
                  <c:v>109.25138309451734</c:v>
                </c:pt>
                <c:pt idx="102">
                  <c:v>109.51464253715844</c:v>
                </c:pt>
                <c:pt idx="103">
                  <c:v>109.05134042138147</c:v>
                </c:pt>
                <c:pt idx="104">
                  <c:v>110.60600336955152</c:v>
                </c:pt>
                <c:pt idx="105">
                  <c:v>110.82385516472407</c:v>
                </c:pt>
                <c:pt idx="106">
                  <c:v>109.58470346189532</c:v>
                </c:pt>
                <c:pt idx="107">
                  <c:v>109.93480202105654</c:v>
                </c:pt>
                <c:pt idx="108">
                  <c:v>109.56322008662634</c:v>
                </c:pt>
                <c:pt idx="109">
                  <c:v>109.75598642897879</c:v>
                </c:pt>
                <c:pt idx="110">
                  <c:v>108.75990138940007</c:v>
                </c:pt>
                <c:pt idx="111">
                  <c:v>108.33630999197712</c:v>
                </c:pt>
                <c:pt idx="112">
                  <c:v>106.49822008041282</c:v>
                </c:pt>
                <c:pt idx="113">
                  <c:v>106.78502866813753</c:v>
                </c:pt>
                <c:pt idx="114">
                  <c:v>106.89727642370687</c:v>
                </c:pt>
                <c:pt idx="115">
                  <c:v>105.65265814669658</c:v>
                </c:pt>
                <c:pt idx="116">
                  <c:v>104.97492876773357</c:v>
                </c:pt>
                <c:pt idx="117">
                  <c:v>106.90763121716083</c:v>
                </c:pt>
                <c:pt idx="118">
                  <c:v>106.74379243338988</c:v>
                </c:pt>
                <c:pt idx="119">
                  <c:v>105.88152503746912</c:v>
                </c:pt>
                <c:pt idx="120">
                  <c:v>106.40549665295399</c:v>
                </c:pt>
                <c:pt idx="121">
                  <c:v>107.94221752589418</c:v>
                </c:pt>
                <c:pt idx="122">
                  <c:v>106.98157004192628</c:v>
                </c:pt>
                <c:pt idx="123">
                  <c:v>106.97088402742349</c:v>
                </c:pt>
                <c:pt idx="124">
                  <c:v>108.27444354391368</c:v>
                </c:pt>
                <c:pt idx="125">
                  <c:v>107.6903830064159</c:v>
                </c:pt>
                <c:pt idx="126">
                  <c:v>106.82699165887342</c:v>
                </c:pt>
                <c:pt idx="127">
                  <c:v>106.60679200553116</c:v>
                </c:pt>
                <c:pt idx="128">
                  <c:v>105.80818817761681</c:v>
                </c:pt>
                <c:pt idx="129">
                  <c:v>105.2502629121842</c:v>
                </c:pt>
                <c:pt idx="130">
                  <c:v>104.46513347680485</c:v>
                </c:pt>
                <c:pt idx="131">
                  <c:v>104.54320159313968</c:v>
                </c:pt>
                <c:pt idx="132">
                  <c:v>104.25405627505589</c:v>
                </c:pt>
                <c:pt idx="133">
                  <c:v>103.61367401072179</c:v>
                </c:pt>
                <c:pt idx="134">
                  <c:v>103.35959535934134</c:v>
                </c:pt>
                <c:pt idx="135">
                  <c:v>102.80115795782891</c:v>
                </c:pt>
                <c:pt idx="136">
                  <c:v>102.65611934504355</c:v>
                </c:pt>
                <c:pt idx="137">
                  <c:v>101.0969777878019</c:v>
                </c:pt>
                <c:pt idx="138">
                  <c:v>99.585411223026739</c:v>
                </c:pt>
                <c:pt idx="139">
                  <c:v>100.24474243274693</c:v>
                </c:pt>
                <c:pt idx="140">
                  <c:v>101.83009183899354</c:v>
                </c:pt>
                <c:pt idx="141">
                  <c:v>103.04951146817299</c:v>
                </c:pt>
                <c:pt idx="142">
                  <c:v>103.77063415356059</c:v>
                </c:pt>
                <c:pt idx="143">
                  <c:v>103.20273065228699</c:v>
                </c:pt>
                <c:pt idx="144">
                  <c:v>103.67317279285201</c:v>
                </c:pt>
                <c:pt idx="145">
                  <c:v>102.23051875899317</c:v>
                </c:pt>
                <c:pt idx="146">
                  <c:v>101.36604062001139</c:v>
                </c:pt>
                <c:pt idx="147">
                  <c:v>101.99362352042959</c:v>
                </c:pt>
                <c:pt idx="148">
                  <c:v>101.78338096181261</c:v>
                </c:pt>
                <c:pt idx="149">
                  <c:v>99.97600209086707</c:v>
                </c:pt>
                <c:pt idx="150">
                  <c:v>101.03940063862417</c:v>
                </c:pt>
                <c:pt idx="151">
                  <c:v>101.00290889045685</c:v>
                </c:pt>
                <c:pt idx="152">
                  <c:v>100.48566402418363</c:v>
                </c:pt>
                <c:pt idx="153">
                  <c:v>100.95200549348979</c:v>
                </c:pt>
                <c:pt idx="154">
                  <c:v>100.12551511099272</c:v>
                </c:pt>
                <c:pt idx="155">
                  <c:v>100.47891724502534</c:v>
                </c:pt>
                <c:pt idx="156">
                  <c:v>100.81095159908153</c:v>
                </c:pt>
                <c:pt idx="157">
                  <c:v>99.737541893104975</c:v>
                </c:pt>
                <c:pt idx="158">
                  <c:v>98.128978959088471</c:v>
                </c:pt>
                <c:pt idx="159">
                  <c:v>99.191869731600704</c:v>
                </c:pt>
                <c:pt idx="160">
                  <c:v>99.829055865753119</c:v>
                </c:pt>
                <c:pt idx="161">
                  <c:v>98.821396245351096</c:v>
                </c:pt>
                <c:pt idx="162">
                  <c:v>98.108835802254418</c:v>
                </c:pt>
                <c:pt idx="163">
                  <c:v>99.400015012802299</c:v>
                </c:pt>
                <c:pt idx="164">
                  <c:v>99.117121857620859</c:v>
                </c:pt>
                <c:pt idx="165">
                  <c:v>98.682815354067529</c:v>
                </c:pt>
                <c:pt idx="166">
                  <c:v>96.439959408542649</c:v>
                </c:pt>
                <c:pt idx="167">
                  <c:v>99.81717658622587</c:v>
                </c:pt>
                <c:pt idx="168">
                  <c:v>99.368763034989698</c:v>
                </c:pt>
                <c:pt idx="169">
                  <c:v>98.331500711794305</c:v>
                </c:pt>
                <c:pt idx="170">
                  <c:v>99.340847041701878</c:v>
                </c:pt>
                <c:pt idx="171">
                  <c:v>100.70902599764297</c:v>
                </c:pt>
                <c:pt idx="172">
                  <c:v>101.66151881734058</c:v>
                </c:pt>
                <c:pt idx="173">
                  <c:v>101.86120037670774</c:v>
                </c:pt>
                <c:pt idx="174">
                  <c:v>101.35998208736335</c:v>
                </c:pt>
                <c:pt idx="175">
                  <c:v>100.396210600833</c:v>
                </c:pt>
                <c:pt idx="176">
                  <c:v>99.381585318576654</c:v>
                </c:pt>
                <c:pt idx="177">
                  <c:v>100.59848305255942</c:v>
                </c:pt>
                <c:pt idx="178">
                  <c:v>103.21955577767712</c:v>
                </c:pt>
                <c:pt idx="179">
                  <c:v>103.69765635179685</c:v>
                </c:pt>
                <c:pt idx="180">
                  <c:v>104.39659516357007</c:v>
                </c:pt>
                <c:pt idx="181">
                  <c:v>103.20444621132866</c:v>
                </c:pt>
                <c:pt idx="182">
                  <c:v>104.5612843142036</c:v>
                </c:pt>
                <c:pt idx="183">
                  <c:v>104.49119642944021</c:v>
                </c:pt>
                <c:pt idx="184">
                  <c:v>106.66165298503967</c:v>
                </c:pt>
                <c:pt idx="185">
                  <c:v>104.80837057890153</c:v>
                </c:pt>
                <c:pt idx="186">
                  <c:v>105.07256327541427</c:v>
                </c:pt>
                <c:pt idx="187">
                  <c:v>105.51854852383349</c:v>
                </c:pt>
                <c:pt idx="188">
                  <c:v>105.49499116758373</c:v>
                </c:pt>
                <c:pt idx="189">
                  <c:v>104.99123459728273</c:v>
                </c:pt>
                <c:pt idx="190">
                  <c:v>106.68967899073112</c:v>
                </c:pt>
                <c:pt idx="191">
                  <c:v>105.10649253317379</c:v>
                </c:pt>
                <c:pt idx="192">
                  <c:v>104.82994606766319</c:v>
                </c:pt>
                <c:pt idx="193">
                  <c:v>104.39414977384151</c:v>
                </c:pt>
                <c:pt idx="194">
                  <c:v>104.33520393243616</c:v>
                </c:pt>
                <c:pt idx="195">
                  <c:v>102.30719898418415</c:v>
                </c:pt>
                <c:pt idx="196">
                  <c:v>104.32690761024692</c:v>
                </c:pt>
                <c:pt idx="197">
                  <c:v>106.57047871193834</c:v>
                </c:pt>
                <c:pt idx="198">
                  <c:v>105.5466890769344</c:v>
                </c:pt>
                <c:pt idx="199">
                  <c:v>104.78365345183249</c:v>
                </c:pt>
                <c:pt idx="200">
                  <c:v>105.00837612952863</c:v>
                </c:pt>
                <c:pt idx="201">
                  <c:v>105.88774697425424</c:v>
                </c:pt>
                <c:pt idx="202">
                  <c:v>105.37336336928453</c:v>
                </c:pt>
                <c:pt idx="203">
                  <c:v>103.61665200062457</c:v>
                </c:pt>
                <c:pt idx="204">
                  <c:v>103.42952472277373</c:v>
                </c:pt>
                <c:pt idx="205">
                  <c:v>105.75052793950719</c:v>
                </c:pt>
                <c:pt idx="206">
                  <c:v>104.38383320564533</c:v>
                </c:pt>
                <c:pt idx="207">
                  <c:v>104.95875128012813</c:v>
                </c:pt>
                <c:pt idx="208">
                  <c:v>106.28230704227744</c:v>
                </c:pt>
                <c:pt idx="209">
                  <c:v>107.97661633012552</c:v>
                </c:pt>
                <c:pt idx="210">
                  <c:v>106.60015836358274</c:v>
                </c:pt>
                <c:pt idx="211">
                  <c:v>107.45791918145206</c:v>
                </c:pt>
                <c:pt idx="212">
                  <c:v>106.30887730419438</c:v>
                </c:pt>
                <c:pt idx="213">
                  <c:v>103.92524315487859</c:v>
                </c:pt>
                <c:pt idx="214">
                  <c:v>106.5328422189979</c:v>
                </c:pt>
                <c:pt idx="215">
                  <c:v>104.68410672645761</c:v>
                </c:pt>
                <c:pt idx="216">
                  <c:v>106.411813436057</c:v>
                </c:pt>
                <c:pt idx="217">
                  <c:v>104.78443600747771</c:v>
                </c:pt>
                <c:pt idx="218">
                  <c:v>107.46769329212154</c:v>
                </c:pt>
                <c:pt idx="219">
                  <c:v>104.94589868376437</c:v>
                </c:pt>
                <c:pt idx="220">
                  <c:v>103.59261327526063</c:v>
                </c:pt>
                <c:pt idx="221">
                  <c:v>105.12151950382109</c:v>
                </c:pt>
                <c:pt idx="222">
                  <c:v>104.22661954837785</c:v>
                </c:pt>
                <c:pt idx="223">
                  <c:v>103.47190779880668</c:v>
                </c:pt>
                <c:pt idx="224">
                  <c:v>103.68171739877056</c:v>
                </c:pt>
                <c:pt idx="225">
                  <c:v>103.33489415895416</c:v>
                </c:pt>
                <c:pt idx="226">
                  <c:v>102.93389559166694</c:v>
                </c:pt>
                <c:pt idx="227">
                  <c:v>103.99518880299541</c:v>
                </c:pt>
                <c:pt idx="228">
                  <c:v>101.85186358686347</c:v>
                </c:pt>
                <c:pt idx="229">
                  <c:v>102.3092182769885</c:v>
                </c:pt>
                <c:pt idx="230">
                  <c:v>101.52831916024145</c:v>
                </c:pt>
                <c:pt idx="231">
                  <c:v>102.10000021816404</c:v>
                </c:pt>
                <c:pt idx="232">
                  <c:v>101.53867053210439</c:v>
                </c:pt>
                <c:pt idx="233">
                  <c:v>102.39569027046768</c:v>
                </c:pt>
                <c:pt idx="234">
                  <c:v>102.00383358801683</c:v>
                </c:pt>
                <c:pt idx="235">
                  <c:v>100.11964925358637</c:v>
                </c:pt>
                <c:pt idx="236">
                  <c:v>100.30573148314591</c:v>
                </c:pt>
                <c:pt idx="237">
                  <c:v>101.22287332127692</c:v>
                </c:pt>
                <c:pt idx="238">
                  <c:v>99.450051391979798</c:v>
                </c:pt>
                <c:pt idx="239">
                  <c:v>99.915826283687437</c:v>
                </c:pt>
                <c:pt idx="240">
                  <c:v>100.75815697069939</c:v>
                </c:pt>
                <c:pt idx="241">
                  <c:v>101.4255910288234</c:v>
                </c:pt>
                <c:pt idx="242">
                  <c:v>100.83598322826636</c:v>
                </c:pt>
                <c:pt idx="243">
                  <c:v>98.585021421642793</c:v>
                </c:pt>
                <c:pt idx="244">
                  <c:v>99.742236585083219</c:v>
                </c:pt>
                <c:pt idx="245">
                  <c:v>99.740202037666123</c:v>
                </c:pt>
                <c:pt idx="246">
                  <c:v>99.460196505566941</c:v>
                </c:pt>
                <c:pt idx="247">
                  <c:v>98.536826701820218</c:v>
                </c:pt>
                <c:pt idx="248">
                  <c:v>98.363610489249368</c:v>
                </c:pt>
                <c:pt idx="249">
                  <c:v>98.756250673970285</c:v>
                </c:pt>
                <c:pt idx="250">
                  <c:v>100.06053256031502</c:v>
                </c:pt>
                <c:pt idx="251">
                  <c:v>101.04741255938931</c:v>
                </c:pt>
                <c:pt idx="252">
                  <c:v>99.368050952802747</c:v>
                </c:pt>
                <c:pt idx="253">
                  <c:v>99.972413534425044</c:v>
                </c:pt>
                <c:pt idx="254">
                  <c:v>99.921821701104989</c:v>
                </c:pt>
                <c:pt idx="255">
                  <c:v>99.9672149551416</c:v>
                </c:pt>
                <c:pt idx="256">
                  <c:v>100.64914085415518</c:v>
                </c:pt>
                <c:pt idx="257">
                  <c:v>100.87836905521969</c:v>
                </c:pt>
                <c:pt idx="258">
                  <c:v>101.54528637006419</c:v>
                </c:pt>
                <c:pt idx="259">
                  <c:v>99.563855101846841</c:v>
                </c:pt>
                <c:pt idx="260" formatCode="General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6B-43FB-B46A-0AA2C126B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615680"/>
        <c:axId val="496614720"/>
      </c:lineChart>
      <c:catAx>
        <c:axId val="496615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14720"/>
        <c:crosses val="autoZero"/>
        <c:auto val="1"/>
        <c:lblAlgn val="ctr"/>
        <c:lblOffset val="100"/>
        <c:noMultiLvlLbl val="0"/>
      </c:catAx>
      <c:valAx>
        <c:axId val="4966147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1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338137</xdr:colOff>
      <xdr:row>236</xdr:row>
      <xdr:rowOff>147637</xdr:rowOff>
    </xdr:from>
    <xdr:to>
      <xdr:col>13</xdr:col>
      <xdr:colOff>33337</xdr:colOff>
      <xdr:row>251</xdr:row>
      <xdr:rowOff>33337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B0AC43B-9D5C-809C-B801-A156E7E335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5CA0F-BD21-4688-ABAB-01675079B1D6}">
  <dimension ref="A1:B43"/>
  <sheetViews>
    <sheetView workbookViewId="0"/>
  </sheetViews>
  <sheetFormatPr defaultRowHeight="14.4" x14ac:dyDescent="0.3"/>
  <sheetData>
    <row r="1" spans="1:2" x14ac:dyDescent="0.3">
      <c r="B1" t="s">
        <v>7</v>
      </c>
    </row>
    <row r="2" spans="1:2" x14ac:dyDescent="0.3"/>
    <row r="3" spans="1:2" x14ac:dyDescent="0.3"/>
    <row r="4" spans="1:2" x14ac:dyDescent="0.3"/>
    <row r="5" spans="1:2" x14ac:dyDescent="0.3"/>
    <row r="6" spans="1:2" x14ac:dyDescent="0.3"/>
    <row r="7" spans="1:2" x14ac:dyDescent="0.3"/>
    <row r="8" spans="1:2" x14ac:dyDescent="0.3"/>
    <row r="9" spans="1:2" x14ac:dyDescent="0.3"/>
    <row r="10" spans="1:2" x14ac:dyDescent="0.3"/>
    <row r="11" spans="1:2" x14ac:dyDescent="0.3"/>
    <row r="12" spans="1:2" x14ac:dyDescent="0.3"/>
    <row r="13" spans="1:2" x14ac:dyDescent="0.3"/>
    <row r="14" spans="1:2" x14ac:dyDescent="0.3"/>
    <row r="15" spans="1:2" x14ac:dyDescent="0.3"/>
    <row r="16" spans="1:2" x14ac:dyDescent="0.3"/>
    <row r="17" spans="1:1" x14ac:dyDescent="0.3"/>
    <row r="18" spans="1:1" x14ac:dyDescent="0.3"/>
    <row r="19" spans="1:1" x14ac:dyDescent="0.3"/>
    <row r="20" spans="1:1" x14ac:dyDescent="0.3"/>
    <row r="21" spans="1:1" x14ac:dyDescent="0.3"/>
    <row r="22" spans="1:1" x14ac:dyDescent="0.3"/>
    <row r="23" spans="1:1" x14ac:dyDescent="0.3"/>
    <row r="24" spans="1:1" x14ac:dyDescent="0.3"/>
    <row r="25" spans="1:1" x14ac:dyDescent="0.3"/>
    <row r="26" spans="1:1" x14ac:dyDescent="0.3"/>
    <row r="27" spans="1:1" x14ac:dyDescent="0.3"/>
    <row r="28" spans="1:1" x14ac:dyDescent="0.3"/>
    <row r="29" spans="1:1" x14ac:dyDescent="0.3"/>
    <row r="30" spans="1:1" x14ac:dyDescent="0.3"/>
    <row r="31" spans="1:1" x14ac:dyDescent="0.3"/>
    <row r="32" spans="1:1" x14ac:dyDescent="0.3"/>
    <row r="33" spans="1:1" x14ac:dyDescent="0.3"/>
    <row r="34" spans="1:1" x14ac:dyDescent="0.3"/>
    <row r="35" spans="1:1" x14ac:dyDescent="0.3"/>
    <row r="36" spans="1:1" x14ac:dyDescent="0.3"/>
    <row r="37" spans="1:1" x14ac:dyDescent="0.3"/>
    <row r="38" spans="1:1" x14ac:dyDescent="0.3"/>
    <row r="39" spans="1:1" x14ac:dyDescent="0.3"/>
    <row r="40" spans="1:1" x14ac:dyDescent="0.3"/>
    <row r="41" spans="1:1" x14ac:dyDescent="0.3"/>
    <row r="42" spans="1:1" x14ac:dyDescent="0.3"/>
    <row r="43" spans="1:1" x14ac:dyDescent="0.3"/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73C8D-333A-467B-9948-C87B506DD95B}">
  <dimension ref="A1:AC53"/>
  <sheetViews>
    <sheetView tabSelected="1" topLeftCell="B2" zoomScaleNormal="100" workbookViewId="0">
      <selection activeCell="AE3" sqref="AE3"/>
    </sheetView>
  </sheetViews>
  <sheetFormatPr defaultColWidth="9.109375" defaultRowHeight="14.4" x14ac:dyDescent="0.3"/>
  <cols>
    <col min="1" max="1" width="9.109375" style="4" hidden="1" customWidth="1"/>
    <col min="2" max="2" width="30.5546875" style="4" customWidth="1"/>
    <col min="3" max="3" width="9.109375" style="4" customWidth="1"/>
    <col min="4" max="4" width="10.88671875" style="4" bestFit="1" customWidth="1"/>
    <col min="5" max="5" width="9.88671875" style="4" bestFit="1" customWidth="1"/>
    <col min="6" max="9" width="9.109375" style="4"/>
    <col min="10" max="10" width="11" style="4" bestFit="1" customWidth="1"/>
    <col min="11" max="11" width="12.44140625" style="4" customWidth="1"/>
    <col min="12" max="18" width="9.109375" style="4" hidden="1" customWidth="1"/>
    <col min="19" max="19" width="12.44140625" style="4" customWidth="1"/>
    <col min="20" max="20" width="12.6640625" style="4" hidden="1" customWidth="1"/>
    <col min="21" max="27" width="9.109375" style="4" hidden="1" customWidth="1"/>
    <col min="28" max="28" width="12.44140625" style="4" customWidth="1"/>
    <col min="29" max="29" width="9.109375" style="4" hidden="1" customWidth="1"/>
    <col min="30" max="16384" width="9.109375" style="4"/>
  </cols>
  <sheetData>
    <row r="1" spans="1:29" ht="15.6" hidden="1" x14ac:dyDescent="0.3">
      <c r="F1" s="84"/>
      <c r="G1" s="84"/>
      <c r="H1" s="84"/>
      <c r="I1" s="84"/>
      <c r="J1" s="84"/>
      <c r="K1" s="84"/>
      <c r="L1" s="85"/>
      <c r="M1" s="85"/>
      <c r="N1" s="85"/>
      <c r="O1" s="85"/>
      <c r="P1" s="85"/>
      <c r="Q1" s="85"/>
      <c r="R1" s="85"/>
      <c r="S1" s="85"/>
      <c r="T1" s="85"/>
      <c r="U1" s="85" t="s">
        <v>50</v>
      </c>
      <c r="V1" s="85"/>
      <c r="W1" s="85"/>
      <c r="X1" s="85"/>
      <c r="Y1" s="85"/>
      <c r="Z1" s="85"/>
      <c r="AA1" s="85"/>
      <c r="AB1" s="85"/>
      <c r="AC1" s="85"/>
    </row>
    <row r="2" spans="1:29" ht="16.2" thickBot="1" x14ac:dyDescent="0.35">
      <c r="F2" s="84" t="s">
        <v>71</v>
      </c>
      <c r="G2" s="84"/>
      <c r="H2" s="84"/>
      <c r="I2" s="84"/>
      <c r="J2" s="84"/>
      <c r="K2" s="8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ht="31.8" thickBot="1" x14ac:dyDescent="0.35">
      <c r="B3" s="44"/>
      <c r="C3" s="43" t="s">
        <v>28</v>
      </c>
      <c r="D3" s="43" t="s">
        <v>29</v>
      </c>
      <c r="E3" s="43" t="s">
        <v>30</v>
      </c>
      <c r="F3" s="49" t="s">
        <v>28</v>
      </c>
      <c r="G3" s="50" t="s">
        <v>29</v>
      </c>
      <c r="H3" s="50" t="s">
        <v>30</v>
      </c>
      <c r="I3" s="50" t="s">
        <v>35</v>
      </c>
      <c r="J3" s="56" t="s">
        <v>60</v>
      </c>
      <c r="K3" s="56" t="s">
        <v>61</v>
      </c>
      <c r="L3" s="45" t="s">
        <v>28</v>
      </c>
      <c r="M3" s="45" t="s">
        <v>29</v>
      </c>
      <c r="N3" s="45" t="s">
        <v>30</v>
      </c>
      <c r="O3" s="45" t="s">
        <v>28</v>
      </c>
      <c r="P3" s="45" t="s">
        <v>29</v>
      </c>
      <c r="Q3" s="45" t="s">
        <v>30</v>
      </c>
      <c r="R3" s="45" t="s">
        <v>35</v>
      </c>
      <c r="S3" s="57" t="s">
        <v>47</v>
      </c>
      <c r="T3" s="45" t="s">
        <v>36</v>
      </c>
      <c r="U3" s="45" t="s">
        <v>28</v>
      </c>
      <c r="V3" s="45" t="s">
        <v>29</v>
      </c>
      <c r="W3" s="45" t="s">
        <v>30</v>
      </c>
      <c r="X3" s="45" t="s">
        <v>28</v>
      </c>
      <c r="Y3" s="45" t="s">
        <v>29</v>
      </c>
      <c r="Z3" s="45" t="s">
        <v>30</v>
      </c>
      <c r="AA3" s="45" t="s">
        <v>35</v>
      </c>
      <c r="AB3" s="46" t="s">
        <v>48</v>
      </c>
      <c r="AC3" s="42" t="s">
        <v>36</v>
      </c>
    </row>
    <row r="4" spans="1:29" ht="13.5" customHeight="1" x14ac:dyDescent="0.3">
      <c r="B4" s="51" t="s">
        <v>93</v>
      </c>
      <c r="C4" s="38"/>
      <c r="D4" s="38"/>
      <c r="E4" s="38"/>
      <c r="F4" s="73"/>
      <c r="G4" s="38"/>
      <c r="H4" s="38"/>
      <c r="I4" s="38"/>
      <c r="J4" s="38"/>
      <c r="K4" s="30"/>
      <c r="L4" s="38"/>
      <c r="M4" s="38"/>
      <c r="N4" s="38"/>
      <c r="O4" s="38"/>
      <c r="P4" s="38"/>
      <c r="Q4" s="38"/>
      <c r="R4" s="38"/>
      <c r="S4" s="39"/>
      <c r="T4" s="38"/>
      <c r="U4" s="38"/>
      <c r="V4" s="38"/>
      <c r="W4" s="38"/>
      <c r="X4" s="38"/>
      <c r="Y4" s="38"/>
      <c r="Z4" s="38"/>
      <c r="AA4" s="38"/>
      <c r="AB4" s="39"/>
      <c r="AC4" s="31"/>
    </row>
    <row r="5" spans="1:29" x14ac:dyDescent="0.3">
      <c r="A5" s="4" t="s">
        <v>0</v>
      </c>
      <c r="B5" s="5" t="s">
        <v>8</v>
      </c>
      <c r="C5" s="8">
        <f>_xll.FDS(A5,"FG_PRICE(0)/FG_PRICE_MAVG(0,,,,50)")-1</f>
        <v>2.2437612914190108E-2</v>
      </c>
      <c r="D5" s="19">
        <f>_xll.FDS(A5,"FG_PRICE(0)/FG_PRICE_MAVG(0,,,,100)")-1</f>
        <v>4.962920022707995E-2</v>
      </c>
      <c r="E5" s="19">
        <f>_xll.FDS(A5,"FG_PRICE(0)/FG_PRICE_MAVG(0,,,,200)")-1</f>
        <v>0.10216139711764005</v>
      </c>
      <c r="F5" s="47">
        <f t="shared" ref="F5:H12" si="0">IF(C5&gt;0,1,0)</f>
        <v>1</v>
      </c>
      <c r="G5" s="13">
        <f t="shared" si="0"/>
        <v>1</v>
      </c>
      <c r="H5" s="13">
        <f t="shared" si="0"/>
        <v>1</v>
      </c>
      <c r="I5" s="19"/>
      <c r="J5" s="14" t="str">
        <f>IF(H5&gt;0,"INVESTED","CASH")</f>
        <v>INVESTED</v>
      </c>
      <c r="K5" s="15" t="str">
        <f>IF(AND(J5="INVESTED",F5=0),"CAUTIOUS",IF(AND(J5="CASH",F5=0),"CASH",IF(AND(J5="CASH",F5&gt;0),"IMPROVING","INVESTED")))</f>
        <v>INVESTED</v>
      </c>
      <c r="L5" s="19">
        <f>_xll.FDS(A5,"FG_PRICE(-1W)/FG_PRICE_MAVG(-1W,,,,50)")-1</f>
        <v>-1.8769636757521968E-2</v>
      </c>
      <c r="M5" s="19">
        <f>_xll.FDS(A5,"FG_PRICE(-1W)/FG_PRICE_MAVG(-1W,,,,100)")-1</f>
        <v>5.9414082648900912E-3</v>
      </c>
      <c r="N5" s="19">
        <f>_xll.FDS(A5,"FG_PRICE(-1W)/FG_PRICE_MAVG(-1W,,,,200)")-1</f>
        <v>6.2021046623790044E-2</v>
      </c>
      <c r="O5" s="13">
        <f t="shared" ref="O5:Q12" si="1">IF(L5&gt;0,1,0)</f>
        <v>0</v>
      </c>
      <c r="P5" s="13">
        <f t="shared" si="1"/>
        <v>1</v>
      </c>
      <c r="Q5" s="13">
        <f t="shared" si="1"/>
        <v>1</v>
      </c>
      <c r="R5" s="19"/>
      <c r="S5" s="40" t="str">
        <f>IF(Q5&gt;0,"INVESTED","CASH")</f>
        <v>INVESTED</v>
      </c>
      <c r="T5" s="15" t="str">
        <f t="shared" ref="T5:T12" si="2">IF(AND(S5="INVESTED",L5&lt;0),"CAUTIOUS",IF(AND(S5="CASH",L5&lt;0),"CASH",IF(AND(S5="CASH",L5&gt;0),"IMPROVING","INVESTED")))</f>
        <v>CAUTIOUS</v>
      </c>
      <c r="U5" s="33">
        <f>_xll.FDS(A5,"FG_PRICE(-1M)/FG_PRICE_MAVG(-1M,,,,50)")-1</f>
        <v>3.6167806477569897E-2</v>
      </c>
      <c r="V5" s="19">
        <f>_xll.FDS(A5,"FG_PRICE(-1M)/FG_PRICE_MAVG(-1M,,,,100)")-1</f>
        <v>5.1344823303919984E-2</v>
      </c>
      <c r="W5" s="19">
        <f>_xll.FDS(A5,"FG_PRICE(-1M)/FG_PRICE_MAVG(-1M,,,,200)")-1</f>
        <v>0.12215000495058992</v>
      </c>
      <c r="X5" s="13">
        <f t="shared" ref="X5:Z12" si="3">IF(U5&gt;0,1,0)</f>
        <v>1</v>
      </c>
      <c r="Y5" s="13">
        <f t="shared" si="3"/>
        <v>1</v>
      </c>
      <c r="Z5" s="13">
        <f t="shared" si="3"/>
        <v>1</v>
      </c>
      <c r="AA5" s="19"/>
      <c r="AB5" s="40" t="str">
        <f>IF(Z5&gt;0,"INVESTED","CASH")</f>
        <v>INVESTED</v>
      </c>
      <c r="AC5" s="15" t="str">
        <f t="shared" ref="AC5:AC11" si="4">IF(AND(AB5="INVESTED",U5&lt;0),"CAUTIOUS",IF(AND(AB5="CASH",U5&lt;0),"CASH",IF(AND(AB5="CASH",U5&gt;0),"IMPROVING","INVESTED")))</f>
        <v>INVESTED</v>
      </c>
    </row>
    <row r="6" spans="1:29" x14ac:dyDescent="0.3">
      <c r="A6" s="4" t="s">
        <v>31</v>
      </c>
      <c r="B6" s="5" t="s">
        <v>10</v>
      </c>
      <c r="C6" s="6">
        <f>_xll.FDS(A6,"FG_PRICE(0)/FG_PRICE_MAVG(0,,,,50)")-1</f>
        <v>2.6787406480270004E-2</v>
      </c>
      <c r="D6" s="7">
        <f>_xll.FDS(A6,"FG_PRICE(0)/FG_PRICE_MAVG(0,,,,100)")-1</f>
        <v>3.380313077135999E-2</v>
      </c>
      <c r="E6" s="7">
        <f>_xll.FDS(A6,"FG_PRICE(0)/FG_PRICE_MAVG(0,,,,200)")-1</f>
        <v>6.5066372992000021E-2</v>
      </c>
      <c r="F6" s="47">
        <f t="shared" si="0"/>
        <v>1</v>
      </c>
      <c r="G6" s="13">
        <f t="shared" si="0"/>
        <v>1</v>
      </c>
      <c r="H6" s="13">
        <f t="shared" si="0"/>
        <v>1</v>
      </c>
      <c r="I6" s="19"/>
      <c r="J6" s="14" t="str">
        <f t="shared" ref="J6:J7" si="5">IF(H6&gt;0,"INVESTED","CASH")</f>
        <v>INVESTED</v>
      </c>
      <c r="K6" s="15" t="str">
        <f t="shared" ref="K6:K7" si="6">IF(AND(J6="INVESTED",F6=0),"CAUTIOUS",IF(AND(J6="CASH",F6=0),"CASH",IF(AND(J6="CASH",F6&gt;0),"IMPROVING","INVESTED")))</f>
        <v>INVESTED</v>
      </c>
      <c r="L6" s="7">
        <f>_xll.FDS(A6,"FG_PRICE(-1W)/FG_PRICE_MAVG(-1W,,,,50)")-1</f>
        <v>3.0676623818399751E-3</v>
      </c>
      <c r="M6" s="7">
        <f>_xll.FDS(A6,"FG_PRICE(-1W)/FG_PRICE_MAVG(-1W,,,,100)")-1</f>
        <v>6.8379406733301007E-3</v>
      </c>
      <c r="N6" s="7">
        <f>_xll.FDS(A6,"FG_PRICE(-1W)/FG_PRICE_MAVG(-1W,,,,200)")-1</f>
        <v>4.3890811670340035E-2</v>
      </c>
      <c r="O6" s="13">
        <f t="shared" si="1"/>
        <v>1</v>
      </c>
      <c r="P6" s="13">
        <f t="shared" si="1"/>
        <v>1</v>
      </c>
      <c r="Q6" s="13">
        <f t="shared" si="1"/>
        <v>1</v>
      </c>
      <c r="R6" s="19"/>
      <c r="S6" s="40" t="str">
        <f t="shared" ref="S6:S7" si="7">IF(Q6&gt;0,"INVESTED","CASH")</f>
        <v>INVESTED</v>
      </c>
      <c r="T6" s="15" t="str">
        <f t="shared" si="2"/>
        <v>INVESTED</v>
      </c>
      <c r="U6" s="32">
        <f>_xll.FDS(A6,"FG_PRICE(-1M)/FG_PRICE_MAVG(-1M,,,,50)")-1</f>
        <v>3.2384341867008892E-4</v>
      </c>
      <c r="V6" s="7">
        <f>_xll.FDS(A6,"FG_PRICE(-1M)/FG_PRICE_MAVG(-1M,,,,100)")-1</f>
        <v>2.8471171744099966E-3</v>
      </c>
      <c r="W6" s="7">
        <f>_xll.FDS(A6,"FG_PRICE(-1M)/FG_PRICE_MAVG(-1M,,,,200)")-1</f>
        <v>5.412639949515996E-2</v>
      </c>
      <c r="X6" s="13">
        <f t="shared" si="3"/>
        <v>1</v>
      </c>
      <c r="Y6" s="13">
        <f t="shared" si="3"/>
        <v>1</v>
      </c>
      <c r="Z6" s="13">
        <f t="shared" si="3"/>
        <v>1</v>
      </c>
      <c r="AA6" s="19"/>
      <c r="AB6" s="40" t="str">
        <f t="shared" ref="AB6:AB7" si="8">IF(Z6&gt;0,"INVESTED","CASH")</f>
        <v>INVESTED</v>
      </c>
      <c r="AC6" s="15" t="str">
        <f t="shared" si="4"/>
        <v>INVESTED</v>
      </c>
    </row>
    <row r="7" spans="1:29" x14ac:dyDescent="0.3">
      <c r="A7" s="4" t="s">
        <v>32</v>
      </c>
      <c r="B7" s="5" t="s">
        <v>75</v>
      </c>
      <c r="C7" s="19">
        <f>FactsetData!$K$2/AVERAGE(FactsetData!$K$3:$K$52)-1</f>
        <v>-2.3135903287755388E-3</v>
      </c>
      <c r="D7" s="19">
        <f>FactsetData!$K$2/AVERAGE(FactsetData!$K$3:$K$102)-1</f>
        <v>2.1644946186436087E-2</v>
      </c>
      <c r="E7" s="19">
        <f>FactsetData!$K$2/AVERAGE(FactsetData!$K$3:$K$202)-1</f>
        <v>4.3026498256840684E-2</v>
      </c>
      <c r="F7" s="47">
        <f t="shared" si="0"/>
        <v>0</v>
      </c>
      <c r="G7" s="13">
        <f t="shared" si="0"/>
        <v>1</v>
      </c>
      <c r="H7" s="13">
        <f t="shared" si="0"/>
        <v>1</v>
      </c>
      <c r="I7" s="19"/>
      <c r="J7" s="14" t="str">
        <f t="shared" si="5"/>
        <v>INVESTED</v>
      </c>
      <c r="K7" s="15" t="str">
        <f t="shared" si="6"/>
        <v>CAUTIOUS</v>
      </c>
      <c r="L7" s="19">
        <f>FactsetData!$K$7/AVERAGE(FactsetData!$K$8:$K$57)-1</f>
        <v>-7.4108872158851202E-4</v>
      </c>
      <c r="M7" s="19">
        <f>FactsetData!$K$7/AVERAGE(FactsetData!$K$8:$K$107)-1</f>
        <v>2.0888021513983945E-2</v>
      </c>
      <c r="N7" s="19">
        <f>FactsetData!$K$7/AVERAGE(FactsetData!$K$8:$K$207)-1</f>
        <v>4.2982665102955675E-2</v>
      </c>
      <c r="O7" s="13">
        <f t="shared" si="1"/>
        <v>0</v>
      </c>
      <c r="P7" s="13">
        <f t="shared" si="1"/>
        <v>1</v>
      </c>
      <c r="Q7" s="13">
        <f t="shared" si="1"/>
        <v>1</v>
      </c>
      <c r="R7" s="19"/>
      <c r="S7" s="40" t="str">
        <f t="shared" si="7"/>
        <v>INVESTED</v>
      </c>
      <c r="T7" s="15" t="str">
        <f t="shared" si="2"/>
        <v>CAUTIOUS</v>
      </c>
      <c r="U7" s="33">
        <f>FactsetData!$K$24/AVERAGE(FactsetData!$K$25:$K$74)-1</f>
        <v>2.2527987303158081E-2</v>
      </c>
      <c r="V7" s="19">
        <f>FactsetData!$K$24/AVERAGE(FactsetData!$K$25:$K$124)-1</f>
        <v>3.4646085278495553E-2</v>
      </c>
      <c r="W7" s="19">
        <f>FactsetData!$K$24/AVERAGE(FactsetData!$K$25:$K$224)-1</f>
        <v>5.7665770922326498E-2</v>
      </c>
      <c r="X7" s="13">
        <f t="shared" si="3"/>
        <v>1</v>
      </c>
      <c r="Y7" s="13">
        <f t="shared" si="3"/>
        <v>1</v>
      </c>
      <c r="Z7" s="13">
        <f t="shared" si="3"/>
        <v>1</v>
      </c>
      <c r="AA7" s="19"/>
      <c r="AB7" s="40" t="str">
        <f t="shared" si="8"/>
        <v>INVESTED</v>
      </c>
      <c r="AC7" s="15" t="str">
        <f t="shared" si="4"/>
        <v>INVESTED</v>
      </c>
    </row>
    <row r="8" spans="1:29" x14ac:dyDescent="0.3">
      <c r="B8" s="5" t="s">
        <v>33</v>
      </c>
      <c r="C8" s="19">
        <f>_xll.FDS("SP50","FMA_PCT_ABOVE_MAVG(200,0,,,,""PORTAGG"")/AVG(FMA_PCT_ABOVE_MAVG(200,0,-50D,,,""PORTAGG""))")-1</f>
        <v>6.5325747277459989E-2</v>
      </c>
      <c r="D8" s="19">
        <f>_xll.FDS("SP50","FMA_PCT_ABOVE_MAVG(200,0,,,,""PORTAGG"")/AVG(FMA_PCT_ABOVE_MAVG(200,0,-100D,,,""PORTAGG""))")-1</f>
        <v>2.3423264523120046E-2</v>
      </c>
      <c r="E8" s="19">
        <f>_xll.FDS("SP50","FMA_PCT_ABOVE_MAVG(200,0,,,,""PORTAGG"")/AVG(FMA_PCT_ABOVE_MAVG(200,0,-200D,,,""PORTAGG""))")-1</f>
        <v>4.9740473273059971E-2</v>
      </c>
      <c r="F8" s="47">
        <f t="shared" si="0"/>
        <v>1</v>
      </c>
      <c r="G8" s="13">
        <f t="shared" si="0"/>
        <v>1</v>
      </c>
      <c r="H8" s="13">
        <f t="shared" si="0"/>
        <v>1</v>
      </c>
      <c r="I8" s="19">
        <f>_xll.FDS("SP50","FMA_PCT_ABOVE_MAVG(200,0,,,,""PORTAGG"")")/100</f>
        <v>0.72654690618762496</v>
      </c>
      <c r="J8" s="14" t="str">
        <f>IF(I8&gt;0.5,"INVESTED","CASH")</f>
        <v>INVESTED</v>
      </c>
      <c r="K8" s="15" t="str">
        <f t="shared" ref="K8:K9" si="9">IF(AND(J8="INVESTED",C8&lt;0),"CAUTIOUS",IF(AND(J8="CASH",C8&lt;0),"CASH",IF(AND(J8="CASH",C8&gt;0),"IMPROVING","INVESTED")))</f>
        <v>INVESTED</v>
      </c>
      <c r="L8" s="19">
        <f>_xll.FDS("SP50","FMA_PCT_ABOVE_MAVG(200,-1W,,,,""PORTAGG"")/AVG(FMA_PCT_ABOVE_MAVG(200,-1W,-50D,,,""PORTAGG""))")-1</f>
        <v>-5.6451479708911956E-2</v>
      </c>
      <c r="M8" s="19">
        <f>_xll.FDS("SP50","FMA_PCT_ABOVE_MAVG(200,-1W,,,,""PORTAGG"")/AVG(FMA_PCT_ABOVE_MAVG(200,-1W,-100D,,,""PORTAGG""))")-1</f>
        <v>-9.6816669658579046E-2</v>
      </c>
      <c r="N8" s="19">
        <f>_xll.FDS("SP50","FMA_PCT_ABOVE_MAVG(200,-1W,,,,""PORTAGG"")/AVG(FMA_PCT_ABOVE_MAVG(200,-1W,-200D,,,""PORTAGG""))")-1</f>
        <v>-7.1621720267460054E-2</v>
      </c>
      <c r="O8" s="13">
        <f t="shared" si="1"/>
        <v>0</v>
      </c>
      <c r="P8" s="13">
        <f t="shared" si="1"/>
        <v>0</v>
      </c>
      <c r="Q8" s="13">
        <f t="shared" si="1"/>
        <v>0</v>
      </c>
      <c r="R8" s="19">
        <f>_xll.FDS("SP50","FMA_PCT_ABOVE_MAVG(200,-1W,,,,""PORTAGG"")")/100</f>
        <v>0.64271457085828299</v>
      </c>
      <c r="S8" s="40" t="str">
        <f>IF(R8&gt;0.5,"INVESTED","CASH")</f>
        <v>INVESTED</v>
      </c>
      <c r="T8" s="15" t="str">
        <f t="shared" si="2"/>
        <v>CAUTIOUS</v>
      </c>
      <c r="U8" s="33">
        <f>_xll.FDS("SP50","FMA_PCT_ABOVE_MAVG(200,-1M,,,,""PORTAGG"")/AVG(FMA_PCT_ABOVE_MAVG(200,-1M,-50D,,,""PORTAGG""))")-1</f>
        <v>7.9904115062001679E-4</v>
      </c>
      <c r="V8" s="19">
        <f>_xll.FDS("SP50","FMA_PCT_ABOVE_MAVG(200,-1M,,,,""PORTAGG"")/AVG(FMA_PCT_ABOVE_MAVG(200,-1M,-100D,,,""PORTAGG""))")-1</f>
        <v>-7.4831671354300022E-2</v>
      </c>
      <c r="W8" s="19">
        <f>_xll.FDS("SP50","FMA_PCT_ABOVE_MAVG(200,-1M,,,,""PORTAGG"")/AVG(FMA_PCT_ABOVE_MAVG(200,-1M,-200D,,,""PORTAGG""))")-1</f>
        <v>-3.6087452805338982E-2</v>
      </c>
      <c r="X8" s="13">
        <f t="shared" si="3"/>
        <v>1</v>
      </c>
      <c r="Y8" s="13">
        <f t="shared" si="3"/>
        <v>0</v>
      </c>
      <c r="Z8" s="13">
        <f t="shared" si="3"/>
        <v>0</v>
      </c>
      <c r="AA8" s="19">
        <f>_xll.FDS("SP50","FMA_PCT_ABOVE_MAVG(200,-1M,,,,""PORTAGG"")")/100</f>
        <v>0.66799999999999993</v>
      </c>
      <c r="AB8" s="40" t="str">
        <f>IF(AA8&gt;0.5,"INVESTED","CASH")</f>
        <v>INVESTED</v>
      </c>
      <c r="AC8" s="15" t="str">
        <f t="shared" si="4"/>
        <v>INVESTED</v>
      </c>
    </row>
    <row r="9" spans="1:29" x14ac:dyDescent="0.3">
      <c r="B9" s="5" t="s">
        <v>34</v>
      </c>
      <c r="C9" s="19">
        <f>_xll.FDS("SP50","FMA_PCT_ABOVE_MAVG(50,0,,,,""PORTAGG"")/AVG(FMA_PCT_ABOVE_MAVG(50,0,-50D,,,""PORTAGG""))")-1</f>
        <v>0.27877660673692994</v>
      </c>
      <c r="D9" s="19">
        <f>_xll.FDS("SP50","FMA_PCT_ABOVE_MAVG(50,0,,,,""PORTAGG"")/AVG(FMA_PCT_ABOVE_MAVG(50,0,-100D,,,""PORTAGG""))")-1</f>
        <v>0.33175675973765006</v>
      </c>
      <c r="E9" s="19">
        <f>_xll.FDS("SP50","FMA_PCT_ABOVE_MAVG(50,0,,,,""PORTAGG"")/AVG(FMA_PCT_ABOVE_MAVG(50,0,-200D,,,""PORTAGG""))")-1</f>
        <v>0.14671710146313011</v>
      </c>
      <c r="F9" s="47">
        <f t="shared" si="0"/>
        <v>1</v>
      </c>
      <c r="G9" s="13">
        <f t="shared" si="0"/>
        <v>1</v>
      </c>
      <c r="H9" s="13">
        <f t="shared" si="0"/>
        <v>1</v>
      </c>
      <c r="I9" s="19">
        <f>_xll.FDS("SP50","FMA_PCT_ABOVE_MAVG(200,0,,,,""PORTAGG"")")/100</f>
        <v>0.72654690618762496</v>
      </c>
      <c r="J9" s="14" t="str">
        <f>IF(I9&gt;0.5,"INVESTED","CASH")</f>
        <v>INVESTED</v>
      </c>
      <c r="K9" s="15" t="str">
        <f t="shared" si="9"/>
        <v>INVESTED</v>
      </c>
      <c r="L9" s="19">
        <f>_xll.FDS("SP50","FMA_PCT_ABOVE_MAVG(50,-1W,,,,""PORTAGG"")/AVG(FMA_PCT_ABOVE_MAVG(50,-1W,-50D,,,""PORTAGG""))")-1</f>
        <v>4.5480525843059949E-2</v>
      </c>
      <c r="M9" s="19">
        <f>_xll.FDS("SP50","FMA_PCT_ABOVE_MAVG(50,-1W,,,,""PORTAGG"")/AVG(FMA_PCT_ABOVE_MAVG(50,-1W,-100D,,,""PORTAGG""))")-1</f>
        <v>7.9664777232119954E-2</v>
      </c>
      <c r="N9" s="19">
        <f>_xll.FDS("SP50","FMA_PCT_ABOVE_MAVG(50,-1W,,,,""PORTAGG"")/AVG(FMA_PCT_ABOVE_MAVG(50,-1W,-200D,,,""PORTAGG""))")-1</f>
        <v>-8.2541189620691013E-2</v>
      </c>
      <c r="O9" s="13">
        <f t="shared" si="1"/>
        <v>1</v>
      </c>
      <c r="P9" s="13">
        <f t="shared" si="1"/>
        <v>1</v>
      </c>
      <c r="Q9" s="13">
        <f t="shared" si="1"/>
        <v>0</v>
      </c>
      <c r="R9" s="19">
        <f>_xll.FDS("SP50","FMA_PCT_ABOVE_MAVG(200,-1W,,,,""PORTAGG"")")/100</f>
        <v>0.64271457085828299</v>
      </c>
      <c r="S9" s="40" t="str">
        <f>IF(R9&gt;0.5,"INVESTED","CASH")</f>
        <v>INVESTED</v>
      </c>
      <c r="T9" s="15" t="str">
        <f t="shared" si="2"/>
        <v>INVESTED</v>
      </c>
      <c r="U9" s="33">
        <f>_xll.FDS("SP50","FMA_PCT_ABOVE_MAVG(50,-1M,,,,""PORTAGG"")/AVG(FMA_PCT_ABOVE_MAVG(50,-1M,-50D,,,""PORTAGG""))")-1</f>
        <v>-5.276107162383803E-2</v>
      </c>
      <c r="V9" s="19">
        <f>_xll.FDS("SP50","FMA_PCT_ABOVE_MAVG(50,-1M,,,,""PORTAGG"")/AVG(FMA_PCT_ABOVE_MAVG(50,-1M,-100D,,,""PORTAGG""))")-1</f>
        <v>-0.10340232811027605</v>
      </c>
      <c r="W9" s="19">
        <f>_xll.FDS("SP50","FMA_PCT_ABOVE_MAVG(50,-1M,,,,""PORTAGG"")/AVG(FMA_PCT_ABOVE_MAVG(50,-1M,-200D,,,""PORTAGG""))")-1</f>
        <v>-0.28008849934237501</v>
      </c>
      <c r="X9" s="13">
        <f t="shared" si="3"/>
        <v>0</v>
      </c>
      <c r="Y9" s="13">
        <f t="shared" si="3"/>
        <v>0</v>
      </c>
      <c r="Z9" s="13">
        <f t="shared" si="3"/>
        <v>0</v>
      </c>
      <c r="AA9" s="19">
        <f>_xll.FDS("SP50","FMA_PCT_ABOVE_MAVG(200,-1M,,,,""PORTAGG"")")/100</f>
        <v>0.66799999999999993</v>
      </c>
      <c r="AB9" s="40" t="str">
        <f>IF(AA9&gt;0.5,"INVESTED","CASH")</f>
        <v>INVESTED</v>
      </c>
      <c r="AC9" s="15" t="str">
        <f t="shared" si="4"/>
        <v>CAUTIOUS</v>
      </c>
    </row>
    <row r="10" spans="1:29" x14ac:dyDescent="0.3">
      <c r="B10" s="5" t="s">
        <v>41</v>
      </c>
      <c r="C10" s="19">
        <f>FactsetData!I2/AVERAGE(FactsetData!I3:I52)-1</f>
        <v>-3.0493129796000829E-2</v>
      </c>
      <c r="D10" s="19">
        <f>FactsetData!I2/AVERAGE(FactsetData!I3:I102)-1</f>
        <v>-1.7379569990113142E-2</v>
      </c>
      <c r="E10" s="19">
        <f>FactsetData!I2/AVERAGE(FactsetData!I3:I202)-1</f>
        <v>-4.1818564417357762E-2</v>
      </c>
      <c r="F10" s="47">
        <f t="shared" si="0"/>
        <v>0</v>
      </c>
      <c r="G10" s="13">
        <f t="shared" si="0"/>
        <v>0</v>
      </c>
      <c r="H10" s="13">
        <f t="shared" si="0"/>
        <v>0</v>
      </c>
      <c r="I10" s="19"/>
      <c r="J10" s="14" t="str">
        <f t="shared" ref="J10:J12" si="10">IF(H10&gt;0,"INVESTED","CASH")</f>
        <v>CASH</v>
      </c>
      <c r="K10" s="15" t="str">
        <f t="shared" ref="K10:K12" si="11">IF(AND(J10="INVESTED",F10=0),"CAUTIOUS",IF(AND(J10="CASH",F10=0),"CASH",IF(AND(J10="CASH",F10&gt;0),"IMPROVING","INVESTED")))</f>
        <v>CASH</v>
      </c>
      <c r="L10" s="19">
        <f>FactsetData!I7/AVERAGE(FactsetData!I8:I57)-1</f>
        <v>-4.1437693301068723E-2</v>
      </c>
      <c r="M10" s="7">
        <f>FactsetData!I7/AVERAGE(FactsetData!I8:I107)-1</f>
        <v>-3.0732585684347891E-2</v>
      </c>
      <c r="N10" s="7">
        <f>FactsetData!I7/AVERAGE(FactsetData!I8:I207)-1</f>
        <v>-4.9683077004101794E-2</v>
      </c>
      <c r="O10" s="13">
        <f t="shared" si="1"/>
        <v>0</v>
      </c>
      <c r="P10" s="13">
        <f t="shared" si="1"/>
        <v>0</v>
      </c>
      <c r="Q10" s="13">
        <f t="shared" si="1"/>
        <v>0</v>
      </c>
      <c r="R10" s="19"/>
      <c r="S10" s="40" t="str">
        <f t="shared" ref="S10:S12" si="12">IF(Q10&gt;0,"INVESTED","CASH")</f>
        <v>CASH</v>
      </c>
      <c r="T10" s="15" t="str">
        <f t="shared" si="2"/>
        <v>CASH</v>
      </c>
      <c r="U10" s="33">
        <f>FactsetData!I24/AVERAGE(FactsetData!I25:I74)-1</f>
        <v>-2.2060044248516375E-3</v>
      </c>
      <c r="V10" s="7">
        <f>FactsetData!I24/AVERAGE(FactsetData!I25:I124)-1</f>
        <v>-5.3346506925746606E-3</v>
      </c>
      <c r="W10" s="7">
        <f>FactsetData!I24/AVERAGE(FactsetData!I25:I224)-1</f>
        <v>-1.2814052010768906E-2</v>
      </c>
      <c r="X10" s="13">
        <f t="shared" si="3"/>
        <v>0</v>
      </c>
      <c r="Y10" s="13">
        <f t="shared" si="3"/>
        <v>0</v>
      </c>
      <c r="Z10" s="13">
        <f t="shared" si="3"/>
        <v>0</v>
      </c>
      <c r="AA10" s="19"/>
      <c r="AB10" s="40" t="str">
        <f t="shared" ref="AB10:AB12" si="13">IF(Z10&gt;0,"INVESTED","CASH")</f>
        <v>CASH</v>
      </c>
      <c r="AC10" s="15" t="str">
        <f t="shared" si="4"/>
        <v>CASH</v>
      </c>
    </row>
    <row r="11" spans="1:29" x14ac:dyDescent="0.3">
      <c r="B11" s="5" t="s">
        <v>49</v>
      </c>
      <c r="C11" s="19">
        <f>FactsetData!H2/AVERAGE(FactsetData!H3:H52)-1</f>
        <v>-2.8320490057237468E-2</v>
      </c>
      <c r="D11" s="19">
        <f>FactsetData!H2/AVERAGE(FactsetData!H3:H102)-1</f>
        <v>-2.2092668920311809E-2</v>
      </c>
      <c r="E11" s="19">
        <f>FactsetData!H2/AVERAGE(FactsetData!H3:H202)-1</f>
        <v>3.2698162985801194E-2</v>
      </c>
      <c r="F11" s="47">
        <f t="shared" si="0"/>
        <v>0</v>
      </c>
      <c r="G11" s="13">
        <f t="shared" si="0"/>
        <v>0</v>
      </c>
      <c r="H11" s="13">
        <f t="shared" si="0"/>
        <v>1</v>
      </c>
      <c r="I11" s="19"/>
      <c r="J11" s="14" t="str">
        <f t="shared" si="10"/>
        <v>INVESTED</v>
      </c>
      <c r="K11" s="15" t="str">
        <f t="shared" si="11"/>
        <v>CAUTIOUS</v>
      </c>
      <c r="L11" s="19">
        <f>FactsetData!H7/AVERAGE(FactsetData!H8:H57)-1</f>
        <v>-4.4960186072040664E-2</v>
      </c>
      <c r="M11" s="7">
        <f>FactsetData!H7/AVERAGE(FactsetData!H8:H107)-1</f>
        <v>-3.6499554866734729E-2</v>
      </c>
      <c r="N11" s="7">
        <f>FactsetData!H7/AVERAGE(FactsetData!H8:H207)-1</f>
        <v>2.0176318099877966E-2</v>
      </c>
      <c r="O11" s="13">
        <f t="shared" si="1"/>
        <v>0</v>
      </c>
      <c r="P11" s="13">
        <f t="shared" si="1"/>
        <v>0</v>
      </c>
      <c r="Q11" s="13">
        <f t="shared" si="1"/>
        <v>1</v>
      </c>
      <c r="R11" s="19"/>
      <c r="S11" s="40" t="str">
        <f t="shared" si="12"/>
        <v>INVESTED</v>
      </c>
      <c r="T11" s="15" t="str">
        <f t="shared" si="2"/>
        <v>CAUTIOUS</v>
      </c>
      <c r="U11" s="33">
        <f>FactsetData!H24/AVERAGE(FactsetData!H25:H74)-1</f>
        <v>8.7473879854951253E-3</v>
      </c>
      <c r="V11" s="7">
        <f>FactsetData!H24/AVERAGE(FactsetData!H25:H124)-1</f>
        <v>3.160639114389685E-2</v>
      </c>
      <c r="W11" s="7">
        <f>FactsetData!H24/AVERAGE(FactsetData!H25:H224)-1</f>
        <v>9.5002433202374448E-2</v>
      </c>
      <c r="X11" s="13">
        <f t="shared" si="3"/>
        <v>1</v>
      </c>
      <c r="Y11" s="13">
        <f t="shared" si="3"/>
        <v>1</v>
      </c>
      <c r="Z11" s="13">
        <f t="shared" si="3"/>
        <v>1</v>
      </c>
      <c r="AA11" s="19"/>
      <c r="AB11" s="40" t="str">
        <f t="shared" si="13"/>
        <v>INVESTED</v>
      </c>
      <c r="AC11" s="15" t="str">
        <f t="shared" si="4"/>
        <v>INVESTED</v>
      </c>
    </row>
    <row r="12" spans="1:29" ht="15" thickBot="1" x14ac:dyDescent="0.35">
      <c r="A12" s="4" t="s">
        <v>39</v>
      </c>
      <c r="B12" s="10" t="s">
        <v>51</v>
      </c>
      <c r="C12" s="37">
        <f>FactsetData!$J$2/AVERAGE(FactsetData!$J$3:$J$52)-1</f>
        <v>1.4566262011390219E-2</v>
      </c>
      <c r="D12" s="37">
        <f>FactsetData!$J$2/AVERAGE(FactsetData!$J$3:$J$102)-1</f>
        <v>3.7486967766634072E-2</v>
      </c>
      <c r="E12" s="37">
        <f>FactsetData!$J$2/AVERAGE(FactsetData!$J$3:$J$202)-1</f>
        <v>9.0578889817372943E-2</v>
      </c>
      <c r="F12" s="48">
        <f t="shared" si="0"/>
        <v>1</v>
      </c>
      <c r="G12" s="20">
        <f t="shared" si="0"/>
        <v>1</v>
      </c>
      <c r="H12" s="20">
        <f t="shared" si="0"/>
        <v>1</v>
      </c>
      <c r="I12" s="37"/>
      <c r="J12" s="16" t="str">
        <f t="shared" si="10"/>
        <v>INVESTED</v>
      </c>
      <c r="K12" s="17" t="str">
        <f t="shared" si="11"/>
        <v>INVESTED</v>
      </c>
      <c r="L12" s="37">
        <f>FactsetData!$J$7/AVERAGE(FactsetData!$J$8:$J$57)-1</f>
        <v>-1.27523491485666E-2</v>
      </c>
      <c r="M12" s="37">
        <f>FactsetData!$J$7/AVERAGE(FactsetData!$J$8:$J$107)-1</f>
        <v>9.3925533273497841E-3</v>
      </c>
      <c r="N12" s="37">
        <f>FactsetData!$J$7/AVERAGE(FactsetData!$J$8:$J$207)-1</f>
        <v>6.5322557095138567E-2</v>
      </c>
      <c r="O12" s="20">
        <f t="shared" si="1"/>
        <v>0</v>
      </c>
      <c r="P12" s="20">
        <f t="shared" si="1"/>
        <v>1</v>
      </c>
      <c r="Q12" s="20">
        <f t="shared" si="1"/>
        <v>1</v>
      </c>
      <c r="R12" s="37"/>
      <c r="S12" s="41" t="str">
        <f t="shared" si="12"/>
        <v>INVESTED</v>
      </c>
      <c r="T12" s="17" t="str">
        <f t="shared" si="2"/>
        <v>CAUTIOUS</v>
      </c>
      <c r="U12" s="37">
        <f>FactsetData!$J$24/AVERAGE(FactsetData!$J$25:$J$74)-1</f>
        <v>1.38170158522537E-2</v>
      </c>
      <c r="V12" s="37">
        <f>FactsetData!$J$24/AVERAGE(FactsetData!$J$25:$J$124)-1</f>
        <v>3.9554184141518345E-2</v>
      </c>
      <c r="W12" s="37">
        <f>FactsetData!$J$24/AVERAGE(FactsetData!$J$25:$J$224)-1</f>
        <v>0.10793366965311613</v>
      </c>
      <c r="X12" s="20">
        <f t="shared" si="3"/>
        <v>1</v>
      </c>
      <c r="Y12" s="20">
        <f t="shared" si="3"/>
        <v>1</v>
      </c>
      <c r="Z12" s="20">
        <f t="shared" si="3"/>
        <v>1</v>
      </c>
      <c r="AA12" s="37"/>
      <c r="AB12" s="41" t="str">
        <f t="shared" si="13"/>
        <v>INVESTED</v>
      </c>
      <c r="AC12" s="15"/>
    </row>
    <row r="13" spans="1:29" ht="13.5" customHeight="1" x14ac:dyDescent="0.3">
      <c r="B13" s="51" t="s">
        <v>94</v>
      </c>
      <c r="C13" s="38"/>
      <c r="D13" s="38"/>
      <c r="E13" s="38"/>
      <c r="F13" s="73"/>
      <c r="G13" s="38"/>
      <c r="H13" s="38"/>
      <c r="I13" s="38"/>
      <c r="J13" s="38"/>
      <c r="K13" s="30"/>
      <c r="L13" s="38"/>
      <c r="M13" s="38"/>
      <c r="N13" s="38"/>
      <c r="O13" s="38"/>
      <c r="P13" s="38"/>
      <c r="Q13" s="38"/>
      <c r="R13" s="38"/>
      <c r="S13" s="39"/>
      <c r="T13" s="38"/>
      <c r="U13" s="38"/>
      <c r="V13" s="38"/>
      <c r="W13" s="38"/>
      <c r="X13" s="38"/>
      <c r="Y13" s="38"/>
      <c r="Z13" s="38"/>
      <c r="AA13" s="38"/>
      <c r="AB13" s="30"/>
      <c r="AC13" s="31"/>
    </row>
    <row r="14" spans="1:29" x14ac:dyDescent="0.3">
      <c r="B14" s="5" t="s">
        <v>18</v>
      </c>
      <c r="C14" s="19">
        <f>_xll.FDS("SP50","FMA_EPS(NTMA,0,,,,""PORTAGG"",""MEANR"")/AVG(FMA_EPS(NTMA,0,-50D,,,""PORTAGG"",""MEANR""))")-1</f>
        <v>1.1073087578209906E-2</v>
      </c>
      <c r="D14" s="19">
        <f>_xll.FDS("SP50","FMA_EPS(NTMA,0,,,,""PORTAGG"",""MEANR"")/AVG(FMA_EPS(NTMA,0,-100D,,,""PORTAGG"",""MEANR""))")-1</f>
        <v>2.5867951385730059E-2</v>
      </c>
      <c r="E14" s="19">
        <f>_xll.FDS("SP50","FMA_EPS(NTMA,0,,,,""PORTAGG"",""MEANR"")/AVG(FMA_EPS(NTMA,0,-200D,,,""PORTAGG"",""MEANR""))")-1</f>
        <v>5.3396222692499995E-2</v>
      </c>
      <c r="F14" s="47">
        <f t="shared" ref="F14:H16" si="14">IF(C14&gt;0,1,0)</f>
        <v>1</v>
      </c>
      <c r="G14" s="13">
        <f t="shared" si="14"/>
        <v>1</v>
      </c>
      <c r="H14" s="13">
        <f t="shared" si="14"/>
        <v>1</v>
      </c>
      <c r="I14" s="19"/>
      <c r="J14" s="14" t="str">
        <f>IF(E14&gt;0,"INVESTED","CASH")</f>
        <v>INVESTED</v>
      </c>
      <c r="K14" s="15" t="str">
        <f>IF(AND(J14="INVESTED",C14&lt;0),"CAUTIOUS",IF(AND(J14="CASH",C14&lt;0),"CASH",IF(AND(J14="CASH",C14&gt;0),"IMPROVING","INVESTED")))</f>
        <v>INVESTED</v>
      </c>
      <c r="L14" s="19">
        <f>_xll.FDS("SP50","FMA_EPS(NTMA,-1W,,,,""PORTAGG"",""MEANR"")/AVG(FMA_EPS(NTMA,-1W,-50D,,,""PORTAGG"",""MEANR""))")-1</f>
        <v>8.6243987500200792E-3</v>
      </c>
      <c r="M14" s="7">
        <f>_xll.FDS("SP50","FMA_EPS(NTMA,-1W,,,,""PORTAGG"",""MEANR"")/AVG(FMA_EPS(NTMA,-1W,-100D,,,""PORTAGG"",""MEANR""))")-1</f>
        <v>2.3678201913819974E-2</v>
      </c>
      <c r="N14" s="7">
        <f>_xll.FDS("SP50","FMA_EPS(NTMA,-1W,,,,""PORTAGG"",""MEANR"")/AVG(FMA_EPS(NTMA,-1W,-200D,,,""PORTAGG"",""MEANR""))")-1</f>
        <v>5.1206839226469958E-2</v>
      </c>
      <c r="O14" s="13">
        <f t="shared" ref="O14:Q16" si="15">IF(L14&gt;0,1,0)</f>
        <v>1</v>
      </c>
      <c r="P14" s="13">
        <f t="shared" si="15"/>
        <v>1</v>
      </c>
      <c r="Q14" s="13">
        <f t="shared" si="15"/>
        <v>1</v>
      </c>
      <c r="R14" s="19"/>
      <c r="S14" s="40" t="str">
        <f>IF(N14&gt;0,"INVESTED","CASH")</f>
        <v>INVESTED</v>
      </c>
      <c r="T14" s="15" t="str">
        <f>IF(AND(S14="INVESTED",L14&lt;0),"CAUTIOUS",IF(AND(S14="CASH",L14&lt;0),"CASH",IF(AND(S14="CASH",L14&gt;0),"IMPROVING","INVESTED")))</f>
        <v>INVESTED</v>
      </c>
      <c r="U14" s="33">
        <f>_xll.FDS("SP50","FMA_EPS(NTMA,-1M,,,,""PORTAGG"",""MEANR"")/AVG(FMA_EPS(NTMA,-1M,-50D,,,""PORTAGG"",""MEANR""))")-1</f>
        <v>2.6971784814200372E-3</v>
      </c>
      <c r="V14" s="7">
        <f>_xll.FDS("SP50","FMA_EPS(NTMA,-1M,,,,""PORTAGG"",""MEANR"")/AVG(FMA_EPS(NTMA,-1M,-100D,,,""PORTAGG"",""MEANR""))")-1</f>
        <v>1.9427565467670105E-2</v>
      </c>
      <c r="W14" s="7">
        <f>_xll.FDS("SP50","FMA_EPS(NTMA,-1M,,,,""PORTAGG"",""MEANR"")/AVG(FMA_EPS(NTMA,-1M,-200D,,,""PORTAGG"",""MEANR""))")-1</f>
        <v>4.6696129616649928E-2</v>
      </c>
      <c r="X14" s="13">
        <f t="shared" ref="X14:Z16" si="16">IF(U14&gt;0,1,0)</f>
        <v>1</v>
      </c>
      <c r="Y14" s="13">
        <f t="shared" si="16"/>
        <v>1</v>
      </c>
      <c r="Z14" s="13">
        <f t="shared" si="16"/>
        <v>1</v>
      </c>
      <c r="AA14" s="19"/>
      <c r="AB14" s="15" t="str">
        <f>IF(W14&gt;0,"INVESTED","CASH")</f>
        <v>INVESTED</v>
      </c>
      <c r="AC14" s="15" t="str">
        <f>IF(AND(AB14="INVESTED",U14&lt;0),"CAUTIOUS",IF(AND(AB14="CASH",U14&lt;0),"CASH",IF(AND(AB14="CASH",U14&gt;0),"IMPROVING","INVESTED")))</f>
        <v>INVESTED</v>
      </c>
    </row>
    <row r="15" spans="1:29" x14ac:dyDescent="0.3">
      <c r="B15" s="5" t="s">
        <v>67</v>
      </c>
      <c r="C15" s="19">
        <f>FactsetData!P2/AVERAGE(FactsetData!P3:P52)-1</f>
        <v>3.6562776188042712E-3</v>
      </c>
      <c r="D15" s="19">
        <f>FactsetData!P2/AVERAGE(FactsetData!P3:P102)-1</f>
        <v>3.1226530897352278E-2</v>
      </c>
      <c r="E15" s="19">
        <f>FactsetData!P2/AVERAGE(FactsetData!P3:P202)-1</f>
        <v>7.8797067942900645E-2</v>
      </c>
      <c r="F15" s="47">
        <f t="shared" si="14"/>
        <v>1</v>
      </c>
      <c r="G15" s="13">
        <f t="shared" si="14"/>
        <v>1</v>
      </c>
      <c r="H15" s="13">
        <f t="shared" si="14"/>
        <v>1</v>
      </c>
      <c r="I15" s="19"/>
      <c r="J15" s="14" t="str">
        <f>IF(E15&gt;0,"INVESTED","CASH")</f>
        <v>INVESTED</v>
      </c>
      <c r="K15" s="15" t="str">
        <f>IF(AND(J15="INVESTED",C15&lt;0),"CAUTIOUS",IF(AND(J15="CASH",C15&lt;0),"CASH",IF(AND(J15="CASH",C15&gt;0),"IMPROVING","INVESTED")))</f>
        <v>INVESTED</v>
      </c>
      <c r="L15" s="19">
        <f>FactsetData!$P$7/AVERAGE(FactsetData!$P$8:$P$57)-1</f>
        <v>2.9352126016585656E-2</v>
      </c>
      <c r="M15" s="19">
        <f>FactsetData!$P$7/AVERAGE(FactsetData!$P$8:$P$107)-1</f>
        <v>5.4330435339223104E-2</v>
      </c>
      <c r="N15" s="19">
        <f>FactsetData!$P$7/AVERAGE(FactsetData!$P$8:$P$207)-1</f>
        <v>0.10430853511842986</v>
      </c>
      <c r="O15" s="13">
        <f t="shared" si="15"/>
        <v>1</v>
      </c>
      <c r="P15" s="13">
        <f t="shared" si="15"/>
        <v>1</v>
      </c>
      <c r="Q15" s="13">
        <f t="shared" si="15"/>
        <v>1</v>
      </c>
      <c r="R15" s="19"/>
      <c r="S15" s="40" t="str">
        <f>IF(N15&gt;0,"INVESTED","CASH")</f>
        <v>INVESTED</v>
      </c>
      <c r="T15" s="15" t="str">
        <f>IF(AND(S15="INVESTED",L15&lt;0),"CAUTIOUS",IF(AND(S15="CASH",L15&lt;0),"CASH",IF(AND(S15="CASH",L15&gt;0),"IMPROVING","INVESTED")))</f>
        <v>INVESTED</v>
      </c>
      <c r="U15" s="33">
        <f>FactsetData!$P$24/AVERAGE(FactsetData!$P$25:$P$74)-1</f>
        <v>4.3463168989378076E-2</v>
      </c>
      <c r="V15" s="19">
        <f>FactsetData!$P$24/AVERAGE(FactsetData!$P$25:$P$124)-1</f>
        <v>4.9746185454426328E-2</v>
      </c>
      <c r="W15" s="19">
        <f>FactsetData!$P$24/AVERAGE(FactsetData!$P$25:$P$224)-1</f>
        <v>0.10293296774882355</v>
      </c>
      <c r="X15" s="13">
        <f t="shared" si="16"/>
        <v>1</v>
      </c>
      <c r="Y15" s="13">
        <f t="shared" si="16"/>
        <v>1</v>
      </c>
      <c r="Z15" s="13">
        <f t="shared" si="16"/>
        <v>1</v>
      </c>
      <c r="AA15" s="19"/>
      <c r="AB15" s="15" t="str">
        <f>IF(W15&gt;0,"INVESTED","CASH")</f>
        <v>INVESTED</v>
      </c>
      <c r="AC15" s="15"/>
    </row>
    <row r="16" spans="1:29" ht="15" thickBot="1" x14ac:dyDescent="0.35">
      <c r="B16" s="10" t="s">
        <v>19</v>
      </c>
      <c r="C16" s="58">
        <f>FactsetData!B2/AVERAGE(FactsetData!B3:B52)-1</f>
        <v>0.16776974556990387</v>
      </c>
      <c r="D16" s="58">
        <f>FactsetData!B2/AVERAGE(FactsetData!B3:B102)-1</f>
        <v>0.1212945467995834</v>
      </c>
      <c r="E16" s="58">
        <f>FactsetData!B2/AVERAGE(FactsetData!B3:B202)-1</f>
        <v>6.4823841903887347E-2</v>
      </c>
      <c r="F16" s="48">
        <f t="shared" si="14"/>
        <v>1</v>
      </c>
      <c r="G16" s="20">
        <f t="shared" si="14"/>
        <v>1</v>
      </c>
      <c r="H16" s="20">
        <f t="shared" si="14"/>
        <v>1</v>
      </c>
      <c r="I16" s="37">
        <f>FactsetData!B2</f>
        <v>0.58574610244988901</v>
      </c>
      <c r="J16" s="16" t="str">
        <f>IF(I16&gt;0.5,"INVESTED","CASH")</f>
        <v>INVESTED</v>
      </c>
      <c r="K16" s="17" t="str">
        <f>IF(AND(J16="INVESTED",C16&lt;0),"CAUTIOUS",IF(AND(J16="CASH",C16&lt;0),"CASH",IF(AND(J16="CASH",C16&gt;0),"IMPROVING","INVESTED")))</f>
        <v>INVESTED</v>
      </c>
      <c r="L16" s="58">
        <f>FactsetData!B7/AVERAGE(FactsetData!B8:B57)-1</f>
        <v>0.16217163625241304</v>
      </c>
      <c r="M16" s="58">
        <f>FactsetData!B7/AVERAGE(FactsetData!B8:B107)-1</f>
        <v>0.12348217971731446</v>
      </c>
      <c r="N16" s="58">
        <f>FactsetData!B7/AVERAGE(FactsetData!B8:B207)-1</f>
        <v>6.2808121855885801E-2</v>
      </c>
      <c r="O16" s="20">
        <f t="shared" si="15"/>
        <v>1</v>
      </c>
      <c r="P16" s="20">
        <f t="shared" si="15"/>
        <v>1</v>
      </c>
      <c r="Q16" s="20">
        <f t="shared" si="15"/>
        <v>1</v>
      </c>
      <c r="R16" s="37">
        <f>FactsetData!B7</f>
        <v>0.58149779735682805</v>
      </c>
      <c r="S16" s="41" t="str">
        <f>IF(R16&gt;0.5,"INVESTED","CASH")</f>
        <v>INVESTED</v>
      </c>
      <c r="T16" s="17" t="str">
        <f>IF(AND(S16="INVESTED",L16&lt;0),"CAUTIOUS",IF(AND(S16="CASH",L16&lt;0),"CASH",IF(AND(S16="CASH",L16&gt;0),"IMPROVING","INVESTED")))</f>
        <v>INVESTED</v>
      </c>
      <c r="U16" s="59">
        <f>FactsetData!B24/AVERAGE(FactsetData!B25:B74)-1</f>
        <v>-0.14379968431637602</v>
      </c>
      <c r="V16" s="58">
        <f>FactsetData!B24/AVERAGE(FactsetData!B24:B124)-1</f>
        <v>-0.13029390901357052</v>
      </c>
      <c r="W16" s="58">
        <f>FactsetData!B24/AVERAGE(FactsetData!B24:B224)-1</f>
        <v>-0.15614772614065808</v>
      </c>
      <c r="X16" s="20">
        <f t="shared" si="16"/>
        <v>0</v>
      </c>
      <c r="Y16" s="20">
        <f t="shared" si="16"/>
        <v>0</v>
      </c>
      <c r="Z16" s="20">
        <f t="shared" si="16"/>
        <v>0</v>
      </c>
      <c r="AA16" s="37">
        <f>FactsetData!B24</f>
        <v>0.45478036175710601</v>
      </c>
      <c r="AB16" s="17" t="str">
        <f>IF(AA16&gt;0.5,"INVESTED","CASH")</f>
        <v>CASH</v>
      </c>
      <c r="AC16" s="15" t="str">
        <f>IF(AND(AB16="INVESTED",U16&lt;0),"CAUTIOUS",IF(AND(AB16="CASH",U16&lt;0),"CASH",IF(AND(AB16="CASH",U16&gt;0),"IMPROVING","INVESTED")))</f>
        <v>CASH</v>
      </c>
    </row>
    <row r="17" spans="1:29" ht="13.5" customHeight="1" x14ac:dyDescent="0.3">
      <c r="B17" s="51" t="s">
        <v>95</v>
      </c>
      <c r="C17" s="38"/>
      <c r="D17" s="38"/>
      <c r="E17" s="38"/>
      <c r="F17" s="73"/>
      <c r="G17" s="38"/>
      <c r="H17" s="38"/>
      <c r="I17" s="38"/>
      <c r="J17" s="38"/>
      <c r="K17" s="30"/>
      <c r="L17" s="38"/>
      <c r="M17" s="38"/>
      <c r="N17" s="38"/>
      <c r="O17" s="38"/>
      <c r="P17" s="38"/>
      <c r="Q17" s="38"/>
      <c r="R17" s="38"/>
      <c r="S17" s="39"/>
      <c r="T17" s="38"/>
      <c r="U17" s="38"/>
      <c r="V17" s="38"/>
      <c r="W17" s="38"/>
      <c r="X17" s="38"/>
      <c r="Y17" s="38"/>
      <c r="Z17" s="38"/>
      <c r="AA17" s="38"/>
      <c r="AB17" s="30"/>
      <c r="AC17" s="31"/>
    </row>
    <row r="18" spans="1:29" x14ac:dyDescent="0.3">
      <c r="A18" s="4" t="s">
        <v>40</v>
      </c>
      <c r="B18" s="5" t="s">
        <v>37</v>
      </c>
      <c r="C18" s="25">
        <f>_xll.FDS(A18,"FG_PRICE(0)/FG_PRICE_MAVG(0,,,,50)")-1</f>
        <v>4.7788144394490084E-2</v>
      </c>
      <c r="D18" s="23">
        <f>_xll.FDS(A18,"FG_PRICE(0)/FG_PRICE_MAVG(0,,,,100)")-1</f>
        <v>6.828376267146008E-2</v>
      </c>
      <c r="E18" s="23">
        <f>_xll.FDS(A18,"FG_PRICE(0)/FG_PRICE_MAVG(0,,,,200)")-1</f>
        <v>5.855185343128011E-2</v>
      </c>
      <c r="F18" s="47">
        <f t="shared" ref="F18:H19" si="17">IF(C18&gt;0,1,0)</f>
        <v>1</v>
      </c>
      <c r="G18" s="13">
        <f t="shared" si="17"/>
        <v>1</v>
      </c>
      <c r="H18" s="13">
        <f t="shared" si="17"/>
        <v>1</v>
      </c>
      <c r="I18" s="19"/>
      <c r="J18" s="14" t="str">
        <f>IF(E18&gt;0,"INVESTED","CASH")</f>
        <v>INVESTED</v>
      </c>
      <c r="K18" s="15" t="str">
        <f>IF(AND(J18="INVESTED",C18&lt;0),"CAUTIOUS",IF(AND(J18="CASH",C18&lt;0),"CASH",IF(AND(J18="CASH",C18&gt;0),"IMPROVING","INVESTED")))</f>
        <v>INVESTED</v>
      </c>
      <c r="L18" s="23">
        <f>_xll.FDS(A18,"FG_PRICE(-1W)/FG_PRICE_MAVG(-1W,,,,50)")-1</f>
        <v>3.1011753919579998E-2</v>
      </c>
      <c r="M18" s="23">
        <f>_xll.FDS(A18,"FG_PRICE(-1W)/FG_PRICE_MAVG(-1W,,,,100)")-1</f>
        <v>4.5362385415750106E-2</v>
      </c>
      <c r="N18" s="23">
        <f>_xll.FDS(A18,"FG_PRICE(-1W)/FG_PRICE_MAVG(-1W,,,,200)")-1</f>
        <v>3.783583304492999E-2</v>
      </c>
      <c r="O18" s="13">
        <f t="shared" ref="O18:Q19" si="18">IF(L18&gt;0,1,0)</f>
        <v>1</v>
      </c>
      <c r="P18" s="13">
        <f t="shared" si="18"/>
        <v>1</v>
      </c>
      <c r="Q18" s="13">
        <f t="shared" si="18"/>
        <v>1</v>
      </c>
      <c r="R18" s="19"/>
      <c r="S18" s="40" t="str">
        <f>IF(N18&gt;0,"INVESTED","CASH")</f>
        <v>INVESTED</v>
      </c>
      <c r="T18" s="15" t="str">
        <f>IF(AND(S18="INVESTED",L18&lt;0),"CAUTIOUS",IF(AND(S18="CASH",L18&lt;0),"CASH",IF(AND(S18="CASH",L18&gt;0),"IMPROVING","INVESTED")))</f>
        <v>INVESTED</v>
      </c>
      <c r="U18" s="34">
        <f>_xll.FDS(A18,"FG_PRICE(-1M)/FG_PRICE_MAVG(-1M,,,,50)")-1</f>
        <v>6.4832523292299715E-3</v>
      </c>
      <c r="V18" s="23">
        <f>_xll.FDS(A18,"FG_PRICE(-1M)/FG_PRICE_MAVG(-1M,,,,100)")-1</f>
        <v>-3.8660157462540035E-3</v>
      </c>
      <c r="W18" s="23">
        <f>_xll.FDS(A18,"FG_PRICE(-1M)/FG_PRICE_MAVG(-1M,,,,200)")-1</f>
        <v>-1.7701232560479729E-3</v>
      </c>
      <c r="X18" s="13">
        <f t="shared" ref="X18:Z19" si="19">IF(U18&gt;0,1,0)</f>
        <v>1</v>
      </c>
      <c r="Y18" s="13">
        <f t="shared" si="19"/>
        <v>0</v>
      </c>
      <c r="Z18" s="13">
        <f t="shared" si="19"/>
        <v>0</v>
      </c>
      <c r="AA18" s="19"/>
      <c r="AB18" s="15" t="str">
        <f>IF(W18&gt;0,"INVESTED","CASH")</f>
        <v>CASH</v>
      </c>
      <c r="AC18" s="15" t="str">
        <f>IF(AND(AB18="INVESTED",U18&lt;0),"CAUTIOUS",IF(AND(AB18="CASH",U18&lt;0),"CASH",IF(AND(AB18="CASH",U18&gt;0),"IMPROVING","INVESTED")))</f>
        <v>IMPROVING</v>
      </c>
    </row>
    <row r="19" spans="1:29" ht="15" thickBot="1" x14ac:dyDescent="0.35">
      <c r="A19" s="4" t="s">
        <v>39</v>
      </c>
      <c r="B19" s="10" t="s">
        <v>38</v>
      </c>
      <c r="C19" s="26">
        <f>_xll.FDS(A19,"FG_PRICE(0)/FG_PRICE_MAVG(0,,,,50)")-1</f>
        <v>8.1712622392000611E-3</v>
      </c>
      <c r="D19" s="24">
        <f>_xll.FDS(A19,"FG_PRICE(0)/FG_PRICE_MAVG(0,,,,100)")-1</f>
        <v>1.2227819851859945E-2</v>
      </c>
      <c r="E19" s="24">
        <f>_xll.FDS(A19,"FG_PRICE(0)/FG_PRICE_MAVG(0,,,,200)")-1</f>
        <v>1.1832464835640044E-2</v>
      </c>
      <c r="F19" s="48">
        <f t="shared" si="17"/>
        <v>1</v>
      </c>
      <c r="G19" s="20">
        <f t="shared" si="17"/>
        <v>1</v>
      </c>
      <c r="H19" s="20">
        <f t="shared" si="17"/>
        <v>1</v>
      </c>
      <c r="I19" s="37"/>
      <c r="J19" s="16" t="str">
        <f>IF(E19&gt;0,"INVESTED","CASH")</f>
        <v>INVESTED</v>
      </c>
      <c r="K19" s="17" t="str">
        <f>IF(AND(J19="INVESTED",C19&lt;0),"CAUTIOUS",IF(AND(J19="CASH",C19&lt;0),"CASH",IF(AND(J19="CASH",C19&gt;0),"IMPROVING","INVESTED")))</f>
        <v>INVESTED</v>
      </c>
      <c r="L19" s="24">
        <f>_xll.FDS(A19,"FG_PRICE(-1W)/FG_PRICE_MAVG(-1W,,,,50)")-1</f>
        <v>8.2587244695899731E-3</v>
      </c>
      <c r="M19" s="24">
        <f>_xll.FDS(A19,"FG_PRICE(-1W)/FG_PRICE_MAVG(-1W,,,,100)")-1</f>
        <v>1.1007330048300012E-2</v>
      </c>
      <c r="N19" s="24">
        <f>_xll.FDS(A19,"FG_PRICE(-1W)/FG_PRICE_MAVG(-1W,,,,200)")-1</f>
        <v>1.055025245377994E-2</v>
      </c>
      <c r="O19" s="20">
        <f t="shared" si="18"/>
        <v>1</v>
      </c>
      <c r="P19" s="20">
        <f t="shared" si="18"/>
        <v>1</v>
      </c>
      <c r="Q19" s="20">
        <f t="shared" si="18"/>
        <v>1</v>
      </c>
      <c r="R19" s="37"/>
      <c r="S19" s="41" t="str">
        <f>IF(N19&gt;0,"INVESTED","CASH")</f>
        <v>INVESTED</v>
      </c>
      <c r="T19" s="17" t="str">
        <f>IF(AND(S19="INVESTED",L19&lt;0),"CAUTIOUS",IF(AND(S19="CASH",L19&lt;0),"CASH",IF(AND(S19="CASH",L19&gt;0),"IMPROVING","INVESTED")))</f>
        <v>INVESTED</v>
      </c>
      <c r="U19" s="35">
        <f>_xll.FDS(A19,"FG_PRICE(-1M)/FG_PRICE_MAVG(-1M,,,,50)")-1</f>
        <v>3.2955771437799264E-3</v>
      </c>
      <c r="V19" s="24">
        <f>_xll.FDS(A19,"FG_PRICE(-1M)/FG_PRICE_MAVG(-1M,,,,100)")-1</f>
        <v>2.0384394954100493E-3</v>
      </c>
      <c r="W19" s="24">
        <f>_xll.FDS(A19,"FG_PRICE(-1M)/FG_PRICE_MAVG(-1M,,,,200)")-1</f>
        <v>2.4345716541200879E-3</v>
      </c>
      <c r="X19" s="20">
        <f t="shared" si="19"/>
        <v>1</v>
      </c>
      <c r="Y19" s="20">
        <f t="shared" si="19"/>
        <v>1</v>
      </c>
      <c r="Z19" s="20">
        <f t="shared" si="19"/>
        <v>1</v>
      </c>
      <c r="AA19" s="37"/>
      <c r="AB19" s="17" t="str">
        <f>IF(W19&gt;0,"INVESTED","CASH")</f>
        <v>INVESTED</v>
      </c>
      <c r="AC19" s="17" t="str">
        <f>IF(AND(AB19="INVESTED",U19&lt;0),"CAUTIOUS",IF(AND(AB19="CASH",U19&lt;0),"CASH",IF(AND(AB19="CASH",U19&gt;0),"IMPROVING","INVESTED")))</f>
        <v>INVESTED</v>
      </c>
    </row>
    <row r="20" spans="1:29" ht="13.5" customHeight="1" x14ac:dyDescent="0.3">
      <c r="B20" s="51" t="s">
        <v>96</v>
      </c>
      <c r="C20" s="38"/>
      <c r="D20" s="38"/>
      <c r="E20" s="38"/>
      <c r="F20" s="73"/>
      <c r="G20" s="38"/>
      <c r="H20" s="38"/>
      <c r="I20" s="38"/>
      <c r="J20" s="38"/>
      <c r="K20" s="30"/>
      <c r="L20" s="38"/>
      <c r="M20" s="38"/>
      <c r="N20" s="38"/>
      <c r="O20" s="38"/>
      <c r="P20" s="38"/>
      <c r="Q20" s="38"/>
      <c r="R20" s="38"/>
      <c r="S20" s="39"/>
      <c r="T20" s="38"/>
      <c r="U20" s="38"/>
      <c r="V20" s="38"/>
      <c r="W20" s="38"/>
      <c r="X20" s="38"/>
      <c r="Y20" s="38"/>
      <c r="Z20" s="38"/>
      <c r="AA20" s="38"/>
      <c r="AB20" s="30"/>
      <c r="AC20" s="31"/>
    </row>
    <row r="21" spans="1:29" x14ac:dyDescent="0.3">
      <c r="A21" s="4" t="s">
        <v>40</v>
      </c>
      <c r="B21" s="5" t="s">
        <v>58</v>
      </c>
      <c r="C21" s="25"/>
      <c r="D21" s="23"/>
      <c r="E21" s="23"/>
      <c r="F21" s="47"/>
      <c r="G21" s="13"/>
      <c r="H21" s="13"/>
      <c r="I21" s="19">
        <f>PERCENTRANK(FactsetData!$L:$L,FactsetData!$L2)</f>
        <v>0.85899999999999999</v>
      </c>
      <c r="J21" s="14" t="str">
        <f>IF(I21&lt;25%,"INVESTED",IF(I21&gt;75%,"CASH","NO SIGNAL"))</f>
        <v>CASH</v>
      </c>
      <c r="K21" s="15"/>
      <c r="L21" s="23"/>
      <c r="M21" s="23"/>
      <c r="N21" s="23"/>
      <c r="O21" s="13"/>
      <c r="P21" s="13"/>
      <c r="Q21" s="13"/>
      <c r="R21" s="19">
        <f>PERCENTRANK(FactsetData!$L:$L,FactsetData!$L3)</f>
        <v>0.80400000000000005</v>
      </c>
      <c r="S21" s="40" t="str">
        <f>IF(R21&lt;25%,"INVESTED",IF(R21&gt;75%,"CASH","NO SIGNAL"))</f>
        <v>CASH</v>
      </c>
      <c r="T21" s="15"/>
      <c r="U21" s="34"/>
      <c r="V21" s="23"/>
      <c r="W21" s="23"/>
      <c r="X21" s="13"/>
      <c r="Y21" s="13"/>
      <c r="Z21" s="13"/>
      <c r="AA21" s="19">
        <f>PERCENTRANK(FactsetData!$L:$L,FactsetData!$L6)</f>
        <v>0.85</v>
      </c>
      <c r="AB21" s="15" t="str">
        <f>IF(AA21&lt;25%,"INVESTED",IF(AA21&gt;75%,"CASH","NO SIGNAL"))</f>
        <v>CASH</v>
      </c>
      <c r="AC21" s="15"/>
    </row>
    <row r="22" spans="1:29" ht="15" thickBot="1" x14ac:dyDescent="0.35">
      <c r="A22" s="4" t="s">
        <v>39</v>
      </c>
      <c r="B22" s="10" t="s">
        <v>59</v>
      </c>
      <c r="C22" s="26"/>
      <c r="D22" s="24"/>
      <c r="E22" s="24"/>
      <c r="F22" s="48"/>
      <c r="G22" s="20"/>
      <c r="H22" s="20"/>
      <c r="I22" s="37">
        <f>PERCENTRANK(FactsetData!$M:$M,FactsetData!$M2)</f>
        <v>0.84</v>
      </c>
      <c r="J22" s="16" t="str">
        <f>IF(I22&lt;25%,"INVESTED",IF(I22&gt;75%,"CASH","NO SIGNAL"))</f>
        <v>CASH</v>
      </c>
      <c r="K22" s="17"/>
      <c r="L22" s="24"/>
      <c r="M22" s="24"/>
      <c r="N22" s="24"/>
      <c r="O22" s="20"/>
      <c r="P22" s="20"/>
      <c r="Q22" s="20"/>
      <c r="R22" s="37">
        <f>PERCENTRANK(FactsetData!$M:$M,FactsetData!$M3)</f>
        <v>0.78300000000000003</v>
      </c>
      <c r="S22" s="41" t="str">
        <f>IF(R22&lt;25%,"INVESTED",IF(R22&gt;75%,"CASH","NO SIGNAL"))</f>
        <v>CASH</v>
      </c>
      <c r="T22" s="17"/>
      <c r="U22" s="35"/>
      <c r="V22" s="24"/>
      <c r="W22" s="24"/>
      <c r="X22" s="20"/>
      <c r="Y22" s="20"/>
      <c r="Z22" s="20"/>
      <c r="AA22" s="37">
        <f>PERCENTRANK(FactsetData!$M:$M,FactsetData!$M6)</f>
        <v>0.83799999999999997</v>
      </c>
      <c r="AB22" s="17" t="str">
        <f>IF(AA22&lt;25%,"INVESTED",IF(AA22&gt;75%,"CASH","NO SIGNAL"))</f>
        <v>CASH</v>
      </c>
      <c r="AC22" s="17"/>
    </row>
    <row r="23" spans="1:29" ht="13.5" customHeight="1" x14ac:dyDescent="0.3">
      <c r="B23" s="51" t="s">
        <v>97</v>
      </c>
      <c r="C23" s="38"/>
      <c r="D23" s="38"/>
      <c r="E23" s="38"/>
      <c r="F23" s="73"/>
      <c r="G23" s="38"/>
      <c r="H23" s="38"/>
      <c r="I23" s="38"/>
      <c r="J23" s="38"/>
      <c r="K23" s="30"/>
      <c r="L23" s="38"/>
      <c r="M23" s="38"/>
      <c r="N23" s="38"/>
      <c r="O23" s="38"/>
      <c r="P23" s="38"/>
      <c r="Q23" s="38"/>
      <c r="R23" s="38"/>
      <c r="S23" s="39"/>
      <c r="T23" s="38"/>
      <c r="U23" s="38"/>
      <c r="V23" s="38"/>
      <c r="W23" s="38"/>
      <c r="X23" s="38"/>
      <c r="Y23" s="38"/>
      <c r="Z23" s="38"/>
      <c r="AA23" s="38"/>
      <c r="AB23" s="30"/>
      <c r="AC23" s="31"/>
    </row>
    <row r="24" spans="1:29" x14ac:dyDescent="0.3">
      <c r="A24" s="4" t="s">
        <v>40</v>
      </c>
      <c r="B24" s="5" t="s">
        <v>5</v>
      </c>
      <c r="C24" s="52"/>
      <c r="D24" s="53"/>
      <c r="E24" s="53"/>
      <c r="F24" s="47"/>
      <c r="G24" s="13"/>
      <c r="H24" s="13"/>
      <c r="I24" s="21">
        <f>FactsetData!BB7</f>
        <v>2.074418604651163</v>
      </c>
      <c r="J24" s="14" t="str">
        <f>IF(I24&lt;1.2,"INVESTED",IF(I24&gt;4,"CASH","NO SIGNAL"))</f>
        <v>NO SIGNAL</v>
      </c>
      <c r="K24" s="15"/>
      <c r="L24" s="52"/>
      <c r="M24" s="53"/>
      <c r="N24" s="53"/>
      <c r="O24" s="13"/>
      <c r="P24" s="13"/>
      <c r="Q24" s="13"/>
      <c r="R24" s="21">
        <f>FactsetData!BB7</f>
        <v>2.074418604651163</v>
      </c>
      <c r="S24" s="40" t="str">
        <f>IF(R24&lt;1.2,"INVESTED",IF(R24&gt;4,"CASH","NO SIGNAL"))</f>
        <v>NO SIGNAL</v>
      </c>
      <c r="T24" s="15"/>
      <c r="U24" s="52"/>
      <c r="V24" s="53"/>
      <c r="W24" s="53"/>
      <c r="X24" s="13"/>
      <c r="Y24" s="13"/>
      <c r="Z24" s="13"/>
      <c r="AA24" s="21">
        <f>FactsetData!BB24</f>
        <v>4.3087248322147653</v>
      </c>
      <c r="AB24" s="15" t="str">
        <f>IF(AA24&lt;1.2,"INVESTED",IF(AA24&gt;4,"CASH","NO SIGNAL"))</f>
        <v>CASH</v>
      </c>
      <c r="AC24" s="15"/>
    </row>
    <row r="25" spans="1:29" x14ac:dyDescent="0.3">
      <c r="A25" s="54" t="s">
        <v>2</v>
      </c>
      <c r="B25" s="5" t="s">
        <v>2</v>
      </c>
      <c r="C25" s="52"/>
      <c r="D25" s="53"/>
      <c r="E25" s="53"/>
      <c r="F25" s="47"/>
      <c r="G25" s="13"/>
      <c r="H25" s="13"/>
      <c r="I25" s="22">
        <f>_xll.FDS(A25,"FG_PRICE(NOW,,,USD)")</f>
        <v>15.88</v>
      </c>
      <c r="J25" s="14" t="str">
        <f>IF(I25&lt;12,"CASH",IF(I25&gt;30,"INVESTED","NO SIGNAL"))</f>
        <v>NO SIGNAL</v>
      </c>
      <c r="K25" s="15"/>
      <c r="L25" s="53"/>
      <c r="M25" s="53"/>
      <c r="N25" s="53"/>
      <c r="O25" s="13"/>
      <c r="P25" s="13"/>
      <c r="Q25" s="13"/>
      <c r="R25" s="22">
        <f>_xll.FDS(A25,"FG_PRICE(-1W,,,USD)")</f>
        <v>20.37</v>
      </c>
      <c r="S25" s="40" t="str">
        <f>IF(R25&lt;12,"CASH",IF(R25&gt;30,"INVESTED","NO SIGNAL"))</f>
        <v>NO SIGNAL</v>
      </c>
      <c r="T25" s="15"/>
      <c r="U25" s="53"/>
      <c r="V25" s="53"/>
      <c r="W25" s="53"/>
      <c r="X25" s="13"/>
      <c r="Y25" s="13"/>
      <c r="Z25" s="13"/>
      <c r="AA25" s="22">
        <f>_xll.FDS(A25,"FG_PRICE(-1M,,,USD)")</f>
        <v>12.44</v>
      </c>
      <c r="AB25" s="15" t="str">
        <f>IF(AA25&lt;12,"CASH",IF(AA25&gt;30,"INVESTED","NO SIGNAL"))</f>
        <v>NO SIGNAL</v>
      </c>
      <c r="AC25" s="15"/>
    </row>
    <row r="26" spans="1:29" ht="15" thickBot="1" x14ac:dyDescent="0.35">
      <c r="A26" s="4" t="s">
        <v>39</v>
      </c>
      <c r="B26" s="10" t="s">
        <v>6</v>
      </c>
      <c r="C26" s="26"/>
      <c r="D26" s="24"/>
      <c r="E26" s="24"/>
      <c r="F26" s="48"/>
      <c r="G26" s="20"/>
      <c r="H26" s="20"/>
      <c r="I26" s="20">
        <v>35</v>
      </c>
      <c r="J26" s="16" t="str">
        <f>IF(I26&lt;20,"INVESTED",IF(I26&gt;80,"CASH","NO SIGNAL"))</f>
        <v>NO SIGNAL</v>
      </c>
      <c r="K26" s="17"/>
      <c r="L26" s="24"/>
      <c r="M26" s="24"/>
      <c r="N26" s="24"/>
      <c r="O26" s="20"/>
      <c r="P26" s="20"/>
      <c r="Q26" s="20"/>
      <c r="R26" s="20">
        <v>20</v>
      </c>
      <c r="S26" s="41" t="str">
        <f>IF(R26&lt;=20,"INVESTED",IF(R26&gt;80,"CASH","NO SIGNAL"))</f>
        <v>INVESTED</v>
      </c>
      <c r="T26" s="17"/>
      <c r="U26" s="35"/>
      <c r="V26" s="24"/>
      <c r="W26" s="24"/>
      <c r="X26" s="20"/>
      <c r="Y26" s="20"/>
      <c r="Z26" s="20"/>
      <c r="AA26" s="20">
        <v>43</v>
      </c>
      <c r="AB26" s="17" t="str">
        <f>IF(AA26&lt;=20,"INVESTED",IF(AA26&gt;80,"CASH","NO SIGNAL"))</f>
        <v>NO SIGNAL</v>
      </c>
      <c r="AC26" s="17"/>
    </row>
    <row r="27" spans="1:29" ht="9" customHeight="1" thickBot="1" x14ac:dyDescent="0.35">
      <c r="F27" s="5"/>
      <c r="AB27" s="9"/>
    </row>
    <row r="28" spans="1:29" x14ac:dyDescent="0.3">
      <c r="B28" s="60" t="s">
        <v>62</v>
      </c>
      <c r="C28" s="61"/>
      <c r="D28" s="62"/>
      <c r="E28" s="62"/>
      <c r="F28" s="74"/>
      <c r="G28" s="62"/>
      <c r="H28" s="62"/>
      <c r="I28" s="79"/>
      <c r="J28" s="63">
        <f>COUNTIF(CashSignals!J5:J12,"INVESTED")/8</f>
        <v>0.875</v>
      </c>
      <c r="K28" s="64">
        <f>(COUNTIF(CashSignals!K5:K12,"INVESTED")+COUNTIF(CashSignals!K5:K12,"IMPROVING"))/8</f>
        <v>0.625</v>
      </c>
      <c r="M28" s="27"/>
      <c r="S28" s="70">
        <f>COUNTIF(CashSignals!S5:S12,"INVESTED")/8</f>
        <v>0.875</v>
      </c>
      <c r="T28" s="63">
        <f>(COUNTIF(CashSignals!T5:T19,"INVESTED")/11)+COUNTIF(CashSignals!T5:T19,"IMPROVING")/11</f>
        <v>0.63636363636363635</v>
      </c>
      <c r="U28" s="29"/>
      <c r="V28" s="29"/>
      <c r="W28" s="29"/>
      <c r="X28" s="29"/>
      <c r="Y28" s="29"/>
      <c r="Z28" s="29"/>
      <c r="AA28" s="29"/>
      <c r="AB28" s="70">
        <f>COUNTIF(CashSignals!AB5:AB12,"INVESTED")/8</f>
        <v>0.875</v>
      </c>
      <c r="AC28" s="18">
        <f>(COUNTIF(CashSignals!AC5:AC19,"INVESTED")/11)+COUNTIF(CashSignals!AC5:AC19,"IMPROVING")/11</f>
        <v>0.72727272727272729</v>
      </c>
    </row>
    <row r="29" spans="1:29" x14ac:dyDescent="0.3">
      <c r="B29" s="65" t="s">
        <v>63</v>
      </c>
      <c r="F29" s="5"/>
      <c r="J29" s="18">
        <f>COUNTIF(CashSignals!J14:J16,"INVESTED")/3</f>
        <v>1</v>
      </c>
      <c r="K29" s="66">
        <f>(COUNTIF(CashSignals!K14:K16,"INVESTED")+COUNTIF(CashSignals!K5:K12,"IMPROVING"))/3</f>
        <v>1</v>
      </c>
      <c r="S29" s="71">
        <f>COUNTIF(CashSignals!S14:S16,"INVESTED")/3</f>
        <v>1</v>
      </c>
      <c r="AB29" s="71">
        <f>COUNTIF(CashSignals!AB14:AB16,"INVESTED")/3</f>
        <v>0.66666666666666663</v>
      </c>
    </row>
    <row r="30" spans="1:29" x14ac:dyDescent="0.3">
      <c r="B30" s="65" t="s">
        <v>64</v>
      </c>
      <c r="F30" s="5"/>
      <c r="J30" s="18">
        <f>COUNTIF(CashSignals!J18:J19,"INVESTED")/2</f>
        <v>1</v>
      </c>
      <c r="K30" s="66">
        <f>(COUNTIF(CashSignals!K18:K19,"INVESTED")+COUNTIF(CashSignals!K5:K12,"IMPROVING"))/2</f>
        <v>1</v>
      </c>
      <c r="S30" s="71">
        <f>COUNTIF(CashSignals!S18:S19,"INVESTED")/2</f>
        <v>1</v>
      </c>
      <c r="AB30" s="71">
        <f>COUNTIF(CashSignals!AB18:AB19,"INVESTED")/2</f>
        <v>0.5</v>
      </c>
    </row>
    <row r="31" spans="1:29" hidden="1" x14ac:dyDescent="0.3">
      <c r="B31" s="65" t="s">
        <v>92</v>
      </c>
      <c r="F31" s="5"/>
      <c r="J31" s="81">
        <f>IF(J28*0.7+J29*0.15+J30*0.15&gt;0.75,1,IF(J28*0.7+J29*0.15+J30*0.15&lt;0.25,-1,0))</f>
        <v>1</v>
      </c>
      <c r="K31" s="82">
        <f>IF(K28*0.7+K29*0.15+K30*0.15&gt;0.75,1,IF(K28*0.7+K29*0.15+K30*0.15&lt;0.25,-1,0))</f>
        <v>0</v>
      </c>
      <c r="S31" s="81">
        <f>IF(S28*0.7+S29*0.15+S30*0.15&gt;0.75,1,IF(S28*0.7+S29*0.15+S30*0.15&lt;0.25,-1,0))</f>
        <v>1</v>
      </c>
      <c r="AB31" s="81">
        <f>IF(AB28*0.7+AB29*0.15+AB30*0.15&gt;0.75,1,IF(AB28*0.7+AB29*0.15+AB30*0.15&lt;0.25,-1,0))</f>
        <v>1</v>
      </c>
    </row>
    <row r="32" spans="1:29" x14ac:dyDescent="0.3">
      <c r="B32" s="65" t="s">
        <v>65</v>
      </c>
      <c r="F32" s="5"/>
      <c r="J32" s="18">
        <f>COUNTIF(CashSignals!J21:J22,"INVESTED")/2</f>
        <v>0</v>
      </c>
      <c r="K32" s="66"/>
      <c r="S32" s="71">
        <f>COUNTIF(CashSignals!S21:S22,"INVESTED")/2</f>
        <v>0</v>
      </c>
      <c r="AB32" s="71">
        <f>COUNTIF(CashSignals!AB21:AB22,"INVESTED")/2</f>
        <v>0</v>
      </c>
    </row>
    <row r="33" spans="2:28" ht="15" thickBot="1" x14ac:dyDescent="0.35">
      <c r="B33" s="67" t="s">
        <v>66</v>
      </c>
      <c r="C33" s="36"/>
      <c r="D33" s="36"/>
      <c r="E33" s="36"/>
      <c r="F33" s="10"/>
      <c r="G33" s="36"/>
      <c r="H33" s="36"/>
      <c r="I33" s="36"/>
      <c r="J33" s="68" t="str">
        <f>IF((COUNTIF(CashSignals!J24:J26,"INVESTED")+COUNTIF(CashSignals!J24:J26,"CASH"))=0,"NO SIGNAL",IF(COUNTIF(CashSignals!J24:J26,"INVESTED")&gt;0,"INVESTED",IF(COUNTIF(CashSignals!J24:J26,"CASH")&gt;0,"CASH")))</f>
        <v>NO SIGNAL</v>
      </c>
      <c r="K33" s="69"/>
      <c r="L33" s="36"/>
      <c r="M33" s="36"/>
      <c r="N33" s="36"/>
      <c r="O33" s="36"/>
      <c r="P33" s="36"/>
      <c r="Q33" s="36"/>
      <c r="R33" s="36"/>
      <c r="S33" s="72" t="str">
        <f>IF((COUNTIF(CashSignals!S24:S26,"INVESTED")+COUNTIF(CashSignals!S24:S26,"CASH"))=0,"NO SIGNAL",IF(COUNTIF(CashSignals!S24:S26,"INVESTED")&gt;0,"INVESTED",IF(COUNTIF(CashSignals!S24:S26,"CASH")&gt;0,"CASH")))</f>
        <v>INVESTED</v>
      </c>
      <c r="T33" s="36"/>
      <c r="U33" s="36"/>
      <c r="V33" s="36"/>
      <c r="W33" s="36"/>
      <c r="X33" s="36"/>
      <c r="Y33" s="36"/>
      <c r="Z33" s="36"/>
      <c r="AA33" s="36"/>
      <c r="AB33" s="72" t="str">
        <f>IF((COUNTIF(CashSignals!AB24:AB26,"INVESTED")+COUNTIF(CashSignals!AB24:AB26,"CASH"))=0,"NO SIGNAL",IF(COUNTIF(CashSignals!AB24:AB26,"INVESTED")&gt;0,"INVESTED",IF(COUNTIF(CashSignals!AB24:AB26,"CASH")&gt;0,"CASH")))</f>
        <v>CASH</v>
      </c>
    </row>
    <row r="34" spans="2:28" ht="15" thickBot="1" x14ac:dyDescent="0.35"/>
    <row r="35" spans="2:28" ht="15" thickBot="1" x14ac:dyDescent="0.35">
      <c r="B35" s="75" t="s">
        <v>72</v>
      </c>
      <c r="C35" s="76"/>
      <c r="D35" s="76"/>
      <c r="E35" s="76"/>
      <c r="F35" s="76"/>
      <c r="G35" s="76"/>
      <c r="H35" s="76"/>
      <c r="I35" s="80"/>
      <c r="J35" s="77" t="str">
        <f>IF(AND(J31=1,J33&lt;&gt;"Cash"),"INVESTED",IF(AND(J31=1,J33="Cash",K31&lt;=0),"CAUTIOUS",IF(AND(J31&gt;0.75,J33="Cash",K31=1),"INVESTED",IF(AND(J31=-1,J33&lt;&gt;"INVESTED"),"CASH",IF(AND(J31=-1,J33="INVESTED"),"INVESTED",IF(AND(J31=0,J33="INVESTED"),"INVESTED",IF(AND(J31=0,J33="CASH"),"CASH","CAUTIOUS")))))))</f>
        <v>INVESTED</v>
      </c>
      <c r="K35" s="77" t="str">
        <f>IF(K31=-1,"CAUTIOUS","")</f>
        <v/>
      </c>
      <c r="L35" s="77"/>
      <c r="M35" s="77"/>
      <c r="N35" s="77"/>
      <c r="O35" s="77"/>
      <c r="P35" s="77"/>
      <c r="Q35" s="77"/>
      <c r="R35" s="77"/>
      <c r="S35" s="83" t="str">
        <f>IF(AND(S31=1,S33&lt;&gt;"Cash"),"INVESTED",IF(AND(S31=1,S33="Cash",T31&lt;=0),"CAUTIOUS",IF(AND(S31&gt;0.75,S33="Cash",T31=1),"INVESTED",IF(AND(S31=-1,S33&lt;&gt;"INVESTED"),"CASH",IF(AND(S31=-1,S33="INVESTED"),"INVESTED",IF(AND(S31=0,S33="INVESTED"),"INVESTED",IF(AND(S31=0,S33="CASH"),"CASH","MIXED")))))))</f>
        <v>INVESTED</v>
      </c>
      <c r="T35" s="77"/>
      <c r="U35" s="77"/>
      <c r="V35" s="77"/>
      <c r="W35" s="77"/>
      <c r="X35" s="77"/>
      <c r="Y35" s="77"/>
      <c r="Z35" s="77"/>
      <c r="AA35" s="77"/>
      <c r="AB35" s="83" t="str">
        <f>IF(AND(AB31=1,AB33&lt;&gt;"Cash"),"INVESTED",IF(AND(AB31=1,AB33="Cash",AC31&lt;=0),"CAUTIOUS",IF(AND(AB31&gt;0.75,AB33="Cash",AC31=1),"INVESTED",IF(AND(AB31=-1,AB33&lt;&gt;"INVESTED"),"CASH",IF(AND(AB31=-1,AB33="INVESTED"),"INVESTED",IF(AND(AB31=0,AB33="INVESTED"),"INVESTED",IF(AND(AB31=0,AB33="CASH"),"CASH","MIXED")))))))</f>
        <v>CAUTIOUS</v>
      </c>
    </row>
    <row r="38" spans="2:28" x14ac:dyDescent="0.3">
      <c r="J38" s="28"/>
    </row>
    <row r="44" spans="2:28" ht="15" thickBot="1" x14ac:dyDescent="0.35">
      <c r="B44" s="28" t="s">
        <v>90</v>
      </c>
      <c r="C44" s="28" t="s">
        <v>1</v>
      </c>
      <c r="D44" s="28" t="s">
        <v>91</v>
      </c>
      <c r="E44" s="28"/>
    </row>
    <row r="45" spans="2:28" ht="15" thickBot="1" x14ac:dyDescent="0.35">
      <c r="B45" s="28">
        <v>1</v>
      </c>
      <c r="C45" s="28">
        <v>0</v>
      </c>
      <c r="D45" s="28"/>
      <c r="E45" s="83" t="s">
        <v>74</v>
      </c>
      <c r="F45" s="4">
        <v>1</v>
      </c>
    </row>
    <row r="46" spans="2:28" ht="15" thickBot="1" x14ac:dyDescent="0.35">
      <c r="B46" s="28">
        <v>1</v>
      </c>
      <c r="C46" s="28">
        <v>-1</v>
      </c>
      <c r="D46" s="28">
        <v>1</v>
      </c>
      <c r="E46" s="83" t="s">
        <v>74</v>
      </c>
      <c r="F46" s="4">
        <v>1</v>
      </c>
    </row>
    <row r="47" spans="2:28" ht="15" thickBot="1" x14ac:dyDescent="0.35">
      <c r="B47" s="28">
        <v>1</v>
      </c>
      <c r="C47" s="28">
        <v>-1</v>
      </c>
      <c r="D47" s="28">
        <v>-1</v>
      </c>
      <c r="E47" s="83" t="s">
        <v>73</v>
      </c>
      <c r="F47" s="4">
        <v>1</v>
      </c>
    </row>
    <row r="48" spans="2:28" ht="15" thickBot="1" x14ac:dyDescent="0.35">
      <c r="B48" s="28">
        <v>1</v>
      </c>
      <c r="C48" s="28">
        <v>1</v>
      </c>
      <c r="D48" s="28"/>
      <c r="E48" s="83" t="s">
        <v>74</v>
      </c>
      <c r="F48" s="4">
        <v>1</v>
      </c>
    </row>
    <row r="49" spans="2:6" ht="15" thickBot="1" x14ac:dyDescent="0.35">
      <c r="B49" s="28">
        <v>0</v>
      </c>
      <c r="C49" s="28">
        <v>1</v>
      </c>
      <c r="D49" s="28"/>
      <c r="E49" s="83" t="s">
        <v>74</v>
      </c>
    </row>
    <row r="50" spans="2:6" ht="15" thickBot="1" x14ac:dyDescent="0.35">
      <c r="B50" s="28">
        <v>0</v>
      </c>
      <c r="C50" s="28">
        <v>0</v>
      </c>
      <c r="D50" s="28"/>
      <c r="E50" s="83" t="s">
        <v>73</v>
      </c>
    </row>
    <row r="51" spans="2:6" ht="15" thickBot="1" x14ac:dyDescent="0.35">
      <c r="B51" s="28">
        <v>0</v>
      </c>
      <c r="C51" s="28">
        <v>-1</v>
      </c>
      <c r="D51" s="28"/>
      <c r="E51" s="83" t="s">
        <v>87</v>
      </c>
    </row>
    <row r="52" spans="2:6" ht="15" thickBot="1" x14ac:dyDescent="0.35">
      <c r="B52" s="28">
        <v>-1</v>
      </c>
      <c r="C52" s="28">
        <v>0</v>
      </c>
      <c r="D52" s="28"/>
      <c r="E52" s="83" t="s">
        <v>87</v>
      </c>
      <c r="F52" s="4">
        <v>1</v>
      </c>
    </row>
    <row r="53" spans="2:6" ht="15" thickBot="1" x14ac:dyDescent="0.35">
      <c r="B53" s="28">
        <v>-1</v>
      </c>
      <c r="C53" s="28">
        <v>1</v>
      </c>
      <c r="D53" s="28"/>
      <c r="E53" s="83" t="s">
        <v>74</v>
      </c>
    </row>
  </sheetData>
  <mergeCells count="4">
    <mergeCell ref="F1:K1"/>
    <mergeCell ref="L1:T1"/>
    <mergeCell ref="U1:AC1"/>
    <mergeCell ref="F2:K2"/>
  </mergeCells>
  <conditionalFormatting sqref="A6">
    <cfRule type="colorScale" priority="96">
      <colorScale>
        <cfvo type="min"/>
        <cfvo type="max"/>
        <color rgb="FFFCFCFF"/>
        <color rgb="FF63BE7B"/>
      </colorScale>
    </cfRule>
  </conditionalFormatting>
  <conditionalFormatting sqref="A7">
    <cfRule type="colorScale" priority="95">
      <colorScale>
        <cfvo type="min"/>
        <cfvo type="max"/>
        <color rgb="FFFCFCFF"/>
        <color rgb="FF63BE7B"/>
      </colorScale>
    </cfRule>
  </conditionalFormatting>
  <conditionalFormatting sqref="B45:D53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5:H6 F14:H15 F7:H12">
    <cfRule type="colorScale" priority="94">
      <colorScale>
        <cfvo type="min"/>
        <cfvo type="max"/>
        <color rgb="FFFCFCFF"/>
        <color rgb="FF63BE7B"/>
      </colorScale>
    </cfRule>
  </conditionalFormatting>
  <conditionalFormatting sqref="C18:H19 C5:H6 C24:H26 C21:H22 F14:H15 F7:H12">
    <cfRule type="colorScale" priority="97">
      <colorScale>
        <cfvo type="min"/>
        <cfvo type="max"/>
        <color rgb="FFFCFCFF"/>
        <color rgb="FF63BE7B"/>
      </colorScale>
    </cfRule>
  </conditionalFormatting>
  <conditionalFormatting sqref="C28:H28">
    <cfRule type="colorScale" priority="67">
      <colorScale>
        <cfvo type="min"/>
        <cfvo type="max"/>
        <color rgb="FFFCFCFF"/>
        <color rgb="FF63BE7B"/>
      </colorScale>
    </cfRule>
  </conditionalFormatting>
  <conditionalFormatting sqref="D16:H16">
    <cfRule type="colorScale" priority="20">
      <colorScale>
        <cfvo type="min"/>
        <cfvo type="max"/>
        <color rgb="FFFCFCFF"/>
        <color rgb="FF63BE7B"/>
      </colorScale>
    </cfRule>
  </conditionalFormatting>
  <conditionalFormatting sqref="E45:E53">
    <cfRule type="containsText" dxfId="98" priority="2" operator="containsText" text="CAUTIOUS">
      <formula>NOT(ISERROR(SEARCH("CAUTIOUS",E45)))</formula>
    </cfRule>
    <cfRule type="containsText" dxfId="97" priority="3" operator="containsText" text="INVESTED">
      <formula>NOT(ISERROR(SEARCH("INVESTED",E45)))</formula>
    </cfRule>
    <cfRule type="containsText" dxfId="96" priority="4" operator="containsText" text="CASH">
      <formula>NOT(ISERROR(SEARCH("CASH",E45)))</formula>
    </cfRule>
    <cfRule type="containsText" dxfId="95" priority="1" operator="containsText" text="IMPROVING">
      <formula>NOT(ISERROR(SEARCH("IMPROVING",E45)))</formula>
    </cfRule>
  </conditionalFormatting>
  <conditionalFormatting sqref="F16:H16">
    <cfRule type="colorScale" priority="19">
      <colorScale>
        <cfvo type="min"/>
        <cfvo type="max"/>
        <color rgb="FFFCFCFF"/>
        <color rgb="FF63BE7B"/>
      </colorScale>
    </cfRule>
  </conditionalFormatting>
  <conditionalFormatting sqref="I5:K12 I18:K19 I21:K22 I24:K26">
    <cfRule type="containsText" dxfId="94" priority="71" operator="containsText" text="CASH">
      <formula>NOT(ISERROR(SEARCH("CASH",I5)))</formula>
    </cfRule>
    <cfRule type="containsText" dxfId="93" priority="70" operator="containsText" text="INVESTED">
      <formula>NOT(ISERROR(SEARCH("INVESTED",I5)))</formula>
    </cfRule>
    <cfRule type="containsText" dxfId="92" priority="69" operator="containsText" text="CAUTIOUS">
      <formula>NOT(ISERROR(SEARCH("CAUTIOUS",I5)))</formula>
    </cfRule>
    <cfRule type="containsText" dxfId="91" priority="68" operator="containsText" text="IMPROVING">
      <formula>NOT(ISERROR(SEARCH("IMPROVING",I5)))</formula>
    </cfRule>
  </conditionalFormatting>
  <conditionalFormatting sqref="I14:K16">
    <cfRule type="containsText" dxfId="90" priority="6" operator="containsText" text="IMPROVING">
      <formula>NOT(ISERROR(SEARCH("IMPROVING",I14)))</formula>
    </cfRule>
    <cfRule type="containsText" dxfId="89" priority="7" operator="containsText" text="CAUTIOUS">
      <formula>NOT(ISERROR(SEARCH("CAUTIOUS",I14)))</formula>
    </cfRule>
    <cfRule type="containsText" dxfId="88" priority="8" operator="containsText" text="INVESTED">
      <formula>NOT(ISERROR(SEARCH("INVESTED",I14)))</formula>
    </cfRule>
    <cfRule type="containsText" dxfId="87" priority="9" operator="containsText" text="CASH">
      <formula>NOT(ISERROR(SEARCH("CASH",I14)))</formula>
    </cfRule>
  </conditionalFormatting>
  <conditionalFormatting sqref="J28:AB30 J32 L32:AB32">
    <cfRule type="cellIs" dxfId="86" priority="31" operator="between">
      <formula>0.25</formula>
      <formula>0.75</formula>
    </cfRule>
    <cfRule type="cellIs" dxfId="85" priority="32" operator="lessThan">
      <formula>0.25</formula>
    </cfRule>
    <cfRule type="cellIs" dxfId="84" priority="33" operator="greaterThan">
      <formula>0.75</formula>
    </cfRule>
  </conditionalFormatting>
  <conditionalFormatting sqref="J33:AB33">
    <cfRule type="containsText" dxfId="83" priority="29" operator="containsText" text="CASH">
      <formula>NOT(ISERROR(SEARCH("CASH",J33)))</formula>
    </cfRule>
    <cfRule type="containsText" dxfId="82" priority="30" operator="containsText" text="INVESTED">
      <formula>NOT(ISERROR(SEARCH("INVESTED",J33)))</formula>
    </cfRule>
  </conditionalFormatting>
  <conditionalFormatting sqref="J35:AB35">
    <cfRule type="containsText" dxfId="81" priority="21" operator="containsText" text="IMPROVING">
      <formula>NOT(ISERROR(SEARCH("IMPROVING",J35)))</formula>
    </cfRule>
    <cfRule type="containsText" dxfId="80" priority="22" operator="containsText" text="CAUTIOUS">
      <formula>NOT(ISERROR(SEARCH("CAUTIOUS",J35)))</formula>
    </cfRule>
    <cfRule type="containsText" dxfId="79" priority="23" operator="containsText" text="INVESTED">
      <formula>NOT(ISERROR(SEARCH("INVESTED",J35)))</formula>
    </cfRule>
    <cfRule type="containsText" dxfId="78" priority="24" operator="containsText" text="CASH">
      <formula>NOT(ISERROR(SEARCH("CASH",J35)))</formula>
    </cfRule>
  </conditionalFormatting>
  <conditionalFormatting sqref="O14:Q15 O5:Q12">
    <cfRule type="colorScale" priority="87">
      <colorScale>
        <cfvo type="min"/>
        <cfvo type="max"/>
        <color rgb="FFFCFCFF"/>
        <color rgb="FF63BE7B"/>
      </colorScale>
    </cfRule>
  </conditionalFormatting>
  <conditionalFormatting sqref="O16:Q16">
    <cfRule type="colorScale" priority="18">
      <colorScale>
        <cfvo type="min"/>
        <cfvo type="max"/>
        <color rgb="FFFCFCFF"/>
        <color rgb="FF63BE7B"/>
      </colorScale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O18:Q19 O24:Q26 O21:Q22 O14:Q15 O5:Q12">
    <cfRule type="colorScale" priority="88">
      <colorScale>
        <cfvo type="min"/>
        <cfvo type="max"/>
        <color rgb="FFFCFCFF"/>
        <color rgb="FF63BE7B"/>
      </colorScale>
    </cfRule>
  </conditionalFormatting>
  <conditionalFormatting sqref="O5:AC11 O12:T12 X12:AC12 O18:AC19 O24:Q26 AB24:AC26">
    <cfRule type="containsText" dxfId="77" priority="72" operator="containsText" text="IMPROVING">
      <formula>NOT(ISERROR(SEARCH("IMPROVING",O5)))</formula>
    </cfRule>
    <cfRule type="containsText" dxfId="76" priority="73" operator="containsText" text="CAUTIOUS">
      <formula>NOT(ISERROR(SEARCH("CAUTIOUS",O5)))</formula>
    </cfRule>
    <cfRule type="containsText" dxfId="75" priority="74" operator="containsText" text="INVESTED">
      <formula>NOT(ISERROR(SEARCH("INVESTED",O5)))</formula>
    </cfRule>
    <cfRule type="containsText" dxfId="74" priority="75" operator="containsText" text="CASH">
      <formula>NOT(ISERROR(SEARCH("CASH",O5)))</formula>
    </cfRule>
  </conditionalFormatting>
  <conditionalFormatting sqref="O14:AC16">
    <cfRule type="containsText" dxfId="73" priority="13" operator="containsText" text="CASH">
      <formula>NOT(ISERROR(SEARCH("CASH",O14)))</formula>
    </cfRule>
    <cfRule type="containsText" dxfId="72" priority="12" operator="containsText" text="INVESTED">
      <formula>NOT(ISERROR(SEARCH("INVESTED",O14)))</formula>
    </cfRule>
    <cfRule type="containsText" dxfId="71" priority="11" operator="containsText" text="CAUTIOUS">
      <formula>NOT(ISERROR(SEARCH("CAUTIOUS",O14)))</formula>
    </cfRule>
    <cfRule type="containsText" dxfId="70" priority="10" operator="containsText" text="IMPROVING">
      <formula>NOT(ISERROR(SEARCH("IMPROVING",O14)))</formula>
    </cfRule>
  </conditionalFormatting>
  <conditionalFormatting sqref="O21:AC22">
    <cfRule type="containsText" dxfId="69" priority="37" operator="containsText" text="CASH">
      <formula>NOT(ISERROR(SEARCH("CASH",O21)))</formula>
    </cfRule>
    <cfRule type="containsText" dxfId="68" priority="36" operator="containsText" text="INVESTED">
      <formula>NOT(ISERROR(SEARCH("INVESTED",O21)))</formula>
    </cfRule>
    <cfRule type="containsText" dxfId="67" priority="35" operator="containsText" text="CAUTIOUS">
      <formula>NOT(ISERROR(SEARCH("CAUTIOUS",O21)))</formula>
    </cfRule>
    <cfRule type="containsText" dxfId="66" priority="34" operator="containsText" text="IMPROVING">
      <formula>NOT(ISERROR(SEARCH("IMPROVING",O21)))</formula>
    </cfRule>
  </conditionalFormatting>
  <conditionalFormatting sqref="R24:T25">
    <cfRule type="containsText" dxfId="65" priority="46" operator="containsText" text="IMPROVING">
      <formula>NOT(ISERROR(SEARCH("IMPROVING",R24)))</formula>
    </cfRule>
    <cfRule type="containsText" dxfId="64" priority="47" operator="containsText" text="CAUTIOUS">
      <formula>NOT(ISERROR(SEARCH("CAUTIOUS",R24)))</formula>
    </cfRule>
    <cfRule type="containsText" dxfId="63" priority="48" operator="containsText" text="INVESTED">
      <formula>NOT(ISERROR(SEARCH("INVESTED",R24)))</formula>
    </cfRule>
    <cfRule type="containsText" dxfId="62" priority="49" operator="containsText" text="CASH">
      <formula>NOT(ISERROR(SEARCH("CASH",R24)))</formula>
    </cfRule>
  </conditionalFormatting>
  <conditionalFormatting sqref="R26:AA26">
    <cfRule type="containsText" dxfId="61" priority="51" operator="containsText" text="CAUTIOUS">
      <formula>NOT(ISERROR(SEARCH("CAUTIOUS",R26)))</formula>
    </cfRule>
    <cfRule type="containsText" dxfId="60" priority="52" operator="containsText" text="INVESTED">
      <formula>NOT(ISERROR(SEARCH("INVESTED",R26)))</formula>
    </cfRule>
    <cfRule type="containsText" dxfId="59" priority="53" operator="containsText" text="CASH">
      <formula>NOT(ISERROR(SEARCH("CASH",R26)))</formula>
    </cfRule>
    <cfRule type="containsText" dxfId="58" priority="50" operator="containsText" text="IMPROVING">
      <formula>NOT(ISERROR(SEARCH("IMPROVING",R26)))</formula>
    </cfRule>
  </conditionalFormatting>
  <conditionalFormatting sqref="U5:W6">
    <cfRule type="colorScale" priority="82">
      <colorScale>
        <cfvo type="min"/>
        <cfvo type="max"/>
        <color rgb="FFFCFCFF"/>
        <color rgb="FF63BE7B"/>
      </colorScale>
    </cfRule>
  </conditionalFormatting>
  <conditionalFormatting sqref="U10:W10 U14:W15">
    <cfRule type="colorScale" priority="81">
      <colorScale>
        <cfvo type="min"/>
        <cfvo type="max"/>
        <color rgb="FFFCFCFF"/>
        <color rgb="FF63BE7B"/>
      </colorScale>
    </cfRule>
  </conditionalFormatting>
  <conditionalFormatting sqref="U11:W11">
    <cfRule type="colorScale" priority="76">
      <colorScale>
        <cfvo type="min"/>
        <cfvo type="max"/>
        <color rgb="FFFCFCFF"/>
        <color rgb="FF63BE7B"/>
      </colorScale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U18:W19 U10:W10 U5:W6 U14:W15 U26:W26 U21:W22">
    <cfRule type="colorScale" priority="83">
      <colorScale>
        <cfvo type="min"/>
        <cfvo type="max"/>
        <color rgb="FFFCFCFF"/>
        <color rgb="FF63BE7B"/>
      </colorScale>
    </cfRule>
  </conditionalFormatting>
  <conditionalFormatting sqref="V16:W16">
    <cfRule type="colorScale" priority="16">
      <colorScale>
        <cfvo type="min"/>
        <cfvo type="max"/>
        <color rgb="FFFCFCFF"/>
        <color rgb="FF63BE7B"/>
      </colorScale>
    </cfRule>
  </conditionalFormatting>
  <conditionalFormatting sqref="X14:Z15 X5:Z12">
    <cfRule type="colorScale" priority="79">
      <colorScale>
        <cfvo type="min"/>
        <cfvo type="max"/>
        <color rgb="FFFCFCFF"/>
        <color rgb="FF63BE7B"/>
      </colorScale>
    </cfRule>
  </conditionalFormatting>
  <conditionalFormatting sqref="X16:Z16">
    <cfRule type="colorScale" priority="15">
      <colorScale>
        <cfvo type="min"/>
        <cfvo type="max"/>
        <color rgb="FFFCFCFF"/>
        <color rgb="FF63BE7B"/>
      </colorScale>
    </cfRule>
    <cfRule type="colorScale" priority="14">
      <colorScale>
        <cfvo type="min"/>
        <cfvo type="max"/>
        <color rgb="FFFCFCFF"/>
        <color rgb="FF63BE7B"/>
      </colorScale>
    </cfRule>
  </conditionalFormatting>
  <conditionalFormatting sqref="X18:Z19 X24:Z26 X21:Z22 X14:Z15 X5:Z12">
    <cfRule type="colorScale" priority="80">
      <colorScale>
        <cfvo type="min"/>
        <cfvo type="max"/>
        <color rgb="FFFCFCFF"/>
        <color rgb="FF63BE7B"/>
      </colorScale>
    </cfRule>
  </conditionalFormatting>
  <conditionalFormatting sqref="X24:AA25">
    <cfRule type="containsText" dxfId="57" priority="42" operator="containsText" text="IMPROVING">
      <formula>NOT(ISERROR(SEARCH("IMPROVING",X24)))</formula>
    </cfRule>
    <cfRule type="containsText" dxfId="56" priority="43" operator="containsText" text="CAUTIOUS">
      <formula>NOT(ISERROR(SEARCH("CAUTIOUS",X24)))</formula>
    </cfRule>
    <cfRule type="containsText" dxfId="55" priority="44" operator="containsText" text="INVESTED">
      <formula>NOT(ISERROR(SEARCH("INVESTED",X24)))</formula>
    </cfRule>
    <cfRule type="containsText" dxfId="54" priority="45" operator="containsText" text="CASH">
      <formula>NOT(ISERROR(SEARCH("CASH",X24)))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44D7D-7711-4639-B919-53555C96A998}">
  <dimension ref="A1:AC35"/>
  <sheetViews>
    <sheetView topLeftCell="A2" workbookViewId="0">
      <selection activeCell="I26" sqref="I26"/>
    </sheetView>
  </sheetViews>
  <sheetFormatPr defaultColWidth="9.109375" defaultRowHeight="14.4" x14ac:dyDescent="0.3"/>
  <cols>
    <col min="1" max="1" width="9.109375" style="4" customWidth="1"/>
    <col min="2" max="2" width="30.5546875" style="4" customWidth="1"/>
    <col min="3" max="9" width="9.109375" style="4"/>
    <col min="10" max="10" width="11" style="4" bestFit="1" customWidth="1"/>
    <col min="11" max="11" width="12.44140625" style="4" customWidth="1"/>
    <col min="12" max="18" width="9.109375" style="4" hidden="1" customWidth="1"/>
    <col min="19" max="19" width="12.44140625" style="4" customWidth="1"/>
    <col min="20" max="20" width="12.6640625" style="4" hidden="1" customWidth="1"/>
    <col min="21" max="27" width="9.109375" style="4" hidden="1" customWidth="1"/>
    <col min="28" max="28" width="12.44140625" style="4" customWidth="1"/>
    <col min="29" max="29" width="9.109375" style="4" hidden="1" customWidth="1"/>
    <col min="30" max="16384" width="9.109375" style="4"/>
  </cols>
  <sheetData>
    <row r="1" spans="1:29" ht="15.75" hidden="1" customHeight="1" x14ac:dyDescent="0.3">
      <c r="F1" s="84"/>
      <c r="G1" s="84"/>
      <c r="H1" s="84"/>
      <c r="I1" s="84"/>
      <c r="J1" s="84"/>
      <c r="K1" s="84"/>
      <c r="L1" s="85"/>
      <c r="M1" s="85"/>
      <c r="N1" s="85"/>
      <c r="O1" s="85"/>
      <c r="P1" s="85"/>
      <c r="Q1" s="85"/>
      <c r="R1" s="85"/>
      <c r="S1" s="85"/>
      <c r="T1" s="85"/>
      <c r="U1" s="85" t="s">
        <v>50</v>
      </c>
      <c r="V1" s="85"/>
      <c r="W1" s="85"/>
      <c r="X1" s="85"/>
      <c r="Y1" s="85"/>
      <c r="Z1" s="85"/>
      <c r="AA1" s="85"/>
      <c r="AB1" s="85"/>
      <c r="AC1" s="85"/>
    </row>
    <row r="2" spans="1:29" ht="16.2" thickBot="1" x14ac:dyDescent="0.35">
      <c r="F2" s="86" t="s">
        <v>88</v>
      </c>
      <c r="G2" s="86"/>
      <c r="H2" s="86"/>
      <c r="I2" s="86"/>
      <c r="J2" s="86"/>
      <c r="K2" s="86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ht="31.8" thickBot="1" x14ac:dyDescent="0.35">
      <c r="B3" s="44"/>
      <c r="C3" s="43" t="s">
        <v>28</v>
      </c>
      <c r="D3" s="43" t="s">
        <v>29</v>
      </c>
      <c r="E3" s="43" t="s">
        <v>30</v>
      </c>
      <c r="F3" s="49" t="s">
        <v>28</v>
      </c>
      <c r="G3" s="50" t="s">
        <v>29</v>
      </c>
      <c r="H3" s="50" t="s">
        <v>30</v>
      </c>
      <c r="I3" s="50" t="s">
        <v>35</v>
      </c>
      <c r="J3" s="56" t="s">
        <v>60</v>
      </c>
      <c r="K3" s="56" t="s">
        <v>61</v>
      </c>
      <c r="L3" s="45" t="s">
        <v>28</v>
      </c>
      <c r="M3" s="45" t="s">
        <v>29</v>
      </c>
      <c r="N3" s="45" t="s">
        <v>30</v>
      </c>
      <c r="O3" s="45" t="s">
        <v>28</v>
      </c>
      <c r="P3" s="45" t="s">
        <v>29</v>
      </c>
      <c r="Q3" s="45" t="s">
        <v>30</v>
      </c>
      <c r="R3" s="45" t="s">
        <v>35</v>
      </c>
      <c r="S3" s="57" t="s">
        <v>47</v>
      </c>
      <c r="T3" s="45" t="s">
        <v>36</v>
      </c>
      <c r="U3" s="45" t="s">
        <v>28</v>
      </c>
      <c r="V3" s="45" t="s">
        <v>29</v>
      </c>
      <c r="W3" s="45" t="s">
        <v>30</v>
      </c>
      <c r="X3" s="45" t="s">
        <v>28</v>
      </c>
      <c r="Y3" s="45" t="s">
        <v>29</v>
      </c>
      <c r="Z3" s="45" t="s">
        <v>30</v>
      </c>
      <c r="AA3" s="45" t="s">
        <v>35</v>
      </c>
      <c r="AB3" s="46" t="s">
        <v>48</v>
      </c>
      <c r="AC3" s="42" t="s">
        <v>36</v>
      </c>
    </row>
    <row r="4" spans="1:29" ht="13.5" customHeight="1" x14ac:dyDescent="0.3">
      <c r="B4" s="51" t="s">
        <v>93</v>
      </c>
      <c r="C4" s="38"/>
      <c r="D4" s="38"/>
      <c r="E4" s="38"/>
      <c r="F4" s="73"/>
      <c r="G4" s="38"/>
      <c r="H4" s="38"/>
      <c r="I4" s="38"/>
      <c r="J4" s="38"/>
      <c r="K4" s="30"/>
      <c r="L4" s="38"/>
      <c r="M4" s="38"/>
      <c r="N4" s="38"/>
      <c r="O4" s="38"/>
      <c r="P4" s="38"/>
      <c r="Q4" s="38"/>
      <c r="R4" s="38"/>
      <c r="S4" s="39"/>
      <c r="T4" s="38"/>
      <c r="U4" s="38"/>
      <c r="V4" s="38"/>
      <c r="W4" s="38"/>
      <c r="X4" s="38"/>
      <c r="Y4" s="38"/>
      <c r="Z4" s="38"/>
      <c r="AA4" s="38"/>
      <c r="AB4" s="39"/>
      <c r="AC4" s="31"/>
    </row>
    <row r="5" spans="1:29" x14ac:dyDescent="0.3">
      <c r="A5" s="4" t="s">
        <v>32</v>
      </c>
      <c r="B5" s="5" t="s">
        <v>84</v>
      </c>
      <c r="C5" s="8">
        <f>_xll.FDS(A5,"FG_PRICE(0)/FG_PRICE_MAVG(0,,,,50)")-1</f>
        <v>2.5374756730309977E-2</v>
      </c>
      <c r="D5" s="19">
        <f>_xll.FDS(A5,"FG_PRICE(0)/FG_PRICE_MAVG(0,,,,100)")-1</f>
        <v>2.6953315712390014E-2</v>
      </c>
      <c r="E5" s="19">
        <f>_xll.FDS(A5,"FG_PRICE(0)/FG_PRICE_MAVG(0,,,,200)")-1</f>
        <v>5.643254851363011E-2</v>
      </c>
      <c r="F5" s="47">
        <f t="shared" ref="F5:H10" si="0">IF(C5&gt;0,1,0)</f>
        <v>1</v>
      </c>
      <c r="G5" s="13">
        <f t="shared" si="0"/>
        <v>1</v>
      </c>
      <c r="H5" s="13">
        <f t="shared" si="0"/>
        <v>1</v>
      </c>
      <c r="I5" s="19"/>
      <c r="J5" s="14" t="str">
        <f>IF(H5&gt;0,"INVESTED","CASH")</f>
        <v>INVESTED</v>
      </c>
      <c r="K5" s="15" t="str">
        <f>IF(AND(J5="INVESTED",F5=0),"CAUTIOUS",IF(AND(J5="CASH",F5=0),"CASH",IF(AND(J5="CASH",F5&gt;0),"IMPROVING","INVESTED")))</f>
        <v>INVESTED</v>
      </c>
      <c r="L5" s="19">
        <f>_xll.FDS(A5,"FG_PRICE(-1W)/FG_PRICE_MAVG(-1W,,,,50)")-1</f>
        <v>-1.7737829504818947E-2</v>
      </c>
      <c r="M5" s="19">
        <f>_xll.FDS(A5,"FG_PRICE(-1W)/FG_PRICE_MAVG(-1W,,,,100)")-1</f>
        <v>-1.4391790031554996E-2</v>
      </c>
      <c r="N5" s="19">
        <f>_xll.FDS(A5,"FG_PRICE(-1W)/FG_PRICE_MAVG(-1W,,,,200)")-1</f>
        <v>1.8641546755800098E-2</v>
      </c>
      <c r="O5" s="13">
        <f t="shared" ref="O5:Q10" si="1">IF(L5&gt;0,1,0)</f>
        <v>0</v>
      </c>
      <c r="P5" s="13">
        <f t="shared" si="1"/>
        <v>0</v>
      </c>
      <c r="Q5" s="13">
        <f t="shared" si="1"/>
        <v>1</v>
      </c>
      <c r="R5" s="19"/>
      <c r="S5" s="40" t="str">
        <f>IF(N5&gt;0,"INVESTED","CASH")</f>
        <v>INVESTED</v>
      </c>
      <c r="T5" s="15" t="str">
        <f>IF(AND(S5="INVESTED",L5&lt;0),"CAUTIOUS",IF(AND(S5="CASH",L5&lt;0),"CASH",IF(AND(S5="CASH",L5&gt;0),"IMPROVING","INVESTED")))</f>
        <v>CAUTIOUS</v>
      </c>
      <c r="U5" s="33">
        <f>_xll.FDS(A5,"FG_PRICE(-1M)/FG_PRICE_MAVG(-1M,,,,50)")-1</f>
        <v>-7.1645606520980287E-3</v>
      </c>
      <c r="V5" s="19">
        <f>_xll.FDS(A5,"FG_PRICE(-1M)/FG_PRICE_MAVG(-1M,,,,100)")-1</f>
        <v>4.5339212179200672E-3</v>
      </c>
      <c r="W5" s="19">
        <f>_xll.FDS(A5,"FG_PRICE(-1M)/FG_PRICE_MAVG(-1M,,,,200)")-1</f>
        <v>4.7432135249450003E-2</v>
      </c>
      <c r="X5" s="13">
        <f t="shared" ref="X5:Z10" si="2">IF(U5&gt;0,1,0)</f>
        <v>0</v>
      </c>
      <c r="Y5" s="13">
        <f t="shared" si="2"/>
        <v>1</v>
      </c>
      <c r="Z5" s="13">
        <f t="shared" si="2"/>
        <v>1</v>
      </c>
      <c r="AA5" s="19"/>
      <c r="AB5" s="40" t="str">
        <f>IF(W5&gt;0,"INVESTED","CASH")</f>
        <v>INVESTED</v>
      </c>
      <c r="AC5" s="15" t="str">
        <f t="shared" ref="AC5:AC11" si="3">IF(AND(AB5="INVESTED",U5&lt;0),"CAUTIOUS",IF(AND(AB5="CASH",U5&lt;0),"CASH",IF(AND(AB5="CASH",U5&gt;0),"IMPROVING","INVESTED")))</f>
        <v>CAUTIOUS</v>
      </c>
    </row>
    <row r="6" spans="1:29" x14ac:dyDescent="0.3">
      <c r="A6" s="4" t="s">
        <v>32</v>
      </c>
      <c r="B6" s="5" t="s">
        <v>79</v>
      </c>
      <c r="C6" s="19">
        <f>-(FactsetData!$K$2/AVERAGE(FactsetData!$K$3:$K$52)-1)</f>
        <v>2.3135903287755388E-3</v>
      </c>
      <c r="D6" s="19">
        <f>-(FactsetData!$K$2/AVERAGE(FactsetData!$K$3:$K$102)-1)</f>
        <v>-2.1644946186436087E-2</v>
      </c>
      <c r="E6" s="19">
        <f>-(FactsetData!$K$2/AVERAGE(FactsetData!$K$3:$K$202)-1)</f>
        <v>-4.3026498256840684E-2</v>
      </c>
      <c r="F6" s="47">
        <f t="shared" si="0"/>
        <v>1</v>
      </c>
      <c r="G6" s="13">
        <f t="shared" si="0"/>
        <v>0</v>
      </c>
      <c r="H6" s="13">
        <f t="shared" si="0"/>
        <v>0</v>
      </c>
      <c r="I6" s="19"/>
      <c r="J6" s="14" t="str">
        <f>IF(H6&gt;0,"INVESTED","CASH")</f>
        <v>CASH</v>
      </c>
      <c r="K6" s="15" t="str">
        <f>IF(AND(J6="INVESTED",F6=0),"CAUTIOUS",IF(AND(J6="CASH",F6=0),"CASH",IF(AND(J6="CASH",F6&gt;0),"IMPROVING","INVESTED")))</f>
        <v>IMPROVING</v>
      </c>
      <c r="L6" s="19">
        <f>-(FactsetData!$K$7/AVERAGE(FactsetData!$K$8:$K$57)-1)</f>
        <v>7.4108872158851202E-4</v>
      </c>
      <c r="M6" s="19">
        <f>-(FactsetData!$K$7/AVERAGE(FactsetData!$K$8:$K$107)-1)</f>
        <v>-2.0888021513983945E-2</v>
      </c>
      <c r="N6" s="19">
        <f>-(FactsetData!$K$7/AVERAGE(FactsetData!$K$8:$K$207)-1)</f>
        <v>-4.2982665102955675E-2</v>
      </c>
      <c r="O6" s="13">
        <f t="shared" si="1"/>
        <v>1</v>
      </c>
      <c r="P6" s="13">
        <f t="shared" si="1"/>
        <v>0</v>
      </c>
      <c r="Q6" s="13">
        <f t="shared" si="1"/>
        <v>0</v>
      </c>
      <c r="R6" s="19"/>
      <c r="S6" s="40" t="str">
        <f>IF(N6&gt;0,"INVESTED","CASH")</f>
        <v>CASH</v>
      </c>
      <c r="T6" s="15" t="str">
        <f>IF(AND(S6="INVESTED",L6&lt;0),"CAUTIOUS",IF(AND(S6="CASH",L6&lt;0),"CASH",IF(AND(S6="CASH",L6&gt;0),"IMPROVING","INVESTED")))</f>
        <v>IMPROVING</v>
      </c>
      <c r="U6" s="33">
        <f>-(FactsetData!$K$24/AVERAGE(FactsetData!$K$25:$K$74)-1)</f>
        <v>-2.2527987303158081E-2</v>
      </c>
      <c r="V6" s="19">
        <f>-(FactsetData!$K$24/AVERAGE(FactsetData!$K$25:$K$124)-1)</f>
        <v>-3.4646085278495553E-2</v>
      </c>
      <c r="W6" s="19">
        <f>-(FactsetData!$K$24/AVERAGE(FactsetData!$K$25:$K$224)-1)</f>
        <v>-5.7665770922326498E-2</v>
      </c>
      <c r="X6" s="13">
        <f t="shared" si="2"/>
        <v>0</v>
      </c>
      <c r="Y6" s="13">
        <f t="shared" si="2"/>
        <v>0</v>
      </c>
      <c r="Z6" s="13">
        <f t="shared" si="2"/>
        <v>0</v>
      </c>
      <c r="AA6" s="19"/>
      <c r="AB6" s="40" t="str">
        <f>IF(W6&gt;0,"INVESTED","CASH")</f>
        <v>CASH</v>
      </c>
      <c r="AC6" s="15" t="str">
        <f t="shared" si="3"/>
        <v>CASH</v>
      </c>
    </row>
    <row r="7" spans="1:29" x14ac:dyDescent="0.3">
      <c r="A7" s="4" t="s">
        <v>32</v>
      </c>
      <c r="B7" s="5" t="s">
        <v>33</v>
      </c>
      <c r="C7" s="19">
        <f>_xll.FDS(A7,"FMA_PCT_ABOVE_MAVG(200,0,,,,""PORTAGG"")/AVG(FMA_PCT_ABOVE_MAVG(200,0,-50D,,,""PORTAGG""))")-1</f>
        <v>-4.8827136181121999E-2</v>
      </c>
      <c r="D7" s="19">
        <f>_xll.FDS(A7,"FMA_PCT_ABOVE_MAVG(200,0,,,,""PORTAGG"")/AVG(FMA_PCT_ABOVE_MAVG(200,0,-100D,,,""PORTAGG""))")-1</f>
        <v>-9.3479706492932024E-2</v>
      </c>
      <c r="E7" s="19">
        <f>_xll.FDS(A7,"FMA_PCT_ABOVE_MAVG(200,0,,,,""PORTAGG"")/AVG(FMA_PCT_ABOVE_MAVG(200,0,-200D,,,""PORTAGG""))")-1</f>
        <v>-4.4739762232073987E-2</v>
      </c>
      <c r="F7" s="47">
        <f t="shared" si="0"/>
        <v>0</v>
      </c>
      <c r="G7" s="13">
        <f t="shared" si="0"/>
        <v>0</v>
      </c>
      <c r="H7" s="13">
        <f t="shared" si="0"/>
        <v>0</v>
      </c>
      <c r="I7" s="19">
        <f>_xll.FDS(A7,"FMA_PCT_ABOVE_MAVG(200,0,,,,""PORTAGG"")")/100</f>
        <v>0.55955056179775298</v>
      </c>
      <c r="J7" s="14" t="str">
        <f>IF(I7&gt;0.5,"INVESTED","CASH")</f>
        <v>INVESTED</v>
      </c>
      <c r="K7" s="15" t="str">
        <f>IF(AND(J7="INVESTED",C7&lt;0),"CAUTIOUS",IF(AND(J7="CASH",C7&lt;0),"CASH",IF(AND(J7="CASH",C7&gt;0),"IMPROVING","INVESTED")))</f>
        <v>CAUTIOUS</v>
      </c>
      <c r="L7" s="19">
        <f>_xll.FDS("ACWI-US","FMA_PCT_ABOVE_MAVG(200,-1W,,,,""PORTAGG"")/AVG(FMA_PCT_ABOVE_MAVG(200,-1W,-50D,,,""PORTAGG""))")-1</f>
        <v>-0.13826113097256798</v>
      </c>
      <c r="M7" s="19">
        <f>_xll.FDS("ACWI-US","FMA_PCT_ABOVE_MAVG(200,-1W,,,,""PORTAGG"")/AVG(FMA_PCT_ABOVE_MAVG(200,-1W,-100D,,,""PORTAGG""))")-1</f>
        <v>-0.17429980332462902</v>
      </c>
      <c r="N7" s="19">
        <f>_xll.FDS("ACWI-US","FMA_PCT_ABOVE_MAVG(200,-1W,,,,""PORTAGG"")/AVG(FMA_PCT_ABOVE_MAVG(200,-1W,-200D,,,""PORTAGG""))")-1</f>
        <v>-0.13489633361631004</v>
      </c>
      <c r="O7" s="13">
        <f t="shared" si="1"/>
        <v>0</v>
      </c>
      <c r="P7" s="13">
        <f t="shared" si="1"/>
        <v>0</v>
      </c>
      <c r="Q7" s="13">
        <f t="shared" si="1"/>
        <v>0</v>
      </c>
      <c r="R7" s="19">
        <f>_xll.FDS("ACWI-US","FMA_PCT_ABOVE_MAVG(200,-1W,,,,""PORTAGG"")")/100</f>
        <v>0.53585229712322902</v>
      </c>
      <c r="S7" s="40" t="str">
        <f>IF(R7&gt;0.5,"INVESTED","CASH")</f>
        <v>INVESTED</v>
      </c>
      <c r="T7" s="15" t="str">
        <f>IF(AND(S7="INVESTED",L7&lt;0),"CAUTIOUS",IF(AND(S7="CASH",L7&lt;0),"CASH",IF(AND(S7="CASH",L7&gt;0),"IMPROVING","INVESTED")))</f>
        <v>CAUTIOUS</v>
      </c>
      <c r="U7" s="33">
        <f>_xll.FDS("ACWI-US","FMA_PCT_ABOVE_MAVG(200,-1M,,,,""PORTAGG"")/AVG(FMA_PCT_ABOVE_MAVG(200,-1M,-50D,,,""PORTAGG""))")-1</f>
        <v>-2.6731616538721026E-2</v>
      </c>
      <c r="V7" s="19">
        <f>_xll.FDS("ACWI-US","FMA_PCT_ABOVE_MAVG(200,-1M,,,,""PORTAGG"")/AVG(FMA_PCT_ABOVE_MAVG(200,-1M,-100D,,,""PORTAGG""))")-1</f>
        <v>-7.5031415676607982E-2</v>
      </c>
      <c r="W7" s="19">
        <f>_xll.FDS("ACWI-US","FMA_PCT_ABOVE_MAVG(200,-1M,,,,""PORTAGG"")/AVG(FMA_PCT_ABOVE_MAVG(200,-1M,-200D,,,""PORTAGG""))")-1</f>
        <v>-1.0484155312793009E-2</v>
      </c>
      <c r="X7" s="13">
        <f t="shared" si="2"/>
        <v>0</v>
      </c>
      <c r="Y7" s="13">
        <f t="shared" si="2"/>
        <v>0</v>
      </c>
      <c r="Z7" s="13">
        <f t="shared" si="2"/>
        <v>0</v>
      </c>
      <c r="AA7" s="19">
        <f>_xll.FDS("ACWI-US","FMA_PCT_ABOVE_MAVG(200,-1M,,,,""PORTAGG"")")/100</f>
        <v>0.61323592608508792</v>
      </c>
      <c r="AB7" s="40" t="str">
        <f>IF(AA7&gt;0.5,"INVESTED","CASH")</f>
        <v>INVESTED</v>
      </c>
      <c r="AC7" s="15" t="str">
        <f t="shared" si="3"/>
        <v>CAUTIOUS</v>
      </c>
    </row>
    <row r="8" spans="1:29" x14ac:dyDescent="0.3">
      <c r="A8" s="4" t="s">
        <v>32</v>
      </c>
      <c r="B8" s="5" t="s">
        <v>34</v>
      </c>
      <c r="C8" s="19">
        <f>_xll.FDS(A7,"FMA_PCT_ABOVE_MAVG(50,0,,,,""PORTAGG"")/AVG(FMA_PCT_ABOVE_MAVG(50,0,-50D,,,""PORTAGG""))")-1</f>
        <v>-3.3731104542764956E-2</v>
      </c>
      <c r="D8" s="19">
        <f>_xll.FDS(A7,"FMA_PCT_ABOVE_MAVG(50,0,,,,""PORTAGG"")/AVG(FMA_PCT_ABOVE_MAVG(50,0,-100D,,,""PORTAGG""))")-1</f>
        <v>-0.12384259896431704</v>
      </c>
      <c r="E8" s="19">
        <f>_xll.FDS(A7,"FMA_PCT_ABOVE_MAVG(50,0,,,,""PORTAGG"")/AVG(FMA_PCT_ABOVE_MAVG(50,0,-200D,,,""PORTAGG""))")-1</f>
        <v>-0.20007128405313501</v>
      </c>
      <c r="F8" s="47">
        <f t="shared" si="0"/>
        <v>0</v>
      </c>
      <c r="G8" s="13">
        <f t="shared" si="0"/>
        <v>0</v>
      </c>
      <c r="H8" s="13">
        <f t="shared" si="0"/>
        <v>0</v>
      </c>
      <c r="I8" s="19">
        <f>_xll.FDS(A7,"FMA_PCT_ABOVE_MAVG(200,0,,,,""PORTAGG"")")/100</f>
        <v>0.55955056179775298</v>
      </c>
      <c r="J8" s="14" t="str">
        <f>IF(I8&gt;0.5,"INVESTED","CASH")</f>
        <v>INVESTED</v>
      </c>
      <c r="K8" s="15" t="str">
        <f>IF(AND(J8="INVESTED",C8&lt;0),"CAUTIOUS",IF(AND(J8="CASH",C8&lt;0),"CASH",IF(AND(J8="CASH",C8&gt;0),"IMPROVING","INVESTED")))</f>
        <v>CAUTIOUS</v>
      </c>
      <c r="L8" s="19">
        <f>_xll.FDS("ACWI-US","FMA_PCT_ABOVE_MAVG(50,-1W,,,,""PORTAGG"")/AVG(FMA_PCT_ABOVE_MAVG(50,-1W,-50D,,,""PORTAGG""))")-1</f>
        <v>-0.15601662397567195</v>
      </c>
      <c r="M8" s="19">
        <f>_xll.FDS("ACWI-US","FMA_PCT_ABOVE_MAVG(50,-1W,,,,""PORTAGG"")/AVG(FMA_PCT_ABOVE_MAVG(50,-1W,-100D,,,""PORTAGG""))")-1</f>
        <v>-0.20669069838173404</v>
      </c>
      <c r="N8" s="19">
        <f>_xll.FDS("ACWI-US","FMA_PCT_ABOVE_MAVG(50,-1W,,,,""PORTAGG"")/AVG(FMA_PCT_ABOVE_MAVG(50,-1W,-200D,,,""PORTAGG""))")-1</f>
        <v>-0.28872106372948603</v>
      </c>
      <c r="O8" s="13">
        <f t="shared" si="1"/>
        <v>0</v>
      </c>
      <c r="P8" s="13">
        <f t="shared" si="1"/>
        <v>0</v>
      </c>
      <c r="Q8" s="13">
        <f t="shared" si="1"/>
        <v>0</v>
      </c>
      <c r="R8" s="19">
        <f>_xll.FDS("ACWI-US","FMA_PCT_ABOVE_MAVG(200,-1W,,,,""PORTAGG"")")/100</f>
        <v>0.53585229712322902</v>
      </c>
      <c r="S8" s="40" t="str">
        <f>IF(R8&gt;0.5,"INVESTED","CASH")</f>
        <v>INVESTED</v>
      </c>
      <c r="T8" s="15" t="str">
        <f>IF(AND(S8="INVESTED",L8&lt;0),"CAUTIOUS",IF(AND(S8="CASH",L8&lt;0),"CASH",IF(AND(S8="CASH",L8&gt;0),"IMPROVING","INVESTED")))</f>
        <v>CAUTIOUS</v>
      </c>
      <c r="U8" s="33">
        <f>_xll.FDS("ACWI-US","FMA_PCT_ABOVE_MAVG(50,-1M,,,,""PORTAGG"")/AVG(FMA_PCT_ABOVE_MAVG(50,-1M,-50D,,,""PORTAGG""))")-1</f>
        <v>-5.9008652543515949E-2</v>
      </c>
      <c r="V8" s="19">
        <f>_xll.FDS("ACWI-US","FMA_PCT_ABOVE_MAVG(50,-1M,,,,""PORTAGG"")/AVG(FMA_PCT_ABOVE_MAVG(50,-1M,-100D,,,""PORTAGG""))")-1</f>
        <v>-0.17363557122192796</v>
      </c>
      <c r="W8" s="19">
        <f>_xll.FDS("ACWI-US","FMA_PCT_ABOVE_MAVG(50,-1M,,,,""PORTAGG"")/AVG(FMA_PCT_ABOVE_MAVG(50,-1M,-200D,,,""PORTAGG""))")-1</f>
        <v>-0.26487947134828504</v>
      </c>
      <c r="X8" s="13">
        <f t="shared" si="2"/>
        <v>0</v>
      </c>
      <c r="Y8" s="13">
        <f t="shared" si="2"/>
        <v>0</v>
      </c>
      <c r="Z8" s="13">
        <f t="shared" si="2"/>
        <v>0</v>
      </c>
      <c r="AA8" s="19">
        <f>_xll.FDS("ACWI-US","FMA_PCT_ABOVE_MAVG(200,-1M,,,,""PORTAGG"")")/100</f>
        <v>0.61323592608508792</v>
      </c>
      <c r="AB8" s="40" t="str">
        <f>IF(AA8&gt;0.5,"INVESTED","CASH")</f>
        <v>INVESTED</v>
      </c>
      <c r="AC8" s="15" t="str">
        <f t="shared" si="3"/>
        <v>CAUTIOUS</v>
      </c>
    </row>
    <row r="9" spans="1:29" x14ac:dyDescent="0.3">
      <c r="B9" s="5" t="s">
        <v>86</v>
      </c>
      <c r="C9" s="78">
        <f>_xll.FDS("","ECON_EXPR_DATA('RETURNS(SPEC_ID[DXY.Z:FG_PRICE_IDX,DIST=NONE,CONV=NONE], -1AQ)',NOW,NOW,D)")/100</f>
        <v>-2.9037576358247802E-2</v>
      </c>
      <c r="D9" s="78">
        <f>_xll.FDS("","ECON_EXPR_DATA('RETURNS(SPEC_ID[DXY.Z:FG_PRICE_IDX,DIST=NONE,CONV=NONE], -6AM)',NOW,NOW,D)")/100</f>
        <v>-2.3107309963948799E-2</v>
      </c>
      <c r="E9" s="78">
        <f>_xll.FDS("","ECON_EXPR_DATA('RETURNS(SPEC_ID[DXY.Z:FG_PRICE_IDX,DIST=NONE,CONV=NONE], -1AY)',NOW,NOW,D)")/100</f>
        <v>-1.6193041916514599E-2</v>
      </c>
      <c r="F9" s="47">
        <f>IF(C9&lt;0,1,0)</f>
        <v>1</v>
      </c>
      <c r="G9" s="13">
        <f>IF(D9&lt;0,1,0)</f>
        <v>1</v>
      </c>
      <c r="H9" s="13">
        <f>IF(E9&lt;0,1,0)</f>
        <v>1</v>
      </c>
      <c r="I9" s="19"/>
      <c r="J9" s="14" t="str">
        <f>IF(H9&gt;0,"INVESTED","CASH")</f>
        <v>INVESTED</v>
      </c>
      <c r="K9" s="15" t="str">
        <f>IF(AND(J9="INVESTED",F9=0),"CAUTIOUS",IF(AND(J9="CASH",F9=0),"CASH",IF(AND(J9="CASH",F9&gt;0),"IMPROVING","INVESTED")))</f>
        <v>INVESTED</v>
      </c>
      <c r="L9" s="19">
        <f>_xll.FDS("","ECON_EXPR_DATA('RETURNS(SPEC_ID[DXY.Z:FG_PRICE_IDX,DIST=NONE,CONV=NONE], -1AQ)',-1W,-1W,D)")/100</f>
        <v>-2.0569605226920903E-2</v>
      </c>
      <c r="M9" s="19">
        <f>_xll.FDS("","ECON_EXPR_DATA('RETURNS(SPEC_ID[DXY.Z:FG_PRICE_IDX,DIST=NONE,CONV=NONE], -6AM)',-1W,-1W,D)")/100</f>
        <v>-8.8605283642618805E-3</v>
      </c>
      <c r="N9" s="19">
        <f>_xll.FDS("","ECON_EXPR_DATA('RETURNS(SPEC_ID[DXY.Z:FG_PRICE_IDX,DIST=NONE,CONV=NONE], -1AY)',-1W,-1W,D)")/100</f>
        <v>5.9595801958565202E-3</v>
      </c>
      <c r="O9" s="13">
        <f>IF(L9&lt;0,1,0)</f>
        <v>1</v>
      </c>
      <c r="P9" s="13">
        <f>IF(M9&lt;0,1,0)</f>
        <v>1</v>
      </c>
      <c r="Q9" s="13">
        <f>IF(N9&lt;0,1,0)</f>
        <v>0</v>
      </c>
      <c r="R9" s="19"/>
      <c r="S9" s="40" t="str">
        <f>IF(Q9&gt;0,"INVESTED","CASH")</f>
        <v>CASH</v>
      </c>
      <c r="T9" s="15" t="str">
        <f>IF(AND(S9="INVESTED",O9=0),"CAUTIOUS",IF(AND(S9="CASH",O9=0),"CASH",IF(AND(S9="CASH",O9&gt;0),"IMPROVING","INVESTED")))</f>
        <v>IMPROVING</v>
      </c>
      <c r="U9" s="33">
        <f>_xll.FDS("","ECON_EXPR_DATA('RETURNS(SPEC_ID[DXY.Z:FG_PRICE_IDX,DIST=NONE,CONV=NONE], -1AQ)',-1M,-1M,D)")/100</f>
        <v>1.26260210816291E-2</v>
      </c>
      <c r="V9" s="19">
        <f>_xll.FDS("","ECON_EXPR_DATA('RETURNS(SPEC_ID[DXY.Z:FG_PRICE_IDX,DIST=NONE,CONV=NONE], -6AM)',-1M,-1M,D)")/100</f>
        <v>4.8323529994256598E-2</v>
      </c>
      <c r="W9" s="19">
        <f>_xll.FDS("","ECON_EXPR_DATA('RETURNS(SPEC_ID[DXY.Z:FG_PRICE_IDX,DIST=NONE,CONV=NONE], -1AY)',-1M,-1M,D)")/100</f>
        <v>2.4423758007392903E-2</v>
      </c>
      <c r="X9" s="13">
        <f>IF(U9&lt;0,1,0)</f>
        <v>0</v>
      </c>
      <c r="Y9" s="13">
        <f>IF(V9&lt;0,1,0)</f>
        <v>0</v>
      </c>
      <c r="Z9" s="13">
        <f>IF(W9&lt;0,1,0)</f>
        <v>0</v>
      </c>
      <c r="AA9" s="19"/>
      <c r="AB9" s="40" t="str">
        <f>IF(Z9&gt;0,"INVESTED","CASH")</f>
        <v>CASH</v>
      </c>
      <c r="AC9" s="15" t="str">
        <f>IF(AND(AB9="INVESTED",X9=0),"CAUTIOUS",IF(AND(AB9="CASH",X9=0),"CASH",IF(AND(AB9="CASH",X9&gt;0),"IMPROVING","INVESTED")))</f>
        <v>CASH</v>
      </c>
    </row>
    <row r="10" spans="1:29" x14ac:dyDescent="0.3">
      <c r="B10" s="5" t="s">
        <v>81</v>
      </c>
      <c r="C10" s="19">
        <f>FactsetData!R2/AVERAGE(FactsetData!R3:R52)-1</f>
        <v>-2.8202205784262913E-2</v>
      </c>
      <c r="D10" s="19">
        <f>FactsetData!R2/AVERAGE(FactsetData!R3:R102)-1</f>
        <v>-3.8657279080407614E-2</v>
      </c>
      <c r="E10" s="19">
        <f>FactsetData!R2/AVERAGE(FactsetData!R3:R202)-1</f>
        <v>-8.2720282170080761E-2</v>
      </c>
      <c r="F10" s="47">
        <f t="shared" si="0"/>
        <v>0</v>
      </c>
      <c r="G10" s="13">
        <f t="shared" si="0"/>
        <v>0</v>
      </c>
      <c r="H10" s="13">
        <f t="shared" si="0"/>
        <v>0</v>
      </c>
      <c r="I10" s="19"/>
      <c r="J10" s="14" t="str">
        <f>IF(H10&gt;0,"INVESTED","CASH")</f>
        <v>CASH</v>
      </c>
      <c r="K10" s="15" t="str">
        <f>IF(AND(J10="INVESTED",F10=0),"CAUTIOUS",IF(AND(J10="CASH",F10=0),"CASH",IF(AND(J10="CASH",F10&gt;0),"IMPROVING","INVESTED")))</f>
        <v>CASH</v>
      </c>
      <c r="L10" s="19">
        <f>FactsetData!R7/AVERAGE(FactsetData!R8:R57)-1</f>
        <v>-4.0939077237804988E-2</v>
      </c>
      <c r="M10" s="7">
        <f>FactsetData!R7/AVERAGE(FactsetData!R8:R107)-1</f>
        <v>-5.1144983708338199E-2</v>
      </c>
      <c r="N10" s="7">
        <f>FactsetData!R7/AVERAGE(FactsetData!R8:R207)-1</f>
        <v>-9.0187810263230084E-2</v>
      </c>
      <c r="O10" s="13">
        <f t="shared" si="1"/>
        <v>0</v>
      </c>
      <c r="P10" s="13">
        <f t="shared" si="1"/>
        <v>0</v>
      </c>
      <c r="Q10" s="13">
        <f t="shared" si="1"/>
        <v>0</v>
      </c>
      <c r="R10" s="19"/>
      <c r="S10" s="40" t="str">
        <f>IF(N10&gt;0,"INVESTED","CASH")</f>
        <v>CASH</v>
      </c>
      <c r="T10" s="15" t="str">
        <f>IF(AND(S10="INVESTED",L10&lt;0),"CAUTIOUS",IF(AND(S10="CASH",L10&lt;0),"CASH",IF(AND(S10="CASH",L10&gt;0),"IMPROVING","INVESTED")))</f>
        <v>CASH</v>
      </c>
      <c r="U10" s="33">
        <f>FactsetData!R24/AVERAGE(FactsetData!R25:R74)-1</f>
        <v>-2.4588894840799624E-2</v>
      </c>
      <c r="V10" s="7">
        <f>FactsetData!R24/AVERAGE(FactsetData!R25:R124)-1</f>
        <v>-3.9286506756951223E-2</v>
      </c>
      <c r="W10" s="7">
        <f>FactsetData!R24/AVERAGE(FactsetData!R25:R224)-1</f>
        <v>-6.7879625846747338E-2</v>
      </c>
      <c r="X10" s="13">
        <f t="shared" si="2"/>
        <v>0</v>
      </c>
      <c r="Y10" s="13">
        <f t="shared" si="2"/>
        <v>0</v>
      </c>
      <c r="Z10" s="13">
        <f t="shared" si="2"/>
        <v>0</v>
      </c>
      <c r="AA10" s="19"/>
      <c r="AB10" s="40" t="str">
        <f>IF(W10&gt;0,"INVESTED","CASH")</f>
        <v>CASH</v>
      </c>
      <c r="AC10" s="15" t="str">
        <f t="shared" si="3"/>
        <v>CASH</v>
      </c>
    </row>
    <row r="11" spans="1:29" ht="15.75" customHeight="1" x14ac:dyDescent="0.3">
      <c r="B11" s="5" t="s">
        <v>82</v>
      </c>
      <c r="C11" s="19">
        <f>(FactsetData!$Q$2/AVERAGE(FactsetData!$Q$3:$Q$52)-1)</f>
        <v>-2.5989323249437035E-2</v>
      </c>
      <c r="D11" s="19">
        <f>(FactsetData!$Q$2/AVERAGE(FactsetData!$Q$3:$Q$102)-1)</f>
        <v>-4.383296926856961E-2</v>
      </c>
      <c r="E11" s="19">
        <f>(FactsetData!$Q$2/AVERAGE(FactsetData!$Q$3:$Q$202)-1)</f>
        <v>-1.0312533625622455E-2</v>
      </c>
      <c r="F11" s="47">
        <f t="shared" ref="F11:F12" si="4">IF(C11&gt;0,1,0)</f>
        <v>0</v>
      </c>
      <c r="G11" s="13">
        <f t="shared" ref="G11:G12" si="5">IF(D11&gt;0,1,0)</f>
        <v>0</v>
      </c>
      <c r="H11" s="13">
        <f t="shared" ref="H11:H12" si="6">IF(E11&gt;0,1,0)</f>
        <v>0</v>
      </c>
      <c r="I11" s="19"/>
      <c r="J11" s="14" t="str">
        <f>IF(H11&gt;0,"INVESTED","CASH")</f>
        <v>CASH</v>
      </c>
      <c r="K11" s="15" t="str">
        <f>IF(AND(J11="INVESTED",F11=0),"CAUTIOUS",IF(AND(J11="CASH",F11=0),"CASH",IF(AND(J11="CASH",F11&gt;0),"IMPROVING","INVESTED")))</f>
        <v>CASH</v>
      </c>
      <c r="L11" s="19">
        <f>(FactsetData!$Q$7/AVERAGE(FactsetData!$Q$8:$Q$57)-1)</f>
        <v>-4.442876113965788E-2</v>
      </c>
      <c r="M11" s="7">
        <f>(FactsetData!$Q$7/AVERAGE(FactsetData!$Q$8:$Q$107)-1)</f>
        <v>-5.7229118693480463E-2</v>
      </c>
      <c r="N11" s="7">
        <f>(FactsetData!$Q$7/AVERAGE(FactsetData!$Q$8:$Q$207)-1)</f>
        <v>-2.2283131082415197E-2</v>
      </c>
      <c r="O11" s="13">
        <f t="shared" ref="O11:O12" si="7">IF(L11&gt;0,1,0)</f>
        <v>0</v>
      </c>
      <c r="P11" s="13">
        <f t="shared" ref="P11:P12" si="8">IF(M11&gt;0,1,0)</f>
        <v>0</v>
      </c>
      <c r="Q11" s="13">
        <f t="shared" ref="Q11:Q12" si="9">IF(N11&gt;0,1,0)</f>
        <v>0</v>
      </c>
      <c r="R11" s="19"/>
      <c r="S11" s="40" t="str">
        <f t="shared" ref="S11:S12" si="10">IF(N11&gt;0,"INVESTED","CASH")</f>
        <v>CASH</v>
      </c>
      <c r="T11" s="15" t="str">
        <f t="shared" ref="T11:T12" si="11">IF(AND(S11="INVESTED",L11&lt;0),"CAUTIOUS",IF(AND(S11="CASH",L11&lt;0),"CASH",IF(AND(S11="CASH",L11&gt;0),"IMPROVING","INVESTED")))</f>
        <v>CASH</v>
      </c>
      <c r="U11" s="33">
        <f>(FactsetData!$Q$24/AVERAGE(FactsetData!$Q$25:$Q$74)-1)</f>
        <v>-1.4583614500941366E-2</v>
      </c>
      <c r="V11" s="7">
        <f>(FactsetData!$Q$24/AVERAGE(FactsetData!$Q$25:$Q$124)-1)</f>
        <v>-4.1411115412554045E-3</v>
      </c>
      <c r="W11" s="7">
        <f>(FactsetData!$Q$24/AVERAGE(FactsetData!$Q$25:$Q$224)-1)</f>
        <v>3.4558815244359442E-2</v>
      </c>
      <c r="X11" s="13">
        <f t="shared" ref="X11:X12" si="12">IF(U11&gt;0,1,0)</f>
        <v>0</v>
      </c>
      <c r="Y11" s="13">
        <f t="shared" ref="Y11:Y12" si="13">IF(V11&gt;0,1,0)</f>
        <v>0</v>
      </c>
      <c r="Z11" s="13">
        <f t="shared" ref="Z11:Z12" si="14">IF(W11&gt;0,1,0)</f>
        <v>1</v>
      </c>
      <c r="AA11" s="19"/>
      <c r="AB11" s="40" t="str">
        <f>IF(W11&gt;0,"INVESTED","CASH")</f>
        <v>INVESTED</v>
      </c>
      <c r="AC11" s="15" t="str">
        <f t="shared" si="3"/>
        <v>CAUTIOUS</v>
      </c>
    </row>
    <row r="12" spans="1:29" ht="15" thickBot="1" x14ac:dyDescent="0.35">
      <c r="A12" s="4" t="s">
        <v>39</v>
      </c>
      <c r="B12" s="10" t="s">
        <v>83</v>
      </c>
      <c r="C12" s="37">
        <f>(FactsetData!$S$2/AVERAGE(FactsetData!$S$3:$S$52)-1)</f>
        <v>1.6860205101224768E-2</v>
      </c>
      <c r="D12" s="37">
        <f>(FactsetData!$S$2/AVERAGE(FactsetData!$S$3:$S$102)-1)</f>
        <v>1.4670926469710244E-2</v>
      </c>
      <c r="E12" s="37">
        <f>(FactsetData!$S$2/AVERAGE(FactsetData!$S$3:$S$202)-1)</f>
        <v>4.4893838444974854E-2</v>
      </c>
      <c r="F12" s="48">
        <f t="shared" si="4"/>
        <v>1</v>
      </c>
      <c r="G12" s="20">
        <f t="shared" si="5"/>
        <v>1</v>
      </c>
      <c r="H12" s="20">
        <f t="shared" si="6"/>
        <v>1</v>
      </c>
      <c r="I12" s="37"/>
      <c r="J12" s="16" t="str">
        <f>IF(H12&gt;0,"INVESTED","CASH")</f>
        <v>INVESTED</v>
      </c>
      <c r="K12" s="17" t="str">
        <f>IF(AND(J12="INVESTED",F12=0),"CAUTIOUS",IF(AND(J12="CASH",F12=0),"CASH",IF(AND(J12="CASH",F12&gt;0),"IMPROVING","INVESTED")))</f>
        <v>INVESTED</v>
      </c>
      <c r="L12" s="37">
        <f>(FactsetData!$S$7/AVERAGE(FactsetData!$S$8:$S$57)-1)</f>
        <v>-1.2280838671508643E-2</v>
      </c>
      <c r="M12" s="37">
        <f>(FactsetData!$S$7/AVERAGE(FactsetData!$S$8:$S$107)-1)</f>
        <v>-1.2150822842733278E-2</v>
      </c>
      <c r="N12" s="37">
        <f>(FactsetData!$S$7/AVERAGE(FactsetData!$S$8:$S$207)-1)</f>
        <v>2.0796588270676875E-2</v>
      </c>
      <c r="O12" s="20">
        <f t="shared" si="7"/>
        <v>0</v>
      </c>
      <c r="P12" s="20">
        <f t="shared" si="8"/>
        <v>0</v>
      </c>
      <c r="Q12" s="20">
        <f t="shared" si="9"/>
        <v>1</v>
      </c>
      <c r="R12" s="37"/>
      <c r="S12" s="41" t="str">
        <f t="shared" si="10"/>
        <v>INVESTED</v>
      </c>
      <c r="T12" s="17" t="str">
        <f t="shared" si="11"/>
        <v>CAUTIOUS</v>
      </c>
      <c r="U12" s="37">
        <f>(FactsetData!$S$24/AVERAGE(FactsetData!$S$25:$S$74)-1)</f>
        <v>-9.544817151071916E-3</v>
      </c>
      <c r="V12" s="37">
        <f>(FactsetData!$S$24/AVERAGE(FactsetData!$S$25:$S$124)-1)</f>
        <v>3.4975428470200853E-3</v>
      </c>
      <c r="W12" s="37">
        <f>(FactsetData!$S$24/AVERAGE(FactsetData!$S$25:$S$224)-1)</f>
        <v>4.6690878317626971E-2</v>
      </c>
      <c r="X12" s="20">
        <f t="shared" si="12"/>
        <v>0</v>
      </c>
      <c r="Y12" s="20">
        <f t="shared" si="13"/>
        <v>1</v>
      </c>
      <c r="Z12" s="20">
        <f t="shared" si="14"/>
        <v>1</v>
      </c>
      <c r="AA12" s="37"/>
      <c r="AB12" s="41" t="str">
        <f>IF(W12&gt;0,"INVESTED","CASH")</f>
        <v>INVESTED</v>
      </c>
      <c r="AC12" s="15"/>
    </row>
    <row r="13" spans="1:29" ht="13.5" customHeight="1" x14ac:dyDescent="0.3">
      <c r="B13" s="51" t="s">
        <v>94</v>
      </c>
      <c r="C13" s="38"/>
      <c r="D13" s="38"/>
      <c r="E13" s="38"/>
      <c r="F13" s="73"/>
      <c r="G13" s="38"/>
      <c r="H13" s="38"/>
      <c r="I13" s="38"/>
      <c r="J13" s="38"/>
      <c r="K13" s="30"/>
      <c r="L13" s="38"/>
      <c r="M13" s="38"/>
      <c r="N13" s="38"/>
      <c r="O13" s="38"/>
      <c r="P13" s="38"/>
      <c r="Q13" s="38"/>
      <c r="R13" s="38"/>
      <c r="S13" s="39"/>
      <c r="T13" s="38"/>
      <c r="U13" s="38"/>
      <c r="V13" s="38"/>
      <c r="W13" s="38"/>
      <c r="X13" s="38"/>
      <c r="Y13" s="38"/>
      <c r="Z13" s="38"/>
      <c r="AA13" s="38"/>
      <c r="AB13" s="30"/>
      <c r="AC13" s="31"/>
    </row>
    <row r="14" spans="1:29" x14ac:dyDescent="0.3">
      <c r="A14" s="4" t="s">
        <v>32</v>
      </c>
      <c r="B14" s="5" t="s">
        <v>18</v>
      </c>
      <c r="C14" s="19">
        <f>_xll.FDS(A14,"FMA_EPS(NTMA,0,,,,""PORTAGG"",""MEANR"")/AVG(FMA_EPS(NTMA,0,-50D,,,""PORTAGG"",""MEANR""))")-1</f>
        <v>3.0898741010380038E-2</v>
      </c>
      <c r="D14" s="19">
        <f>_xll.FDS(A14,"FMA_EPS(NTMA,0,,,,""PORTAGG"",""MEANR"")/AVG(FMA_EPS(NTMA,0,-100D,,,""PORTAGG"",""MEANR""))")-1</f>
        <v>4.1635117919599951E-2</v>
      </c>
      <c r="E14" s="19">
        <f>_xll.FDS(A14,"FMA_EPS(NTMA,0,,,,""PORTAGG"",""MEANR"")/AVG(FMA_EPS(NTMA,0,-200D,,,""PORTAGG"",""MEANR""))")-1</f>
        <v>5.1099432017950086E-2</v>
      </c>
      <c r="F14" s="47">
        <f t="shared" ref="F14:H16" si="15">IF(C14&gt;0,1,0)</f>
        <v>1</v>
      </c>
      <c r="G14" s="13">
        <f t="shared" si="15"/>
        <v>1</v>
      </c>
      <c r="H14" s="13">
        <f t="shared" si="15"/>
        <v>1</v>
      </c>
      <c r="I14" s="19"/>
      <c r="J14" s="14" t="str">
        <f>IF(E14&gt;0,"INVESTED","CASH")</f>
        <v>INVESTED</v>
      </c>
      <c r="K14" s="15" t="str">
        <f>IF(AND(J14="INVESTED",C14&lt;0),"CAUTIOUS",IF(AND(J14="CASH",C14&lt;0),"CASH",IF(AND(J14="CASH",C14&gt;0),"IMPROVING","INVESTED")))</f>
        <v>INVESTED</v>
      </c>
      <c r="L14" s="19">
        <f>_xll.FDS(A14,"FMA_EPS(NTMA,-1W,,,,""PORTAGG"",""MEANR"")/AVG(FMA_EPS(NTMA,-1W,-50D,,,""PORTAGG"",""MEANR""))")-1</f>
        <v>2.7448755097960076E-2</v>
      </c>
      <c r="M14" s="7">
        <f>_xll.FDS(A14,"FMA_EPS(NTMA,-1W,,,,""PORTAGG"",""MEANR"")/AVG(FMA_EPS(NTMA,-1W,-100D,,,""PORTAGG"",""MEANR""))")-1</f>
        <v>3.6469377814499992E-2</v>
      </c>
      <c r="N14" s="7">
        <f>_xll.FDS(A14,"FMA_EPS(NTMA,-1W,,,,""PORTAGG"",""MEANR"")/AVG(FMA_EPS(NTMA,-1W,-200D,,,""PORTAGG"",""MEANR""))")-1</f>
        <v>4.4667076484129931E-2</v>
      </c>
      <c r="O14" s="13">
        <f t="shared" ref="O14:Q16" si="16">IF(L14&gt;0,1,0)</f>
        <v>1</v>
      </c>
      <c r="P14" s="13">
        <f t="shared" si="16"/>
        <v>1</v>
      </c>
      <c r="Q14" s="13">
        <f t="shared" si="16"/>
        <v>1</v>
      </c>
      <c r="R14" s="19"/>
      <c r="S14" s="40" t="str">
        <f>IF(N14&gt;0,"INVESTED","CASH")</f>
        <v>INVESTED</v>
      </c>
      <c r="T14" s="15" t="str">
        <f>IF(AND(S14="INVESTED",L14&lt;0),"CAUTIOUS",IF(AND(S14="CASH",L14&lt;0),"CASH",IF(AND(S14="CASH",L14&gt;0),"IMPROVING","INVESTED")))</f>
        <v>INVESTED</v>
      </c>
      <c r="U14" s="33">
        <f>_xll.FDS(A14,"FMA_EPS(NTMA,-1M,,,,""PORTAGG"",""MEANR"")/AVG(FMA_EPS(NTMA,-1M,-50D,,,""PORTAGG"",""MEANR""))")-1</f>
        <v>5.5832002097000455E-4</v>
      </c>
      <c r="V14" s="7">
        <f>_xll.FDS(A14,"FMA_EPS(NTMA,-1M,,,,""PORTAGG"",""MEANR"")/AVG(FMA_EPS(NTMA,-1M,-100D,,,""PORTAGG"",""MEANR""))")-1</f>
        <v>4.8686133104400842E-3</v>
      </c>
      <c r="W14" s="7">
        <f>_xll.FDS(A14,"FMA_EPS(NTMA,-1M,,,,""PORTAGG"",""MEANR"")/AVG(FMA_EPS(NTMA,-1M,-200D,,,""PORTAGG"",""MEANR""))")-1</f>
        <v>1.0280315105599902E-2</v>
      </c>
      <c r="X14" s="13">
        <f t="shared" ref="X14:Z16" si="17">IF(U14&gt;0,1,0)</f>
        <v>1</v>
      </c>
      <c r="Y14" s="13">
        <f t="shared" si="17"/>
        <v>1</v>
      </c>
      <c r="Z14" s="13">
        <f t="shared" si="17"/>
        <v>1</v>
      </c>
      <c r="AA14" s="19"/>
      <c r="AB14" s="15" t="str">
        <f>IF(W14&gt;0,"INVESTED","CASH")</f>
        <v>INVESTED</v>
      </c>
      <c r="AC14" s="15" t="str">
        <f>IF(AND(AB14="INVESTED",U14&lt;0),"CAUTIOUS",IF(AND(AB14="CASH",U14&lt;0),"CASH",IF(AND(AB14="CASH",U14&gt;0),"IMPROVING","INVESTED")))</f>
        <v>INVESTED</v>
      </c>
    </row>
    <row r="15" spans="1:29" x14ac:dyDescent="0.3">
      <c r="A15" s="4" t="s">
        <v>32</v>
      </c>
      <c r="B15" s="5" t="s">
        <v>89</v>
      </c>
      <c r="C15" s="19">
        <f>-(FactsetData!P2/AVERAGE(FactsetData!P3:P52)-1)</f>
        <v>-3.6562776188042712E-3</v>
      </c>
      <c r="D15" s="19">
        <f>-(FactsetData!P2/AVERAGE(FactsetData!P3:P102)-1)</f>
        <v>-3.1226530897352278E-2</v>
      </c>
      <c r="E15" s="19">
        <f>-(FactsetData!P2/AVERAGE(FactsetData!P3:P202)-1)</f>
        <v>-7.8797067942900645E-2</v>
      </c>
      <c r="F15" s="47">
        <f t="shared" si="15"/>
        <v>0</v>
      </c>
      <c r="G15" s="13">
        <f t="shared" si="15"/>
        <v>0</v>
      </c>
      <c r="H15" s="13">
        <f t="shared" si="15"/>
        <v>0</v>
      </c>
      <c r="I15" s="19"/>
      <c r="J15" s="14" t="str">
        <f>IF(E15&gt;0,"INVESTED","CASH")</f>
        <v>CASH</v>
      </c>
      <c r="K15" s="15" t="str">
        <f>IF(AND(J15="INVESTED",C15&lt;0),"CAUTIOUS",IF(AND(J15="CASH",C15&lt;0),"CASH",IF(AND(J15="CASH",C15&gt;0),"IMPROVING","INVESTED")))</f>
        <v>CASH</v>
      </c>
      <c r="L15" s="19">
        <f>-(FactsetData!$P$7/AVERAGE(FactsetData!$P$8:$P$57)-1)</f>
        <v>-2.9352126016585656E-2</v>
      </c>
      <c r="M15" s="19">
        <f>-(FactsetData!$P$7/AVERAGE(FactsetData!$P$8:$P$107)-1)</f>
        <v>-5.4330435339223104E-2</v>
      </c>
      <c r="N15" s="19">
        <f>-(FactsetData!$P$7/AVERAGE(FactsetData!$P$8:$P$207)-1)</f>
        <v>-0.10430853511842986</v>
      </c>
      <c r="O15" s="13">
        <f t="shared" si="16"/>
        <v>0</v>
      </c>
      <c r="P15" s="13">
        <f t="shared" si="16"/>
        <v>0</v>
      </c>
      <c r="Q15" s="13">
        <f t="shared" si="16"/>
        <v>0</v>
      </c>
      <c r="R15" s="19"/>
      <c r="S15" s="40" t="str">
        <f>IF(N15&gt;0,"INVESTED","CASH")</f>
        <v>CASH</v>
      </c>
      <c r="T15" s="15" t="str">
        <f>IF(AND(S15="INVESTED",L15&lt;0),"CAUTIOUS",IF(AND(S15="CASH",L15&lt;0),"CASH",IF(AND(S15="CASH",L15&gt;0),"IMPROVING","INVESTED")))</f>
        <v>CASH</v>
      </c>
      <c r="U15" s="33">
        <f>-(FactsetData!$P$24/AVERAGE(FactsetData!$P$25:$P$74)-1)</f>
        <v>-4.3463168989378076E-2</v>
      </c>
      <c r="V15" s="19">
        <f>-(FactsetData!$P$24/AVERAGE(FactsetData!$P$25:$P$124)-1)</f>
        <v>-4.9746185454426328E-2</v>
      </c>
      <c r="W15" s="19">
        <f>-(FactsetData!$P$24/AVERAGE(FactsetData!$P$25:$P$224)-1)</f>
        <v>-0.10293296774882355</v>
      </c>
      <c r="X15" s="13">
        <f t="shared" si="17"/>
        <v>0</v>
      </c>
      <c r="Y15" s="13">
        <f t="shared" si="17"/>
        <v>0</v>
      </c>
      <c r="Z15" s="13">
        <f t="shared" si="17"/>
        <v>0</v>
      </c>
      <c r="AA15" s="19"/>
      <c r="AB15" s="15" t="str">
        <f>IF(W15&gt;0,"INVESTED","CASH")</f>
        <v>CASH</v>
      </c>
      <c r="AC15" s="15"/>
    </row>
    <row r="16" spans="1:29" ht="15" thickBot="1" x14ac:dyDescent="0.35">
      <c r="A16" s="4" t="s">
        <v>32</v>
      </c>
      <c r="B16" s="10" t="s">
        <v>19</v>
      </c>
      <c r="C16" s="58">
        <f>FactsetData!V2/AVERAGE(FactsetData!V3:V52)-1</f>
        <v>1.3345548577607946E-2</v>
      </c>
      <c r="D16" s="58">
        <f>FactsetData!V2/AVERAGE(FactsetData!V3:V102)-1</f>
        <v>3.0626007775020669E-2</v>
      </c>
      <c r="E16" s="58">
        <f>FactsetData!V2/AVERAGE(FactsetData!V3:V202)-1</f>
        <v>7.3973807069061426E-2</v>
      </c>
      <c r="F16" s="48">
        <f t="shared" si="15"/>
        <v>1</v>
      </c>
      <c r="G16" s="20">
        <f t="shared" si="15"/>
        <v>1</v>
      </c>
      <c r="H16" s="20">
        <f t="shared" si="15"/>
        <v>1</v>
      </c>
      <c r="I16" s="37">
        <f>FactsetData!V2</f>
        <v>0.503523382447149</v>
      </c>
      <c r="J16" s="16" t="str">
        <f>IF(I16&gt;0.5,"INVESTED","CASH")</f>
        <v>INVESTED</v>
      </c>
      <c r="K16" s="17" t="str">
        <f>IF(AND(J16="INVESTED",C16&lt;0),"CAUTIOUS",IF(AND(J16="CASH",C16&lt;0),"CASH",IF(AND(J16="CASH",C16&gt;0),"IMPROVING","INVESTED")))</f>
        <v>INVESTED</v>
      </c>
      <c r="L16" s="58">
        <f>FactsetData!V7/AVERAGE(FactsetData!V8:V57)-1</f>
        <v>1.2323147929610423E-2</v>
      </c>
      <c r="M16" s="58">
        <f>FactsetData!V7/AVERAGE(FactsetData!V8:V107)-1</f>
        <v>4.0089927336778963E-2</v>
      </c>
      <c r="N16" s="58">
        <f>FactsetData!V7/AVERAGE(FactsetData!V8:V207)-1</f>
        <v>8.2542757999049643E-2</v>
      </c>
      <c r="O16" s="20">
        <f t="shared" si="16"/>
        <v>1</v>
      </c>
      <c r="P16" s="20">
        <f t="shared" si="16"/>
        <v>1</v>
      </c>
      <c r="Q16" s="20">
        <f t="shared" si="16"/>
        <v>1</v>
      </c>
      <c r="R16" s="37">
        <f>FactsetData!V7</f>
        <v>0.50579896907216504</v>
      </c>
      <c r="S16" s="41" t="str">
        <f>IF(R16&gt;0.5,"INVESTED","CASH")</f>
        <v>INVESTED</v>
      </c>
      <c r="T16" s="17" t="str">
        <f>IF(AND(S16="INVESTED",L16&lt;0),"CAUTIOUS",IF(AND(S16="CASH",L16&lt;0),"CASH",IF(AND(S16="CASH",L16&gt;0),"IMPROVING","INVESTED")))</f>
        <v>INVESTED</v>
      </c>
      <c r="U16" s="59">
        <f>FactsetData!V24/AVERAGE(FactsetData!V25:V74)-1</f>
        <v>-5.395747495729375E-2</v>
      </c>
      <c r="V16" s="58">
        <f>FactsetData!V24/AVERAGE(FactsetData!V24:V124)-1</f>
        <v>-1.4892790652438759E-3</v>
      </c>
      <c r="W16" s="58">
        <f>FactsetData!V24/AVERAGE(FactsetData!V24:V224)-1</f>
        <v>3.4274816569144662E-2</v>
      </c>
      <c r="X16" s="20">
        <f t="shared" si="17"/>
        <v>0</v>
      </c>
      <c r="Y16" s="20">
        <f t="shared" si="17"/>
        <v>0</v>
      </c>
      <c r="Z16" s="20">
        <f t="shared" si="17"/>
        <v>1</v>
      </c>
      <c r="AA16" s="37">
        <f>FactsetData!V24</f>
        <v>0.47983310152990299</v>
      </c>
      <c r="AB16" s="17" t="str">
        <f>IF(AA16&gt;0.5,"INVESTED","CASH")</f>
        <v>CASH</v>
      </c>
      <c r="AC16" s="15" t="str">
        <f>IF(AND(AB16="INVESTED",U16&lt;0),"CAUTIOUS",IF(AND(AB16="CASH",U16&lt;0),"CASH",IF(AND(AB16="CASH",U16&gt;0),"IMPROVING","INVESTED")))</f>
        <v>CASH</v>
      </c>
    </row>
    <row r="17" spans="1:29" ht="13.5" customHeight="1" x14ac:dyDescent="0.3">
      <c r="B17" s="51" t="s">
        <v>95</v>
      </c>
      <c r="C17" s="38"/>
      <c r="D17" s="38"/>
      <c r="E17" s="38"/>
      <c r="F17" s="73"/>
      <c r="G17" s="38"/>
      <c r="H17" s="38"/>
      <c r="I17" s="38"/>
      <c r="J17" s="38"/>
      <c r="K17" s="30"/>
      <c r="L17" s="38"/>
      <c r="M17" s="38"/>
      <c r="N17" s="38"/>
      <c r="O17" s="38"/>
      <c r="P17" s="38"/>
      <c r="Q17" s="38"/>
      <c r="R17" s="38"/>
      <c r="S17" s="39"/>
      <c r="T17" s="38"/>
      <c r="U17" s="38"/>
      <c r="V17" s="38"/>
      <c r="W17" s="38"/>
      <c r="X17" s="38"/>
      <c r="Y17" s="38"/>
      <c r="Z17" s="38"/>
      <c r="AA17" s="38"/>
      <c r="AB17" s="30"/>
      <c r="AC17" s="31"/>
    </row>
    <row r="18" spans="1:29" x14ac:dyDescent="0.3">
      <c r="A18" s="4" t="s">
        <v>40</v>
      </c>
      <c r="B18" s="5" t="s">
        <v>37</v>
      </c>
      <c r="C18" s="25">
        <f>_xll.FDS(A18,"FG_PRICE(0)/FG_PRICE_MAVG(0,,,,50)")-1</f>
        <v>4.7788144394490084E-2</v>
      </c>
      <c r="D18" s="23">
        <f>_xll.FDS(A18,"FG_PRICE(0)/FG_PRICE_MAVG(0,,,,100)")-1</f>
        <v>6.828376267146008E-2</v>
      </c>
      <c r="E18" s="23">
        <f>_xll.FDS(A18,"FG_PRICE(0)/FG_PRICE_MAVG(0,,,,200)")-1</f>
        <v>5.855185343128011E-2</v>
      </c>
      <c r="F18" s="47">
        <f t="shared" ref="F18:H19" si="18">IF(C18&gt;0,1,0)</f>
        <v>1</v>
      </c>
      <c r="G18" s="13">
        <f t="shared" si="18"/>
        <v>1</v>
      </c>
      <c r="H18" s="13">
        <f t="shared" si="18"/>
        <v>1</v>
      </c>
      <c r="I18" s="19"/>
      <c r="J18" s="14" t="str">
        <f>IF(E18&gt;0,"INVESTED","CASH")</f>
        <v>INVESTED</v>
      </c>
      <c r="K18" s="15" t="str">
        <f>IF(AND(J18="INVESTED",C18&lt;0),"CAUTIOUS",IF(AND(J18="CASH",C18&lt;0),"CASH",IF(AND(J18="CASH",C18&gt;0),"IMPROVING","INVESTED")))</f>
        <v>INVESTED</v>
      </c>
      <c r="L18" s="23">
        <f>_xll.FDS(A18,"FG_PRICE(-1W)/FG_PRICE_MAVG(-1W,,,,50)")-1</f>
        <v>3.1011753919579998E-2</v>
      </c>
      <c r="M18" s="23">
        <f>_xll.FDS(A18,"FG_PRICE(-1W)/FG_PRICE_MAVG(-1W,,,,100)")-1</f>
        <v>4.5362385415750106E-2</v>
      </c>
      <c r="N18" s="23">
        <f>_xll.FDS(A18,"FG_PRICE(-1W)/FG_PRICE_MAVG(-1W,,,,200)")-1</f>
        <v>3.783583304492999E-2</v>
      </c>
      <c r="O18" s="13">
        <f t="shared" ref="O18:Q19" si="19">IF(L18&gt;0,1,0)</f>
        <v>1</v>
      </c>
      <c r="P18" s="13">
        <f t="shared" si="19"/>
        <v>1</v>
      </c>
      <c r="Q18" s="13">
        <f t="shared" si="19"/>
        <v>1</v>
      </c>
      <c r="R18" s="19"/>
      <c r="S18" s="40" t="str">
        <f>IF(N18&gt;0,"INVESTED","CASH")</f>
        <v>INVESTED</v>
      </c>
      <c r="T18" s="15" t="str">
        <f>IF(AND(S18="INVESTED",L18&lt;0),"CAUTIOUS",IF(AND(S18="CASH",L18&lt;0),"CASH",IF(AND(S18="CASH",L18&gt;0),"IMPROVING","INVESTED")))</f>
        <v>INVESTED</v>
      </c>
      <c r="U18" s="34">
        <f>_xll.FDS(A18,"FG_PRICE(-1M)/FG_PRICE_MAVG(-1M,,,,50)")-1</f>
        <v>6.4832523292299715E-3</v>
      </c>
      <c r="V18" s="23">
        <f>_xll.FDS(A18,"FG_PRICE(-1M)/FG_PRICE_MAVG(-1M,,,,100)")-1</f>
        <v>-3.8660157462540035E-3</v>
      </c>
      <c r="W18" s="23">
        <f>_xll.FDS(A18,"FG_PRICE(-1M)/FG_PRICE_MAVG(-1M,,,,200)")-1</f>
        <v>-1.7701232560479729E-3</v>
      </c>
      <c r="X18" s="13">
        <f t="shared" ref="X18:Z19" si="20">IF(U18&gt;0,1,0)</f>
        <v>1</v>
      </c>
      <c r="Y18" s="13">
        <f t="shared" si="20"/>
        <v>0</v>
      </c>
      <c r="Z18" s="13">
        <f t="shared" si="20"/>
        <v>0</v>
      </c>
      <c r="AA18" s="19"/>
      <c r="AB18" s="15" t="str">
        <f>IF(W18&gt;0,"INVESTED","CASH")</f>
        <v>CASH</v>
      </c>
      <c r="AC18" s="15" t="str">
        <f>IF(AND(AB18="INVESTED",U18&lt;0),"CAUTIOUS",IF(AND(AB18="CASH",U18&lt;0),"CASH",IF(AND(AB18="CASH",U18&gt;0),"IMPROVING","INVESTED")))</f>
        <v>IMPROVING</v>
      </c>
    </row>
    <row r="19" spans="1:29" ht="15" thickBot="1" x14ac:dyDescent="0.35">
      <c r="A19" s="4" t="s">
        <v>39</v>
      </c>
      <c r="B19" s="10" t="s">
        <v>38</v>
      </c>
      <c r="C19" s="26">
        <f>_xll.FDS(A19,"FG_PRICE(0)/FG_PRICE_MAVG(0,,,,50)")-1</f>
        <v>8.1712622392000611E-3</v>
      </c>
      <c r="D19" s="24">
        <f>_xll.FDS(A19,"FG_PRICE(0)/FG_PRICE_MAVG(0,,,,100)")-1</f>
        <v>1.2227819851859945E-2</v>
      </c>
      <c r="E19" s="24">
        <f>_xll.FDS(A19,"FG_PRICE(0)/FG_PRICE_MAVG(0,,,,200)")-1</f>
        <v>1.1832464835640044E-2</v>
      </c>
      <c r="F19" s="48">
        <f t="shared" si="18"/>
        <v>1</v>
      </c>
      <c r="G19" s="20">
        <f t="shared" si="18"/>
        <v>1</v>
      </c>
      <c r="H19" s="20">
        <f t="shared" si="18"/>
        <v>1</v>
      </c>
      <c r="I19" s="37"/>
      <c r="J19" s="16" t="str">
        <f>IF(E19&gt;0,"INVESTED","CASH")</f>
        <v>INVESTED</v>
      </c>
      <c r="K19" s="17" t="str">
        <f>IF(AND(J19="INVESTED",C19&lt;0),"CAUTIOUS",IF(AND(J19="CASH",C19&lt;0),"CASH",IF(AND(J19="CASH",C19&gt;0),"IMPROVING","INVESTED")))</f>
        <v>INVESTED</v>
      </c>
      <c r="L19" s="24">
        <f>_xll.FDS(A19,"FG_PRICE(-1W)/FG_PRICE_MAVG(-1W,,,,50)")-1</f>
        <v>8.2587244695899731E-3</v>
      </c>
      <c r="M19" s="24">
        <f>_xll.FDS(A19,"FG_PRICE(-1W)/FG_PRICE_MAVG(-1W,,,,100)")-1</f>
        <v>1.1007330048300012E-2</v>
      </c>
      <c r="N19" s="24">
        <f>_xll.FDS(A19,"FG_PRICE(-1W)/FG_PRICE_MAVG(-1W,,,,200)")-1</f>
        <v>1.055025245377994E-2</v>
      </c>
      <c r="O19" s="20">
        <f t="shared" si="19"/>
        <v>1</v>
      </c>
      <c r="P19" s="20">
        <f t="shared" si="19"/>
        <v>1</v>
      </c>
      <c r="Q19" s="20">
        <f t="shared" si="19"/>
        <v>1</v>
      </c>
      <c r="R19" s="37"/>
      <c r="S19" s="41" t="str">
        <f>IF(N19&gt;0,"INVESTED","CASH")</f>
        <v>INVESTED</v>
      </c>
      <c r="T19" s="17" t="str">
        <f>IF(AND(S19="INVESTED",L19&lt;0),"CAUTIOUS",IF(AND(S19="CASH",L19&lt;0),"CASH",IF(AND(S19="CASH",L19&gt;0),"IMPROVING","INVESTED")))</f>
        <v>INVESTED</v>
      </c>
      <c r="U19" s="35">
        <f>_xll.FDS(A19,"FG_PRICE(-1M)/FG_PRICE_MAVG(-1M,,,,50)")-1</f>
        <v>3.2955771437799264E-3</v>
      </c>
      <c r="V19" s="24">
        <f>_xll.FDS(A19,"FG_PRICE(-1M)/FG_PRICE_MAVG(-1M,,,,100)")-1</f>
        <v>2.0384394954100493E-3</v>
      </c>
      <c r="W19" s="24">
        <f>_xll.FDS(A19,"FG_PRICE(-1M)/FG_PRICE_MAVG(-1M,,,,200)")-1</f>
        <v>2.4345716541200879E-3</v>
      </c>
      <c r="X19" s="20">
        <f t="shared" si="20"/>
        <v>1</v>
      </c>
      <c r="Y19" s="20">
        <f t="shared" si="20"/>
        <v>1</v>
      </c>
      <c r="Z19" s="20">
        <f t="shared" si="20"/>
        <v>1</v>
      </c>
      <c r="AA19" s="37"/>
      <c r="AB19" s="17" t="str">
        <f>IF(W19&gt;0,"INVESTED","CASH")</f>
        <v>INVESTED</v>
      </c>
      <c r="AC19" s="17" t="str">
        <f>IF(AND(AB19="INVESTED",U19&lt;0),"CAUTIOUS",IF(AND(AB19="CASH",U19&lt;0),"CASH",IF(AND(AB19="CASH",U19&gt;0),"IMPROVING","INVESTED")))</f>
        <v>INVESTED</v>
      </c>
    </row>
    <row r="20" spans="1:29" ht="13.5" customHeight="1" x14ac:dyDescent="0.3">
      <c r="B20" s="51" t="s">
        <v>96</v>
      </c>
      <c r="C20" s="38"/>
      <c r="D20" s="38"/>
      <c r="E20" s="38"/>
      <c r="F20" s="73"/>
      <c r="G20" s="38"/>
      <c r="H20" s="38"/>
      <c r="I20" s="38"/>
      <c r="J20" s="38"/>
      <c r="K20" s="30"/>
      <c r="L20" s="38"/>
      <c r="M20" s="38"/>
      <c r="N20" s="38"/>
      <c r="O20" s="38"/>
      <c r="P20" s="38"/>
      <c r="Q20" s="38"/>
      <c r="R20" s="38"/>
      <c r="S20" s="39"/>
      <c r="T20" s="38"/>
      <c r="U20" s="38"/>
      <c r="V20" s="38"/>
      <c r="W20" s="38"/>
      <c r="X20" s="38"/>
      <c r="Y20" s="38"/>
      <c r="Z20" s="38"/>
      <c r="AA20" s="38"/>
      <c r="AB20" s="30"/>
      <c r="AC20" s="31"/>
    </row>
    <row r="21" spans="1:29" x14ac:dyDescent="0.3">
      <c r="A21" s="4" t="s">
        <v>40</v>
      </c>
      <c r="B21" s="5" t="s">
        <v>58</v>
      </c>
      <c r="C21" s="25"/>
      <c r="D21" s="23"/>
      <c r="E21" s="23"/>
      <c r="F21" s="47"/>
      <c r="G21" s="13"/>
      <c r="H21" s="13"/>
      <c r="I21" s="19">
        <f>PERCENTRANK(FactsetData!$T:$T,FactsetData!$T2)</f>
        <v>0.38500000000000001</v>
      </c>
      <c r="J21" s="14" t="str">
        <f>IF(I21&lt;25%,"INVESTED",IF(I21&gt;75%,"CASH","NO SIGNAL"))</f>
        <v>NO SIGNAL</v>
      </c>
      <c r="K21" s="15"/>
      <c r="L21" s="23"/>
      <c r="M21" s="23"/>
      <c r="N21" s="23"/>
      <c r="O21" s="13"/>
      <c r="P21" s="13"/>
      <c r="Q21" s="13"/>
      <c r="R21" s="19">
        <f>PERCENTRANK(FactsetData!$T:$T,FactsetData!$T3)</f>
        <v>0.33500000000000002</v>
      </c>
      <c r="S21" s="40" t="str">
        <f>IF(R21&lt;25%,"INVESTED",IF(R21&gt;75%,"CASH","NO SIGNAL"))</f>
        <v>NO SIGNAL</v>
      </c>
      <c r="T21" s="15"/>
      <c r="U21" s="34"/>
      <c r="V21" s="23"/>
      <c r="W21" s="23"/>
      <c r="X21" s="13"/>
      <c r="Y21" s="13"/>
      <c r="Z21" s="13"/>
      <c r="AA21" s="19">
        <f>PERCENTRANK(FactsetData!$T:$T,FactsetData!$T6)</f>
        <v>0.46200000000000002</v>
      </c>
      <c r="AB21" s="15" t="str">
        <f>IF(AA21&lt;25%,"INVESTED",IF(AA21&gt;75%,"CASH","NO SIGNAL"))</f>
        <v>NO SIGNAL</v>
      </c>
      <c r="AC21" s="15"/>
    </row>
    <row r="22" spans="1:29" ht="15" thickBot="1" x14ac:dyDescent="0.35">
      <c r="A22" s="4" t="s">
        <v>39</v>
      </c>
      <c r="B22" s="10" t="s">
        <v>59</v>
      </c>
      <c r="C22" s="26"/>
      <c r="D22" s="24"/>
      <c r="E22" s="24"/>
      <c r="F22" s="48"/>
      <c r="G22" s="20"/>
      <c r="H22" s="20"/>
      <c r="I22" s="37">
        <f>PERCENTRANK(FactsetData!$U:$U,FactsetData!$U2)</f>
        <v>0.32400000000000001</v>
      </c>
      <c r="J22" s="16" t="str">
        <f>IF(I22&lt;25%,"INVESTED",IF(I22&gt;75%,"CASH","NO SIGNAL"))</f>
        <v>NO SIGNAL</v>
      </c>
      <c r="K22" s="17"/>
      <c r="L22" s="24"/>
      <c r="M22" s="24"/>
      <c r="N22" s="24"/>
      <c r="O22" s="20"/>
      <c r="P22" s="20"/>
      <c r="Q22" s="20"/>
      <c r="R22" s="37">
        <f>PERCENTRANK(FactsetData!$U:$U,FactsetData!$U3)</f>
        <v>0.24099999999999999</v>
      </c>
      <c r="S22" s="41" t="str">
        <f>IF(R22&lt;25%,"INVESTED",IF(R22&gt;75%,"CASH","NO SIGNAL"))</f>
        <v>INVESTED</v>
      </c>
      <c r="T22" s="17"/>
      <c r="U22" s="35"/>
      <c r="V22" s="24"/>
      <c r="W22" s="24"/>
      <c r="X22" s="20"/>
      <c r="Y22" s="20"/>
      <c r="Z22" s="20"/>
      <c r="AA22" s="37">
        <f>PERCENTRANK(FactsetData!$U:$U,FactsetData!$U6)</f>
        <v>0.45800000000000002</v>
      </c>
      <c r="AB22" s="17" t="str">
        <f>IF(AA22&lt;25%,"INVESTED",IF(AA22&gt;75%,"CASH","NO SIGNAL"))</f>
        <v>NO SIGNAL</v>
      </c>
      <c r="AC22" s="17"/>
    </row>
    <row r="23" spans="1:29" ht="13.5" customHeight="1" x14ac:dyDescent="0.3">
      <c r="B23" s="51" t="s">
        <v>97</v>
      </c>
      <c r="C23" s="38"/>
      <c r="D23" s="38"/>
      <c r="E23" s="38"/>
      <c r="F23" s="73"/>
      <c r="G23" s="38"/>
      <c r="H23" s="38"/>
      <c r="I23" s="38"/>
      <c r="J23" s="38"/>
      <c r="K23" s="30"/>
      <c r="L23" s="38"/>
      <c r="M23" s="38"/>
      <c r="N23" s="38"/>
      <c r="O23" s="38"/>
      <c r="P23" s="38"/>
      <c r="Q23" s="38"/>
      <c r="R23" s="38"/>
      <c r="S23" s="39"/>
      <c r="T23" s="38"/>
      <c r="U23" s="38"/>
      <c r="V23" s="38"/>
      <c r="W23" s="38"/>
      <c r="X23" s="38"/>
      <c r="Y23" s="38"/>
      <c r="Z23" s="38"/>
      <c r="AA23" s="38"/>
      <c r="AB23" s="30"/>
      <c r="AC23" s="31"/>
    </row>
    <row r="24" spans="1:29" x14ac:dyDescent="0.3">
      <c r="A24" s="4" t="s">
        <v>40</v>
      </c>
      <c r="B24" s="5" t="s">
        <v>5</v>
      </c>
      <c r="C24" s="52"/>
      <c r="D24" s="53"/>
      <c r="E24" s="53"/>
      <c r="F24" s="47"/>
      <c r="G24" s="13"/>
      <c r="H24" s="13"/>
      <c r="I24" s="21">
        <f>FactsetData!BB7</f>
        <v>2.074418604651163</v>
      </c>
      <c r="J24" s="14" t="str">
        <f>IF(I24&lt;1.2,"INVESTED",IF(I24&gt;4,"CASH","NO SIGNAL"))</f>
        <v>NO SIGNAL</v>
      </c>
      <c r="K24" s="15"/>
      <c r="L24" s="52"/>
      <c r="M24" s="53"/>
      <c r="N24" s="53"/>
      <c r="O24" s="13"/>
      <c r="P24" s="13"/>
      <c r="Q24" s="13"/>
      <c r="R24" s="21">
        <f>FactsetData!BB7</f>
        <v>2.074418604651163</v>
      </c>
      <c r="S24" s="40" t="str">
        <f>IF(R24&lt;1.2,"INVESTED",IF(R24&gt;4,"CASH","NO SIGNAL"))</f>
        <v>NO SIGNAL</v>
      </c>
      <c r="T24" s="15"/>
      <c r="U24" s="52"/>
      <c r="V24" s="53"/>
      <c r="W24" s="53"/>
      <c r="X24" s="13"/>
      <c r="Y24" s="13"/>
      <c r="Z24" s="13"/>
      <c r="AA24" s="21">
        <f>FactsetData!BB24</f>
        <v>4.3087248322147653</v>
      </c>
      <c r="AB24" s="15" t="str">
        <f>IF(AA24&lt;1.2,"INVESTED",IF(AA24&gt;4,"CASH","NO SIGNAL"))</f>
        <v>CASH</v>
      </c>
      <c r="AC24" s="15"/>
    </row>
    <row r="25" spans="1:29" x14ac:dyDescent="0.3">
      <c r="A25" s="54" t="s">
        <v>2</v>
      </c>
      <c r="B25" s="5" t="s">
        <v>2</v>
      </c>
      <c r="C25" s="52"/>
      <c r="D25" s="53"/>
      <c r="E25" s="53"/>
      <c r="F25" s="47"/>
      <c r="G25" s="13"/>
      <c r="H25" s="13"/>
      <c r="I25" s="22">
        <f>_xll.FDS(A25,"FG_PRICE(NOW,,,USD)")</f>
        <v>15.88</v>
      </c>
      <c r="J25" s="14" t="str">
        <f>IF(I25&lt;12,"CASH",IF(I25&gt;30,"INVESTED","NO SIGNAL"))</f>
        <v>NO SIGNAL</v>
      </c>
      <c r="K25" s="15"/>
      <c r="L25" s="53"/>
      <c r="M25" s="53"/>
      <c r="N25" s="53"/>
      <c r="O25" s="13"/>
      <c r="P25" s="13"/>
      <c r="Q25" s="13"/>
      <c r="R25" s="22">
        <f>_xll.FDS(A25,"FG_PRICE(-1W,,,USD)")</f>
        <v>20.37</v>
      </c>
      <c r="S25" s="40" t="str">
        <f>IF(R25&lt;12,"CASH",IF(R25&gt;30,"INVESTED","NO SIGNAL"))</f>
        <v>NO SIGNAL</v>
      </c>
      <c r="T25" s="15"/>
      <c r="U25" s="53"/>
      <c r="V25" s="53"/>
      <c r="W25" s="53"/>
      <c r="X25" s="13"/>
      <c r="Y25" s="13"/>
      <c r="Z25" s="13"/>
      <c r="AA25" s="22">
        <f>_xll.FDS(A25,"FG_PRICE(-1M,,,USD)")</f>
        <v>12.44</v>
      </c>
      <c r="AB25" s="15" t="str">
        <f>IF(AA25&lt;12,"CASH",IF(AA25&gt;30,"INVESTED","NO SIGNAL"))</f>
        <v>NO SIGNAL</v>
      </c>
      <c r="AC25" s="15"/>
    </row>
    <row r="26" spans="1:29" ht="15" thickBot="1" x14ac:dyDescent="0.35">
      <c r="A26" s="4" t="s">
        <v>39</v>
      </c>
      <c r="B26" s="10" t="s">
        <v>6</v>
      </c>
      <c r="C26" s="26"/>
      <c r="D26" s="24"/>
      <c r="E26" s="24"/>
      <c r="F26" s="48"/>
      <c r="G26" s="20"/>
      <c r="H26" s="20"/>
      <c r="I26" s="20">
        <v>35</v>
      </c>
      <c r="J26" s="16" t="str">
        <f>IF(I26&lt;20,"INVESTED",IF(I26&gt;80,"CASH","NO SIGNAL"))</f>
        <v>NO SIGNAL</v>
      </c>
      <c r="K26" s="17"/>
      <c r="L26" s="24"/>
      <c r="M26" s="24"/>
      <c r="N26" s="24"/>
      <c r="O26" s="20"/>
      <c r="P26" s="20"/>
      <c r="Q26" s="20"/>
      <c r="R26" s="20">
        <v>20</v>
      </c>
      <c r="S26" s="41" t="str">
        <f>IF(R26&lt;=20,"INVESTED",IF(R26&gt;80,"CASH","NO SIGNAL"))</f>
        <v>INVESTED</v>
      </c>
      <c r="T26" s="17"/>
      <c r="U26" s="35"/>
      <c r="V26" s="24"/>
      <c r="W26" s="24"/>
      <c r="X26" s="20"/>
      <c r="Y26" s="20"/>
      <c r="Z26" s="20"/>
      <c r="AA26" s="20">
        <v>43</v>
      </c>
      <c r="AB26" s="17" t="str">
        <f>IF(AA26&lt;=20,"INVESTED",IF(AA26&gt;80,"CASH","NO SIGNAL"))</f>
        <v>NO SIGNAL</v>
      </c>
      <c r="AC26" s="17"/>
    </row>
    <row r="27" spans="1:29" ht="9" customHeight="1" thickBot="1" x14ac:dyDescent="0.35">
      <c r="F27" s="5"/>
      <c r="AB27" s="9"/>
    </row>
    <row r="28" spans="1:29" x14ac:dyDescent="0.3">
      <c r="B28" s="60" t="s">
        <v>62</v>
      </c>
      <c r="C28" s="61"/>
      <c r="D28" s="62"/>
      <c r="E28" s="62"/>
      <c r="F28" s="74"/>
      <c r="G28" s="62"/>
      <c r="H28" s="62"/>
      <c r="I28" s="29"/>
      <c r="J28" s="63">
        <f>COUNTIF(J5:J12,"INVESTED")/8</f>
        <v>0.625</v>
      </c>
      <c r="K28" s="64">
        <f>(COUNTIF(K5:K12,"INVESTED")+COUNTIF(K5:K12,"IMPROVING"))/8</f>
        <v>0.5</v>
      </c>
      <c r="M28" s="27"/>
      <c r="S28" s="70">
        <f>COUNTIF(S5:S12,"INVESTED")/8</f>
        <v>0.5</v>
      </c>
      <c r="T28" s="64">
        <f>(COUNTIF(T5:T12,"INVESTED")+COUNTIF(T5:T12,"IMPROVING"))/8</f>
        <v>0.25</v>
      </c>
      <c r="U28" s="29"/>
      <c r="V28" s="29"/>
      <c r="W28" s="29"/>
      <c r="X28" s="29"/>
      <c r="Y28" s="29"/>
      <c r="Z28" s="29"/>
      <c r="AA28" s="29"/>
      <c r="AB28" s="64">
        <f>COUNTIF(AB5:AB12,"INVESTED")/8</f>
        <v>0.625</v>
      </c>
      <c r="AC28" s="18">
        <f>(COUNTIF(AC5:AC12,"INVESTED")+COUNTIF(AC5:AC12,"IMPROVING"))/8</f>
        <v>0</v>
      </c>
    </row>
    <row r="29" spans="1:29" x14ac:dyDescent="0.3">
      <c r="B29" s="65" t="s">
        <v>63</v>
      </c>
      <c r="F29" s="5"/>
      <c r="J29" s="18">
        <f>COUNTIF(J14:J16,"INVESTED")/3</f>
        <v>0.66666666666666663</v>
      </c>
      <c r="K29" s="66">
        <f>(COUNTIF(K14:K16,"INVESTED")+COUNTIF(K14:K16,"IMPROVING"))/3</f>
        <v>0.66666666666666663</v>
      </c>
      <c r="S29" s="71">
        <f>COUNTIF(S14:S16,"INVESTED")/3</f>
        <v>0.66666666666666663</v>
      </c>
      <c r="AB29" s="66">
        <f>COUNTIF(AB14:AB16,"INVESTED")/3</f>
        <v>0.33333333333333331</v>
      </c>
    </row>
    <row r="30" spans="1:29" x14ac:dyDescent="0.3">
      <c r="B30" s="65" t="s">
        <v>64</v>
      </c>
      <c r="F30" s="5"/>
      <c r="J30" s="18">
        <f>COUNTIF(J18:J19,"INVESTED")/2</f>
        <v>1</v>
      </c>
      <c r="K30" s="66">
        <f>(COUNTIF(K18:K19,"INVESTED")+COUNTIF(K18:K19,"IMPROVING"))/2</f>
        <v>1</v>
      </c>
      <c r="S30" s="71">
        <f>COUNTIF(S18:S19,"INVESTED")/2</f>
        <v>1</v>
      </c>
      <c r="AB30" s="66">
        <f>COUNTIF(AB18:AB19,"INVESTED")/2</f>
        <v>0.5</v>
      </c>
    </row>
    <row r="31" spans="1:29" ht="15" hidden="1" customHeight="1" x14ac:dyDescent="0.3">
      <c r="B31" s="65" t="s">
        <v>92</v>
      </c>
      <c r="F31" s="5"/>
      <c r="J31" s="81">
        <f>IF(J28*0.7+J29*0.15+J30*0.15&gt;0.75,1,IF(J28*0.7+J29*0.15+J30*0.15&lt;0.25,-1,0))</f>
        <v>0</v>
      </c>
      <c r="K31" s="82">
        <f>IF(K28*0.7+K29*0.15+K30*0.15&gt;0.75,1,IF(K28*0.7+K29*0.15+K30*0.15&lt;0.25,-1,0))</f>
        <v>0</v>
      </c>
      <c r="S31" s="81">
        <f>IF(S28*0.7+S29*0.15+S30*0.15&gt;0.75,1,IF(S28*0.7+S29*0.15+S30*0.15&lt;0.25,-1,0))</f>
        <v>0</v>
      </c>
      <c r="AB31" s="81">
        <f>IF(AB28*0.7+AB29*0.15+AB30*0.15&gt;0.75,1,IF(AB28*0.7+AB29*0.15+AB30*0.15&lt;0.25,-1,0))</f>
        <v>0</v>
      </c>
    </row>
    <row r="32" spans="1:29" x14ac:dyDescent="0.3">
      <c r="B32" s="65" t="s">
        <v>65</v>
      </c>
      <c r="F32" s="5"/>
      <c r="J32" s="14" t="str">
        <f>IF((COUNTIF(J21:J22,"INVESTED")+COUNTIF(J21:J22,"CASH"))=0,"NO SIGNAL",IF(COUNTIF(J21:J22,"INVESTED")&gt;0,"INVESTED",IF(COUNTIF(J21:J22,"CASH")&gt;0,"CASH")))</f>
        <v>NO SIGNAL</v>
      </c>
      <c r="K32" s="15"/>
      <c r="L32" s="53"/>
      <c r="M32" s="53"/>
      <c r="N32" s="53"/>
      <c r="O32" s="13"/>
      <c r="P32" s="13"/>
      <c r="Q32" s="13"/>
      <c r="R32" s="22"/>
      <c r="S32" s="40" t="str">
        <f>IF((COUNTIF(S21:S22,"INVESTED")+COUNTIF(S21:S22,"CASH"))=0,"NO SIGNAL",IF(COUNTIF(S21:S22,"INVESTED")&gt;0,"INVESTED",IF(COUNTIF(S21:S22,"CASH")&gt;0,"CASH")))</f>
        <v>INVESTED</v>
      </c>
      <c r="T32" s="15"/>
      <c r="U32" s="53"/>
      <c r="V32" s="53"/>
      <c r="W32" s="53"/>
      <c r="X32" s="13"/>
      <c r="Y32" s="13"/>
      <c r="Z32" s="13"/>
      <c r="AA32" s="22"/>
      <c r="AB32" s="15" t="str">
        <f>IF((COUNTIF(AB21:AB22,"INVESTED")+COUNTIF(AB21:AB22,"CASH"))=0,"NO SIGNAL",IF(COUNTIF(AB21:AB22,"INVESTED")&gt;0,"INVESTED",IF(COUNTIF(AB21:AB22,"CASH")&gt;0,"CASH")))</f>
        <v>NO SIGNAL</v>
      </c>
    </row>
    <row r="33" spans="2:28" ht="15" thickBot="1" x14ac:dyDescent="0.35">
      <c r="B33" s="67" t="s">
        <v>66</v>
      </c>
      <c r="C33" s="36"/>
      <c r="D33" s="36"/>
      <c r="E33" s="36"/>
      <c r="F33" s="10"/>
      <c r="G33" s="36"/>
      <c r="H33" s="36"/>
      <c r="I33" s="36"/>
      <c r="J33" s="68" t="str">
        <f>IF((COUNTIF(J24:J26,"INVESTED")+COUNTIF(J24:J26,"CASH"))=0,"NO SIGNAL",IF(COUNTIF(J24:J26,"INVESTED")&gt;0,"INVESTED",IF(COUNTIF(J24:J26,"CASH")&gt;0,"CASH")))</f>
        <v>NO SIGNAL</v>
      </c>
      <c r="K33" s="69"/>
      <c r="L33" s="36"/>
      <c r="M33" s="36"/>
      <c r="N33" s="36"/>
      <c r="O33" s="36"/>
      <c r="P33" s="36"/>
      <c r="Q33" s="36"/>
      <c r="R33" s="36"/>
      <c r="S33" s="72" t="str">
        <f>IF((COUNTIF(S24:S26,"INVESTED")+COUNTIF(S24:S26,"CASH"))=0,"NO SIGNAL",IF(COUNTIF(S24:S26,"INVESTED")&gt;0,"INVESTED",IF(COUNTIF(S24:S26,"CASH")&gt;0,"CASH")))</f>
        <v>INVESTED</v>
      </c>
      <c r="T33" s="36"/>
      <c r="U33" s="36"/>
      <c r="V33" s="36"/>
      <c r="W33" s="36"/>
      <c r="X33" s="36"/>
      <c r="Y33" s="36"/>
      <c r="Z33" s="36"/>
      <c r="AA33" s="36"/>
      <c r="AB33" s="69" t="str">
        <f>IF((COUNTIF(AB24:AB26,"INVESTED")+COUNTIF(AB24:AB26,"CASH"))=0,"NO SIGNAL",IF(COUNTIF(AB24:AB26,"INVESTED")&gt;0,"INVESTED",IF(COUNTIF(AB24:AB26,"CASH")&gt;0,"CASH")))</f>
        <v>CASH</v>
      </c>
    </row>
    <row r="34" spans="2:28" ht="15" thickBot="1" x14ac:dyDescent="0.35"/>
    <row r="35" spans="2:28" ht="15" thickBot="1" x14ac:dyDescent="0.35">
      <c r="B35" s="75" t="s">
        <v>72</v>
      </c>
      <c r="C35" s="76"/>
      <c r="D35" s="76"/>
      <c r="E35" s="76"/>
      <c r="F35" s="76"/>
      <c r="G35" s="76"/>
      <c r="H35" s="76"/>
      <c r="I35" s="76"/>
      <c r="J35" s="77" t="str">
        <f>IF(AND(J31=1,J33&lt;&gt;"Cash"),"INVESTED",IF(AND(J31=1,J33="Cash",K31&lt;=0),"CAUTIOUS",IF(AND(J31&gt;0.75,J33="Cash",K31=1),"INVESTED",IF(AND(J31=-1,J33&lt;&gt;"INVESTED"),"CASH",IF(AND(J31=-1,J33="INVESTED"),"INVESTED",IF(AND(J31=0,J33="INVESTED"),"INVESTED",IF(AND(J31=0,J33="CASH"),"CASH","CAUTIOUS")))))))</f>
        <v>CAUTIOUS</v>
      </c>
      <c r="K35" s="77" t="str">
        <f>IF(K31=-1,"CAUTIOUS","")</f>
        <v/>
      </c>
      <c r="L35" s="77"/>
      <c r="M35" s="77"/>
      <c r="N35" s="77"/>
      <c r="O35" s="77"/>
      <c r="P35" s="77"/>
      <c r="Q35" s="77"/>
      <c r="R35" s="77"/>
      <c r="S35" s="83" t="str">
        <f>IF(AND(S31=1,S33&lt;&gt;"Cash"),"INVESTED",IF(AND(S31=1,S33="Cash",T31&lt;=0),"CAUTIOUS",IF(AND(S31&gt;0.75,S33="Cash",T31=1),"INVESTED",IF(AND(S31=-1,S33&lt;&gt;"INVESTED"),"CASH",IF(AND(S31=-1,S33="INVESTED"),"INVESTED",IF(AND(S31=0,S33="INVESTED"),"INVESTED",IF(AND(S31=0,S33="CASH"),"CASH","MIXED")))))))</f>
        <v>INVESTED</v>
      </c>
      <c r="T35" s="77"/>
      <c r="U35" s="77"/>
      <c r="V35" s="77"/>
      <c r="W35" s="77"/>
      <c r="X35" s="77"/>
      <c r="Y35" s="77"/>
      <c r="Z35" s="77"/>
      <c r="AA35" s="77"/>
      <c r="AB35" s="83" t="str">
        <f>IF(AND(AB31=1,AB33&lt;&gt;"Cash"),"INVESTED",IF(AND(AB31=1,AB33="Cash",AC31&lt;=0),"CAUTIOUS",IF(AND(AB31&gt;0.75,AB33="Cash",AC31=1),"INVESTED",IF(AND(AB31=-1,AB33&lt;&gt;"INVESTED"),"CASH",IF(AND(AB31=-1,AB33="INVESTED"),"INVESTED",IF(AND(AB31=0,AB33="INVESTED"),"INVESTED",IF(AND(AB31=0,AB33="CASH"),"CASH","MIXED")))))))</f>
        <v>CASH</v>
      </c>
    </row>
  </sheetData>
  <mergeCells count="4">
    <mergeCell ref="F1:K1"/>
    <mergeCell ref="L1:T1"/>
    <mergeCell ref="U1:AC1"/>
    <mergeCell ref="F2:K2"/>
  </mergeCells>
  <conditionalFormatting sqref="A5">
    <cfRule type="colorScale" priority="55">
      <colorScale>
        <cfvo type="min"/>
        <cfvo type="max"/>
        <color rgb="FFFCFCFF"/>
        <color rgb="FF63BE7B"/>
      </colorScale>
    </cfRule>
  </conditionalFormatting>
  <conditionalFormatting sqref="A6:A9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14:A16">
    <cfRule type="colorScale" priority="40">
      <colorScale>
        <cfvo type="min"/>
        <cfvo type="max"/>
        <color rgb="FFFCFCFF"/>
        <color rgb="FF63BE7B"/>
      </colorScale>
    </cfRule>
  </conditionalFormatting>
  <conditionalFormatting sqref="C18:H19 D16:H16 C5:H5 C24:H26 C21:H22 F14:H15 F7:H12">
    <cfRule type="colorScale" priority="121">
      <colorScale>
        <cfvo type="min"/>
        <cfvo type="max"/>
        <color rgb="FFFCFCFF"/>
        <color rgb="FF63BE7B"/>
      </colorScale>
    </cfRule>
  </conditionalFormatting>
  <conditionalFormatting sqref="C28:H28">
    <cfRule type="colorScale" priority="97">
      <colorScale>
        <cfvo type="min"/>
        <cfvo type="max"/>
        <color rgb="FFFCFCFF"/>
        <color rgb="FF63BE7B"/>
      </colorScale>
    </cfRule>
  </conditionalFormatting>
  <conditionalFormatting sqref="F6:H6">
    <cfRule type="colorScale" priority="54">
      <colorScale>
        <cfvo type="min"/>
        <cfvo type="max"/>
        <color rgb="FFFCFCFF"/>
        <color rgb="FF63BE7B"/>
      </colorScale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F14:H15 C5:H5 F7:H12">
    <cfRule type="colorScale" priority="118">
      <colorScale>
        <cfvo type="min"/>
        <cfvo type="max"/>
        <color rgb="FFFCFCFF"/>
        <color rgb="FF63BE7B"/>
      </colorScale>
    </cfRule>
  </conditionalFormatting>
  <conditionalFormatting sqref="F16:H16">
    <cfRule type="colorScale" priority="117">
      <colorScale>
        <cfvo type="min"/>
        <cfvo type="max"/>
        <color rgb="FFFCFCFF"/>
        <color rgb="FF63BE7B"/>
      </colorScale>
    </cfRule>
  </conditionalFormatting>
  <conditionalFormatting sqref="I5:K12">
    <cfRule type="containsText" dxfId="53" priority="41" operator="containsText" text="IMPROVING">
      <formula>NOT(ISERROR(SEARCH("IMPROVING",I5)))</formula>
    </cfRule>
    <cfRule type="containsText" dxfId="52" priority="42" operator="containsText" text="CAUTIOUS">
      <formula>NOT(ISERROR(SEARCH("CAUTIOUS",I5)))</formula>
    </cfRule>
    <cfRule type="containsText" dxfId="51" priority="43" operator="containsText" text="INVESTED">
      <formula>NOT(ISERROR(SEARCH("INVESTED",I5)))</formula>
    </cfRule>
    <cfRule type="containsText" dxfId="50" priority="44" operator="containsText" text="CASH">
      <formula>NOT(ISERROR(SEARCH("CASH",I5)))</formula>
    </cfRule>
  </conditionalFormatting>
  <conditionalFormatting sqref="I14:K16 I18:K19 I21:K22 I24:K26">
    <cfRule type="containsText" dxfId="49" priority="101" operator="containsText" text="CASH">
      <formula>NOT(ISERROR(SEARCH("CASH",I14)))</formula>
    </cfRule>
    <cfRule type="containsText" dxfId="48" priority="100" operator="containsText" text="INVESTED">
      <formula>NOT(ISERROR(SEARCH("INVESTED",I14)))</formula>
    </cfRule>
    <cfRule type="containsText" dxfId="47" priority="99" operator="containsText" text="CAUTIOUS">
      <formula>NOT(ISERROR(SEARCH("CAUTIOUS",I14)))</formula>
    </cfRule>
    <cfRule type="containsText" dxfId="46" priority="98" operator="containsText" text="IMPROVING">
      <formula>NOT(ISERROR(SEARCH("IMPROVING",I14)))</formula>
    </cfRule>
  </conditionalFormatting>
  <conditionalFormatting sqref="J33">
    <cfRule type="containsText" dxfId="45" priority="39" operator="containsText" text="CASH">
      <formula>NOT(ISERROR(SEARCH("CASH",J33)))</formula>
    </cfRule>
  </conditionalFormatting>
  <conditionalFormatting sqref="J32:K32">
    <cfRule type="containsText" dxfId="44" priority="17" operator="containsText" text="IMPROVING">
      <formula>NOT(ISERROR(SEARCH("IMPROVING",J32)))</formula>
    </cfRule>
    <cfRule type="containsText" dxfId="43" priority="18" operator="containsText" text="CAUTIOUS">
      <formula>NOT(ISERROR(SEARCH("CAUTIOUS",J32)))</formula>
    </cfRule>
    <cfRule type="containsText" dxfId="42" priority="19" operator="containsText" text="INVESTED">
      <formula>NOT(ISERROR(SEARCH("INVESTED",J32)))</formula>
    </cfRule>
    <cfRule type="containsText" dxfId="41" priority="20" operator="containsText" text="CASH">
      <formula>NOT(ISERROR(SEARCH("CASH",J32)))</formula>
    </cfRule>
  </conditionalFormatting>
  <conditionalFormatting sqref="J28:AB30">
    <cfRule type="cellIs" dxfId="40" priority="62" operator="between">
      <formula>0.25</formula>
      <formula>0.75</formula>
    </cfRule>
    <cfRule type="cellIs" dxfId="39" priority="63" operator="lessThan">
      <formula>0.25</formula>
    </cfRule>
    <cfRule type="cellIs" dxfId="38" priority="64" operator="greaterThan">
      <formula>0.75</formula>
    </cfRule>
  </conditionalFormatting>
  <conditionalFormatting sqref="J35:AB35">
    <cfRule type="containsText" dxfId="37" priority="2" operator="containsText" text="CAUTIOUS">
      <formula>NOT(ISERROR(SEARCH("CAUTIOUS",J35)))</formula>
    </cfRule>
    <cfRule type="containsText" dxfId="36" priority="3" operator="containsText" text="INVESTED">
      <formula>NOT(ISERROR(SEARCH("INVESTED",J35)))</formula>
    </cfRule>
    <cfRule type="containsText" dxfId="35" priority="4" operator="containsText" text="CASH">
      <formula>NOT(ISERROR(SEARCH("CASH",J35)))</formula>
    </cfRule>
    <cfRule type="containsText" dxfId="34" priority="1" operator="containsText" text="IMPROVING">
      <formula>NOT(ISERROR(SEARCH("IMPROVING",J35)))</formula>
    </cfRule>
  </conditionalFormatting>
  <conditionalFormatting sqref="L33:AB33 J33">
    <cfRule type="containsText" dxfId="33" priority="61" operator="containsText" text="INVESTED">
      <formula>NOT(ISERROR(SEARCH("INVESTED",J33)))</formula>
    </cfRule>
  </conditionalFormatting>
  <conditionalFormatting sqref="L33:AB33">
    <cfRule type="containsText" dxfId="32" priority="60" operator="containsText" text="CASH">
      <formula>NOT(ISERROR(SEARCH("CASH",L33)))</formula>
    </cfRule>
  </conditionalFormatting>
  <conditionalFormatting sqref="O6:Q6">
    <cfRule type="colorScale" priority="52">
      <colorScale>
        <cfvo type="min"/>
        <cfvo type="max"/>
        <color rgb="FFFCFCFF"/>
        <color rgb="FF63BE7B"/>
      </colorScale>
    </cfRule>
    <cfRule type="colorScale" priority="51">
      <colorScale>
        <cfvo type="min"/>
        <cfvo type="max"/>
        <color rgb="FFFCFCFF"/>
        <color rgb="FF63BE7B"/>
      </colorScale>
    </cfRule>
  </conditionalFormatting>
  <conditionalFormatting sqref="O14:Q15 O5:Q5 O7:Q12">
    <cfRule type="colorScale" priority="115">
      <colorScale>
        <cfvo type="min"/>
        <cfvo type="max"/>
        <color rgb="FFFCFCFF"/>
        <color rgb="FF63BE7B"/>
      </colorScale>
    </cfRule>
  </conditionalFormatting>
  <conditionalFormatting sqref="O16:Q16">
    <cfRule type="colorScale" priority="114">
      <colorScale>
        <cfvo type="min"/>
        <cfvo type="max"/>
        <color rgb="FFFCFCFF"/>
        <color rgb="FF63BE7B"/>
      </colorScale>
    </cfRule>
  </conditionalFormatting>
  <conditionalFormatting sqref="O18:Q19 O5:Q5 O24:Q26 O21:Q22 O14:Q16 O7:Q12">
    <cfRule type="colorScale" priority="116">
      <colorScale>
        <cfvo type="min"/>
        <cfvo type="max"/>
        <color rgb="FFFCFCFF"/>
        <color rgb="FF63BE7B"/>
      </colorScale>
    </cfRule>
  </conditionalFormatting>
  <conditionalFormatting sqref="O32:Q32">
    <cfRule type="colorScale" priority="26">
      <colorScale>
        <cfvo type="min"/>
        <cfvo type="max"/>
        <color rgb="FFFCFCFF"/>
        <color rgb="FF63BE7B"/>
      </colorScale>
    </cfRule>
  </conditionalFormatting>
  <conditionalFormatting sqref="O12:T12 X12:AC12 O14:AC16 O18:AC19 O24:Q26 AB24:AC26">
    <cfRule type="containsText" dxfId="31" priority="102" operator="containsText" text="IMPROVING">
      <formula>NOT(ISERROR(SEARCH("IMPROVING",O12)))</formula>
    </cfRule>
    <cfRule type="containsText" dxfId="30" priority="103" operator="containsText" text="CAUTIOUS">
      <formula>NOT(ISERROR(SEARCH("CAUTIOUS",O12)))</formula>
    </cfRule>
    <cfRule type="containsText" dxfId="29" priority="104" operator="containsText" text="INVESTED">
      <formula>NOT(ISERROR(SEARCH("INVESTED",O12)))</formula>
    </cfRule>
    <cfRule type="containsText" dxfId="28" priority="105" operator="containsText" text="CASH">
      <formula>NOT(ISERROR(SEARCH("CASH",O12)))</formula>
    </cfRule>
  </conditionalFormatting>
  <conditionalFormatting sqref="O32:T32">
    <cfRule type="containsText" dxfId="27" priority="16" operator="containsText" text="CASH">
      <formula>NOT(ISERROR(SEARCH("CASH",O32)))</formula>
    </cfRule>
    <cfRule type="containsText" dxfId="26" priority="14" operator="containsText" text="CAUTIOUS">
      <formula>NOT(ISERROR(SEARCH("CAUTIOUS",O32)))</formula>
    </cfRule>
    <cfRule type="containsText" dxfId="25" priority="13" operator="containsText" text="IMPROVING">
      <formula>NOT(ISERROR(SEARCH("IMPROVING",O32)))</formula>
    </cfRule>
    <cfRule type="containsText" dxfId="24" priority="15" operator="containsText" text="INVESTED">
      <formula>NOT(ISERROR(SEARCH("INVESTED",O32)))</formula>
    </cfRule>
  </conditionalFormatting>
  <conditionalFormatting sqref="O5:AC11">
    <cfRule type="containsText" dxfId="23" priority="45" operator="containsText" text="IMPROVING">
      <formula>NOT(ISERROR(SEARCH("IMPROVING",O5)))</formula>
    </cfRule>
    <cfRule type="containsText" dxfId="22" priority="46" operator="containsText" text="CAUTIOUS">
      <formula>NOT(ISERROR(SEARCH("CAUTIOUS",O5)))</formula>
    </cfRule>
    <cfRule type="containsText" dxfId="21" priority="47" operator="containsText" text="INVESTED">
      <formula>NOT(ISERROR(SEARCH("INVESTED",O5)))</formula>
    </cfRule>
    <cfRule type="containsText" dxfId="20" priority="48" operator="containsText" text="CASH">
      <formula>NOT(ISERROR(SEARCH("CASH",O5)))</formula>
    </cfRule>
  </conditionalFormatting>
  <conditionalFormatting sqref="O21:AC22">
    <cfRule type="containsText" dxfId="19" priority="66" operator="containsText" text="CAUTIOUS">
      <formula>NOT(ISERROR(SEARCH("CAUTIOUS",O21)))</formula>
    </cfRule>
    <cfRule type="containsText" dxfId="18" priority="67" operator="containsText" text="INVESTED">
      <formula>NOT(ISERROR(SEARCH("INVESTED",O21)))</formula>
    </cfRule>
    <cfRule type="containsText" dxfId="17" priority="68" operator="containsText" text="CASH">
      <formula>NOT(ISERROR(SEARCH("CASH",O21)))</formula>
    </cfRule>
    <cfRule type="containsText" dxfId="16" priority="65" operator="containsText" text="IMPROVING">
      <formula>NOT(ISERROR(SEARCH("IMPROVING",O21)))</formula>
    </cfRule>
  </conditionalFormatting>
  <conditionalFormatting sqref="R24:T25">
    <cfRule type="containsText" dxfId="15" priority="77" operator="containsText" text="IMPROVING">
      <formula>NOT(ISERROR(SEARCH("IMPROVING",R24)))</formula>
    </cfRule>
    <cfRule type="containsText" dxfId="14" priority="78" operator="containsText" text="CAUTIOUS">
      <formula>NOT(ISERROR(SEARCH("CAUTIOUS",R24)))</formula>
    </cfRule>
    <cfRule type="containsText" dxfId="13" priority="79" operator="containsText" text="INVESTED">
      <formula>NOT(ISERROR(SEARCH("INVESTED",R24)))</formula>
    </cfRule>
    <cfRule type="containsText" dxfId="12" priority="80" operator="containsText" text="CASH">
      <formula>NOT(ISERROR(SEARCH("CASH",R24)))</formula>
    </cfRule>
  </conditionalFormatting>
  <conditionalFormatting sqref="R26:AA26">
    <cfRule type="containsText" dxfId="11" priority="82" operator="containsText" text="CAUTIOUS">
      <formula>NOT(ISERROR(SEARCH("CAUTIOUS",R26)))</formula>
    </cfRule>
    <cfRule type="containsText" dxfId="10" priority="83" operator="containsText" text="INVESTED">
      <formula>NOT(ISERROR(SEARCH("INVESTED",R26)))</formula>
    </cfRule>
    <cfRule type="containsText" dxfId="9" priority="84" operator="containsText" text="CASH">
      <formula>NOT(ISERROR(SEARCH("CASH",R26)))</formula>
    </cfRule>
    <cfRule type="containsText" dxfId="8" priority="81" operator="containsText" text="IMPROVING">
      <formula>NOT(ISERROR(SEARCH("IMPROVING",R26)))</formula>
    </cfRule>
  </conditionalFormatting>
  <conditionalFormatting sqref="U5:W5">
    <cfRule type="colorScale" priority="156">
      <colorScale>
        <cfvo type="min"/>
        <cfvo type="max"/>
        <color rgb="FFFCFCFF"/>
        <color rgb="FF63BE7B"/>
      </colorScale>
    </cfRule>
  </conditionalFormatting>
  <conditionalFormatting sqref="U10:W10 U14:W15">
    <cfRule type="colorScale" priority="111">
      <colorScale>
        <cfvo type="min"/>
        <cfvo type="max"/>
        <color rgb="FFFCFCFF"/>
        <color rgb="FF63BE7B"/>
      </colorScale>
    </cfRule>
  </conditionalFormatting>
  <conditionalFormatting sqref="U11:W11">
    <cfRule type="colorScale" priority="106">
      <colorScale>
        <cfvo type="min"/>
        <cfvo type="max"/>
        <color rgb="FFFCFCFF"/>
        <color rgb="FF63BE7B"/>
      </colorScale>
    </cfRule>
    <cfRule type="colorScale" priority="107">
      <colorScale>
        <cfvo type="min"/>
        <cfvo type="max"/>
        <color rgb="FFFCFCFF"/>
        <color rgb="FF63BE7B"/>
      </colorScale>
    </cfRule>
  </conditionalFormatting>
  <conditionalFormatting sqref="U18:W19 V16:W16 U10:W10 U5:W5 U14:W15 U26:W26 U21:W22">
    <cfRule type="colorScale" priority="113">
      <colorScale>
        <cfvo type="min"/>
        <cfvo type="max"/>
        <color rgb="FFFCFCFF"/>
        <color rgb="FF63BE7B"/>
      </colorScale>
    </cfRule>
  </conditionalFormatting>
  <conditionalFormatting sqref="X6:Z6">
    <cfRule type="colorScale" priority="50">
      <colorScale>
        <cfvo type="min"/>
        <cfvo type="max"/>
        <color rgb="FFFCFCFF"/>
        <color rgb="FF63BE7B"/>
      </colorScale>
    </cfRule>
    <cfRule type="colorScale" priority="49">
      <colorScale>
        <cfvo type="min"/>
        <cfvo type="max"/>
        <color rgb="FFFCFCFF"/>
        <color rgb="FF63BE7B"/>
      </colorScale>
    </cfRule>
  </conditionalFormatting>
  <conditionalFormatting sqref="X14:Z15 X5:Z5 X7:Z12">
    <cfRule type="colorScale" priority="109">
      <colorScale>
        <cfvo type="min"/>
        <cfvo type="max"/>
        <color rgb="FFFCFCFF"/>
        <color rgb="FF63BE7B"/>
      </colorScale>
    </cfRule>
  </conditionalFormatting>
  <conditionalFormatting sqref="X16:Z16">
    <cfRule type="colorScale" priority="108">
      <colorScale>
        <cfvo type="min"/>
        <cfvo type="max"/>
        <color rgb="FFFCFCFF"/>
        <color rgb="FF63BE7B"/>
      </colorScale>
    </cfRule>
  </conditionalFormatting>
  <conditionalFormatting sqref="X18:Z19 X5:Z5 X24:Z26 X21:Z22 X14:Z16 X7:Z12">
    <cfRule type="colorScale" priority="110">
      <colorScale>
        <cfvo type="min"/>
        <cfvo type="max"/>
        <color rgb="FFFCFCFF"/>
        <color rgb="FF63BE7B"/>
      </colorScale>
    </cfRule>
  </conditionalFormatting>
  <conditionalFormatting sqref="X32:Z32">
    <cfRule type="colorScale" priority="25">
      <colorScale>
        <cfvo type="min"/>
        <cfvo type="max"/>
        <color rgb="FFFCFCFF"/>
        <color rgb="FF63BE7B"/>
      </colorScale>
    </cfRule>
  </conditionalFormatting>
  <conditionalFormatting sqref="X24:AA25">
    <cfRule type="containsText" dxfId="7" priority="73" operator="containsText" text="IMPROVING">
      <formula>NOT(ISERROR(SEARCH("IMPROVING",X24)))</formula>
    </cfRule>
    <cfRule type="containsText" dxfId="6" priority="74" operator="containsText" text="CAUTIOUS">
      <formula>NOT(ISERROR(SEARCH("CAUTIOUS",X24)))</formula>
    </cfRule>
    <cfRule type="containsText" dxfId="5" priority="75" operator="containsText" text="INVESTED">
      <formula>NOT(ISERROR(SEARCH("INVESTED",X24)))</formula>
    </cfRule>
    <cfRule type="containsText" dxfId="4" priority="76" operator="containsText" text="CASH">
      <formula>NOT(ISERROR(SEARCH("CASH",X24)))</formula>
    </cfRule>
  </conditionalFormatting>
  <conditionalFormatting sqref="X32:AB32">
    <cfRule type="containsText" dxfId="3" priority="12" operator="containsText" text="CASH">
      <formula>NOT(ISERROR(SEARCH("CASH",X32)))</formula>
    </cfRule>
    <cfRule type="containsText" dxfId="2" priority="11" operator="containsText" text="INVESTED">
      <formula>NOT(ISERROR(SEARCH("INVESTED",X32)))</formula>
    </cfRule>
    <cfRule type="containsText" dxfId="1" priority="10" operator="containsText" text="CAUTIOUS">
      <formula>NOT(ISERROR(SEARCH("CAUTIOUS",X32)))</formula>
    </cfRule>
    <cfRule type="containsText" dxfId="0" priority="9" operator="containsText" text="IMPROVING">
      <formula>NOT(ISERROR(SEARCH("IMPROVING",X32)))</formula>
    </cfRule>
  </conditionalFormatting>
  <pageMargins left="0.7" right="0.7" top="0.75" bottom="0.75" header="0.3" footer="0.3"/>
  <ignoredErrors>
    <ignoredError sqref="F9:H9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4B4B1-5FA4-48D2-8D1B-2A6AA1AFB13E}">
  <dimension ref="A1:BB5219"/>
  <sheetViews>
    <sheetView topLeftCell="AD1" workbookViewId="0">
      <selection activeCell="AQ17" sqref="AQ17"/>
    </sheetView>
  </sheetViews>
  <sheetFormatPr defaultRowHeight="14.4" x14ac:dyDescent="0.3"/>
  <cols>
    <col min="1" max="1" width="10.6640625" style="11" customWidth="1"/>
    <col min="2" max="2" width="13.109375" bestFit="1" customWidth="1"/>
    <col min="12" max="13" width="9.109375" style="55"/>
    <col min="14" max="14" width="9.109375" style="55" customWidth="1"/>
    <col min="15" max="15" width="9.109375" style="55"/>
    <col min="16" max="19" width="9.109375" customWidth="1"/>
    <col min="20" max="21" width="9.109375" style="55"/>
    <col min="22" max="22" width="13.109375" bestFit="1" customWidth="1"/>
    <col min="23" max="23" width="9.109375" customWidth="1"/>
    <col min="39" max="39" width="9.109375" style="2"/>
  </cols>
  <sheetData>
    <row r="1" spans="1:54" x14ac:dyDescent="0.3">
      <c r="B1" t="s">
        <v>42</v>
      </c>
      <c r="C1" t="s">
        <v>44</v>
      </c>
      <c r="D1" t="s">
        <v>27</v>
      </c>
      <c r="E1" t="s">
        <v>43</v>
      </c>
      <c r="F1" t="s">
        <v>52</v>
      </c>
      <c r="G1" t="s">
        <v>9</v>
      </c>
      <c r="H1" t="s">
        <v>45</v>
      </c>
      <c r="I1" t="s">
        <v>46</v>
      </c>
      <c r="J1" t="s">
        <v>53</v>
      </c>
      <c r="K1" t="s">
        <v>76</v>
      </c>
      <c r="L1" s="55" t="s">
        <v>56</v>
      </c>
      <c r="M1" s="55" t="s">
        <v>57</v>
      </c>
      <c r="N1" s="55" t="s">
        <v>68</v>
      </c>
      <c r="O1" s="55" t="s">
        <v>69</v>
      </c>
      <c r="P1" s="55" t="s">
        <v>70</v>
      </c>
      <c r="Q1" t="s">
        <v>78</v>
      </c>
      <c r="R1" t="s">
        <v>77</v>
      </c>
      <c r="S1" t="s">
        <v>80</v>
      </c>
      <c r="T1" s="55" t="s">
        <v>56</v>
      </c>
      <c r="U1" s="55" t="s">
        <v>57</v>
      </c>
      <c r="V1" t="s">
        <v>85</v>
      </c>
      <c r="Z1" t="str">
        <f>_xll.FDS("","FDS_ECON_DESCRIPTION('USSU2929306')")</f>
        <v>Investors Intelligence, Sentiment Data, Bullish, Percent - United States</v>
      </c>
      <c r="AA1" t="str">
        <f>_xll.FDS("","FDS_ECON_DESCRIPTION('USSU2929307')")</f>
        <v>Investors Intelligence, Sentiment Data, Bearish, Percent - United States</v>
      </c>
      <c r="AE1" t="str">
        <f>_xll.FDS("","SPEC_ID_DESCRIPTION('CC_US:FDS_ECON_RINDPRD_M')")</f>
        <v>United States - Industrial Production Growth - %Chg YOY Mth End</v>
      </c>
      <c r="AF1" t="str">
        <f>_xll.FDS("","ECON_EXPR_DESCRIPTION('RETURNS(FDS_COM[USCM1020424,DIST=STEP,CONV=AVERAGENP], -1AY)')")</f>
        <v>(% 1YR) CRB Sub Index, Raw Industrials, 1967=100, Index - United States</v>
      </c>
      <c r="AG1" t="str">
        <f>_xll.FDS("","FDS_ECON_DESCRIPTION('ISMPRI@M')")</f>
        <v>ISM Manufacturing PMI, Prices - United States</v>
      </c>
      <c r="AH1" t="str">
        <f>_xll.FDS("","FDS_ECON_DESCRIPTION('ISMPRD@M')")</f>
        <v>ISM Manufacturing PMI, Production - United States</v>
      </c>
      <c r="AI1" t="str">
        <f>_xll.FDS("","FDS_ECON_DESCRIPTION('ISMPMI@M')")</f>
        <v>ISM Manufacturing PMI - United States</v>
      </c>
      <c r="AJ1" t="str">
        <f>_xll.FDS("","ECON_EXPR_DESCRIPTION('RETURNS(FDS_ECON[US.LMCLAIMS,DIST=STEP,CONV=AVERAGE], -1AY)')")</f>
        <v>(% 1YR) Unemployment Insurance Continued Claims, SA - United States</v>
      </c>
      <c r="AK1" t="str">
        <f>_xll.FDS("","FDS_ECON_DESCRIPTION('ISMBUS@NM')")</f>
        <v>ISM Services PMI, Business Activity - United States</v>
      </c>
      <c r="AL1" t="s">
        <v>18</v>
      </c>
      <c r="AZ1" t="s">
        <v>54</v>
      </c>
      <c r="BA1" t="s">
        <v>55</v>
      </c>
    </row>
    <row r="2" spans="1:54" x14ac:dyDescent="0.3">
      <c r="A2" s="11">
        <f t="array" ref="A2:A1763">_xll.FDS("SP50","JULIAN(FMA_COS_UP(""EPS"",""1M"",+1,0,-7AY,,""PORTAGG"",""MEANR"")/FMA_COS_UP(""EPS"",""1M"",+1,0,-7AY,,""PORTAGG"",""MEANR"")+FMA_COS_UP(""EPS"",""1M"",+1,0,-7AY,,""PORTAGG"",""MEANR"").dates)")</f>
        <v>45524</v>
      </c>
      <c r="B2">
        <f t="array" ref="B2:B1763">_xll.FDS("SP50","FMA_COS_UP(""EPS"",""1M"",+1,0,-7AY,,""PORTAGG"",""MEANR"")/(FMA_COS_UP(""EPS"",""1M"",+1,0,-7AY,,""PORTAGG"",""MEANR"")+FMA_COS_DOWN(""EPS"",""1M"",+1,0,-7AY,,""PORTAGG"",""MEANR""))")</f>
        <v>0.58574610244988901</v>
      </c>
      <c r="C2">
        <f t="array" ref="C2:C1763">_xll.FDS("SP50","FG_PRICE(0,-7AY)")</f>
        <v>5597.12</v>
      </c>
      <c r="D2">
        <f t="array" ref="D2:D1763">_xll.FDS("TLT","FG_PRICE(0,-7AY)")</f>
        <v>98.67</v>
      </c>
      <c r="E2">
        <f t="array" ref="E2:E1763">_xll.FDS("XAUUSD-FX1","FG_PRICE(0,-7AY)")</f>
        <v>2513.9699999999998</v>
      </c>
      <c r="F2">
        <f t="array" ref="F2:F1763">_xll.FDS("SHY-US","FG_PRICE(0,-7AY)")</f>
        <v>82.64</v>
      </c>
      <c r="G2">
        <f t="array" ref="G2:G1763">_xll.FDS(G1,"FG_PRICE(0,-7AY)")</f>
        <v>54.9</v>
      </c>
      <c r="H2" s="12">
        <f t="shared" ref="H2:H65" si="0">H3*(1+((C2/C3)-(D2/D3)))</f>
        <v>190.20839948553038</v>
      </c>
      <c r="I2" s="12">
        <f t="shared" ref="I2:I65" si="1">I3*(1+((C2/C3)-(E2/E3)))</f>
        <v>82.636614259507724</v>
      </c>
      <c r="J2" s="12">
        <f>J3*(1+((C2/C3)-(F2/F3)))</f>
        <v>194.44548717156547</v>
      </c>
      <c r="K2" s="12">
        <f>K3*(1+((C2/C3)-(G2/G3)))</f>
        <v>161.5115254333729</v>
      </c>
      <c r="L2" s="55">
        <f t="array" ref="L2:L523">_xll.FDS("SP50","FMA_PE(LTMA,NOW,-10AY,W,""PORTAGG"",""MEANR"")")</f>
        <v>23.1939736349741</v>
      </c>
      <c r="M2" s="55">
        <f t="array" ref="M2:M523">_xll.FDS("SP50","FMA_PE(NTMA,NOW,-10AY,W,""PORTAGG"",""MEANR"")")</f>
        <v>21.159668933766799</v>
      </c>
      <c r="N2" s="55">
        <f t="array" ref="N2:N262">_xll.FDS("SP50","FMA_EPS(NTMA,0,-5AY,W,USD,""PORTAGG"",""MEANR"")")</f>
        <v>263.72339584879899</v>
      </c>
      <c r="O2" s="55">
        <f t="array" ref="O2:O262">_xll.FDS("ACWX-US","FMA_EPS(NTMA,0,-5AY,W,USD,""PORTAGG"",""MEANR"")")</f>
        <v>4.1448184857802799</v>
      </c>
      <c r="P2" s="12">
        <f t="shared" ref="P2:P65" si="2">P3*(1+((N2/N3)-(O2/O3)))</f>
        <v>123.51834995508992</v>
      </c>
      <c r="Q2" s="12">
        <f>Q3*(1+((G2/G3)-(D2/D3)))</f>
        <v>106.45125993007818</v>
      </c>
      <c r="R2" s="12">
        <f>R3*(1+((G2/G3)-(E2/E3)))</f>
        <v>83.909518617744823</v>
      </c>
      <c r="S2" s="12">
        <f>S3*(1+((G2/G3)-(F2/F3)))</f>
        <v>109.137771320225</v>
      </c>
      <c r="T2" s="55">
        <f t="array" ref="T2:T523">_xll.FDS("ACWX-US","FMA_PE(LTMA,NOW,-10AY,W,""PORTAGG"",""MEANR"")")</f>
        <v>14.3185867000235</v>
      </c>
      <c r="U2" s="55">
        <f t="array" ref="U2:U523">_xll.FDS("ACWX-US","FMA_PE(NTMA,NOW,-10AY,W,""PORTAGG"",""MEANR"")")</f>
        <v>13.107652744164699</v>
      </c>
      <c r="V2">
        <f t="array" ref="V2:V1763">_xll.FDS("ACWX","FMA_COS_UP(""EPS"",""1M"",+1,0,-7AY,,""PORTAGG"",""MEANR"")/(FMA_COS_UP(""EPS"",""1M"",+1,0,-7AY,,""PORTAGG"",""MEANR"")+FMA_COS_DOWN(""EPS"",""1M"",+1,0,-7AY,,""PORTAGG"",""MEANR""))")</f>
        <v>0.503523382447149</v>
      </c>
      <c r="W2" s="12"/>
      <c r="X2" s="12"/>
      <c r="Z2" t="s">
        <v>3</v>
      </c>
      <c r="AA2" t="s">
        <v>4</v>
      </c>
      <c r="AE2" t="s">
        <v>11</v>
      </c>
      <c r="AF2" t="s">
        <v>17</v>
      </c>
      <c r="AG2" t="s">
        <v>12</v>
      </c>
      <c r="AH2" t="s">
        <v>13</v>
      </c>
      <c r="AI2" t="s">
        <v>14</v>
      </c>
      <c r="AJ2" t="s">
        <v>15</v>
      </c>
      <c r="AK2" t="s">
        <v>16</v>
      </c>
      <c r="AL2" t="s">
        <v>0</v>
      </c>
      <c r="AY2" t="str">
        <f t="array" ref="AY2:AY5219">_xll.FDS("","PSETCAL('FIVEDAY');ECON_DATE(0, -20AY, D, 'DD/MM/YYYY')")</f>
        <v>20/08/2024</v>
      </c>
      <c r="AZ2" t="e">
        <f t="array" ref="AZ2:AZ5219">_xll.FDS("","FDS_ECON_DATA('USSU2929306',0,-20AY,D,STEP,AVERAGENP,1)")</f>
        <v>#N/A</v>
      </c>
      <c r="BA2" t="e">
        <f t="array" ref="BA2:BA5219">_xll.FDS("","FDS_ECON_DATA('USSU2929307',0,-20AY,D,STEP,AVERAGENP,1)")</f>
        <v>#N/A</v>
      </c>
      <c r="BB2">
        <f t="shared" ref="BB2:BB4" si="3">IFERROR(AZ2/BA2,BB3)</f>
        <v>2.074418604651163</v>
      </c>
    </row>
    <row r="3" spans="1:54" x14ac:dyDescent="0.3">
      <c r="A3" s="11">
        <v>45524</v>
      </c>
      <c r="B3">
        <v>0.58574610244988901</v>
      </c>
      <c r="C3">
        <v>5608.25</v>
      </c>
      <c r="D3">
        <v>97.89</v>
      </c>
      <c r="E3">
        <v>2504.29</v>
      </c>
      <c r="F3">
        <v>82.52</v>
      </c>
      <c r="G3">
        <v>55.16</v>
      </c>
      <c r="H3" s="12">
        <f t="shared" si="0"/>
        <v>192.12051809291717</v>
      </c>
      <c r="I3" s="12">
        <f t="shared" si="1"/>
        <v>83.122878387001847</v>
      </c>
      <c r="J3" s="12">
        <f t="shared" ref="J3:J66" si="4">J4*(1+((C3/C4)-(F3/F4)))</f>
        <v>195.11644760527813</v>
      </c>
      <c r="K3" s="12">
        <f t="shared" ref="K3:K66" si="5">K4*(1+((C3/C4)-(G3/G4)))</f>
        <v>161.07196258319559</v>
      </c>
      <c r="L3" s="55">
        <v>22.669314819794302</v>
      </c>
      <c r="M3" s="55">
        <v>20.415066205813599</v>
      </c>
      <c r="N3" s="55">
        <v>263.02155409519901</v>
      </c>
      <c r="O3" s="55">
        <v>4.1122230848164198</v>
      </c>
      <c r="P3" s="12">
        <f t="shared" si="2"/>
        <v>124.17125307711061</v>
      </c>
      <c r="Q3" s="12">
        <f t="shared" ref="Q3:Q66" si="6">Q4*(1+((G3/G4)-(D3/D4)))</f>
        <v>107.818581546289</v>
      </c>
      <c r="R3" s="12">
        <f t="shared" ref="R3:R66" si="7">R4*(1+((G3/G4)-(E3/E4)))</f>
        <v>84.635601312201999</v>
      </c>
      <c r="S3" s="12">
        <f t="shared" ref="S3:S66" si="8">S4*(1+((G3/G4)-(F3/F4)))</f>
        <v>109.81508368412103</v>
      </c>
      <c r="T3" s="55">
        <v>14.1401156143612</v>
      </c>
      <c r="U3" s="55">
        <v>12.834131299598299</v>
      </c>
      <c r="V3">
        <v>0.503523382447149</v>
      </c>
      <c r="W3" s="12"/>
      <c r="X3" s="12"/>
      <c r="Z3" t="str">
        <f>_xll.FDS("","CONVERT_DATE(FDS_ECON_STARTDATE('USSU2929306', W),'YYYYMMDD')")</f>
        <v>19690620</v>
      </c>
      <c r="AA3" t="str">
        <f>_xll.FDS("","CONVERT_DATE(FDS_ECON_STARTDATE('USSU2929307', W),'YYYYMMDD')")</f>
        <v>19690620</v>
      </c>
      <c r="AE3" t="str">
        <f>_xll.FDS("","CONVERT_DATE(SPEC_ID_STARTDATE('CC_US:FDS_ECON_RINDPRD_M', M),'YYYYMMDD')")</f>
        <v>19200130</v>
      </c>
      <c r="AF3" t="str">
        <f>_xll.FDS("","CONVERT_DATE(ECON_EXPR_STARTDATE('RETURNS(FDS_COM[USCM1020424,DIST=STEP,CONV=AVERAGENP], -1AY)', M),'YYYYMMDD')")</f>
        <v>19480130</v>
      </c>
      <c r="AG3" t="str">
        <f>_xll.FDS("","CONVERT_DATE(FDS_ECON_STARTDATE('ISMPRI@M', M),'YYYYMMDD')")</f>
        <v>19480130</v>
      </c>
      <c r="AH3" t="str">
        <f>_xll.FDS("","CONVERT_DATE(FDS_ECON_STARTDATE('ISMPRD@M', M),'YYYYMMDD')")</f>
        <v>19480130</v>
      </c>
      <c r="AI3" t="str">
        <f>_xll.FDS("","CONVERT_DATE(FDS_ECON_STARTDATE('ISMPMI@M', M),'YYYYMMDD')")</f>
        <v>19480130</v>
      </c>
      <c r="AJ3" t="str">
        <f>_xll.FDS("","CONVERT_DATE(ECON_EXPR_STARTDATE('RETURNS(FDS_ECON[US.LMCLAIMS,DIST=STEP,CONV=AVERAGE], -1AY)', M),'YYYYMMDD')")</f>
        <v>19680131</v>
      </c>
      <c r="AK3" t="str">
        <f>_xll.FDS("","CONVERT_DATE(FDS_ECON_STARTDATE('ISMBUS@NM', M),'YYYYMMDD')")</f>
        <v>19970731</v>
      </c>
      <c r="AY3" t="str">
        <v>19/08/2024</v>
      </c>
      <c r="AZ3" t="e">
        <v>#N/A</v>
      </c>
      <c r="BA3" t="e">
        <v>#N/A</v>
      </c>
      <c r="BB3">
        <f t="shared" si="3"/>
        <v>2.074418604651163</v>
      </c>
    </row>
    <row r="4" spans="1:54" x14ac:dyDescent="0.3">
      <c r="A4" s="11">
        <v>45521</v>
      </c>
      <c r="B4">
        <v>0.58351409978308</v>
      </c>
      <c r="C4">
        <v>5554.25</v>
      </c>
      <c r="D4">
        <v>97.44</v>
      </c>
      <c r="E4">
        <v>2508.09</v>
      </c>
      <c r="F4">
        <v>82.54</v>
      </c>
      <c r="G4">
        <v>54.56</v>
      </c>
      <c r="H4" s="12">
        <f t="shared" si="0"/>
        <v>191.14490339360987</v>
      </c>
      <c r="I4" s="12">
        <f t="shared" si="1"/>
        <v>82.199174868573181</v>
      </c>
      <c r="J4" s="12">
        <f t="shared" si="4"/>
        <v>193.19137447781026</v>
      </c>
      <c r="K4" s="12">
        <f t="shared" si="5"/>
        <v>161.27755642392086</v>
      </c>
      <c r="L4" s="55">
        <v>22.6504063004381</v>
      </c>
      <c r="M4" s="55">
        <v>20.4561997655452</v>
      </c>
      <c r="N4" s="55">
        <v>262.54888193291202</v>
      </c>
      <c r="O4" s="55">
        <v>4.0544344869030002</v>
      </c>
      <c r="P4" s="12">
        <f t="shared" si="2"/>
        <v>125.73703916111103</v>
      </c>
      <c r="Q4" s="12">
        <f t="shared" si="6"/>
        <v>107.13518326306526</v>
      </c>
      <c r="R4" s="12">
        <f t="shared" si="7"/>
        <v>83.589713063954065</v>
      </c>
      <c r="S4" s="12">
        <f t="shared" si="8"/>
        <v>108.59454891183908</v>
      </c>
      <c r="T4" s="55">
        <v>14.194732569080401</v>
      </c>
      <c r="U4" s="55">
        <v>12.9023578721772</v>
      </c>
      <c r="V4">
        <v>0.503523382447149</v>
      </c>
      <c r="W4" s="12"/>
      <c r="X4" s="12"/>
      <c r="Z4" t="str">
        <f>_xll.FDS("","CONVERT_DATE(FDS_ECON_ENDDATE('USSU2929306', W),'YYYYMMDD')")</f>
        <v>20240809</v>
      </c>
      <c r="AA4" t="str">
        <f>_xll.FDS("","CONVERT_DATE(FDS_ECON_ENDDATE('USSU2929307', W),'YYYYMMDD')")</f>
        <v>20240809</v>
      </c>
      <c r="AE4" t="str">
        <f>_xll.FDS("","CONVERT_DATE(SPEC_ID_ENDDATE('CC_US:FDS_ECON_RINDPRD_M', M),'YYYYMMDD')")</f>
        <v>20240731</v>
      </c>
      <c r="AF4" t="str">
        <f>_xll.FDS("","CONVERT_DATE(ECON_EXPR_ENDDATE('RETURNS(FDS_COM[USCM1020424,DIST=STEP,CONV=AVERAGENP], -1AY)', M),'YYYYMMDD')")</f>
        <v>20240830</v>
      </c>
      <c r="AG4" t="str">
        <f>_xll.FDS("","CONVERT_DATE(FDS_ECON_ENDDATE('ISMPRI@M', M),'YYYYMMDD')")</f>
        <v>20240731</v>
      </c>
      <c r="AH4" t="str">
        <f>_xll.FDS("","CONVERT_DATE(FDS_ECON_ENDDATE('ISMPRD@M', M),'YYYYMMDD')")</f>
        <v>20240731</v>
      </c>
      <c r="AI4" t="str">
        <f>_xll.FDS("","CONVERT_DATE(FDS_ECON_ENDDATE('ISMPMI@M', M),'YYYYMMDD')")</f>
        <v>20240731</v>
      </c>
      <c r="AJ4" t="str">
        <f>_xll.FDS("","CONVERT_DATE(ECON_EXPR_ENDDATE('RETURNS(FDS_ECON[US.LMCLAIMS,DIST=STEP,CONV=AVERAGE], -1AY)', M),'YYYYMMDD')")</f>
        <v>20240731</v>
      </c>
      <c r="AK4" t="str">
        <f>_xll.FDS("","CONVERT_DATE(FDS_ECON_ENDDATE('ISMBUS@NM', M),'YYYYMMDD')")</f>
        <v>20240731</v>
      </c>
      <c r="AY4" t="str">
        <v>16/08/2024</v>
      </c>
      <c r="AZ4" t="e">
        <v>#N/A</v>
      </c>
      <c r="BA4" t="e">
        <v>#N/A</v>
      </c>
      <c r="BB4">
        <f t="shared" si="3"/>
        <v>2.074418604651163</v>
      </c>
    </row>
    <row r="5" spans="1:54" x14ac:dyDescent="0.3">
      <c r="A5" s="11">
        <v>45520</v>
      </c>
      <c r="B5">
        <v>0.58913043478260896</v>
      </c>
      <c r="C5">
        <v>5543.22</v>
      </c>
      <c r="D5">
        <v>97.1</v>
      </c>
      <c r="E5">
        <v>2456.79</v>
      </c>
      <c r="F5">
        <v>82.45</v>
      </c>
      <c r="G5">
        <v>54.18</v>
      </c>
      <c r="H5" s="12">
        <f t="shared" si="0"/>
        <v>191.4342997179595</v>
      </c>
      <c r="I5" s="12">
        <f t="shared" si="1"/>
        <v>83.781906179029903</v>
      </c>
      <c r="J5" s="12">
        <f t="shared" si="4"/>
        <v>193.01799653658233</v>
      </c>
      <c r="K5" s="12">
        <f t="shared" si="5"/>
        <v>162.09188009223178</v>
      </c>
      <c r="L5" s="55">
        <v>22.949836328639702</v>
      </c>
      <c r="M5" s="55">
        <v>20.937873113296799</v>
      </c>
      <c r="N5" s="55">
        <v>261.95458199735299</v>
      </c>
      <c r="O5" s="55">
        <v>4.0444655411371198</v>
      </c>
      <c r="P5" s="12">
        <f t="shared" si="2"/>
        <v>125.76170388878215</v>
      </c>
      <c r="Q5" s="12">
        <f t="shared" si="6"/>
        <v>106.7602292338125</v>
      </c>
      <c r="R5" s="12">
        <f t="shared" si="7"/>
        <v>84.765172684082785</v>
      </c>
      <c r="S5" s="12">
        <f t="shared" si="8"/>
        <v>107.95522859901681</v>
      </c>
      <c r="T5" s="55">
        <v>14.433204134773201</v>
      </c>
      <c r="U5" s="55">
        <v>13.296032134487501</v>
      </c>
      <c r="V5">
        <v>0.503523382447149</v>
      </c>
      <c r="W5" s="12"/>
      <c r="X5" s="12"/>
      <c r="Z5" t="str">
        <f>_xll.FDS("","FDS_ECON_UNITS('USSU2929306')")</f>
        <v>Percent</v>
      </c>
      <c r="AA5" t="str">
        <f>_xll.FDS("","FDS_ECON_UNITS('USSU2929307')")</f>
        <v>Percent</v>
      </c>
      <c r="AE5" t="e">
        <f>_xll.FDS("","SPEC_ID_UNITS('CC_US:FDS_ECON_RINDPRD_M')")</f>
        <v>#N/A</v>
      </c>
      <c r="AF5" t="str">
        <f>_xll.FDS("","ECON_EXPR_UNITS('RETURNS(FDS_COM[USCM1020424,DIST=STEP,CONV=AVERAGENP], -1AY)')")</f>
        <v>Growth Rate</v>
      </c>
      <c r="AG5" t="str">
        <f>_xll.FDS("","FDS_ECON_UNITS('ISMPRI@M')")</f>
        <v>Diffusion Index</v>
      </c>
      <c r="AH5" t="str">
        <f>_xll.FDS("","FDS_ECON_UNITS('ISMPRD@M')")</f>
        <v>Diffusion Index</v>
      </c>
      <c r="AI5" t="str">
        <f>_xll.FDS("","FDS_ECON_UNITS('ISMPMI@M')")</f>
        <v>Diffusion Index</v>
      </c>
      <c r="AJ5" t="str">
        <f>_xll.FDS("","ECON_EXPR_UNITS('RETURNS(FDS_ECON[US.LMCLAIMS,DIST=STEP,CONV=AVERAGE], -1AY)')")</f>
        <v>Growth Rate</v>
      </c>
      <c r="AK5" t="str">
        <f>_xll.FDS("","FDS_ECON_UNITS('ISMBUS@NM')")</f>
        <v>Diffusion Index</v>
      </c>
      <c r="AP5" t="e">
        <v>#N/A</v>
      </c>
      <c r="AY5" t="str">
        <v>15/08/2024</v>
      </c>
      <c r="AZ5" t="e">
        <v>#N/A</v>
      </c>
      <c r="BA5" t="e">
        <v>#N/A</v>
      </c>
      <c r="BB5">
        <f t="shared" ref="BB5:BB8" si="9">IFERROR(AZ5/BA5,BB6)</f>
        <v>2.074418604651163</v>
      </c>
    </row>
    <row r="6" spans="1:54" x14ac:dyDescent="0.3">
      <c r="A6" s="11">
        <v>45519</v>
      </c>
      <c r="B6">
        <v>0.58114035087719296</v>
      </c>
      <c r="C6">
        <v>5455.21</v>
      </c>
      <c r="D6">
        <v>97.89</v>
      </c>
      <c r="E6">
        <v>2447.87</v>
      </c>
      <c r="F6">
        <v>82.65</v>
      </c>
      <c r="G6">
        <v>53.52</v>
      </c>
      <c r="H6" s="12">
        <f t="shared" si="0"/>
        <v>186.91041643030971</v>
      </c>
      <c r="I6" s="12">
        <f t="shared" si="1"/>
        <v>82.748442939999521</v>
      </c>
      <c r="J6" s="12">
        <f t="shared" si="4"/>
        <v>189.50215475630938</v>
      </c>
      <c r="K6" s="12">
        <f t="shared" si="5"/>
        <v>161.47804350661704</v>
      </c>
      <c r="L6" s="55">
        <v>23.046631298058401</v>
      </c>
      <c r="M6" s="55">
        <v>21.1511610653377</v>
      </c>
      <c r="N6" s="55">
        <v>261.47195479723803</v>
      </c>
      <c r="O6" s="55">
        <v>4.00237032436136</v>
      </c>
      <c r="P6" s="12">
        <f t="shared" si="2"/>
        <v>126.86181952317584</v>
      </c>
      <c r="Q6" s="12">
        <f t="shared" si="6"/>
        <v>104.62564412659049</v>
      </c>
      <c r="R6" s="12">
        <f t="shared" si="7"/>
        <v>84.035088090804564</v>
      </c>
      <c r="S6" s="12">
        <f t="shared" si="8"/>
        <v>106.3858583248156</v>
      </c>
      <c r="T6" s="55">
        <v>14.5348652578213</v>
      </c>
      <c r="U6" s="55">
        <v>13.480726984725299</v>
      </c>
      <c r="V6">
        <v>0.50288276745675897</v>
      </c>
      <c r="W6" s="12"/>
      <c r="X6" s="12"/>
      <c r="Z6" t="str">
        <f>_xll.FDS("","FDS_ECON_SOURCE('USSU2929306')")</f>
        <v>Investors Intelligence</v>
      </c>
      <c r="AA6" t="str">
        <f>_xll.FDS("","FDS_ECON_SOURCE('USSU2929307')")</f>
        <v>Investors Intelligence</v>
      </c>
      <c r="AE6" t="e">
        <f>_xll.FDS("","SPEC_ID_SOURCE('CC_US:FDS_ECON_RINDPRD_M')")</f>
        <v>#N/A</v>
      </c>
      <c r="AF6" t="str">
        <f>_xll.FDS("","ECON_EXPR_SOURCE('RETURNS(FDS_COM[USCM1020424,DIST=STEP,CONV=AVERAGENP], -1AY)')")</f>
        <v>CRB - Commodity Research Bureau</v>
      </c>
      <c r="AG6" t="str">
        <f>_xll.FDS("","FDS_ECON_SOURCE('ISMPRI@M')")</f>
        <v>ISM - Institute for Supply Management</v>
      </c>
      <c r="AH6" t="str">
        <f>_xll.FDS("","FDS_ECON_SOURCE('ISMPRD@M')")</f>
        <v>ISM - Institute for Supply Management</v>
      </c>
      <c r="AI6" t="str">
        <f>_xll.FDS("","FDS_ECON_SOURCE('ISMPMI@M')")</f>
        <v>ISM - Institute for Supply Management</v>
      </c>
      <c r="AJ6" t="str">
        <f>_xll.FDS("","ECON_EXPR_SOURCE('RETURNS(FDS_ECON[US.LMCLAIMS,DIST=STEP,CONV=AVERAGE], -1AY)')")</f>
        <v>DOL - US Department of Labor</v>
      </c>
      <c r="AK6" t="str">
        <f>_xll.FDS("","FDS_ECON_SOURCE('ISMBUS@NM')")</f>
        <v>ISM - Institute for Supply Management</v>
      </c>
      <c r="AN6" t="s">
        <v>20</v>
      </c>
      <c r="AO6" t="s">
        <v>21</v>
      </c>
      <c r="AP6" t="s">
        <v>22</v>
      </c>
      <c r="AQ6" t="s">
        <v>23</v>
      </c>
      <c r="AR6" t="s">
        <v>24</v>
      </c>
      <c r="AS6" t="s">
        <v>25</v>
      </c>
      <c r="AT6" t="s">
        <v>26</v>
      </c>
      <c r="AU6" t="s">
        <v>18</v>
      </c>
      <c r="AV6" t="s">
        <v>19</v>
      </c>
      <c r="AY6" t="str">
        <v>14/08/2024</v>
      </c>
      <c r="AZ6" t="e">
        <v>#N/A</v>
      </c>
      <c r="BA6" t="e">
        <v>#N/A</v>
      </c>
      <c r="BB6">
        <f t="shared" si="9"/>
        <v>2.074418604651163</v>
      </c>
    </row>
    <row r="7" spans="1:54" x14ac:dyDescent="0.3">
      <c r="A7" s="11">
        <v>45518</v>
      </c>
      <c r="B7">
        <v>0.58149779735682805</v>
      </c>
      <c r="C7">
        <v>5434.43</v>
      </c>
      <c r="D7">
        <v>97.28</v>
      </c>
      <c r="E7">
        <v>2465.14</v>
      </c>
      <c r="F7">
        <v>82.66</v>
      </c>
      <c r="G7">
        <v>53.44</v>
      </c>
      <c r="H7" s="12">
        <f t="shared" si="0"/>
        <v>187.36886891577163</v>
      </c>
      <c r="I7" s="12">
        <f t="shared" si="1"/>
        <v>81.86192289785096</v>
      </c>
      <c r="J7" s="12">
        <f t="shared" si="4"/>
        <v>188.75755422777394</v>
      </c>
      <c r="K7" s="12">
        <f t="shared" si="5"/>
        <v>161.10319469931605</v>
      </c>
      <c r="L7" s="55">
        <v>23.296140399345798</v>
      </c>
      <c r="M7" s="55">
        <v>21.6278021539989</v>
      </c>
      <c r="N7" s="55">
        <v>260.83462797995099</v>
      </c>
      <c r="O7" s="55">
        <v>4.02313329963616</v>
      </c>
      <c r="P7" s="12">
        <f t="shared" si="2"/>
        <v>125.90440340352633</v>
      </c>
      <c r="Q7" s="12">
        <f t="shared" si="6"/>
        <v>105.12747572712121</v>
      </c>
      <c r="R7" s="12">
        <f t="shared" si="7"/>
        <v>83.326587672771709</v>
      </c>
      <c r="S7" s="12">
        <f t="shared" si="8"/>
        <v>106.21400581739891</v>
      </c>
      <c r="T7" s="55">
        <v>14.719047568341701</v>
      </c>
      <c r="U7" s="55">
        <v>13.8132586289546</v>
      </c>
      <c r="V7">
        <v>0.50579896907216504</v>
      </c>
      <c r="W7" s="12"/>
      <c r="X7" s="12"/>
      <c r="Y7" t="str">
        <f t="array" ref="Y7:Y1050">_xll.FDS("","PSETCAL('FIVEDAY');ECON_DATE(0, -20AY, W, 'YYYYMMDD')")</f>
        <v>20240816</v>
      </c>
      <c r="Z7" t="e">
        <f t="array" ref="Z7:Z1050">_xll.FDS("","FDS_ECON_DATA('USSU2929306',0,-20AY,W,STEP,AVERAGENP,1)")</f>
        <v>#N/A</v>
      </c>
      <c r="AA7" t="e">
        <f t="array" ref="AA7:AA1050">_xll.FDS("","FDS_ECON_DATA('USSU2929307',0,-20AY,W,STEP,AVERAGENP,1)")</f>
        <v>#N/A</v>
      </c>
      <c r="AB7">
        <f>IFERROR(Z7/AA7,AB8)</f>
        <v>2.074418604651163</v>
      </c>
      <c r="AD7" t="str">
        <f t="array" ref="AD7:AD126">_xll.FDS("","PSETCAL('FIVEDAY');ECON_DATE(0, 0/0/-10, M, 'YYYYMMDD')")</f>
        <v>20240731</v>
      </c>
      <c r="AE7">
        <f t="array" ref="AE7:AE126">_xll.FDS("","SPEC_ID_DATA('CC_US:FDS_ECON_RINDPRD_M',0,0/0/-10,M,NONE,AVERAGENP,2)")</f>
        <v>-0.17803055000000001</v>
      </c>
      <c r="AF7">
        <f t="array" ref="AF7:AF126">_xll.FDS("","ECON_EXPR_DATA('RETURNS(FDS_COM[USCM1020424,DIST=STEP,CONV=AVERAGENP], -1AY)',0,0/0/-10,M)")</f>
        <v>-0.93009484088073502</v>
      </c>
      <c r="AG7">
        <f t="array" ref="AG7:AG126">_xll.FDS("","FDS_ECON_DATA('ISMPRI@M',0,0/0/-10,M,STEP,AVERAGE,1)")</f>
        <v>52.9</v>
      </c>
      <c r="AH7">
        <f t="array" ref="AH7:AH126">_xll.FDS("","FDS_ECON_DATA('ISMPRD@M',0,0/0/-10,M,STEP,AVERAGE,1)")</f>
        <v>45.9</v>
      </c>
      <c r="AI7">
        <f t="array" ref="AI7:AI126">_xll.FDS("","FDS_ECON_DATA('ISMPMI@M',0,0/0/-10,M,STEP,AVERAGE,1)")</f>
        <v>46.8</v>
      </c>
      <c r="AJ7">
        <f t="array" ref="AJ7:AJ126">_xll.FDS("","ECON_EXPR_DATA('RETURNS(FDS_ECON[US.LMCLAIMS,DIST=STEP,CONV=AVERAGE], -1AY)',0,0/0/-10,M)")</f>
        <v>4.8450704225352101</v>
      </c>
      <c r="AK7">
        <f t="array" ref="AK7:AK126">_xll.FDS("","FDS_ECON_DATA('ISMBUS@NM',0,0/0/-10,M,STEP,AVERAGE,1)")</f>
        <v>54.5</v>
      </c>
      <c r="AL7">
        <f t="array" ref="AL7:AL126">_xll.FDS(AL2,"FMA_EPS(NTMA,NOW,-10AY,M,,""PORTAGG"",""MEANR"")")</f>
        <v>262.40963088268199</v>
      </c>
      <c r="AM7" s="3">
        <f t="array" ref="AM7:AM126">_xll.FDS(AL2,"FMA_COS_UP(""EPS"",""1M"",+1,NOW,-10AY,M,""PORTAGG"",""MEANR"")/(FMA_COS_DOWN(""EPS"",""1M"",+1,NOW,-10AY,M,""PORTAGG"",""MEANR"")+FMA_COS_UP(""EPS"",""1M"",+1,NOW,-10AY,M,""PORTAGG"",""MEANR""))")</f>
        <v>0.50591016548463397</v>
      </c>
      <c r="AN7" s="1">
        <f t="shared" ref="AN7:AN38" si="10">IF(ISNA(AE7),AN8,IF(AE7&gt;AVERAGE(AE8:AE13),1,IF(AE7&lt;=AVERAGE(AE8:AE13),0,AN8)))</f>
        <v>0</v>
      </c>
      <c r="AO7" s="1">
        <f t="shared" ref="AO7:AO38" si="11">IF(AF7&gt;0,1,0)</f>
        <v>0</v>
      </c>
      <c r="AP7" s="1">
        <f t="shared" ref="AP7:AP38" si="12">IF(AG7&gt;50,1,0)</f>
        <v>1</v>
      </c>
      <c r="AQ7" s="1">
        <f t="shared" ref="AQ7:AQ38" si="13">IF(AH7&gt;50,1,0)</f>
        <v>0</v>
      </c>
      <c r="AR7" s="1">
        <f t="shared" ref="AR7:AR38" si="14">IF(AI7&gt;50,1,0)</f>
        <v>0</v>
      </c>
      <c r="AS7" s="1">
        <f t="shared" ref="AS7:AS38" si="15">IF(AJ7&lt;0,1,0)</f>
        <v>0</v>
      </c>
      <c r="AT7" s="1">
        <f t="shared" ref="AT7:AT38" si="16">IF(AK7&gt;50,1,0)</f>
        <v>1</v>
      </c>
      <c r="AU7" s="1">
        <f t="shared" ref="AU7:AU38" si="17">IF(ISNA(AL7),AU8,IF(AL7&gt;AVERAGE(AL8:AL13),1,IF(AL7&lt;=AVERAGE(AL8:AL13),0,AU8)))</f>
        <v>1</v>
      </c>
      <c r="AV7" s="1">
        <f t="shared" ref="AV7:AV38" si="18">IF(AM7&gt;0.5,1,0)</f>
        <v>1</v>
      </c>
      <c r="AW7">
        <f t="shared" ref="AW7:AW38" si="19">SUM(AN7:AV7)/9</f>
        <v>0.44444444444444442</v>
      </c>
      <c r="AY7" t="str">
        <v>13/08/2024</v>
      </c>
      <c r="AZ7" t="e">
        <v>#N/A</v>
      </c>
      <c r="BA7" t="e">
        <v>#N/A</v>
      </c>
      <c r="BB7">
        <f t="shared" si="9"/>
        <v>2.074418604651163</v>
      </c>
    </row>
    <row r="8" spans="1:54" x14ac:dyDescent="0.3">
      <c r="A8" s="11">
        <v>45517</v>
      </c>
      <c r="B8">
        <v>0.58628318584070804</v>
      </c>
      <c r="C8">
        <v>5344.39</v>
      </c>
      <c r="D8">
        <v>96.61</v>
      </c>
      <c r="E8">
        <v>2473</v>
      </c>
      <c r="F8">
        <v>82.53</v>
      </c>
      <c r="G8">
        <v>52.68</v>
      </c>
      <c r="H8" s="12">
        <f t="shared" si="0"/>
        <v>185.52980968851639</v>
      </c>
      <c r="I8" s="12">
        <f t="shared" si="1"/>
        <v>80.254749408347763</v>
      </c>
      <c r="J8" s="12">
        <f t="shared" si="4"/>
        <v>185.91814023633447</v>
      </c>
      <c r="K8" s="12">
        <f t="shared" si="5"/>
        <v>160.71413062507906</v>
      </c>
      <c r="L8" s="55">
        <v>23.185621099207498</v>
      </c>
      <c r="M8" s="55">
        <v>21.485578176464699</v>
      </c>
      <c r="N8" s="55">
        <v>260.29362705688197</v>
      </c>
      <c r="O8" s="55">
        <v>3.9964190957935601</v>
      </c>
      <c r="P8" s="12">
        <f t="shared" si="2"/>
        <v>126.48701646280972</v>
      </c>
      <c r="Q8" s="12">
        <f t="shared" si="6"/>
        <v>104.34575618798374</v>
      </c>
      <c r="R8" s="12">
        <f t="shared" si="7"/>
        <v>81.884997917449326</v>
      </c>
      <c r="S8" s="12">
        <f t="shared" si="8"/>
        <v>104.86631193911593</v>
      </c>
      <c r="T8" s="55">
        <v>14.604301798466601</v>
      </c>
      <c r="U8" s="55">
        <v>13.631048592341999</v>
      </c>
      <c r="V8">
        <v>0.50097847358121295</v>
      </c>
      <c r="W8" s="12"/>
      <c r="X8" s="12"/>
      <c r="Y8" t="str">
        <v>20240809</v>
      </c>
      <c r="Z8">
        <v>44.6</v>
      </c>
      <c r="AA8">
        <v>21.5</v>
      </c>
      <c r="AB8">
        <f t="shared" ref="AB8:AB71" si="20">IFERROR(Z8/AA8,"")</f>
        <v>2.074418604651163</v>
      </c>
      <c r="AD8" t="str">
        <v>20240628</v>
      </c>
      <c r="AE8">
        <v>1.1413262</v>
      </c>
      <c r="AF8">
        <v>0.55690111467694403</v>
      </c>
      <c r="AG8">
        <v>52.1</v>
      </c>
      <c r="AH8">
        <v>48.5</v>
      </c>
      <c r="AI8">
        <v>48.5</v>
      </c>
      <c r="AJ8">
        <v>4.6789617486338697</v>
      </c>
      <c r="AK8">
        <v>49.6</v>
      </c>
      <c r="AL8">
        <v>259.789611999719</v>
      </c>
      <c r="AM8" s="3">
        <v>0.470059880239521</v>
      </c>
      <c r="AN8" s="1">
        <f t="shared" si="10"/>
        <v>1</v>
      </c>
      <c r="AO8" s="1">
        <f t="shared" si="11"/>
        <v>1</v>
      </c>
      <c r="AP8" s="1">
        <f t="shared" si="12"/>
        <v>1</v>
      </c>
      <c r="AQ8" s="1">
        <f t="shared" si="13"/>
        <v>0</v>
      </c>
      <c r="AR8" s="1">
        <f t="shared" si="14"/>
        <v>0</v>
      </c>
      <c r="AS8" s="1">
        <f t="shared" si="15"/>
        <v>0</v>
      </c>
      <c r="AT8" s="1">
        <f t="shared" si="16"/>
        <v>0</v>
      </c>
      <c r="AU8" s="1">
        <f t="shared" si="17"/>
        <v>1</v>
      </c>
      <c r="AV8" s="1">
        <f t="shared" si="18"/>
        <v>0</v>
      </c>
      <c r="AW8">
        <f t="shared" si="19"/>
        <v>0.44444444444444442</v>
      </c>
      <c r="AY8" t="str">
        <v>12/08/2024</v>
      </c>
      <c r="AZ8" t="e">
        <v>#N/A</v>
      </c>
      <c r="BA8" t="e">
        <v>#N/A</v>
      </c>
      <c r="BB8">
        <f t="shared" si="9"/>
        <v>2.074418604651163</v>
      </c>
    </row>
    <row r="9" spans="1:54" x14ac:dyDescent="0.3">
      <c r="A9" s="11">
        <v>45514</v>
      </c>
      <c r="B9">
        <v>0.573913043478261</v>
      </c>
      <c r="C9">
        <v>5344.16</v>
      </c>
      <c r="D9">
        <v>96.26</v>
      </c>
      <c r="E9">
        <v>2430.8000000000002</v>
      </c>
      <c r="F9">
        <v>82.48</v>
      </c>
      <c r="G9">
        <v>52.63</v>
      </c>
      <c r="H9" s="12">
        <f t="shared" si="0"/>
        <v>186.19881238338584</v>
      </c>
      <c r="I9" s="12">
        <f t="shared" si="1"/>
        <v>81.669053412852477</v>
      </c>
      <c r="J9" s="12">
        <f t="shared" si="4"/>
        <v>186.0229027417972</v>
      </c>
      <c r="K9" s="12">
        <f t="shared" si="5"/>
        <v>160.86002920247148</v>
      </c>
      <c r="L9" s="55">
        <v>22.969679863312599</v>
      </c>
      <c r="M9" s="55">
        <v>21.114435740805799</v>
      </c>
      <c r="N9" s="55">
        <v>259.789611999719</v>
      </c>
      <c r="O9" s="55">
        <v>3.9611627061908101</v>
      </c>
      <c r="P9" s="12">
        <f t="shared" si="2"/>
        <v>127.37359092217348</v>
      </c>
      <c r="Q9" s="12">
        <f t="shared" si="6"/>
        <v>104.62677925690589</v>
      </c>
      <c r="R9" s="12">
        <f t="shared" si="7"/>
        <v>83.251192548437956</v>
      </c>
      <c r="S9" s="12">
        <f t="shared" si="8"/>
        <v>104.83026909793807</v>
      </c>
      <c r="T9" s="55">
        <v>14.503889327913599</v>
      </c>
      <c r="U9" s="55">
        <v>13.4507538487895</v>
      </c>
      <c r="V9">
        <v>0.49483204134366898</v>
      </c>
      <c r="W9" s="12"/>
      <c r="X9" s="12"/>
      <c r="Y9" t="str">
        <v>20240802</v>
      </c>
      <c r="Z9">
        <v>46.9</v>
      </c>
      <c r="AA9">
        <v>18.7</v>
      </c>
      <c r="AB9">
        <f t="shared" si="20"/>
        <v>2.5080213903743314</v>
      </c>
      <c r="AD9" t="str">
        <v>20240531</v>
      </c>
      <c r="AE9">
        <v>0.28403324000000002</v>
      </c>
      <c r="AF9">
        <v>1.1539876134548701</v>
      </c>
      <c r="AG9">
        <v>57</v>
      </c>
      <c r="AH9">
        <v>50.2</v>
      </c>
      <c r="AI9">
        <v>48.7</v>
      </c>
      <c r="AJ9">
        <v>4.5561871447310898</v>
      </c>
      <c r="AK9">
        <v>61.2</v>
      </c>
      <c r="AL9">
        <v>257.36224175613899</v>
      </c>
      <c r="AM9" s="3">
        <v>0.58397932816537501</v>
      </c>
      <c r="AN9" s="1">
        <f t="shared" si="10"/>
        <v>1</v>
      </c>
      <c r="AO9" s="1">
        <f t="shared" si="11"/>
        <v>1</v>
      </c>
      <c r="AP9" s="1">
        <f t="shared" si="12"/>
        <v>1</v>
      </c>
      <c r="AQ9" s="1">
        <f t="shared" si="13"/>
        <v>1</v>
      </c>
      <c r="AR9" s="1">
        <f t="shared" si="14"/>
        <v>0</v>
      </c>
      <c r="AS9" s="1">
        <f t="shared" si="15"/>
        <v>0</v>
      </c>
      <c r="AT9" s="1">
        <f t="shared" si="16"/>
        <v>1</v>
      </c>
      <c r="AU9" s="1">
        <f t="shared" si="17"/>
        <v>1</v>
      </c>
      <c r="AV9" s="1">
        <f t="shared" si="18"/>
        <v>1</v>
      </c>
      <c r="AW9">
        <f t="shared" si="19"/>
        <v>0.77777777777777779</v>
      </c>
      <c r="AY9" t="str">
        <v>09/08/2024</v>
      </c>
      <c r="AZ9">
        <v>44.6</v>
      </c>
      <c r="BA9">
        <v>21.5</v>
      </c>
      <c r="BB9">
        <f>IFERROR(AZ9/BA9,BB10)</f>
        <v>2.074418604651163</v>
      </c>
    </row>
    <row r="10" spans="1:54" x14ac:dyDescent="0.3">
      <c r="A10" s="11">
        <v>45513</v>
      </c>
      <c r="B10">
        <v>0.56673960612691499</v>
      </c>
      <c r="C10">
        <v>5319.31</v>
      </c>
      <c r="D10">
        <v>95.32</v>
      </c>
      <c r="E10">
        <v>2427.6799999999998</v>
      </c>
      <c r="F10">
        <v>82.46</v>
      </c>
      <c r="G10">
        <v>52.42</v>
      </c>
      <c r="H10" s="12">
        <f t="shared" si="0"/>
        <v>187.17019961878509</v>
      </c>
      <c r="I10" s="12">
        <f t="shared" si="1"/>
        <v>81.393416161678374</v>
      </c>
      <c r="J10" s="12">
        <f t="shared" si="4"/>
        <v>185.20261872961066</v>
      </c>
      <c r="K10" s="12">
        <f t="shared" si="5"/>
        <v>160.75303937379422</v>
      </c>
      <c r="L10" s="55">
        <v>22.9848092243483</v>
      </c>
      <c r="M10" s="55">
        <v>21.163457251933501</v>
      </c>
      <c r="N10" s="55">
        <v>259.382929238759</v>
      </c>
      <c r="O10" s="55">
        <v>3.9460632025526898</v>
      </c>
      <c r="P10" s="12">
        <f t="shared" si="2"/>
        <v>127.66192651877768</v>
      </c>
      <c r="Q10" s="12">
        <f t="shared" si="6"/>
        <v>105.24302077237263</v>
      </c>
      <c r="R10" s="12">
        <f t="shared" si="7"/>
        <v>83.025286810339466</v>
      </c>
      <c r="S10" s="12">
        <f t="shared" si="8"/>
        <v>104.43721309804396</v>
      </c>
      <c r="T10" s="55">
        <v>14.4943015199696</v>
      </c>
      <c r="U10" s="55">
        <v>13.4401865930423</v>
      </c>
      <c r="V10">
        <v>0.498696219035202</v>
      </c>
      <c r="W10" s="12"/>
      <c r="X10" s="12"/>
      <c r="Y10" t="str">
        <v>20240726</v>
      </c>
      <c r="Z10">
        <v>59.4</v>
      </c>
      <c r="AA10">
        <v>15.6</v>
      </c>
      <c r="AB10">
        <f t="shared" si="20"/>
        <v>3.8076923076923075</v>
      </c>
      <c r="AD10" t="str">
        <v>20240430</v>
      </c>
      <c r="AE10">
        <v>-0.70584290000000005</v>
      </c>
      <c r="AF10">
        <v>-1.05042104726436</v>
      </c>
      <c r="AG10">
        <v>60.9</v>
      </c>
      <c r="AH10">
        <v>51.3</v>
      </c>
      <c r="AI10">
        <v>49.2</v>
      </c>
      <c r="AJ10">
        <v>3.6390101892285198</v>
      </c>
      <c r="AK10">
        <v>50.9</v>
      </c>
      <c r="AL10">
        <v>253.13130193609601</v>
      </c>
      <c r="AM10" s="3">
        <v>0.51913875598086101</v>
      </c>
      <c r="AN10" s="1">
        <f t="shared" si="10"/>
        <v>0</v>
      </c>
      <c r="AO10" s="1">
        <f t="shared" si="11"/>
        <v>0</v>
      </c>
      <c r="AP10" s="1">
        <f t="shared" si="12"/>
        <v>1</v>
      </c>
      <c r="AQ10" s="1">
        <f t="shared" si="13"/>
        <v>1</v>
      </c>
      <c r="AR10" s="1">
        <f t="shared" si="14"/>
        <v>0</v>
      </c>
      <c r="AS10" s="1">
        <f t="shared" si="15"/>
        <v>0</v>
      </c>
      <c r="AT10" s="1">
        <f t="shared" si="16"/>
        <v>1</v>
      </c>
      <c r="AU10" s="1">
        <f t="shared" si="17"/>
        <v>1</v>
      </c>
      <c r="AV10" s="1">
        <f t="shared" si="18"/>
        <v>1</v>
      </c>
      <c r="AW10">
        <f t="shared" si="19"/>
        <v>0.55555555555555558</v>
      </c>
      <c r="AY10" t="str">
        <v>08/08/2024</v>
      </c>
      <c r="AZ10">
        <v>44.6</v>
      </c>
      <c r="BA10">
        <v>21.5</v>
      </c>
      <c r="BB10">
        <f t="shared" ref="BB10:BB71" si="21">IFERROR(AZ10/BA10,"")</f>
        <v>2.074418604651163</v>
      </c>
    </row>
    <row r="11" spans="1:54" x14ac:dyDescent="0.3">
      <c r="A11" s="11">
        <v>45512</v>
      </c>
      <c r="B11">
        <v>0.56331877729257596</v>
      </c>
      <c r="C11">
        <v>5199.5</v>
      </c>
      <c r="D11">
        <v>95.91</v>
      </c>
      <c r="E11">
        <v>2382.92</v>
      </c>
      <c r="F11">
        <v>82.5</v>
      </c>
      <c r="G11">
        <v>51.45</v>
      </c>
      <c r="H11" s="12">
        <f t="shared" si="0"/>
        <v>181.86091554915905</v>
      </c>
      <c r="I11" s="12">
        <f t="shared" si="1"/>
        <v>81.048237950410225</v>
      </c>
      <c r="J11" s="12">
        <f t="shared" si="4"/>
        <v>180.94543430030106</v>
      </c>
      <c r="K11" s="12">
        <f t="shared" si="5"/>
        <v>160.08239902992611</v>
      </c>
      <c r="L11" s="55">
        <v>22.930483379493701</v>
      </c>
      <c r="M11" s="55">
        <v>21.080235462988501</v>
      </c>
      <c r="N11" s="55">
        <v>258.804496454976</v>
      </c>
      <c r="O11" s="55">
        <v>3.9412679920650802</v>
      </c>
      <c r="P11" s="12">
        <f t="shared" si="2"/>
        <v>127.53205407965294</v>
      </c>
      <c r="Q11" s="12">
        <f t="shared" si="6"/>
        <v>102.67563138996127</v>
      </c>
      <c r="R11" s="12">
        <f t="shared" si="7"/>
        <v>83.01951044407636</v>
      </c>
      <c r="S11" s="12">
        <f t="shared" si="8"/>
        <v>102.45591004668788</v>
      </c>
      <c r="T11" s="55">
        <v>14.4826989237161</v>
      </c>
      <c r="U11" s="55">
        <v>13.415337986718001</v>
      </c>
      <c r="V11">
        <v>0.49502322495023199</v>
      </c>
      <c r="W11" s="12"/>
      <c r="X11" s="12"/>
      <c r="Y11" t="str">
        <v>20240719</v>
      </c>
      <c r="Z11">
        <v>64.2</v>
      </c>
      <c r="AA11">
        <v>14.9</v>
      </c>
      <c r="AB11">
        <f t="shared" si="20"/>
        <v>4.3087248322147653</v>
      </c>
      <c r="AD11" t="str">
        <v>20240329</v>
      </c>
      <c r="AE11">
        <v>-0.30559950000000002</v>
      </c>
      <c r="AF11">
        <v>-2.36475913041382</v>
      </c>
      <c r="AG11">
        <v>55.8</v>
      </c>
      <c r="AH11">
        <v>54.6</v>
      </c>
      <c r="AI11">
        <v>50.3</v>
      </c>
      <c r="AJ11">
        <v>6.6927268419805701</v>
      </c>
      <c r="AK11">
        <v>57.4</v>
      </c>
      <c r="AL11">
        <v>249.99505086906399</v>
      </c>
      <c r="AM11" s="3">
        <v>0.481012658227848</v>
      </c>
      <c r="AN11" s="1">
        <f t="shared" si="10"/>
        <v>0</v>
      </c>
      <c r="AO11" s="1">
        <f t="shared" si="11"/>
        <v>0</v>
      </c>
      <c r="AP11" s="1">
        <f t="shared" si="12"/>
        <v>1</v>
      </c>
      <c r="AQ11" s="1">
        <f t="shared" si="13"/>
        <v>1</v>
      </c>
      <c r="AR11" s="1">
        <f t="shared" si="14"/>
        <v>1</v>
      </c>
      <c r="AS11" s="1">
        <f t="shared" si="15"/>
        <v>0</v>
      </c>
      <c r="AT11" s="1">
        <f t="shared" si="16"/>
        <v>1</v>
      </c>
      <c r="AU11" s="1">
        <f t="shared" si="17"/>
        <v>1</v>
      </c>
      <c r="AV11" s="1">
        <f t="shared" si="18"/>
        <v>0</v>
      </c>
      <c r="AW11">
        <f t="shared" si="19"/>
        <v>0.55555555555555558</v>
      </c>
      <c r="AY11" t="str">
        <v>07/08/2024</v>
      </c>
      <c r="AZ11">
        <v>44.6</v>
      </c>
      <c r="BA11">
        <v>21.5</v>
      </c>
      <c r="BB11">
        <f t="shared" si="21"/>
        <v>2.074418604651163</v>
      </c>
    </row>
    <row r="12" spans="1:54" x14ac:dyDescent="0.3">
      <c r="A12" s="11">
        <v>45511</v>
      </c>
      <c r="B12">
        <v>0.55408388520971297</v>
      </c>
      <c r="C12">
        <v>5240.03</v>
      </c>
      <c r="D12">
        <v>96.59</v>
      </c>
      <c r="E12">
        <v>2390.73</v>
      </c>
      <c r="F12">
        <v>82.55</v>
      </c>
      <c r="G12">
        <v>51.19</v>
      </c>
      <c r="H12" s="12">
        <f t="shared" si="0"/>
        <v>181.9873280023061</v>
      </c>
      <c r="I12" s="12">
        <f t="shared" si="1"/>
        <v>81.41197884981483</v>
      </c>
      <c r="J12" s="12">
        <f t="shared" si="4"/>
        <v>182.24465554259248</v>
      </c>
      <c r="K12" s="12">
        <f t="shared" si="5"/>
        <v>162.16028944796318</v>
      </c>
      <c r="L12" s="55">
        <v>22.799589709908702</v>
      </c>
      <c r="M12" s="55">
        <v>20.804712283843301</v>
      </c>
      <c r="N12" s="55">
        <v>258.13628540903801</v>
      </c>
      <c r="O12" s="55">
        <v>3.9916345924838299</v>
      </c>
      <c r="P12" s="12">
        <f t="shared" si="2"/>
        <v>125.62176946198436</v>
      </c>
      <c r="Q12" s="12">
        <f t="shared" si="6"/>
        <v>101.44618646370955</v>
      </c>
      <c r="R12" s="12">
        <f t="shared" si="7"/>
        <v>82.332372561114752</v>
      </c>
      <c r="S12" s="12">
        <f t="shared" si="8"/>
        <v>101.87675996843713</v>
      </c>
      <c r="T12" s="55">
        <v>14.579735184086999</v>
      </c>
      <c r="U12" s="55">
        <v>13.6269912417466</v>
      </c>
      <c r="V12">
        <v>0.49059139784946199</v>
      </c>
      <c r="W12" s="12"/>
      <c r="X12" s="12"/>
      <c r="Y12" t="str">
        <v>20240712</v>
      </c>
      <c r="Z12">
        <v>63.6</v>
      </c>
      <c r="AA12">
        <v>16.7</v>
      </c>
      <c r="AB12">
        <f t="shared" si="20"/>
        <v>3.8083832335329344</v>
      </c>
      <c r="AD12" t="str">
        <v>20240229</v>
      </c>
      <c r="AE12">
        <v>-7.1595124999999996E-2</v>
      </c>
      <c r="AF12">
        <v>-4.62869792436104</v>
      </c>
      <c r="AG12">
        <v>52.5</v>
      </c>
      <c r="AH12">
        <v>48.4</v>
      </c>
      <c r="AI12">
        <v>47.8</v>
      </c>
      <c r="AJ12">
        <v>8.9737759587691404</v>
      </c>
      <c r="AK12">
        <v>57.2</v>
      </c>
      <c r="AL12">
        <v>247.19167551665399</v>
      </c>
      <c r="AM12" s="3">
        <v>0.72537313432835804</v>
      </c>
      <c r="AN12" s="1">
        <f t="shared" si="10"/>
        <v>1</v>
      </c>
      <c r="AO12" s="1">
        <f t="shared" si="11"/>
        <v>0</v>
      </c>
      <c r="AP12" s="1">
        <f t="shared" si="12"/>
        <v>1</v>
      </c>
      <c r="AQ12" s="1">
        <f t="shared" si="13"/>
        <v>0</v>
      </c>
      <c r="AR12" s="1">
        <f t="shared" si="14"/>
        <v>0</v>
      </c>
      <c r="AS12" s="1">
        <f t="shared" si="15"/>
        <v>0</v>
      </c>
      <c r="AT12" s="1">
        <f t="shared" si="16"/>
        <v>1</v>
      </c>
      <c r="AU12" s="1">
        <f t="shared" si="17"/>
        <v>1</v>
      </c>
      <c r="AV12" s="1">
        <f t="shared" si="18"/>
        <v>1</v>
      </c>
      <c r="AW12">
        <f t="shared" si="19"/>
        <v>0.55555555555555558</v>
      </c>
      <c r="AY12" t="str">
        <v>06/08/2024</v>
      </c>
      <c r="AZ12">
        <v>44.6</v>
      </c>
      <c r="BA12">
        <v>21.5</v>
      </c>
      <c r="BB12">
        <f t="shared" si="21"/>
        <v>2.074418604651163</v>
      </c>
    </row>
    <row r="13" spans="1:54" x14ac:dyDescent="0.3">
      <c r="A13" s="11">
        <v>45510</v>
      </c>
      <c r="B13">
        <v>0.542600896860987</v>
      </c>
      <c r="C13">
        <v>5186.33</v>
      </c>
      <c r="D13">
        <v>98.8</v>
      </c>
      <c r="E13">
        <v>2410.7600000000002</v>
      </c>
      <c r="F13">
        <v>82.65</v>
      </c>
      <c r="G13">
        <v>50.99</v>
      </c>
      <c r="H13" s="12">
        <f t="shared" si="0"/>
        <v>176.2209274985818</v>
      </c>
      <c r="I13" s="12">
        <f t="shared" si="1"/>
        <v>79.920445496880674</v>
      </c>
      <c r="J13" s="12">
        <f t="shared" si="4"/>
        <v>180.16125923216876</v>
      </c>
      <c r="K13" s="12">
        <f t="shared" si="5"/>
        <v>161.12397151275584</v>
      </c>
      <c r="L13" s="55">
        <v>22.7069709118696</v>
      </c>
      <c r="M13" s="55">
        <v>20.593494614530499</v>
      </c>
      <c r="N13" s="55">
        <v>257.36224175613899</v>
      </c>
      <c r="O13" s="55">
        <v>4.0198781126478504</v>
      </c>
      <c r="P13" s="12">
        <f t="shared" si="2"/>
        <v>124.37385590882154</v>
      </c>
      <c r="Q13" s="12">
        <f t="shared" si="6"/>
        <v>98.847412974561209</v>
      </c>
      <c r="R13" s="12">
        <f t="shared" si="7"/>
        <v>81.337539548801502</v>
      </c>
      <c r="S13" s="12">
        <f t="shared" si="8"/>
        <v>101.35657178375909</v>
      </c>
      <c r="T13" s="55">
        <v>14.527263370817399</v>
      </c>
      <c r="U13" s="55">
        <v>13.505894418604701</v>
      </c>
      <c r="V13">
        <v>0.49083503054989802</v>
      </c>
      <c r="W13" s="12"/>
      <c r="X13" s="12"/>
      <c r="Y13" t="str">
        <v>20240705</v>
      </c>
      <c r="Z13">
        <v>62.7</v>
      </c>
      <c r="AA13">
        <v>17.899999999999999</v>
      </c>
      <c r="AB13">
        <f t="shared" si="20"/>
        <v>3.5027932960893859</v>
      </c>
      <c r="AD13" t="str">
        <v>20240131</v>
      </c>
      <c r="AE13">
        <v>-1.230783</v>
      </c>
      <c r="AF13">
        <v>-6.5161249521888998</v>
      </c>
      <c r="AG13">
        <v>52.9</v>
      </c>
      <c r="AH13">
        <v>50.4</v>
      </c>
      <c r="AI13">
        <v>49.1</v>
      </c>
      <c r="AJ13">
        <v>10.833074292819401</v>
      </c>
      <c r="AK13">
        <v>55.8</v>
      </c>
      <c r="AL13">
        <v>243.51868336711101</v>
      </c>
      <c r="AM13" s="3">
        <v>0.614427860696517</v>
      </c>
      <c r="AN13" s="1">
        <f t="shared" si="10"/>
        <v>0</v>
      </c>
      <c r="AO13" s="1">
        <f t="shared" si="11"/>
        <v>0</v>
      </c>
      <c r="AP13" s="1">
        <f t="shared" si="12"/>
        <v>1</v>
      </c>
      <c r="AQ13" s="1">
        <f t="shared" si="13"/>
        <v>1</v>
      </c>
      <c r="AR13" s="1">
        <f t="shared" si="14"/>
        <v>0</v>
      </c>
      <c r="AS13" s="1">
        <f t="shared" si="15"/>
        <v>0</v>
      </c>
      <c r="AT13" s="1">
        <f t="shared" si="16"/>
        <v>1</v>
      </c>
      <c r="AU13" s="1">
        <f t="shared" si="17"/>
        <v>1</v>
      </c>
      <c r="AV13" s="1">
        <f t="shared" si="18"/>
        <v>1</v>
      </c>
      <c r="AW13">
        <f t="shared" si="19"/>
        <v>0.55555555555555558</v>
      </c>
      <c r="AY13" t="str">
        <v>05/08/2024</v>
      </c>
      <c r="AZ13">
        <v>44.6</v>
      </c>
      <c r="BA13">
        <v>21.5</v>
      </c>
      <c r="BB13">
        <f t="shared" si="21"/>
        <v>2.074418604651163</v>
      </c>
    </row>
    <row r="14" spans="1:54" x14ac:dyDescent="0.3">
      <c r="A14" s="11">
        <v>45507</v>
      </c>
      <c r="B14">
        <v>0.54464285714285698</v>
      </c>
      <c r="C14">
        <v>5346.56</v>
      </c>
      <c r="D14">
        <v>98.28</v>
      </c>
      <c r="E14">
        <v>2442.11</v>
      </c>
      <c r="F14">
        <v>82.67</v>
      </c>
      <c r="G14">
        <v>52.16</v>
      </c>
      <c r="H14" s="12">
        <f t="shared" si="0"/>
        <v>182.66153820269452</v>
      </c>
      <c r="I14" s="12">
        <f t="shared" si="1"/>
        <v>81.313470699343895</v>
      </c>
      <c r="J14" s="12">
        <f t="shared" si="4"/>
        <v>185.68097466054297</v>
      </c>
      <c r="K14" s="12">
        <f t="shared" si="5"/>
        <v>162.34771952577603</v>
      </c>
      <c r="L14" s="55">
        <v>22.783552612850201</v>
      </c>
      <c r="M14" s="55">
        <v>20.755312793709301</v>
      </c>
      <c r="N14" s="55">
        <v>256.646085174343</v>
      </c>
      <c r="O14" s="55">
        <v>4.0019447028062398</v>
      </c>
      <c r="P14" s="12">
        <f t="shared" si="2"/>
        <v>124.58449460340553</v>
      </c>
      <c r="Q14" s="12">
        <f t="shared" si="6"/>
        <v>101.66579069085788</v>
      </c>
      <c r="R14" s="12">
        <f t="shared" si="7"/>
        <v>82.125428075893751</v>
      </c>
      <c r="S14" s="12">
        <f t="shared" si="8"/>
        <v>103.65661418686192</v>
      </c>
      <c r="T14" s="55">
        <v>14.5955485324543</v>
      </c>
      <c r="U14" s="55">
        <v>13.6657172607937</v>
      </c>
      <c r="V14">
        <v>0.48783783783783802</v>
      </c>
      <c r="W14" s="12"/>
      <c r="X14" s="12"/>
      <c r="Y14" t="str">
        <v>20240628</v>
      </c>
      <c r="Z14">
        <v>63.1</v>
      </c>
      <c r="AA14">
        <v>16.899999999999999</v>
      </c>
      <c r="AB14">
        <f t="shared" si="20"/>
        <v>3.7337278106508878</v>
      </c>
      <c r="AD14" t="str">
        <v>20231229</v>
      </c>
      <c r="AE14">
        <v>0.78987216999999998</v>
      </c>
      <c r="AF14">
        <v>-5.2723750500466897</v>
      </c>
      <c r="AG14">
        <v>45.2</v>
      </c>
      <c r="AH14">
        <v>49.9</v>
      </c>
      <c r="AI14">
        <v>47.1</v>
      </c>
      <c r="AJ14">
        <v>14.7440794499618</v>
      </c>
      <c r="AK14">
        <v>55.8</v>
      </c>
      <c r="AL14">
        <v>242.69663545874101</v>
      </c>
      <c r="AM14" s="3">
        <v>0.51020408163265296</v>
      </c>
      <c r="AN14" s="1">
        <f t="shared" si="10"/>
        <v>1</v>
      </c>
      <c r="AO14" s="1">
        <f t="shared" si="11"/>
        <v>0</v>
      </c>
      <c r="AP14" s="1">
        <f t="shared" si="12"/>
        <v>0</v>
      </c>
      <c r="AQ14" s="1">
        <f t="shared" si="13"/>
        <v>0</v>
      </c>
      <c r="AR14" s="1">
        <f t="shared" si="14"/>
        <v>0</v>
      </c>
      <c r="AS14" s="1">
        <f t="shared" si="15"/>
        <v>0</v>
      </c>
      <c r="AT14" s="1">
        <f t="shared" si="16"/>
        <v>1</v>
      </c>
      <c r="AU14" s="1">
        <f t="shared" si="17"/>
        <v>1</v>
      </c>
      <c r="AV14" s="1">
        <f t="shared" si="18"/>
        <v>1</v>
      </c>
      <c r="AW14">
        <f t="shared" si="19"/>
        <v>0.44444444444444442</v>
      </c>
      <c r="AY14" t="str">
        <v>02/08/2024</v>
      </c>
      <c r="AZ14">
        <v>46.9</v>
      </c>
      <c r="BA14">
        <v>18.7</v>
      </c>
      <c r="BB14">
        <f t="shared" si="21"/>
        <v>2.5080213903743314</v>
      </c>
    </row>
    <row r="15" spans="1:54" x14ac:dyDescent="0.3">
      <c r="A15" s="11">
        <v>45506</v>
      </c>
      <c r="B15">
        <v>0.52293577981651396</v>
      </c>
      <c r="C15">
        <v>5446.68</v>
      </c>
      <c r="D15">
        <v>95.31</v>
      </c>
      <c r="E15">
        <v>2446.3000000000002</v>
      </c>
      <c r="F15">
        <v>82.21</v>
      </c>
      <c r="G15">
        <v>52.98</v>
      </c>
      <c r="H15" s="12">
        <f t="shared" si="0"/>
        <v>192.18291659964609</v>
      </c>
      <c r="I15" s="12">
        <f t="shared" si="1"/>
        <v>82.69186547347087</v>
      </c>
      <c r="J15" s="12">
        <f t="shared" si="4"/>
        <v>190.24246900012929</v>
      </c>
      <c r="K15" s="12">
        <f t="shared" si="5"/>
        <v>162.82059959714968</v>
      </c>
      <c r="L15" s="55">
        <v>22.828991344342899</v>
      </c>
      <c r="M15" s="55">
        <v>20.8483349171523</v>
      </c>
      <c r="N15" s="55">
        <v>255.40421831085399</v>
      </c>
      <c r="O15" s="55">
        <v>3.9960699540697502</v>
      </c>
      <c r="P15" s="12">
        <f t="shared" si="2"/>
        <v>124.16330450658376</v>
      </c>
      <c r="Q15" s="12">
        <f t="shared" si="6"/>
        <v>106.63934432732925</v>
      </c>
      <c r="R15" s="12">
        <f t="shared" si="7"/>
        <v>83.271641228676032</v>
      </c>
      <c r="S15" s="12">
        <f t="shared" si="8"/>
        <v>105.88798805745927</v>
      </c>
      <c r="T15" s="55">
        <v>14.6603472545806</v>
      </c>
      <c r="U15" s="55">
        <v>13.825877240635601</v>
      </c>
      <c r="V15">
        <v>0.48297002724795601</v>
      </c>
      <c r="W15" s="12"/>
      <c r="X15" s="12"/>
      <c r="Y15" t="str">
        <v>20240621</v>
      </c>
      <c r="Z15">
        <v>61.5</v>
      </c>
      <c r="AA15">
        <v>18.5</v>
      </c>
      <c r="AB15">
        <f t="shared" si="20"/>
        <v>3.3243243243243241</v>
      </c>
      <c r="AD15" t="str">
        <v>20231130</v>
      </c>
      <c r="AE15">
        <v>-0.21240318</v>
      </c>
      <c r="AF15">
        <v>-4.2152220951621997</v>
      </c>
      <c r="AG15">
        <v>49.9</v>
      </c>
      <c r="AH15">
        <v>48.8</v>
      </c>
      <c r="AI15">
        <v>46.6</v>
      </c>
      <c r="AJ15">
        <v>23.598769651401199</v>
      </c>
      <c r="AK15">
        <v>54.9</v>
      </c>
      <c r="AL15">
        <v>241.84076197886699</v>
      </c>
      <c r="AM15" s="3">
        <v>0.58567774936061401</v>
      </c>
      <c r="AN15" s="1">
        <f t="shared" si="10"/>
        <v>1</v>
      </c>
      <c r="AO15" s="1">
        <f t="shared" si="11"/>
        <v>0</v>
      </c>
      <c r="AP15" s="1">
        <f t="shared" si="12"/>
        <v>0</v>
      </c>
      <c r="AQ15" s="1">
        <f t="shared" si="13"/>
        <v>0</v>
      </c>
      <c r="AR15" s="1">
        <f t="shared" si="14"/>
        <v>0</v>
      </c>
      <c r="AS15" s="1">
        <f t="shared" si="15"/>
        <v>0</v>
      </c>
      <c r="AT15" s="1">
        <f t="shared" si="16"/>
        <v>1</v>
      </c>
      <c r="AU15" s="1">
        <f t="shared" si="17"/>
        <v>1</v>
      </c>
      <c r="AV15" s="1">
        <f t="shared" si="18"/>
        <v>1</v>
      </c>
      <c r="AW15">
        <f t="shared" si="19"/>
        <v>0.44444444444444442</v>
      </c>
      <c r="AY15" t="str">
        <v>01/08/2024</v>
      </c>
      <c r="AZ15">
        <v>46.9</v>
      </c>
      <c r="BA15">
        <v>18.7</v>
      </c>
      <c r="BB15">
        <f t="shared" si="21"/>
        <v>2.5080213903743314</v>
      </c>
    </row>
    <row r="16" spans="1:54" x14ac:dyDescent="0.3">
      <c r="A16" s="11">
        <v>45504</v>
      </c>
      <c r="B16">
        <v>0.50591016548463397</v>
      </c>
      <c r="C16">
        <v>5522.3</v>
      </c>
      <c r="D16">
        <v>94.81</v>
      </c>
      <c r="E16">
        <v>2447.73</v>
      </c>
      <c r="F16">
        <v>82.34</v>
      </c>
      <c r="G16">
        <v>54.28</v>
      </c>
      <c r="H16" s="12">
        <f t="shared" si="0"/>
        <v>195.89857881888139</v>
      </c>
      <c r="I16" s="12">
        <f t="shared" si="1"/>
        <v>83.790302287188325</v>
      </c>
      <c r="J16" s="12">
        <f t="shared" si="4"/>
        <v>192.57547274310934</v>
      </c>
      <c r="K16" s="12">
        <f t="shared" si="5"/>
        <v>161.16761302402261</v>
      </c>
      <c r="L16" s="55">
        <v>22.7426882926279</v>
      </c>
      <c r="M16" s="55">
        <v>20.587743800807999</v>
      </c>
      <c r="N16" s="55">
        <v>254.689361088043</v>
      </c>
      <c r="O16" s="55">
        <v>3.95139175825634</v>
      </c>
      <c r="P16" s="12">
        <f t="shared" si="2"/>
        <v>125.2277618787669</v>
      </c>
      <c r="Q16" s="12">
        <f t="shared" si="6"/>
        <v>109.84954285305052</v>
      </c>
      <c r="R16" s="12">
        <f t="shared" si="7"/>
        <v>85.263889535195048</v>
      </c>
      <c r="S16" s="12">
        <f t="shared" si="8"/>
        <v>108.31102149384141</v>
      </c>
      <c r="T16" s="55">
        <v>14.6184434310266</v>
      </c>
      <c r="U16" s="55">
        <v>13.708398136837401</v>
      </c>
      <c r="V16">
        <v>0.48332198774676599</v>
      </c>
      <c r="W16" s="12"/>
      <c r="X16" s="12"/>
      <c r="Y16" t="str">
        <v>20240614</v>
      </c>
      <c r="Z16">
        <v>61.2</v>
      </c>
      <c r="AA16">
        <v>17.899999999999999</v>
      </c>
      <c r="AB16">
        <f t="shared" si="20"/>
        <v>3.4189944134078218</v>
      </c>
      <c r="AD16" t="str">
        <v>20231031</v>
      </c>
      <c r="AE16">
        <v>-0.83726299999999998</v>
      </c>
      <c r="AF16">
        <v>-2.48124116263714</v>
      </c>
      <c r="AG16">
        <v>45.1</v>
      </c>
      <c r="AH16">
        <v>50</v>
      </c>
      <c r="AI16">
        <v>46.9</v>
      </c>
      <c r="AJ16">
        <v>27.7865821447438</v>
      </c>
      <c r="AK16">
        <v>54.5</v>
      </c>
      <c r="AL16">
        <v>239.96087301432601</v>
      </c>
      <c r="AM16" s="3">
        <v>0.49302325581395401</v>
      </c>
      <c r="AN16" s="1">
        <f t="shared" si="10"/>
        <v>0</v>
      </c>
      <c r="AO16" s="1">
        <f t="shared" si="11"/>
        <v>0</v>
      </c>
      <c r="AP16" s="1">
        <f t="shared" si="12"/>
        <v>0</v>
      </c>
      <c r="AQ16" s="1">
        <f t="shared" si="13"/>
        <v>0</v>
      </c>
      <c r="AR16" s="1">
        <f t="shared" si="14"/>
        <v>0</v>
      </c>
      <c r="AS16" s="1">
        <f t="shared" si="15"/>
        <v>0</v>
      </c>
      <c r="AT16" s="1">
        <f t="shared" si="16"/>
        <v>1</v>
      </c>
      <c r="AU16" s="1">
        <f t="shared" si="17"/>
        <v>1</v>
      </c>
      <c r="AV16" s="1">
        <f t="shared" si="18"/>
        <v>0</v>
      </c>
      <c r="AW16">
        <f t="shared" si="19"/>
        <v>0.22222222222222221</v>
      </c>
      <c r="AY16" t="str">
        <v>31/07/2024</v>
      </c>
      <c r="AZ16">
        <v>46.9</v>
      </c>
      <c r="BA16">
        <v>18.7</v>
      </c>
      <c r="BB16">
        <f t="shared" si="21"/>
        <v>2.5080213903743314</v>
      </c>
    </row>
    <row r="17" spans="1:54" x14ac:dyDescent="0.3">
      <c r="A17" s="11">
        <v>45504</v>
      </c>
      <c r="B17">
        <v>0.5</v>
      </c>
      <c r="C17">
        <v>5436.44</v>
      </c>
      <c r="D17">
        <v>93.85</v>
      </c>
      <c r="E17">
        <v>2410.73</v>
      </c>
      <c r="F17">
        <v>82.17</v>
      </c>
      <c r="G17">
        <v>53.41</v>
      </c>
      <c r="H17" s="12">
        <f t="shared" si="0"/>
        <v>194.81456537934534</v>
      </c>
      <c r="I17" s="12">
        <f t="shared" si="1"/>
        <v>83.75300074959496</v>
      </c>
      <c r="J17" s="12">
        <f t="shared" si="4"/>
        <v>189.96824556853031</v>
      </c>
      <c r="K17" s="12">
        <f t="shared" si="5"/>
        <v>161.24753710784211</v>
      </c>
      <c r="L17" s="55">
        <v>22.645608686869998</v>
      </c>
      <c r="M17" s="55">
        <v>20.270900166832501</v>
      </c>
      <c r="N17" s="55">
        <v>253.92518959127901</v>
      </c>
      <c r="O17" s="55">
        <v>3.9610243112655699</v>
      </c>
      <c r="P17" s="12">
        <f t="shared" si="2"/>
        <v>124.55005149250336</v>
      </c>
      <c r="Q17" s="12">
        <f t="shared" si="6"/>
        <v>109.18786488652989</v>
      </c>
      <c r="R17" s="12">
        <f t="shared" si="7"/>
        <v>85.183728551094063</v>
      </c>
      <c r="S17" s="12">
        <f t="shared" si="8"/>
        <v>106.79241173567492</v>
      </c>
      <c r="T17" s="55">
        <v>14.5541224722437</v>
      </c>
      <c r="U17" s="55">
        <v>13.515153590516499</v>
      </c>
      <c r="V17">
        <v>0.486878453038674</v>
      </c>
      <c r="W17" s="12"/>
      <c r="X17" s="12"/>
      <c r="Y17" t="str">
        <v>20240607</v>
      </c>
      <c r="Z17">
        <v>60.3</v>
      </c>
      <c r="AA17">
        <v>17.600000000000001</v>
      </c>
      <c r="AB17">
        <f t="shared" si="20"/>
        <v>3.4261363636363633</v>
      </c>
      <c r="AD17" t="str">
        <v>20230929</v>
      </c>
      <c r="AE17">
        <v>-0.21683991</v>
      </c>
      <c r="AF17">
        <v>-4.0899504882274504</v>
      </c>
      <c r="AG17">
        <v>43.8</v>
      </c>
      <c r="AH17">
        <v>51.9</v>
      </c>
      <c r="AI17">
        <v>48.6</v>
      </c>
      <c r="AJ17">
        <v>28.938307030129099</v>
      </c>
      <c r="AK17">
        <v>58.1</v>
      </c>
      <c r="AL17">
        <v>238.571618250912</v>
      </c>
      <c r="AM17" s="3">
        <v>0.476331360946746</v>
      </c>
      <c r="AN17" s="1">
        <f t="shared" si="10"/>
        <v>0</v>
      </c>
      <c r="AO17" s="1">
        <f t="shared" si="11"/>
        <v>0</v>
      </c>
      <c r="AP17" s="1">
        <f t="shared" si="12"/>
        <v>0</v>
      </c>
      <c r="AQ17" s="1">
        <f t="shared" si="13"/>
        <v>1</v>
      </c>
      <c r="AR17" s="1">
        <f t="shared" si="14"/>
        <v>0</v>
      </c>
      <c r="AS17" s="1">
        <f t="shared" si="15"/>
        <v>0</v>
      </c>
      <c r="AT17" s="1">
        <f t="shared" si="16"/>
        <v>1</v>
      </c>
      <c r="AU17" s="1">
        <f t="shared" si="17"/>
        <v>1</v>
      </c>
      <c r="AV17" s="1">
        <f t="shared" si="18"/>
        <v>0</v>
      </c>
      <c r="AW17">
        <f t="shared" si="19"/>
        <v>0.33333333333333331</v>
      </c>
      <c r="AY17" t="str">
        <v>30/07/2024</v>
      </c>
      <c r="AZ17">
        <v>46.9</v>
      </c>
      <c r="BA17">
        <v>18.7</v>
      </c>
      <c r="BB17">
        <f t="shared" si="21"/>
        <v>2.5080213903743314</v>
      </c>
    </row>
    <row r="18" spans="1:54" x14ac:dyDescent="0.3">
      <c r="A18" s="11">
        <v>45503</v>
      </c>
      <c r="B18">
        <v>0.48792270531401</v>
      </c>
      <c r="C18">
        <v>5463.54</v>
      </c>
      <c r="D18">
        <v>93.49</v>
      </c>
      <c r="E18">
        <v>2384.34</v>
      </c>
      <c r="F18">
        <v>82.14</v>
      </c>
      <c r="G18">
        <v>53.37</v>
      </c>
      <c r="H18" s="12">
        <f t="shared" si="0"/>
        <v>196.5463020740724</v>
      </c>
      <c r="I18" s="12">
        <f t="shared" si="1"/>
        <v>85.117278051638777</v>
      </c>
      <c r="J18" s="12">
        <f t="shared" si="4"/>
        <v>190.98531573884691</v>
      </c>
      <c r="K18" s="12">
        <f t="shared" si="5"/>
        <v>162.17348914872011</v>
      </c>
      <c r="L18" s="55">
        <v>22.664654204016099</v>
      </c>
      <c r="M18" s="55">
        <v>20.246085283211201</v>
      </c>
      <c r="N18" s="55">
        <v>252.831408625286</v>
      </c>
      <c r="O18" s="55">
        <v>3.9087682374370698</v>
      </c>
      <c r="P18" s="12">
        <f t="shared" si="2"/>
        <v>125.68661146882296</v>
      </c>
      <c r="Q18" s="12">
        <f t="shared" si="6"/>
        <v>109.52753106211988</v>
      </c>
      <c r="R18" s="12">
        <f t="shared" si="7"/>
        <v>86.071866932439491</v>
      </c>
      <c r="S18" s="12">
        <f t="shared" si="8"/>
        <v>106.751392018575</v>
      </c>
      <c r="T18" s="55">
        <v>14.548592144606101</v>
      </c>
      <c r="U18" s="55">
        <v>13.472283991411</v>
      </c>
      <c r="V18">
        <v>0.48393854748603399</v>
      </c>
      <c r="W18" s="12"/>
      <c r="X18" s="12"/>
      <c r="Y18" t="str">
        <v>20240531</v>
      </c>
      <c r="Z18">
        <v>57.6</v>
      </c>
      <c r="AA18">
        <v>18.2</v>
      </c>
      <c r="AB18">
        <f t="shared" si="20"/>
        <v>3.1648351648351651</v>
      </c>
      <c r="AD18" t="str">
        <v>20230831</v>
      </c>
      <c r="AE18">
        <v>-7.2889194000000004E-2</v>
      </c>
      <c r="AF18">
        <v>-8.4568783784364108</v>
      </c>
      <c r="AG18">
        <v>48.4</v>
      </c>
      <c r="AH18">
        <v>49.9</v>
      </c>
      <c r="AI18">
        <v>47.6</v>
      </c>
      <c r="AJ18">
        <v>27.4669020300088</v>
      </c>
      <c r="AK18">
        <v>57.1</v>
      </c>
      <c r="AL18">
        <v>236.61707156052799</v>
      </c>
      <c r="AM18" s="3">
        <v>0.57908163265306101</v>
      </c>
      <c r="AN18" s="1">
        <f t="shared" si="10"/>
        <v>0</v>
      </c>
      <c r="AO18" s="1">
        <f t="shared" si="11"/>
        <v>0</v>
      </c>
      <c r="AP18" s="1">
        <f t="shared" si="12"/>
        <v>0</v>
      </c>
      <c r="AQ18" s="1">
        <f t="shared" si="13"/>
        <v>0</v>
      </c>
      <c r="AR18" s="1">
        <f t="shared" si="14"/>
        <v>0</v>
      </c>
      <c r="AS18" s="1">
        <f t="shared" si="15"/>
        <v>0</v>
      </c>
      <c r="AT18" s="1">
        <f t="shared" si="16"/>
        <v>1</v>
      </c>
      <c r="AU18" s="1">
        <f t="shared" si="17"/>
        <v>1</v>
      </c>
      <c r="AV18" s="1">
        <f t="shared" si="18"/>
        <v>1</v>
      </c>
      <c r="AW18">
        <f t="shared" si="19"/>
        <v>0.33333333333333331</v>
      </c>
      <c r="AY18" t="str">
        <v>29/07/2024</v>
      </c>
      <c r="AZ18">
        <v>46.9</v>
      </c>
      <c r="BA18">
        <v>18.7</v>
      </c>
      <c r="BB18">
        <f t="shared" si="21"/>
        <v>2.5080213903743314</v>
      </c>
    </row>
    <row r="19" spans="1:54" x14ac:dyDescent="0.3">
      <c r="A19" s="11">
        <v>45500</v>
      </c>
      <c r="B19">
        <v>0.47330097087378598</v>
      </c>
      <c r="C19">
        <v>5459.1</v>
      </c>
      <c r="D19">
        <v>92.99</v>
      </c>
      <c r="E19">
        <v>2386</v>
      </c>
      <c r="F19">
        <v>82.13</v>
      </c>
      <c r="G19">
        <v>53.62</v>
      </c>
      <c r="H19" s="12">
        <f t="shared" si="0"/>
        <v>197.44737317732796</v>
      </c>
      <c r="I19" s="12">
        <f t="shared" si="1"/>
        <v>84.989025707455994</v>
      </c>
      <c r="J19" s="12">
        <f t="shared" si="4"/>
        <v>190.85332869768072</v>
      </c>
      <c r="K19" s="12">
        <f t="shared" si="5"/>
        <v>161.29030212117777</v>
      </c>
      <c r="L19" s="55">
        <v>22.568397605222899</v>
      </c>
      <c r="M19" s="55">
        <v>19.830852742006499</v>
      </c>
      <c r="N19" s="55">
        <v>251.408002960582</v>
      </c>
      <c r="O19" s="55">
        <v>3.8849805473780199</v>
      </c>
      <c r="P19" s="12">
        <f t="shared" si="2"/>
        <v>125.74461148602532</v>
      </c>
      <c r="Q19" s="12">
        <f t="shared" si="6"/>
        <v>110.63826865211983</v>
      </c>
      <c r="R19" s="12">
        <f t="shared" si="7"/>
        <v>86.414649159185487</v>
      </c>
      <c r="S19" s="12">
        <f t="shared" si="8"/>
        <v>107.26456689958312</v>
      </c>
      <c r="T19" s="55">
        <v>14.472709747819</v>
      </c>
      <c r="U19" s="55">
        <v>13.1998206644551</v>
      </c>
      <c r="V19">
        <v>0.48378191856452701</v>
      </c>
      <c r="W19" s="12"/>
      <c r="X19" s="12"/>
      <c r="Y19" t="str">
        <v>20240524</v>
      </c>
      <c r="Z19">
        <v>58.2</v>
      </c>
      <c r="AA19">
        <v>17.899999999999999</v>
      </c>
      <c r="AB19">
        <f t="shared" si="20"/>
        <v>3.2513966480446932</v>
      </c>
      <c r="AD19" t="str">
        <v>20230731</v>
      </c>
      <c r="AE19">
        <v>2.1057637000000001E-2</v>
      </c>
      <c r="AF19">
        <v>-7.0402623793568102</v>
      </c>
      <c r="AG19">
        <v>42.6</v>
      </c>
      <c r="AH19">
        <v>48.4</v>
      </c>
      <c r="AI19">
        <v>46.5</v>
      </c>
      <c r="AJ19">
        <v>27.679470579772701</v>
      </c>
      <c r="AK19">
        <v>57</v>
      </c>
      <c r="AL19">
        <v>232.324896258124</v>
      </c>
      <c r="AM19" s="3">
        <v>0.52777777777777801</v>
      </c>
      <c r="AN19" s="1">
        <f t="shared" si="10"/>
        <v>0</v>
      </c>
      <c r="AO19" s="1">
        <f t="shared" si="11"/>
        <v>0</v>
      </c>
      <c r="AP19" s="1">
        <f t="shared" si="12"/>
        <v>0</v>
      </c>
      <c r="AQ19" s="1">
        <f t="shared" si="13"/>
        <v>0</v>
      </c>
      <c r="AR19" s="1">
        <f t="shared" si="14"/>
        <v>0</v>
      </c>
      <c r="AS19" s="1">
        <f t="shared" si="15"/>
        <v>0</v>
      </c>
      <c r="AT19" s="1">
        <f t="shared" si="16"/>
        <v>1</v>
      </c>
      <c r="AU19" s="1">
        <f t="shared" si="17"/>
        <v>1</v>
      </c>
      <c r="AV19" s="1">
        <f t="shared" si="18"/>
        <v>1</v>
      </c>
      <c r="AW19">
        <f t="shared" si="19"/>
        <v>0.33333333333333331</v>
      </c>
      <c r="AY19" t="str">
        <v>26/07/2024</v>
      </c>
      <c r="AZ19">
        <v>59.4</v>
      </c>
      <c r="BA19">
        <v>15.6</v>
      </c>
      <c r="BB19">
        <f t="shared" si="21"/>
        <v>3.8076923076923075</v>
      </c>
    </row>
    <row r="20" spans="1:54" x14ac:dyDescent="0.3">
      <c r="A20" s="11">
        <v>45499</v>
      </c>
      <c r="B20">
        <v>0.45232273838630799</v>
      </c>
      <c r="C20">
        <v>5399.22</v>
      </c>
      <c r="D20">
        <v>92.27</v>
      </c>
      <c r="E20">
        <v>2364.3200000000002</v>
      </c>
      <c r="F20">
        <v>82.02</v>
      </c>
      <c r="G20">
        <v>52.98</v>
      </c>
      <c r="H20" s="12">
        <f t="shared" si="0"/>
        <v>196.80043022806856</v>
      </c>
      <c r="I20" s="12">
        <f t="shared" si="1"/>
        <v>84.826088761556065</v>
      </c>
      <c r="J20" s="12">
        <f t="shared" si="4"/>
        <v>189.01059737199685</v>
      </c>
      <c r="K20" s="12">
        <f t="shared" si="5"/>
        <v>161.45006331211067</v>
      </c>
      <c r="L20" s="55">
        <v>22.8104544384774</v>
      </c>
      <c r="M20" s="55">
        <v>20.527143098161499</v>
      </c>
      <c r="N20" s="55">
        <v>250.47644388877401</v>
      </c>
      <c r="O20" s="55">
        <v>3.8409736800089802</v>
      </c>
      <c r="P20" s="12">
        <f t="shared" si="2"/>
        <v>126.72521987566064</v>
      </c>
      <c r="Q20" s="12">
        <f t="shared" si="6"/>
        <v>110.1671011576629</v>
      </c>
      <c r="R20" s="12">
        <f t="shared" si="7"/>
        <v>86.163879986756328</v>
      </c>
      <c r="S20" s="12">
        <f t="shared" si="8"/>
        <v>106.12490282882067</v>
      </c>
      <c r="T20" s="55">
        <v>14.5935157221978</v>
      </c>
      <c r="U20" s="55">
        <v>13.5613032163212</v>
      </c>
      <c r="V20">
        <v>0.48130193905817198</v>
      </c>
      <c r="W20" s="12"/>
      <c r="X20" s="12"/>
      <c r="Y20" t="str">
        <v>20240517</v>
      </c>
      <c r="Z20">
        <v>59.4</v>
      </c>
      <c r="AA20">
        <v>17.2</v>
      </c>
      <c r="AB20">
        <f t="shared" si="20"/>
        <v>3.4534883720930232</v>
      </c>
      <c r="AD20" t="str">
        <v>20230630</v>
      </c>
      <c r="AE20">
        <v>-0.42938113</v>
      </c>
      <c r="AF20">
        <v>-14.3456205413212</v>
      </c>
      <c r="AG20">
        <v>41.8</v>
      </c>
      <c r="AH20">
        <v>47.1</v>
      </c>
      <c r="AI20">
        <v>46.4</v>
      </c>
      <c r="AJ20">
        <v>29.1527292777063</v>
      </c>
      <c r="AK20">
        <v>58.2</v>
      </c>
      <c r="AL20">
        <v>230.21328911433</v>
      </c>
      <c r="AM20" s="3">
        <v>0.48295454545454503</v>
      </c>
      <c r="AN20" s="1">
        <f t="shared" si="10"/>
        <v>0</v>
      </c>
      <c r="AO20" s="1">
        <f t="shared" si="11"/>
        <v>0</v>
      </c>
      <c r="AP20" s="1">
        <f t="shared" si="12"/>
        <v>0</v>
      </c>
      <c r="AQ20" s="1">
        <f t="shared" si="13"/>
        <v>0</v>
      </c>
      <c r="AR20" s="1">
        <f t="shared" si="14"/>
        <v>0</v>
      </c>
      <c r="AS20" s="1">
        <f t="shared" si="15"/>
        <v>0</v>
      </c>
      <c r="AT20" s="1">
        <f t="shared" si="16"/>
        <v>1</v>
      </c>
      <c r="AU20" s="1">
        <f t="shared" si="17"/>
        <v>1</v>
      </c>
      <c r="AV20" s="1">
        <f t="shared" si="18"/>
        <v>0</v>
      </c>
      <c r="AW20">
        <f t="shared" si="19"/>
        <v>0.22222222222222221</v>
      </c>
      <c r="AY20" t="str">
        <v>25/07/2024</v>
      </c>
      <c r="AZ20">
        <v>59.4</v>
      </c>
      <c r="BA20">
        <v>15.6</v>
      </c>
      <c r="BB20">
        <f t="shared" si="21"/>
        <v>3.8076923076923075</v>
      </c>
    </row>
    <row r="21" spans="1:54" x14ac:dyDescent="0.3">
      <c r="A21" s="11">
        <v>45498</v>
      </c>
      <c r="B21">
        <v>0.44801980198019797</v>
      </c>
      <c r="C21">
        <v>5427.13</v>
      </c>
      <c r="D21">
        <v>91.52</v>
      </c>
      <c r="E21">
        <v>2397.4</v>
      </c>
      <c r="F21">
        <v>82.01</v>
      </c>
      <c r="G21">
        <v>53.27</v>
      </c>
      <c r="H21" s="12">
        <f t="shared" si="0"/>
        <v>199.46076033429335</v>
      </c>
      <c r="I21" s="12">
        <f t="shared" si="1"/>
        <v>84.098168639214677</v>
      </c>
      <c r="J21" s="12">
        <f t="shared" si="4"/>
        <v>190.01093228090065</v>
      </c>
      <c r="K21" s="12">
        <f t="shared" si="5"/>
        <v>161.40143573856105</v>
      </c>
      <c r="L21" s="55">
        <v>22.910146467287401</v>
      </c>
      <c r="M21" s="55">
        <v>20.820201008302298</v>
      </c>
      <c r="N21" s="55">
        <v>250.74664348959701</v>
      </c>
      <c r="O21" s="55">
        <v>3.9100183714911099</v>
      </c>
      <c r="P21" s="12">
        <f t="shared" si="2"/>
        <v>124.65828261090853</v>
      </c>
      <c r="Q21" s="12">
        <f t="shared" si="6"/>
        <v>111.6904352517732</v>
      </c>
      <c r="R21" s="12">
        <f t="shared" si="7"/>
        <v>85.450003589328588</v>
      </c>
      <c r="S21" s="12">
        <f t="shared" si="8"/>
        <v>106.71888960933289</v>
      </c>
      <c r="T21" s="55">
        <v>14.616076926607599</v>
      </c>
      <c r="U21" s="55">
        <v>13.6099958890217</v>
      </c>
      <c r="V21">
        <v>0.48573416840640199</v>
      </c>
      <c r="W21" s="12"/>
      <c r="X21" s="12"/>
      <c r="Y21" t="str">
        <v>20240510</v>
      </c>
      <c r="Z21">
        <v>56.5</v>
      </c>
      <c r="AA21">
        <v>17.7</v>
      </c>
      <c r="AB21">
        <f t="shared" si="20"/>
        <v>3.1920903954802262</v>
      </c>
      <c r="AD21" t="str">
        <v>20230531</v>
      </c>
      <c r="AE21">
        <v>1.4567929E-2</v>
      </c>
      <c r="AF21">
        <v>-16.5407503924542</v>
      </c>
      <c r="AG21">
        <v>44.2</v>
      </c>
      <c r="AH21">
        <v>50.5</v>
      </c>
      <c r="AI21">
        <v>46.6</v>
      </c>
      <c r="AJ21">
        <v>26.1909141070443</v>
      </c>
      <c r="AK21">
        <v>52.9</v>
      </c>
      <c r="AL21">
        <v>229.28175920899801</v>
      </c>
      <c r="AM21" s="3">
        <v>0.58024691358024705</v>
      </c>
      <c r="AN21" s="1">
        <f t="shared" si="10"/>
        <v>0</v>
      </c>
      <c r="AO21" s="1">
        <f t="shared" si="11"/>
        <v>0</v>
      </c>
      <c r="AP21" s="1">
        <f t="shared" si="12"/>
        <v>0</v>
      </c>
      <c r="AQ21" s="1">
        <f t="shared" si="13"/>
        <v>1</v>
      </c>
      <c r="AR21" s="1">
        <f t="shared" si="14"/>
        <v>0</v>
      </c>
      <c r="AS21" s="1">
        <f t="shared" si="15"/>
        <v>0</v>
      </c>
      <c r="AT21" s="1">
        <f t="shared" si="16"/>
        <v>1</v>
      </c>
      <c r="AU21" s="1">
        <f t="shared" si="17"/>
        <v>1</v>
      </c>
      <c r="AV21" s="1">
        <f t="shared" si="18"/>
        <v>1</v>
      </c>
      <c r="AW21">
        <f t="shared" si="19"/>
        <v>0.44444444444444442</v>
      </c>
      <c r="AY21" t="str">
        <v>24/07/2024</v>
      </c>
      <c r="AZ21">
        <v>59.4</v>
      </c>
      <c r="BA21">
        <v>15.6</v>
      </c>
      <c r="BB21">
        <f t="shared" si="21"/>
        <v>3.8076923076923075</v>
      </c>
    </row>
    <row r="22" spans="1:54" x14ac:dyDescent="0.3">
      <c r="A22" s="11">
        <v>45497</v>
      </c>
      <c r="B22">
        <v>0.45771144278607001</v>
      </c>
      <c r="C22">
        <v>5555.74</v>
      </c>
      <c r="D22">
        <v>92.52</v>
      </c>
      <c r="E22">
        <v>2409.63</v>
      </c>
      <c r="F22">
        <v>81.97</v>
      </c>
      <c r="G22">
        <v>53.95</v>
      </c>
      <c r="H22" s="12">
        <f t="shared" si="0"/>
        <v>201.95297262724046</v>
      </c>
      <c r="I22" s="12">
        <f t="shared" si="1"/>
        <v>85.646098839485674</v>
      </c>
      <c r="J22" s="12">
        <f t="shared" si="4"/>
        <v>194.61095429974256</v>
      </c>
      <c r="K22" s="12">
        <f t="shared" si="5"/>
        <v>163.12151430273562</v>
      </c>
      <c r="L22" s="55">
        <v>23.004254016380202</v>
      </c>
      <c r="M22" s="55">
        <v>21.087989174341299</v>
      </c>
      <c r="N22" s="55">
        <v>249.894901752034</v>
      </c>
      <c r="O22" s="55">
        <v>3.89921911973093</v>
      </c>
      <c r="P22" s="12">
        <f t="shared" si="2"/>
        <v>124.57870094430443</v>
      </c>
      <c r="Q22" s="12">
        <f t="shared" si="6"/>
        <v>111.89136858130311</v>
      </c>
      <c r="R22" s="12">
        <f t="shared" si="7"/>
        <v>86.098219449682276</v>
      </c>
      <c r="S22" s="12">
        <f t="shared" si="8"/>
        <v>108.13461465200051</v>
      </c>
      <c r="T22" s="55">
        <v>14.6553363433736</v>
      </c>
      <c r="U22" s="55">
        <v>13.720972233470199</v>
      </c>
      <c r="V22">
        <v>0.47470547470547497</v>
      </c>
      <c r="W22" s="12"/>
      <c r="X22" s="12"/>
      <c r="Y22" t="str">
        <v>20240503</v>
      </c>
      <c r="Z22">
        <v>50</v>
      </c>
      <c r="AA22">
        <v>18.7</v>
      </c>
      <c r="AB22">
        <f t="shared" si="20"/>
        <v>2.6737967914438503</v>
      </c>
      <c r="AD22" t="str">
        <v>20230428</v>
      </c>
      <c r="AE22">
        <v>0.31262633000000001</v>
      </c>
      <c r="AF22">
        <v>-17.934544732335699</v>
      </c>
      <c r="AG22">
        <v>53.2</v>
      </c>
      <c r="AH22">
        <v>48.7</v>
      </c>
      <c r="AI22">
        <v>47</v>
      </c>
      <c r="AJ22">
        <v>20.1553099202463</v>
      </c>
      <c r="AK22">
        <v>53.3</v>
      </c>
      <c r="AL22">
        <v>227.11162012317101</v>
      </c>
      <c r="AM22" s="3">
        <v>0.5</v>
      </c>
      <c r="AN22" s="1">
        <f t="shared" si="10"/>
        <v>0</v>
      </c>
      <c r="AO22" s="1">
        <f t="shared" si="11"/>
        <v>0</v>
      </c>
      <c r="AP22" s="1">
        <f t="shared" si="12"/>
        <v>1</v>
      </c>
      <c r="AQ22" s="1">
        <f t="shared" si="13"/>
        <v>0</v>
      </c>
      <c r="AR22" s="1">
        <f t="shared" si="14"/>
        <v>0</v>
      </c>
      <c r="AS22" s="1">
        <f t="shared" si="15"/>
        <v>0</v>
      </c>
      <c r="AT22" s="1">
        <f t="shared" si="16"/>
        <v>1</v>
      </c>
      <c r="AU22" s="1">
        <f t="shared" si="17"/>
        <v>1</v>
      </c>
      <c r="AV22" s="1">
        <f t="shared" si="18"/>
        <v>0</v>
      </c>
      <c r="AW22">
        <f t="shared" si="19"/>
        <v>0.33333333333333331</v>
      </c>
      <c r="AY22" t="str">
        <v>23/07/2024</v>
      </c>
      <c r="AZ22">
        <v>59.4</v>
      </c>
      <c r="BA22">
        <v>15.6</v>
      </c>
      <c r="BB22">
        <f t="shared" si="21"/>
        <v>3.8076923076923075</v>
      </c>
    </row>
    <row r="23" spans="1:54" x14ac:dyDescent="0.3">
      <c r="A23" s="11">
        <v>45496</v>
      </c>
      <c r="B23">
        <v>0.44871794871794901</v>
      </c>
      <c r="C23">
        <v>5564.41</v>
      </c>
      <c r="D23">
        <v>92.65</v>
      </c>
      <c r="E23">
        <v>2396.54</v>
      </c>
      <c r="F23">
        <v>81.93</v>
      </c>
      <c r="G23">
        <v>54.3</v>
      </c>
      <c r="H23" s="12">
        <f t="shared" si="0"/>
        <v>201.98427748654635</v>
      </c>
      <c r="I23" s="12">
        <f t="shared" si="1"/>
        <v>86.251598671185747</v>
      </c>
      <c r="J23" s="12">
        <f t="shared" si="4"/>
        <v>195.0100107587657</v>
      </c>
      <c r="K23" s="12">
        <f t="shared" si="5"/>
        <v>162.32812657200105</v>
      </c>
      <c r="L23" s="55">
        <v>23.0125572160199</v>
      </c>
      <c r="M23" s="55">
        <v>21.0442854175263</v>
      </c>
      <c r="N23" s="55">
        <v>249.419091386867</v>
      </c>
      <c r="O23" s="55">
        <v>3.8725308538135201</v>
      </c>
      <c r="P23" s="12">
        <f t="shared" si="2"/>
        <v>125.20271271778704</v>
      </c>
      <c r="Q23" s="12">
        <f t="shared" si="6"/>
        <v>112.45844502847699</v>
      </c>
      <c r="R23" s="12">
        <f t="shared" si="7"/>
        <v>87.135807665597369</v>
      </c>
      <c r="S23" s="12">
        <f t="shared" si="8"/>
        <v>108.88964388341637</v>
      </c>
      <c r="T23" s="55">
        <v>14.6700875683039</v>
      </c>
      <c r="U23" s="55">
        <v>13.752184046621201</v>
      </c>
      <c r="V23">
        <v>0.47445766270119</v>
      </c>
      <c r="W23" s="12"/>
      <c r="X23" s="12"/>
      <c r="Y23" t="str">
        <v>20240426</v>
      </c>
      <c r="Z23">
        <v>47</v>
      </c>
      <c r="AA23">
        <v>19.7</v>
      </c>
      <c r="AB23">
        <f t="shared" si="20"/>
        <v>2.3857868020304571</v>
      </c>
      <c r="AD23" t="str">
        <v>20230331</v>
      </c>
      <c r="AE23">
        <v>0.13742631999999999</v>
      </c>
      <c r="AF23">
        <v>-16.611976844413501</v>
      </c>
      <c r="AG23">
        <v>49.2</v>
      </c>
      <c r="AH23">
        <v>48</v>
      </c>
      <c r="AI23">
        <v>46.5</v>
      </c>
      <c r="AJ23">
        <v>9.1755577109602395</v>
      </c>
      <c r="AK23">
        <v>55.4</v>
      </c>
      <c r="AL23">
        <v>224.977926578519</v>
      </c>
      <c r="AM23" s="3">
        <v>0.46086956521739098</v>
      </c>
      <c r="AN23" s="1">
        <f t="shared" si="10"/>
        <v>0</v>
      </c>
      <c r="AO23" s="1">
        <f t="shared" si="11"/>
        <v>0</v>
      </c>
      <c r="AP23" s="1">
        <f t="shared" si="12"/>
        <v>0</v>
      </c>
      <c r="AQ23" s="1">
        <f t="shared" si="13"/>
        <v>0</v>
      </c>
      <c r="AR23" s="1">
        <f t="shared" si="14"/>
        <v>0</v>
      </c>
      <c r="AS23" s="1">
        <f t="shared" si="15"/>
        <v>0</v>
      </c>
      <c r="AT23" s="1">
        <f t="shared" si="16"/>
        <v>1</v>
      </c>
      <c r="AU23" s="1">
        <f t="shared" si="17"/>
        <v>0</v>
      </c>
      <c r="AV23" s="1">
        <f t="shared" si="18"/>
        <v>0</v>
      </c>
      <c r="AW23">
        <f t="shared" si="19"/>
        <v>0.1111111111111111</v>
      </c>
      <c r="AY23" t="str">
        <v>22/07/2024</v>
      </c>
      <c r="AZ23">
        <v>59.4</v>
      </c>
      <c r="BA23">
        <v>15.6</v>
      </c>
      <c r="BB23">
        <f t="shared" si="21"/>
        <v>3.8076923076923075</v>
      </c>
    </row>
    <row r="24" spans="1:54" x14ac:dyDescent="0.3">
      <c r="A24" s="11">
        <v>45493</v>
      </c>
      <c r="B24">
        <v>0.45478036175710601</v>
      </c>
      <c r="C24">
        <v>5505</v>
      </c>
      <c r="D24">
        <v>92.92</v>
      </c>
      <c r="E24">
        <v>2398.84</v>
      </c>
      <c r="F24">
        <v>81.92</v>
      </c>
      <c r="G24">
        <v>53.8</v>
      </c>
      <c r="H24" s="12">
        <f t="shared" si="0"/>
        <v>199.25493664097104</v>
      </c>
      <c r="I24" s="12">
        <f t="shared" si="1"/>
        <v>85.249844456423133</v>
      </c>
      <c r="J24" s="12">
        <f t="shared" si="4"/>
        <v>192.95123326470772</v>
      </c>
      <c r="K24" s="12">
        <f t="shared" si="5"/>
        <v>162.08526984096545</v>
      </c>
      <c r="L24" s="55">
        <v>22.9486492146027</v>
      </c>
      <c r="M24" s="55">
        <v>20.6275809611456</v>
      </c>
      <c r="N24" s="55">
        <v>248.71756907276401</v>
      </c>
      <c r="O24" s="55">
        <v>3.9036245281505502</v>
      </c>
      <c r="P24" s="12">
        <f t="shared" si="2"/>
        <v>123.86669984161276</v>
      </c>
      <c r="Q24" s="12">
        <f t="shared" si="6"/>
        <v>111.10305380586306</v>
      </c>
      <c r="R24" s="12">
        <f t="shared" si="7"/>
        <v>86.251515977581846</v>
      </c>
      <c r="S24" s="12">
        <f t="shared" si="8"/>
        <v>107.90002691915392</v>
      </c>
      <c r="T24" s="55">
        <v>14.6370209157866</v>
      </c>
      <c r="U24" s="55">
        <v>13.551097972783801</v>
      </c>
      <c r="V24">
        <v>0.47983310152990299</v>
      </c>
      <c r="W24" s="12"/>
      <c r="X24" s="12"/>
      <c r="Y24" t="str">
        <v>20240419</v>
      </c>
      <c r="Z24">
        <v>46.2</v>
      </c>
      <c r="AA24">
        <v>21.5</v>
      </c>
      <c r="AB24">
        <f t="shared" si="20"/>
        <v>2.1488372093023256</v>
      </c>
      <c r="AD24" t="str">
        <v>20230228</v>
      </c>
      <c r="AE24">
        <v>0.93720113999999999</v>
      </c>
      <c r="AF24">
        <v>-12.142895964968799</v>
      </c>
      <c r="AG24">
        <v>51.3</v>
      </c>
      <c r="AH24">
        <v>47.6</v>
      </c>
      <c r="AI24">
        <v>47.7</v>
      </c>
      <c r="AJ24">
        <v>0.73293632615667503</v>
      </c>
      <c r="AK24">
        <v>56.7</v>
      </c>
      <c r="AL24">
        <v>224.02758211547399</v>
      </c>
      <c r="AM24" s="3">
        <v>0.68181818181818199</v>
      </c>
      <c r="AN24" s="1">
        <f t="shared" si="10"/>
        <v>0</v>
      </c>
      <c r="AO24" s="1">
        <f t="shared" si="11"/>
        <v>0</v>
      </c>
      <c r="AP24" s="1">
        <f t="shared" si="12"/>
        <v>1</v>
      </c>
      <c r="AQ24" s="1">
        <f t="shared" si="13"/>
        <v>0</v>
      </c>
      <c r="AR24" s="1">
        <f t="shared" si="14"/>
        <v>0</v>
      </c>
      <c r="AS24" s="1">
        <f t="shared" si="15"/>
        <v>0</v>
      </c>
      <c r="AT24" s="1">
        <f t="shared" si="16"/>
        <v>1</v>
      </c>
      <c r="AU24" s="1">
        <f t="shared" si="17"/>
        <v>0</v>
      </c>
      <c r="AV24" s="1">
        <f t="shared" si="18"/>
        <v>1</v>
      </c>
      <c r="AW24">
        <f t="shared" si="19"/>
        <v>0.33333333333333331</v>
      </c>
      <c r="AY24" t="str">
        <v>19/07/2024</v>
      </c>
      <c r="AZ24">
        <v>64.2</v>
      </c>
      <c r="BA24">
        <v>14.9</v>
      </c>
      <c r="BB24">
        <f t="shared" si="21"/>
        <v>4.3087248322147653</v>
      </c>
    </row>
    <row r="25" spans="1:54" x14ac:dyDescent="0.3">
      <c r="A25" s="11">
        <v>45492</v>
      </c>
      <c r="B25">
        <v>0.45744680851063801</v>
      </c>
      <c r="C25">
        <v>5544.59</v>
      </c>
      <c r="D25">
        <v>93.47</v>
      </c>
      <c r="E25">
        <v>2445.36</v>
      </c>
      <c r="F25">
        <v>81.96</v>
      </c>
      <c r="G25">
        <v>54.17</v>
      </c>
      <c r="H25" s="12">
        <f t="shared" si="0"/>
        <v>199.50552607140068</v>
      </c>
      <c r="I25" s="12">
        <f t="shared" si="1"/>
        <v>84.24867613018354</v>
      </c>
      <c r="J25" s="12">
        <f t="shared" si="4"/>
        <v>194.24338895837258</v>
      </c>
      <c r="K25" s="12">
        <f t="shared" si="5"/>
        <v>162.13552287232491</v>
      </c>
      <c r="L25" s="55">
        <v>22.995446182398801</v>
      </c>
      <c r="M25" s="55">
        <v>20.6935130615392</v>
      </c>
      <c r="N25" s="55">
        <v>248.19803741153601</v>
      </c>
      <c r="O25" s="55">
        <v>3.8974208690881098</v>
      </c>
      <c r="P25" s="12">
        <f t="shared" si="2"/>
        <v>123.80461433208855</v>
      </c>
      <c r="Q25" s="12">
        <f t="shared" si="6"/>
        <v>111.20826883519187</v>
      </c>
      <c r="R25" s="12">
        <f t="shared" si="7"/>
        <v>85.212483110610194</v>
      </c>
      <c r="S25" s="12">
        <f t="shared" si="8"/>
        <v>108.58872986710858</v>
      </c>
      <c r="T25" s="55">
        <v>14.6643160591716</v>
      </c>
      <c r="U25" s="55">
        <v>13.6198490248554</v>
      </c>
      <c r="V25">
        <v>0.48535564853556501</v>
      </c>
      <c r="W25" s="12"/>
      <c r="X25" s="12"/>
      <c r="Y25" t="str">
        <v>20240412</v>
      </c>
      <c r="Z25">
        <v>56.5</v>
      </c>
      <c r="AA25">
        <v>14.5</v>
      </c>
      <c r="AB25">
        <f t="shared" si="20"/>
        <v>3.896551724137931</v>
      </c>
      <c r="AD25" t="str">
        <v>20230131</v>
      </c>
      <c r="AE25">
        <v>1.5146036</v>
      </c>
      <c r="AF25">
        <v>-10.3222374256317</v>
      </c>
      <c r="AG25">
        <v>44.5</v>
      </c>
      <c r="AH25">
        <v>48.3</v>
      </c>
      <c r="AI25">
        <v>47.4</v>
      </c>
      <c r="AJ25">
        <v>-6.0318387615013904</v>
      </c>
      <c r="AK25">
        <v>59.2</v>
      </c>
      <c r="AL25">
        <v>224.16963032378999</v>
      </c>
      <c r="AM25" s="3">
        <v>0.50890585241730302</v>
      </c>
      <c r="AN25" s="1">
        <f t="shared" si="10"/>
        <v>0</v>
      </c>
      <c r="AO25" s="1">
        <f t="shared" si="11"/>
        <v>0</v>
      </c>
      <c r="AP25" s="1">
        <f t="shared" si="12"/>
        <v>0</v>
      </c>
      <c r="AQ25" s="1">
        <f t="shared" si="13"/>
        <v>0</v>
      </c>
      <c r="AR25" s="1">
        <f t="shared" si="14"/>
        <v>0</v>
      </c>
      <c r="AS25" s="1">
        <f t="shared" si="15"/>
        <v>1</v>
      </c>
      <c r="AT25" s="1">
        <f t="shared" si="16"/>
        <v>1</v>
      </c>
      <c r="AU25" s="1">
        <f t="shared" si="17"/>
        <v>0</v>
      </c>
      <c r="AV25" s="1">
        <f t="shared" si="18"/>
        <v>1</v>
      </c>
      <c r="AW25">
        <f t="shared" si="19"/>
        <v>0.33333333333333331</v>
      </c>
      <c r="AY25" t="str">
        <v>18/07/2024</v>
      </c>
      <c r="AZ25">
        <v>64.2</v>
      </c>
      <c r="BA25">
        <v>14.9</v>
      </c>
      <c r="BB25">
        <f t="shared" si="21"/>
        <v>4.3087248322147653</v>
      </c>
    </row>
    <row r="26" spans="1:54" x14ac:dyDescent="0.3">
      <c r="A26" s="11">
        <v>45491</v>
      </c>
      <c r="B26">
        <v>0.44986449864498601</v>
      </c>
      <c r="C26">
        <v>5588.27</v>
      </c>
      <c r="D26">
        <v>94.19</v>
      </c>
      <c r="E26">
        <v>2458.9</v>
      </c>
      <c r="F26">
        <v>82</v>
      </c>
      <c r="G26">
        <v>54.7</v>
      </c>
      <c r="H26" s="12">
        <f t="shared" si="0"/>
        <v>199.53989660485303</v>
      </c>
      <c r="I26" s="12">
        <f t="shared" si="1"/>
        <v>84.443728070126738</v>
      </c>
      <c r="J26" s="12">
        <f t="shared" si="4"/>
        <v>195.67742419540852</v>
      </c>
      <c r="K26" s="12">
        <f t="shared" si="5"/>
        <v>161.83243638800224</v>
      </c>
      <c r="L26" s="55">
        <v>23.050422173909599</v>
      </c>
      <c r="M26" s="55">
        <v>20.8106425705619</v>
      </c>
      <c r="N26" s="55">
        <v>247.39931289662599</v>
      </c>
      <c r="O26" s="55">
        <v>3.87192949405335</v>
      </c>
      <c r="P26" s="12">
        <f t="shared" si="2"/>
        <v>124.22139612252094</v>
      </c>
      <c r="Q26" s="12">
        <f t="shared" si="6"/>
        <v>111.4361658586152</v>
      </c>
      <c r="R26" s="12">
        <f t="shared" si="7"/>
        <v>85.570397263317261</v>
      </c>
      <c r="S26" s="12">
        <f t="shared" si="8"/>
        <v>109.59717833193122</v>
      </c>
      <c r="T26" s="55">
        <v>14.660782664291</v>
      </c>
      <c r="U26" s="55">
        <v>13.518549729834</v>
      </c>
      <c r="V26">
        <v>0.48455056179775302</v>
      </c>
      <c r="W26" s="12"/>
      <c r="X26" s="12"/>
      <c r="Y26" t="str">
        <v>20240405</v>
      </c>
      <c r="Z26">
        <v>58.1</v>
      </c>
      <c r="AA26">
        <v>14.5</v>
      </c>
      <c r="AB26">
        <f t="shared" si="20"/>
        <v>4.0068965517241377</v>
      </c>
      <c r="AD26" t="str">
        <v>20221230</v>
      </c>
      <c r="AE26">
        <v>0.62434036000000004</v>
      </c>
      <c r="AF26">
        <v>-10.8942557461103</v>
      </c>
      <c r="AG26">
        <v>39.4</v>
      </c>
      <c r="AH26">
        <v>48.4</v>
      </c>
      <c r="AI26">
        <v>48.1</v>
      </c>
      <c r="AJ26">
        <v>-8.5255066387141891</v>
      </c>
      <c r="AK26">
        <v>52.7</v>
      </c>
      <c r="AL26">
        <v>227.84941339086299</v>
      </c>
      <c r="AM26" s="3">
        <v>0.47038327526132401</v>
      </c>
      <c r="AN26" s="1">
        <f t="shared" si="10"/>
        <v>0</v>
      </c>
      <c r="AO26" s="1">
        <f t="shared" si="11"/>
        <v>0</v>
      </c>
      <c r="AP26" s="1">
        <f t="shared" si="12"/>
        <v>0</v>
      </c>
      <c r="AQ26" s="1">
        <f t="shared" si="13"/>
        <v>0</v>
      </c>
      <c r="AR26" s="1">
        <f t="shared" si="14"/>
        <v>0</v>
      </c>
      <c r="AS26" s="1">
        <f t="shared" si="15"/>
        <v>1</v>
      </c>
      <c r="AT26" s="1">
        <f t="shared" si="16"/>
        <v>1</v>
      </c>
      <c r="AU26" s="1">
        <f t="shared" si="17"/>
        <v>0</v>
      </c>
      <c r="AV26" s="1">
        <f t="shared" si="18"/>
        <v>0</v>
      </c>
      <c r="AW26">
        <f t="shared" si="19"/>
        <v>0.22222222222222221</v>
      </c>
      <c r="AY26" t="str">
        <v>17/07/2024</v>
      </c>
      <c r="AZ26">
        <v>64.2</v>
      </c>
      <c r="BA26">
        <v>14.9</v>
      </c>
      <c r="BB26">
        <f t="shared" si="21"/>
        <v>4.3087248322147653</v>
      </c>
    </row>
    <row r="27" spans="1:54" x14ac:dyDescent="0.3">
      <c r="A27" s="11">
        <v>45490</v>
      </c>
      <c r="B27">
        <v>0.46505376344086002</v>
      </c>
      <c r="C27">
        <v>5667.2</v>
      </c>
      <c r="D27">
        <v>94.17</v>
      </c>
      <c r="E27">
        <v>2469.02</v>
      </c>
      <c r="F27">
        <v>81.99</v>
      </c>
      <c r="G27">
        <v>55.19</v>
      </c>
      <c r="H27" s="12">
        <f t="shared" si="0"/>
        <v>202.40183724370183</v>
      </c>
      <c r="I27" s="12">
        <f t="shared" si="1"/>
        <v>85.281940423804997</v>
      </c>
      <c r="J27" s="12">
        <f t="shared" si="4"/>
        <v>198.46576474940653</v>
      </c>
      <c r="K27" s="12">
        <f t="shared" si="5"/>
        <v>162.65368994671311</v>
      </c>
      <c r="L27" s="55">
        <v>23.013185378383302</v>
      </c>
      <c r="M27" s="55">
        <v>20.676572121043002</v>
      </c>
      <c r="N27" s="55">
        <v>246.61364233389301</v>
      </c>
      <c r="O27" s="55">
        <v>3.8753570733584701</v>
      </c>
      <c r="P27" s="12">
        <f t="shared" si="2"/>
        <v>123.71782857533307</v>
      </c>
      <c r="Q27" s="12">
        <f t="shared" si="6"/>
        <v>112.45850383515128</v>
      </c>
      <c r="R27" s="12">
        <f t="shared" si="7"/>
        <v>85.981356140853379</v>
      </c>
      <c r="S27" s="12">
        <f t="shared" si="8"/>
        <v>110.592554017548</v>
      </c>
      <c r="T27" s="55">
        <v>14.697938166224301</v>
      </c>
      <c r="U27" s="55">
        <v>13.444561388227401</v>
      </c>
      <c r="V27">
        <v>0.48737727910238399</v>
      </c>
      <c r="W27" s="12"/>
      <c r="X27" s="12"/>
      <c r="Y27" t="str">
        <v>20240329</v>
      </c>
      <c r="Z27">
        <v>62.5</v>
      </c>
      <c r="AA27">
        <v>14.1</v>
      </c>
      <c r="AB27">
        <f t="shared" si="20"/>
        <v>4.4326241134751774</v>
      </c>
      <c r="AD27" t="str">
        <v>20221130</v>
      </c>
      <c r="AE27">
        <v>1.8143864000000001</v>
      </c>
      <c r="AF27">
        <v>-13.039563391836101</v>
      </c>
      <c r="AG27">
        <v>43</v>
      </c>
      <c r="AH27">
        <v>50.9</v>
      </c>
      <c r="AI27">
        <v>48.9</v>
      </c>
      <c r="AJ27">
        <v>-24.1182572614108</v>
      </c>
      <c r="AK27">
        <v>61.2</v>
      </c>
      <c r="AL27">
        <v>228.05881834399301</v>
      </c>
      <c r="AM27" s="3">
        <v>0.49864498644986399</v>
      </c>
      <c r="AN27" s="1">
        <f t="shared" si="10"/>
        <v>0</v>
      </c>
      <c r="AO27" s="1">
        <f t="shared" si="11"/>
        <v>0</v>
      </c>
      <c r="AP27" s="1">
        <f t="shared" si="12"/>
        <v>0</v>
      </c>
      <c r="AQ27" s="1">
        <f t="shared" si="13"/>
        <v>1</v>
      </c>
      <c r="AR27" s="1">
        <f t="shared" si="14"/>
        <v>0</v>
      </c>
      <c r="AS27" s="1">
        <f t="shared" si="15"/>
        <v>1</v>
      </c>
      <c r="AT27" s="1">
        <f t="shared" si="16"/>
        <v>1</v>
      </c>
      <c r="AU27" s="1">
        <f t="shared" si="17"/>
        <v>0</v>
      </c>
      <c r="AV27" s="1">
        <f t="shared" si="18"/>
        <v>0</v>
      </c>
      <c r="AW27">
        <f t="shared" si="19"/>
        <v>0.33333333333333331</v>
      </c>
      <c r="AY27" t="str">
        <v>16/07/2024</v>
      </c>
      <c r="AZ27">
        <v>64.2</v>
      </c>
      <c r="BA27">
        <v>14.9</v>
      </c>
      <c r="BB27">
        <f t="shared" si="21"/>
        <v>4.3087248322147653</v>
      </c>
    </row>
    <row r="28" spans="1:54" x14ac:dyDescent="0.3">
      <c r="A28" s="11">
        <v>45489</v>
      </c>
      <c r="B28">
        <v>0.44864864864864901</v>
      </c>
      <c r="C28">
        <v>5631.22</v>
      </c>
      <c r="D28">
        <v>92.86</v>
      </c>
      <c r="E28">
        <v>2422.44</v>
      </c>
      <c r="F28">
        <v>81.96</v>
      </c>
      <c r="G28">
        <v>54.92</v>
      </c>
      <c r="H28" s="12">
        <f t="shared" si="0"/>
        <v>203.97610010880385</v>
      </c>
      <c r="I28" s="12">
        <f t="shared" si="1"/>
        <v>86.391130595269502</v>
      </c>
      <c r="J28" s="12">
        <f t="shared" si="4"/>
        <v>197.27749394805426</v>
      </c>
      <c r="K28" s="12">
        <f t="shared" si="5"/>
        <v>162.41443117309942</v>
      </c>
      <c r="L28" s="55">
        <v>22.697981297628399</v>
      </c>
      <c r="M28" s="55">
        <v>20.413503039231401</v>
      </c>
      <c r="N28" s="55">
        <v>245.64231808418799</v>
      </c>
      <c r="O28" s="55">
        <v>3.8536285699925501</v>
      </c>
      <c r="P28" s="12">
        <f t="shared" si="2"/>
        <v>123.92654950946924</v>
      </c>
      <c r="Q28" s="12">
        <f t="shared" si="6"/>
        <v>113.50169982328067</v>
      </c>
      <c r="R28" s="12">
        <f t="shared" si="7"/>
        <v>87.22981583688312</v>
      </c>
      <c r="S28" s="12">
        <f t="shared" si="8"/>
        <v>110.09161409869982</v>
      </c>
      <c r="T28" s="55">
        <v>14.4741107529661</v>
      </c>
      <c r="U28" s="55">
        <v>13.310559508271799</v>
      </c>
      <c r="V28">
        <v>0.48785714285714299</v>
      </c>
      <c r="W28" s="12"/>
      <c r="X28" s="12"/>
      <c r="Y28" t="str">
        <v>20240322</v>
      </c>
      <c r="Z28">
        <v>60.6</v>
      </c>
      <c r="AA28">
        <v>15.2</v>
      </c>
      <c r="AB28">
        <f t="shared" si="20"/>
        <v>3.986842105263158</v>
      </c>
      <c r="AD28" t="str">
        <v>20221031</v>
      </c>
      <c r="AE28">
        <v>3.079094</v>
      </c>
      <c r="AF28">
        <v>-12.4190367653239</v>
      </c>
      <c r="AG28">
        <v>46.6</v>
      </c>
      <c r="AH28">
        <v>51.6</v>
      </c>
      <c r="AI28">
        <v>50</v>
      </c>
      <c r="AJ28">
        <v>-39.907305510877798</v>
      </c>
      <c r="AK28">
        <v>56.3</v>
      </c>
      <c r="AL28">
        <v>228.28002473648399</v>
      </c>
      <c r="AM28" s="3">
        <v>0.37962962962962998</v>
      </c>
      <c r="AN28" s="1">
        <f t="shared" si="10"/>
        <v>0</v>
      </c>
      <c r="AO28" s="1">
        <f t="shared" si="11"/>
        <v>0</v>
      </c>
      <c r="AP28" s="1">
        <f t="shared" si="12"/>
        <v>0</v>
      </c>
      <c r="AQ28" s="1">
        <f t="shared" si="13"/>
        <v>1</v>
      </c>
      <c r="AR28" s="1">
        <f t="shared" si="14"/>
        <v>0</v>
      </c>
      <c r="AS28" s="1">
        <f t="shared" si="15"/>
        <v>1</v>
      </c>
      <c r="AT28" s="1">
        <f t="shared" si="16"/>
        <v>1</v>
      </c>
      <c r="AU28" s="1">
        <f t="shared" si="17"/>
        <v>0</v>
      </c>
      <c r="AV28" s="1">
        <f t="shared" si="18"/>
        <v>0</v>
      </c>
      <c r="AW28">
        <f t="shared" si="19"/>
        <v>0.33333333333333331</v>
      </c>
      <c r="AY28" t="str">
        <v>15/07/2024</v>
      </c>
      <c r="AZ28">
        <v>64.2</v>
      </c>
      <c r="BA28">
        <v>14.9</v>
      </c>
      <c r="BB28">
        <f t="shared" si="21"/>
        <v>4.3087248322147653</v>
      </c>
    </row>
    <row r="29" spans="1:54" x14ac:dyDescent="0.3">
      <c r="A29" s="11">
        <v>45486</v>
      </c>
      <c r="B29">
        <v>0.43442622950819698</v>
      </c>
      <c r="C29">
        <v>5615.35</v>
      </c>
      <c r="D29">
        <v>93.94</v>
      </c>
      <c r="E29">
        <v>2411.4899999999998</v>
      </c>
      <c r="F29">
        <v>81.96</v>
      </c>
      <c r="G29">
        <v>55.41</v>
      </c>
      <c r="H29" s="12">
        <f t="shared" si="0"/>
        <v>201.09582832391419</v>
      </c>
      <c r="I29" s="12">
        <f t="shared" si="1"/>
        <v>86.539509446883585</v>
      </c>
      <c r="J29" s="12">
        <f t="shared" si="4"/>
        <v>196.72152315860623</v>
      </c>
      <c r="K29" s="12">
        <f t="shared" si="5"/>
        <v>160.54102165621919</v>
      </c>
      <c r="L29" s="55">
        <v>22.8460655474893</v>
      </c>
      <c r="M29" s="55">
        <v>20.554490822032498</v>
      </c>
      <c r="N29" s="55">
        <v>244.92515039176399</v>
      </c>
      <c r="O29" s="55">
        <v>3.8705518602070401</v>
      </c>
      <c r="P29" s="12">
        <f t="shared" si="2"/>
        <v>123.02838944417449</v>
      </c>
      <c r="Q29" s="12">
        <f t="shared" si="6"/>
        <v>113.20131662961847</v>
      </c>
      <c r="R29" s="12">
        <f t="shared" si="7"/>
        <v>88.413131011928414</v>
      </c>
      <c r="S29" s="12">
        <f t="shared" si="8"/>
        <v>111.07385901691472</v>
      </c>
      <c r="T29" s="55">
        <v>14.2616755258219</v>
      </c>
      <c r="U29" s="55">
        <v>13.110450000683</v>
      </c>
      <c r="V29">
        <v>0.48712446351931299</v>
      </c>
      <c r="W29" s="12"/>
      <c r="X29" s="12"/>
      <c r="Y29" t="str">
        <v>20240315</v>
      </c>
      <c r="Z29">
        <v>60.3</v>
      </c>
      <c r="AA29">
        <v>14.7</v>
      </c>
      <c r="AB29">
        <f t="shared" si="20"/>
        <v>4.1020408163265305</v>
      </c>
      <c r="AD29" t="str">
        <v>20220930</v>
      </c>
      <c r="AE29">
        <v>4.5831375000000003</v>
      </c>
      <c r="AF29">
        <v>-6.2107209156868501</v>
      </c>
      <c r="AG29">
        <v>51.7</v>
      </c>
      <c r="AH29">
        <v>50.9</v>
      </c>
      <c r="AI29">
        <v>50.8</v>
      </c>
      <c r="AJ29">
        <v>-48.712288447387799</v>
      </c>
      <c r="AK29">
        <v>57.5</v>
      </c>
      <c r="AL29">
        <v>233.188608267088</v>
      </c>
      <c r="AM29" s="3">
        <v>0.39130434782608697</v>
      </c>
      <c r="AN29" s="1">
        <f t="shared" si="10"/>
        <v>1</v>
      </c>
      <c r="AO29" s="1">
        <f t="shared" si="11"/>
        <v>0</v>
      </c>
      <c r="AP29" s="1">
        <f t="shared" si="12"/>
        <v>1</v>
      </c>
      <c r="AQ29" s="1">
        <f t="shared" si="13"/>
        <v>1</v>
      </c>
      <c r="AR29" s="1">
        <f t="shared" si="14"/>
        <v>1</v>
      </c>
      <c r="AS29" s="1">
        <f t="shared" si="15"/>
        <v>1</v>
      </c>
      <c r="AT29" s="1">
        <f t="shared" si="16"/>
        <v>1</v>
      </c>
      <c r="AU29" s="1">
        <f t="shared" si="17"/>
        <v>1</v>
      </c>
      <c r="AV29" s="1">
        <f t="shared" si="18"/>
        <v>0</v>
      </c>
      <c r="AW29">
        <f t="shared" si="19"/>
        <v>0.77777777777777779</v>
      </c>
      <c r="AY29" t="str">
        <v>12/07/2024</v>
      </c>
      <c r="AZ29">
        <v>63.6</v>
      </c>
      <c r="BA29">
        <v>16.7</v>
      </c>
      <c r="BB29">
        <f t="shared" si="21"/>
        <v>3.8083832335329344</v>
      </c>
    </row>
    <row r="30" spans="1:54" x14ac:dyDescent="0.3">
      <c r="A30" s="11">
        <v>45485</v>
      </c>
      <c r="B30">
        <v>0.447293447293447</v>
      </c>
      <c r="C30">
        <v>5584.54</v>
      </c>
      <c r="D30">
        <v>93.54</v>
      </c>
      <c r="E30">
        <v>2415.0100000000002</v>
      </c>
      <c r="F30">
        <v>81.84</v>
      </c>
      <c r="G30">
        <v>54.91</v>
      </c>
      <c r="H30" s="12">
        <f t="shared" si="0"/>
        <v>200.84662362485409</v>
      </c>
      <c r="I30" s="12">
        <f t="shared" si="1"/>
        <v>85.940114316793199</v>
      </c>
      <c r="J30" s="12">
        <f t="shared" si="4"/>
        <v>195.92787010973913</v>
      </c>
      <c r="K30" s="12">
        <f t="shared" si="5"/>
        <v>161.11924525732863</v>
      </c>
      <c r="L30" s="55">
        <v>22.6278135648536</v>
      </c>
      <c r="M30" s="55">
        <v>20.3102226115127</v>
      </c>
      <c r="N30" s="55">
        <v>244.45797170618701</v>
      </c>
      <c r="O30" s="55">
        <v>3.8644006882355999</v>
      </c>
      <c r="P30" s="12">
        <f t="shared" si="2"/>
        <v>122.98911574502397</v>
      </c>
      <c r="Q30" s="12">
        <f t="shared" si="6"/>
        <v>112.65723131528833</v>
      </c>
      <c r="R30" s="12">
        <f t="shared" si="7"/>
        <v>87.488953662768139</v>
      </c>
      <c r="S30" s="12">
        <f t="shared" si="8"/>
        <v>110.23173990890648</v>
      </c>
      <c r="T30" s="55">
        <v>14.168167605804101</v>
      </c>
      <c r="U30" s="55">
        <v>13.027600883031401</v>
      </c>
      <c r="V30">
        <v>0.48843930635838201</v>
      </c>
      <c r="W30" s="12"/>
      <c r="X30" s="12"/>
      <c r="Y30" t="str">
        <v>20240308</v>
      </c>
      <c r="Z30">
        <v>60.9</v>
      </c>
      <c r="AA30">
        <v>14.5</v>
      </c>
      <c r="AB30">
        <f t="shared" si="20"/>
        <v>4.2</v>
      </c>
      <c r="AD30" t="str">
        <v>20220831</v>
      </c>
      <c r="AE30">
        <v>3.1278114000000001</v>
      </c>
      <c r="AF30">
        <v>-1.9602996041134</v>
      </c>
      <c r="AG30">
        <v>52.5</v>
      </c>
      <c r="AH30">
        <v>50.7</v>
      </c>
      <c r="AI30">
        <v>52.8</v>
      </c>
      <c r="AJ30">
        <v>-49.055755395683498</v>
      </c>
      <c r="AK30">
        <v>59.2</v>
      </c>
      <c r="AL30">
        <v>233.173883406968</v>
      </c>
      <c r="AM30" s="3">
        <v>0.58928571428571397</v>
      </c>
      <c r="AN30" s="1">
        <f t="shared" si="10"/>
        <v>0</v>
      </c>
      <c r="AO30" s="1">
        <f t="shared" si="11"/>
        <v>0</v>
      </c>
      <c r="AP30" s="1">
        <f t="shared" si="12"/>
        <v>1</v>
      </c>
      <c r="AQ30" s="1">
        <f t="shared" si="13"/>
        <v>1</v>
      </c>
      <c r="AR30" s="1">
        <f t="shared" si="14"/>
        <v>1</v>
      </c>
      <c r="AS30" s="1">
        <f t="shared" si="15"/>
        <v>1</v>
      </c>
      <c r="AT30" s="1">
        <f t="shared" si="16"/>
        <v>1</v>
      </c>
      <c r="AU30" s="1">
        <f t="shared" si="17"/>
        <v>1</v>
      </c>
      <c r="AV30" s="1">
        <f t="shared" si="18"/>
        <v>1</v>
      </c>
      <c r="AW30">
        <f t="shared" si="19"/>
        <v>0.77777777777777779</v>
      </c>
      <c r="AY30" t="str">
        <v>11/07/2024</v>
      </c>
      <c r="AZ30">
        <v>63.6</v>
      </c>
      <c r="BA30">
        <v>16.7</v>
      </c>
      <c r="BB30">
        <f t="shared" si="21"/>
        <v>3.8083832335329344</v>
      </c>
    </row>
    <row r="31" spans="1:54" x14ac:dyDescent="0.3">
      <c r="A31" s="11">
        <v>45484</v>
      </c>
      <c r="B31">
        <v>0.44192634560906502</v>
      </c>
      <c r="C31">
        <v>5633.91</v>
      </c>
      <c r="D31">
        <v>92.64</v>
      </c>
      <c r="E31">
        <v>2370.94</v>
      </c>
      <c r="F31">
        <v>81.650000000000006</v>
      </c>
      <c r="G31">
        <v>54.7</v>
      </c>
      <c r="H31" s="12">
        <f t="shared" si="0"/>
        <v>204.62774203856821</v>
      </c>
      <c r="I31" s="12">
        <f t="shared" si="1"/>
        <v>88.356721245611212</v>
      </c>
      <c r="J31" s="12">
        <f t="shared" si="4"/>
        <v>198.12507997987046</v>
      </c>
      <c r="K31" s="12">
        <f t="shared" si="5"/>
        <v>163.17560557729684</v>
      </c>
      <c r="L31" s="55">
        <v>22.499782330599999</v>
      </c>
      <c r="M31" s="55">
        <v>20.172288076005302</v>
      </c>
      <c r="N31" s="55">
        <v>242.71033170845001</v>
      </c>
      <c r="O31" s="55">
        <v>3.8831440387448901</v>
      </c>
      <c r="P31" s="12">
        <f t="shared" si="2"/>
        <v>121.52746041691682</v>
      </c>
      <c r="Q31" s="12">
        <f t="shared" si="6"/>
        <v>113.32310694701397</v>
      </c>
      <c r="R31" s="12">
        <f t="shared" si="7"/>
        <v>88.798594579241268</v>
      </c>
      <c r="S31" s="12">
        <f t="shared" si="8"/>
        <v>110.06530828789016</v>
      </c>
      <c r="T31" s="55">
        <v>14.161366240356299</v>
      </c>
      <c r="U31" s="55">
        <v>12.9778743265082</v>
      </c>
      <c r="V31">
        <v>0.49673202614379103</v>
      </c>
      <c r="W31" s="12"/>
      <c r="X31" s="12"/>
      <c r="Y31" t="str">
        <v>20240301</v>
      </c>
      <c r="Z31">
        <v>59.4</v>
      </c>
      <c r="AA31">
        <v>16</v>
      </c>
      <c r="AB31">
        <f t="shared" si="20"/>
        <v>3.7124999999999999</v>
      </c>
      <c r="AD31" t="str">
        <v>20220729</v>
      </c>
      <c r="AE31">
        <v>2.9817083000000002</v>
      </c>
      <c r="AF31">
        <v>-2.4055220719986901</v>
      </c>
      <c r="AG31">
        <v>60</v>
      </c>
      <c r="AH31">
        <v>53.5</v>
      </c>
      <c r="AI31">
        <v>52.8</v>
      </c>
      <c r="AJ31">
        <v>-53.681615246218399</v>
      </c>
      <c r="AK31">
        <v>58.7</v>
      </c>
      <c r="AL31">
        <v>232.875191077501</v>
      </c>
      <c r="AM31" s="3">
        <v>0.38009049773755699</v>
      </c>
      <c r="AN31" s="1">
        <f t="shared" si="10"/>
        <v>0</v>
      </c>
      <c r="AO31" s="1">
        <f t="shared" si="11"/>
        <v>0</v>
      </c>
      <c r="AP31" s="1">
        <f t="shared" si="12"/>
        <v>1</v>
      </c>
      <c r="AQ31" s="1">
        <f t="shared" si="13"/>
        <v>1</v>
      </c>
      <c r="AR31" s="1">
        <f t="shared" si="14"/>
        <v>1</v>
      </c>
      <c r="AS31" s="1">
        <f t="shared" si="15"/>
        <v>1</v>
      </c>
      <c r="AT31" s="1">
        <f t="shared" si="16"/>
        <v>1</v>
      </c>
      <c r="AU31" s="1">
        <f t="shared" si="17"/>
        <v>1</v>
      </c>
      <c r="AV31" s="1">
        <f t="shared" si="18"/>
        <v>0</v>
      </c>
      <c r="AW31">
        <f t="shared" si="19"/>
        <v>0.66666666666666663</v>
      </c>
      <c r="AY31" t="str">
        <v>10/07/2024</v>
      </c>
      <c r="AZ31">
        <v>63.6</v>
      </c>
      <c r="BA31">
        <v>16.7</v>
      </c>
      <c r="BB31">
        <f t="shared" si="21"/>
        <v>3.8083832335329344</v>
      </c>
    </row>
    <row r="32" spans="1:54" x14ac:dyDescent="0.3">
      <c r="A32" s="11">
        <v>45483</v>
      </c>
      <c r="B32">
        <v>0.44927536231884102</v>
      </c>
      <c r="C32">
        <v>5576.98</v>
      </c>
      <c r="D32">
        <v>92.35</v>
      </c>
      <c r="E32">
        <v>2364.23</v>
      </c>
      <c r="F32">
        <v>81.62</v>
      </c>
      <c r="G32">
        <v>54.07</v>
      </c>
      <c r="H32" s="12">
        <f t="shared" si="0"/>
        <v>203.19162299672516</v>
      </c>
      <c r="I32" s="12">
        <f t="shared" si="1"/>
        <v>87.710305034074864</v>
      </c>
      <c r="J32" s="12">
        <f t="shared" si="4"/>
        <v>196.19443321790442</v>
      </c>
      <c r="K32" s="12">
        <f t="shared" si="5"/>
        <v>163.41149481721635</v>
      </c>
      <c r="L32" s="55">
        <v>22.3302709902587</v>
      </c>
      <c r="M32" s="55">
        <v>19.917365123898101</v>
      </c>
      <c r="N32" s="55">
        <v>243.17741964453501</v>
      </c>
      <c r="O32" s="55">
        <v>3.9020091702252699</v>
      </c>
      <c r="P32" s="12">
        <f t="shared" si="2"/>
        <v>121.17436409907332</v>
      </c>
      <c r="Q32" s="12">
        <f t="shared" si="6"/>
        <v>112.36671613892307</v>
      </c>
      <c r="R32" s="12">
        <f t="shared" si="7"/>
        <v>88.022811738587919</v>
      </c>
      <c r="S32" s="12">
        <f t="shared" si="8"/>
        <v>108.83718881611284</v>
      </c>
      <c r="T32" s="55">
        <v>13.9153480139775</v>
      </c>
      <c r="U32" s="55">
        <v>12.730493757712599</v>
      </c>
      <c r="V32">
        <v>0.48338150289017301</v>
      </c>
      <c r="W32" s="12"/>
      <c r="X32" s="12"/>
      <c r="Y32" t="str">
        <v>20240223</v>
      </c>
      <c r="Z32">
        <v>57.6</v>
      </c>
      <c r="AA32">
        <v>16.7</v>
      </c>
      <c r="AB32">
        <f t="shared" si="20"/>
        <v>3.4491017964071857</v>
      </c>
      <c r="AD32" t="str">
        <v>20220630</v>
      </c>
      <c r="AE32">
        <v>3.1853026999999998</v>
      </c>
      <c r="AF32">
        <v>6.0686790921289804</v>
      </c>
      <c r="AG32">
        <v>78.5</v>
      </c>
      <c r="AH32">
        <v>54.7</v>
      </c>
      <c r="AI32">
        <v>53.4</v>
      </c>
      <c r="AJ32">
        <v>-58.730279126213603</v>
      </c>
      <c r="AK32">
        <v>56.7</v>
      </c>
      <c r="AL32">
        <v>236.25292079399901</v>
      </c>
      <c r="AM32" s="3">
        <v>0.42074927953890501</v>
      </c>
      <c r="AN32" s="1">
        <f t="shared" si="10"/>
        <v>0</v>
      </c>
      <c r="AO32" s="1">
        <f t="shared" si="11"/>
        <v>1</v>
      </c>
      <c r="AP32" s="1">
        <f t="shared" si="12"/>
        <v>1</v>
      </c>
      <c r="AQ32" s="1">
        <f t="shared" si="13"/>
        <v>1</v>
      </c>
      <c r="AR32" s="1">
        <f t="shared" si="14"/>
        <v>1</v>
      </c>
      <c r="AS32" s="1">
        <f t="shared" si="15"/>
        <v>1</v>
      </c>
      <c r="AT32" s="1">
        <f t="shared" si="16"/>
        <v>1</v>
      </c>
      <c r="AU32" s="1">
        <f t="shared" si="17"/>
        <v>1</v>
      </c>
      <c r="AV32" s="1">
        <f t="shared" si="18"/>
        <v>0</v>
      </c>
      <c r="AW32">
        <f t="shared" si="19"/>
        <v>0.77777777777777779</v>
      </c>
      <c r="AY32" t="str">
        <v>09/07/2024</v>
      </c>
      <c r="AZ32">
        <v>63.6</v>
      </c>
      <c r="BA32">
        <v>16.7</v>
      </c>
      <c r="BB32">
        <f t="shared" si="21"/>
        <v>3.8083832335329344</v>
      </c>
    </row>
    <row r="33" spans="1:54" x14ac:dyDescent="0.3">
      <c r="A33" s="11">
        <v>45482</v>
      </c>
      <c r="B33">
        <v>0.46176470588235302</v>
      </c>
      <c r="C33">
        <v>5572.85</v>
      </c>
      <c r="D33">
        <v>92.76</v>
      </c>
      <c r="E33">
        <v>2359.69</v>
      </c>
      <c r="F33">
        <v>81.64</v>
      </c>
      <c r="G33">
        <v>54.14</v>
      </c>
      <c r="H33" s="12">
        <f t="shared" si="0"/>
        <v>202.14831500432123</v>
      </c>
      <c r="I33" s="12">
        <f t="shared" si="1"/>
        <v>87.814179422529207</v>
      </c>
      <c r="J33" s="12">
        <f t="shared" si="4"/>
        <v>196.0011621697318</v>
      </c>
      <c r="K33" s="12">
        <f t="shared" si="5"/>
        <v>163.07978446964819</v>
      </c>
      <c r="L33" s="55">
        <v>22.032876967593801</v>
      </c>
      <c r="M33" s="55">
        <v>19.691118758666001</v>
      </c>
      <c r="N33" s="55">
        <v>243.05869741795101</v>
      </c>
      <c r="O33" s="55">
        <v>3.9171900604377901</v>
      </c>
      <c r="P33" s="12">
        <f t="shared" si="2"/>
        <v>120.64786827198093</v>
      </c>
      <c r="Q33" s="12">
        <f t="shared" si="6"/>
        <v>112.01643353675516</v>
      </c>
      <c r="R33" s="12">
        <f t="shared" si="7"/>
        <v>88.306888442684581</v>
      </c>
      <c r="S33" s="12">
        <f t="shared" si="8"/>
        <v>108.95136617257344</v>
      </c>
      <c r="T33" s="55">
        <v>14.1184182866865</v>
      </c>
      <c r="U33" s="55">
        <v>12.8780411666974</v>
      </c>
      <c r="V33">
        <v>0.49016751638747302</v>
      </c>
      <c r="W33" s="12"/>
      <c r="X33" s="12"/>
      <c r="Y33" t="str">
        <v>20240216</v>
      </c>
      <c r="Z33">
        <v>57.3</v>
      </c>
      <c r="AA33">
        <v>16.2</v>
      </c>
      <c r="AB33">
        <f t="shared" si="20"/>
        <v>3.5370370370370372</v>
      </c>
      <c r="AD33" t="str">
        <v>20220531</v>
      </c>
      <c r="AE33">
        <v>3.8101883000000001</v>
      </c>
      <c r="AF33">
        <v>12.819369042028899</v>
      </c>
      <c r="AG33">
        <v>82.2</v>
      </c>
      <c r="AH33">
        <v>54.6</v>
      </c>
      <c r="AI33">
        <v>56.1</v>
      </c>
      <c r="AJ33">
        <v>-62.116778149386903</v>
      </c>
      <c r="AK33">
        <v>56.9</v>
      </c>
      <c r="AL33">
        <v>234.71546365863099</v>
      </c>
      <c r="AM33" s="3">
        <v>0.5625</v>
      </c>
      <c r="AN33" s="1">
        <f t="shared" si="10"/>
        <v>0</v>
      </c>
      <c r="AO33" s="1">
        <f t="shared" si="11"/>
        <v>1</v>
      </c>
      <c r="AP33" s="1">
        <f t="shared" si="12"/>
        <v>1</v>
      </c>
      <c r="AQ33" s="1">
        <f t="shared" si="13"/>
        <v>1</v>
      </c>
      <c r="AR33" s="1">
        <f t="shared" si="14"/>
        <v>1</v>
      </c>
      <c r="AS33" s="1">
        <f t="shared" si="15"/>
        <v>1</v>
      </c>
      <c r="AT33" s="1">
        <f t="shared" si="16"/>
        <v>1</v>
      </c>
      <c r="AU33" s="1">
        <f t="shared" si="17"/>
        <v>1</v>
      </c>
      <c r="AV33" s="1">
        <f t="shared" si="18"/>
        <v>1</v>
      </c>
      <c r="AW33">
        <f t="shared" si="19"/>
        <v>0.88888888888888884</v>
      </c>
      <c r="AY33" t="str">
        <v>08/07/2024</v>
      </c>
      <c r="AZ33">
        <v>63.6</v>
      </c>
      <c r="BA33">
        <v>16.7</v>
      </c>
      <c r="BB33">
        <f t="shared" si="21"/>
        <v>3.8083832335329344</v>
      </c>
    </row>
    <row r="34" spans="1:54" x14ac:dyDescent="0.3">
      <c r="A34" s="11">
        <v>45479</v>
      </c>
      <c r="B34">
        <v>0.43343653250774</v>
      </c>
      <c r="C34">
        <v>5567.19</v>
      </c>
      <c r="D34">
        <v>92.56</v>
      </c>
      <c r="E34">
        <v>2391.5</v>
      </c>
      <c r="F34">
        <v>81.650000000000006</v>
      </c>
      <c r="G34">
        <v>54.32</v>
      </c>
      <c r="H34" s="12">
        <f t="shared" si="0"/>
        <v>202.37985571270943</v>
      </c>
      <c r="I34" s="12">
        <f t="shared" si="1"/>
        <v>86.574608827755327</v>
      </c>
      <c r="J34" s="12">
        <f t="shared" si="4"/>
        <v>195.77814250458476</v>
      </c>
      <c r="K34" s="12">
        <f t="shared" si="5"/>
        <v>162.37663397106056</v>
      </c>
      <c r="L34" s="55">
        <v>21.602048258889599</v>
      </c>
      <c r="M34" s="55">
        <v>19.333142692729002</v>
      </c>
      <c r="N34" s="55">
        <v>243.011732363177</v>
      </c>
      <c r="O34" s="55">
        <v>3.9223155796291</v>
      </c>
      <c r="P34" s="12">
        <f t="shared" si="2"/>
        <v>120.46716499573654</v>
      </c>
      <c r="Q34" s="12">
        <f t="shared" si="6"/>
        <v>112.63303828419215</v>
      </c>
      <c r="R34" s="12">
        <f t="shared" si="7"/>
        <v>87.433638097873114</v>
      </c>
      <c r="S34" s="12">
        <f t="shared" si="8"/>
        <v>109.30016734097123</v>
      </c>
      <c r="T34" s="55">
        <v>14.0292297093941</v>
      </c>
      <c r="U34" s="55">
        <v>12.8027763411586</v>
      </c>
      <c r="V34">
        <v>0.49670811997073899</v>
      </c>
      <c r="W34" s="12"/>
      <c r="X34" s="12"/>
      <c r="Y34" t="str">
        <v>20240209</v>
      </c>
      <c r="Z34">
        <v>58.8</v>
      </c>
      <c r="AA34">
        <v>17.7</v>
      </c>
      <c r="AB34">
        <f t="shared" si="20"/>
        <v>3.3220338983050848</v>
      </c>
      <c r="AD34" t="str">
        <v>20220429</v>
      </c>
      <c r="AE34">
        <v>4.6482469999999996</v>
      </c>
      <c r="AF34">
        <v>19.8300046726354</v>
      </c>
      <c r="AG34">
        <v>84.6</v>
      </c>
      <c r="AH34">
        <v>54</v>
      </c>
      <c r="AI34">
        <v>55.6</v>
      </c>
      <c r="AJ34">
        <v>-62.201184683731697</v>
      </c>
      <c r="AK34">
        <v>60.2</v>
      </c>
      <c r="AL34">
        <v>232.01743838794599</v>
      </c>
      <c r="AM34" s="3">
        <v>0.532407407407407</v>
      </c>
      <c r="AN34" s="1">
        <f t="shared" si="10"/>
        <v>1</v>
      </c>
      <c r="AO34" s="1">
        <f t="shared" si="11"/>
        <v>1</v>
      </c>
      <c r="AP34" s="1">
        <f t="shared" si="12"/>
        <v>1</v>
      </c>
      <c r="AQ34" s="1">
        <f t="shared" si="13"/>
        <v>1</v>
      </c>
      <c r="AR34" s="1">
        <f t="shared" si="14"/>
        <v>1</v>
      </c>
      <c r="AS34" s="1">
        <f t="shared" si="15"/>
        <v>1</v>
      </c>
      <c r="AT34" s="1">
        <f t="shared" si="16"/>
        <v>1</v>
      </c>
      <c r="AU34" s="1">
        <f t="shared" si="17"/>
        <v>1</v>
      </c>
      <c r="AV34" s="1">
        <f t="shared" si="18"/>
        <v>1</v>
      </c>
      <c r="AW34">
        <f t="shared" si="19"/>
        <v>1</v>
      </c>
      <c r="AY34" t="str">
        <v>05/07/2024</v>
      </c>
      <c r="AZ34">
        <v>62.7</v>
      </c>
      <c r="BA34">
        <v>17.899999999999999</v>
      </c>
      <c r="BB34">
        <f t="shared" si="21"/>
        <v>3.5027932960893859</v>
      </c>
    </row>
    <row r="35" spans="1:54" x14ac:dyDescent="0.3">
      <c r="A35" s="11">
        <v>45477</v>
      </c>
      <c r="B35">
        <v>0.44409937888198803</v>
      </c>
      <c r="C35">
        <v>5537.02</v>
      </c>
      <c r="D35">
        <v>91.8</v>
      </c>
      <c r="E35">
        <v>2356.2199999999998</v>
      </c>
      <c r="F35">
        <v>81.5</v>
      </c>
      <c r="G35">
        <v>54.02</v>
      </c>
      <c r="H35" s="12">
        <f t="shared" si="0"/>
        <v>202.95423401335773</v>
      </c>
      <c r="I35" s="12">
        <f t="shared" si="1"/>
        <v>87.407105182026569</v>
      </c>
      <c r="J35" s="12">
        <f t="shared" si="4"/>
        <v>195.07425829981653</v>
      </c>
      <c r="K35" s="12">
        <f t="shared" si="5"/>
        <v>162.39363973507452</v>
      </c>
      <c r="L35" s="55">
        <v>21.936254911946399</v>
      </c>
      <c r="M35" s="55">
        <v>19.654791520935401</v>
      </c>
      <c r="N35" s="55">
        <v>242.69663545874101</v>
      </c>
      <c r="O35" s="55">
        <v>3.9580937676196601</v>
      </c>
      <c r="P35" s="12">
        <f t="shared" si="2"/>
        <v>119.23457010223812</v>
      </c>
      <c r="Q35" s="12">
        <f t="shared" si="6"/>
        <v>112.94084369045362</v>
      </c>
      <c r="R35" s="12">
        <f t="shared" si="7"/>
        <v>88.265062882243384</v>
      </c>
      <c r="S35" s="12">
        <f t="shared" si="8"/>
        <v>108.89583624001214</v>
      </c>
      <c r="T35" s="55">
        <v>14.1195789781748</v>
      </c>
      <c r="U35" s="55">
        <v>12.895687539157301</v>
      </c>
      <c r="V35">
        <v>0.487858719646799</v>
      </c>
      <c r="W35" s="12"/>
      <c r="X35" s="12"/>
      <c r="Y35" t="str">
        <v>20240202</v>
      </c>
      <c r="Z35">
        <v>54.3</v>
      </c>
      <c r="AA35">
        <v>17.100000000000001</v>
      </c>
      <c r="AB35">
        <f t="shared" si="20"/>
        <v>3.1754385964912277</v>
      </c>
      <c r="AD35" t="str">
        <v>20220331</v>
      </c>
      <c r="AE35">
        <v>4.5627537</v>
      </c>
      <c r="AF35">
        <v>19.219212031839898</v>
      </c>
      <c r="AG35">
        <v>87.1</v>
      </c>
      <c r="AH35">
        <v>55.3</v>
      </c>
      <c r="AI35">
        <v>57.3</v>
      </c>
      <c r="AJ35">
        <v>-61.096786365637399</v>
      </c>
      <c r="AK35">
        <v>57.6</v>
      </c>
      <c r="AL35">
        <v>229.187297952466</v>
      </c>
      <c r="AM35" s="3">
        <v>0.43396226415094302</v>
      </c>
      <c r="AN35" s="1">
        <f t="shared" si="10"/>
        <v>1</v>
      </c>
      <c r="AO35" s="1">
        <f t="shared" si="11"/>
        <v>1</v>
      </c>
      <c r="AP35" s="1">
        <f t="shared" si="12"/>
        <v>1</v>
      </c>
      <c r="AQ35" s="1">
        <f t="shared" si="13"/>
        <v>1</v>
      </c>
      <c r="AR35" s="1">
        <f t="shared" si="14"/>
        <v>1</v>
      </c>
      <c r="AS35" s="1">
        <f t="shared" si="15"/>
        <v>1</v>
      </c>
      <c r="AT35" s="1">
        <f t="shared" si="16"/>
        <v>1</v>
      </c>
      <c r="AU35" s="1">
        <f t="shared" si="17"/>
        <v>1</v>
      </c>
      <c r="AV35" s="1">
        <f t="shared" si="18"/>
        <v>0</v>
      </c>
      <c r="AW35">
        <f t="shared" si="19"/>
        <v>0.88888888888888884</v>
      </c>
      <c r="AY35" t="str">
        <v>04/07/2024</v>
      </c>
      <c r="AZ35">
        <v>62.7</v>
      </c>
      <c r="BA35">
        <v>17.899999999999999</v>
      </c>
      <c r="BB35">
        <f t="shared" si="21"/>
        <v>3.5027932960893859</v>
      </c>
    </row>
    <row r="36" spans="1:54" x14ac:dyDescent="0.3">
      <c r="A36" s="11">
        <v>45476</v>
      </c>
      <c r="B36">
        <v>0.4375</v>
      </c>
      <c r="C36">
        <v>5509.01</v>
      </c>
      <c r="D36">
        <v>90.61</v>
      </c>
      <c r="E36">
        <v>2329.6999999999998</v>
      </c>
      <c r="F36">
        <v>81.38</v>
      </c>
      <c r="G36">
        <v>53.37</v>
      </c>
      <c r="H36" s="12">
        <f t="shared" si="0"/>
        <v>204.6010288512733</v>
      </c>
      <c r="I36" s="12">
        <f t="shared" si="1"/>
        <v>87.961176310467266</v>
      </c>
      <c r="J36" s="12">
        <f t="shared" si="4"/>
        <v>194.37260539617935</v>
      </c>
      <c r="K36" s="12">
        <f t="shared" si="5"/>
        <v>163.55401107901577</v>
      </c>
      <c r="L36" s="55">
        <v>21.7954428686086</v>
      </c>
      <c r="M36" s="55">
        <v>19.622394487655502</v>
      </c>
      <c r="N36" s="55">
        <v>242.37911201526899</v>
      </c>
      <c r="O36" s="55">
        <v>3.9585151172964999</v>
      </c>
      <c r="P36" s="12">
        <f t="shared" si="2"/>
        <v>119.06591687096707</v>
      </c>
      <c r="Q36" s="12">
        <f t="shared" si="6"/>
        <v>113.0487013542603</v>
      </c>
      <c r="R36" s="12">
        <f t="shared" si="7"/>
        <v>88.194887363745266</v>
      </c>
      <c r="S36" s="12">
        <f t="shared" si="8"/>
        <v>107.7424998544185</v>
      </c>
      <c r="T36" s="55">
        <v>13.9078102436207</v>
      </c>
      <c r="U36" s="55">
        <v>12.747243416576</v>
      </c>
      <c r="V36">
        <v>0.49414348462664698</v>
      </c>
      <c r="W36" s="12"/>
      <c r="X36" s="12"/>
      <c r="Y36" t="str">
        <v>20240126</v>
      </c>
      <c r="Z36">
        <v>57.7</v>
      </c>
      <c r="AA36">
        <v>16.899999999999999</v>
      </c>
      <c r="AB36">
        <f t="shared" si="20"/>
        <v>3.414201183431953</v>
      </c>
      <c r="AD36" t="str">
        <v>20220228</v>
      </c>
      <c r="AE36">
        <v>6.6367770000000004</v>
      </c>
      <c r="AF36">
        <v>18.818398249621701</v>
      </c>
      <c r="AG36">
        <v>75.599999999999994</v>
      </c>
      <c r="AH36">
        <v>58.3</v>
      </c>
      <c r="AI36">
        <v>58.3</v>
      </c>
      <c r="AJ36">
        <v>-63.056354713149403</v>
      </c>
      <c r="AK36">
        <v>56.7</v>
      </c>
      <c r="AL36">
        <v>225.39726494748999</v>
      </c>
      <c r="AM36" s="3">
        <v>0.75454545454545496</v>
      </c>
      <c r="AN36" s="1">
        <f t="shared" si="10"/>
        <v>1</v>
      </c>
      <c r="AO36" s="1">
        <f t="shared" si="11"/>
        <v>1</v>
      </c>
      <c r="AP36" s="1">
        <f t="shared" si="12"/>
        <v>1</v>
      </c>
      <c r="AQ36" s="1">
        <f t="shared" si="13"/>
        <v>1</v>
      </c>
      <c r="AR36" s="1">
        <f t="shared" si="14"/>
        <v>1</v>
      </c>
      <c r="AS36" s="1">
        <f t="shared" si="15"/>
        <v>1</v>
      </c>
      <c r="AT36" s="1">
        <f t="shared" si="16"/>
        <v>1</v>
      </c>
      <c r="AU36" s="1">
        <f t="shared" si="17"/>
        <v>1</v>
      </c>
      <c r="AV36" s="1">
        <f t="shared" si="18"/>
        <v>1</v>
      </c>
      <c r="AW36">
        <f t="shared" si="19"/>
        <v>1</v>
      </c>
      <c r="AY36" t="str">
        <v>03/07/2024</v>
      </c>
      <c r="AZ36">
        <v>62.7</v>
      </c>
      <c r="BA36">
        <v>17.899999999999999</v>
      </c>
      <c r="BB36">
        <f t="shared" si="21"/>
        <v>3.5027932960893859</v>
      </c>
    </row>
    <row r="37" spans="1:54" x14ac:dyDescent="0.3">
      <c r="A37" s="11">
        <v>45475</v>
      </c>
      <c r="B37">
        <v>0.44025157232704398</v>
      </c>
      <c r="C37">
        <v>5475.09</v>
      </c>
      <c r="D37">
        <v>89.91</v>
      </c>
      <c r="E37">
        <v>2331.86</v>
      </c>
      <c r="F37">
        <v>81.31</v>
      </c>
      <c r="G37">
        <v>53.21</v>
      </c>
      <c r="H37" s="12">
        <f t="shared" si="0"/>
        <v>204.92691005675985</v>
      </c>
      <c r="I37" s="12">
        <f t="shared" si="1"/>
        <v>87.339178895494214</v>
      </c>
      <c r="J37" s="12">
        <f t="shared" si="4"/>
        <v>193.34124023274558</v>
      </c>
      <c r="K37" s="12">
        <f t="shared" si="5"/>
        <v>163.03419637393429</v>
      </c>
      <c r="L37" s="55">
        <v>21.547960002492498</v>
      </c>
      <c r="M37" s="55">
        <v>19.510804442689</v>
      </c>
      <c r="N37" s="55">
        <v>242.00017260274299</v>
      </c>
      <c r="O37" s="55">
        <v>3.9583667342954199</v>
      </c>
      <c r="P37" s="12">
        <f t="shared" si="2"/>
        <v>118.8842168127499</v>
      </c>
      <c r="Q37" s="12">
        <f t="shared" si="6"/>
        <v>113.59151085680338</v>
      </c>
      <c r="R37" s="12">
        <f t="shared" si="7"/>
        <v>87.849353651240094</v>
      </c>
      <c r="S37" s="12">
        <f t="shared" si="8"/>
        <v>107.51177411887821</v>
      </c>
      <c r="T37" s="55">
        <v>13.842731324726699</v>
      </c>
      <c r="U37" s="55">
        <v>12.7294031986064</v>
      </c>
      <c r="V37">
        <v>0.492216456634544</v>
      </c>
      <c r="W37" s="12"/>
      <c r="X37" s="12"/>
      <c r="Y37" t="str">
        <v>20240119</v>
      </c>
      <c r="Z37">
        <v>52.9</v>
      </c>
      <c r="AA37">
        <v>17.100000000000001</v>
      </c>
      <c r="AB37">
        <f t="shared" si="20"/>
        <v>3.0935672514619879</v>
      </c>
      <c r="AD37" t="str">
        <v>20220131</v>
      </c>
      <c r="AE37">
        <v>2.4299312</v>
      </c>
      <c r="AF37">
        <v>22.466498627402</v>
      </c>
      <c r="AG37">
        <v>76.099999999999994</v>
      </c>
      <c r="AH37">
        <v>57.5</v>
      </c>
      <c r="AI37">
        <v>57.4</v>
      </c>
      <c r="AJ37">
        <v>-65.381426202321705</v>
      </c>
      <c r="AK37">
        <v>60.5</v>
      </c>
      <c r="AL37">
        <v>223.163797370938</v>
      </c>
      <c r="AM37" s="3">
        <v>0.63259668508287303</v>
      </c>
      <c r="AN37" s="1">
        <f t="shared" si="10"/>
        <v>0</v>
      </c>
      <c r="AO37" s="1">
        <f t="shared" si="11"/>
        <v>1</v>
      </c>
      <c r="AP37" s="1">
        <f t="shared" si="12"/>
        <v>1</v>
      </c>
      <c r="AQ37" s="1">
        <f t="shared" si="13"/>
        <v>1</v>
      </c>
      <c r="AR37" s="1">
        <f t="shared" si="14"/>
        <v>1</v>
      </c>
      <c r="AS37" s="1">
        <f t="shared" si="15"/>
        <v>1</v>
      </c>
      <c r="AT37" s="1">
        <f t="shared" si="16"/>
        <v>1</v>
      </c>
      <c r="AU37" s="1">
        <f t="shared" si="17"/>
        <v>1</v>
      </c>
      <c r="AV37" s="1">
        <f t="shared" si="18"/>
        <v>1</v>
      </c>
      <c r="AW37">
        <f t="shared" si="19"/>
        <v>0.88888888888888884</v>
      </c>
      <c r="AY37" t="str">
        <v>02/07/2024</v>
      </c>
      <c r="AZ37">
        <v>62.7</v>
      </c>
      <c r="BA37">
        <v>17.899999999999999</v>
      </c>
      <c r="BB37">
        <f t="shared" si="21"/>
        <v>3.5027932960893859</v>
      </c>
    </row>
    <row r="38" spans="1:54" x14ac:dyDescent="0.3">
      <c r="A38" s="11">
        <v>45472</v>
      </c>
      <c r="B38">
        <v>0.470059880239521</v>
      </c>
      <c r="C38">
        <v>5460.48</v>
      </c>
      <c r="D38">
        <v>91.78</v>
      </c>
      <c r="E38">
        <v>2326.14</v>
      </c>
      <c r="F38">
        <v>81.650000000000006</v>
      </c>
      <c r="G38">
        <v>53.13</v>
      </c>
      <c r="H38" s="12">
        <f t="shared" si="0"/>
        <v>200.3096918784432</v>
      </c>
      <c r="I38" s="12">
        <f t="shared" si="1"/>
        <v>87.320267105814906</v>
      </c>
      <c r="J38" s="12">
        <f t="shared" si="4"/>
        <v>192.02782672193024</v>
      </c>
      <c r="K38" s="12">
        <f t="shared" si="5"/>
        <v>162.84369395164779</v>
      </c>
      <c r="L38" s="55">
        <v>20.980145453687701</v>
      </c>
      <c r="M38" s="55">
        <v>19.028308881497601</v>
      </c>
      <c r="N38" s="55">
        <v>242.15683790617501</v>
      </c>
      <c r="O38" s="55">
        <v>3.94941080878964</v>
      </c>
      <c r="P38" s="12">
        <f t="shared" si="2"/>
        <v>119.23173190327893</v>
      </c>
      <c r="Q38" s="12">
        <f t="shared" si="6"/>
        <v>111.15928457678895</v>
      </c>
      <c r="R38" s="12">
        <f t="shared" si="7"/>
        <v>87.933177597995765</v>
      </c>
      <c r="S38" s="12">
        <f t="shared" si="8"/>
        <v>106.9056345906351</v>
      </c>
      <c r="T38" s="55">
        <v>13.614765592421399</v>
      </c>
      <c r="U38" s="55">
        <v>12.5348025097418</v>
      </c>
      <c r="V38">
        <v>0.50507246376811599</v>
      </c>
      <c r="W38" s="12"/>
      <c r="X38" s="12"/>
      <c r="Y38" t="str">
        <v>20240112</v>
      </c>
      <c r="Z38">
        <v>48.5</v>
      </c>
      <c r="AA38">
        <v>19.100000000000001</v>
      </c>
      <c r="AB38">
        <f t="shared" si="20"/>
        <v>2.5392670157068062</v>
      </c>
      <c r="AD38" t="str">
        <v>20211231</v>
      </c>
      <c r="AE38">
        <v>3.0456020000000001</v>
      </c>
      <c r="AF38">
        <v>27.534767148324701</v>
      </c>
      <c r="AG38">
        <v>68.2</v>
      </c>
      <c r="AH38">
        <v>58.3</v>
      </c>
      <c r="AI38">
        <v>58.3</v>
      </c>
      <c r="AJ38">
        <v>-68.108459466988606</v>
      </c>
      <c r="AK38">
        <v>65.8</v>
      </c>
      <c r="AL38">
        <v>220.063869992593</v>
      </c>
      <c r="AM38" s="3">
        <v>0.61172161172161199</v>
      </c>
      <c r="AN38" s="1">
        <f t="shared" si="10"/>
        <v>0</v>
      </c>
      <c r="AO38" s="1">
        <f t="shared" si="11"/>
        <v>1</v>
      </c>
      <c r="AP38" s="1">
        <f t="shared" si="12"/>
        <v>1</v>
      </c>
      <c r="AQ38" s="1">
        <f t="shared" si="13"/>
        <v>1</v>
      </c>
      <c r="AR38" s="1">
        <f t="shared" si="14"/>
        <v>1</v>
      </c>
      <c r="AS38" s="1">
        <f t="shared" si="15"/>
        <v>1</v>
      </c>
      <c r="AT38" s="1">
        <f t="shared" si="16"/>
        <v>1</v>
      </c>
      <c r="AU38" s="1">
        <f t="shared" si="17"/>
        <v>1</v>
      </c>
      <c r="AV38" s="1">
        <f t="shared" si="18"/>
        <v>1</v>
      </c>
      <c r="AW38">
        <f t="shared" si="19"/>
        <v>0.88888888888888884</v>
      </c>
      <c r="AY38" t="str">
        <v>01/07/2024</v>
      </c>
      <c r="AZ38">
        <v>62.7</v>
      </c>
      <c r="BA38">
        <v>17.899999999999999</v>
      </c>
      <c r="BB38">
        <f t="shared" si="21"/>
        <v>3.5027932960893859</v>
      </c>
    </row>
    <row r="39" spans="1:54" x14ac:dyDescent="0.3">
      <c r="A39" s="11">
        <v>45471</v>
      </c>
      <c r="B39">
        <v>0.471471471471471</v>
      </c>
      <c r="C39">
        <v>5482.87</v>
      </c>
      <c r="D39">
        <v>93.52</v>
      </c>
      <c r="E39">
        <v>2327.9299999999998</v>
      </c>
      <c r="F39">
        <v>81.64</v>
      </c>
      <c r="G39">
        <v>53.08</v>
      </c>
      <c r="H39" s="12">
        <f t="shared" si="0"/>
        <v>197.44242934265324</v>
      </c>
      <c r="I39" s="12">
        <f t="shared" si="1"/>
        <v>87.610670569730217</v>
      </c>
      <c r="J39" s="12">
        <f t="shared" si="4"/>
        <v>192.83892976697413</v>
      </c>
      <c r="K39" s="12">
        <f t="shared" si="5"/>
        <v>163.6662152287949</v>
      </c>
      <c r="L39" s="55">
        <v>20.866915539060301</v>
      </c>
      <c r="M39" s="55">
        <v>19.0109667534153</v>
      </c>
      <c r="N39" s="55">
        <v>241.91486194825799</v>
      </c>
      <c r="O39" s="55">
        <v>3.96659845817691</v>
      </c>
      <c r="P39" s="12">
        <f t="shared" si="2"/>
        <v>118.59920110138212</v>
      </c>
      <c r="Q39" s="12">
        <f t="shared" si="6"/>
        <v>109.02804574422161</v>
      </c>
      <c r="R39" s="12">
        <f t="shared" si="7"/>
        <v>87.782989870019762</v>
      </c>
      <c r="S39" s="12">
        <f t="shared" si="8"/>
        <v>106.81809871803374</v>
      </c>
      <c r="T39" s="55">
        <v>13.5962316173121</v>
      </c>
      <c r="U39" s="55">
        <v>12.5504356968253</v>
      </c>
      <c r="V39">
        <v>0.50906453952139197</v>
      </c>
      <c r="W39" s="12"/>
      <c r="X39" s="12"/>
      <c r="Y39" t="str">
        <v>20240105</v>
      </c>
      <c r="Z39">
        <v>54.4</v>
      </c>
      <c r="AA39">
        <v>17.7</v>
      </c>
      <c r="AB39">
        <f t="shared" si="20"/>
        <v>3.0734463276836159</v>
      </c>
      <c r="AD39" t="str">
        <v>20211130</v>
      </c>
      <c r="AE39">
        <v>4.4511304000000003</v>
      </c>
      <c r="AF39">
        <v>36.305678413032801</v>
      </c>
      <c r="AG39">
        <v>82.4</v>
      </c>
      <c r="AH39">
        <v>60.1</v>
      </c>
      <c r="AI39">
        <v>60.7</v>
      </c>
      <c r="AJ39">
        <v>-67.587105451183106</v>
      </c>
      <c r="AK39">
        <v>69.5</v>
      </c>
      <c r="AL39">
        <v>216.52685558636799</v>
      </c>
      <c r="AM39" s="3">
        <v>0.71087533156498695</v>
      </c>
      <c r="AN39" s="1">
        <f t="shared" ref="AN39:AN70" si="22">IF(ISNA(AE39),AN40,IF(AE39&gt;AVERAGE(AE40:AE45),1,IF(AE39&lt;=AVERAGE(AE40:AE45),0,AN40)))</f>
        <v>0</v>
      </c>
      <c r="AO39" s="1">
        <f t="shared" ref="AO39:AO70" si="23">IF(AF39&gt;0,1,0)</f>
        <v>1</v>
      </c>
      <c r="AP39" s="1">
        <f t="shared" ref="AP39:AP70" si="24">IF(AG39&gt;50,1,0)</f>
        <v>1</v>
      </c>
      <c r="AQ39" s="1">
        <f t="shared" ref="AQ39:AQ70" si="25">IF(AH39&gt;50,1,0)</f>
        <v>1</v>
      </c>
      <c r="AR39" s="1">
        <f t="shared" ref="AR39:AR70" si="26">IF(AI39&gt;50,1,0)</f>
        <v>1</v>
      </c>
      <c r="AS39" s="1">
        <f t="shared" ref="AS39:AS70" si="27">IF(AJ39&lt;0,1,0)</f>
        <v>1</v>
      </c>
      <c r="AT39" s="1">
        <f t="shared" ref="AT39:AT70" si="28">IF(AK39&gt;50,1,0)</f>
        <v>1</v>
      </c>
      <c r="AU39" s="1">
        <f t="shared" ref="AU39:AU70" si="29">IF(ISNA(AL39),AU40,IF(AL39&gt;AVERAGE(AL40:AL45),1,IF(AL39&lt;=AVERAGE(AL40:AL45),0,AU40)))</f>
        <v>1</v>
      </c>
      <c r="AV39" s="1">
        <f t="shared" ref="AV39:AV70" si="30">IF(AM39&gt;0.5,1,0)</f>
        <v>1</v>
      </c>
      <c r="AW39">
        <f t="shared" ref="AW39:AW70" si="31">SUM(AN39:AV39)/9</f>
        <v>0.88888888888888884</v>
      </c>
      <c r="AY39" t="str">
        <v>28/06/2024</v>
      </c>
      <c r="AZ39">
        <v>63.1</v>
      </c>
      <c r="BA39">
        <v>16.899999999999999</v>
      </c>
      <c r="BB39">
        <f t="shared" si="21"/>
        <v>3.7337278106508878</v>
      </c>
    </row>
    <row r="40" spans="1:54" x14ac:dyDescent="0.3">
      <c r="A40" s="11">
        <v>45470</v>
      </c>
      <c r="B40">
        <v>0.46749226006192002</v>
      </c>
      <c r="C40">
        <v>5477.9</v>
      </c>
      <c r="D40">
        <v>93.15</v>
      </c>
      <c r="E40">
        <v>2298.19</v>
      </c>
      <c r="F40">
        <v>81.58</v>
      </c>
      <c r="G40">
        <v>52.98</v>
      </c>
      <c r="H40" s="12">
        <f t="shared" si="0"/>
        <v>198.04941237841146</v>
      </c>
      <c r="I40" s="12">
        <f t="shared" si="1"/>
        <v>88.67775989452737</v>
      </c>
      <c r="J40" s="12">
        <f t="shared" si="4"/>
        <v>192.80580426319597</v>
      </c>
      <c r="K40" s="12">
        <f t="shared" si="5"/>
        <v>163.82680198406948</v>
      </c>
      <c r="L40" s="55">
        <v>20.6629776647206</v>
      </c>
      <c r="M40" s="55">
        <v>18.915852381626198</v>
      </c>
      <c r="N40" s="55">
        <v>241.30589094885599</v>
      </c>
      <c r="O40" s="55">
        <v>3.9471667750312101</v>
      </c>
      <c r="P40" s="12">
        <f t="shared" si="2"/>
        <v>118.88444019194907</v>
      </c>
      <c r="Q40" s="12">
        <f t="shared" si="6"/>
        <v>109.25579855855922</v>
      </c>
      <c r="R40" s="12">
        <f t="shared" si="7"/>
        <v>88.764109672744297</v>
      </c>
      <c r="S40" s="12">
        <f t="shared" si="8"/>
        <v>106.69518263074748</v>
      </c>
      <c r="T40" s="55">
        <v>13.507935187468901</v>
      </c>
      <c r="U40" s="55">
        <v>12.5197425778035</v>
      </c>
      <c r="V40">
        <v>0.51345454545454505</v>
      </c>
      <c r="W40" s="12"/>
      <c r="X40" s="12"/>
      <c r="Y40" t="str">
        <v>20231229</v>
      </c>
      <c r="Z40">
        <v>57.1</v>
      </c>
      <c r="AA40">
        <v>17.2</v>
      </c>
      <c r="AB40">
        <f t="shared" si="20"/>
        <v>3.3197674418604652</v>
      </c>
      <c r="AD40" t="str">
        <v>20211029</v>
      </c>
      <c r="AE40">
        <v>3.9664090000000001</v>
      </c>
      <c r="AF40">
        <v>37.389818727565498</v>
      </c>
      <c r="AG40">
        <v>85.7</v>
      </c>
      <c r="AH40">
        <v>58.5</v>
      </c>
      <c r="AI40">
        <v>60.5</v>
      </c>
      <c r="AJ40">
        <v>-69.985009019996497</v>
      </c>
      <c r="AK40">
        <v>68.8</v>
      </c>
      <c r="AL40">
        <v>213.41232537845599</v>
      </c>
      <c r="AM40" s="3">
        <v>0.63106796116504904</v>
      </c>
      <c r="AN40" s="1">
        <f t="shared" si="22"/>
        <v>0</v>
      </c>
      <c r="AO40" s="1">
        <f t="shared" si="23"/>
        <v>1</v>
      </c>
      <c r="AP40" s="1">
        <f t="shared" si="24"/>
        <v>1</v>
      </c>
      <c r="AQ40" s="1">
        <f t="shared" si="25"/>
        <v>1</v>
      </c>
      <c r="AR40" s="1">
        <f t="shared" si="26"/>
        <v>1</v>
      </c>
      <c r="AS40" s="1">
        <f t="shared" si="27"/>
        <v>1</v>
      </c>
      <c r="AT40" s="1">
        <f t="shared" si="28"/>
        <v>1</v>
      </c>
      <c r="AU40" s="1">
        <f t="shared" si="29"/>
        <v>1</v>
      </c>
      <c r="AV40" s="1">
        <f t="shared" si="30"/>
        <v>1</v>
      </c>
      <c r="AW40">
        <f t="shared" si="31"/>
        <v>0.88888888888888884</v>
      </c>
      <c r="AY40" t="str">
        <v>27/06/2024</v>
      </c>
      <c r="AZ40">
        <v>63.1</v>
      </c>
      <c r="BA40">
        <v>16.899999999999999</v>
      </c>
      <c r="BB40">
        <f t="shared" si="21"/>
        <v>3.7337278106508878</v>
      </c>
    </row>
    <row r="41" spans="1:54" x14ac:dyDescent="0.3">
      <c r="A41" s="11">
        <v>45469</v>
      </c>
      <c r="B41">
        <v>0.488958990536278</v>
      </c>
      <c r="C41">
        <v>5469.3</v>
      </c>
      <c r="D41">
        <v>94.5</v>
      </c>
      <c r="E41">
        <v>2319.7600000000002</v>
      </c>
      <c r="F41">
        <v>81.66</v>
      </c>
      <c r="G41">
        <v>53.29</v>
      </c>
      <c r="H41" s="12">
        <f t="shared" si="0"/>
        <v>194.95774754619939</v>
      </c>
      <c r="I41" s="12">
        <f t="shared" si="1"/>
        <v>87.724129395176249</v>
      </c>
      <c r="J41" s="12">
        <f t="shared" si="4"/>
        <v>192.31500001740196</v>
      </c>
      <c r="K41" s="12">
        <f t="shared" si="5"/>
        <v>162.62506136056089</v>
      </c>
      <c r="L41" s="55">
        <v>20.456960937428001</v>
      </c>
      <c r="M41" s="55">
        <v>18.809265058940898</v>
      </c>
      <c r="N41" s="55">
        <v>240.29967097490999</v>
      </c>
      <c r="O41" s="55">
        <v>3.9294318084224198</v>
      </c>
      <c r="P41" s="12">
        <f t="shared" si="2"/>
        <v>118.92321057514773</v>
      </c>
      <c r="Q41" s="12">
        <f t="shared" si="6"/>
        <v>108.33833667730677</v>
      </c>
      <c r="R41" s="12">
        <f t="shared" si="7"/>
        <v>88.456180510943923</v>
      </c>
      <c r="S41" s="12">
        <f t="shared" si="8"/>
        <v>107.21383542276361</v>
      </c>
      <c r="T41" s="55">
        <v>13.439222553808699</v>
      </c>
      <c r="U41" s="55">
        <v>12.4711563809706</v>
      </c>
      <c r="V41">
        <v>0.51434878587196498</v>
      </c>
      <c r="W41" s="12"/>
      <c r="X41" s="12"/>
      <c r="Y41" t="str">
        <v>20231222</v>
      </c>
      <c r="Z41" t="e">
        <v>#N/A</v>
      </c>
      <c r="AA41" t="e">
        <v>#N/A</v>
      </c>
      <c r="AB41" t="str">
        <f t="shared" si="20"/>
        <v/>
      </c>
      <c r="AD41" t="str">
        <v>20210930</v>
      </c>
      <c r="AE41">
        <v>3.2370994</v>
      </c>
      <c r="AF41">
        <v>35.317939113678598</v>
      </c>
      <c r="AG41">
        <v>81.2</v>
      </c>
      <c r="AH41">
        <v>58.9</v>
      </c>
      <c r="AI41">
        <v>60.5</v>
      </c>
      <c r="AJ41">
        <v>-77.013341226716307</v>
      </c>
      <c r="AK41">
        <v>62.8</v>
      </c>
      <c r="AL41">
        <v>210.62352023901701</v>
      </c>
      <c r="AM41" s="3">
        <v>0.570977917981073</v>
      </c>
      <c r="AN41" s="1">
        <f t="shared" si="22"/>
        <v>0</v>
      </c>
      <c r="AO41" s="1">
        <f t="shared" si="23"/>
        <v>1</v>
      </c>
      <c r="AP41" s="1">
        <f t="shared" si="24"/>
        <v>1</v>
      </c>
      <c r="AQ41" s="1">
        <f t="shared" si="25"/>
        <v>1</v>
      </c>
      <c r="AR41" s="1">
        <f t="shared" si="26"/>
        <v>1</v>
      </c>
      <c r="AS41" s="1">
        <f t="shared" si="27"/>
        <v>1</v>
      </c>
      <c r="AT41" s="1">
        <f t="shared" si="28"/>
        <v>1</v>
      </c>
      <c r="AU41" s="1">
        <f t="shared" si="29"/>
        <v>1</v>
      </c>
      <c r="AV41" s="1">
        <f t="shared" si="30"/>
        <v>1</v>
      </c>
      <c r="AW41">
        <f t="shared" si="31"/>
        <v>0.88888888888888884</v>
      </c>
      <c r="AY41" t="str">
        <v>26/06/2024</v>
      </c>
      <c r="AZ41">
        <v>63.1</v>
      </c>
      <c r="BA41">
        <v>16.899999999999999</v>
      </c>
      <c r="BB41">
        <f t="shared" si="21"/>
        <v>3.7337278106508878</v>
      </c>
    </row>
    <row r="42" spans="1:54" x14ac:dyDescent="0.3">
      <c r="A42" s="11">
        <v>45468</v>
      </c>
      <c r="B42">
        <v>0.49038461538461497</v>
      </c>
      <c r="C42">
        <v>5447.87</v>
      </c>
      <c r="D42">
        <v>94.34</v>
      </c>
      <c r="E42">
        <v>2334.66</v>
      </c>
      <c r="F42">
        <v>81.650000000000006</v>
      </c>
      <c r="G42">
        <v>53.24</v>
      </c>
      <c r="H42" s="12">
        <f t="shared" si="0"/>
        <v>194.52247350737585</v>
      </c>
      <c r="I42" s="12">
        <f t="shared" si="1"/>
        <v>86.828430482872335</v>
      </c>
      <c r="J42" s="12">
        <f t="shared" si="4"/>
        <v>191.58483696606584</v>
      </c>
      <c r="K42" s="12">
        <f t="shared" si="5"/>
        <v>162.13953388409533</v>
      </c>
      <c r="L42" s="55">
        <v>20.030760536218398</v>
      </c>
      <c r="M42" s="55">
        <v>18.435589599035598</v>
      </c>
      <c r="N42" s="55">
        <v>239.85027145649801</v>
      </c>
      <c r="O42" s="55">
        <v>3.8930522877639002</v>
      </c>
      <c r="P42" s="12">
        <f t="shared" si="2"/>
        <v>119.81838120291114</v>
      </c>
      <c r="Q42" s="12">
        <f t="shared" si="6"/>
        <v>108.42039462206584</v>
      </c>
      <c r="R42" s="12">
        <f t="shared" si="7"/>
        <v>87.81327937328571</v>
      </c>
      <c r="S42" s="12">
        <f t="shared" si="8"/>
        <v>107.126348598341</v>
      </c>
      <c r="T42" s="55">
        <v>13.1458068855771</v>
      </c>
      <c r="U42" s="55">
        <v>12.170701380301001</v>
      </c>
      <c r="V42">
        <v>0.51749813849590498</v>
      </c>
      <c r="W42" s="12"/>
      <c r="X42" s="12"/>
      <c r="Y42" t="str">
        <v>20231215</v>
      </c>
      <c r="Z42">
        <v>56.9</v>
      </c>
      <c r="AA42">
        <v>18.100000000000001</v>
      </c>
      <c r="AB42">
        <f t="shared" si="20"/>
        <v>3.1436464088397789</v>
      </c>
      <c r="AD42" t="str">
        <v>20210831</v>
      </c>
      <c r="AE42">
        <v>4.2862773000000001</v>
      </c>
      <c r="AF42">
        <v>39.375263286865703</v>
      </c>
      <c r="AG42">
        <v>79.400000000000006</v>
      </c>
      <c r="AH42">
        <v>60.3</v>
      </c>
      <c r="AI42">
        <v>59.6</v>
      </c>
      <c r="AJ42">
        <v>-79.712471721520799</v>
      </c>
      <c r="AK42">
        <v>60</v>
      </c>
      <c r="AL42">
        <v>209.26628624980299</v>
      </c>
      <c r="AM42" s="3">
        <v>0.78645833333333304</v>
      </c>
      <c r="AN42" s="1">
        <f t="shared" si="22"/>
        <v>0</v>
      </c>
      <c r="AO42" s="1">
        <f t="shared" si="23"/>
        <v>1</v>
      </c>
      <c r="AP42" s="1">
        <f t="shared" si="24"/>
        <v>1</v>
      </c>
      <c r="AQ42" s="1">
        <f t="shared" si="25"/>
        <v>1</v>
      </c>
      <c r="AR42" s="1">
        <f t="shared" si="26"/>
        <v>1</v>
      </c>
      <c r="AS42" s="1">
        <f t="shared" si="27"/>
        <v>1</v>
      </c>
      <c r="AT42" s="1">
        <f t="shared" si="28"/>
        <v>1</v>
      </c>
      <c r="AU42" s="1">
        <f t="shared" si="29"/>
        <v>1</v>
      </c>
      <c r="AV42" s="1">
        <f t="shared" si="30"/>
        <v>1</v>
      </c>
      <c r="AW42">
        <f t="shared" si="31"/>
        <v>0.88888888888888884</v>
      </c>
      <c r="AY42" t="str">
        <v>25/06/2024</v>
      </c>
      <c r="AZ42">
        <v>63.1</v>
      </c>
      <c r="BA42">
        <v>16.899999999999999</v>
      </c>
      <c r="BB42">
        <f t="shared" si="21"/>
        <v>3.7337278106508878</v>
      </c>
    </row>
    <row r="43" spans="1:54" x14ac:dyDescent="0.3">
      <c r="A43" s="11">
        <v>45465</v>
      </c>
      <c r="B43">
        <v>0.49393939393939401</v>
      </c>
      <c r="C43">
        <v>5464.62</v>
      </c>
      <c r="D43">
        <v>93.96</v>
      </c>
      <c r="E43">
        <v>2321.5100000000002</v>
      </c>
      <c r="F43">
        <v>81.64</v>
      </c>
      <c r="G43">
        <v>52.89</v>
      </c>
      <c r="H43" s="12">
        <f t="shared" si="0"/>
        <v>195.91532293988737</v>
      </c>
      <c r="I43" s="12">
        <f t="shared" si="1"/>
        <v>87.593082058267157</v>
      </c>
      <c r="J43" s="12">
        <f t="shared" si="4"/>
        <v>192.19749742072813</v>
      </c>
      <c r="K43" s="12">
        <f t="shared" si="5"/>
        <v>163.72482901085098</v>
      </c>
      <c r="L43" s="55">
        <v>19.7842690426763</v>
      </c>
      <c r="M43" s="55">
        <v>18.209531784963001</v>
      </c>
      <c r="N43" s="55">
        <v>239.75416256546799</v>
      </c>
      <c r="O43" s="55">
        <v>3.9027012864532402</v>
      </c>
      <c r="P43" s="12">
        <f t="shared" si="2"/>
        <v>119.47509888696901</v>
      </c>
      <c r="Q43" s="12">
        <f t="shared" si="6"/>
        <v>108.14211965630824</v>
      </c>
      <c r="R43" s="12">
        <f t="shared" si="7"/>
        <v>87.729664989214697</v>
      </c>
      <c r="S43" s="12">
        <f t="shared" si="8"/>
        <v>106.43505091404973</v>
      </c>
      <c r="T43" s="55">
        <v>13.145227987275801</v>
      </c>
      <c r="U43" s="55">
        <v>12.2110317695943</v>
      </c>
      <c r="V43">
        <v>0.50616388687454705</v>
      </c>
      <c r="W43" s="12"/>
      <c r="X43" s="12"/>
      <c r="Y43" t="str">
        <v>20231208</v>
      </c>
      <c r="Z43">
        <v>55.6</v>
      </c>
      <c r="AA43">
        <v>19.399999999999999</v>
      </c>
      <c r="AB43">
        <f t="shared" si="20"/>
        <v>2.8659793814432994</v>
      </c>
      <c r="AD43" t="str">
        <v>20210730</v>
      </c>
      <c r="AE43">
        <v>5.3293714999999997</v>
      </c>
      <c r="AF43">
        <v>43.849200009372801</v>
      </c>
      <c r="AG43">
        <v>85.7</v>
      </c>
      <c r="AH43">
        <v>59.6</v>
      </c>
      <c r="AI43">
        <v>60</v>
      </c>
      <c r="AJ43">
        <v>-81.588084459003497</v>
      </c>
      <c r="AK43">
        <v>65.8</v>
      </c>
      <c r="AL43">
        <v>205.81457396787599</v>
      </c>
      <c r="AM43" s="3">
        <v>0.81472684085510705</v>
      </c>
      <c r="AN43" s="1">
        <f t="shared" si="22"/>
        <v>0</v>
      </c>
      <c r="AO43" s="1">
        <f t="shared" si="23"/>
        <v>1</v>
      </c>
      <c r="AP43" s="1">
        <f t="shared" si="24"/>
        <v>1</v>
      </c>
      <c r="AQ43" s="1">
        <f t="shared" si="25"/>
        <v>1</v>
      </c>
      <c r="AR43" s="1">
        <f t="shared" si="26"/>
        <v>1</v>
      </c>
      <c r="AS43" s="1">
        <f t="shared" si="27"/>
        <v>1</v>
      </c>
      <c r="AT43" s="1">
        <f t="shared" si="28"/>
        <v>1</v>
      </c>
      <c r="AU43" s="1">
        <f t="shared" si="29"/>
        <v>1</v>
      </c>
      <c r="AV43" s="1">
        <f t="shared" si="30"/>
        <v>1</v>
      </c>
      <c r="AW43">
        <f t="shared" si="31"/>
        <v>0.88888888888888884</v>
      </c>
      <c r="AY43" t="str">
        <v>24/06/2024</v>
      </c>
      <c r="AZ43">
        <v>63.1</v>
      </c>
      <c r="BA43">
        <v>16.899999999999999</v>
      </c>
      <c r="BB43">
        <f t="shared" si="21"/>
        <v>3.7337278106508878</v>
      </c>
    </row>
    <row r="44" spans="1:54" x14ac:dyDescent="0.3">
      <c r="A44" s="11">
        <v>45464</v>
      </c>
      <c r="B44">
        <v>0.51515151515151503</v>
      </c>
      <c r="C44">
        <v>5473.17</v>
      </c>
      <c r="D44">
        <v>93.96</v>
      </c>
      <c r="E44">
        <v>2360</v>
      </c>
      <c r="F44">
        <v>81.61</v>
      </c>
      <c r="G44">
        <v>53.2</v>
      </c>
      <c r="H44" s="12">
        <f t="shared" si="0"/>
        <v>196.22185404564334</v>
      </c>
      <c r="I44" s="12">
        <f t="shared" si="1"/>
        <v>86.320105985082705</v>
      </c>
      <c r="J44" s="12">
        <f t="shared" si="4"/>
        <v>192.56911112797832</v>
      </c>
      <c r="K44" s="12">
        <f t="shared" si="5"/>
        <v>163.02952411874426</v>
      </c>
      <c r="L44" s="55">
        <v>18.827059765221399</v>
      </c>
      <c r="M44" s="55">
        <v>17.2079220497662</v>
      </c>
      <c r="N44" s="55">
        <v>239.72778290997701</v>
      </c>
      <c r="O44" s="55">
        <v>3.8083765917119501</v>
      </c>
      <c r="P44" s="12">
        <f t="shared" si="2"/>
        <v>122.49555144164096</v>
      </c>
      <c r="Q44" s="12">
        <f t="shared" si="6"/>
        <v>108.77596456259404</v>
      </c>
      <c r="R44" s="12">
        <f t="shared" si="7"/>
        <v>86.819599859642253</v>
      </c>
      <c r="S44" s="12">
        <f t="shared" si="8"/>
        <v>107.09849068694598</v>
      </c>
      <c r="T44" s="55">
        <v>12.790747591070801</v>
      </c>
      <c r="U44" s="55">
        <v>11.8265673111373</v>
      </c>
      <c r="V44">
        <v>0.50143884892086299</v>
      </c>
      <c r="W44" s="12"/>
      <c r="X44" s="12"/>
      <c r="Y44" t="str">
        <v>20231201</v>
      </c>
      <c r="Z44">
        <v>55.1</v>
      </c>
      <c r="AA44">
        <v>21.7</v>
      </c>
      <c r="AB44">
        <f t="shared" si="20"/>
        <v>2.5391705069124426</v>
      </c>
      <c r="AD44" t="str">
        <v>20210630</v>
      </c>
      <c r="AE44">
        <v>8.6979474999999997</v>
      </c>
      <c r="AF44">
        <v>44.7057724498342</v>
      </c>
      <c r="AG44">
        <v>92.1</v>
      </c>
      <c r="AH44">
        <v>60.7</v>
      </c>
      <c r="AI44">
        <v>61.4</v>
      </c>
      <c r="AJ44">
        <v>-81.355884266199098</v>
      </c>
      <c r="AK44">
        <v>61.8</v>
      </c>
      <c r="AL44">
        <v>198.394967991491</v>
      </c>
      <c r="AM44" s="3">
        <v>0.75223880597014903</v>
      </c>
      <c r="AN44" s="1">
        <f t="shared" si="22"/>
        <v>1</v>
      </c>
      <c r="AO44" s="1">
        <f t="shared" si="23"/>
        <v>1</v>
      </c>
      <c r="AP44" s="1">
        <f t="shared" si="24"/>
        <v>1</v>
      </c>
      <c r="AQ44" s="1">
        <f t="shared" si="25"/>
        <v>1</v>
      </c>
      <c r="AR44" s="1">
        <f t="shared" si="26"/>
        <v>1</v>
      </c>
      <c r="AS44" s="1">
        <f t="shared" si="27"/>
        <v>1</v>
      </c>
      <c r="AT44" s="1">
        <f t="shared" si="28"/>
        <v>1</v>
      </c>
      <c r="AU44" s="1">
        <f t="shared" si="29"/>
        <v>1</v>
      </c>
      <c r="AV44" s="1">
        <f t="shared" si="30"/>
        <v>1</v>
      </c>
      <c r="AW44">
        <f t="shared" si="31"/>
        <v>1</v>
      </c>
      <c r="AY44" t="str">
        <v>21/06/2024</v>
      </c>
      <c r="AZ44">
        <v>61.5</v>
      </c>
      <c r="BA44">
        <v>18.5</v>
      </c>
      <c r="BB44">
        <f t="shared" si="21"/>
        <v>3.3243243243243241</v>
      </c>
    </row>
    <row r="45" spans="1:54" x14ac:dyDescent="0.3">
      <c r="A45" s="11">
        <v>45462</v>
      </c>
      <c r="B45">
        <v>0.51735015772870696</v>
      </c>
      <c r="C45">
        <v>5487.03</v>
      </c>
      <c r="D45">
        <v>94.59</v>
      </c>
      <c r="E45">
        <v>2329.41</v>
      </c>
      <c r="F45">
        <v>81.64</v>
      </c>
      <c r="G45">
        <v>53.2</v>
      </c>
      <c r="H45" s="12">
        <f t="shared" si="0"/>
        <v>195.41394112808368</v>
      </c>
      <c r="I45" s="12">
        <f t="shared" si="1"/>
        <v>87.693209532717773</v>
      </c>
      <c r="J45" s="12">
        <f t="shared" si="4"/>
        <v>192.98566871330425</v>
      </c>
      <c r="K45" s="12">
        <f t="shared" si="5"/>
        <v>163.44237246883858</v>
      </c>
      <c r="L45" s="55">
        <v>19.243795629657701</v>
      </c>
      <c r="M45" s="55">
        <v>17.6891163676082</v>
      </c>
      <c r="N45" s="55">
        <v>239.31633557981601</v>
      </c>
      <c r="O45" s="55">
        <v>3.8136829197546001</v>
      </c>
      <c r="P45" s="12">
        <f t="shared" si="2"/>
        <v>122.1156918492692</v>
      </c>
      <c r="Q45" s="12">
        <f t="shared" si="6"/>
        <v>108.05627481596061</v>
      </c>
      <c r="R45" s="12">
        <f t="shared" si="7"/>
        <v>87.974893253516711</v>
      </c>
      <c r="S45" s="12">
        <f t="shared" si="8"/>
        <v>107.05914998998738</v>
      </c>
      <c r="T45" s="55">
        <v>12.8778156968595</v>
      </c>
      <c r="U45" s="55">
        <v>11.942909921002901</v>
      </c>
      <c r="V45">
        <v>0.50073313782991202</v>
      </c>
      <c r="W45" s="12"/>
      <c r="X45" s="12"/>
      <c r="Y45" t="str">
        <v>20231124</v>
      </c>
      <c r="Z45">
        <v>55.7</v>
      </c>
      <c r="AA45">
        <v>21.4</v>
      </c>
      <c r="AB45">
        <f t="shared" si="20"/>
        <v>2.6028037383177574</v>
      </c>
      <c r="AD45" t="str">
        <v>20210531</v>
      </c>
      <c r="AE45">
        <v>15.318891000000001</v>
      </c>
      <c r="AF45">
        <v>40.174290117188903</v>
      </c>
      <c r="AG45">
        <v>88</v>
      </c>
      <c r="AH45">
        <v>60.7</v>
      </c>
      <c r="AI45">
        <v>61.7</v>
      </c>
      <c r="AJ45">
        <v>-82.348079345088195</v>
      </c>
      <c r="AK45">
        <v>67.2</v>
      </c>
      <c r="AL45">
        <v>195.633588608369</v>
      </c>
      <c r="AM45" s="3">
        <v>0.80357142857142905</v>
      </c>
      <c r="AN45" s="1">
        <f t="shared" si="22"/>
        <v>1</v>
      </c>
      <c r="AO45" s="1">
        <f t="shared" si="23"/>
        <v>1</v>
      </c>
      <c r="AP45" s="1">
        <f t="shared" si="24"/>
        <v>1</v>
      </c>
      <c r="AQ45" s="1">
        <f t="shared" si="25"/>
        <v>1</v>
      </c>
      <c r="AR45" s="1">
        <f t="shared" si="26"/>
        <v>1</v>
      </c>
      <c r="AS45" s="1">
        <f t="shared" si="27"/>
        <v>1</v>
      </c>
      <c r="AT45" s="1">
        <f t="shared" si="28"/>
        <v>1</v>
      </c>
      <c r="AU45" s="1">
        <f t="shared" si="29"/>
        <v>1</v>
      </c>
      <c r="AV45" s="1">
        <f t="shared" si="30"/>
        <v>1</v>
      </c>
      <c r="AW45">
        <f t="shared" si="31"/>
        <v>1</v>
      </c>
      <c r="AY45" t="str">
        <v>20/06/2024</v>
      </c>
      <c r="AZ45">
        <v>61.5</v>
      </c>
      <c r="BA45">
        <v>18.5</v>
      </c>
      <c r="BB45">
        <f t="shared" si="21"/>
        <v>3.3243243243243241</v>
      </c>
    </row>
    <row r="46" spans="1:54" x14ac:dyDescent="0.3">
      <c r="A46" s="11">
        <v>45461</v>
      </c>
      <c r="B46">
        <v>0.53398058252427205</v>
      </c>
      <c r="C46">
        <v>5473.23</v>
      </c>
      <c r="D46">
        <v>93.73</v>
      </c>
      <c r="E46">
        <v>2319.0300000000002</v>
      </c>
      <c r="F46">
        <v>81.53</v>
      </c>
      <c r="G46">
        <v>52.91</v>
      </c>
      <c r="H46" s="12">
        <f t="shared" si="0"/>
        <v>196.72292121449328</v>
      </c>
      <c r="I46" s="12">
        <f t="shared" si="1"/>
        <v>87.864954440391173</v>
      </c>
      <c r="J46" s="12">
        <f t="shared" si="4"/>
        <v>192.75972223282389</v>
      </c>
      <c r="K46" s="12">
        <f t="shared" si="5"/>
        <v>163.9275393665483</v>
      </c>
      <c r="L46" s="55">
        <v>19.518441903305899</v>
      </c>
      <c r="M46" s="55">
        <v>18.1175419624462</v>
      </c>
      <c r="N46" s="55">
        <v>239.392829255339</v>
      </c>
      <c r="O46" s="55">
        <v>3.81182101862038</v>
      </c>
      <c r="P46" s="12">
        <f t="shared" si="2"/>
        <v>122.21443946967527</v>
      </c>
      <c r="Q46" s="12">
        <f t="shared" si="6"/>
        <v>108.45694571050772</v>
      </c>
      <c r="R46" s="12">
        <f t="shared" si="7"/>
        <v>87.886567594521708</v>
      </c>
      <c r="S46" s="12">
        <f t="shared" si="8"/>
        <v>106.61862222138437</v>
      </c>
      <c r="T46" s="55">
        <v>13.145900680086401</v>
      </c>
      <c r="U46" s="55">
        <v>12.2887557835286</v>
      </c>
      <c r="V46">
        <v>0.49743213499633199</v>
      </c>
      <c r="W46" s="12"/>
      <c r="X46" s="12"/>
      <c r="Y46" t="str">
        <v>20231117</v>
      </c>
      <c r="Z46">
        <v>52.2</v>
      </c>
      <c r="AA46">
        <v>22.4</v>
      </c>
      <c r="AB46">
        <f t="shared" si="20"/>
        <v>2.3303571428571432</v>
      </c>
      <c r="AD46" t="str">
        <v>20210430</v>
      </c>
      <c r="AE46">
        <v>16.119871</v>
      </c>
      <c r="AF46">
        <v>37.745234062592502</v>
      </c>
      <c r="AG46">
        <v>89.6</v>
      </c>
      <c r="AH46">
        <v>63.1</v>
      </c>
      <c r="AI46">
        <v>60.9</v>
      </c>
      <c r="AJ46">
        <v>-77.797087834664197</v>
      </c>
      <c r="AK46">
        <v>64.099999999999994</v>
      </c>
      <c r="AL46">
        <v>190.340462452211</v>
      </c>
      <c r="AM46" s="3">
        <v>0.76832151300236395</v>
      </c>
      <c r="AN46" s="1">
        <f t="shared" si="22"/>
        <v>1</v>
      </c>
      <c r="AO46" s="1">
        <f t="shared" si="23"/>
        <v>1</v>
      </c>
      <c r="AP46" s="1">
        <f t="shared" si="24"/>
        <v>1</v>
      </c>
      <c r="AQ46" s="1">
        <f t="shared" si="25"/>
        <v>1</v>
      </c>
      <c r="AR46" s="1">
        <f t="shared" si="26"/>
        <v>1</v>
      </c>
      <c r="AS46" s="1">
        <f t="shared" si="27"/>
        <v>1</v>
      </c>
      <c r="AT46" s="1">
        <f t="shared" si="28"/>
        <v>1</v>
      </c>
      <c r="AU46" s="1">
        <f t="shared" si="29"/>
        <v>1</v>
      </c>
      <c r="AV46" s="1">
        <f t="shared" si="30"/>
        <v>1</v>
      </c>
      <c r="AW46">
        <f t="shared" si="31"/>
        <v>1</v>
      </c>
      <c r="AY46" t="str">
        <v>19/06/2024</v>
      </c>
      <c r="AZ46">
        <v>61.5</v>
      </c>
      <c r="BA46">
        <v>18.5</v>
      </c>
      <c r="BB46">
        <f t="shared" si="21"/>
        <v>3.3243243243243241</v>
      </c>
    </row>
    <row r="47" spans="1:54" x14ac:dyDescent="0.3">
      <c r="A47" s="11">
        <v>45458</v>
      </c>
      <c r="B47">
        <v>0.546875</v>
      </c>
      <c r="C47">
        <v>5431.6</v>
      </c>
      <c r="D47">
        <v>94.67</v>
      </c>
      <c r="E47">
        <v>2332.9</v>
      </c>
      <c r="F47">
        <v>81.61</v>
      </c>
      <c r="G47">
        <v>52.73</v>
      </c>
      <c r="H47" s="12">
        <f t="shared" si="0"/>
        <v>193.32168975061262</v>
      </c>
      <c r="I47" s="12">
        <f t="shared" si="1"/>
        <v>86.685186550097214</v>
      </c>
      <c r="J47" s="12">
        <f t="shared" si="4"/>
        <v>191.10765762916949</v>
      </c>
      <c r="K47" s="12">
        <f t="shared" si="5"/>
        <v>163.23366704292519</v>
      </c>
      <c r="L47" s="55">
        <v>19.453731842031999</v>
      </c>
      <c r="M47" s="55">
        <v>18.0954720787506</v>
      </c>
      <c r="N47" s="55">
        <v>238.65818370586999</v>
      </c>
      <c r="O47" s="55">
        <v>3.84568357648324</v>
      </c>
      <c r="P47" s="12">
        <f t="shared" si="2"/>
        <v>120.77915137849617</v>
      </c>
      <c r="Q47" s="12">
        <f t="shared" si="6"/>
        <v>107.02887607277759</v>
      </c>
      <c r="R47" s="12">
        <f t="shared" si="7"/>
        <v>87.071663340478139</v>
      </c>
      <c r="S47" s="12">
        <f t="shared" si="8"/>
        <v>106.1522012782968</v>
      </c>
      <c r="T47" s="55">
        <v>13.019017473399799</v>
      </c>
      <c r="U47" s="55">
        <v>12.168619455162901</v>
      </c>
      <c r="V47">
        <v>0.51069900142653402</v>
      </c>
      <c r="W47" s="12"/>
      <c r="X47" s="12"/>
      <c r="Y47" t="str">
        <v>20231110</v>
      </c>
      <c r="Z47">
        <v>50.7</v>
      </c>
      <c r="AA47">
        <v>23.2</v>
      </c>
      <c r="AB47">
        <f t="shared" si="20"/>
        <v>2.1853448275862073</v>
      </c>
      <c r="AD47" t="str">
        <v>20210331</v>
      </c>
      <c r="AE47">
        <v>0.60129500000000002</v>
      </c>
      <c r="AF47">
        <v>29.470040868283</v>
      </c>
      <c r="AG47">
        <v>85.6</v>
      </c>
      <c r="AH47">
        <v>66.8</v>
      </c>
      <c r="AI47">
        <v>64</v>
      </c>
      <c r="AJ47">
        <v>7.0414002019522099</v>
      </c>
      <c r="AK47">
        <v>68.599999999999994</v>
      </c>
      <c r="AL47">
        <v>179.93780118088799</v>
      </c>
      <c r="AM47" s="3">
        <v>0.63585434173669497</v>
      </c>
      <c r="AN47" s="1">
        <f t="shared" si="22"/>
        <v>1</v>
      </c>
      <c r="AO47" s="1">
        <f t="shared" si="23"/>
        <v>1</v>
      </c>
      <c r="AP47" s="1">
        <f t="shared" si="24"/>
        <v>1</v>
      </c>
      <c r="AQ47" s="1">
        <f t="shared" si="25"/>
        <v>1</v>
      </c>
      <c r="AR47" s="1">
        <f t="shared" si="26"/>
        <v>1</v>
      </c>
      <c r="AS47" s="1">
        <f t="shared" si="27"/>
        <v>0</v>
      </c>
      <c r="AT47" s="1">
        <f t="shared" si="28"/>
        <v>1</v>
      </c>
      <c r="AU47" s="1">
        <f t="shared" si="29"/>
        <v>1</v>
      </c>
      <c r="AV47" s="1">
        <f t="shared" si="30"/>
        <v>1</v>
      </c>
      <c r="AW47">
        <f t="shared" si="31"/>
        <v>0.88888888888888884</v>
      </c>
      <c r="AY47" t="str">
        <v>18/06/2024</v>
      </c>
      <c r="AZ47">
        <v>61.5</v>
      </c>
      <c r="BA47">
        <v>18.5</v>
      </c>
      <c r="BB47">
        <f t="shared" si="21"/>
        <v>3.3243243243243241</v>
      </c>
    </row>
    <row r="48" spans="1:54" x14ac:dyDescent="0.3">
      <c r="A48" s="11">
        <v>45457</v>
      </c>
      <c r="B48">
        <v>0.54313099041533497</v>
      </c>
      <c r="C48">
        <v>5433.74</v>
      </c>
      <c r="D48">
        <v>93.88</v>
      </c>
      <c r="E48">
        <v>2304.11</v>
      </c>
      <c r="F48">
        <v>81.599999999999994</v>
      </c>
      <c r="G48">
        <v>53.06</v>
      </c>
      <c r="H48" s="12">
        <f t="shared" si="0"/>
        <v>195.03976252960388</v>
      </c>
      <c r="I48" s="12">
        <f t="shared" si="1"/>
        <v>87.817051634782644</v>
      </c>
      <c r="J48" s="12">
        <f t="shared" si="4"/>
        <v>191.20639366111897</v>
      </c>
      <c r="K48" s="12">
        <f t="shared" si="5"/>
        <v>162.28825055231175</v>
      </c>
      <c r="L48" s="55">
        <v>19.346663950800099</v>
      </c>
      <c r="M48" s="55">
        <v>18.019141967749999</v>
      </c>
      <c r="N48" s="55">
        <v>238.571618250912</v>
      </c>
      <c r="O48" s="55">
        <v>3.8080394378973201</v>
      </c>
      <c r="P48" s="12">
        <f t="shared" si="2"/>
        <v>121.94033914627602</v>
      </c>
      <c r="Q48" s="12">
        <f t="shared" si="6"/>
        <v>108.61843872888643</v>
      </c>
      <c r="R48" s="12">
        <f t="shared" si="7"/>
        <v>88.732237245356686</v>
      </c>
      <c r="S48" s="12">
        <f t="shared" si="8"/>
        <v>106.82970708818547</v>
      </c>
      <c r="T48" s="55">
        <v>13.152059502229299</v>
      </c>
      <c r="U48" s="55">
        <v>12.366177533460499</v>
      </c>
      <c r="V48">
        <v>0.51843971631205699</v>
      </c>
      <c r="W48" s="12"/>
      <c r="X48" s="12"/>
      <c r="Y48" t="str">
        <v>20231103</v>
      </c>
      <c r="Z48">
        <v>49.3</v>
      </c>
      <c r="AA48">
        <v>23.9</v>
      </c>
      <c r="AB48">
        <f t="shared" si="20"/>
        <v>2.0627615062761508</v>
      </c>
      <c r="AD48" t="str">
        <v>20210226</v>
      </c>
      <c r="AE48">
        <v>-6.0632349999999997</v>
      </c>
      <c r="AF48">
        <v>19.476394691627</v>
      </c>
      <c r="AG48">
        <v>86</v>
      </c>
      <c r="AH48">
        <v>62.4</v>
      </c>
      <c r="AI48">
        <v>60.7</v>
      </c>
      <c r="AJ48">
        <v>148.904802021904</v>
      </c>
      <c r="AK48">
        <v>58.2</v>
      </c>
      <c r="AL48">
        <v>175.38842999446001</v>
      </c>
      <c r="AM48" s="3">
        <v>0.79326923076923095</v>
      </c>
      <c r="AN48" s="1">
        <f t="shared" si="22"/>
        <v>0</v>
      </c>
      <c r="AO48" s="1">
        <f t="shared" si="23"/>
        <v>1</v>
      </c>
      <c r="AP48" s="1">
        <f t="shared" si="24"/>
        <v>1</v>
      </c>
      <c r="AQ48" s="1">
        <f t="shared" si="25"/>
        <v>1</v>
      </c>
      <c r="AR48" s="1">
        <f t="shared" si="26"/>
        <v>1</v>
      </c>
      <c r="AS48" s="1">
        <f t="shared" si="27"/>
        <v>0</v>
      </c>
      <c r="AT48" s="1">
        <f t="shared" si="28"/>
        <v>1</v>
      </c>
      <c r="AU48" s="1">
        <f t="shared" si="29"/>
        <v>1</v>
      </c>
      <c r="AV48" s="1">
        <f t="shared" si="30"/>
        <v>1</v>
      </c>
      <c r="AW48">
        <f t="shared" si="31"/>
        <v>0.77777777777777779</v>
      </c>
      <c r="AY48" t="str">
        <v>17/06/2024</v>
      </c>
      <c r="AZ48">
        <v>61.5</v>
      </c>
      <c r="BA48">
        <v>18.5</v>
      </c>
      <c r="BB48">
        <f t="shared" si="21"/>
        <v>3.3243243243243241</v>
      </c>
    </row>
    <row r="49" spans="1:54" x14ac:dyDescent="0.3">
      <c r="A49" s="11">
        <v>45456</v>
      </c>
      <c r="B49">
        <v>0.53943217665615095</v>
      </c>
      <c r="C49">
        <v>5421.03</v>
      </c>
      <c r="D49">
        <v>92.52</v>
      </c>
      <c r="E49">
        <v>2323.67</v>
      </c>
      <c r="F49">
        <v>81.47</v>
      </c>
      <c r="G49">
        <v>53.63</v>
      </c>
      <c r="H49" s="12">
        <f t="shared" si="0"/>
        <v>197.47961358405857</v>
      </c>
      <c r="I49" s="12">
        <f t="shared" si="1"/>
        <v>86.882002208068513</v>
      </c>
      <c r="J49" s="12">
        <f t="shared" si="4"/>
        <v>191.06330759128141</v>
      </c>
      <c r="K49" s="12">
        <f t="shared" si="5"/>
        <v>160.20985569899693</v>
      </c>
      <c r="L49" s="55">
        <v>19.424208379003701</v>
      </c>
      <c r="M49" s="55">
        <v>18.1737612824327</v>
      </c>
      <c r="N49" s="55">
        <v>238.34400529609101</v>
      </c>
      <c r="O49" s="55">
        <v>3.8171024613451698</v>
      </c>
      <c r="P49" s="12">
        <f t="shared" si="2"/>
        <v>121.53571069101656</v>
      </c>
      <c r="Q49" s="12">
        <f t="shared" si="6"/>
        <v>111.4410058335928</v>
      </c>
      <c r="R49" s="12">
        <f t="shared" si="7"/>
        <v>88.928828749111148</v>
      </c>
      <c r="S49" s="12">
        <f t="shared" si="8"/>
        <v>108.1517605938232</v>
      </c>
      <c r="T49" s="55">
        <v>13.245224621739601</v>
      </c>
      <c r="U49" s="55">
        <v>12.5139856123577</v>
      </c>
      <c r="V49">
        <v>0.51958041958042001</v>
      </c>
      <c r="W49" s="12"/>
      <c r="X49" s="12"/>
      <c r="Y49" t="str">
        <v>20231027</v>
      </c>
      <c r="Z49">
        <v>42.9</v>
      </c>
      <c r="AA49">
        <v>25.7</v>
      </c>
      <c r="AB49">
        <f t="shared" si="20"/>
        <v>1.6692607003891051</v>
      </c>
      <c r="AD49" t="str">
        <v>20210129</v>
      </c>
      <c r="AE49">
        <v>-2.4903984000000001</v>
      </c>
      <c r="AF49">
        <v>14.3430390639642</v>
      </c>
      <c r="AG49">
        <v>82.1</v>
      </c>
      <c r="AH49">
        <v>61.9</v>
      </c>
      <c r="AI49">
        <v>59.2</v>
      </c>
      <c r="AJ49">
        <v>174.94439501779399</v>
      </c>
      <c r="AK49">
        <v>60</v>
      </c>
      <c r="AL49">
        <v>170.75550494670699</v>
      </c>
      <c r="AM49" s="3">
        <v>0.72799999999999998</v>
      </c>
      <c r="AN49" s="1">
        <f t="shared" si="22"/>
        <v>1</v>
      </c>
      <c r="AO49" s="1">
        <f t="shared" si="23"/>
        <v>1</v>
      </c>
      <c r="AP49" s="1">
        <f t="shared" si="24"/>
        <v>1</v>
      </c>
      <c r="AQ49" s="1">
        <f t="shared" si="25"/>
        <v>1</v>
      </c>
      <c r="AR49" s="1">
        <f t="shared" si="26"/>
        <v>1</v>
      </c>
      <c r="AS49" s="1">
        <f t="shared" si="27"/>
        <v>0</v>
      </c>
      <c r="AT49" s="1">
        <f t="shared" si="28"/>
        <v>1</v>
      </c>
      <c r="AU49" s="1">
        <f t="shared" si="29"/>
        <v>1</v>
      </c>
      <c r="AV49" s="1">
        <f t="shared" si="30"/>
        <v>1</v>
      </c>
      <c r="AW49">
        <f t="shared" si="31"/>
        <v>0.88888888888888884</v>
      </c>
      <c r="AY49" t="str">
        <v>14/06/2024</v>
      </c>
      <c r="AZ49">
        <v>61.2</v>
      </c>
      <c r="BA49">
        <v>17.899999999999999</v>
      </c>
      <c r="BB49">
        <f t="shared" si="21"/>
        <v>3.4189944134078218</v>
      </c>
    </row>
    <row r="50" spans="1:54" x14ac:dyDescent="0.3">
      <c r="A50" s="11">
        <v>45455</v>
      </c>
      <c r="B50">
        <v>0.52243589743589702</v>
      </c>
      <c r="C50">
        <v>5375.32</v>
      </c>
      <c r="D50">
        <v>91.83</v>
      </c>
      <c r="E50">
        <v>2316.9</v>
      </c>
      <c r="F50">
        <v>81.36</v>
      </c>
      <c r="G50">
        <v>53.03</v>
      </c>
      <c r="H50" s="12">
        <f t="shared" si="0"/>
        <v>197.28434244361461</v>
      </c>
      <c r="I50" s="12">
        <f t="shared" si="1"/>
        <v>86.399747164938972</v>
      </c>
      <c r="J50" s="12">
        <f t="shared" si="4"/>
        <v>189.70658979331617</v>
      </c>
      <c r="K50" s="12">
        <f t="shared" si="5"/>
        <v>160.66142203233537</v>
      </c>
      <c r="L50" s="55">
        <v>19.835330245075099</v>
      </c>
      <c r="M50" s="55">
        <v>18.7750470258243</v>
      </c>
      <c r="N50" s="55">
        <v>237.69892369192499</v>
      </c>
      <c r="O50" s="55">
        <v>3.81351922703724</v>
      </c>
      <c r="P50" s="12">
        <f t="shared" si="2"/>
        <v>121.32045829599683</v>
      </c>
      <c r="Q50" s="12">
        <f t="shared" si="6"/>
        <v>111.01908158687243</v>
      </c>
      <c r="R50" s="12">
        <f t="shared" si="7"/>
        <v>88.188718815085863</v>
      </c>
      <c r="S50" s="12">
        <f t="shared" si="8"/>
        <v>107.0849445419081</v>
      </c>
      <c r="T50" s="55">
        <v>13.4294434702204</v>
      </c>
      <c r="U50" s="55">
        <v>12.799711239413799</v>
      </c>
      <c r="V50">
        <v>0.52008456659619495</v>
      </c>
      <c r="W50" s="12"/>
      <c r="X50" s="12"/>
      <c r="Y50" t="str">
        <v>20231020</v>
      </c>
      <c r="Z50">
        <v>50</v>
      </c>
      <c r="AA50">
        <v>24.3</v>
      </c>
      <c r="AB50">
        <f t="shared" si="20"/>
        <v>2.0576131687242798</v>
      </c>
      <c r="AD50" t="str">
        <v>20201231</v>
      </c>
      <c r="AE50">
        <v>-3.6669836</v>
      </c>
      <c r="AF50">
        <v>12.508751037739099</v>
      </c>
      <c r="AG50">
        <v>77.599999999999994</v>
      </c>
      <c r="AH50">
        <v>64.2</v>
      </c>
      <c r="AI50">
        <v>60.2</v>
      </c>
      <c r="AJ50">
        <v>204.29499858717199</v>
      </c>
      <c r="AK50">
        <v>59.8</v>
      </c>
      <c r="AL50">
        <v>163.64770467148</v>
      </c>
      <c r="AM50" s="3">
        <v>0.73129251700680298</v>
      </c>
      <c r="AN50" s="1">
        <f t="shared" si="22"/>
        <v>1</v>
      </c>
      <c r="AO50" s="1">
        <f t="shared" si="23"/>
        <v>1</v>
      </c>
      <c r="AP50" s="1">
        <f t="shared" si="24"/>
        <v>1</v>
      </c>
      <c r="AQ50" s="1">
        <f t="shared" si="25"/>
        <v>1</v>
      </c>
      <c r="AR50" s="1">
        <f t="shared" si="26"/>
        <v>1</v>
      </c>
      <c r="AS50" s="1">
        <f t="shared" si="27"/>
        <v>0</v>
      </c>
      <c r="AT50" s="1">
        <f t="shared" si="28"/>
        <v>1</v>
      </c>
      <c r="AU50" s="1">
        <f t="shared" si="29"/>
        <v>1</v>
      </c>
      <c r="AV50" s="1">
        <f t="shared" si="30"/>
        <v>1</v>
      </c>
      <c r="AW50">
        <f t="shared" si="31"/>
        <v>0.88888888888888884</v>
      </c>
      <c r="AY50" t="str">
        <v>13/06/2024</v>
      </c>
      <c r="AZ50">
        <v>61.2</v>
      </c>
      <c r="BA50">
        <v>17.899999999999999</v>
      </c>
      <c r="BB50">
        <f t="shared" si="21"/>
        <v>3.4189944134078218</v>
      </c>
    </row>
    <row r="51" spans="1:54" x14ac:dyDescent="0.3">
      <c r="A51" s="11">
        <v>45454</v>
      </c>
      <c r="B51">
        <v>0.52103559870550198</v>
      </c>
      <c r="C51">
        <v>5360.79</v>
      </c>
      <c r="D51">
        <v>90.89</v>
      </c>
      <c r="E51">
        <v>2310.8200000000002</v>
      </c>
      <c r="F51">
        <v>81.27</v>
      </c>
      <c r="G51">
        <v>54.33</v>
      </c>
      <c r="H51" s="12">
        <f t="shared" si="0"/>
        <v>198.80154623240531</v>
      </c>
      <c r="I51" s="12">
        <f t="shared" si="1"/>
        <v>86.392894414591751</v>
      </c>
      <c r="J51" s="12">
        <f t="shared" si="4"/>
        <v>189.4029765000586</v>
      </c>
      <c r="K51" s="12">
        <f t="shared" si="5"/>
        <v>156.49272656870752</v>
      </c>
      <c r="L51" s="55">
        <v>19.819655465706902</v>
      </c>
      <c r="M51" s="55">
        <v>18.8523978980466</v>
      </c>
      <c r="N51" s="55">
        <v>237.12012655349</v>
      </c>
      <c r="O51" s="55">
        <v>3.8098891299735298</v>
      </c>
      <c r="P51" s="12">
        <f t="shared" si="2"/>
        <v>121.14018526331871</v>
      </c>
      <c r="Q51" s="12">
        <f t="shared" si="6"/>
        <v>114.9587192154416</v>
      </c>
      <c r="R51" s="12">
        <f t="shared" si="7"/>
        <v>90.594822072591228</v>
      </c>
      <c r="S51" s="12">
        <f t="shared" si="8"/>
        <v>109.8346853299265</v>
      </c>
      <c r="T51" s="55">
        <v>13.2643015405074</v>
      </c>
      <c r="U51" s="55">
        <v>12.6282391171392</v>
      </c>
      <c r="V51">
        <v>0.52241992882562305</v>
      </c>
      <c r="W51" s="12"/>
      <c r="X51" s="12"/>
      <c r="Y51" t="str">
        <v>20231013</v>
      </c>
      <c r="Z51">
        <v>51.4</v>
      </c>
      <c r="AA51">
        <v>22.2</v>
      </c>
      <c r="AB51">
        <f t="shared" si="20"/>
        <v>2.3153153153153152</v>
      </c>
      <c r="AD51" t="str">
        <v>20201130</v>
      </c>
      <c r="AE51">
        <v>-5.0871570000000004</v>
      </c>
      <c r="AF51">
        <v>8.5139800915010806</v>
      </c>
      <c r="AG51">
        <v>65.400000000000006</v>
      </c>
      <c r="AH51">
        <v>60.7</v>
      </c>
      <c r="AI51">
        <v>57.3</v>
      </c>
      <c r="AJ51">
        <v>252.96997389033899</v>
      </c>
      <c r="AK51">
        <v>57.4</v>
      </c>
      <c r="AL51">
        <v>160.296847461818</v>
      </c>
      <c r="AM51" s="3">
        <v>0.80501392757660195</v>
      </c>
      <c r="AN51" s="1">
        <f t="shared" si="22"/>
        <v>1</v>
      </c>
      <c r="AO51" s="1">
        <f t="shared" si="23"/>
        <v>1</v>
      </c>
      <c r="AP51" s="1">
        <f t="shared" si="24"/>
        <v>1</v>
      </c>
      <c r="AQ51" s="1">
        <f t="shared" si="25"/>
        <v>1</v>
      </c>
      <c r="AR51" s="1">
        <f t="shared" si="26"/>
        <v>1</v>
      </c>
      <c r="AS51" s="1">
        <f t="shared" si="27"/>
        <v>0</v>
      </c>
      <c r="AT51" s="1">
        <f t="shared" si="28"/>
        <v>1</v>
      </c>
      <c r="AU51" s="1">
        <f t="shared" si="29"/>
        <v>1</v>
      </c>
      <c r="AV51" s="1">
        <f t="shared" si="30"/>
        <v>1</v>
      </c>
      <c r="AW51">
        <f t="shared" si="31"/>
        <v>0.88888888888888884</v>
      </c>
      <c r="AY51" t="str">
        <v>12/06/2024</v>
      </c>
      <c r="AZ51">
        <v>61.2</v>
      </c>
      <c r="BA51">
        <v>17.899999999999999</v>
      </c>
      <c r="BB51">
        <f t="shared" si="21"/>
        <v>3.4189944134078218</v>
      </c>
    </row>
    <row r="52" spans="1:54" x14ac:dyDescent="0.3">
      <c r="A52" s="11">
        <v>45451</v>
      </c>
      <c r="B52">
        <v>0.54277286135693203</v>
      </c>
      <c r="C52">
        <v>5346.99</v>
      </c>
      <c r="D52">
        <v>91.5</v>
      </c>
      <c r="E52">
        <v>2293.38</v>
      </c>
      <c r="F52">
        <v>81.260000000000005</v>
      </c>
      <c r="G52">
        <v>54.25</v>
      </c>
      <c r="H52" s="12">
        <f t="shared" si="0"/>
        <v>196.97996260888317</v>
      </c>
      <c r="I52" s="12">
        <f t="shared" si="1"/>
        <v>86.829089472590908</v>
      </c>
      <c r="J52" s="12">
        <f t="shared" si="4"/>
        <v>188.93859763577464</v>
      </c>
      <c r="K52" s="12">
        <f t="shared" si="5"/>
        <v>156.31979983366</v>
      </c>
      <c r="L52" s="55">
        <v>19.9511509144406</v>
      </c>
      <c r="M52" s="55">
        <v>19.130474457018</v>
      </c>
      <c r="N52" s="55">
        <v>236.744908090265</v>
      </c>
      <c r="O52" s="55">
        <v>3.84745059257172</v>
      </c>
      <c r="P52" s="12">
        <f t="shared" si="2"/>
        <v>119.78095945799912</v>
      </c>
      <c r="Q52" s="12">
        <f t="shared" si="6"/>
        <v>114.03036143418025</v>
      </c>
      <c r="R52" s="12">
        <f t="shared" si="7"/>
        <v>91.153579114146766</v>
      </c>
      <c r="S52" s="12">
        <f t="shared" si="8"/>
        <v>109.68643395737412</v>
      </c>
      <c r="T52" s="55">
        <v>13.3197266542074</v>
      </c>
      <c r="U52" s="55">
        <v>12.7429415600177</v>
      </c>
      <c r="V52">
        <v>0.53129251700680302</v>
      </c>
      <c r="W52" s="12"/>
      <c r="X52" s="12"/>
      <c r="Y52" t="str">
        <v>20231006</v>
      </c>
      <c r="Z52">
        <v>48.6</v>
      </c>
      <c r="AA52">
        <v>22.8</v>
      </c>
      <c r="AB52">
        <f t="shared" si="20"/>
        <v>2.1315789473684212</v>
      </c>
      <c r="AD52" t="str">
        <v>20201030</v>
      </c>
      <c r="AE52">
        <v>-4.9830785000000004</v>
      </c>
      <c r="AF52">
        <v>6.3015972484052698</v>
      </c>
      <c r="AG52">
        <v>65.5</v>
      </c>
      <c r="AH52">
        <v>62.8</v>
      </c>
      <c r="AI52">
        <v>58.7</v>
      </c>
      <c r="AJ52">
        <v>386.33920296570898</v>
      </c>
      <c r="AK52">
        <v>60.3</v>
      </c>
      <c r="AL52">
        <v>157.22380810857601</v>
      </c>
      <c r="AM52" s="3">
        <v>0.80091533180777996</v>
      </c>
      <c r="AN52" s="1">
        <f t="shared" si="22"/>
        <v>1</v>
      </c>
      <c r="AO52" s="1">
        <f t="shared" si="23"/>
        <v>1</v>
      </c>
      <c r="AP52" s="1">
        <f t="shared" si="24"/>
        <v>1</v>
      </c>
      <c r="AQ52" s="1">
        <f t="shared" si="25"/>
        <v>1</v>
      </c>
      <c r="AR52" s="1">
        <f t="shared" si="26"/>
        <v>1</v>
      </c>
      <c r="AS52" s="1">
        <f t="shared" si="27"/>
        <v>0</v>
      </c>
      <c r="AT52" s="1">
        <f t="shared" si="28"/>
        <v>1</v>
      </c>
      <c r="AU52" s="1">
        <f t="shared" si="29"/>
        <v>1</v>
      </c>
      <c r="AV52" s="1">
        <f t="shared" si="30"/>
        <v>1</v>
      </c>
      <c r="AW52">
        <f t="shared" si="31"/>
        <v>0.88888888888888884</v>
      </c>
      <c r="AY52" t="str">
        <v>11/06/2024</v>
      </c>
      <c r="AZ52">
        <v>61.2</v>
      </c>
      <c r="BA52">
        <v>17.899999999999999</v>
      </c>
      <c r="BB52">
        <f t="shared" si="21"/>
        <v>3.4189944134078218</v>
      </c>
    </row>
    <row r="53" spans="1:54" x14ac:dyDescent="0.3">
      <c r="A53" s="11">
        <v>45450</v>
      </c>
      <c r="B53">
        <v>0.55873925501432697</v>
      </c>
      <c r="C53">
        <v>5352.96</v>
      </c>
      <c r="D53">
        <v>93.21</v>
      </c>
      <c r="E53">
        <v>2376.12</v>
      </c>
      <c r="F53">
        <v>81.47</v>
      </c>
      <c r="G53">
        <v>54.86</v>
      </c>
      <c r="H53" s="12">
        <f t="shared" si="0"/>
        <v>193.64340916096231</v>
      </c>
      <c r="I53" s="12">
        <f t="shared" si="1"/>
        <v>83.997841197430034</v>
      </c>
      <c r="J53" s="12">
        <f t="shared" si="4"/>
        <v>188.66270387513279</v>
      </c>
      <c r="K53" s="12">
        <f t="shared" si="5"/>
        <v>154.77147501497245</v>
      </c>
      <c r="L53" s="55">
        <v>19.563634845924501</v>
      </c>
      <c r="M53" s="55">
        <v>18.686426716801702</v>
      </c>
      <c r="N53" s="55">
        <v>236.47045055738499</v>
      </c>
      <c r="O53" s="55">
        <v>3.8523028208571102</v>
      </c>
      <c r="P53" s="12">
        <f t="shared" si="2"/>
        <v>119.49176457783025</v>
      </c>
      <c r="Q53" s="12">
        <f t="shared" si="6"/>
        <v>113.2122378926036</v>
      </c>
      <c r="R53" s="12">
        <f t="shared" si="7"/>
        <v>89.043057318488735</v>
      </c>
      <c r="S53" s="12">
        <f t="shared" si="8"/>
        <v>110.63140053960375</v>
      </c>
      <c r="T53" s="55">
        <v>13.096524277956499</v>
      </c>
      <c r="U53" s="55">
        <v>12.479392683719199</v>
      </c>
      <c r="V53">
        <v>0.52800546448087404</v>
      </c>
      <c r="W53" s="12"/>
      <c r="X53" s="12"/>
      <c r="Y53" t="str">
        <v>20230929</v>
      </c>
      <c r="Z53">
        <v>42.3</v>
      </c>
      <c r="AA53">
        <v>23.9</v>
      </c>
      <c r="AB53">
        <f t="shared" si="20"/>
        <v>1.7698744769874477</v>
      </c>
      <c r="AD53" t="str">
        <v>20200930</v>
      </c>
      <c r="AE53">
        <v>-6.4109835999999998</v>
      </c>
      <c r="AF53">
        <v>3.44754243472731</v>
      </c>
      <c r="AG53">
        <v>62.8</v>
      </c>
      <c r="AH53">
        <v>61.5</v>
      </c>
      <c r="AI53">
        <v>55.5</v>
      </c>
      <c r="AJ53">
        <v>647.89690069576204</v>
      </c>
      <c r="AK53">
        <v>62.5</v>
      </c>
      <c r="AL53">
        <v>152.479412311451</v>
      </c>
      <c r="AM53" s="3">
        <v>0.68209876543209902</v>
      </c>
      <c r="AN53" s="1">
        <f t="shared" si="22"/>
        <v>1</v>
      </c>
      <c r="AO53" s="1">
        <f t="shared" si="23"/>
        <v>1</v>
      </c>
      <c r="AP53" s="1">
        <f t="shared" si="24"/>
        <v>1</v>
      </c>
      <c r="AQ53" s="1">
        <f t="shared" si="25"/>
        <v>1</v>
      </c>
      <c r="AR53" s="1">
        <f t="shared" si="26"/>
        <v>1</v>
      </c>
      <c r="AS53" s="1">
        <f t="shared" si="27"/>
        <v>0</v>
      </c>
      <c r="AT53" s="1">
        <f t="shared" si="28"/>
        <v>1</v>
      </c>
      <c r="AU53" s="1">
        <f t="shared" si="29"/>
        <v>1</v>
      </c>
      <c r="AV53" s="1">
        <f t="shared" si="30"/>
        <v>1</v>
      </c>
      <c r="AW53">
        <f t="shared" si="31"/>
        <v>0.88888888888888884</v>
      </c>
      <c r="AY53" t="str">
        <v>10/06/2024</v>
      </c>
      <c r="AZ53">
        <v>61.2</v>
      </c>
      <c r="BA53">
        <v>17.899999999999999</v>
      </c>
      <c r="BB53">
        <f t="shared" si="21"/>
        <v>3.4189944134078218</v>
      </c>
    </row>
    <row r="54" spans="1:54" x14ac:dyDescent="0.3">
      <c r="A54" s="11">
        <v>45449</v>
      </c>
      <c r="B54">
        <v>0.57306590257879697</v>
      </c>
      <c r="C54">
        <v>5354.03</v>
      </c>
      <c r="D54">
        <v>93.35</v>
      </c>
      <c r="E54">
        <v>2354.23</v>
      </c>
      <c r="F54">
        <v>81.459999999999994</v>
      </c>
      <c r="G54">
        <v>54.64</v>
      </c>
      <c r="H54" s="12">
        <f t="shared" si="0"/>
        <v>193.39202221088286</v>
      </c>
      <c r="I54" s="12">
        <f t="shared" si="1"/>
        <v>84.803303516438703</v>
      </c>
      <c r="J54" s="12">
        <f t="shared" si="4"/>
        <v>188.72358782116044</v>
      </c>
      <c r="K54" s="12">
        <f t="shared" si="5"/>
        <v>155.42834688183063</v>
      </c>
      <c r="L54" s="55">
        <v>19.4707261715347</v>
      </c>
      <c r="M54" s="55">
        <v>18.667544827737199</v>
      </c>
      <c r="N54" s="55">
        <v>234.75479478418501</v>
      </c>
      <c r="O54" s="55">
        <v>3.8359884760796001</v>
      </c>
      <c r="P54" s="12">
        <f t="shared" si="2"/>
        <v>119.12779125718107</v>
      </c>
      <c r="Q54" s="12">
        <f t="shared" si="6"/>
        <v>112.59005550572897</v>
      </c>
      <c r="R54" s="12">
        <f t="shared" si="7"/>
        <v>89.514962532079096</v>
      </c>
      <c r="S54" s="12">
        <f t="shared" si="8"/>
        <v>110.20121964458876</v>
      </c>
      <c r="T54" s="55">
        <v>13.047905285181701</v>
      </c>
      <c r="U54" s="55">
        <v>12.439144146472399</v>
      </c>
      <c r="V54">
        <v>0.53233492171545305</v>
      </c>
      <c r="W54" s="12"/>
      <c r="X54" s="12"/>
      <c r="Y54" t="str">
        <v>20230922</v>
      </c>
      <c r="Z54">
        <v>43.7</v>
      </c>
      <c r="AA54">
        <v>23.9</v>
      </c>
      <c r="AB54">
        <f t="shared" si="20"/>
        <v>1.8284518828451886</v>
      </c>
      <c r="AD54" t="str">
        <v>20200831</v>
      </c>
      <c r="AE54">
        <v>-6.6665760000000001</v>
      </c>
      <c r="AF54">
        <v>-0.18582772779416301</v>
      </c>
      <c r="AG54">
        <v>59.5</v>
      </c>
      <c r="AH54">
        <v>62.3</v>
      </c>
      <c r="AI54">
        <v>55.4</v>
      </c>
      <c r="AJ54">
        <v>746.07310447023997</v>
      </c>
      <c r="AK54">
        <v>62.1</v>
      </c>
      <c r="AL54">
        <v>149.14758159650199</v>
      </c>
      <c r="AM54" s="3">
        <v>0.72295514511873304</v>
      </c>
      <c r="AN54" s="1">
        <f t="shared" si="22"/>
        <v>1</v>
      </c>
      <c r="AO54" s="1">
        <f t="shared" si="23"/>
        <v>0</v>
      </c>
      <c r="AP54" s="1">
        <f t="shared" si="24"/>
        <v>1</v>
      </c>
      <c r="AQ54" s="1">
        <f t="shared" si="25"/>
        <v>1</v>
      </c>
      <c r="AR54" s="1">
        <f t="shared" si="26"/>
        <v>1</v>
      </c>
      <c r="AS54" s="1">
        <f t="shared" si="27"/>
        <v>0</v>
      </c>
      <c r="AT54" s="1">
        <f t="shared" si="28"/>
        <v>1</v>
      </c>
      <c r="AU54" s="1">
        <f t="shared" si="29"/>
        <v>0</v>
      </c>
      <c r="AV54" s="1">
        <f t="shared" si="30"/>
        <v>1</v>
      </c>
      <c r="AW54">
        <f t="shared" si="31"/>
        <v>0.66666666666666663</v>
      </c>
      <c r="AY54" t="str">
        <v>07/06/2024</v>
      </c>
      <c r="AZ54">
        <v>60.3</v>
      </c>
      <c r="BA54">
        <v>17.600000000000001</v>
      </c>
      <c r="BB54">
        <f t="shared" si="21"/>
        <v>3.4261363636363633</v>
      </c>
    </row>
    <row r="55" spans="1:54" x14ac:dyDescent="0.3">
      <c r="A55" s="11">
        <v>45448</v>
      </c>
      <c r="B55">
        <v>0.573913043478261</v>
      </c>
      <c r="C55">
        <v>5291.34</v>
      </c>
      <c r="D55">
        <v>92.67</v>
      </c>
      <c r="E55">
        <v>2326.92</v>
      </c>
      <c r="F55">
        <v>81.38</v>
      </c>
      <c r="G55">
        <v>54.12</v>
      </c>
      <c r="H55" s="12">
        <f t="shared" si="0"/>
        <v>192.52377943826795</v>
      </c>
      <c r="I55" s="12">
        <f t="shared" si="1"/>
        <v>84.793881553392708</v>
      </c>
      <c r="J55" s="12">
        <f t="shared" si="4"/>
        <v>186.69521562093539</v>
      </c>
      <c r="K55" s="12">
        <f t="shared" si="5"/>
        <v>155.08106104963986</v>
      </c>
      <c r="L55" s="55">
        <v>19.7282057173007</v>
      </c>
      <c r="M55" s="55">
        <v>19.1361996861337</v>
      </c>
      <c r="N55" s="55">
        <v>233.971385289783</v>
      </c>
      <c r="O55" s="55">
        <v>3.8457092837545099</v>
      </c>
      <c r="P55" s="12">
        <f t="shared" si="2"/>
        <v>118.43188368079115</v>
      </c>
      <c r="Q55" s="12">
        <f t="shared" si="6"/>
        <v>112.33500871387115</v>
      </c>
      <c r="R55" s="12">
        <f t="shared" si="7"/>
        <v>89.705880556472565</v>
      </c>
      <c r="S55" s="12">
        <f t="shared" si="8"/>
        <v>109.25883646227899</v>
      </c>
      <c r="T55" s="55">
        <v>13.274785827822001</v>
      </c>
      <c r="U55" s="55">
        <v>12.812862806336099</v>
      </c>
      <c r="V55">
        <v>0.53661875427789196</v>
      </c>
      <c r="W55" s="12"/>
      <c r="X55" s="12"/>
      <c r="Y55" t="str">
        <v>20230915</v>
      </c>
      <c r="Z55">
        <v>48.6</v>
      </c>
      <c r="AA55">
        <v>22.8</v>
      </c>
      <c r="AB55">
        <f t="shared" si="20"/>
        <v>2.1315789473684212</v>
      </c>
      <c r="AD55" t="str">
        <v>20200731</v>
      </c>
      <c r="AE55">
        <v>-6.8643219999999996</v>
      </c>
      <c r="AF55">
        <v>-5.0852769288781197</v>
      </c>
      <c r="AG55">
        <v>53.2</v>
      </c>
      <c r="AH55">
        <v>61.1</v>
      </c>
      <c r="AI55">
        <v>53.8</v>
      </c>
      <c r="AJ55">
        <v>899.472716125077</v>
      </c>
      <c r="AK55">
        <v>63.9</v>
      </c>
      <c r="AL55">
        <v>146.555041531228</v>
      </c>
      <c r="AM55" s="3">
        <v>0.70627802690582997</v>
      </c>
      <c r="AN55" s="1">
        <f t="shared" si="22"/>
        <v>1</v>
      </c>
      <c r="AO55" s="1">
        <f t="shared" si="23"/>
        <v>0</v>
      </c>
      <c r="AP55" s="1">
        <f t="shared" si="24"/>
        <v>1</v>
      </c>
      <c r="AQ55" s="1">
        <f t="shared" si="25"/>
        <v>1</v>
      </c>
      <c r="AR55" s="1">
        <f t="shared" si="26"/>
        <v>1</v>
      </c>
      <c r="AS55" s="1">
        <f t="shared" si="27"/>
        <v>0</v>
      </c>
      <c r="AT55" s="1">
        <f t="shared" si="28"/>
        <v>1</v>
      </c>
      <c r="AU55" s="1">
        <f t="shared" si="29"/>
        <v>0</v>
      </c>
      <c r="AV55" s="1">
        <f t="shared" si="30"/>
        <v>1</v>
      </c>
      <c r="AW55">
        <f t="shared" si="31"/>
        <v>0.66666666666666663</v>
      </c>
      <c r="AY55" t="str">
        <v>06/06/2024</v>
      </c>
      <c r="AZ55">
        <v>60.3</v>
      </c>
      <c r="BA55">
        <v>17.600000000000001</v>
      </c>
      <c r="BB55">
        <f t="shared" si="21"/>
        <v>3.4261363636363633</v>
      </c>
    </row>
    <row r="56" spans="1:54" x14ac:dyDescent="0.3">
      <c r="A56" s="11">
        <v>45447</v>
      </c>
      <c r="B56">
        <v>0.56936416184971095</v>
      </c>
      <c r="C56">
        <v>5283.4</v>
      </c>
      <c r="D56">
        <v>91.6</v>
      </c>
      <c r="E56">
        <v>2350.9</v>
      </c>
      <c r="F56">
        <v>81.3</v>
      </c>
      <c r="G56">
        <v>54.43</v>
      </c>
      <c r="H56" s="12">
        <f t="shared" si="0"/>
        <v>194.50351450703673</v>
      </c>
      <c r="I56" s="12">
        <f t="shared" si="1"/>
        <v>83.813003809082062</v>
      </c>
      <c r="J56" s="12">
        <f t="shared" si="4"/>
        <v>186.59840644317308</v>
      </c>
      <c r="K56" s="12">
        <f t="shared" si="5"/>
        <v>153.97273317808549</v>
      </c>
      <c r="L56" s="55">
        <v>19.7455041443258</v>
      </c>
      <c r="M56" s="55">
        <v>19.250814310212899</v>
      </c>
      <c r="N56" s="55">
        <v>233.33111407262999</v>
      </c>
      <c r="O56" s="55">
        <v>3.8585329001009301</v>
      </c>
      <c r="P56" s="12">
        <f t="shared" si="2"/>
        <v>117.71763321631927</v>
      </c>
      <c r="Q56" s="12">
        <f t="shared" si="6"/>
        <v>114.32152949279124</v>
      </c>
      <c r="R56" s="12">
        <f t="shared" si="7"/>
        <v>89.303571518375705</v>
      </c>
      <c r="S56" s="12">
        <f t="shared" si="8"/>
        <v>109.99352705226562</v>
      </c>
      <c r="T56" s="55">
        <v>13.288815578119999</v>
      </c>
      <c r="U56" s="55">
        <v>12.865504499319</v>
      </c>
      <c r="V56">
        <v>0.53522099447513805</v>
      </c>
      <c r="W56" s="12"/>
      <c r="X56" s="12"/>
      <c r="Y56" t="str">
        <v>20230908</v>
      </c>
      <c r="Z56">
        <v>50.7</v>
      </c>
      <c r="AA56">
        <v>22.5</v>
      </c>
      <c r="AB56">
        <f t="shared" si="20"/>
        <v>2.2533333333333334</v>
      </c>
      <c r="AD56" t="str">
        <v>20200630</v>
      </c>
      <c r="AE56">
        <v>-10.598533</v>
      </c>
      <c r="AF56">
        <v>-8.7555056855535405</v>
      </c>
      <c r="AG56">
        <v>51.3</v>
      </c>
      <c r="AH56">
        <v>56.5</v>
      </c>
      <c r="AI56">
        <v>52.6</v>
      </c>
      <c r="AJ56">
        <v>983.90557939914197</v>
      </c>
      <c r="AK56">
        <v>65.3</v>
      </c>
      <c r="AL56">
        <v>140.955543676346</v>
      </c>
      <c r="AM56" s="3">
        <v>0.53638814016172498</v>
      </c>
      <c r="AN56" s="1">
        <f t="shared" si="22"/>
        <v>0</v>
      </c>
      <c r="AO56" s="1">
        <f t="shared" si="23"/>
        <v>0</v>
      </c>
      <c r="AP56" s="1">
        <f t="shared" si="24"/>
        <v>1</v>
      </c>
      <c r="AQ56" s="1">
        <f t="shared" si="25"/>
        <v>1</v>
      </c>
      <c r="AR56" s="1">
        <f t="shared" si="26"/>
        <v>1</v>
      </c>
      <c r="AS56" s="1">
        <f t="shared" si="27"/>
        <v>0</v>
      </c>
      <c r="AT56" s="1">
        <f t="shared" si="28"/>
        <v>1</v>
      </c>
      <c r="AU56" s="1">
        <f t="shared" si="29"/>
        <v>0</v>
      </c>
      <c r="AV56" s="1">
        <f t="shared" si="30"/>
        <v>1</v>
      </c>
      <c r="AW56">
        <f t="shared" si="31"/>
        <v>0.55555555555555558</v>
      </c>
      <c r="AY56" t="str">
        <v>05/06/2024</v>
      </c>
      <c r="AZ56">
        <v>60.3</v>
      </c>
      <c r="BA56">
        <v>17.600000000000001</v>
      </c>
      <c r="BB56">
        <f t="shared" si="21"/>
        <v>3.4261363636363633</v>
      </c>
    </row>
    <row r="57" spans="1:54" x14ac:dyDescent="0.3">
      <c r="A57" s="11">
        <v>45443</v>
      </c>
      <c r="B57">
        <v>0.58397932816537501</v>
      </c>
      <c r="C57">
        <v>5277.51</v>
      </c>
      <c r="D57">
        <v>90.45</v>
      </c>
      <c r="E57">
        <v>2327.8200000000002</v>
      </c>
      <c r="F57">
        <v>81.47</v>
      </c>
      <c r="G57">
        <v>54.15</v>
      </c>
      <c r="H57" s="12">
        <f t="shared" si="0"/>
        <v>196.78586652830364</v>
      </c>
      <c r="I57" s="12">
        <f t="shared" si="1"/>
        <v>84.557003918887887</v>
      </c>
      <c r="J57" s="12">
        <f t="shared" si="4"/>
        <v>186.00269296034131</v>
      </c>
      <c r="K57" s="12">
        <f t="shared" si="5"/>
        <v>154.59959824374218</v>
      </c>
      <c r="L57" s="55">
        <v>20.058359968759</v>
      </c>
      <c r="M57" s="55">
        <v>19.8101196480353</v>
      </c>
      <c r="N57" s="55">
        <v>232.09853813951301</v>
      </c>
      <c r="O57" s="55">
        <v>3.8969283556243601</v>
      </c>
      <c r="P57" s="12">
        <f t="shared" si="2"/>
        <v>115.95930512484912</v>
      </c>
      <c r="Q57" s="12">
        <f t="shared" si="6"/>
        <v>115.19045544106427</v>
      </c>
      <c r="R57" s="12">
        <f t="shared" si="7"/>
        <v>89.729250146971808</v>
      </c>
      <c r="S57" s="12">
        <f t="shared" si="8"/>
        <v>109.20100301622229</v>
      </c>
      <c r="T57" s="55">
        <v>13.4328646133704</v>
      </c>
      <c r="U57" s="55">
        <v>13.153165368100799</v>
      </c>
      <c r="V57">
        <v>0.52455795677799599</v>
      </c>
      <c r="W57" s="12"/>
      <c r="X57" s="12"/>
      <c r="Y57" t="str">
        <v>20230901</v>
      </c>
      <c r="Z57">
        <v>49.3</v>
      </c>
      <c r="AA57">
        <v>21.9</v>
      </c>
      <c r="AB57">
        <f t="shared" si="20"/>
        <v>2.2511415525114153</v>
      </c>
      <c r="AD57" t="str">
        <v>20200529</v>
      </c>
      <c r="AE57">
        <v>-16.019511999999999</v>
      </c>
      <c r="AF57">
        <v>-11.2373565761227</v>
      </c>
      <c r="AG57">
        <v>40.799999999999997</v>
      </c>
      <c r="AH57">
        <v>34.200000000000003</v>
      </c>
      <c r="AI57">
        <v>43.5</v>
      </c>
      <c r="AJ57">
        <v>1148.09038437922</v>
      </c>
      <c r="AK57">
        <v>41.2</v>
      </c>
      <c r="AL57">
        <v>138.18939804237701</v>
      </c>
      <c r="AM57" s="3">
        <v>0.27209302325581403</v>
      </c>
      <c r="AN57" s="1">
        <f t="shared" si="22"/>
        <v>0</v>
      </c>
      <c r="AO57" s="1">
        <f t="shared" si="23"/>
        <v>0</v>
      </c>
      <c r="AP57" s="1">
        <f t="shared" si="24"/>
        <v>0</v>
      </c>
      <c r="AQ57" s="1">
        <f t="shared" si="25"/>
        <v>0</v>
      </c>
      <c r="AR57" s="1">
        <f t="shared" si="26"/>
        <v>0</v>
      </c>
      <c r="AS57" s="1">
        <f t="shared" si="27"/>
        <v>0</v>
      </c>
      <c r="AT57" s="1">
        <f t="shared" si="28"/>
        <v>0</v>
      </c>
      <c r="AU57" s="1">
        <f t="shared" si="29"/>
        <v>0</v>
      </c>
      <c r="AV57" s="1">
        <f t="shared" si="30"/>
        <v>0</v>
      </c>
      <c r="AW57">
        <f t="shared" si="31"/>
        <v>0</v>
      </c>
      <c r="AY57" t="str">
        <v>04/06/2024</v>
      </c>
      <c r="AZ57">
        <v>60.3</v>
      </c>
      <c r="BA57">
        <v>17.600000000000001</v>
      </c>
      <c r="BB57">
        <f t="shared" si="21"/>
        <v>3.4261363636363633</v>
      </c>
    </row>
    <row r="58" spans="1:54" x14ac:dyDescent="0.3">
      <c r="A58" s="11">
        <v>45443</v>
      </c>
      <c r="B58">
        <v>0.57922077922077897</v>
      </c>
      <c r="C58">
        <v>5235.4799999999996</v>
      </c>
      <c r="D58">
        <v>89.84</v>
      </c>
      <c r="E58">
        <v>2343.63</v>
      </c>
      <c r="F58">
        <v>81.36</v>
      </c>
      <c r="G58">
        <v>53.94</v>
      </c>
      <c r="H58" s="12">
        <f t="shared" si="0"/>
        <v>196.54253339086551</v>
      </c>
      <c r="I58" s="12">
        <f t="shared" si="1"/>
        <v>83.32595766898676</v>
      </c>
      <c r="J58" s="12">
        <f t="shared" si="4"/>
        <v>184.76919203803646</v>
      </c>
      <c r="K58" s="12">
        <f t="shared" si="5"/>
        <v>153.96300700943434</v>
      </c>
      <c r="L58" s="55">
        <v>19.952100485133901</v>
      </c>
      <c r="M58" s="55">
        <v>19.7417691622747</v>
      </c>
      <c r="N58" s="55">
        <v>230.599828760484</v>
      </c>
      <c r="O58" s="55">
        <v>3.8879802455601702</v>
      </c>
      <c r="P58" s="12">
        <f t="shared" si="2"/>
        <v>115.47457773650012</v>
      </c>
      <c r="Q58" s="12">
        <f t="shared" si="6"/>
        <v>115.52508933538353</v>
      </c>
      <c r="R58" s="12">
        <f t="shared" si="7"/>
        <v>88.784655979765077</v>
      </c>
      <c r="S58" s="12">
        <f t="shared" si="8"/>
        <v>108.92420494094944</v>
      </c>
      <c r="T58" s="55">
        <v>13.309070865530799</v>
      </c>
      <c r="U58" s="55">
        <v>12.981762680143699</v>
      </c>
      <c r="V58">
        <v>0.52628120893561103</v>
      </c>
      <c r="W58" s="12"/>
      <c r="X58" s="12"/>
      <c r="Y58" t="str">
        <v>20230825</v>
      </c>
      <c r="Z58">
        <v>43.1</v>
      </c>
      <c r="AA58">
        <v>20.8</v>
      </c>
      <c r="AB58">
        <f t="shared" si="20"/>
        <v>2.0721153846153846</v>
      </c>
      <c r="AD58" t="str">
        <v>20200430</v>
      </c>
      <c r="AE58">
        <v>-17.202282</v>
      </c>
      <c r="AF58">
        <v>-15.7091294477998</v>
      </c>
      <c r="AG58">
        <v>35.299999999999997</v>
      </c>
      <c r="AH58">
        <v>27.4</v>
      </c>
      <c r="AI58">
        <v>41.8</v>
      </c>
      <c r="AJ58">
        <v>922.02220222022197</v>
      </c>
      <c r="AK58">
        <v>26.1</v>
      </c>
      <c r="AL58">
        <v>140.64018341269701</v>
      </c>
      <c r="AM58" s="3">
        <v>8.9583333333333307E-2</v>
      </c>
      <c r="AN58" s="1">
        <f t="shared" si="22"/>
        <v>0</v>
      </c>
      <c r="AO58" s="1">
        <f t="shared" si="23"/>
        <v>0</v>
      </c>
      <c r="AP58" s="1">
        <f t="shared" si="24"/>
        <v>0</v>
      </c>
      <c r="AQ58" s="1">
        <f t="shared" si="25"/>
        <v>0</v>
      </c>
      <c r="AR58" s="1">
        <f t="shared" si="26"/>
        <v>0</v>
      </c>
      <c r="AS58" s="1">
        <f t="shared" si="27"/>
        <v>0</v>
      </c>
      <c r="AT58" s="1">
        <f t="shared" si="28"/>
        <v>0</v>
      </c>
      <c r="AU58" s="1">
        <f t="shared" si="29"/>
        <v>0</v>
      </c>
      <c r="AV58" s="1">
        <f t="shared" si="30"/>
        <v>0</v>
      </c>
      <c r="AW58">
        <f t="shared" si="31"/>
        <v>0</v>
      </c>
      <c r="AY58" t="str">
        <v>03/06/2024</v>
      </c>
      <c r="AZ58">
        <v>60.3</v>
      </c>
      <c r="BA58">
        <v>17.600000000000001</v>
      </c>
      <c r="BB58">
        <f t="shared" si="21"/>
        <v>3.4261363636363633</v>
      </c>
    </row>
    <row r="59" spans="1:54" x14ac:dyDescent="0.3">
      <c r="A59" s="11">
        <v>45442</v>
      </c>
      <c r="B59">
        <v>0.59045226130653305</v>
      </c>
      <c r="C59">
        <v>5266.95</v>
      </c>
      <c r="D59">
        <v>88.98</v>
      </c>
      <c r="E59">
        <v>2338.59</v>
      </c>
      <c r="F59">
        <v>81.27</v>
      </c>
      <c r="G59">
        <v>53.65</v>
      </c>
      <c r="H59" s="12">
        <f t="shared" si="0"/>
        <v>199.6653165715901</v>
      </c>
      <c r="I59" s="12">
        <f t="shared" si="1"/>
        <v>84.008962275293655</v>
      </c>
      <c r="J59" s="12">
        <f t="shared" si="4"/>
        <v>186.08713832724686</v>
      </c>
      <c r="K59" s="12">
        <f t="shared" si="5"/>
        <v>155.73533751007588</v>
      </c>
      <c r="L59" s="55">
        <v>19.769205927333701</v>
      </c>
      <c r="M59" s="55">
        <v>19.5994859609781</v>
      </c>
      <c r="N59" s="55">
        <v>230.627891222128</v>
      </c>
      <c r="O59" s="55">
        <v>3.90276700435841</v>
      </c>
      <c r="P59" s="12">
        <f t="shared" si="2"/>
        <v>115.05266695228678</v>
      </c>
      <c r="Q59" s="12">
        <f t="shared" si="6"/>
        <v>116.01929532080968</v>
      </c>
      <c r="R59" s="12">
        <f t="shared" si="7"/>
        <v>88.497017606796504</v>
      </c>
      <c r="S59" s="12">
        <f t="shared" si="8"/>
        <v>108.4580537774869</v>
      </c>
      <c r="T59" s="55">
        <v>13.258876985837199</v>
      </c>
      <c r="U59" s="55">
        <v>12.9481069766769</v>
      </c>
      <c r="V59">
        <v>0.53285151116951401</v>
      </c>
      <c r="W59" s="12"/>
      <c r="X59" s="12"/>
      <c r="Y59" t="str">
        <v>20230818</v>
      </c>
      <c r="Z59">
        <v>44.3</v>
      </c>
      <c r="AA59">
        <v>18.600000000000001</v>
      </c>
      <c r="AB59">
        <f t="shared" si="20"/>
        <v>2.3817204301075265</v>
      </c>
      <c r="AD59" t="str">
        <v>20200331</v>
      </c>
      <c r="AE59">
        <v>-5.0858600000000003</v>
      </c>
      <c r="AF59">
        <v>-11.295403494953099</v>
      </c>
      <c r="AG59">
        <v>37.4</v>
      </c>
      <c r="AH59">
        <v>48.3</v>
      </c>
      <c r="AI59">
        <v>49</v>
      </c>
      <c r="AJ59">
        <v>108.61420065161199</v>
      </c>
      <c r="AK59">
        <v>49</v>
      </c>
      <c r="AL59">
        <v>161.84703463592601</v>
      </c>
      <c r="AM59" s="3">
        <v>9.5343680709534404E-2</v>
      </c>
      <c r="AN59" s="1">
        <f t="shared" si="22"/>
        <v>0</v>
      </c>
      <c r="AO59" s="1">
        <f t="shared" si="23"/>
        <v>0</v>
      </c>
      <c r="AP59" s="1">
        <f t="shared" si="24"/>
        <v>0</v>
      </c>
      <c r="AQ59" s="1">
        <f t="shared" si="25"/>
        <v>0</v>
      </c>
      <c r="AR59" s="1">
        <f t="shared" si="26"/>
        <v>0</v>
      </c>
      <c r="AS59" s="1">
        <f t="shared" si="27"/>
        <v>0</v>
      </c>
      <c r="AT59" s="1">
        <f t="shared" si="28"/>
        <v>0</v>
      </c>
      <c r="AU59" s="1">
        <f t="shared" si="29"/>
        <v>0</v>
      </c>
      <c r="AV59" s="1">
        <f t="shared" si="30"/>
        <v>0</v>
      </c>
      <c r="AW59">
        <f t="shared" si="31"/>
        <v>0</v>
      </c>
      <c r="AY59" t="str">
        <v>31/05/2024</v>
      </c>
      <c r="AZ59">
        <v>57.6</v>
      </c>
      <c r="BA59">
        <v>18.2</v>
      </c>
      <c r="BB59">
        <f t="shared" si="21"/>
        <v>3.1648351648351651</v>
      </c>
    </row>
    <row r="60" spans="1:54" x14ac:dyDescent="0.3">
      <c r="A60" s="11">
        <v>45441</v>
      </c>
      <c r="B60">
        <v>0.58734177215189898</v>
      </c>
      <c r="C60">
        <v>5306.04</v>
      </c>
      <c r="D60">
        <v>90.07</v>
      </c>
      <c r="E60">
        <v>2361.5100000000002</v>
      </c>
      <c r="F60">
        <v>81.3</v>
      </c>
      <c r="G60">
        <v>54.51</v>
      </c>
      <c r="H60" s="12">
        <f t="shared" si="0"/>
        <v>198.72443137425597</v>
      </c>
      <c r="I60" s="12">
        <f t="shared" si="1"/>
        <v>83.812959097707378</v>
      </c>
      <c r="J60" s="12">
        <f t="shared" si="4"/>
        <v>187.39856705241613</v>
      </c>
      <c r="K60" s="12">
        <f t="shared" si="5"/>
        <v>154.43654996152296</v>
      </c>
      <c r="L60" s="55">
        <v>19.45880312061</v>
      </c>
      <c r="M60" s="55">
        <v>19.147342821813801</v>
      </c>
      <c r="N60" s="55">
        <v>230.504479023253</v>
      </c>
      <c r="O60" s="55">
        <v>3.8582602759996401</v>
      </c>
      <c r="P60" s="12">
        <f t="shared" si="2"/>
        <v>116.33232710585042</v>
      </c>
      <c r="Q60" s="12">
        <f t="shared" si="6"/>
        <v>116.44726498585246</v>
      </c>
      <c r="R60" s="12">
        <f t="shared" si="7"/>
        <v>89.037588600955289</v>
      </c>
      <c r="S60" s="12">
        <f t="shared" si="8"/>
        <v>110.15531787997001</v>
      </c>
      <c r="T60" s="55">
        <v>13.0377299011896</v>
      </c>
      <c r="U60" s="55">
        <v>12.593487043958801</v>
      </c>
      <c r="V60">
        <v>0.52849740932642497</v>
      </c>
      <c r="W60" s="12"/>
      <c r="X60" s="12"/>
      <c r="Y60" t="str">
        <v>20230811</v>
      </c>
      <c r="Z60">
        <v>47.1</v>
      </c>
      <c r="AA60">
        <v>20</v>
      </c>
      <c r="AB60">
        <f t="shared" si="20"/>
        <v>2.355</v>
      </c>
      <c r="AD60" t="str">
        <v>20200228</v>
      </c>
      <c r="AE60">
        <v>-1.1216132999999999</v>
      </c>
      <c r="AF60">
        <v>-5.2932823498360904</v>
      </c>
      <c r="AG60">
        <v>45.9</v>
      </c>
      <c r="AH60">
        <v>50.1</v>
      </c>
      <c r="AI60">
        <v>50.1</v>
      </c>
      <c r="AJ60">
        <v>-1.16569525395503</v>
      </c>
      <c r="AK60">
        <v>60.5</v>
      </c>
      <c r="AL60">
        <v>173.77690720560099</v>
      </c>
      <c r="AM60" s="3">
        <v>0.67602040816326503</v>
      </c>
      <c r="AN60" s="1">
        <f t="shared" si="22"/>
        <v>1</v>
      </c>
      <c r="AO60" s="1">
        <f t="shared" si="23"/>
        <v>0</v>
      </c>
      <c r="AP60" s="1">
        <f t="shared" si="24"/>
        <v>0</v>
      </c>
      <c r="AQ60" s="1">
        <f t="shared" si="25"/>
        <v>1</v>
      </c>
      <c r="AR60" s="1">
        <f t="shared" si="26"/>
        <v>1</v>
      </c>
      <c r="AS60" s="1">
        <f t="shared" si="27"/>
        <v>1</v>
      </c>
      <c r="AT60" s="1">
        <f t="shared" si="28"/>
        <v>1</v>
      </c>
      <c r="AU60" s="1">
        <f t="shared" si="29"/>
        <v>1</v>
      </c>
      <c r="AV60" s="1">
        <f t="shared" si="30"/>
        <v>1</v>
      </c>
      <c r="AW60">
        <f t="shared" si="31"/>
        <v>0.77777777777777779</v>
      </c>
      <c r="AY60" t="str">
        <v>30/05/2024</v>
      </c>
      <c r="AZ60">
        <v>57.6</v>
      </c>
      <c r="BA60">
        <v>18.2</v>
      </c>
      <c r="BB60">
        <f t="shared" si="21"/>
        <v>3.1648351648351651</v>
      </c>
    </row>
    <row r="61" spans="1:54" x14ac:dyDescent="0.3">
      <c r="A61" s="11">
        <v>45437</v>
      </c>
      <c r="B61">
        <v>0.61358313817330201</v>
      </c>
      <c r="C61">
        <v>5304.72</v>
      </c>
      <c r="D61">
        <v>91.38</v>
      </c>
      <c r="E61">
        <v>2334.4</v>
      </c>
      <c r="F61">
        <v>81.37</v>
      </c>
      <c r="G61">
        <v>54.55</v>
      </c>
      <c r="H61" s="12">
        <f t="shared" si="0"/>
        <v>195.86778283653385</v>
      </c>
      <c r="I61" s="12">
        <f t="shared" si="1"/>
        <v>84.776394285016366</v>
      </c>
      <c r="J61" s="12">
        <f t="shared" si="4"/>
        <v>187.19095302136108</v>
      </c>
      <c r="K61" s="12">
        <f t="shared" si="5"/>
        <v>154.28502552292542</v>
      </c>
      <c r="L61" s="55">
        <v>19.5277647171281</v>
      </c>
      <c r="M61" s="55">
        <v>19.394415383031099</v>
      </c>
      <c r="N61" s="55">
        <v>230.21328911433</v>
      </c>
      <c r="O61" s="55">
        <v>3.8329778030251598</v>
      </c>
      <c r="P61" s="12">
        <f t="shared" si="2"/>
        <v>116.95583849117725</v>
      </c>
      <c r="Q61" s="12">
        <f t="shared" si="6"/>
        <v>114.88455147772844</v>
      </c>
      <c r="R61" s="12">
        <f t="shared" si="7"/>
        <v>90.150636566789018</v>
      </c>
      <c r="S61" s="12">
        <f t="shared" si="8"/>
        <v>110.14133040630209</v>
      </c>
      <c r="T61" s="55">
        <v>13.1613523759017</v>
      </c>
      <c r="U61" s="55">
        <v>12.8724896409762</v>
      </c>
      <c r="V61">
        <v>0.52143314139475405</v>
      </c>
      <c r="W61" s="12"/>
      <c r="X61" s="12"/>
      <c r="Y61" t="str">
        <v>20230804</v>
      </c>
      <c r="Z61">
        <v>52.2</v>
      </c>
      <c r="AA61">
        <v>19.399999999999999</v>
      </c>
      <c r="AB61">
        <f t="shared" si="20"/>
        <v>2.6907216494845363</v>
      </c>
      <c r="AD61" t="str">
        <v>20200131</v>
      </c>
      <c r="AE61">
        <v>-1.9568536000000001</v>
      </c>
      <c r="AF61">
        <v>-3.7839094667788902</v>
      </c>
      <c r="AG61">
        <v>53.3</v>
      </c>
      <c r="AH61">
        <v>54.8</v>
      </c>
      <c r="AI61">
        <v>51.4</v>
      </c>
      <c r="AJ61">
        <v>1.06209609440855</v>
      </c>
      <c r="AK61">
        <v>61.6</v>
      </c>
      <c r="AL61">
        <v>174.528324418772</v>
      </c>
      <c r="AM61" s="3">
        <v>0.61807580174927101</v>
      </c>
      <c r="AN61" s="1">
        <f t="shared" si="22"/>
        <v>0</v>
      </c>
      <c r="AO61" s="1">
        <f t="shared" si="23"/>
        <v>0</v>
      </c>
      <c r="AP61" s="1">
        <f t="shared" si="24"/>
        <v>1</v>
      </c>
      <c r="AQ61" s="1">
        <f t="shared" si="25"/>
        <v>1</v>
      </c>
      <c r="AR61" s="1">
        <f t="shared" si="26"/>
        <v>1</v>
      </c>
      <c r="AS61" s="1">
        <f t="shared" si="27"/>
        <v>0</v>
      </c>
      <c r="AT61" s="1">
        <f t="shared" si="28"/>
        <v>1</v>
      </c>
      <c r="AU61" s="1">
        <f t="shared" si="29"/>
        <v>1</v>
      </c>
      <c r="AV61" s="1">
        <f t="shared" si="30"/>
        <v>1</v>
      </c>
      <c r="AW61">
        <f t="shared" si="31"/>
        <v>0.66666666666666663</v>
      </c>
      <c r="AY61" t="str">
        <v>29/05/2024</v>
      </c>
      <c r="AZ61">
        <v>57.6</v>
      </c>
      <c r="BA61">
        <v>18.2</v>
      </c>
      <c r="BB61">
        <f t="shared" si="21"/>
        <v>3.1648351648351651</v>
      </c>
    </row>
    <row r="62" spans="1:54" x14ac:dyDescent="0.3">
      <c r="A62" s="11">
        <v>45436</v>
      </c>
      <c r="B62">
        <v>0.61149425287356296</v>
      </c>
      <c r="C62">
        <v>5267.84</v>
      </c>
      <c r="D62">
        <v>91.11</v>
      </c>
      <c r="E62">
        <v>2328.9699999999998</v>
      </c>
      <c r="F62">
        <v>81.34</v>
      </c>
      <c r="G62">
        <v>54.2</v>
      </c>
      <c r="H62" s="12">
        <f t="shared" si="0"/>
        <v>195.08014263245198</v>
      </c>
      <c r="I62" s="12">
        <f t="shared" si="1"/>
        <v>84.38237339412575</v>
      </c>
      <c r="J62" s="12">
        <f t="shared" si="4"/>
        <v>185.95765402060746</v>
      </c>
      <c r="K62" s="12">
        <f t="shared" si="5"/>
        <v>154.20123143888355</v>
      </c>
      <c r="L62" s="55">
        <v>19.237800922269098</v>
      </c>
      <c r="M62" s="55">
        <v>18.934759980800798</v>
      </c>
      <c r="N62" s="55">
        <v>230.389718675149</v>
      </c>
      <c r="O62" s="55">
        <v>3.8215847004958001</v>
      </c>
      <c r="P62" s="12">
        <f t="shared" si="2"/>
        <v>117.39572476771897</v>
      </c>
      <c r="Q62" s="12">
        <f t="shared" si="6"/>
        <v>114.48452950309272</v>
      </c>
      <c r="R62" s="12">
        <f t="shared" si="7"/>
        <v>89.780197921003051</v>
      </c>
      <c r="S62" s="12">
        <f t="shared" si="8"/>
        <v>109.47476675791022</v>
      </c>
      <c r="T62" s="55">
        <v>13.031562148465699</v>
      </c>
      <c r="U62" s="55">
        <v>12.6735543009308</v>
      </c>
      <c r="V62">
        <v>0.520231213872832</v>
      </c>
      <c r="W62" s="12"/>
      <c r="X62" s="12"/>
      <c r="Y62" t="str">
        <v>20230728</v>
      </c>
      <c r="Z62">
        <v>57.1</v>
      </c>
      <c r="AA62">
        <v>18.600000000000001</v>
      </c>
      <c r="AB62">
        <f t="shared" si="20"/>
        <v>3.0698924731182795</v>
      </c>
      <c r="AD62" t="str">
        <v>20191231</v>
      </c>
      <c r="AE62">
        <v>-2.0212387999999999</v>
      </c>
      <c r="AF62">
        <v>-7.9615735464208104</v>
      </c>
      <c r="AG62">
        <v>51.7</v>
      </c>
      <c r="AH62">
        <v>45.5</v>
      </c>
      <c r="AI62">
        <v>47.9</v>
      </c>
      <c r="AJ62">
        <v>0.340232492203008</v>
      </c>
      <c r="AK62">
        <v>58.6</v>
      </c>
      <c r="AL62">
        <v>174.44155368150101</v>
      </c>
      <c r="AM62" s="3">
        <v>0.53149606299212604</v>
      </c>
      <c r="AN62" s="1">
        <f t="shared" si="22"/>
        <v>0</v>
      </c>
      <c r="AO62" s="1">
        <f t="shared" si="23"/>
        <v>0</v>
      </c>
      <c r="AP62" s="1">
        <f t="shared" si="24"/>
        <v>1</v>
      </c>
      <c r="AQ62" s="1">
        <f t="shared" si="25"/>
        <v>0</v>
      </c>
      <c r="AR62" s="1">
        <f t="shared" si="26"/>
        <v>0</v>
      </c>
      <c r="AS62" s="1">
        <f t="shared" si="27"/>
        <v>0</v>
      </c>
      <c r="AT62" s="1">
        <f t="shared" si="28"/>
        <v>1</v>
      </c>
      <c r="AU62" s="1">
        <f t="shared" si="29"/>
        <v>1</v>
      </c>
      <c r="AV62" s="1">
        <f t="shared" si="30"/>
        <v>1</v>
      </c>
      <c r="AW62">
        <f t="shared" si="31"/>
        <v>0.44444444444444442</v>
      </c>
      <c r="AY62" t="str">
        <v>28/05/2024</v>
      </c>
      <c r="AZ62">
        <v>57.6</v>
      </c>
      <c r="BA62">
        <v>18.2</v>
      </c>
      <c r="BB62">
        <f t="shared" si="21"/>
        <v>3.1648351648351651</v>
      </c>
    </row>
    <row r="63" spans="1:54" x14ac:dyDescent="0.3">
      <c r="A63" s="11">
        <v>45435</v>
      </c>
      <c r="B63">
        <v>0.609480812641084</v>
      </c>
      <c r="C63">
        <v>5307.01</v>
      </c>
      <c r="D63">
        <v>91.7</v>
      </c>
      <c r="E63">
        <v>2378.58</v>
      </c>
      <c r="F63">
        <v>81.38</v>
      </c>
      <c r="G63">
        <v>54.52</v>
      </c>
      <c r="H63" s="12">
        <f t="shared" si="0"/>
        <v>195.26501562224399</v>
      </c>
      <c r="I63" s="12">
        <f t="shared" si="1"/>
        <v>83.260342200902429</v>
      </c>
      <c r="J63" s="12">
        <f t="shared" si="4"/>
        <v>187.24765604337045</v>
      </c>
      <c r="K63" s="12">
        <f t="shared" si="5"/>
        <v>154.43464367478475</v>
      </c>
      <c r="L63" s="55">
        <v>19.3321987614924</v>
      </c>
      <c r="M63" s="55">
        <v>19.228829443924901</v>
      </c>
      <c r="N63" s="55">
        <v>230.055858772531</v>
      </c>
      <c r="O63" s="55">
        <v>3.8485024534142198</v>
      </c>
      <c r="P63" s="12">
        <f t="shared" si="2"/>
        <v>116.41255588065061</v>
      </c>
      <c r="Q63" s="12">
        <f t="shared" si="6"/>
        <v>114.41992592262432</v>
      </c>
      <c r="R63" s="12">
        <f t="shared" si="7"/>
        <v>88.454479669023939</v>
      </c>
      <c r="S63" s="12">
        <f t="shared" si="8"/>
        <v>110.06669271470591</v>
      </c>
      <c r="T63" s="55">
        <v>13.1852638921081</v>
      </c>
      <c r="U63" s="55">
        <v>13.0400957411417</v>
      </c>
      <c r="V63">
        <v>0.51208651399491101</v>
      </c>
      <c r="W63" s="12"/>
      <c r="X63" s="12"/>
      <c r="Y63" t="str">
        <v>20230721</v>
      </c>
      <c r="Z63">
        <v>55.6</v>
      </c>
      <c r="AA63">
        <v>19.399999999999999</v>
      </c>
      <c r="AB63">
        <f t="shared" si="20"/>
        <v>2.8659793814432994</v>
      </c>
      <c r="AD63" t="str">
        <v>20191129</v>
      </c>
      <c r="AE63">
        <v>-1.7913214</v>
      </c>
      <c r="AF63">
        <v>-9.5573051503061102</v>
      </c>
      <c r="AG63">
        <v>46.7</v>
      </c>
      <c r="AH63">
        <v>48.1</v>
      </c>
      <c r="AI63">
        <v>48.1</v>
      </c>
      <c r="AJ63">
        <v>-9.48541617263432E-2</v>
      </c>
      <c r="AK63">
        <v>52.2</v>
      </c>
      <c r="AL63">
        <v>173.17163452931001</v>
      </c>
      <c r="AM63" s="3">
        <v>0.56793478260869601</v>
      </c>
      <c r="AN63" s="1">
        <f t="shared" si="22"/>
        <v>0</v>
      </c>
      <c r="AO63" s="1">
        <f t="shared" si="23"/>
        <v>0</v>
      </c>
      <c r="AP63" s="1">
        <f t="shared" si="24"/>
        <v>0</v>
      </c>
      <c r="AQ63" s="1">
        <f t="shared" si="25"/>
        <v>0</v>
      </c>
      <c r="AR63" s="1">
        <f t="shared" si="26"/>
        <v>0</v>
      </c>
      <c r="AS63" s="1">
        <f t="shared" si="27"/>
        <v>1</v>
      </c>
      <c r="AT63" s="1">
        <f t="shared" si="28"/>
        <v>1</v>
      </c>
      <c r="AU63" s="1">
        <f t="shared" si="29"/>
        <v>1</v>
      </c>
      <c r="AV63" s="1">
        <f t="shared" si="30"/>
        <v>1</v>
      </c>
      <c r="AW63">
        <f t="shared" si="31"/>
        <v>0.44444444444444442</v>
      </c>
      <c r="AY63" t="str">
        <v>27/05/2024</v>
      </c>
      <c r="AZ63">
        <v>57.6</v>
      </c>
      <c r="BA63">
        <v>18.2</v>
      </c>
      <c r="BB63">
        <f t="shared" si="21"/>
        <v>3.1648351648351651</v>
      </c>
    </row>
    <row r="64" spans="1:54" x14ac:dyDescent="0.3">
      <c r="A64" s="11">
        <v>45434</v>
      </c>
      <c r="B64">
        <v>0.61085972850678705</v>
      </c>
      <c r="C64">
        <v>5321.41</v>
      </c>
      <c r="D64">
        <v>91.59</v>
      </c>
      <c r="E64">
        <v>2421.73</v>
      </c>
      <c r="F64">
        <v>81.44</v>
      </c>
      <c r="G64">
        <v>54.92</v>
      </c>
      <c r="H64" s="12">
        <f t="shared" si="0"/>
        <v>196.03091904564724</v>
      </c>
      <c r="I64" s="12">
        <f t="shared" si="1"/>
        <v>82.0208600849448</v>
      </c>
      <c r="J64" s="12">
        <f t="shared" si="4"/>
        <v>187.6171325279438</v>
      </c>
      <c r="K64" s="12">
        <f t="shared" si="5"/>
        <v>153.73097526578886</v>
      </c>
      <c r="L64" s="55">
        <v>19.068698880009499</v>
      </c>
      <c r="M64" s="55">
        <v>18.7687596025266</v>
      </c>
      <c r="N64" s="55">
        <v>229.76557237581599</v>
      </c>
      <c r="O64" s="55">
        <v>3.82807532294887</v>
      </c>
      <c r="P64" s="12">
        <f t="shared" si="2"/>
        <v>116.88861204530616</v>
      </c>
      <c r="Q64" s="12">
        <f t="shared" si="6"/>
        <v>115.39900869449154</v>
      </c>
      <c r="R64" s="12">
        <f t="shared" si="7"/>
        <v>87.532368205606303</v>
      </c>
      <c r="S64" s="12">
        <f t="shared" si="8"/>
        <v>110.79200169314693</v>
      </c>
      <c r="T64" s="55">
        <v>13.0454710225097</v>
      </c>
      <c r="U64" s="55">
        <v>12.7877506981467</v>
      </c>
      <c r="V64">
        <v>0.51399491094147598</v>
      </c>
      <c r="W64" s="12"/>
      <c r="X64" s="12"/>
      <c r="Y64" t="str">
        <v>20230714</v>
      </c>
      <c r="Z64">
        <v>54.2</v>
      </c>
      <c r="AA64">
        <v>18</v>
      </c>
      <c r="AB64">
        <f t="shared" si="20"/>
        <v>3.0111111111111111</v>
      </c>
      <c r="AD64" t="str">
        <v>20191031</v>
      </c>
      <c r="AE64">
        <v>-2.2533500000000002</v>
      </c>
      <c r="AF64">
        <v>-9.3616764938061294</v>
      </c>
      <c r="AG64">
        <v>45.5</v>
      </c>
      <c r="AH64">
        <v>46.2</v>
      </c>
      <c r="AI64">
        <v>48.1</v>
      </c>
      <c r="AJ64">
        <v>1.6167006749332899</v>
      </c>
      <c r="AK64">
        <v>56</v>
      </c>
      <c r="AL64">
        <v>171.94520817531401</v>
      </c>
      <c r="AM64" s="3">
        <v>0.49512195121951202</v>
      </c>
      <c r="AN64" s="1">
        <f t="shared" si="22"/>
        <v>0</v>
      </c>
      <c r="AO64" s="1">
        <f t="shared" si="23"/>
        <v>0</v>
      </c>
      <c r="AP64" s="1">
        <f t="shared" si="24"/>
        <v>0</v>
      </c>
      <c r="AQ64" s="1">
        <f t="shared" si="25"/>
        <v>0</v>
      </c>
      <c r="AR64" s="1">
        <f t="shared" si="26"/>
        <v>0</v>
      </c>
      <c r="AS64" s="1">
        <f t="shared" si="27"/>
        <v>0</v>
      </c>
      <c r="AT64" s="1">
        <f t="shared" si="28"/>
        <v>1</v>
      </c>
      <c r="AU64" s="1">
        <f t="shared" si="29"/>
        <v>1</v>
      </c>
      <c r="AV64" s="1">
        <f t="shared" si="30"/>
        <v>0</v>
      </c>
      <c r="AW64">
        <f t="shared" si="31"/>
        <v>0.22222222222222221</v>
      </c>
      <c r="AY64" t="str">
        <v>24/05/2024</v>
      </c>
      <c r="AZ64">
        <v>58.2</v>
      </c>
      <c r="BA64">
        <v>17.899999999999999</v>
      </c>
      <c r="BB64">
        <f t="shared" si="21"/>
        <v>3.2513966480446932</v>
      </c>
    </row>
    <row r="65" spans="1:54" x14ac:dyDescent="0.3">
      <c r="A65" s="11">
        <v>45433</v>
      </c>
      <c r="B65">
        <v>0.61363636363636398</v>
      </c>
      <c r="C65">
        <v>5308.13</v>
      </c>
      <c r="D65">
        <v>91.12</v>
      </c>
      <c r="E65">
        <v>2426.2399999999998</v>
      </c>
      <c r="F65">
        <v>81.400000000000006</v>
      </c>
      <c r="G65">
        <v>55.09</v>
      </c>
      <c r="H65" s="12">
        <f t="shared" si="0"/>
        <v>196.55300523868812</v>
      </c>
      <c r="I65" s="12">
        <f t="shared" si="1"/>
        <v>81.664747398472812</v>
      </c>
      <c r="J65" s="12">
        <f t="shared" si="4"/>
        <v>187.24069967150501</v>
      </c>
      <c r="K65" s="12">
        <f t="shared" si="5"/>
        <v>152.87674858224193</v>
      </c>
      <c r="L65" s="55">
        <v>19.007860436259801</v>
      </c>
      <c r="M65" s="55">
        <v>18.721290593415699</v>
      </c>
      <c r="N65" s="55">
        <v>229.45256466037699</v>
      </c>
      <c r="O65" s="55">
        <v>3.8910717543703099</v>
      </c>
      <c r="P65" s="12">
        <f t="shared" si="2"/>
        <v>114.87213004279631</v>
      </c>
      <c r="Q65" s="12">
        <f t="shared" si="6"/>
        <v>116.35825367174677</v>
      </c>
      <c r="R65" s="12">
        <f t="shared" si="7"/>
        <v>87.639903786400382</v>
      </c>
      <c r="S65" s="12">
        <f t="shared" si="8"/>
        <v>111.18975636032091</v>
      </c>
      <c r="T65" s="55">
        <v>12.9899363335094</v>
      </c>
      <c r="U65" s="55">
        <v>12.706537609794999</v>
      </c>
      <c r="V65">
        <v>0.51379089159717795</v>
      </c>
      <c r="W65" s="12"/>
      <c r="X65" s="12"/>
      <c r="Y65" t="str">
        <v>20230707</v>
      </c>
      <c r="Z65">
        <v>51.4</v>
      </c>
      <c r="AA65">
        <v>18.100000000000001</v>
      </c>
      <c r="AB65">
        <f t="shared" si="20"/>
        <v>2.8397790055248615</v>
      </c>
      <c r="AD65" t="str">
        <v>20190930</v>
      </c>
      <c r="AE65">
        <v>-1.5789048999999999</v>
      </c>
      <c r="AF65">
        <v>-8.5220700003048897</v>
      </c>
      <c r="AG65">
        <v>49.7</v>
      </c>
      <c r="AH65">
        <v>48.3</v>
      </c>
      <c r="AI65">
        <v>48.1</v>
      </c>
      <c r="AJ65">
        <v>2.3300970873786402</v>
      </c>
      <c r="AK65">
        <v>56.7</v>
      </c>
      <c r="AL65">
        <v>172.51192231854401</v>
      </c>
      <c r="AM65" s="3">
        <v>0.41304347826087001</v>
      </c>
      <c r="AN65" s="1">
        <f t="shared" si="22"/>
        <v>0</v>
      </c>
      <c r="AO65" s="1">
        <f t="shared" si="23"/>
        <v>0</v>
      </c>
      <c r="AP65" s="1">
        <f t="shared" si="24"/>
        <v>0</v>
      </c>
      <c r="AQ65" s="1">
        <f t="shared" si="25"/>
        <v>0</v>
      </c>
      <c r="AR65" s="1">
        <f t="shared" si="26"/>
        <v>0</v>
      </c>
      <c r="AS65" s="1">
        <f t="shared" si="27"/>
        <v>0</v>
      </c>
      <c r="AT65" s="1">
        <f t="shared" si="28"/>
        <v>1</v>
      </c>
      <c r="AU65" s="1">
        <f t="shared" si="29"/>
        <v>1</v>
      </c>
      <c r="AV65" s="1">
        <f t="shared" si="30"/>
        <v>0</v>
      </c>
      <c r="AW65">
        <f t="shared" si="31"/>
        <v>0.22222222222222221</v>
      </c>
      <c r="AY65" t="str">
        <v>23/05/2024</v>
      </c>
      <c r="AZ65">
        <v>58.2</v>
      </c>
      <c r="BA65">
        <v>17.899999999999999</v>
      </c>
      <c r="BB65">
        <f t="shared" si="21"/>
        <v>3.2513966480446932</v>
      </c>
    </row>
    <row r="66" spans="1:54" x14ac:dyDescent="0.3">
      <c r="A66" s="11">
        <v>45430</v>
      </c>
      <c r="B66">
        <v>0.62107623318385696</v>
      </c>
      <c r="C66">
        <v>5303.27</v>
      </c>
      <c r="D66">
        <v>91.39</v>
      </c>
      <c r="E66">
        <v>2415.02</v>
      </c>
      <c r="F66">
        <v>81.42</v>
      </c>
      <c r="G66">
        <v>55.11</v>
      </c>
      <c r="H66" s="12">
        <f t="shared" ref="H66:H129" si="32">H67*(1+((C66/C67)-(D66/D67)))</f>
        <v>195.79512399919545</v>
      </c>
      <c r="I66" s="12">
        <f t="shared" ref="I66:I129" si="33">I67*(1+((C66/C67)-(E66/E67)))</f>
        <v>81.970456917285773</v>
      </c>
      <c r="J66" s="12">
        <f t="shared" si="4"/>
        <v>187.02336811686288</v>
      </c>
      <c r="K66" s="12">
        <f t="shared" si="5"/>
        <v>152.68141923268163</v>
      </c>
      <c r="L66" s="55">
        <v>18.8445180457032</v>
      </c>
      <c r="M66" s="55">
        <v>18.4158568373504</v>
      </c>
      <c r="N66" s="55">
        <v>229.06079626173599</v>
      </c>
      <c r="O66" s="55">
        <v>3.87990659838505</v>
      </c>
      <c r="P66" s="12">
        <f t="shared" ref="P66:P129" si="34">P67*(1+((N66/N67)-(O66/O67)))</f>
        <v>115.00638410569829</v>
      </c>
      <c r="Q66" s="12">
        <f t="shared" si="6"/>
        <v>116.05749521852664</v>
      </c>
      <c r="R66" s="12">
        <f t="shared" si="7"/>
        <v>88.081087402194157</v>
      </c>
      <c r="S66" s="12">
        <f t="shared" si="8"/>
        <v>111.20279718469895</v>
      </c>
      <c r="T66" s="55">
        <v>12.9342388171903</v>
      </c>
      <c r="U66" s="55">
        <v>12.618161882379701</v>
      </c>
      <c r="V66">
        <v>0.51272264631043296</v>
      </c>
      <c r="W66" s="12"/>
      <c r="X66" s="12"/>
      <c r="Y66" t="str">
        <v>20230630</v>
      </c>
      <c r="Z66">
        <v>54.9</v>
      </c>
      <c r="AA66">
        <v>18.3</v>
      </c>
      <c r="AB66">
        <f t="shared" si="20"/>
        <v>3</v>
      </c>
      <c r="AD66" t="str">
        <v>20190830</v>
      </c>
      <c r="AE66">
        <v>-1.2272904</v>
      </c>
      <c r="AF66">
        <v>-10.362041443584801</v>
      </c>
      <c r="AG66">
        <v>46</v>
      </c>
      <c r="AH66">
        <v>47.7</v>
      </c>
      <c r="AI66">
        <v>48.5</v>
      </c>
      <c r="AJ66">
        <v>0.83426721454364905</v>
      </c>
      <c r="AK66">
        <v>60</v>
      </c>
      <c r="AL66">
        <v>171.396591743431</v>
      </c>
      <c r="AM66" s="3">
        <v>0.54617414248021101</v>
      </c>
      <c r="AN66" s="1">
        <f t="shared" si="22"/>
        <v>0</v>
      </c>
      <c r="AO66" s="1">
        <f t="shared" si="23"/>
        <v>0</v>
      </c>
      <c r="AP66" s="1">
        <f t="shared" si="24"/>
        <v>0</v>
      </c>
      <c r="AQ66" s="1">
        <f t="shared" si="25"/>
        <v>0</v>
      </c>
      <c r="AR66" s="1">
        <f t="shared" si="26"/>
        <v>0</v>
      </c>
      <c r="AS66" s="1">
        <f t="shared" si="27"/>
        <v>0</v>
      </c>
      <c r="AT66" s="1">
        <f t="shared" si="28"/>
        <v>1</v>
      </c>
      <c r="AU66" s="1">
        <f t="shared" si="29"/>
        <v>1</v>
      </c>
      <c r="AV66" s="1">
        <f t="shared" si="30"/>
        <v>1</v>
      </c>
      <c r="AW66">
        <f t="shared" si="31"/>
        <v>0.33333333333333331</v>
      </c>
      <c r="AY66" t="str">
        <v>22/05/2024</v>
      </c>
      <c r="AZ66">
        <v>58.2</v>
      </c>
      <c r="BA66">
        <v>17.899999999999999</v>
      </c>
      <c r="BB66">
        <f t="shared" si="21"/>
        <v>3.2513966480446932</v>
      </c>
    </row>
    <row r="67" spans="1:54" x14ac:dyDescent="0.3">
      <c r="A67" s="11">
        <v>45429</v>
      </c>
      <c r="B67">
        <v>0.62585034013605401</v>
      </c>
      <c r="C67">
        <v>5297.1</v>
      </c>
      <c r="D67">
        <v>92.01</v>
      </c>
      <c r="E67">
        <v>2376.4</v>
      </c>
      <c r="F67">
        <v>81.47</v>
      </c>
      <c r="G67">
        <v>54.9</v>
      </c>
      <c r="H67" s="12">
        <f t="shared" si="32"/>
        <v>194.25985220041426</v>
      </c>
      <c r="I67" s="12">
        <f t="shared" si="33"/>
        <v>83.226062263803669</v>
      </c>
      <c r="J67" s="12">
        <f t="shared" ref="J67:J130" si="35">J68*(1+((C67/C68)-(F67/F68)))</f>
        <v>186.69133550008135</v>
      </c>
      <c r="K67" s="12">
        <f t="shared" ref="K67:K130" si="36">K68*(1+((C67/C68)-(G67/G68)))</f>
        <v>153.08868846964512</v>
      </c>
      <c r="L67" s="55">
        <v>18.830701242236199</v>
      </c>
      <c r="M67" s="55">
        <v>18.457862693536001</v>
      </c>
      <c r="N67" s="55">
        <v>227.78460547499299</v>
      </c>
      <c r="O67" s="55">
        <v>3.87948286218184</v>
      </c>
      <c r="P67" s="12">
        <f t="shared" si="34"/>
        <v>114.37806013221177</v>
      </c>
      <c r="Q67" s="12">
        <f t="shared" ref="Q67:Q130" si="37">Q68*(1+((G67/G68)-(D67/D68)))</f>
        <v>114.84433313048325</v>
      </c>
      <c r="R67" s="12">
        <f t="shared" ref="R67:R130" si="38">R68*(1+((G67/G68)-(E67/E68)))</f>
        <v>89.189384682081794</v>
      </c>
      <c r="S67" s="12">
        <f t="shared" ref="S67:S130" si="39">S68*(1+((G67/G68)-(F67/F68)))</f>
        <v>110.7113649954367</v>
      </c>
      <c r="T67" s="55">
        <v>12.9938707335087</v>
      </c>
      <c r="U67" s="55">
        <v>12.8096693571137</v>
      </c>
      <c r="V67">
        <v>0.50573248407643301</v>
      </c>
      <c r="W67" s="12"/>
      <c r="X67" s="12"/>
      <c r="Y67" t="str">
        <v>20230623</v>
      </c>
      <c r="Z67">
        <v>50</v>
      </c>
      <c r="AA67">
        <v>18.600000000000001</v>
      </c>
      <c r="AB67">
        <f t="shared" si="20"/>
        <v>2.6881720430107525</v>
      </c>
      <c r="AD67" t="str">
        <v>20190731</v>
      </c>
      <c r="AE67">
        <v>-1.3065509</v>
      </c>
      <c r="AF67">
        <v>-11.828507910997599</v>
      </c>
      <c r="AG67">
        <v>45.1</v>
      </c>
      <c r="AH67">
        <v>50.5</v>
      </c>
      <c r="AI67">
        <v>51</v>
      </c>
      <c r="AJ67">
        <v>-1.39056831922612</v>
      </c>
      <c r="AK67">
        <v>54.6</v>
      </c>
      <c r="AL67">
        <v>171.08636012382101</v>
      </c>
      <c r="AM67" s="3">
        <v>0.479545454545455</v>
      </c>
      <c r="AN67" s="1">
        <f t="shared" si="22"/>
        <v>0</v>
      </c>
      <c r="AO67" s="1">
        <f t="shared" si="23"/>
        <v>0</v>
      </c>
      <c r="AP67" s="1">
        <f t="shared" si="24"/>
        <v>0</v>
      </c>
      <c r="AQ67" s="1">
        <f t="shared" si="25"/>
        <v>1</v>
      </c>
      <c r="AR67" s="1">
        <f t="shared" si="26"/>
        <v>1</v>
      </c>
      <c r="AS67" s="1">
        <f t="shared" si="27"/>
        <v>1</v>
      </c>
      <c r="AT67" s="1">
        <f t="shared" si="28"/>
        <v>1</v>
      </c>
      <c r="AU67" s="1">
        <f t="shared" si="29"/>
        <v>1</v>
      </c>
      <c r="AV67" s="1">
        <f t="shared" si="30"/>
        <v>0</v>
      </c>
      <c r="AW67">
        <f t="shared" si="31"/>
        <v>0.55555555555555558</v>
      </c>
      <c r="AY67" t="str">
        <v>21/05/2024</v>
      </c>
      <c r="AZ67">
        <v>58.2</v>
      </c>
      <c r="BA67">
        <v>17.899999999999999</v>
      </c>
      <c r="BB67">
        <f t="shared" si="21"/>
        <v>3.2513966480446932</v>
      </c>
    </row>
    <row r="68" spans="1:54" x14ac:dyDescent="0.3">
      <c r="A68" s="11">
        <v>45428</v>
      </c>
      <c r="B68">
        <v>0.60986547085201803</v>
      </c>
      <c r="C68">
        <v>5308.15</v>
      </c>
      <c r="D68">
        <v>92.1</v>
      </c>
      <c r="E68">
        <v>2386.16</v>
      </c>
      <c r="F68">
        <v>81.53</v>
      </c>
      <c r="G68">
        <v>55.04</v>
      </c>
      <c r="H68" s="12">
        <f t="shared" si="32"/>
        <v>194.47465058997824</v>
      </c>
      <c r="I68" s="12">
        <f t="shared" si="33"/>
        <v>83.059233702392206</v>
      </c>
      <c r="J68" s="12">
        <f t="shared" si="35"/>
        <v>186.94291937806875</v>
      </c>
      <c r="K68" s="12">
        <f t="shared" si="36"/>
        <v>153.01800943540303</v>
      </c>
      <c r="L68" s="55">
        <v>18.7036215031019</v>
      </c>
      <c r="M68" s="55">
        <v>18.193624244425401</v>
      </c>
      <c r="N68" s="55">
        <v>227.33325109580801</v>
      </c>
      <c r="O68" s="55">
        <v>3.8831498337297798</v>
      </c>
      <c r="P68" s="12">
        <f t="shared" si="34"/>
        <v>114.04393879857514</v>
      </c>
      <c r="Q68" s="12">
        <f t="shared" si="37"/>
        <v>115.02450820500236</v>
      </c>
      <c r="R68" s="12">
        <f t="shared" si="38"/>
        <v>89.05165301901387</v>
      </c>
      <c r="S68" s="12">
        <f t="shared" si="39"/>
        <v>110.91185805704583</v>
      </c>
      <c r="T68" s="55">
        <v>12.940611175248</v>
      </c>
      <c r="U68" s="55">
        <v>12.7096645442063</v>
      </c>
      <c r="V68">
        <v>0.50612508059316597</v>
      </c>
      <c r="W68" s="12"/>
      <c r="X68" s="12"/>
      <c r="Y68" t="str">
        <v>20230616</v>
      </c>
      <c r="Z68">
        <v>54.3</v>
      </c>
      <c r="AA68">
        <v>20</v>
      </c>
      <c r="AB68">
        <f t="shared" si="20"/>
        <v>2.7149999999999999</v>
      </c>
      <c r="AD68" t="str">
        <v>20190628</v>
      </c>
      <c r="AE68">
        <v>-0.66175439999999996</v>
      </c>
      <c r="AF68">
        <v>-12.1461118277137</v>
      </c>
      <c r="AG68">
        <v>47.9</v>
      </c>
      <c r="AH68">
        <v>52.5</v>
      </c>
      <c r="AI68">
        <v>51.5</v>
      </c>
      <c r="AJ68">
        <v>-2.8819816601167099</v>
      </c>
      <c r="AK68">
        <v>58</v>
      </c>
      <c r="AL68">
        <v>171.38607727836001</v>
      </c>
      <c r="AM68" s="3">
        <v>0.40117994100295001</v>
      </c>
      <c r="AN68" s="1">
        <f t="shared" si="22"/>
        <v>0</v>
      </c>
      <c r="AO68" s="1">
        <f t="shared" si="23"/>
        <v>0</v>
      </c>
      <c r="AP68" s="1">
        <f t="shared" si="24"/>
        <v>0</v>
      </c>
      <c r="AQ68" s="1">
        <f t="shared" si="25"/>
        <v>1</v>
      </c>
      <c r="AR68" s="1">
        <f t="shared" si="26"/>
        <v>1</v>
      </c>
      <c r="AS68" s="1">
        <f t="shared" si="27"/>
        <v>1</v>
      </c>
      <c r="AT68" s="1">
        <f t="shared" si="28"/>
        <v>1</v>
      </c>
      <c r="AU68" s="1">
        <f t="shared" si="29"/>
        <v>1</v>
      </c>
      <c r="AV68" s="1">
        <f t="shared" si="30"/>
        <v>0</v>
      </c>
      <c r="AW68">
        <f t="shared" si="31"/>
        <v>0.55555555555555558</v>
      </c>
      <c r="AY68" t="str">
        <v>20/05/2024</v>
      </c>
      <c r="AZ68">
        <v>58.2</v>
      </c>
      <c r="BA68">
        <v>17.899999999999999</v>
      </c>
      <c r="BB68">
        <f t="shared" si="21"/>
        <v>3.2513966480446932</v>
      </c>
    </row>
    <row r="69" spans="1:54" x14ac:dyDescent="0.3">
      <c r="A69" s="11">
        <v>45427</v>
      </c>
      <c r="B69">
        <v>0.60222222222222199</v>
      </c>
      <c r="C69">
        <v>5246.68</v>
      </c>
      <c r="D69">
        <v>90.86</v>
      </c>
      <c r="E69">
        <v>2358.14</v>
      </c>
      <c r="F69">
        <v>81.38</v>
      </c>
      <c r="G69">
        <v>54.48</v>
      </c>
      <c r="H69" s="12">
        <f t="shared" si="32"/>
        <v>194.8509836731476</v>
      </c>
      <c r="I69" s="12">
        <f t="shared" si="33"/>
        <v>83.073045907637407</v>
      </c>
      <c r="J69" s="12">
        <f t="shared" si="35"/>
        <v>185.11531737601521</v>
      </c>
      <c r="K69" s="12">
        <f t="shared" si="36"/>
        <v>152.79844129579669</v>
      </c>
      <c r="L69" s="55">
        <v>18.7089644272348</v>
      </c>
      <c r="M69" s="55">
        <v>18.263796518083499</v>
      </c>
      <c r="N69" s="55">
        <v>227.11484329859701</v>
      </c>
      <c r="O69" s="55">
        <v>3.9174201441854701</v>
      </c>
      <c r="P69" s="12">
        <f t="shared" si="34"/>
        <v>112.94723851635122</v>
      </c>
      <c r="Q69" s="12">
        <f t="shared" si="37"/>
        <v>115.41326255820653</v>
      </c>
      <c r="R69" s="12">
        <f t="shared" si="38"/>
        <v>89.194653875879609</v>
      </c>
      <c r="S69" s="12">
        <f t="shared" si="39"/>
        <v>109.98405492398552</v>
      </c>
      <c r="T69" s="55">
        <v>12.950725640365</v>
      </c>
      <c r="U69" s="55">
        <v>12.772546897324601</v>
      </c>
      <c r="V69">
        <v>0.50226244343891402</v>
      </c>
      <c r="W69" s="12"/>
      <c r="X69" s="12"/>
      <c r="Y69" t="str">
        <v>20230609</v>
      </c>
      <c r="Z69">
        <v>53.4</v>
      </c>
      <c r="AA69">
        <v>20.6</v>
      </c>
      <c r="AB69">
        <f t="shared" si="20"/>
        <v>2.5922330097087376</v>
      </c>
      <c r="AD69" t="str">
        <v>20190531</v>
      </c>
      <c r="AE69">
        <v>3.5748820000000001E-2</v>
      </c>
      <c r="AF69">
        <v>-9.1659158429495697</v>
      </c>
      <c r="AG69">
        <v>53.2</v>
      </c>
      <c r="AH69">
        <v>52.3</v>
      </c>
      <c r="AI69">
        <v>52.6</v>
      </c>
      <c r="AJ69">
        <v>-7.2287097692964899</v>
      </c>
      <c r="AK69">
        <v>59.7</v>
      </c>
      <c r="AL69">
        <v>171.070969581985</v>
      </c>
      <c r="AM69" s="3">
        <v>0.57772020725388595</v>
      </c>
      <c r="AN69" s="1">
        <f t="shared" si="22"/>
        <v>0</v>
      </c>
      <c r="AO69" s="1">
        <f t="shared" si="23"/>
        <v>0</v>
      </c>
      <c r="AP69" s="1">
        <f t="shared" si="24"/>
        <v>1</v>
      </c>
      <c r="AQ69" s="1">
        <f t="shared" si="25"/>
        <v>1</v>
      </c>
      <c r="AR69" s="1">
        <f t="shared" si="26"/>
        <v>1</v>
      </c>
      <c r="AS69" s="1">
        <f t="shared" si="27"/>
        <v>1</v>
      </c>
      <c r="AT69" s="1">
        <f t="shared" si="28"/>
        <v>1</v>
      </c>
      <c r="AU69" s="1">
        <f t="shared" si="29"/>
        <v>1</v>
      </c>
      <c r="AV69" s="1">
        <f t="shared" si="30"/>
        <v>1</v>
      </c>
      <c r="AW69">
        <f t="shared" si="31"/>
        <v>0.77777777777777779</v>
      </c>
      <c r="AY69" t="str">
        <v>17/05/2024</v>
      </c>
      <c r="AZ69">
        <v>59.4</v>
      </c>
      <c r="BA69">
        <v>17.2</v>
      </c>
      <c r="BB69">
        <f t="shared" si="21"/>
        <v>3.4534883720930232</v>
      </c>
    </row>
    <row r="70" spans="1:54" x14ac:dyDescent="0.3">
      <c r="A70" s="11">
        <v>45426</v>
      </c>
      <c r="B70">
        <v>0.60666666666666702</v>
      </c>
      <c r="C70">
        <v>5221.42</v>
      </c>
      <c r="D70">
        <v>90.35</v>
      </c>
      <c r="E70">
        <v>2336.23</v>
      </c>
      <c r="F70">
        <v>81.3</v>
      </c>
      <c r="G70">
        <v>54.17</v>
      </c>
      <c r="H70" s="12">
        <f t="shared" si="32"/>
        <v>195.00834576651505</v>
      </c>
      <c r="I70" s="12">
        <f t="shared" si="33"/>
        <v>83.451967326278904</v>
      </c>
      <c r="J70" s="12">
        <f t="shared" si="35"/>
        <v>184.40466704223928</v>
      </c>
      <c r="K70" s="12">
        <f t="shared" si="36"/>
        <v>152.93378162348498</v>
      </c>
      <c r="L70" s="55">
        <v>18.739817237031499</v>
      </c>
      <c r="M70" s="55">
        <v>18.410204122205499</v>
      </c>
      <c r="N70" s="55">
        <v>227.11162012317101</v>
      </c>
      <c r="O70" s="55">
        <v>3.8819857659608998</v>
      </c>
      <c r="P70" s="12">
        <f t="shared" si="34"/>
        <v>113.98607432042313</v>
      </c>
      <c r="Q70" s="12">
        <f t="shared" si="37"/>
        <v>115.40425989980035</v>
      </c>
      <c r="R70" s="12">
        <f t="shared" si="38"/>
        <v>89.521913107344176</v>
      </c>
      <c r="S70" s="12">
        <f t="shared" si="39"/>
        <v>109.46532993232685</v>
      </c>
      <c r="T70" s="55">
        <v>12.955445921247099</v>
      </c>
      <c r="U70" s="55">
        <v>12.8247065131001</v>
      </c>
      <c r="V70">
        <v>0.50295469468154996</v>
      </c>
      <c r="W70" s="12"/>
      <c r="X70" s="12"/>
      <c r="Y70" t="str">
        <v>20230602</v>
      </c>
      <c r="Z70">
        <v>51.3</v>
      </c>
      <c r="AA70">
        <v>21.6</v>
      </c>
      <c r="AB70">
        <f t="shared" si="20"/>
        <v>2.3749999999999996</v>
      </c>
      <c r="AD70" t="str">
        <v>20190430</v>
      </c>
      <c r="AE70">
        <v>-1.0452315000000001</v>
      </c>
      <c r="AF70">
        <v>-6.3675438915343401</v>
      </c>
      <c r="AG70">
        <v>50</v>
      </c>
      <c r="AH70">
        <v>53.8</v>
      </c>
      <c r="AI70">
        <v>53.6</v>
      </c>
      <c r="AJ70">
        <v>-11.2383488681758</v>
      </c>
      <c r="AK70">
        <v>58.9</v>
      </c>
      <c r="AL70">
        <v>171.018967715836</v>
      </c>
      <c r="AM70" s="3">
        <v>0.54606741573033701</v>
      </c>
      <c r="AN70" s="1">
        <f t="shared" si="22"/>
        <v>0</v>
      </c>
      <c r="AO70" s="1">
        <f t="shared" si="23"/>
        <v>0</v>
      </c>
      <c r="AP70" s="1">
        <f t="shared" si="24"/>
        <v>0</v>
      </c>
      <c r="AQ70" s="1">
        <f t="shared" si="25"/>
        <v>1</v>
      </c>
      <c r="AR70" s="1">
        <f t="shared" si="26"/>
        <v>1</v>
      </c>
      <c r="AS70" s="1">
        <f t="shared" si="27"/>
        <v>1</v>
      </c>
      <c r="AT70" s="1">
        <f t="shared" si="28"/>
        <v>1</v>
      </c>
      <c r="AU70" s="1">
        <f t="shared" si="29"/>
        <v>1</v>
      </c>
      <c r="AV70" s="1">
        <f t="shared" si="30"/>
        <v>1</v>
      </c>
      <c r="AW70">
        <f t="shared" si="31"/>
        <v>0.66666666666666663</v>
      </c>
      <c r="AY70" t="str">
        <v>16/05/2024</v>
      </c>
      <c r="AZ70">
        <v>59.4</v>
      </c>
      <c r="BA70">
        <v>17.2</v>
      </c>
      <c r="BB70">
        <f t="shared" si="21"/>
        <v>3.4534883720930232</v>
      </c>
    </row>
    <row r="71" spans="1:54" x14ac:dyDescent="0.3">
      <c r="A71" s="11">
        <v>45423</v>
      </c>
      <c r="B71">
        <v>0.59560439560439604</v>
      </c>
      <c r="C71">
        <v>5222.68</v>
      </c>
      <c r="D71">
        <v>90.12</v>
      </c>
      <c r="E71">
        <v>2360.5300000000002</v>
      </c>
      <c r="F71">
        <v>81.28</v>
      </c>
      <c r="G71">
        <v>54.03</v>
      </c>
      <c r="H71" s="12">
        <f t="shared" si="32"/>
        <v>195.55460960336868</v>
      </c>
      <c r="I71" s="12">
        <f t="shared" si="33"/>
        <v>82.621371140476114</v>
      </c>
      <c r="J71" s="12">
        <f t="shared" si="35"/>
        <v>184.49457465045799</v>
      </c>
      <c r="K71" s="12">
        <f t="shared" si="36"/>
        <v>153.36818297017084</v>
      </c>
      <c r="L71" s="55">
        <v>18.7171980221054</v>
      </c>
      <c r="M71" s="55">
        <v>18.3968197209206</v>
      </c>
      <c r="N71" s="55">
        <v>225.31780161414301</v>
      </c>
      <c r="O71" s="55">
        <v>3.8625438776257202</v>
      </c>
      <c r="P71" s="12">
        <f t="shared" si="34"/>
        <v>113.65331555577785</v>
      </c>
      <c r="Q71" s="12">
        <f t="shared" si="37"/>
        <v>115.3997592655904</v>
      </c>
      <c r="R71" s="12">
        <f t="shared" si="38"/>
        <v>88.383057517114835</v>
      </c>
      <c r="S71" s="12">
        <f t="shared" si="39"/>
        <v>109.20922446437524</v>
      </c>
      <c r="T71" s="55">
        <v>12.960311131252601</v>
      </c>
      <c r="U71" s="55">
        <v>12.883859194774001</v>
      </c>
      <c r="V71">
        <v>0.49410994764397898</v>
      </c>
      <c r="W71" s="12"/>
      <c r="X71" s="12"/>
      <c r="Y71" t="str">
        <v>20230526</v>
      </c>
      <c r="Z71">
        <v>47.9</v>
      </c>
      <c r="AA71">
        <v>23.3</v>
      </c>
      <c r="AB71">
        <f t="shared" si="20"/>
        <v>2.055793991416309</v>
      </c>
      <c r="AD71" t="str">
        <v>20190329</v>
      </c>
      <c r="AE71">
        <v>0.62801940000000001</v>
      </c>
      <c r="AF71">
        <v>-6.6879739889971201</v>
      </c>
      <c r="AG71">
        <v>54.3</v>
      </c>
      <c r="AH71">
        <v>56</v>
      </c>
      <c r="AI71">
        <v>54.9</v>
      </c>
      <c r="AJ71">
        <v>-8.4918268736506697</v>
      </c>
      <c r="AK71">
        <v>58.4</v>
      </c>
      <c r="AL71">
        <v>169.77732740141801</v>
      </c>
      <c r="AM71" s="3">
        <v>0.44545454545454499</v>
      </c>
      <c r="AN71" s="1">
        <f t="shared" ref="AN71:AN102" si="40">IF(ISNA(AE71),AN72,IF(AE71&gt;AVERAGE(AE72:AE77),1,IF(AE71&lt;=AVERAGE(AE72:AE77),0,AN72)))</f>
        <v>0</v>
      </c>
      <c r="AO71" s="1">
        <f t="shared" ref="AO71:AO102" si="41">IF(AF71&gt;0,1,0)</f>
        <v>0</v>
      </c>
      <c r="AP71" s="1">
        <f t="shared" ref="AP71:AP102" si="42">IF(AG71&gt;50,1,0)</f>
        <v>1</v>
      </c>
      <c r="AQ71" s="1">
        <f t="shared" ref="AQ71:AQ102" si="43">IF(AH71&gt;50,1,0)</f>
        <v>1</v>
      </c>
      <c r="AR71" s="1">
        <f t="shared" ref="AR71:AR102" si="44">IF(AI71&gt;50,1,0)</f>
        <v>1</v>
      </c>
      <c r="AS71" s="1">
        <f t="shared" ref="AS71:AS102" si="45">IF(AJ71&lt;0,1,0)</f>
        <v>1</v>
      </c>
      <c r="AT71" s="1">
        <f t="shared" ref="AT71:AT102" si="46">IF(AK71&gt;50,1,0)</f>
        <v>1</v>
      </c>
      <c r="AU71" s="1">
        <f t="shared" ref="AU71:AU102" si="47">IF(ISNA(AL71),AU72,IF(AL71&gt;AVERAGE(AL72:AL77),1,IF(AL71&lt;=AVERAGE(AL72:AL77),0,AU72)))</f>
        <v>0</v>
      </c>
      <c r="AV71" s="1">
        <f t="shared" ref="AV71:AV102" si="48">IF(AM71&gt;0.5,1,0)</f>
        <v>0</v>
      </c>
      <c r="AW71">
        <f t="shared" ref="AW71:AW102" si="49">SUM(AN71:AV71)/9</f>
        <v>0.55555555555555558</v>
      </c>
      <c r="AY71" t="str">
        <v>15/05/2024</v>
      </c>
      <c r="AZ71">
        <v>59.4</v>
      </c>
      <c r="BA71">
        <v>17.2</v>
      </c>
      <c r="BB71">
        <f t="shared" si="21"/>
        <v>3.4534883720930232</v>
      </c>
    </row>
    <row r="72" spans="1:54" x14ac:dyDescent="0.3">
      <c r="A72" s="11">
        <v>45422</v>
      </c>
      <c r="B72">
        <v>0.59030837004405301</v>
      </c>
      <c r="C72">
        <v>5214.08</v>
      </c>
      <c r="D72">
        <v>90.63</v>
      </c>
      <c r="E72">
        <v>2346.5100000000002</v>
      </c>
      <c r="F72">
        <v>81.349999999999994</v>
      </c>
      <c r="G72">
        <v>53.95</v>
      </c>
      <c r="H72" s="12">
        <f t="shared" si="32"/>
        <v>194.14190576392835</v>
      </c>
      <c r="I72" s="12">
        <f t="shared" si="33"/>
        <v>82.980298318814235</v>
      </c>
      <c r="J72" s="12">
        <f t="shared" si="35"/>
        <v>184.0326784748967</v>
      </c>
      <c r="K72" s="12">
        <f t="shared" si="36"/>
        <v>153.34264748688804</v>
      </c>
      <c r="L72" s="55">
        <v>18.7052719221338</v>
      </c>
      <c r="M72" s="55">
        <v>18.419082640106801</v>
      </c>
      <c r="N72" s="55">
        <v>225.25892653287801</v>
      </c>
      <c r="O72" s="55">
        <v>3.8725268686268399</v>
      </c>
      <c r="P72" s="12">
        <f t="shared" si="34"/>
        <v>113.33153703077896</v>
      </c>
      <c r="Q72" s="12">
        <f t="shared" si="37"/>
        <v>114.58504467537614</v>
      </c>
      <c r="R72" s="12">
        <f t="shared" si="38"/>
        <v>88.7818635360983</v>
      </c>
      <c r="S72" s="12">
        <f t="shared" si="39"/>
        <v>108.9539090751724</v>
      </c>
      <c r="T72" s="55">
        <v>12.9428138437864</v>
      </c>
      <c r="U72" s="55">
        <v>12.8779660474052</v>
      </c>
      <c r="V72">
        <v>0.48878627968337701</v>
      </c>
      <c r="W72" s="12"/>
      <c r="X72" s="12"/>
      <c r="Y72" t="str">
        <v>20230519</v>
      </c>
      <c r="Z72">
        <v>46.5</v>
      </c>
      <c r="AA72">
        <v>23.9</v>
      </c>
      <c r="AB72">
        <f t="shared" ref="AB72:AB135" si="50">IFERROR(Z72/AA72,"")</f>
        <v>1.9456066945606696</v>
      </c>
      <c r="AD72" t="str">
        <v>20190228</v>
      </c>
      <c r="AE72">
        <v>1.0745891000000001</v>
      </c>
      <c r="AF72">
        <v>-7.9946215519230996</v>
      </c>
      <c r="AG72">
        <v>49.4</v>
      </c>
      <c r="AH72">
        <v>55.8</v>
      </c>
      <c r="AI72">
        <v>54.4</v>
      </c>
      <c r="AJ72">
        <v>-8.7501582879574507</v>
      </c>
      <c r="AK72">
        <v>65.099999999999994</v>
      </c>
      <c r="AL72">
        <v>168.64846215689201</v>
      </c>
      <c r="AM72" s="3">
        <v>0.67253521126760596</v>
      </c>
      <c r="AN72" s="1">
        <f t="shared" si="40"/>
        <v>0</v>
      </c>
      <c r="AO72" s="1">
        <f t="shared" si="41"/>
        <v>0</v>
      </c>
      <c r="AP72" s="1">
        <f t="shared" si="42"/>
        <v>0</v>
      </c>
      <c r="AQ72" s="1">
        <f t="shared" si="43"/>
        <v>1</v>
      </c>
      <c r="AR72" s="1">
        <f t="shared" si="44"/>
        <v>1</v>
      </c>
      <c r="AS72" s="1">
        <f t="shared" si="45"/>
        <v>1</v>
      </c>
      <c r="AT72" s="1">
        <f t="shared" si="46"/>
        <v>1</v>
      </c>
      <c r="AU72" s="1">
        <f t="shared" si="47"/>
        <v>0</v>
      </c>
      <c r="AV72" s="1">
        <f t="shared" si="48"/>
        <v>1</v>
      </c>
      <c r="AW72">
        <f t="shared" si="49"/>
        <v>0.55555555555555558</v>
      </c>
      <c r="AY72" t="str">
        <v>14/05/2024</v>
      </c>
      <c r="AZ72">
        <v>59.4</v>
      </c>
      <c r="BA72">
        <v>17.2</v>
      </c>
      <c r="BB72">
        <f t="shared" ref="BB72:BB135" si="51">IFERROR(AZ72/BA72,"")</f>
        <v>3.4534883720930232</v>
      </c>
    </row>
    <row r="73" spans="1:54" x14ac:dyDescent="0.3">
      <c r="A73" s="11">
        <v>45421</v>
      </c>
      <c r="B73">
        <v>0.58093126385809302</v>
      </c>
      <c r="C73">
        <v>5187.67</v>
      </c>
      <c r="D73">
        <v>90.19</v>
      </c>
      <c r="E73">
        <v>2308.4499999999998</v>
      </c>
      <c r="F73">
        <v>81.28</v>
      </c>
      <c r="G73">
        <v>53.63</v>
      </c>
      <c r="H73" s="12">
        <f t="shared" si="32"/>
        <v>194.10069277952081</v>
      </c>
      <c r="I73" s="12">
        <f t="shared" si="33"/>
        <v>83.936871091921688</v>
      </c>
      <c r="J73" s="12">
        <f t="shared" si="35"/>
        <v>183.25755454072677</v>
      </c>
      <c r="K73" s="12">
        <f t="shared" si="36"/>
        <v>153.47707684894993</v>
      </c>
      <c r="L73" s="55">
        <v>18.650518062644</v>
      </c>
      <c r="M73" s="55">
        <v>18.294516408887102</v>
      </c>
      <c r="N73" s="55">
        <v>224.981814957127</v>
      </c>
      <c r="O73" s="55">
        <v>3.8721434566451598</v>
      </c>
      <c r="P73" s="12">
        <f t="shared" si="34"/>
        <v>113.20331293643788</v>
      </c>
      <c r="Q73" s="12">
        <f t="shared" si="37"/>
        <v>114.46048648735815</v>
      </c>
      <c r="R73" s="12">
        <f t="shared" si="38"/>
        <v>89.725818965685093</v>
      </c>
      <c r="S73" s="12">
        <f t="shared" si="39"/>
        <v>108.40046085846257</v>
      </c>
      <c r="T73" s="55">
        <v>12.8692317251153</v>
      </c>
      <c r="U73" s="55">
        <v>12.670278817127199</v>
      </c>
      <c r="V73">
        <v>0.48268974700399497</v>
      </c>
      <c r="W73" s="12"/>
      <c r="X73" s="12"/>
      <c r="Y73" t="str">
        <v>20230512</v>
      </c>
      <c r="Z73">
        <v>45.2</v>
      </c>
      <c r="AA73">
        <v>24.7</v>
      </c>
      <c r="AB73">
        <f t="shared" si="50"/>
        <v>1.8299595141700407</v>
      </c>
      <c r="AD73" t="str">
        <v>20190131</v>
      </c>
      <c r="AE73">
        <v>1.8471660000000001</v>
      </c>
      <c r="AF73">
        <v>-8.3566829332257893</v>
      </c>
      <c r="AG73">
        <v>49.6</v>
      </c>
      <c r="AH73">
        <v>57.9</v>
      </c>
      <c r="AI73">
        <v>55.7</v>
      </c>
      <c r="AJ73">
        <v>-10.103561505430701</v>
      </c>
      <c r="AK73">
        <v>58.3</v>
      </c>
      <c r="AL73">
        <v>168.64511912934199</v>
      </c>
      <c r="AM73" s="3">
        <v>0.46927374301676</v>
      </c>
      <c r="AN73" s="1">
        <f t="shared" si="40"/>
        <v>0</v>
      </c>
      <c r="AO73" s="1">
        <f t="shared" si="41"/>
        <v>0</v>
      </c>
      <c r="AP73" s="1">
        <f t="shared" si="42"/>
        <v>0</v>
      </c>
      <c r="AQ73" s="1">
        <f t="shared" si="43"/>
        <v>1</v>
      </c>
      <c r="AR73" s="1">
        <f t="shared" si="44"/>
        <v>1</v>
      </c>
      <c r="AS73" s="1">
        <f t="shared" si="45"/>
        <v>1</v>
      </c>
      <c r="AT73" s="1">
        <f t="shared" si="46"/>
        <v>1</v>
      </c>
      <c r="AU73" s="1">
        <f t="shared" si="47"/>
        <v>0</v>
      </c>
      <c r="AV73" s="1">
        <f t="shared" si="48"/>
        <v>0</v>
      </c>
      <c r="AW73">
        <f t="shared" si="49"/>
        <v>0.44444444444444442</v>
      </c>
      <c r="AY73" t="str">
        <v>13/05/2024</v>
      </c>
      <c r="AZ73">
        <v>59.4</v>
      </c>
      <c r="BA73">
        <v>17.2</v>
      </c>
      <c r="BB73">
        <f t="shared" si="51"/>
        <v>3.4534883720930232</v>
      </c>
    </row>
    <row r="74" spans="1:54" x14ac:dyDescent="0.3">
      <c r="A74" s="11">
        <v>45420</v>
      </c>
      <c r="B74">
        <v>0.57494407158836702</v>
      </c>
      <c r="C74">
        <v>5187.7</v>
      </c>
      <c r="D74">
        <v>90.74</v>
      </c>
      <c r="E74">
        <v>2314.12</v>
      </c>
      <c r="F74">
        <v>81.3</v>
      </c>
      <c r="G74">
        <v>53.68</v>
      </c>
      <c r="H74" s="12">
        <f t="shared" si="32"/>
        <v>192.93239240214348</v>
      </c>
      <c r="I74" s="12">
        <f t="shared" si="33"/>
        <v>83.732196735275551</v>
      </c>
      <c r="J74" s="12">
        <f t="shared" si="35"/>
        <v>183.21354306577516</v>
      </c>
      <c r="K74" s="12">
        <f t="shared" si="36"/>
        <v>153.33514022995948</v>
      </c>
      <c r="L74" s="55">
        <v>18.642624441768199</v>
      </c>
      <c r="M74" s="55">
        <v>18.312350797337999</v>
      </c>
      <c r="N74" s="55">
        <v>224.977926578519</v>
      </c>
      <c r="O74" s="55">
        <v>3.8532702615386198</v>
      </c>
      <c r="P74" s="12">
        <f t="shared" si="34"/>
        <v>113.75853247627035</v>
      </c>
      <c r="Q74" s="12">
        <f t="shared" si="37"/>
        <v>113.87632050819873</v>
      </c>
      <c r="R74" s="12">
        <f t="shared" si="38"/>
        <v>89.589756329292285</v>
      </c>
      <c r="S74" s="12">
        <f t="shared" si="39"/>
        <v>108.47481417608766</v>
      </c>
      <c r="T74" s="55">
        <v>12.8624352229698</v>
      </c>
      <c r="U74" s="55">
        <v>12.678608575966001</v>
      </c>
      <c r="V74">
        <v>0.48909451421017802</v>
      </c>
      <c r="W74" s="12"/>
      <c r="X74" s="12"/>
      <c r="Y74" t="str">
        <v>20230505</v>
      </c>
      <c r="Z74">
        <v>44.6</v>
      </c>
      <c r="AA74">
        <v>24.3</v>
      </c>
      <c r="AB74">
        <f t="shared" si="50"/>
        <v>1.8353909465020577</v>
      </c>
      <c r="AD74" t="str">
        <v>20181231</v>
      </c>
      <c r="AE74">
        <v>2.5205172999999998</v>
      </c>
      <c r="AF74">
        <v>-4.2887989922634198</v>
      </c>
      <c r="AG74">
        <v>54.9</v>
      </c>
      <c r="AH74">
        <v>55.6</v>
      </c>
      <c r="AI74">
        <v>54.9</v>
      </c>
      <c r="AJ74">
        <v>-10.527650938609799</v>
      </c>
      <c r="AK74">
        <v>61.7</v>
      </c>
      <c r="AL74">
        <v>170.71761704634801</v>
      </c>
      <c r="AM74" s="3">
        <v>0.41199999999999998</v>
      </c>
      <c r="AN74" s="1">
        <f t="shared" si="40"/>
        <v>0</v>
      </c>
      <c r="AO74" s="1">
        <f t="shared" si="41"/>
        <v>0</v>
      </c>
      <c r="AP74" s="1">
        <f t="shared" si="42"/>
        <v>1</v>
      </c>
      <c r="AQ74" s="1">
        <f t="shared" si="43"/>
        <v>1</v>
      </c>
      <c r="AR74" s="1">
        <f t="shared" si="44"/>
        <v>1</v>
      </c>
      <c r="AS74" s="1">
        <f t="shared" si="45"/>
        <v>1</v>
      </c>
      <c r="AT74" s="1">
        <f t="shared" si="46"/>
        <v>1</v>
      </c>
      <c r="AU74" s="1">
        <f t="shared" si="47"/>
        <v>1</v>
      </c>
      <c r="AV74" s="1">
        <f t="shared" si="48"/>
        <v>0</v>
      </c>
      <c r="AW74">
        <f t="shared" si="49"/>
        <v>0.66666666666666663</v>
      </c>
      <c r="AY74" t="str">
        <v>10/05/2024</v>
      </c>
      <c r="AZ74">
        <v>56.5</v>
      </c>
      <c r="BA74">
        <v>17.7</v>
      </c>
      <c r="BB74">
        <f t="shared" si="51"/>
        <v>3.1920903954802262</v>
      </c>
    </row>
    <row r="75" spans="1:54" x14ac:dyDescent="0.3">
      <c r="A75" s="11">
        <v>45419</v>
      </c>
      <c r="B75">
        <v>0.56689342403628096</v>
      </c>
      <c r="C75">
        <v>5180.74</v>
      </c>
      <c r="D75">
        <v>90.19</v>
      </c>
      <c r="E75">
        <v>2323.96</v>
      </c>
      <c r="F75">
        <v>81.290000000000006</v>
      </c>
      <c r="G75">
        <v>53.72</v>
      </c>
      <c r="H75" s="12">
        <f t="shared" si="32"/>
        <v>193.85412994770772</v>
      </c>
      <c r="I75" s="12">
        <f t="shared" si="33"/>
        <v>83.267763334908011</v>
      </c>
      <c r="J75" s="12">
        <f t="shared" si="35"/>
        <v>182.99021794949928</v>
      </c>
      <c r="K75" s="12">
        <f t="shared" si="36"/>
        <v>153.01563760153212</v>
      </c>
      <c r="L75" s="55">
        <v>18.476881830052399</v>
      </c>
      <c r="M75" s="55">
        <v>17.6708921673101</v>
      </c>
      <c r="N75" s="55">
        <v>225.243117521074</v>
      </c>
      <c r="O75" s="55">
        <v>3.84715269563377</v>
      </c>
      <c r="P75" s="12">
        <f t="shared" si="34"/>
        <v>114.07423387956848</v>
      </c>
      <c r="Q75" s="12">
        <f t="shared" si="37"/>
        <v>114.66092673425747</v>
      </c>
      <c r="R75" s="12">
        <f t="shared" si="38"/>
        <v>89.278215495565846</v>
      </c>
      <c r="S75" s="12">
        <f t="shared" si="39"/>
        <v>108.5690106038537</v>
      </c>
      <c r="T75" s="55">
        <v>12.760920624866101</v>
      </c>
      <c r="U75" s="55">
        <v>12.275886499650399</v>
      </c>
      <c r="V75">
        <v>0.48767488341105902</v>
      </c>
      <c r="W75" s="12"/>
      <c r="X75" s="12"/>
      <c r="Y75" t="str">
        <v>20230428</v>
      </c>
      <c r="Z75">
        <v>45.8</v>
      </c>
      <c r="AA75">
        <v>23.6</v>
      </c>
      <c r="AB75">
        <f t="shared" si="50"/>
        <v>1.9406779661016946</v>
      </c>
      <c r="AD75" t="str">
        <v>20181130</v>
      </c>
      <c r="AE75">
        <v>2.7292040000000002</v>
      </c>
      <c r="AF75">
        <v>-2.8983861920007801</v>
      </c>
      <c r="AG75">
        <v>60.7</v>
      </c>
      <c r="AH75">
        <v>59.5</v>
      </c>
      <c r="AI75">
        <v>58.6</v>
      </c>
      <c r="AJ75">
        <v>-14.092182327476401</v>
      </c>
      <c r="AK75">
        <v>64.099999999999994</v>
      </c>
      <c r="AL75">
        <v>172.09801543611101</v>
      </c>
      <c r="AM75" s="3">
        <v>0.61212121212121196</v>
      </c>
      <c r="AN75" s="1">
        <f t="shared" si="40"/>
        <v>0</v>
      </c>
      <c r="AO75" s="1">
        <f t="shared" si="41"/>
        <v>0</v>
      </c>
      <c r="AP75" s="1">
        <f t="shared" si="42"/>
        <v>1</v>
      </c>
      <c r="AQ75" s="1">
        <f t="shared" si="43"/>
        <v>1</v>
      </c>
      <c r="AR75" s="1">
        <f t="shared" si="44"/>
        <v>1</v>
      </c>
      <c r="AS75" s="1">
        <f t="shared" si="45"/>
        <v>1</v>
      </c>
      <c r="AT75" s="1">
        <f t="shared" si="46"/>
        <v>1</v>
      </c>
      <c r="AU75" s="1">
        <f t="shared" si="47"/>
        <v>1</v>
      </c>
      <c r="AV75" s="1">
        <f t="shared" si="48"/>
        <v>1</v>
      </c>
      <c r="AW75">
        <f t="shared" si="49"/>
        <v>0.77777777777777779</v>
      </c>
      <c r="AY75" t="str">
        <v>09/05/2024</v>
      </c>
      <c r="AZ75">
        <v>56.5</v>
      </c>
      <c r="BA75">
        <v>17.7</v>
      </c>
      <c r="BB75">
        <f t="shared" si="51"/>
        <v>3.1920903954802262</v>
      </c>
    </row>
    <row r="76" spans="1:54" x14ac:dyDescent="0.3">
      <c r="A76" s="11">
        <v>45416</v>
      </c>
      <c r="B76">
        <v>0.565610859728507</v>
      </c>
      <c r="C76">
        <v>5127.79</v>
      </c>
      <c r="D76">
        <v>89.84</v>
      </c>
      <c r="E76">
        <v>2302.5</v>
      </c>
      <c r="F76">
        <v>81.3</v>
      </c>
      <c r="G76">
        <v>53.4</v>
      </c>
      <c r="H76" s="12">
        <f t="shared" si="32"/>
        <v>192.61555967804526</v>
      </c>
      <c r="I76" s="12">
        <f t="shared" si="33"/>
        <v>83.184098276217455</v>
      </c>
      <c r="J76" s="12">
        <f t="shared" si="35"/>
        <v>181.09791010832038</v>
      </c>
      <c r="K76" s="12">
        <f t="shared" si="36"/>
        <v>152.35539384204779</v>
      </c>
      <c r="L76" s="55">
        <v>18.426940977671102</v>
      </c>
      <c r="M76" s="55">
        <v>17.433646817960899</v>
      </c>
      <c r="N76" s="55">
        <v>225.14853808002201</v>
      </c>
      <c r="O76" s="55">
        <v>3.7955679176907302</v>
      </c>
      <c r="P76" s="12">
        <f t="shared" si="34"/>
        <v>115.59672567007939</v>
      </c>
      <c r="Q76" s="12">
        <f t="shared" si="37"/>
        <v>114.42102079994091</v>
      </c>
      <c r="R76" s="12">
        <f t="shared" si="38"/>
        <v>89.576307051303075</v>
      </c>
      <c r="S76" s="12">
        <f t="shared" si="39"/>
        <v>107.90909141220808</v>
      </c>
      <c r="T76" s="55">
        <v>12.7342713079217</v>
      </c>
      <c r="U76" s="55">
        <v>12.148273142952601</v>
      </c>
      <c r="V76">
        <v>0.48423127463863302</v>
      </c>
      <c r="W76" s="12"/>
      <c r="X76" s="12"/>
      <c r="Y76" t="str">
        <v>20230421</v>
      </c>
      <c r="Z76">
        <v>48.6</v>
      </c>
      <c r="AA76">
        <v>25</v>
      </c>
      <c r="AB76">
        <f t="shared" si="50"/>
        <v>1.944</v>
      </c>
      <c r="AD76" t="str">
        <v>20181031</v>
      </c>
      <c r="AE76">
        <v>2.9115956000000001</v>
      </c>
      <c r="AF76">
        <v>-3.7963242911708801</v>
      </c>
      <c r="AG76">
        <v>71.599999999999994</v>
      </c>
      <c r="AH76">
        <v>60.8</v>
      </c>
      <c r="AI76">
        <v>58.1</v>
      </c>
      <c r="AJ76">
        <v>-16.292208645381699</v>
      </c>
      <c r="AK76">
        <v>63.7</v>
      </c>
      <c r="AL76">
        <v>171.98747526045099</v>
      </c>
      <c r="AM76" s="3">
        <v>0.57070707070707105</v>
      </c>
      <c r="AN76" s="1">
        <f t="shared" si="40"/>
        <v>0</v>
      </c>
      <c r="AO76" s="1">
        <f t="shared" si="41"/>
        <v>0</v>
      </c>
      <c r="AP76" s="1">
        <f t="shared" si="42"/>
        <v>1</v>
      </c>
      <c r="AQ76" s="1">
        <f t="shared" si="43"/>
        <v>1</v>
      </c>
      <c r="AR76" s="1">
        <f t="shared" si="44"/>
        <v>1</v>
      </c>
      <c r="AS76" s="1">
        <f t="shared" si="45"/>
        <v>1</v>
      </c>
      <c r="AT76" s="1">
        <f t="shared" si="46"/>
        <v>1</v>
      </c>
      <c r="AU76" s="1">
        <f t="shared" si="47"/>
        <v>1</v>
      </c>
      <c r="AV76" s="1">
        <f t="shared" si="48"/>
        <v>1</v>
      </c>
      <c r="AW76">
        <f t="shared" si="49"/>
        <v>0.77777777777777779</v>
      </c>
      <c r="AY76" t="str">
        <v>08/05/2024</v>
      </c>
      <c r="AZ76">
        <v>56.5</v>
      </c>
      <c r="BA76">
        <v>17.7</v>
      </c>
      <c r="BB76">
        <f t="shared" si="51"/>
        <v>3.1920903954802262</v>
      </c>
    </row>
    <row r="77" spans="1:54" x14ac:dyDescent="0.3">
      <c r="A77" s="11">
        <v>45415</v>
      </c>
      <c r="B77">
        <v>0.54988399071925798</v>
      </c>
      <c r="C77">
        <v>5064.2</v>
      </c>
      <c r="D77">
        <v>88.94</v>
      </c>
      <c r="E77">
        <v>2303.5</v>
      </c>
      <c r="F77">
        <v>81.17</v>
      </c>
      <c r="G77">
        <v>52.92</v>
      </c>
      <c r="H77" s="12">
        <f t="shared" si="32"/>
        <v>192.14718370350539</v>
      </c>
      <c r="I77" s="12">
        <f t="shared" si="33"/>
        <v>82.117320942475828</v>
      </c>
      <c r="J77" s="12">
        <f t="shared" si="35"/>
        <v>179.1354465175354</v>
      </c>
      <c r="K77" s="12">
        <f t="shared" si="36"/>
        <v>151.82605590022266</v>
      </c>
      <c r="L77" s="55">
        <v>18.388105760849701</v>
      </c>
      <c r="M77" s="55">
        <v>17.198850176461701</v>
      </c>
      <c r="N77" s="55">
        <v>224.971286411904</v>
      </c>
      <c r="O77" s="55">
        <v>3.7523172552500501</v>
      </c>
      <c r="P77" s="12">
        <f t="shared" si="34"/>
        <v>116.85153608791082</v>
      </c>
      <c r="Q77" s="12">
        <f t="shared" si="37"/>
        <v>114.54116149924492</v>
      </c>
      <c r="R77" s="12">
        <f t="shared" si="38"/>
        <v>88.732952093123885</v>
      </c>
      <c r="S77" s="12">
        <f t="shared" si="39"/>
        <v>107.10912358924965</v>
      </c>
      <c r="T77" s="55">
        <v>12.8030713385577</v>
      </c>
      <c r="U77" s="55">
        <v>12.486628607156099</v>
      </c>
      <c r="V77">
        <v>0.48614775725593701</v>
      </c>
      <c r="W77" s="12"/>
      <c r="X77" s="12"/>
      <c r="Y77" t="str">
        <v>20230414</v>
      </c>
      <c r="Z77">
        <v>50.7</v>
      </c>
      <c r="AA77">
        <v>24</v>
      </c>
      <c r="AB77">
        <f t="shared" si="50"/>
        <v>2.1125000000000003</v>
      </c>
      <c r="AD77" t="str">
        <v>20180928</v>
      </c>
      <c r="AE77">
        <v>4.3665953000000002</v>
      </c>
      <c r="AF77">
        <v>-5.9042087558646204</v>
      </c>
      <c r="AG77">
        <v>66.900000000000006</v>
      </c>
      <c r="AH77">
        <v>62</v>
      </c>
      <c r="AI77">
        <v>59.3</v>
      </c>
      <c r="AJ77">
        <v>-18.374894336432799</v>
      </c>
      <c r="AK77">
        <v>63.6</v>
      </c>
      <c r="AL77">
        <v>170.97378720077401</v>
      </c>
      <c r="AM77" s="3">
        <v>0.52961672473867605</v>
      </c>
      <c r="AN77" s="1">
        <f t="shared" si="40"/>
        <v>1</v>
      </c>
      <c r="AO77" s="1">
        <f t="shared" si="41"/>
        <v>0</v>
      </c>
      <c r="AP77" s="1">
        <f t="shared" si="42"/>
        <v>1</v>
      </c>
      <c r="AQ77" s="1">
        <f t="shared" si="43"/>
        <v>1</v>
      </c>
      <c r="AR77" s="1">
        <f t="shared" si="44"/>
        <v>1</v>
      </c>
      <c r="AS77" s="1">
        <f t="shared" si="45"/>
        <v>1</v>
      </c>
      <c r="AT77" s="1">
        <f t="shared" si="46"/>
        <v>1</v>
      </c>
      <c r="AU77" s="1">
        <f t="shared" si="47"/>
        <v>1</v>
      </c>
      <c r="AV77" s="1">
        <f t="shared" si="48"/>
        <v>1</v>
      </c>
      <c r="AW77">
        <f t="shared" si="49"/>
        <v>0.88888888888888884</v>
      </c>
      <c r="AY77" t="str">
        <v>07/05/2024</v>
      </c>
      <c r="AZ77">
        <v>56.5</v>
      </c>
      <c r="BA77">
        <v>17.7</v>
      </c>
      <c r="BB77">
        <f t="shared" si="51"/>
        <v>3.1920903954802262</v>
      </c>
    </row>
    <row r="78" spans="1:54" x14ac:dyDescent="0.3">
      <c r="A78" s="11">
        <v>45414</v>
      </c>
      <c r="B78">
        <v>0.51860465116279097</v>
      </c>
      <c r="C78">
        <v>5018.3900000000003</v>
      </c>
      <c r="D78">
        <v>88.56</v>
      </c>
      <c r="E78">
        <v>2319.1799999999998</v>
      </c>
      <c r="F78">
        <v>81.05</v>
      </c>
      <c r="G78">
        <v>52.03</v>
      </c>
      <c r="H78" s="12">
        <f t="shared" si="32"/>
        <v>191.22213716698752</v>
      </c>
      <c r="I78" s="12">
        <f t="shared" si="33"/>
        <v>80.832931254011186</v>
      </c>
      <c r="J78" s="12">
        <f t="shared" si="35"/>
        <v>177.7758421035968</v>
      </c>
      <c r="K78" s="12">
        <f t="shared" si="36"/>
        <v>153.04692505653088</v>
      </c>
      <c r="L78" s="55">
        <v>18.5500811303795</v>
      </c>
      <c r="M78" s="55">
        <v>18.057991670483599</v>
      </c>
      <c r="N78" s="55">
        <v>224.442906556032</v>
      </c>
      <c r="O78" s="55">
        <v>3.7966197867960099</v>
      </c>
      <c r="P78" s="12">
        <f t="shared" si="34"/>
        <v>115.23557328434235</v>
      </c>
      <c r="Q78" s="12">
        <f t="shared" si="37"/>
        <v>113.09192916202961</v>
      </c>
      <c r="R78" s="12">
        <f t="shared" si="38"/>
        <v>86.664569848411773</v>
      </c>
      <c r="S78" s="12">
        <f t="shared" si="39"/>
        <v>105.46129626660031</v>
      </c>
      <c r="T78" s="55">
        <v>12.856693660391601</v>
      </c>
      <c r="U78" s="55">
        <v>12.8017540853314</v>
      </c>
      <c r="V78">
        <v>0.483509234828496</v>
      </c>
      <c r="W78" s="12"/>
      <c r="X78" s="12"/>
      <c r="Y78" t="str">
        <v>20230407</v>
      </c>
      <c r="Z78">
        <v>48.7</v>
      </c>
      <c r="AA78">
        <v>24.3</v>
      </c>
      <c r="AB78">
        <f t="shared" si="50"/>
        <v>2.0041152263374484</v>
      </c>
      <c r="AD78" t="str">
        <v>20180831</v>
      </c>
      <c r="AE78">
        <v>4.4425353999999997</v>
      </c>
      <c r="AF78">
        <v>-2.9178302316259201</v>
      </c>
      <c r="AG78">
        <v>72.099999999999994</v>
      </c>
      <c r="AH78">
        <v>62</v>
      </c>
      <c r="AI78">
        <v>60.5</v>
      </c>
      <c r="AJ78">
        <v>-16.495970886405001</v>
      </c>
      <c r="AK78">
        <v>62.1</v>
      </c>
      <c r="AL78">
        <v>169.45707142568199</v>
      </c>
      <c r="AM78" s="3">
        <v>0.668604651162791</v>
      </c>
      <c r="AN78" s="1">
        <f t="shared" si="40"/>
        <v>1</v>
      </c>
      <c r="AO78" s="1">
        <f t="shared" si="41"/>
        <v>0</v>
      </c>
      <c r="AP78" s="1">
        <f t="shared" si="42"/>
        <v>1</v>
      </c>
      <c r="AQ78" s="1">
        <f t="shared" si="43"/>
        <v>1</v>
      </c>
      <c r="AR78" s="1">
        <f t="shared" si="44"/>
        <v>1</v>
      </c>
      <c r="AS78" s="1">
        <f t="shared" si="45"/>
        <v>1</v>
      </c>
      <c r="AT78" s="1">
        <f t="shared" si="46"/>
        <v>1</v>
      </c>
      <c r="AU78" s="1">
        <f t="shared" si="47"/>
        <v>1</v>
      </c>
      <c r="AV78" s="1">
        <f t="shared" si="48"/>
        <v>1</v>
      </c>
      <c r="AW78">
        <f t="shared" si="49"/>
        <v>0.88888888888888884</v>
      </c>
      <c r="AY78" t="str">
        <v>06/05/2024</v>
      </c>
      <c r="AZ78">
        <v>56.5</v>
      </c>
      <c r="BA78">
        <v>17.7</v>
      </c>
      <c r="BB78">
        <f t="shared" si="51"/>
        <v>3.1920903954802262</v>
      </c>
    </row>
    <row r="79" spans="1:54" x14ac:dyDescent="0.3">
      <c r="A79" s="11">
        <v>45412</v>
      </c>
      <c r="B79">
        <v>0.51913875598086101</v>
      </c>
      <c r="C79">
        <v>5035.6899999999996</v>
      </c>
      <c r="D79">
        <v>88.22</v>
      </c>
      <c r="E79">
        <v>2286.25</v>
      </c>
      <c r="F79">
        <v>81.150000000000006</v>
      </c>
      <c r="G79">
        <v>52.09</v>
      </c>
      <c r="H79" s="12">
        <f t="shared" si="32"/>
        <v>192.62628239219381</v>
      </c>
      <c r="I79" s="12">
        <f t="shared" si="33"/>
        <v>82.301098638384005</v>
      </c>
      <c r="J79" s="12">
        <f t="shared" si="35"/>
        <v>178.1683811970575</v>
      </c>
      <c r="K79" s="12">
        <f t="shared" si="36"/>
        <v>153.39722679831684</v>
      </c>
      <c r="L79" s="55">
        <v>18.500668043830501</v>
      </c>
      <c r="M79" s="55">
        <v>17.762914390497802</v>
      </c>
      <c r="N79" s="55">
        <v>223.867718142283</v>
      </c>
      <c r="O79" s="55">
        <v>3.7529162161748402</v>
      </c>
      <c r="P79" s="12">
        <f t="shared" si="34"/>
        <v>116.2910197389086</v>
      </c>
      <c r="Q79" s="12">
        <f t="shared" si="37"/>
        <v>113.66089901928927</v>
      </c>
      <c r="R79" s="12">
        <f t="shared" si="38"/>
        <v>88.033969204701464</v>
      </c>
      <c r="S79" s="12">
        <f t="shared" si="39"/>
        <v>105.45281434585301</v>
      </c>
      <c r="T79" s="55">
        <v>12.7822798722152</v>
      </c>
      <c r="U79" s="55">
        <v>12.599065784003701</v>
      </c>
      <c r="V79">
        <v>0.46513157894736801</v>
      </c>
      <c r="W79" s="12"/>
      <c r="X79" s="12"/>
      <c r="Y79" t="str">
        <v>20230331</v>
      </c>
      <c r="Z79">
        <v>48.6</v>
      </c>
      <c r="AA79">
        <v>25</v>
      </c>
      <c r="AB79">
        <f t="shared" si="50"/>
        <v>1.944</v>
      </c>
      <c r="AD79" t="str">
        <v>20180731</v>
      </c>
      <c r="AE79">
        <v>3.2667742</v>
      </c>
      <c r="AF79">
        <v>1.0913869547755499</v>
      </c>
      <c r="AG79">
        <v>73.2</v>
      </c>
      <c r="AH79">
        <v>59.3</v>
      </c>
      <c r="AI79">
        <v>58.1</v>
      </c>
      <c r="AJ79">
        <v>-14.3559870550162</v>
      </c>
      <c r="AK79">
        <v>59.7</v>
      </c>
      <c r="AL79">
        <v>168.19579912357401</v>
      </c>
      <c r="AM79" s="3">
        <v>0.60493827160493796</v>
      </c>
      <c r="AN79" s="1">
        <f t="shared" si="40"/>
        <v>1</v>
      </c>
      <c r="AO79" s="1">
        <f t="shared" si="41"/>
        <v>1</v>
      </c>
      <c r="AP79" s="1">
        <f t="shared" si="42"/>
        <v>1</v>
      </c>
      <c r="AQ79" s="1">
        <f t="shared" si="43"/>
        <v>1</v>
      </c>
      <c r="AR79" s="1">
        <f t="shared" si="44"/>
        <v>1</v>
      </c>
      <c r="AS79" s="1">
        <f t="shared" si="45"/>
        <v>1</v>
      </c>
      <c r="AT79" s="1">
        <f t="shared" si="46"/>
        <v>1</v>
      </c>
      <c r="AU79" s="1">
        <f t="shared" si="47"/>
        <v>1</v>
      </c>
      <c r="AV79" s="1">
        <f t="shared" si="48"/>
        <v>1</v>
      </c>
      <c r="AW79">
        <f t="shared" si="49"/>
        <v>1</v>
      </c>
      <c r="AY79" t="str">
        <v>03/05/2024</v>
      </c>
      <c r="AZ79">
        <v>50</v>
      </c>
      <c r="BA79">
        <v>18.7</v>
      </c>
      <c r="BB79">
        <f t="shared" si="51"/>
        <v>2.6737967914438503</v>
      </c>
    </row>
    <row r="80" spans="1:54" x14ac:dyDescent="0.3">
      <c r="A80" s="11">
        <v>45412</v>
      </c>
      <c r="B80">
        <v>0.51325301204819296</v>
      </c>
      <c r="C80">
        <v>5116.17</v>
      </c>
      <c r="D80">
        <v>88.98</v>
      </c>
      <c r="E80">
        <v>2335.83</v>
      </c>
      <c r="F80">
        <v>81.25</v>
      </c>
      <c r="G80">
        <v>52.82</v>
      </c>
      <c r="H80" s="12">
        <f t="shared" si="32"/>
        <v>194.02115322494924</v>
      </c>
      <c r="I80" s="12">
        <f t="shared" si="33"/>
        <v>81.851297715638466</v>
      </c>
      <c r="J80" s="12">
        <f t="shared" si="35"/>
        <v>180.78978754540566</v>
      </c>
      <c r="K80" s="12">
        <f t="shared" si="36"/>
        <v>153.69077535467204</v>
      </c>
      <c r="L80" s="55">
        <v>18.978541061466199</v>
      </c>
      <c r="M80" s="55">
        <v>18.245884369580001</v>
      </c>
      <c r="N80" s="55">
        <v>223.88360201764601</v>
      </c>
      <c r="O80" s="55">
        <v>3.7926846921330402</v>
      </c>
      <c r="P80" s="12">
        <f t="shared" si="34"/>
        <v>115.09237558070235</v>
      </c>
      <c r="Q80" s="12">
        <f t="shared" si="37"/>
        <v>114.26413105321392</v>
      </c>
      <c r="R80" s="12">
        <f t="shared" si="38"/>
        <v>87.386840183739253</v>
      </c>
      <c r="S80" s="12">
        <f t="shared" si="39"/>
        <v>106.79736684739926</v>
      </c>
      <c r="T80" s="55">
        <v>12.999127811937701</v>
      </c>
      <c r="U80" s="55">
        <v>12.850289092584999</v>
      </c>
      <c r="V80">
        <v>0.46050870147255701</v>
      </c>
      <c r="W80" s="12"/>
      <c r="X80" s="12"/>
      <c r="Y80" t="str">
        <v>20230324</v>
      </c>
      <c r="Z80">
        <v>40.799999999999997</v>
      </c>
      <c r="AA80">
        <v>26.8</v>
      </c>
      <c r="AB80">
        <f t="shared" si="50"/>
        <v>1.5223880597014925</v>
      </c>
      <c r="AD80" t="str">
        <v>20180629</v>
      </c>
      <c r="AE80">
        <v>2.8788980999999998</v>
      </c>
      <c r="AF80">
        <v>3.8691520615178101</v>
      </c>
      <c r="AG80">
        <v>76.8</v>
      </c>
      <c r="AH80">
        <v>60.6</v>
      </c>
      <c r="AI80">
        <v>59.9</v>
      </c>
      <c r="AJ80">
        <v>-12.330340363332599</v>
      </c>
      <c r="AK80">
        <v>62.3</v>
      </c>
      <c r="AL80">
        <v>165.9677291612</v>
      </c>
      <c r="AM80" s="3">
        <v>0.53773584905660399</v>
      </c>
      <c r="AN80" s="1">
        <f t="shared" si="40"/>
        <v>1</v>
      </c>
      <c r="AO80" s="1">
        <f t="shared" si="41"/>
        <v>1</v>
      </c>
      <c r="AP80" s="1">
        <f t="shared" si="42"/>
        <v>1</v>
      </c>
      <c r="AQ80" s="1">
        <f t="shared" si="43"/>
        <v>1</v>
      </c>
      <c r="AR80" s="1">
        <f t="shared" si="44"/>
        <v>1</v>
      </c>
      <c r="AS80" s="1">
        <f t="shared" si="45"/>
        <v>1</v>
      </c>
      <c r="AT80" s="1">
        <f t="shared" si="46"/>
        <v>1</v>
      </c>
      <c r="AU80" s="1">
        <f t="shared" si="47"/>
        <v>1</v>
      </c>
      <c r="AV80" s="1">
        <f t="shared" si="48"/>
        <v>1</v>
      </c>
      <c r="AW80">
        <f t="shared" si="49"/>
        <v>1</v>
      </c>
      <c r="AY80" t="str">
        <v>02/05/2024</v>
      </c>
      <c r="AZ80">
        <v>50</v>
      </c>
      <c r="BA80">
        <v>18.7</v>
      </c>
      <c r="BB80">
        <f t="shared" si="51"/>
        <v>2.6737967914438503</v>
      </c>
    </row>
    <row r="81" spans="1:54" x14ac:dyDescent="0.3">
      <c r="A81" s="11">
        <v>45409</v>
      </c>
      <c r="B81">
        <v>0.50831353919239897</v>
      </c>
      <c r="C81">
        <v>5099.96</v>
      </c>
      <c r="D81">
        <v>88.24</v>
      </c>
      <c r="E81">
        <v>2337.9699999999998</v>
      </c>
      <c r="F81">
        <v>81.209999999999994</v>
      </c>
      <c r="G81">
        <v>52.53</v>
      </c>
      <c r="H81" s="12">
        <f t="shared" si="32"/>
        <v>195.03685898229992</v>
      </c>
      <c r="I81" s="12">
        <f t="shared" si="33"/>
        <v>81.517582643400246</v>
      </c>
      <c r="J81" s="12">
        <f t="shared" si="35"/>
        <v>180.30550388848863</v>
      </c>
      <c r="K81" s="12">
        <f t="shared" si="36"/>
        <v>154.05159477847749</v>
      </c>
      <c r="L81" s="55">
        <v>19.0160987164716</v>
      </c>
      <c r="M81" s="55">
        <v>18.289858204226601</v>
      </c>
      <c r="N81" s="55">
        <v>223.92166732709001</v>
      </c>
      <c r="O81" s="55">
        <v>3.80734224826737</v>
      </c>
      <c r="P81" s="12">
        <f t="shared" si="34"/>
        <v>114.67040920098385</v>
      </c>
      <c r="Q81" s="12">
        <f t="shared" si="37"/>
        <v>114.59250326686684</v>
      </c>
      <c r="R81" s="12">
        <f t="shared" si="38"/>
        <v>86.828016904092848</v>
      </c>
      <c r="S81" s="12">
        <f t="shared" si="39"/>
        <v>106.26306503223235</v>
      </c>
      <c r="T81" s="55">
        <v>12.944820713209699</v>
      </c>
      <c r="U81" s="55">
        <v>12.817254809542501</v>
      </c>
      <c r="V81">
        <v>0.44342105263157899</v>
      </c>
      <c r="W81" s="12"/>
      <c r="X81" s="12"/>
      <c r="Y81" t="str">
        <v>20230317</v>
      </c>
      <c r="Z81">
        <v>39.700000000000003</v>
      </c>
      <c r="AA81">
        <v>28.8</v>
      </c>
      <c r="AB81">
        <f t="shared" si="50"/>
        <v>1.3784722222222223</v>
      </c>
      <c r="AD81" t="str">
        <v>20180531</v>
      </c>
      <c r="AE81">
        <v>2.2501199999999999</v>
      </c>
      <c r="AF81">
        <v>2.8589569814515299</v>
      </c>
      <c r="AG81">
        <v>79.5</v>
      </c>
      <c r="AH81">
        <v>61.9</v>
      </c>
      <c r="AI81">
        <v>59</v>
      </c>
      <c r="AJ81">
        <v>-7.4225444957152202</v>
      </c>
      <c r="AK81">
        <v>59.1</v>
      </c>
      <c r="AL81">
        <v>164.078487147521</v>
      </c>
      <c r="AM81" s="3">
        <v>0.66578947368421004</v>
      </c>
      <c r="AN81" s="1">
        <f t="shared" si="40"/>
        <v>0</v>
      </c>
      <c r="AO81" s="1">
        <f t="shared" si="41"/>
        <v>1</v>
      </c>
      <c r="AP81" s="1">
        <f t="shared" si="42"/>
        <v>1</v>
      </c>
      <c r="AQ81" s="1">
        <f t="shared" si="43"/>
        <v>1</v>
      </c>
      <c r="AR81" s="1">
        <f t="shared" si="44"/>
        <v>1</v>
      </c>
      <c r="AS81" s="1">
        <f t="shared" si="45"/>
        <v>1</v>
      </c>
      <c r="AT81" s="1">
        <f t="shared" si="46"/>
        <v>1</v>
      </c>
      <c r="AU81" s="1">
        <f t="shared" si="47"/>
        <v>1</v>
      </c>
      <c r="AV81" s="1">
        <f t="shared" si="48"/>
        <v>1</v>
      </c>
      <c r="AW81">
        <f t="shared" si="49"/>
        <v>0.88888888888888884</v>
      </c>
      <c r="AY81" t="str">
        <v>01/05/2024</v>
      </c>
      <c r="AZ81">
        <v>50</v>
      </c>
      <c r="BA81">
        <v>18.7</v>
      </c>
      <c r="BB81">
        <f t="shared" si="51"/>
        <v>2.6737967914438503</v>
      </c>
    </row>
    <row r="82" spans="1:54" x14ac:dyDescent="0.3">
      <c r="A82" s="11">
        <v>45408</v>
      </c>
      <c r="B82">
        <v>0.48410757946210298</v>
      </c>
      <c r="C82">
        <v>5048.42</v>
      </c>
      <c r="D82">
        <v>87.78</v>
      </c>
      <c r="E82">
        <v>2332.1999999999998</v>
      </c>
      <c r="F82">
        <v>81.19</v>
      </c>
      <c r="G82">
        <v>52.12</v>
      </c>
      <c r="H82" s="12">
        <f t="shared" si="32"/>
        <v>194.07255880584424</v>
      </c>
      <c r="I82" s="12">
        <f t="shared" si="33"/>
        <v>80.891877827849882</v>
      </c>
      <c r="J82" s="12">
        <f t="shared" si="35"/>
        <v>178.52687650471097</v>
      </c>
      <c r="K82" s="12">
        <f t="shared" si="36"/>
        <v>153.69154578557365</v>
      </c>
      <c r="L82" s="55">
        <v>19.253599000312899</v>
      </c>
      <c r="M82" s="55">
        <v>18.505734345568801</v>
      </c>
      <c r="N82" s="55">
        <v>223.75432788579701</v>
      </c>
      <c r="O82" s="55">
        <v>3.8167549404891901</v>
      </c>
      <c r="P82" s="12">
        <f t="shared" si="34"/>
        <v>114.30303674495543</v>
      </c>
      <c r="Q82" s="12">
        <f t="shared" si="37"/>
        <v>114.29236142810441</v>
      </c>
      <c r="R82" s="12">
        <f t="shared" si="38"/>
        <v>86.362316473919265</v>
      </c>
      <c r="S82" s="12">
        <f t="shared" si="39"/>
        <v>105.45945070308036</v>
      </c>
      <c r="T82" s="55">
        <v>13.028410536528799</v>
      </c>
      <c r="U82" s="55">
        <v>12.921378960687299</v>
      </c>
      <c r="V82">
        <v>0.441001977587343</v>
      </c>
      <c r="W82" s="12"/>
      <c r="X82" s="12"/>
      <c r="Y82" t="str">
        <v>20230310</v>
      </c>
      <c r="Z82">
        <v>40.299999999999997</v>
      </c>
      <c r="AA82">
        <v>27.8</v>
      </c>
      <c r="AB82">
        <f t="shared" si="50"/>
        <v>1.449640287769784</v>
      </c>
      <c r="AD82" t="str">
        <v>20180430</v>
      </c>
      <c r="AE82">
        <v>3.312122</v>
      </c>
      <c r="AF82">
        <v>3.66977135130147</v>
      </c>
      <c r="AG82">
        <v>79.3</v>
      </c>
      <c r="AH82">
        <v>60.3</v>
      </c>
      <c r="AI82">
        <v>58.6</v>
      </c>
      <c r="AJ82">
        <v>-3.5572107358417902</v>
      </c>
      <c r="AK82">
        <v>60.1</v>
      </c>
      <c r="AL82">
        <v>161.90874422022799</v>
      </c>
      <c r="AM82" s="3">
        <v>0.59743589743589698</v>
      </c>
      <c r="AN82" s="1">
        <f t="shared" si="40"/>
        <v>1</v>
      </c>
      <c r="AO82" s="1">
        <f t="shared" si="41"/>
        <v>1</v>
      </c>
      <c r="AP82" s="1">
        <f t="shared" si="42"/>
        <v>1</v>
      </c>
      <c r="AQ82" s="1">
        <f t="shared" si="43"/>
        <v>1</v>
      </c>
      <c r="AR82" s="1">
        <f t="shared" si="44"/>
        <v>1</v>
      </c>
      <c r="AS82" s="1">
        <f t="shared" si="45"/>
        <v>1</v>
      </c>
      <c r="AT82" s="1">
        <f t="shared" si="46"/>
        <v>1</v>
      </c>
      <c r="AU82" s="1">
        <f t="shared" si="47"/>
        <v>1</v>
      </c>
      <c r="AV82" s="1">
        <f t="shared" si="48"/>
        <v>1</v>
      </c>
      <c r="AW82">
        <f t="shared" si="49"/>
        <v>1</v>
      </c>
      <c r="AY82" t="str">
        <v>30/04/2024</v>
      </c>
      <c r="AZ82">
        <v>50</v>
      </c>
      <c r="BA82">
        <v>18.7</v>
      </c>
      <c r="BB82">
        <f t="shared" si="51"/>
        <v>2.6737967914438503</v>
      </c>
    </row>
    <row r="83" spans="1:54" x14ac:dyDescent="0.3">
      <c r="A83" s="11">
        <v>45407</v>
      </c>
      <c r="B83">
        <v>0.476426799007444</v>
      </c>
      <c r="C83">
        <v>5071.63</v>
      </c>
      <c r="D83">
        <v>88.4</v>
      </c>
      <c r="E83">
        <v>2315.9699999999998</v>
      </c>
      <c r="F83">
        <v>81.25</v>
      </c>
      <c r="G83">
        <v>52.17</v>
      </c>
      <c r="H83" s="12">
        <f t="shared" si="32"/>
        <v>193.60072736596163</v>
      </c>
      <c r="I83" s="12">
        <f t="shared" si="33"/>
        <v>81.839936262555312</v>
      </c>
      <c r="J83" s="12">
        <f t="shared" si="35"/>
        <v>179.21469828933374</v>
      </c>
      <c r="K83" s="12">
        <f t="shared" si="36"/>
        <v>154.2496259819236</v>
      </c>
      <c r="L83" s="55">
        <v>18.919548142449401</v>
      </c>
      <c r="M83" s="55">
        <v>18.176630642181099</v>
      </c>
      <c r="N83" s="55">
        <v>224.12175778768099</v>
      </c>
      <c r="O83" s="55">
        <v>3.8663043047827998</v>
      </c>
      <c r="P83" s="12">
        <f t="shared" si="34"/>
        <v>113.0396747242186</v>
      </c>
      <c r="Q83" s="12">
        <f t="shared" si="37"/>
        <v>113.60446712970821</v>
      </c>
      <c r="R83" s="12">
        <f t="shared" si="38"/>
        <v>87.055826519797137</v>
      </c>
      <c r="S83" s="12">
        <f t="shared" si="39"/>
        <v>105.48265094500569</v>
      </c>
      <c r="T83" s="55">
        <v>13.0979276920642</v>
      </c>
      <c r="U83" s="55">
        <v>12.9120580023729</v>
      </c>
      <c r="V83">
        <v>0.44759393539881298</v>
      </c>
      <c r="W83" s="12"/>
      <c r="X83" s="12"/>
      <c r="Y83" t="str">
        <v>20230303</v>
      </c>
      <c r="Z83">
        <v>45.2</v>
      </c>
      <c r="AA83">
        <v>24.7</v>
      </c>
      <c r="AB83">
        <f t="shared" si="50"/>
        <v>1.8299595141700407</v>
      </c>
      <c r="AD83" t="str">
        <v>20180330</v>
      </c>
      <c r="AE83">
        <v>3.1752905999999999</v>
      </c>
      <c r="AF83">
        <v>2.8711752809503799</v>
      </c>
      <c r="AG83">
        <v>78.099999999999994</v>
      </c>
      <c r="AH83">
        <v>60.6</v>
      </c>
      <c r="AI83">
        <v>58.8</v>
      </c>
      <c r="AJ83">
        <v>-3.3101391650099399</v>
      </c>
      <c r="AK83">
        <v>59.6</v>
      </c>
      <c r="AL83">
        <v>158.85370050999501</v>
      </c>
      <c r="AM83" s="3">
        <v>0.57057057057057103</v>
      </c>
      <c r="AN83" s="1">
        <f t="shared" si="40"/>
        <v>1</v>
      </c>
      <c r="AO83" s="1">
        <f t="shared" si="41"/>
        <v>1</v>
      </c>
      <c r="AP83" s="1">
        <f t="shared" si="42"/>
        <v>1</v>
      </c>
      <c r="AQ83" s="1">
        <f t="shared" si="43"/>
        <v>1</v>
      </c>
      <c r="AR83" s="1">
        <f t="shared" si="44"/>
        <v>1</v>
      </c>
      <c r="AS83" s="1">
        <f t="shared" si="45"/>
        <v>1</v>
      </c>
      <c r="AT83" s="1">
        <f t="shared" si="46"/>
        <v>1</v>
      </c>
      <c r="AU83" s="1">
        <f t="shared" si="47"/>
        <v>1</v>
      </c>
      <c r="AV83" s="1">
        <f t="shared" si="48"/>
        <v>1</v>
      </c>
      <c r="AW83">
        <f t="shared" si="49"/>
        <v>1</v>
      </c>
      <c r="AY83" t="str">
        <v>29/04/2024</v>
      </c>
      <c r="AZ83">
        <v>50</v>
      </c>
      <c r="BA83">
        <v>18.7</v>
      </c>
      <c r="BB83">
        <f t="shared" si="51"/>
        <v>2.6737967914438503</v>
      </c>
    </row>
    <row r="84" spans="1:54" x14ac:dyDescent="0.3">
      <c r="A84" s="11">
        <v>45406</v>
      </c>
      <c r="B84">
        <v>0.46310432569974602</v>
      </c>
      <c r="C84">
        <v>5070.55</v>
      </c>
      <c r="D84">
        <v>89.03</v>
      </c>
      <c r="E84">
        <v>2322.15</v>
      </c>
      <c r="F84">
        <v>81.28</v>
      </c>
      <c r="G84">
        <v>52.26</v>
      </c>
      <c r="H84" s="12">
        <f t="shared" si="32"/>
        <v>192.19973333162366</v>
      </c>
      <c r="I84" s="12">
        <f t="shared" si="33"/>
        <v>81.605376180732506</v>
      </c>
      <c r="J84" s="12">
        <f t="shared" si="35"/>
        <v>179.11044004844206</v>
      </c>
      <c r="K84" s="12">
        <f t="shared" si="36"/>
        <v>153.95170586351512</v>
      </c>
      <c r="L84" s="55">
        <v>18.433259339518798</v>
      </c>
      <c r="M84" s="55">
        <v>17.596322291828301</v>
      </c>
      <c r="N84" s="55">
        <v>225.88662539542801</v>
      </c>
      <c r="O84" s="55">
        <v>3.8753441199501402</v>
      </c>
      <c r="P84" s="12">
        <f t="shared" si="34"/>
        <v>113.66259345367027</v>
      </c>
      <c r="Q84" s="12">
        <f t="shared" si="37"/>
        <v>112.99945584049975</v>
      </c>
      <c r="R84" s="12">
        <f t="shared" si="38"/>
        <v>86.974143157353737</v>
      </c>
      <c r="S84" s="12">
        <f t="shared" si="39"/>
        <v>105.62556909478698</v>
      </c>
      <c r="T84" s="55">
        <v>12.916100572413599</v>
      </c>
      <c r="U84" s="55">
        <v>12.749011215849199</v>
      </c>
      <c r="V84">
        <v>0.447138047138047</v>
      </c>
      <c r="W84" s="12"/>
      <c r="X84" s="12"/>
      <c r="Y84" t="str">
        <v>20230224</v>
      </c>
      <c r="Z84">
        <v>38.4</v>
      </c>
      <c r="AA84">
        <v>28.8</v>
      </c>
      <c r="AB84">
        <f t="shared" si="50"/>
        <v>1.3333333333333333</v>
      </c>
      <c r="AD84" t="str">
        <v>20180228</v>
      </c>
      <c r="AE84">
        <v>3.348687</v>
      </c>
      <c r="AF84">
        <v>3.6166049412239301</v>
      </c>
      <c r="AG84">
        <v>74.2</v>
      </c>
      <c r="AH84">
        <v>63.1</v>
      </c>
      <c r="AI84">
        <v>60.9</v>
      </c>
      <c r="AJ84">
        <v>-4.1509891977181699</v>
      </c>
      <c r="AK84">
        <v>62.1</v>
      </c>
      <c r="AL84">
        <v>157.205123807653</v>
      </c>
      <c r="AM84" s="3">
        <v>0.75816993464052296</v>
      </c>
      <c r="AN84" s="1">
        <f t="shared" si="40"/>
        <v>1</v>
      </c>
      <c r="AO84" s="1">
        <f t="shared" si="41"/>
        <v>1</v>
      </c>
      <c r="AP84" s="1">
        <f t="shared" si="42"/>
        <v>1</v>
      </c>
      <c r="AQ84" s="1">
        <f t="shared" si="43"/>
        <v>1</v>
      </c>
      <c r="AR84" s="1">
        <f t="shared" si="44"/>
        <v>1</v>
      </c>
      <c r="AS84" s="1">
        <f t="shared" si="45"/>
        <v>1</v>
      </c>
      <c r="AT84" s="1">
        <f t="shared" si="46"/>
        <v>1</v>
      </c>
      <c r="AU84" s="1">
        <f t="shared" si="47"/>
        <v>1</v>
      </c>
      <c r="AV84" s="1">
        <f t="shared" si="48"/>
        <v>1</v>
      </c>
      <c r="AW84">
        <f t="shared" si="49"/>
        <v>1</v>
      </c>
      <c r="AY84" t="str">
        <v>26/04/2024</v>
      </c>
      <c r="AZ84">
        <v>47</v>
      </c>
      <c r="BA84">
        <v>19.7</v>
      </c>
      <c r="BB84">
        <f t="shared" si="51"/>
        <v>2.3857868020304571</v>
      </c>
    </row>
    <row r="85" spans="1:54" x14ac:dyDescent="0.3">
      <c r="A85" s="11">
        <v>45405</v>
      </c>
      <c r="B85">
        <v>0.465648854961832</v>
      </c>
      <c r="C85">
        <v>5010.6000000000004</v>
      </c>
      <c r="D85">
        <v>89</v>
      </c>
      <c r="E85">
        <v>2327.1</v>
      </c>
      <c r="F85">
        <v>81.209999999999994</v>
      </c>
      <c r="G85">
        <v>51.74</v>
      </c>
      <c r="H85" s="12">
        <f t="shared" si="32"/>
        <v>189.99060684979443</v>
      </c>
      <c r="I85" s="12">
        <f t="shared" si="33"/>
        <v>80.471393742234952</v>
      </c>
      <c r="J85" s="12">
        <f t="shared" si="35"/>
        <v>177.14367193349892</v>
      </c>
      <c r="K85" s="12">
        <f t="shared" si="36"/>
        <v>153.65754635868365</v>
      </c>
      <c r="L85" s="55">
        <v>18.5286353358197</v>
      </c>
      <c r="M85" s="55">
        <v>17.6459036262377</v>
      </c>
      <c r="N85" s="55">
        <v>226.70726341450199</v>
      </c>
      <c r="O85" s="55">
        <v>3.8850621243533801</v>
      </c>
      <c r="P85" s="12">
        <f t="shared" si="34"/>
        <v>113.78986020857079</v>
      </c>
      <c r="Q85" s="12">
        <f t="shared" si="37"/>
        <v>111.91243108081188</v>
      </c>
      <c r="R85" s="12">
        <f t="shared" si="38"/>
        <v>85.927769579607684</v>
      </c>
      <c r="S85" s="12">
        <f t="shared" si="39"/>
        <v>104.66388711036556</v>
      </c>
      <c r="T85" s="55">
        <v>12.7662819017144</v>
      </c>
      <c r="U85" s="55">
        <v>12.6253394419105</v>
      </c>
      <c r="V85">
        <v>0.447297297297297</v>
      </c>
      <c r="W85" s="12"/>
      <c r="X85" s="12"/>
      <c r="Y85" t="str">
        <v>20230217</v>
      </c>
      <c r="Z85">
        <v>44.4</v>
      </c>
      <c r="AA85">
        <v>26.4</v>
      </c>
      <c r="AB85">
        <f t="shared" si="50"/>
        <v>1.6818181818181819</v>
      </c>
      <c r="AD85" t="str">
        <v>20180131</v>
      </c>
      <c r="AE85">
        <v>2.7013897999999998</v>
      </c>
      <c r="AF85">
        <v>3.9495338394488901</v>
      </c>
      <c r="AG85">
        <v>72.7</v>
      </c>
      <c r="AH85">
        <v>64.3</v>
      </c>
      <c r="AI85">
        <v>59.4</v>
      </c>
      <c r="AJ85">
        <v>-4.8774627582892904</v>
      </c>
      <c r="AK85">
        <v>60.9</v>
      </c>
      <c r="AL85">
        <v>153.26467848575399</v>
      </c>
      <c r="AM85" s="3">
        <v>0.69405099150141603</v>
      </c>
      <c r="AN85" s="1">
        <f t="shared" si="40"/>
        <v>1</v>
      </c>
      <c r="AO85" s="1">
        <f t="shared" si="41"/>
        <v>1</v>
      </c>
      <c r="AP85" s="1">
        <f t="shared" si="42"/>
        <v>1</v>
      </c>
      <c r="AQ85" s="1">
        <f t="shared" si="43"/>
        <v>1</v>
      </c>
      <c r="AR85" s="1">
        <f t="shared" si="44"/>
        <v>1</v>
      </c>
      <c r="AS85" s="1">
        <f t="shared" si="45"/>
        <v>1</v>
      </c>
      <c r="AT85" s="1">
        <f t="shared" si="46"/>
        <v>1</v>
      </c>
      <c r="AU85" s="1">
        <f t="shared" si="47"/>
        <v>1</v>
      </c>
      <c r="AV85" s="1">
        <f t="shared" si="48"/>
        <v>1</v>
      </c>
      <c r="AW85">
        <f t="shared" si="49"/>
        <v>1</v>
      </c>
      <c r="AY85" t="str">
        <v>25/04/2024</v>
      </c>
      <c r="AZ85">
        <v>47</v>
      </c>
      <c r="BA85">
        <v>19.7</v>
      </c>
      <c r="BB85">
        <f t="shared" si="51"/>
        <v>2.3857868020304571</v>
      </c>
    </row>
    <row r="86" spans="1:54" x14ac:dyDescent="0.3">
      <c r="A86" s="11">
        <v>45402</v>
      </c>
      <c r="B86">
        <v>0.46954314720812201</v>
      </c>
      <c r="C86">
        <v>4967.2299999999996</v>
      </c>
      <c r="D86">
        <v>89.15</v>
      </c>
      <c r="E86">
        <v>2390.6</v>
      </c>
      <c r="F86">
        <v>81.17</v>
      </c>
      <c r="G86">
        <v>51.16</v>
      </c>
      <c r="H86" s="12">
        <f t="shared" si="32"/>
        <v>188.03247763153195</v>
      </c>
      <c r="I86" s="12">
        <f t="shared" si="33"/>
        <v>77.728090108934026</v>
      </c>
      <c r="J86" s="12">
        <f t="shared" si="35"/>
        <v>175.69621072935152</v>
      </c>
      <c r="K86" s="12">
        <f t="shared" si="36"/>
        <v>154.05898672991879</v>
      </c>
      <c r="L86" s="55">
        <v>18.054254301942301</v>
      </c>
      <c r="M86" s="55">
        <v>17.113608367076001</v>
      </c>
      <c r="N86" s="55">
        <v>227.63656849238399</v>
      </c>
      <c r="O86" s="55">
        <v>3.8497831431980898</v>
      </c>
      <c r="P86" s="12">
        <f t="shared" si="34"/>
        <v>115.31738831942404</v>
      </c>
      <c r="Q86" s="12">
        <f t="shared" si="37"/>
        <v>110.47410905375304</v>
      </c>
      <c r="R86" s="12">
        <f t="shared" si="38"/>
        <v>82.790079281039041</v>
      </c>
      <c r="S86" s="12">
        <f t="shared" si="39"/>
        <v>103.54106818595169</v>
      </c>
      <c r="T86" s="55">
        <v>12.447742385571001</v>
      </c>
      <c r="U86" s="55">
        <v>12.3109404630789</v>
      </c>
      <c r="V86">
        <v>0.44747340425531901</v>
      </c>
      <c r="W86" s="12"/>
      <c r="X86" s="12"/>
      <c r="Y86" t="str">
        <v>20230210</v>
      </c>
      <c r="Z86">
        <v>45.1</v>
      </c>
      <c r="AA86">
        <v>26.8</v>
      </c>
      <c r="AB86">
        <f t="shared" si="50"/>
        <v>1.6828358208955223</v>
      </c>
      <c r="AD86" t="str">
        <v>20171229</v>
      </c>
      <c r="AE86">
        <v>2.470199</v>
      </c>
      <c r="AF86">
        <v>2.5294986245212798</v>
      </c>
      <c r="AG86">
        <v>68.3</v>
      </c>
      <c r="AH86">
        <v>65.900000000000006</v>
      </c>
      <c r="AI86">
        <v>59.7</v>
      </c>
      <c r="AJ86">
        <v>-3.7785588752196801</v>
      </c>
      <c r="AK86">
        <v>59.1</v>
      </c>
      <c r="AL86">
        <v>144.41846005368299</v>
      </c>
      <c r="AM86" s="3">
        <v>0.62608695652173896</v>
      </c>
      <c r="AN86" s="1">
        <f t="shared" si="40"/>
        <v>1</v>
      </c>
      <c r="AO86" s="1">
        <f t="shared" si="41"/>
        <v>1</v>
      </c>
      <c r="AP86" s="1">
        <f t="shared" si="42"/>
        <v>1</v>
      </c>
      <c r="AQ86" s="1">
        <f t="shared" si="43"/>
        <v>1</v>
      </c>
      <c r="AR86" s="1">
        <f t="shared" si="44"/>
        <v>1</v>
      </c>
      <c r="AS86" s="1">
        <f t="shared" si="45"/>
        <v>1</v>
      </c>
      <c r="AT86" s="1">
        <f t="shared" si="46"/>
        <v>1</v>
      </c>
      <c r="AU86" s="1">
        <f t="shared" si="47"/>
        <v>1</v>
      </c>
      <c r="AV86" s="1">
        <f t="shared" si="48"/>
        <v>1</v>
      </c>
      <c r="AW86">
        <f t="shared" si="49"/>
        <v>1</v>
      </c>
      <c r="AY86" t="str">
        <v>24/04/2024</v>
      </c>
      <c r="AZ86">
        <v>47</v>
      </c>
      <c r="BA86">
        <v>19.7</v>
      </c>
      <c r="BB86">
        <f t="shared" si="51"/>
        <v>2.3857868020304571</v>
      </c>
    </row>
    <row r="87" spans="1:54" x14ac:dyDescent="0.3">
      <c r="A87" s="11">
        <v>45401</v>
      </c>
      <c r="B87">
        <v>0.47545219638242903</v>
      </c>
      <c r="C87">
        <v>5011.12</v>
      </c>
      <c r="D87">
        <v>88.83</v>
      </c>
      <c r="E87">
        <v>2379.2199999999998</v>
      </c>
      <c r="F87">
        <v>81.150000000000006</v>
      </c>
      <c r="G87">
        <v>51.19</v>
      </c>
      <c r="H87" s="12">
        <f t="shared" si="32"/>
        <v>190.38581915624064</v>
      </c>
      <c r="I87" s="12">
        <f t="shared" si="33"/>
        <v>78.795101957600551</v>
      </c>
      <c r="J87" s="12">
        <f t="shared" si="35"/>
        <v>177.29272788379518</v>
      </c>
      <c r="K87" s="12">
        <f t="shared" si="36"/>
        <v>155.32840330408558</v>
      </c>
      <c r="L87" s="55">
        <v>17.7907892194014</v>
      </c>
      <c r="M87" s="55">
        <v>16.851160454122599</v>
      </c>
      <c r="N87" s="55">
        <v>227.84941339086299</v>
      </c>
      <c r="O87" s="55">
        <v>3.8180039137930399</v>
      </c>
      <c r="P87" s="12">
        <f t="shared" si="34"/>
        <v>116.39493380674291</v>
      </c>
      <c r="Q87" s="12">
        <f t="shared" si="37"/>
        <v>110.93876927103439</v>
      </c>
      <c r="R87" s="12">
        <f t="shared" si="38"/>
        <v>83.236989676918057</v>
      </c>
      <c r="S87" s="12">
        <f t="shared" si="39"/>
        <v>103.62733889287266</v>
      </c>
      <c r="T87" s="55">
        <v>12.0613658209063</v>
      </c>
      <c r="U87" s="55">
        <v>11.9172262861511</v>
      </c>
      <c r="V87">
        <v>0.45298013245033097</v>
      </c>
      <c r="W87" s="12"/>
      <c r="X87" s="12"/>
      <c r="Y87" t="str">
        <v>20230203</v>
      </c>
      <c r="Z87">
        <v>48.6</v>
      </c>
      <c r="AA87">
        <v>25.7</v>
      </c>
      <c r="AB87">
        <f t="shared" si="50"/>
        <v>1.8910505836575877</v>
      </c>
      <c r="AD87" t="str">
        <v>20171130</v>
      </c>
      <c r="AE87">
        <v>2.9539080000000002</v>
      </c>
      <c r="AF87">
        <v>3.1148798866744301</v>
      </c>
      <c r="AG87">
        <v>64.8</v>
      </c>
      <c r="AH87">
        <v>63.1</v>
      </c>
      <c r="AI87">
        <v>57.6</v>
      </c>
      <c r="AJ87">
        <v>-3.9735909035334398</v>
      </c>
      <c r="AK87">
        <v>60.1</v>
      </c>
      <c r="AL87">
        <v>142.118529489395</v>
      </c>
      <c r="AM87" s="3">
        <v>0.65986394557823103</v>
      </c>
      <c r="AN87" s="1">
        <f t="shared" si="40"/>
        <v>1</v>
      </c>
      <c r="AO87" s="1">
        <f t="shared" si="41"/>
        <v>1</v>
      </c>
      <c r="AP87" s="1">
        <f t="shared" si="42"/>
        <v>1</v>
      </c>
      <c r="AQ87" s="1">
        <f t="shared" si="43"/>
        <v>1</v>
      </c>
      <c r="AR87" s="1">
        <f t="shared" si="44"/>
        <v>1</v>
      </c>
      <c r="AS87" s="1">
        <f t="shared" si="45"/>
        <v>1</v>
      </c>
      <c r="AT87" s="1">
        <f t="shared" si="46"/>
        <v>1</v>
      </c>
      <c r="AU87" s="1">
        <f t="shared" si="47"/>
        <v>1</v>
      </c>
      <c r="AV87" s="1">
        <f t="shared" si="48"/>
        <v>1</v>
      </c>
      <c r="AW87">
        <f t="shared" si="49"/>
        <v>1</v>
      </c>
      <c r="AY87" t="str">
        <v>23/04/2024</v>
      </c>
      <c r="AZ87">
        <v>47</v>
      </c>
      <c r="BA87">
        <v>19.7</v>
      </c>
      <c r="BB87">
        <f t="shared" si="51"/>
        <v>2.3857868020304571</v>
      </c>
    </row>
    <row r="88" spans="1:54" x14ac:dyDescent="0.3">
      <c r="A88" s="11">
        <v>45400</v>
      </c>
      <c r="B88">
        <v>0.47493403693931402</v>
      </c>
      <c r="C88">
        <v>5022.21</v>
      </c>
      <c r="D88">
        <v>89.28</v>
      </c>
      <c r="E88">
        <v>2358.23</v>
      </c>
      <c r="F88">
        <v>81.19</v>
      </c>
      <c r="G88">
        <v>51.2</v>
      </c>
      <c r="H88" s="12">
        <f t="shared" si="32"/>
        <v>189.84814427206695</v>
      </c>
      <c r="I88" s="12">
        <f t="shared" si="33"/>
        <v>79.680264805748308</v>
      </c>
      <c r="J88" s="12">
        <f t="shared" si="35"/>
        <v>177.59739972228337</v>
      </c>
      <c r="K88" s="12">
        <f t="shared" si="36"/>
        <v>155.64169115131224</v>
      </c>
      <c r="L88" s="55">
        <v>17.8846794609379</v>
      </c>
      <c r="M88" s="55">
        <v>16.8809978997045</v>
      </c>
      <c r="N88" s="55">
        <v>227.774497188987</v>
      </c>
      <c r="O88" s="55">
        <v>3.81616470727201</v>
      </c>
      <c r="P88" s="12">
        <f t="shared" si="34"/>
        <v>116.4127503615523</v>
      </c>
      <c r="Q88" s="12">
        <f t="shared" si="37"/>
        <v>110.40386144937004</v>
      </c>
      <c r="R88" s="12">
        <f t="shared" si="38"/>
        <v>84.001068084016495</v>
      </c>
      <c r="S88" s="12">
        <f t="shared" si="39"/>
        <v>103.59653353009116</v>
      </c>
      <c r="T88" s="55">
        <v>12.1273944439291</v>
      </c>
      <c r="U88" s="55">
        <v>11.946582317900999</v>
      </c>
      <c r="V88">
        <v>0.45178335535006597</v>
      </c>
      <c r="W88" s="12"/>
      <c r="X88" s="12"/>
      <c r="Y88" t="str">
        <v>20230127</v>
      </c>
      <c r="Z88">
        <v>47.1</v>
      </c>
      <c r="AA88">
        <v>27.2</v>
      </c>
      <c r="AB88">
        <f t="shared" si="50"/>
        <v>1.7316176470588236</v>
      </c>
      <c r="AD88" t="str">
        <v>20171031</v>
      </c>
      <c r="AE88">
        <v>2.2948897000000001</v>
      </c>
      <c r="AF88">
        <v>9.1313701496072301</v>
      </c>
      <c r="AG88">
        <v>68.099999999999994</v>
      </c>
      <c r="AH88">
        <v>62</v>
      </c>
      <c r="AI88">
        <v>58.6</v>
      </c>
      <c r="AJ88">
        <v>-8.1130025353132993</v>
      </c>
      <c r="AK88">
        <v>62.7</v>
      </c>
      <c r="AL88">
        <v>140.70611079145201</v>
      </c>
      <c r="AM88" s="3">
        <v>0.62886597938144295</v>
      </c>
      <c r="AN88" s="1">
        <f t="shared" si="40"/>
        <v>1</v>
      </c>
      <c r="AO88" s="1">
        <f t="shared" si="41"/>
        <v>1</v>
      </c>
      <c r="AP88" s="1">
        <f t="shared" si="42"/>
        <v>1</v>
      </c>
      <c r="AQ88" s="1">
        <f t="shared" si="43"/>
        <v>1</v>
      </c>
      <c r="AR88" s="1">
        <f t="shared" si="44"/>
        <v>1</v>
      </c>
      <c r="AS88" s="1">
        <f t="shared" si="45"/>
        <v>1</v>
      </c>
      <c r="AT88" s="1">
        <f t="shared" si="46"/>
        <v>1</v>
      </c>
      <c r="AU88" s="1">
        <f t="shared" si="47"/>
        <v>1</v>
      </c>
      <c r="AV88" s="1">
        <f t="shared" si="48"/>
        <v>1</v>
      </c>
      <c r="AW88">
        <f t="shared" si="49"/>
        <v>1</v>
      </c>
      <c r="AY88" t="str">
        <v>22/04/2024</v>
      </c>
      <c r="AZ88">
        <v>47</v>
      </c>
      <c r="BA88">
        <v>19.7</v>
      </c>
      <c r="BB88">
        <f t="shared" si="51"/>
        <v>2.3857868020304571</v>
      </c>
    </row>
    <row r="89" spans="1:54" x14ac:dyDescent="0.3">
      <c r="A89" s="11">
        <v>45399</v>
      </c>
      <c r="B89">
        <v>0.48913043478260898</v>
      </c>
      <c r="C89">
        <v>5051.41</v>
      </c>
      <c r="D89">
        <v>88.3</v>
      </c>
      <c r="E89">
        <v>2382.85</v>
      </c>
      <c r="F89">
        <v>81.13</v>
      </c>
      <c r="G89">
        <v>51.2</v>
      </c>
      <c r="H89" s="12">
        <f t="shared" si="32"/>
        <v>193.10762564835554</v>
      </c>
      <c r="I89" s="12">
        <f t="shared" si="33"/>
        <v>79.319235293024136</v>
      </c>
      <c r="J89" s="12">
        <f t="shared" si="35"/>
        <v>178.76295529215318</v>
      </c>
      <c r="K89" s="12">
        <f t="shared" si="36"/>
        <v>156.54661893840563</v>
      </c>
      <c r="L89" s="55">
        <v>17.986924474686699</v>
      </c>
      <c r="M89" s="55">
        <v>16.905158627728301</v>
      </c>
      <c r="N89" s="55">
        <v>227.90941474600299</v>
      </c>
      <c r="O89" s="55">
        <v>3.7939108987001999</v>
      </c>
      <c r="P89" s="12">
        <f t="shared" si="34"/>
        <v>117.16938848888964</v>
      </c>
      <c r="Q89" s="12">
        <f t="shared" si="37"/>
        <v>111.64293364612202</v>
      </c>
      <c r="R89" s="12">
        <f t="shared" si="38"/>
        <v>83.142030880550422</v>
      </c>
      <c r="S89" s="12">
        <f t="shared" si="39"/>
        <v>103.67320544339826</v>
      </c>
      <c r="T89" s="55">
        <v>12.190145317123401</v>
      </c>
      <c r="U89" s="55">
        <v>11.9534426930945</v>
      </c>
      <c r="V89">
        <v>0.45563709139426301</v>
      </c>
      <c r="W89" s="12"/>
      <c r="X89" s="12"/>
      <c r="Y89" t="str">
        <v>20230120</v>
      </c>
      <c r="Z89">
        <v>45.1</v>
      </c>
      <c r="AA89">
        <v>28.2</v>
      </c>
      <c r="AB89">
        <f t="shared" si="50"/>
        <v>1.5992907801418441</v>
      </c>
      <c r="AD89" t="str">
        <v>20170929</v>
      </c>
      <c r="AE89">
        <v>1.1078991</v>
      </c>
      <c r="AF89">
        <v>12.484421791973601</v>
      </c>
      <c r="AG89">
        <v>71.5</v>
      </c>
      <c r="AH89">
        <v>60.2</v>
      </c>
      <c r="AI89">
        <v>60</v>
      </c>
      <c r="AJ89">
        <v>-10.020916524054</v>
      </c>
      <c r="AK89">
        <v>59.2</v>
      </c>
      <c r="AL89">
        <v>139.971149809938</v>
      </c>
      <c r="AM89" s="3">
        <v>0.48226950354609899</v>
      </c>
      <c r="AN89" s="1">
        <f t="shared" si="40"/>
        <v>0</v>
      </c>
      <c r="AO89" s="1">
        <f t="shared" si="41"/>
        <v>1</v>
      </c>
      <c r="AP89" s="1">
        <f t="shared" si="42"/>
        <v>1</v>
      </c>
      <c r="AQ89" s="1">
        <f t="shared" si="43"/>
        <v>1</v>
      </c>
      <c r="AR89" s="1">
        <f t="shared" si="44"/>
        <v>1</v>
      </c>
      <c r="AS89" s="1">
        <f t="shared" si="45"/>
        <v>1</v>
      </c>
      <c r="AT89" s="1">
        <f t="shared" si="46"/>
        <v>1</v>
      </c>
      <c r="AU89" s="1">
        <f t="shared" si="47"/>
        <v>1</v>
      </c>
      <c r="AV89" s="1">
        <f t="shared" si="48"/>
        <v>0</v>
      </c>
      <c r="AW89">
        <f t="shared" si="49"/>
        <v>0.77777777777777779</v>
      </c>
      <c r="AY89" t="str">
        <v>19/04/2024</v>
      </c>
      <c r="AZ89">
        <v>46.2</v>
      </c>
      <c r="BA89">
        <v>21.5</v>
      </c>
      <c r="BB89">
        <f t="shared" si="51"/>
        <v>2.1488372093023256</v>
      </c>
    </row>
    <row r="90" spans="1:54" x14ac:dyDescent="0.3">
      <c r="A90" s="11">
        <v>45398</v>
      </c>
      <c r="B90">
        <v>0.48342541436464098</v>
      </c>
      <c r="C90">
        <v>5061.82</v>
      </c>
      <c r="D90">
        <v>88.89</v>
      </c>
      <c r="E90">
        <v>2383.06</v>
      </c>
      <c r="F90">
        <v>81.180000000000007</v>
      </c>
      <c r="G90">
        <v>51.72</v>
      </c>
      <c r="H90" s="12">
        <f t="shared" si="32"/>
        <v>192.22706336333135</v>
      </c>
      <c r="I90" s="12">
        <f t="shared" si="33"/>
        <v>79.475679236952757</v>
      </c>
      <c r="J90" s="12">
        <f t="shared" si="35"/>
        <v>179.02086300297935</v>
      </c>
      <c r="K90" s="12">
        <f t="shared" si="36"/>
        <v>155.30456060045299</v>
      </c>
      <c r="L90" s="55">
        <v>18.404472147404402</v>
      </c>
      <c r="M90" s="55">
        <v>17.265594911812698</v>
      </c>
      <c r="N90" s="55">
        <v>227.91572457902799</v>
      </c>
      <c r="O90" s="55">
        <v>3.8128353012945801</v>
      </c>
      <c r="P90" s="12">
        <f t="shared" si="34"/>
        <v>116.59392097122981</v>
      </c>
      <c r="Q90" s="12">
        <f t="shared" si="37"/>
        <v>112.02569414663358</v>
      </c>
      <c r="R90" s="12">
        <f t="shared" si="38"/>
        <v>83.97896657740587</v>
      </c>
      <c r="S90" s="12">
        <f t="shared" si="39"/>
        <v>104.66101942281657</v>
      </c>
      <c r="T90" s="55">
        <v>12.464866428796</v>
      </c>
      <c r="U90" s="55">
        <v>12.211485498183499</v>
      </c>
      <c r="V90">
        <v>0.45436241610738298</v>
      </c>
      <c r="W90" s="12"/>
      <c r="X90" s="12"/>
      <c r="Y90" t="str">
        <v>20230113</v>
      </c>
      <c r="Z90">
        <v>46.5</v>
      </c>
      <c r="AA90">
        <v>29.6</v>
      </c>
      <c r="AB90">
        <f t="shared" si="50"/>
        <v>1.5709459459459458</v>
      </c>
      <c r="AD90" t="str">
        <v>20170831</v>
      </c>
      <c r="AE90">
        <v>0.90092735999999995</v>
      </c>
      <c r="AF90">
        <v>12.035412376823601</v>
      </c>
      <c r="AG90">
        <v>61.7</v>
      </c>
      <c r="AH90">
        <v>60.3</v>
      </c>
      <c r="AI90">
        <v>58.4</v>
      </c>
      <c r="AJ90">
        <v>-10.326340326340301</v>
      </c>
      <c r="AK90">
        <v>58</v>
      </c>
      <c r="AL90">
        <v>138.92454825427899</v>
      </c>
      <c r="AM90" s="3">
        <v>0.56725146198830401</v>
      </c>
      <c r="AN90" s="1">
        <f t="shared" si="40"/>
        <v>0</v>
      </c>
      <c r="AO90" s="1">
        <f t="shared" si="41"/>
        <v>1</v>
      </c>
      <c r="AP90" s="1">
        <f t="shared" si="42"/>
        <v>1</v>
      </c>
      <c r="AQ90" s="1">
        <f t="shared" si="43"/>
        <v>1</v>
      </c>
      <c r="AR90" s="1">
        <f t="shared" si="44"/>
        <v>1</v>
      </c>
      <c r="AS90" s="1">
        <f t="shared" si="45"/>
        <v>1</v>
      </c>
      <c r="AT90" s="1">
        <f t="shared" si="46"/>
        <v>1</v>
      </c>
      <c r="AU90" s="1">
        <f t="shared" si="47"/>
        <v>1</v>
      </c>
      <c r="AV90" s="1">
        <f t="shared" si="48"/>
        <v>1</v>
      </c>
      <c r="AW90">
        <f t="shared" si="49"/>
        <v>0.88888888888888884</v>
      </c>
      <c r="AY90" t="str">
        <v>18/04/2024</v>
      </c>
      <c r="AZ90">
        <v>46.2</v>
      </c>
      <c r="BA90">
        <v>21.5</v>
      </c>
      <c r="BB90">
        <f t="shared" si="51"/>
        <v>2.1488372093023256</v>
      </c>
    </row>
    <row r="91" spans="1:54" x14ac:dyDescent="0.3">
      <c r="A91" s="11">
        <v>45395</v>
      </c>
      <c r="B91">
        <v>0.49322493224932301</v>
      </c>
      <c r="C91">
        <v>5123.41</v>
      </c>
      <c r="D91">
        <v>90.29</v>
      </c>
      <c r="E91">
        <v>2344.42</v>
      </c>
      <c r="F91">
        <v>81.209999999999994</v>
      </c>
      <c r="G91">
        <v>51.97</v>
      </c>
      <c r="H91" s="12">
        <f t="shared" si="32"/>
        <v>191.55961171377447</v>
      </c>
      <c r="I91" s="12">
        <f t="shared" si="33"/>
        <v>81.807434829218067</v>
      </c>
      <c r="J91" s="12">
        <f t="shared" si="35"/>
        <v>181.1313837657259</v>
      </c>
      <c r="K91" s="12">
        <f t="shared" si="36"/>
        <v>156.43256814990477</v>
      </c>
      <c r="L91" s="55">
        <v>19.056915183894301</v>
      </c>
      <c r="M91" s="55">
        <v>17.8613597094919</v>
      </c>
      <c r="N91" s="55">
        <v>228.01952474207201</v>
      </c>
      <c r="O91" s="55">
        <v>3.8603709233377299</v>
      </c>
      <c r="P91" s="12">
        <f t="shared" si="34"/>
        <v>115.22749345604325</v>
      </c>
      <c r="Q91" s="12">
        <f t="shared" si="37"/>
        <v>110.84024382717809</v>
      </c>
      <c r="R91" s="12">
        <f t="shared" si="38"/>
        <v>85.805960474600411</v>
      </c>
      <c r="S91" s="12">
        <f t="shared" si="39"/>
        <v>105.12789819479819</v>
      </c>
      <c r="T91" s="55">
        <v>12.5185327273261</v>
      </c>
      <c r="U91" s="55">
        <v>12.2321166053928</v>
      </c>
      <c r="V91">
        <v>0.44591029023746698</v>
      </c>
      <c r="W91" s="12"/>
      <c r="X91" s="12"/>
      <c r="Y91" t="str">
        <v>20230106</v>
      </c>
      <c r="Z91">
        <v>41.4</v>
      </c>
      <c r="AA91">
        <v>32.9</v>
      </c>
      <c r="AB91">
        <f t="shared" si="50"/>
        <v>1.2583586626139818</v>
      </c>
      <c r="AD91" t="str">
        <v>20170731</v>
      </c>
      <c r="AE91">
        <v>1.2558020000000001</v>
      </c>
      <c r="AF91">
        <v>10.27360427064</v>
      </c>
      <c r="AG91">
        <v>61.7</v>
      </c>
      <c r="AH91">
        <v>60.3</v>
      </c>
      <c r="AI91">
        <v>56.5</v>
      </c>
      <c r="AJ91">
        <v>-9.5263749648646208</v>
      </c>
      <c r="AK91">
        <v>58.7</v>
      </c>
      <c r="AL91">
        <v>138.108162795331</v>
      </c>
      <c r="AM91" s="3">
        <v>0.64935064935064901</v>
      </c>
      <c r="AN91" s="1">
        <f t="shared" si="40"/>
        <v>1</v>
      </c>
      <c r="AO91" s="1">
        <f t="shared" si="41"/>
        <v>1</v>
      </c>
      <c r="AP91" s="1">
        <f t="shared" si="42"/>
        <v>1</v>
      </c>
      <c r="AQ91" s="1">
        <f t="shared" si="43"/>
        <v>1</v>
      </c>
      <c r="AR91" s="1">
        <f t="shared" si="44"/>
        <v>1</v>
      </c>
      <c r="AS91" s="1">
        <f t="shared" si="45"/>
        <v>1</v>
      </c>
      <c r="AT91" s="1">
        <f t="shared" si="46"/>
        <v>1</v>
      </c>
      <c r="AU91" s="1">
        <f t="shared" si="47"/>
        <v>1</v>
      </c>
      <c r="AV91" s="1">
        <f t="shared" si="48"/>
        <v>1</v>
      </c>
      <c r="AW91">
        <f t="shared" si="49"/>
        <v>1</v>
      </c>
      <c r="AY91" t="str">
        <v>17/04/2024</v>
      </c>
      <c r="AZ91">
        <v>46.2</v>
      </c>
      <c r="BA91">
        <v>21.5</v>
      </c>
      <c r="BB91">
        <f t="shared" si="51"/>
        <v>2.1488372093023256</v>
      </c>
    </row>
    <row r="92" spans="1:54" x14ac:dyDescent="0.3">
      <c r="A92" s="11">
        <v>45394</v>
      </c>
      <c r="B92">
        <v>0.50408719346049002</v>
      </c>
      <c r="C92">
        <v>5199.0600000000004</v>
      </c>
      <c r="D92">
        <v>89.81</v>
      </c>
      <c r="E92">
        <v>2371.87</v>
      </c>
      <c r="F92">
        <v>81.16</v>
      </c>
      <c r="G92">
        <v>52.91</v>
      </c>
      <c r="H92" s="12">
        <f t="shared" si="32"/>
        <v>195.44811522404532</v>
      </c>
      <c r="I92" s="12">
        <f t="shared" si="33"/>
        <v>82.051748860563066</v>
      </c>
      <c r="J92" s="12">
        <f t="shared" si="35"/>
        <v>183.92087008610758</v>
      </c>
      <c r="K92" s="12">
        <f t="shared" si="36"/>
        <v>155.93120091876014</v>
      </c>
      <c r="L92" s="55">
        <v>18.909987748267699</v>
      </c>
      <c r="M92" s="55">
        <v>17.668390370489099</v>
      </c>
      <c r="N92" s="55">
        <v>227.94301485068701</v>
      </c>
      <c r="O92" s="55">
        <v>3.8146055757877799</v>
      </c>
      <c r="P92" s="12">
        <f t="shared" si="34"/>
        <v>116.58710263929997</v>
      </c>
      <c r="Q92" s="12">
        <f t="shared" si="37"/>
        <v>113.46243259999288</v>
      </c>
      <c r="R92" s="12">
        <f t="shared" si="38"/>
        <v>86.340657011693224</v>
      </c>
      <c r="S92" s="12">
        <f t="shared" si="39"/>
        <v>107.0965561714999</v>
      </c>
      <c r="T92" s="55">
        <v>12.4586953421971</v>
      </c>
      <c r="U92" s="55">
        <v>12.0984780593044</v>
      </c>
      <c r="V92">
        <v>0.44400527009222701</v>
      </c>
      <c r="W92" s="12"/>
      <c r="X92" s="12"/>
      <c r="Y92" t="str">
        <v>20221230</v>
      </c>
      <c r="Z92">
        <v>36.6</v>
      </c>
      <c r="AA92">
        <v>33.799999999999997</v>
      </c>
      <c r="AB92">
        <f t="shared" si="50"/>
        <v>1.0828402366863907</v>
      </c>
      <c r="AD92" t="str">
        <v>20170630</v>
      </c>
      <c r="AE92">
        <v>1.6261274999999999</v>
      </c>
      <c r="AF92">
        <v>11.1980062395529</v>
      </c>
      <c r="AG92">
        <v>53</v>
      </c>
      <c r="AH92">
        <v>60.3</v>
      </c>
      <c r="AI92">
        <v>56.2</v>
      </c>
      <c r="AJ92">
        <v>-11.181175379622101</v>
      </c>
      <c r="AK92">
        <v>59.1</v>
      </c>
      <c r="AL92">
        <v>137.198028755629</v>
      </c>
      <c r="AM92" s="3">
        <v>0.51601423487544495</v>
      </c>
      <c r="AN92" s="1">
        <f t="shared" si="40"/>
        <v>1</v>
      </c>
      <c r="AO92" s="1">
        <f t="shared" si="41"/>
        <v>1</v>
      </c>
      <c r="AP92" s="1">
        <f t="shared" si="42"/>
        <v>1</v>
      </c>
      <c r="AQ92" s="1">
        <f t="shared" si="43"/>
        <v>1</v>
      </c>
      <c r="AR92" s="1">
        <f t="shared" si="44"/>
        <v>1</v>
      </c>
      <c r="AS92" s="1">
        <f t="shared" si="45"/>
        <v>1</v>
      </c>
      <c r="AT92" s="1">
        <f t="shared" si="46"/>
        <v>1</v>
      </c>
      <c r="AU92" s="1">
        <f t="shared" si="47"/>
        <v>1</v>
      </c>
      <c r="AV92" s="1">
        <f t="shared" si="48"/>
        <v>1</v>
      </c>
      <c r="AW92">
        <f t="shared" si="49"/>
        <v>1</v>
      </c>
      <c r="AY92" t="str">
        <v>16/04/2024</v>
      </c>
      <c r="AZ92">
        <v>46.2</v>
      </c>
      <c r="BA92">
        <v>21.5</v>
      </c>
      <c r="BB92">
        <f t="shared" si="51"/>
        <v>2.1488372093023256</v>
      </c>
    </row>
    <row r="93" spans="1:54" x14ac:dyDescent="0.3">
      <c r="A93" s="11">
        <v>45393</v>
      </c>
      <c r="B93">
        <v>0.49723756906077299</v>
      </c>
      <c r="C93">
        <v>5160.6400000000003</v>
      </c>
      <c r="D93">
        <v>90.22</v>
      </c>
      <c r="E93">
        <v>2333.58</v>
      </c>
      <c r="F93">
        <v>81.06</v>
      </c>
      <c r="G93">
        <v>52.75</v>
      </c>
      <c r="H93" s="12">
        <f t="shared" si="32"/>
        <v>193.13259829746494</v>
      </c>
      <c r="I93" s="12">
        <f t="shared" si="33"/>
        <v>82.793867750298219</v>
      </c>
      <c r="J93" s="12">
        <f t="shared" si="35"/>
        <v>182.78555991731128</v>
      </c>
      <c r="K93" s="12">
        <f t="shared" si="36"/>
        <v>155.24631044421673</v>
      </c>
      <c r="L93" s="55">
        <v>18.7273695447386</v>
      </c>
      <c r="M93" s="55">
        <v>17.432572325903099</v>
      </c>
      <c r="N93" s="55">
        <v>227.55184071433399</v>
      </c>
      <c r="O93" s="55">
        <v>3.7984263110066601</v>
      </c>
      <c r="P93" s="12">
        <f t="shared" si="34"/>
        <v>116.88403603607489</v>
      </c>
      <c r="Q93" s="12">
        <f t="shared" si="37"/>
        <v>112.60912320100695</v>
      </c>
      <c r="R93" s="12">
        <f t="shared" si="38"/>
        <v>87.511126205638675</v>
      </c>
      <c r="S93" s="12">
        <f t="shared" si="39"/>
        <v>106.9041798258317</v>
      </c>
      <c r="T93" s="55">
        <v>12.380122235461799</v>
      </c>
      <c r="U93" s="55">
        <v>11.9657815651993</v>
      </c>
      <c r="V93">
        <v>0.43905635648754898</v>
      </c>
      <c r="W93" s="12"/>
      <c r="X93" s="12"/>
      <c r="Y93" t="str">
        <v>20221223</v>
      </c>
      <c r="Z93" t="e">
        <v>#N/A</v>
      </c>
      <c r="AA93" t="e">
        <v>#N/A</v>
      </c>
      <c r="AB93" t="str">
        <f t="shared" si="50"/>
        <v/>
      </c>
      <c r="AD93" t="str">
        <v>20170531</v>
      </c>
      <c r="AE93">
        <v>1.9063680000000001</v>
      </c>
      <c r="AF93">
        <v>11.5330618953273</v>
      </c>
      <c r="AG93">
        <v>59.5</v>
      </c>
      <c r="AH93">
        <v>59</v>
      </c>
      <c r="AI93">
        <v>56.4</v>
      </c>
      <c r="AJ93">
        <v>-12.605138840880301</v>
      </c>
      <c r="AK93">
        <v>61.1</v>
      </c>
      <c r="AL93">
        <v>135.722242280572</v>
      </c>
      <c r="AM93" s="3">
        <v>0.60846560846560804</v>
      </c>
      <c r="AN93" s="1">
        <f t="shared" si="40"/>
        <v>1</v>
      </c>
      <c r="AO93" s="1">
        <f t="shared" si="41"/>
        <v>1</v>
      </c>
      <c r="AP93" s="1">
        <f t="shared" si="42"/>
        <v>1</v>
      </c>
      <c r="AQ93" s="1">
        <f t="shared" si="43"/>
        <v>1</v>
      </c>
      <c r="AR93" s="1">
        <f t="shared" si="44"/>
        <v>1</v>
      </c>
      <c r="AS93" s="1">
        <f t="shared" si="45"/>
        <v>1</v>
      </c>
      <c r="AT93" s="1">
        <f t="shared" si="46"/>
        <v>1</v>
      </c>
      <c r="AU93" s="1">
        <f t="shared" si="47"/>
        <v>1</v>
      </c>
      <c r="AV93" s="1">
        <f t="shared" si="48"/>
        <v>1</v>
      </c>
      <c r="AW93">
        <f t="shared" si="49"/>
        <v>1</v>
      </c>
      <c r="AY93" t="str">
        <v>15/04/2024</v>
      </c>
      <c r="AZ93">
        <v>46.2</v>
      </c>
      <c r="BA93">
        <v>21.5</v>
      </c>
      <c r="BB93">
        <f t="shared" si="51"/>
        <v>2.1488372093023256</v>
      </c>
    </row>
    <row r="94" spans="1:54" x14ac:dyDescent="0.3">
      <c r="A94" s="11">
        <v>45392</v>
      </c>
      <c r="B94">
        <v>0.50857142857142901</v>
      </c>
      <c r="C94">
        <v>5209.91</v>
      </c>
      <c r="D94">
        <v>92.23</v>
      </c>
      <c r="E94">
        <v>2352.56</v>
      </c>
      <c r="F94">
        <v>81.39</v>
      </c>
      <c r="G94">
        <v>53.47</v>
      </c>
      <c r="H94" s="12">
        <f t="shared" si="32"/>
        <v>190.77907785447294</v>
      </c>
      <c r="I94" s="12">
        <f t="shared" si="33"/>
        <v>82.909042521407798</v>
      </c>
      <c r="J94" s="12">
        <f t="shared" si="35"/>
        <v>183.77840899358748</v>
      </c>
      <c r="K94" s="12">
        <f t="shared" si="36"/>
        <v>154.62648746540648</v>
      </c>
      <c r="L94" s="55">
        <v>18.8886334966524</v>
      </c>
      <c r="M94" s="55">
        <v>17.576687730082799</v>
      </c>
      <c r="N94" s="55">
        <v>227.265864226486</v>
      </c>
      <c r="O94" s="55">
        <v>3.8384502060010099</v>
      </c>
      <c r="P94" s="12">
        <f t="shared" si="34"/>
        <v>115.53397164802787</v>
      </c>
      <c r="Q94" s="12">
        <f t="shared" si="37"/>
        <v>111.67907681776266</v>
      </c>
      <c r="R94" s="12">
        <f t="shared" si="38"/>
        <v>87.986047410212151</v>
      </c>
      <c r="S94" s="12">
        <f t="shared" si="39"/>
        <v>107.91980692488315</v>
      </c>
      <c r="T94" s="55">
        <v>12.3702492727239</v>
      </c>
      <c r="U94" s="55">
        <v>11.9088039008619</v>
      </c>
      <c r="V94">
        <v>0.435441370223979</v>
      </c>
      <c r="W94" s="12"/>
      <c r="X94" s="12"/>
      <c r="Y94" t="str">
        <v>20221216</v>
      </c>
      <c r="Z94">
        <v>37.5</v>
      </c>
      <c r="AA94">
        <v>33.299999999999997</v>
      </c>
      <c r="AB94">
        <f t="shared" si="50"/>
        <v>1.1261261261261262</v>
      </c>
      <c r="AD94" t="str">
        <v>20170428</v>
      </c>
      <c r="AE94">
        <v>1.5882816</v>
      </c>
      <c r="AF94">
        <v>12.2529023008018</v>
      </c>
      <c r="AG94">
        <v>68.3</v>
      </c>
      <c r="AH94">
        <v>59.4</v>
      </c>
      <c r="AI94">
        <v>55.8</v>
      </c>
      <c r="AJ94">
        <v>-9.4113541181945006</v>
      </c>
      <c r="AK94">
        <v>61.1</v>
      </c>
      <c r="AL94">
        <v>135.009977067205</v>
      </c>
      <c r="AM94" s="3">
        <v>0.60545905707196002</v>
      </c>
      <c r="AN94" s="1">
        <f t="shared" si="40"/>
        <v>1</v>
      </c>
      <c r="AO94" s="1">
        <f t="shared" si="41"/>
        <v>1</v>
      </c>
      <c r="AP94" s="1">
        <f t="shared" si="42"/>
        <v>1</v>
      </c>
      <c r="AQ94" s="1">
        <f t="shared" si="43"/>
        <v>1</v>
      </c>
      <c r="AR94" s="1">
        <f t="shared" si="44"/>
        <v>1</v>
      </c>
      <c r="AS94" s="1">
        <f t="shared" si="45"/>
        <v>1</v>
      </c>
      <c r="AT94" s="1">
        <f t="shared" si="46"/>
        <v>1</v>
      </c>
      <c r="AU94" s="1">
        <f t="shared" si="47"/>
        <v>1</v>
      </c>
      <c r="AV94" s="1">
        <f t="shared" si="48"/>
        <v>1</v>
      </c>
      <c r="AW94">
        <f t="shared" si="49"/>
        <v>1</v>
      </c>
      <c r="AY94" t="str">
        <v>12/04/2024</v>
      </c>
      <c r="AZ94">
        <v>56.5</v>
      </c>
      <c r="BA94">
        <v>14.5</v>
      </c>
      <c r="BB94">
        <f t="shared" si="51"/>
        <v>3.896551724137931</v>
      </c>
    </row>
    <row r="95" spans="1:54" x14ac:dyDescent="0.3">
      <c r="A95" s="11">
        <v>45391</v>
      </c>
      <c r="B95">
        <v>0.51319648093841597</v>
      </c>
      <c r="C95">
        <v>5202.3900000000003</v>
      </c>
      <c r="D95">
        <v>91.38</v>
      </c>
      <c r="E95">
        <v>2339.4</v>
      </c>
      <c r="F95">
        <v>81.31</v>
      </c>
      <c r="G95">
        <v>53.35</v>
      </c>
      <c r="H95" s="12">
        <f t="shared" si="32"/>
        <v>192.2897691816689</v>
      </c>
      <c r="I95" s="12">
        <f t="shared" si="33"/>
        <v>83.257047367425514</v>
      </c>
      <c r="J95" s="12">
        <f t="shared" si="35"/>
        <v>183.69361589991371</v>
      </c>
      <c r="K95" s="12">
        <f t="shared" si="36"/>
        <v>154.75087739950692</v>
      </c>
      <c r="L95" s="55">
        <v>18.088671191791899</v>
      </c>
      <c r="M95" s="55">
        <v>16.5918212690279</v>
      </c>
      <c r="N95" s="55">
        <v>227.368906416199</v>
      </c>
      <c r="O95" s="55">
        <v>3.75105997070726</v>
      </c>
      <c r="P95" s="12">
        <f t="shared" si="34"/>
        <v>118.34473864212347</v>
      </c>
      <c r="Q95" s="12">
        <f t="shared" si="37"/>
        <v>112.47228983451349</v>
      </c>
      <c r="R95" s="12">
        <f t="shared" si="38"/>
        <v>88.284101328245626</v>
      </c>
      <c r="S95" s="12">
        <f t="shared" si="39"/>
        <v>107.78341689733108</v>
      </c>
      <c r="T95" s="55">
        <v>11.999707621948099</v>
      </c>
      <c r="U95" s="55">
        <v>11.4079370020886</v>
      </c>
      <c r="V95">
        <v>0.43766578249336902</v>
      </c>
      <c r="W95" s="12"/>
      <c r="X95" s="12"/>
      <c r="Y95" t="str">
        <v>20221209</v>
      </c>
      <c r="Z95">
        <v>42.9</v>
      </c>
      <c r="AA95">
        <v>31.4</v>
      </c>
      <c r="AB95">
        <f t="shared" si="50"/>
        <v>1.3662420382165605</v>
      </c>
      <c r="AD95" t="str">
        <v>20170331</v>
      </c>
      <c r="AE95">
        <v>0.90227020000000002</v>
      </c>
      <c r="AF95">
        <v>17.1035127715752</v>
      </c>
      <c r="AG95">
        <v>68.8</v>
      </c>
      <c r="AH95">
        <v>58.1</v>
      </c>
      <c r="AI95">
        <v>56.5</v>
      </c>
      <c r="AJ95">
        <v>-7.1634559926173704</v>
      </c>
      <c r="AK95">
        <v>60.7</v>
      </c>
      <c r="AL95">
        <v>133.504423913061</v>
      </c>
      <c r="AM95" s="3">
        <v>0.50819672131147497</v>
      </c>
      <c r="AN95" s="1">
        <f t="shared" si="40"/>
        <v>1</v>
      </c>
      <c r="AO95" s="1">
        <f t="shared" si="41"/>
        <v>1</v>
      </c>
      <c r="AP95" s="1">
        <f t="shared" si="42"/>
        <v>1</v>
      </c>
      <c r="AQ95" s="1">
        <f t="shared" si="43"/>
        <v>1</v>
      </c>
      <c r="AR95" s="1">
        <f t="shared" si="44"/>
        <v>1</v>
      </c>
      <c r="AS95" s="1">
        <f t="shared" si="45"/>
        <v>1</v>
      </c>
      <c r="AT95" s="1">
        <f t="shared" si="46"/>
        <v>1</v>
      </c>
      <c r="AU95" s="1">
        <f t="shared" si="47"/>
        <v>1</v>
      </c>
      <c r="AV95" s="1">
        <f t="shared" si="48"/>
        <v>1</v>
      </c>
      <c r="AW95">
        <f t="shared" si="49"/>
        <v>1</v>
      </c>
      <c r="AY95" t="str">
        <v>11/04/2024</v>
      </c>
      <c r="AZ95">
        <v>56.5</v>
      </c>
      <c r="BA95">
        <v>14.5</v>
      </c>
      <c r="BB95">
        <f t="shared" si="51"/>
        <v>3.896551724137931</v>
      </c>
    </row>
    <row r="96" spans="1:54" x14ac:dyDescent="0.3">
      <c r="A96" s="11">
        <v>45388</v>
      </c>
      <c r="B96">
        <v>0.51129943502824904</v>
      </c>
      <c r="C96">
        <v>5204.34</v>
      </c>
      <c r="D96">
        <v>91.39</v>
      </c>
      <c r="E96">
        <v>2328.6999999999998</v>
      </c>
      <c r="F96">
        <v>81.39</v>
      </c>
      <c r="G96">
        <v>53.1</v>
      </c>
      <c r="H96" s="12">
        <f t="shared" si="32"/>
        <v>192.3407906765791</v>
      </c>
      <c r="I96" s="12">
        <f t="shared" si="33"/>
        <v>83.672861796318443</v>
      </c>
      <c r="J96" s="12">
        <f t="shared" si="35"/>
        <v>183.58195502961723</v>
      </c>
      <c r="K96" s="12">
        <f t="shared" si="36"/>
        <v>155.54146123802221</v>
      </c>
      <c r="L96" s="55">
        <v>18.6337898444148</v>
      </c>
      <c r="M96" s="55">
        <v>17.0934894857253</v>
      </c>
      <c r="N96" s="55">
        <v>228.36508291916701</v>
      </c>
      <c r="O96" s="55">
        <v>3.7391180454722202</v>
      </c>
      <c r="P96" s="12">
        <f t="shared" si="34"/>
        <v>119.24575858323418</v>
      </c>
      <c r="Q96" s="12">
        <f t="shared" si="37"/>
        <v>111.93305022818247</v>
      </c>
      <c r="R96" s="12">
        <f t="shared" si="38"/>
        <v>88.274103438014947</v>
      </c>
      <c r="S96" s="12">
        <f t="shared" si="39"/>
        <v>107.1734904557635</v>
      </c>
      <c r="T96" s="55">
        <v>11.857166846255</v>
      </c>
      <c r="U96" s="55">
        <v>11.1690171198745</v>
      </c>
      <c r="V96">
        <v>0.43923381770145298</v>
      </c>
      <c r="W96" s="12"/>
      <c r="X96" s="12"/>
      <c r="Y96" t="str">
        <v>20221202</v>
      </c>
      <c r="Z96">
        <v>43.3</v>
      </c>
      <c r="AA96">
        <v>32.4</v>
      </c>
      <c r="AB96">
        <f t="shared" si="50"/>
        <v>1.3364197530864197</v>
      </c>
      <c r="AD96" t="str">
        <v>20170228</v>
      </c>
      <c r="AE96">
        <v>-0.49290763999999998</v>
      </c>
      <c r="AF96">
        <v>19.9937319891378</v>
      </c>
      <c r="AG96">
        <v>66.900000000000006</v>
      </c>
      <c r="AH96">
        <v>62.8</v>
      </c>
      <c r="AI96">
        <v>57.7</v>
      </c>
      <c r="AJ96">
        <v>-6.3962735741876804</v>
      </c>
      <c r="AK96">
        <v>62.2</v>
      </c>
      <c r="AL96">
        <v>132.261581829509</v>
      </c>
      <c r="AM96" s="3">
        <v>0.69727891156462596</v>
      </c>
      <c r="AN96" s="1">
        <f t="shared" si="40"/>
        <v>1</v>
      </c>
      <c r="AO96" s="1">
        <f t="shared" si="41"/>
        <v>1</v>
      </c>
      <c r="AP96" s="1">
        <f t="shared" si="42"/>
        <v>1</v>
      </c>
      <c r="AQ96" s="1">
        <f t="shared" si="43"/>
        <v>1</v>
      </c>
      <c r="AR96" s="1">
        <f t="shared" si="44"/>
        <v>1</v>
      </c>
      <c r="AS96" s="1">
        <f t="shared" si="45"/>
        <v>1</v>
      </c>
      <c r="AT96" s="1">
        <f t="shared" si="46"/>
        <v>1</v>
      </c>
      <c r="AU96" s="1">
        <f t="shared" si="47"/>
        <v>1</v>
      </c>
      <c r="AV96" s="1">
        <f t="shared" si="48"/>
        <v>1</v>
      </c>
      <c r="AW96">
        <f t="shared" si="49"/>
        <v>1</v>
      </c>
      <c r="AY96" t="str">
        <v>10/04/2024</v>
      </c>
      <c r="AZ96">
        <v>56.5</v>
      </c>
      <c r="BA96">
        <v>14.5</v>
      </c>
      <c r="BB96">
        <f t="shared" si="51"/>
        <v>3.896551724137931</v>
      </c>
    </row>
    <row r="97" spans="1:54" x14ac:dyDescent="0.3">
      <c r="A97" s="11">
        <v>45387</v>
      </c>
      <c r="B97">
        <v>0.51289398280802301</v>
      </c>
      <c r="C97">
        <v>5147.21</v>
      </c>
      <c r="D97">
        <v>92.68</v>
      </c>
      <c r="E97">
        <v>2290.33</v>
      </c>
      <c r="F97">
        <v>81.52</v>
      </c>
      <c r="G97">
        <v>52.94</v>
      </c>
      <c r="H97" s="12">
        <f t="shared" si="32"/>
        <v>187.64624244924107</v>
      </c>
      <c r="I97" s="12">
        <f t="shared" si="33"/>
        <v>84.148623595446395</v>
      </c>
      <c r="J97" s="12">
        <f t="shared" si="35"/>
        <v>181.28079160858411</v>
      </c>
      <c r="K97" s="12">
        <f t="shared" si="36"/>
        <v>154.29522985702496</v>
      </c>
      <c r="L97" s="55">
        <v>18.079050633217101</v>
      </c>
      <c r="M97" s="55">
        <v>16.238712072092699</v>
      </c>
      <c r="N97" s="55">
        <v>231.31902284613901</v>
      </c>
      <c r="O97" s="55">
        <v>3.7408795272397599</v>
      </c>
      <c r="P97" s="12">
        <f t="shared" si="34"/>
        <v>120.73063786215695</v>
      </c>
      <c r="Q97" s="12">
        <f t="shared" si="37"/>
        <v>110.06836553954487</v>
      </c>
      <c r="R97" s="12">
        <f t="shared" si="38"/>
        <v>89.503047854208077</v>
      </c>
      <c r="S97" s="12">
        <f t="shared" si="39"/>
        <v>106.68094558919658</v>
      </c>
      <c r="T97" s="55">
        <v>11.7998681743963</v>
      </c>
      <c r="U97" s="55">
        <v>10.9877777085749</v>
      </c>
      <c r="V97">
        <v>0.44363395225464203</v>
      </c>
      <c r="W97" s="12"/>
      <c r="X97" s="12"/>
      <c r="Y97" t="str">
        <v>20221125</v>
      </c>
      <c r="Z97">
        <v>38.4</v>
      </c>
      <c r="AA97">
        <v>31.5</v>
      </c>
      <c r="AB97">
        <f t="shared" si="50"/>
        <v>1.2190476190476189</v>
      </c>
      <c r="AD97" t="str">
        <v>20170131</v>
      </c>
      <c r="AE97">
        <v>-0.62681580000000003</v>
      </c>
      <c r="AF97">
        <v>22.777513737922401</v>
      </c>
      <c r="AG97">
        <v>67.900000000000006</v>
      </c>
      <c r="AH97">
        <v>60.8</v>
      </c>
      <c r="AI97">
        <v>55.7</v>
      </c>
      <c r="AJ97">
        <v>-5.73473455336112</v>
      </c>
      <c r="AK97">
        <v>61.7</v>
      </c>
      <c r="AL97">
        <v>132.07962515908301</v>
      </c>
      <c r="AM97" s="3">
        <v>0.54603174603174598</v>
      </c>
      <c r="AN97" s="1">
        <f t="shared" si="40"/>
        <v>1</v>
      </c>
      <c r="AO97" s="1">
        <f t="shared" si="41"/>
        <v>1</v>
      </c>
      <c r="AP97" s="1">
        <f t="shared" si="42"/>
        <v>1</v>
      </c>
      <c r="AQ97" s="1">
        <f t="shared" si="43"/>
        <v>1</v>
      </c>
      <c r="AR97" s="1">
        <f t="shared" si="44"/>
        <v>1</v>
      </c>
      <c r="AS97" s="1">
        <f t="shared" si="45"/>
        <v>1</v>
      </c>
      <c r="AT97" s="1">
        <f t="shared" si="46"/>
        <v>1</v>
      </c>
      <c r="AU97" s="1">
        <f t="shared" si="47"/>
        <v>1</v>
      </c>
      <c r="AV97" s="1">
        <f t="shared" si="48"/>
        <v>1</v>
      </c>
      <c r="AW97">
        <f t="shared" si="49"/>
        <v>1</v>
      </c>
      <c r="AY97" t="str">
        <v>09/04/2024</v>
      </c>
      <c r="AZ97">
        <v>56.5</v>
      </c>
      <c r="BA97">
        <v>14.5</v>
      </c>
      <c r="BB97">
        <f t="shared" si="51"/>
        <v>3.896551724137931</v>
      </c>
    </row>
    <row r="98" spans="1:54" x14ac:dyDescent="0.3">
      <c r="A98" s="11">
        <v>45386</v>
      </c>
      <c r="B98">
        <v>0.51169590643274898</v>
      </c>
      <c r="C98">
        <v>5211.49</v>
      </c>
      <c r="D98">
        <v>92.02</v>
      </c>
      <c r="E98">
        <v>2299.56</v>
      </c>
      <c r="F98">
        <v>81.44</v>
      </c>
      <c r="G98">
        <v>53.28</v>
      </c>
      <c r="H98" s="12">
        <f t="shared" si="32"/>
        <v>191.3794114003291</v>
      </c>
      <c r="I98" s="12">
        <f t="shared" si="33"/>
        <v>84.854654465255194</v>
      </c>
      <c r="J98" s="12">
        <f t="shared" si="35"/>
        <v>183.72741662231215</v>
      </c>
      <c r="K98" s="12">
        <f t="shared" si="36"/>
        <v>155.21923491482286</v>
      </c>
      <c r="L98" s="55">
        <v>17.508654837767502</v>
      </c>
      <c r="M98" s="55">
        <v>15.4421236924012</v>
      </c>
      <c r="N98" s="55">
        <v>232.292601174102</v>
      </c>
      <c r="O98" s="55">
        <v>3.65421442343776</v>
      </c>
      <c r="P98" s="12">
        <f t="shared" si="34"/>
        <v>124.19667552355816</v>
      </c>
      <c r="Q98" s="12">
        <f t="shared" si="37"/>
        <v>111.58070081375811</v>
      </c>
      <c r="R98" s="12">
        <f t="shared" si="38"/>
        <v>89.715455479044621</v>
      </c>
      <c r="S98" s="12">
        <f t="shared" si="39"/>
        <v>107.47233961910327</v>
      </c>
      <c r="T98" s="55">
        <v>11.7648051158304</v>
      </c>
      <c r="U98" s="55">
        <v>10.870824743645599</v>
      </c>
      <c r="V98">
        <v>0.446346280447663</v>
      </c>
      <c r="W98" s="12"/>
      <c r="X98" s="12"/>
      <c r="Y98" t="str">
        <v>20221118</v>
      </c>
      <c r="Z98">
        <v>41.7</v>
      </c>
      <c r="AA98">
        <v>30.5</v>
      </c>
      <c r="AB98">
        <f t="shared" si="50"/>
        <v>1.3672131147540985</v>
      </c>
      <c r="AD98" t="str">
        <v>20161230</v>
      </c>
      <c r="AE98">
        <v>9.4494939999999999E-2</v>
      </c>
      <c r="AF98">
        <v>23.106224386386302</v>
      </c>
      <c r="AG98">
        <v>64.2</v>
      </c>
      <c r="AH98">
        <v>58.7</v>
      </c>
      <c r="AI98">
        <v>54.4</v>
      </c>
      <c r="AJ98">
        <v>-7.0493477027793503</v>
      </c>
      <c r="AK98">
        <v>59.9</v>
      </c>
      <c r="AL98">
        <v>131.81565470988099</v>
      </c>
      <c r="AM98" s="3">
        <v>0.53539823008849596</v>
      </c>
      <c r="AN98" s="1">
        <f t="shared" si="40"/>
        <v>1</v>
      </c>
      <c r="AO98" s="1">
        <f t="shared" si="41"/>
        <v>1</v>
      </c>
      <c r="AP98" s="1">
        <f t="shared" si="42"/>
        <v>1</v>
      </c>
      <c r="AQ98" s="1">
        <f t="shared" si="43"/>
        <v>1</v>
      </c>
      <c r="AR98" s="1">
        <f t="shared" si="44"/>
        <v>1</v>
      </c>
      <c r="AS98" s="1">
        <f t="shared" si="45"/>
        <v>1</v>
      </c>
      <c r="AT98" s="1">
        <f t="shared" si="46"/>
        <v>1</v>
      </c>
      <c r="AU98" s="1">
        <f t="shared" si="47"/>
        <v>1</v>
      </c>
      <c r="AV98" s="1">
        <f t="shared" si="48"/>
        <v>1</v>
      </c>
      <c r="AW98">
        <f t="shared" si="49"/>
        <v>1</v>
      </c>
      <c r="AY98" t="str">
        <v>08/04/2024</v>
      </c>
      <c r="AZ98">
        <v>56.5</v>
      </c>
      <c r="BA98">
        <v>14.5</v>
      </c>
      <c r="BB98">
        <f t="shared" si="51"/>
        <v>3.896551724137931</v>
      </c>
    </row>
    <row r="99" spans="1:54" x14ac:dyDescent="0.3">
      <c r="A99" s="11">
        <v>45385</v>
      </c>
      <c r="B99">
        <v>0.51359516616314205</v>
      </c>
      <c r="C99">
        <v>5205.8100000000004</v>
      </c>
      <c r="D99">
        <v>92.04</v>
      </c>
      <c r="E99">
        <v>2280.6</v>
      </c>
      <c r="F99">
        <v>81.38</v>
      </c>
      <c r="G99">
        <v>53.06</v>
      </c>
      <c r="H99" s="12">
        <f t="shared" si="32"/>
        <v>191.12934055435863</v>
      </c>
      <c r="I99" s="12">
        <f t="shared" si="33"/>
        <v>85.47197693606455</v>
      </c>
      <c r="J99" s="12">
        <f t="shared" si="35"/>
        <v>183.66243561779712</v>
      </c>
      <c r="K99" s="12">
        <f t="shared" si="36"/>
        <v>155.69490791264428</v>
      </c>
      <c r="L99" s="55">
        <v>17.767083933699102</v>
      </c>
      <c r="M99" s="55">
        <v>15.648846658399799</v>
      </c>
      <c r="N99" s="55">
        <v>232.87195662545901</v>
      </c>
      <c r="O99" s="55">
        <v>3.6946523153915698</v>
      </c>
      <c r="P99" s="12">
        <f t="shared" si="34"/>
        <v>123.15513924560199</v>
      </c>
      <c r="Q99" s="12">
        <f t="shared" si="37"/>
        <v>111.09592857940549</v>
      </c>
      <c r="R99" s="12">
        <f t="shared" si="38"/>
        <v>90.090895968498714</v>
      </c>
      <c r="S99" s="12">
        <f t="shared" si="39"/>
        <v>107.10721459040477</v>
      </c>
      <c r="T99" s="55">
        <v>11.938759100273099</v>
      </c>
      <c r="U99" s="55">
        <v>11.0038760782687</v>
      </c>
      <c r="V99">
        <v>0.444816053511706</v>
      </c>
      <c r="W99" s="12"/>
      <c r="X99" s="12"/>
      <c r="Y99" t="str">
        <v>20221111</v>
      </c>
      <c r="Z99">
        <v>38.6</v>
      </c>
      <c r="AA99">
        <v>32.799999999999997</v>
      </c>
      <c r="AB99">
        <f t="shared" si="50"/>
        <v>1.1768292682926831</v>
      </c>
      <c r="AD99" t="str">
        <v>20161130</v>
      </c>
      <c r="AE99">
        <v>-1.0984889</v>
      </c>
      <c r="AF99">
        <v>20.099407442325798</v>
      </c>
      <c r="AG99">
        <v>53.5</v>
      </c>
      <c r="AH99">
        <v>55</v>
      </c>
      <c r="AI99">
        <v>53.2</v>
      </c>
      <c r="AJ99">
        <v>-7.4145347520941796</v>
      </c>
      <c r="AK99">
        <v>60</v>
      </c>
      <c r="AL99">
        <v>130.58598907041801</v>
      </c>
      <c r="AM99" s="3">
        <v>0.53749999999999998</v>
      </c>
      <c r="AN99" s="1">
        <f t="shared" si="40"/>
        <v>1</v>
      </c>
      <c r="AO99" s="1">
        <f t="shared" si="41"/>
        <v>1</v>
      </c>
      <c r="AP99" s="1">
        <f t="shared" si="42"/>
        <v>1</v>
      </c>
      <c r="AQ99" s="1">
        <f t="shared" si="43"/>
        <v>1</v>
      </c>
      <c r="AR99" s="1">
        <f t="shared" si="44"/>
        <v>1</v>
      </c>
      <c r="AS99" s="1">
        <f t="shared" si="45"/>
        <v>1</v>
      </c>
      <c r="AT99" s="1">
        <f t="shared" si="46"/>
        <v>1</v>
      </c>
      <c r="AU99" s="1">
        <f t="shared" si="47"/>
        <v>1</v>
      </c>
      <c r="AV99" s="1">
        <f t="shared" si="48"/>
        <v>1</v>
      </c>
      <c r="AW99">
        <f t="shared" si="49"/>
        <v>1</v>
      </c>
      <c r="AY99" t="str">
        <v>05/04/2024</v>
      </c>
      <c r="AZ99">
        <v>58.1</v>
      </c>
      <c r="BA99">
        <v>14.5</v>
      </c>
      <c r="BB99">
        <f t="shared" si="51"/>
        <v>4.0068965517241377</v>
      </c>
    </row>
    <row r="100" spans="1:54" x14ac:dyDescent="0.3">
      <c r="A100" s="11">
        <v>45384</v>
      </c>
      <c r="B100">
        <v>0.511041009463722</v>
      </c>
      <c r="C100">
        <v>5243.77</v>
      </c>
      <c r="D100">
        <v>92.55</v>
      </c>
      <c r="E100">
        <v>2252.3000000000002</v>
      </c>
      <c r="F100">
        <v>81.34</v>
      </c>
      <c r="G100">
        <v>53.53</v>
      </c>
      <c r="H100" s="12">
        <f t="shared" si="32"/>
        <v>191.46028572818548</v>
      </c>
      <c r="I100" s="12">
        <f t="shared" si="33"/>
        <v>87.198863238716882</v>
      </c>
      <c r="J100" s="12">
        <f t="shared" si="35"/>
        <v>185.09336083564517</v>
      </c>
      <c r="K100" s="12">
        <f t="shared" si="36"/>
        <v>155.45534240853937</v>
      </c>
      <c r="L100" s="55">
        <v>17.643711518477499</v>
      </c>
      <c r="M100" s="55">
        <v>15.397020718566299</v>
      </c>
      <c r="N100" s="55">
        <v>233.188608267088</v>
      </c>
      <c r="O100" s="55">
        <v>3.7192674042646798</v>
      </c>
      <c r="P100" s="12">
        <f t="shared" si="34"/>
        <v>122.51069110891385</v>
      </c>
      <c r="Q100" s="12">
        <f t="shared" si="37"/>
        <v>111.46035807873673</v>
      </c>
      <c r="R100" s="12">
        <f t="shared" si="38"/>
        <v>92.055832962792977</v>
      </c>
      <c r="S100" s="12">
        <f t="shared" si="39"/>
        <v>108.10959445440581</v>
      </c>
      <c r="T100" s="55">
        <v>11.823699450327799</v>
      </c>
      <c r="U100" s="55">
        <v>10.759383231495599</v>
      </c>
      <c r="V100">
        <v>0.45020188425302798</v>
      </c>
      <c r="W100" s="12"/>
      <c r="X100" s="12"/>
      <c r="Y100" t="str">
        <v>20221104</v>
      </c>
      <c r="Z100">
        <v>35.200000000000003</v>
      </c>
      <c r="AA100">
        <v>36.6</v>
      </c>
      <c r="AB100">
        <f t="shared" si="50"/>
        <v>0.96174863387978149</v>
      </c>
      <c r="AD100" t="str">
        <v>20161031</v>
      </c>
      <c r="AE100">
        <v>-1.4303644</v>
      </c>
      <c r="AF100">
        <v>8.5636412724397797</v>
      </c>
      <c r="AG100">
        <v>54.8</v>
      </c>
      <c r="AH100">
        <v>53.9</v>
      </c>
      <c r="AI100">
        <v>51.8</v>
      </c>
      <c r="AJ100">
        <v>-6.1990396811016497</v>
      </c>
      <c r="AK100">
        <v>57.6</v>
      </c>
      <c r="AL100">
        <v>129.56334541859999</v>
      </c>
      <c r="AM100" s="3">
        <v>0.53703703703703698</v>
      </c>
      <c r="AN100" s="1">
        <f t="shared" si="40"/>
        <v>1</v>
      </c>
      <c r="AO100" s="1">
        <f t="shared" si="41"/>
        <v>1</v>
      </c>
      <c r="AP100" s="1">
        <f t="shared" si="42"/>
        <v>1</v>
      </c>
      <c r="AQ100" s="1">
        <f t="shared" si="43"/>
        <v>1</v>
      </c>
      <c r="AR100" s="1">
        <f t="shared" si="44"/>
        <v>1</v>
      </c>
      <c r="AS100" s="1">
        <f t="shared" si="45"/>
        <v>1</v>
      </c>
      <c r="AT100" s="1">
        <f t="shared" si="46"/>
        <v>1</v>
      </c>
      <c r="AU100" s="1">
        <f t="shared" si="47"/>
        <v>1</v>
      </c>
      <c r="AV100" s="1">
        <f t="shared" si="48"/>
        <v>1</v>
      </c>
      <c r="AW100">
        <f t="shared" si="49"/>
        <v>1</v>
      </c>
      <c r="AY100" t="str">
        <v>04/04/2024</v>
      </c>
      <c r="AZ100">
        <v>58.1</v>
      </c>
      <c r="BA100">
        <v>14.5</v>
      </c>
      <c r="BB100">
        <f t="shared" si="51"/>
        <v>4.0068965517241377</v>
      </c>
    </row>
    <row r="101" spans="1:54" x14ac:dyDescent="0.3">
      <c r="A101" s="11">
        <v>45380</v>
      </c>
      <c r="B101">
        <v>0.48475609756097598</v>
      </c>
      <c r="C101">
        <v>5254.35</v>
      </c>
      <c r="D101">
        <v>94.62</v>
      </c>
      <c r="E101">
        <v>2233.4299999999998</v>
      </c>
      <c r="F101">
        <v>81.78</v>
      </c>
      <c r="G101">
        <v>53.39</v>
      </c>
      <c r="H101" s="12">
        <f t="shared" si="32"/>
        <v>187.73130155847866</v>
      </c>
      <c r="I101" s="12">
        <f t="shared" si="33"/>
        <v>88.120823632168609</v>
      </c>
      <c r="J101" s="12">
        <f t="shared" si="35"/>
        <v>184.47229448078639</v>
      </c>
      <c r="K101" s="12">
        <f t="shared" si="36"/>
        <v>156.1793561072773</v>
      </c>
      <c r="L101" s="55">
        <v>18.056206919914299</v>
      </c>
      <c r="M101" s="55">
        <v>15.817213079359</v>
      </c>
      <c r="N101" s="55">
        <v>233.83127296628501</v>
      </c>
      <c r="O101" s="55">
        <v>3.7209355127997301</v>
      </c>
      <c r="P101" s="12">
        <f t="shared" si="34"/>
        <v>122.79312863569322</v>
      </c>
      <c r="Q101" s="12">
        <f t="shared" si="37"/>
        <v>108.79496886615591</v>
      </c>
      <c r="R101" s="12">
        <f t="shared" si="38"/>
        <v>92.595355928244828</v>
      </c>
      <c r="S101" s="12">
        <f t="shared" si="39"/>
        <v>107.25131553618226</v>
      </c>
      <c r="T101" s="55">
        <v>12.0321142254055</v>
      </c>
      <c r="U101" s="55">
        <v>10.943138041876299</v>
      </c>
      <c r="V101">
        <v>0.45139360978925902</v>
      </c>
      <c r="W101" s="12"/>
      <c r="X101" s="12"/>
      <c r="Y101" t="str">
        <v>20221028</v>
      </c>
      <c r="Z101">
        <v>35.799999999999997</v>
      </c>
      <c r="AA101">
        <v>37.299999999999997</v>
      </c>
      <c r="AB101">
        <f t="shared" si="50"/>
        <v>0.95978552278820373</v>
      </c>
      <c r="AD101" t="str">
        <v>20160930</v>
      </c>
      <c r="AE101">
        <v>-1.9653593</v>
      </c>
      <c r="AF101">
        <v>3.8242646207076398</v>
      </c>
      <c r="AG101">
        <v>53.1</v>
      </c>
      <c r="AH101">
        <v>53.3</v>
      </c>
      <c r="AI101">
        <v>51.1</v>
      </c>
      <c r="AJ101">
        <v>-6.2148907712884496</v>
      </c>
      <c r="AK101">
        <v>58</v>
      </c>
      <c r="AL101">
        <v>128.823168688913</v>
      </c>
      <c r="AM101" s="3">
        <v>0.51086956521739102</v>
      </c>
      <c r="AN101" s="1">
        <f t="shared" si="40"/>
        <v>1</v>
      </c>
      <c r="AO101" s="1">
        <f t="shared" si="41"/>
        <v>1</v>
      </c>
      <c r="AP101" s="1">
        <f t="shared" si="42"/>
        <v>1</v>
      </c>
      <c r="AQ101" s="1">
        <f t="shared" si="43"/>
        <v>1</v>
      </c>
      <c r="AR101" s="1">
        <f t="shared" si="44"/>
        <v>1</v>
      </c>
      <c r="AS101" s="1">
        <f t="shared" si="45"/>
        <v>1</v>
      </c>
      <c r="AT101" s="1">
        <f t="shared" si="46"/>
        <v>1</v>
      </c>
      <c r="AU101" s="1">
        <f t="shared" si="47"/>
        <v>1</v>
      </c>
      <c r="AV101" s="1">
        <f t="shared" si="48"/>
        <v>1</v>
      </c>
      <c r="AW101">
        <f t="shared" si="49"/>
        <v>1</v>
      </c>
      <c r="AY101" t="str">
        <v>03/04/2024</v>
      </c>
      <c r="AZ101">
        <v>58.1</v>
      </c>
      <c r="BA101">
        <v>14.5</v>
      </c>
      <c r="BB101">
        <f t="shared" si="51"/>
        <v>4.0068965517241377</v>
      </c>
    </row>
    <row r="102" spans="1:54" x14ac:dyDescent="0.3">
      <c r="A102" s="11">
        <v>45379</v>
      </c>
      <c r="B102">
        <v>0.49101796407185599</v>
      </c>
      <c r="C102">
        <v>5248.49</v>
      </c>
      <c r="D102">
        <v>94.7</v>
      </c>
      <c r="E102">
        <v>2194.7600000000002</v>
      </c>
      <c r="F102">
        <v>81.83</v>
      </c>
      <c r="G102">
        <v>53.42</v>
      </c>
      <c r="H102" s="12">
        <f t="shared" si="32"/>
        <v>187.3638277734421</v>
      </c>
      <c r="I102" s="12">
        <f t="shared" si="33"/>
        <v>89.599459039001914</v>
      </c>
      <c r="J102" s="12">
        <f t="shared" si="35"/>
        <v>184.15416182057433</v>
      </c>
      <c r="K102" s="12">
        <f t="shared" si="36"/>
        <v>155.91771074863451</v>
      </c>
      <c r="L102" s="55">
        <v>18.722475444286999</v>
      </c>
      <c r="M102" s="55">
        <v>16.609502228796</v>
      </c>
      <c r="N102" s="55">
        <v>233.55229328704399</v>
      </c>
      <c r="O102" s="55">
        <v>3.79621305055506</v>
      </c>
      <c r="P102" s="12">
        <f t="shared" si="34"/>
        <v>120.26466670420211</v>
      </c>
      <c r="Q102" s="12">
        <f t="shared" si="37"/>
        <v>108.76416842564552</v>
      </c>
      <c r="R102" s="12">
        <f t="shared" si="38"/>
        <v>94.309989433407878</v>
      </c>
      <c r="S102" s="12">
        <f t="shared" si="39"/>
        <v>107.24601378318067</v>
      </c>
      <c r="T102" s="55">
        <v>12.3972004573827</v>
      </c>
      <c r="U102" s="55">
        <v>11.3691905565942</v>
      </c>
      <c r="V102">
        <v>0.46748802190280597</v>
      </c>
      <c r="W102" s="12"/>
      <c r="X102" s="12"/>
      <c r="Y102" t="str">
        <v>20221021</v>
      </c>
      <c r="Z102">
        <v>36.9</v>
      </c>
      <c r="AA102">
        <v>38.5</v>
      </c>
      <c r="AB102">
        <f t="shared" si="50"/>
        <v>0.95844155844155843</v>
      </c>
      <c r="AD102" t="str">
        <v>20160831</v>
      </c>
      <c r="AE102">
        <v>-2.154058</v>
      </c>
      <c r="AF102">
        <v>2.9175475489922902</v>
      </c>
      <c r="AG102">
        <v>53.6</v>
      </c>
      <c r="AH102">
        <v>50.1</v>
      </c>
      <c r="AI102">
        <v>49.8</v>
      </c>
      <c r="AJ102">
        <v>-4.8041717519139002</v>
      </c>
      <c r="AK102">
        <v>54.3</v>
      </c>
      <c r="AL102">
        <v>127.668110096841</v>
      </c>
      <c r="AM102" s="3">
        <v>0.52424242424242395</v>
      </c>
      <c r="AN102" s="1">
        <f t="shared" si="40"/>
        <v>1</v>
      </c>
      <c r="AO102" s="1">
        <f t="shared" si="41"/>
        <v>1</v>
      </c>
      <c r="AP102" s="1">
        <f t="shared" si="42"/>
        <v>1</v>
      </c>
      <c r="AQ102" s="1">
        <f t="shared" si="43"/>
        <v>1</v>
      </c>
      <c r="AR102" s="1">
        <f t="shared" si="44"/>
        <v>0</v>
      </c>
      <c r="AS102" s="1">
        <f t="shared" si="45"/>
        <v>1</v>
      </c>
      <c r="AT102" s="1">
        <f t="shared" si="46"/>
        <v>1</v>
      </c>
      <c r="AU102" s="1">
        <f t="shared" si="47"/>
        <v>1</v>
      </c>
      <c r="AV102" s="1">
        <f t="shared" si="48"/>
        <v>1</v>
      </c>
      <c r="AW102">
        <f t="shared" si="49"/>
        <v>0.88888888888888884</v>
      </c>
      <c r="AY102" t="str">
        <v>02/04/2024</v>
      </c>
      <c r="AZ102">
        <v>58.1</v>
      </c>
      <c r="BA102">
        <v>14.5</v>
      </c>
      <c r="BB102">
        <f t="shared" si="51"/>
        <v>4.0068965517241377</v>
      </c>
    </row>
    <row r="103" spans="1:54" x14ac:dyDescent="0.3">
      <c r="A103" s="11">
        <v>45378</v>
      </c>
      <c r="B103">
        <v>0.49700598802395202</v>
      </c>
      <c r="C103">
        <v>5203.58</v>
      </c>
      <c r="D103">
        <v>93.77</v>
      </c>
      <c r="E103">
        <v>2178.91</v>
      </c>
      <c r="F103">
        <v>81.739999999999995</v>
      </c>
      <c r="G103">
        <v>53.13</v>
      </c>
      <c r="H103" s="12">
        <f t="shared" si="32"/>
        <v>187.6053297800951</v>
      </c>
      <c r="I103" s="12">
        <f t="shared" si="33"/>
        <v>89.478098347476873</v>
      </c>
      <c r="J103" s="12">
        <f t="shared" si="35"/>
        <v>182.77792728143669</v>
      </c>
      <c r="K103" s="12">
        <f t="shared" si="36"/>
        <v>155.42465915066379</v>
      </c>
      <c r="L103" s="55">
        <v>19.386423230787099</v>
      </c>
      <c r="M103" s="55">
        <v>17.451578700251599</v>
      </c>
      <c r="N103" s="55">
        <v>233.42714501973299</v>
      </c>
      <c r="O103" s="55">
        <v>3.83830780234823</v>
      </c>
      <c r="P103" s="12">
        <f t="shared" si="34"/>
        <v>118.89697788273332</v>
      </c>
      <c r="Q103" s="12">
        <f t="shared" si="37"/>
        <v>109.25138309451734</v>
      </c>
      <c r="R103" s="12">
        <f t="shared" si="38"/>
        <v>94.481565077242223</v>
      </c>
      <c r="S103" s="12">
        <f t="shared" si="39"/>
        <v>106.78074257150244</v>
      </c>
      <c r="T103" s="55">
        <v>12.6231293192641</v>
      </c>
      <c r="U103" s="55">
        <v>11.6250760523151</v>
      </c>
      <c r="V103">
        <v>0.46435986159169601</v>
      </c>
      <c r="W103" s="12"/>
      <c r="X103" s="12"/>
      <c r="Y103" t="str">
        <v>20221014</v>
      </c>
      <c r="Z103">
        <v>31.3</v>
      </c>
      <c r="AA103">
        <v>40.299999999999997</v>
      </c>
      <c r="AB103">
        <f t="shared" si="50"/>
        <v>0.77667493796526066</v>
      </c>
      <c r="AD103" t="str">
        <v>20160729</v>
      </c>
      <c r="AE103">
        <v>-2.2199184999999999</v>
      </c>
      <c r="AF103">
        <v>1.23291598390955</v>
      </c>
      <c r="AG103">
        <v>54.9</v>
      </c>
      <c r="AH103">
        <v>54.6</v>
      </c>
      <c r="AI103">
        <v>52.7</v>
      </c>
      <c r="AJ103">
        <v>-5.0106799572801703</v>
      </c>
      <c r="AK103">
        <v>61.5</v>
      </c>
      <c r="AL103">
        <v>126.43580857385599</v>
      </c>
      <c r="AM103" s="3">
        <v>0.48499999999999999</v>
      </c>
      <c r="AN103" s="1">
        <f t="shared" ref="AN103:AN109" si="52">IF(ISNA(AE103),AN104,IF(AE103&gt;AVERAGE(AE104:AE109),1,IF(AE103&lt;=AVERAGE(AE104:AE109),0,AN104)))</f>
        <v>1</v>
      </c>
      <c r="AO103" s="1">
        <f t="shared" ref="AO103:AO109" si="53">IF(AF103&gt;0,1,0)</f>
        <v>1</v>
      </c>
      <c r="AP103" s="1">
        <f t="shared" ref="AP103:AP109" si="54">IF(AG103&gt;50,1,0)</f>
        <v>1</v>
      </c>
      <c r="AQ103" s="1">
        <f t="shared" ref="AQ103:AQ109" si="55">IF(AH103&gt;50,1,0)</f>
        <v>1</v>
      </c>
      <c r="AR103" s="1">
        <f t="shared" ref="AR103:AR109" si="56">IF(AI103&gt;50,1,0)</f>
        <v>1</v>
      </c>
      <c r="AS103" s="1">
        <f t="shared" ref="AS103:AS109" si="57">IF(AJ103&lt;0,1,0)</f>
        <v>1</v>
      </c>
      <c r="AT103" s="1">
        <f t="shared" ref="AT103:AT109" si="58">IF(AK103&gt;50,1,0)</f>
        <v>1</v>
      </c>
      <c r="AU103" s="1">
        <f t="shared" ref="AU103:AU109" si="59">IF(ISNA(AL103),AU104,IF(AL103&gt;AVERAGE(AL104:AL109),1,IF(AL103&lt;=AVERAGE(AL104:AL109),0,AU104)))</f>
        <v>1</v>
      </c>
      <c r="AV103" s="1">
        <f t="shared" ref="AV103:AV109" si="60">IF(AM103&gt;0.5,1,0)</f>
        <v>0</v>
      </c>
      <c r="AW103">
        <f t="shared" ref="AW103:AW109" si="61">SUM(AN103:AV103)/9</f>
        <v>0.88888888888888884</v>
      </c>
      <c r="AY103" t="str">
        <v>01/04/2024</v>
      </c>
      <c r="AZ103">
        <v>58.1</v>
      </c>
      <c r="BA103">
        <v>14.5</v>
      </c>
      <c r="BB103">
        <f t="shared" si="51"/>
        <v>4.0068965517241377</v>
      </c>
    </row>
    <row r="104" spans="1:54" x14ac:dyDescent="0.3">
      <c r="A104" s="11">
        <v>45377</v>
      </c>
      <c r="B104">
        <v>0.48985507246376803</v>
      </c>
      <c r="C104">
        <v>5218.1899999999996</v>
      </c>
      <c r="D104">
        <v>93.51</v>
      </c>
      <c r="E104">
        <v>2172.04</v>
      </c>
      <c r="F104">
        <v>81.72</v>
      </c>
      <c r="G104">
        <v>53.11</v>
      </c>
      <c r="H104" s="12">
        <f t="shared" si="32"/>
        <v>188.65809338497024</v>
      </c>
      <c r="I104" s="12">
        <f t="shared" si="33"/>
        <v>90.014833990131265</v>
      </c>
      <c r="J104" s="12">
        <f t="shared" si="35"/>
        <v>183.3361049659421</v>
      </c>
      <c r="K104" s="12">
        <f t="shared" si="36"/>
        <v>155.91992293033059</v>
      </c>
      <c r="L104" s="55">
        <v>18.994499999648699</v>
      </c>
      <c r="M104" s="55">
        <v>16.8523481260602</v>
      </c>
      <c r="N104" s="55">
        <v>233.23303091467201</v>
      </c>
      <c r="O104" s="55">
        <v>3.77902861699333</v>
      </c>
      <c r="P104" s="12">
        <f t="shared" si="34"/>
        <v>120.68971251315794</v>
      </c>
      <c r="Q104" s="12">
        <f t="shared" si="37"/>
        <v>109.51464253715844</v>
      </c>
      <c r="R104" s="12">
        <f t="shared" si="38"/>
        <v>94.745559201312602</v>
      </c>
      <c r="S104" s="12">
        <f t="shared" si="39"/>
        <v>106.7666665838338</v>
      </c>
      <c r="T104" s="55">
        <v>12.5888078943103</v>
      </c>
      <c r="U104" s="55">
        <v>11.5137911038534</v>
      </c>
      <c r="V104">
        <v>0.45423497267759599</v>
      </c>
      <c r="W104" s="12"/>
      <c r="X104" s="12"/>
      <c r="Y104" t="str">
        <v>20221007</v>
      </c>
      <c r="Z104">
        <v>25</v>
      </c>
      <c r="AA104">
        <v>44.1</v>
      </c>
      <c r="AB104">
        <f t="shared" si="50"/>
        <v>0.56689342403628118</v>
      </c>
      <c r="AD104" t="str">
        <v>20160630</v>
      </c>
      <c r="AE104">
        <v>-1.7194114</v>
      </c>
      <c r="AF104">
        <v>-3.2128631335490301</v>
      </c>
      <c r="AG104">
        <v>59.8</v>
      </c>
      <c r="AH104">
        <v>54.2</v>
      </c>
      <c r="AI104">
        <v>52.2</v>
      </c>
      <c r="AJ104">
        <v>-5.1456844420010999</v>
      </c>
      <c r="AK104">
        <v>58</v>
      </c>
      <c r="AL104">
        <v>125.88904212164501</v>
      </c>
      <c r="AM104" s="3">
        <v>0.39802631578947401</v>
      </c>
      <c r="AN104" s="1">
        <f t="shared" si="52"/>
        <v>1</v>
      </c>
      <c r="AO104" s="1">
        <f t="shared" si="53"/>
        <v>0</v>
      </c>
      <c r="AP104" s="1">
        <f t="shared" si="54"/>
        <v>1</v>
      </c>
      <c r="AQ104" s="1">
        <f t="shared" si="55"/>
        <v>1</v>
      </c>
      <c r="AR104" s="1">
        <f t="shared" si="56"/>
        <v>1</v>
      </c>
      <c r="AS104" s="1">
        <f t="shared" si="57"/>
        <v>1</v>
      </c>
      <c r="AT104" s="1">
        <f t="shared" si="58"/>
        <v>1</v>
      </c>
      <c r="AU104" s="1">
        <f t="shared" si="59"/>
        <v>1</v>
      </c>
      <c r="AV104" s="1">
        <f t="shared" si="60"/>
        <v>0</v>
      </c>
      <c r="AW104">
        <f t="shared" si="61"/>
        <v>0.77777777777777779</v>
      </c>
      <c r="AY104" t="str">
        <v>29/03/2024</v>
      </c>
      <c r="AZ104">
        <v>62.5</v>
      </c>
      <c r="BA104">
        <v>14.1</v>
      </c>
      <c r="BB104">
        <f t="shared" si="51"/>
        <v>4.4326241134751774</v>
      </c>
    </row>
    <row r="105" spans="1:54" x14ac:dyDescent="0.3">
      <c r="A105" s="11">
        <v>45374</v>
      </c>
      <c r="B105">
        <v>0.49431818181818199</v>
      </c>
      <c r="C105">
        <v>5234.18</v>
      </c>
      <c r="D105">
        <v>93.98</v>
      </c>
      <c r="E105">
        <v>2165.4</v>
      </c>
      <c r="F105">
        <v>81.760000000000005</v>
      </c>
      <c r="G105">
        <v>53.15</v>
      </c>
      <c r="H105" s="12">
        <f t="shared" si="32"/>
        <v>188.29165066626669</v>
      </c>
      <c r="I105" s="12">
        <f t="shared" si="33"/>
        <v>90.569237987277816</v>
      </c>
      <c r="J105" s="12">
        <f t="shared" si="35"/>
        <v>183.80769724759537</v>
      </c>
      <c r="K105" s="12">
        <f t="shared" si="36"/>
        <v>156.27973087435848</v>
      </c>
      <c r="L105" s="55">
        <v>19.454613753334002</v>
      </c>
      <c r="M105" s="55">
        <v>17.448431436213902</v>
      </c>
      <c r="N105" s="55">
        <v>232.934299630358</v>
      </c>
      <c r="O105" s="55">
        <v>3.81872893226884</v>
      </c>
      <c r="P105" s="12">
        <f t="shared" si="34"/>
        <v>119.29648677208195</v>
      </c>
      <c r="Q105" s="12">
        <f t="shared" si="37"/>
        <v>109.05134042138147</v>
      </c>
      <c r="R105" s="12">
        <f t="shared" si="38"/>
        <v>95.108779160211611</v>
      </c>
      <c r="S105" s="12">
        <f t="shared" si="39"/>
        <v>106.7947910163189</v>
      </c>
      <c r="T105" s="55">
        <v>12.816559152587899</v>
      </c>
      <c r="U105" s="55">
        <v>11.7974216120649</v>
      </c>
      <c r="V105">
        <v>0.45580110497237603</v>
      </c>
      <c r="W105" s="12"/>
      <c r="X105" s="12"/>
      <c r="Y105" t="str">
        <v>20220930</v>
      </c>
      <c r="Z105">
        <v>25.4</v>
      </c>
      <c r="AA105">
        <v>41.8</v>
      </c>
      <c r="AB105">
        <f t="shared" si="50"/>
        <v>0.60765550239234456</v>
      </c>
      <c r="AD105" t="str">
        <v>20160531</v>
      </c>
      <c r="AE105">
        <v>-2.4934626</v>
      </c>
      <c r="AF105">
        <v>-4.0444622500784604</v>
      </c>
      <c r="AG105">
        <v>61.4</v>
      </c>
      <c r="AH105">
        <v>53.9</v>
      </c>
      <c r="AI105">
        <v>51.4</v>
      </c>
      <c r="AJ105">
        <v>-4.0103521500619399</v>
      </c>
      <c r="AK105">
        <v>56.6</v>
      </c>
      <c r="AL105">
        <v>125.085724249168</v>
      </c>
      <c r="AM105" s="3">
        <v>0.541547277936963</v>
      </c>
      <c r="AN105" s="1">
        <f t="shared" si="52"/>
        <v>1</v>
      </c>
      <c r="AO105" s="1">
        <f t="shared" si="53"/>
        <v>0</v>
      </c>
      <c r="AP105" s="1">
        <f t="shared" si="54"/>
        <v>1</v>
      </c>
      <c r="AQ105" s="1">
        <f t="shared" si="55"/>
        <v>1</v>
      </c>
      <c r="AR105" s="1">
        <f t="shared" si="56"/>
        <v>1</v>
      </c>
      <c r="AS105" s="1">
        <f t="shared" si="57"/>
        <v>1</v>
      </c>
      <c r="AT105" s="1">
        <f t="shared" si="58"/>
        <v>1</v>
      </c>
      <c r="AU105" s="1">
        <f t="shared" si="59"/>
        <v>1</v>
      </c>
      <c r="AV105" s="1">
        <f t="shared" si="60"/>
        <v>1</v>
      </c>
      <c r="AW105">
        <f t="shared" si="61"/>
        <v>0.88888888888888884</v>
      </c>
      <c r="AY105" t="str">
        <v>28/03/2024</v>
      </c>
      <c r="AZ105">
        <v>62.5</v>
      </c>
      <c r="BA105">
        <v>14.1</v>
      </c>
      <c r="BB105">
        <f t="shared" si="51"/>
        <v>4.4326241134751774</v>
      </c>
    </row>
    <row r="106" spans="1:54" x14ac:dyDescent="0.3">
      <c r="A106" s="11">
        <v>45373</v>
      </c>
      <c r="B106">
        <v>0.48209366391184599</v>
      </c>
      <c r="C106">
        <v>5241.53</v>
      </c>
      <c r="D106">
        <v>93.09</v>
      </c>
      <c r="E106">
        <v>2181.3000000000002</v>
      </c>
      <c r="F106">
        <v>81.7</v>
      </c>
      <c r="G106">
        <v>53.39</v>
      </c>
      <c r="H106" s="12">
        <f t="shared" si="32"/>
        <v>190.37875439970506</v>
      </c>
      <c r="I106" s="12">
        <f t="shared" si="33"/>
        <v>90.039180136207037</v>
      </c>
      <c r="J106" s="12">
        <f t="shared" si="35"/>
        <v>184.20127208210076</v>
      </c>
      <c r="K106" s="12">
        <f t="shared" si="36"/>
        <v>155.79785410854853</v>
      </c>
      <c r="L106" s="55">
        <v>19.985617006345802</v>
      </c>
      <c r="M106" s="55">
        <v>18.185442020242998</v>
      </c>
      <c r="N106" s="55">
        <v>232.91403130144801</v>
      </c>
      <c r="O106" s="55">
        <v>3.8542382300345999</v>
      </c>
      <c r="P106" s="12">
        <f t="shared" si="34"/>
        <v>118.1972438021308</v>
      </c>
      <c r="Q106" s="12">
        <f t="shared" si="37"/>
        <v>110.60600336955152</v>
      </c>
      <c r="R106" s="12">
        <f t="shared" si="38"/>
        <v>94.843784926344767</v>
      </c>
      <c r="S106" s="12">
        <f t="shared" si="39"/>
        <v>107.35622304736147</v>
      </c>
      <c r="T106" s="55">
        <v>12.9383121923497</v>
      </c>
      <c r="U106" s="55">
        <v>11.9199797452395</v>
      </c>
      <c r="V106">
        <v>0.46153846153846201</v>
      </c>
      <c r="W106" s="12"/>
      <c r="X106" s="12"/>
      <c r="Y106" t="str">
        <v>20220923</v>
      </c>
      <c r="Z106">
        <v>25.4</v>
      </c>
      <c r="AA106">
        <v>34.299999999999997</v>
      </c>
      <c r="AB106">
        <f t="shared" si="50"/>
        <v>0.74052478134110788</v>
      </c>
      <c r="AD106" t="str">
        <v>20160429</v>
      </c>
      <c r="AE106">
        <v>-2.714731</v>
      </c>
      <c r="AF106">
        <v>-3.7435985655493602</v>
      </c>
      <c r="AG106">
        <v>57.9</v>
      </c>
      <c r="AH106">
        <v>53.8</v>
      </c>
      <c r="AI106">
        <v>51.3</v>
      </c>
      <c r="AJ106">
        <v>-5.8075827306596599</v>
      </c>
      <c r="AK106">
        <v>57.4</v>
      </c>
      <c r="AL106">
        <v>124.298817453871</v>
      </c>
      <c r="AM106" s="3">
        <v>0.59743589743589698</v>
      </c>
      <c r="AN106" s="1">
        <f t="shared" si="52"/>
        <v>1</v>
      </c>
      <c r="AO106" s="1">
        <f t="shared" si="53"/>
        <v>0</v>
      </c>
      <c r="AP106" s="1">
        <f t="shared" si="54"/>
        <v>1</v>
      </c>
      <c r="AQ106" s="1">
        <f t="shared" si="55"/>
        <v>1</v>
      </c>
      <c r="AR106" s="1">
        <f t="shared" si="56"/>
        <v>1</v>
      </c>
      <c r="AS106" s="1">
        <f t="shared" si="57"/>
        <v>1</v>
      </c>
      <c r="AT106" s="1">
        <f t="shared" si="58"/>
        <v>1</v>
      </c>
      <c r="AU106" s="1">
        <f t="shared" si="59"/>
        <v>0</v>
      </c>
      <c r="AV106" s="1">
        <f t="shared" si="60"/>
        <v>1</v>
      </c>
      <c r="AW106">
        <f t="shared" si="61"/>
        <v>0.77777777777777779</v>
      </c>
      <c r="AY106" t="str">
        <v>27/03/2024</v>
      </c>
      <c r="AZ106">
        <v>62.5</v>
      </c>
      <c r="BA106">
        <v>14.1</v>
      </c>
      <c r="BB106">
        <f t="shared" si="51"/>
        <v>4.4326241134751774</v>
      </c>
    </row>
    <row r="107" spans="1:54" x14ac:dyDescent="0.3">
      <c r="A107" s="11">
        <v>45372</v>
      </c>
      <c r="B107">
        <v>0.47790055248618801</v>
      </c>
      <c r="C107">
        <v>5224.62</v>
      </c>
      <c r="D107">
        <v>92.89</v>
      </c>
      <c r="E107">
        <v>2186.3000000000002</v>
      </c>
      <c r="F107">
        <v>81.7</v>
      </c>
      <c r="G107">
        <v>53.38</v>
      </c>
      <c r="H107" s="12">
        <f t="shared" si="32"/>
        <v>190.17269947817087</v>
      </c>
      <c r="I107" s="12">
        <f t="shared" si="33"/>
        <v>89.544574600396487</v>
      </c>
      <c r="J107" s="12">
        <f t="shared" si="35"/>
        <v>183.60700981308614</v>
      </c>
      <c r="K107" s="12">
        <f t="shared" si="36"/>
        <v>155.32422969057714</v>
      </c>
      <c r="L107" s="55">
        <v>20.171328817675299</v>
      </c>
      <c r="M107" s="55">
        <v>18.439492169367099</v>
      </c>
      <c r="N107" s="55">
        <v>232.518541492064</v>
      </c>
      <c r="O107" s="55">
        <v>3.9505933652524599</v>
      </c>
      <c r="P107" s="12">
        <f t="shared" si="34"/>
        <v>115.19178226085458</v>
      </c>
      <c r="Q107" s="12">
        <f t="shared" si="37"/>
        <v>110.82385516472407</v>
      </c>
      <c r="R107" s="12">
        <f t="shared" si="38"/>
        <v>94.609691699518535</v>
      </c>
      <c r="S107" s="12">
        <f t="shared" si="39"/>
        <v>107.33611512021268</v>
      </c>
      <c r="T107" s="55">
        <v>13.022601652961599</v>
      </c>
      <c r="U107" s="55">
        <v>11.991587390063801</v>
      </c>
      <c r="V107">
        <v>0.45755693581780499</v>
      </c>
      <c r="W107" s="12"/>
      <c r="X107" s="12"/>
      <c r="Y107" t="str">
        <v>20220916</v>
      </c>
      <c r="Z107">
        <v>30</v>
      </c>
      <c r="AA107">
        <v>31.4</v>
      </c>
      <c r="AB107">
        <f t="shared" si="50"/>
        <v>0.95541401273885351</v>
      </c>
      <c r="AD107" t="str">
        <v>20160331</v>
      </c>
      <c r="AE107">
        <v>-3.5597900999999998</v>
      </c>
      <c r="AF107">
        <v>-7.2133959338054598</v>
      </c>
      <c r="AG107">
        <v>52.1</v>
      </c>
      <c r="AH107">
        <v>54.8</v>
      </c>
      <c r="AI107">
        <v>51</v>
      </c>
      <c r="AJ107">
        <v>-6.8450462067483402</v>
      </c>
      <c r="AK107">
        <v>60.5</v>
      </c>
      <c r="AL107">
        <v>124.086619643283</v>
      </c>
      <c r="AM107" s="3">
        <v>0.47138047138047101</v>
      </c>
      <c r="AN107" s="1">
        <f t="shared" si="52"/>
        <v>0</v>
      </c>
      <c r="AO107" s="1">
        <f t="shared" si="53"/>
        <v>0</v>
      </c>
      <c r="AP107" s="1">
        <f t="shared" si="54"/>
        <v>1</v>
      </c>
      <c r="AQ107" s="1">
        <f t="shared" si="55"/>
        <v>1</v>
      </c>
      <c r="AR107" s="1">
        <f t="shared" si="56"/>
        <v>1</v>
      </c>
      <c r="AS107" s="1">
        <f t="shared" si="57"/>
        <v>1</v>
      </c>
      <c r="AT107" s="1">
        <f t="shared" si="58"/>
        <v>1</v>
      </c>
      <c r="AU107" s="1">
        <f t="shared" si="59"/>
        <v>0</v>
      </c>
      <c r="AV107" s="1">
        <f t="shared" si="60"/>
        <v>0</v>
      </c>
      <c r="AW107">
        <f t="shared" si="61"/>
        <v>0.55555555555555558</v>
      </c>
      <c r="AY107" t="str">
        <v>26/03/2024</v>
      </c>
      <c r="AZ107">
        <v>62.5</v>
      </c>
      <c r="BA107">
        <v>14.1</v>
      </c>
      <c r="BB107">
        <f t="shared" si="51"/>
        <v>4.4326241134751774</v>
      </c>
    </row>
    <row r="108" spans="1:54" x14ac:dyDescent="0.3">
      <c r="A108" s="11">
        <v>45371</v>
      </c>
      <c r="B108">
        <v>0.47933884297520701</v>
      </c>
      <c r="C108">
        <v>5178.51</v>
      </c>
      <c r="D108">
        <v>92.92</v>
      </c>
      <c r="E108">
        <v>2157.52</v>
      </c>
      <c r="F108">
        <v>81.569999999999993</v>
      </c>
      <c r="G108">
        <v>52.8</v>
      </c>
      <c r="H108" s="12">
        <f t="shared" si="32"/>
        <v>188.43402550956682</v>
      </c>
      <c r="I108" s="12">
        <f t="shared" si="33"/>
        <v>89.943499569303</v>
      </c>
      <c r="J108" s="12">
        <f t="shared" si="35"/>
        <v>182.27451341124527</v>
      </c>
      <c r="K108" s="12">
        <f t="shared" si="36"/>
        <v>155.64809335006902</v>
      </c>
      <c r="L108" s="55">
        <v>19.816177971438801</v>
      </c>
      <c r="M108" s="55">
        <v>17.842205538609001</v>
      </c>
      <c r="N108" s="55">
        <v>232.73101196679801</v>
      </c>
      <c r="O108" s="55">
        <v>3.8931481767560698</v>
      </c>
      <c r="P108" s="12">
        <f t="shared" si="34"/>
        <v>117.02538317867752</v>
      </c>
      <c r="Q108" s="12">
        <f t="shared" si="37"/>
        <v>109.58470346189532</v>
      </c>
      <c r="R108" s="12">
        <f t="shared" si="38"/>
        <v>94.832979856264799</v>
      </c>
      <c r="S108" s="12">
        <f t="shared" si="39"/>
        <v>106.3374864605296</v>
      </c>
      <c r="T108" s="55">
        <v>12.970619436749301</v>
      </c>
      <c r="U108" s="55">
        <v>11.842526489259001</v>
      </c>
      <c r="V108">
        <v>0.45899379738111601</v>
      </c>
      <c r="W108" s="12"/>
      <c r="X108" s="12"/>
      <c r="Y108" t="str">
        <v>20220909</v>
      </c>
      <c r="Z108">
        <v>32.4</v>
      </c>
      <c r="AA108">
        <v>28.2</v>
      </c>
      <c r="AB108">
        <f t="shared" si="50"/>
        <v>1.1489361702127658</v>
      </c>
      <c r="AD108" t="str">
        <v>20160229</v>
      </c>
      <c r="AE108">
        <v>-3.1461787000000001</v>
      </c>
      <c r="AF108">
        <v>-11.042401709164601</v>
      </c>
      <c r="AG108">
        <v>38.299999999999997</v>
      </c>
      <c r="AH108">
        <v>51.9</v>
      </c>
      <c r="AI108">
        <v>49.2</v>
      </c>
      <c r="AJ108">
        <v>-5.9715842324538002</v>
      </c>
      <c r="AK108">
        <v>55.9</v>
      </c>
      <c r="AL108">
        <v>123.666398313109</v>
      </c>
      <c r="AM108" s="2">
        <v>0.66304347826086996</v>
      </c>
      <c r="AN108" s="1">
        <f t="shared" si="52"/>
        <v>0</v>
      </c>
      <c r="AO108" s="1">
        <f t="shared" si="53"/>
        <v>0</v>
      </c>
      <c r="AP108" s="1">
        <f t="shared" si="54"/>
        <v>0</v>
      </c>
      <c r="AQ108" s="1">
        <f t="shared" si="55"/>
        <v>1</v>
      </c>
      <c r="AR108" s="1">
        <f t="shared" si="56"/>
        <v>0</v>
      </c>
      <c r="AS108" s="1">
        <f t="shared" si="57"/>
        <v>1</v>
      </c>
      <c r="AT108" s="1">
        <f t="shared" si="58"/>
        <v>1</v>
      </c>
      <c r="AU108" s="1">
        <f t="shared" si="59"/>
        <v>0</v>
      </c>
      <c r="AV108" s="1">
        <f t="shared" si="60"/>
        <v>1</v>
      </c>
      <c r="AW108">
        <f t="shared" si="61"/>
        <v>0.44444444444444442</v>
      </c>
      <c r="AY108" t="str">
        <v>25/03/2024</v>
      </c>
      <c r="AZ108">
        <v>62.5</v>
      </c>
      <c r="BA108">
        <v>14.1</v>
      </c>
      <c r="BB108">
        <f t="shared" si="51"/>
        <v>4.4326241134751774</v>
      </c>
    </row>
    <row r="109" spans="1:54" x14ac:dyDescent="0.3">
      <c r="A109" s="11">
        <v>45370</v>
      </c>
      <c r="B109">
        <v>0.47740112994350298</v>
      </c>
      <c r="C109">
        <v>5149.42</v>
      </c>
      <c r="D109">
        <v>92.66</v>
      </c>
      <c r="E109">
        <v>2160.31</v>
      </c>
      <c r="F109">
        <v>81.5</v>
      </c>
      <c r="G109">
        <v>52.82</v>
      </c>
      <c r="H109" s="12">
        <f t="shared" si="32"/>
        <v>187.89978458712685</v>
      </c>
      <c r="I109" s="12">
        <f t="shared" si="33"/>
        <v>89.323535172446242</v>
      </c>
      <c r="J109" s="12">
        <f t="shared" si="35"/>
        <v>181.40552936972847</v>
      </c>
      <c r="K109" s="12">
        <f t="shared" si="36"/>
        <v>154.71549551724351</v>
      </c>
      <c r="L109" s="55">
        <v>19.798878295396001</v>
      </c>
      <c r="M109" s="55">
        <v>17.766916583588301</v>
      </c>
      <c r="N109" s="55">
        <v>232.875191077501</v>
      </c>
      <c r="O109" s="55">
        <v>3.9152752392469399</v>
      </c>
      <c r="P109" s="12">
        <f t="shared" si="34"/>
        <v>116.4394199175359</v>
      </c>
      <c r="Q109" s="12">
        <f t="shared" si="37"/>
        <v>109.93480202105654</v>
      </c>
      <c r="R109" s="12">
        <f t="shared" si="38"/>
        <v>94.746491766005022</v>
      </c>
      <c r="S109" s="12">
        <f t="shared" si="39"/>
        <v>106.4692464286175</v>
      </c>
      <c r="T109" s="55">
        <v>13.061293931571401</v>
      </c>
      <c r="U109" s="55">
        <v>11.8871600200766</v>
      </c>
      <c r="V109">
        <v>0.454794520547945</v>
      </c>
      <c r="W109" s="12"/>
      <c r="X109" s="12"/>
      <c r="Y109" t="str">
        <v>20220902</v>
      </c>
      <c r="Z109">
        <v>29.7</v>
      </c>
      <c r="AA109">
        <v>29.7</v>
      </c>
      <c r="AB109">
        <f t="shared" si="50"/>
        <v>1</v>
      </c>
      <c r="AD109" t="str">
        <v>20160129</v>
      </c>
      <c r="AE109">
        <v>-3.2621121</v>
      </c>
      <c r="AF109">
        <v>-15.6093105943377</v>
      </c>
      <c r="AG109">
        <v>33.9</v>
      </c>
      <c r="AH109">
        <v>49</v>
      </c>
      <c r="AI109">
        <v>47.6</v>
      </c>
      <c r="AJ109">
        <v>-6.0515788577751302</v>
      </c>
      <c r="AK109">
        <v>54.8</v>
      </c>
      <c r="AL109">
        <v>124.088589638812</v>
      </c>
      <c r="AM109" s="2">
        <v>0.48757763975155299</v>
      </c>
      <c r="AN109" s="1">
        <f t="shared" si="52"/>
        <v>0</v>
      </c>
      <c r="AO109" s="1">
        <f t="shared" si="53"/>
        <v>0</v>
      </c>
      <c r="AP109" s="1">
        <f t="shared" si="54"/>
        <v>0</v>
      </c>
      <c r="AQ109" s="1">
        <f t="shared" si="55"/>
        <v>0</v>
      </c>
      <c r="AR109" s="1">
        <f t="shared" si="56"/>
        <v>0</v>
      </c>
      <c r="AS109" s="1">
        <f t="shared" si="57"/>
        <v>1</v>
      </c>
      <c r="AT109" s="1">
        <f t="shared" si="58"/>
        <v>1</v>
      </c>
      <c r="AU109" s="1">
        <f t="shared" si="59"/>
        <v>0</v>
      </c>
      <c r="AV109" s="1">
        <f t="shared" si="60"/>
        <v>0</v>
      </c>
      <c r="AW109">
        <f t="shared" si="61"/>
        <v>0.22222222222222221</v>
      </c>
      <c r="AY109" t="str">
        <v>22/03/2024</v>
      </c>
      <c r="AZ109">
        <v>60.6</v>
      </c>
      <c r="BA109">
        <v>15.2</v>
      </c>
      <c r="BB109">
        <f t="shared" si="51"/>
        <v>3.986842105263158</v>
      </c>
    </row>
    <row r="110" spans="1:54" x14ac:dyDescent="0.3">
      <c r="A110" s="11">
        <v>45367</v>
      </c>
      <c r="B110">
        <v>0.46910112359550599</v>
      </c>
      <c r="C110">
        <v>5117.09</v>
      </c>
      <c r="D110">
        <v>92.94</v>
      </c>
      <c r="E110">
        <v>2155.92</v>
      </c>
      <c r="F110">
        <v>81.489999999999995</v>
      </c>
      <c r="G110">
        <v>52.8</v>
      </c>
      <c r="H110" s="12">
        <f t="shared" si="32"/>
        <v>186.1627483090507</v>
      </c>
      <c r="I110" s="12">
        <f t="shared" si="33"/>
        <v>88.942701170183568</v>
      </c>
      <c r="J110" s="12">
        <f t="shared" si="35"/>
        <v>180.28858217981414</v>
      </c>
      <c r="K110" s="12">
        <f t="shared" si="36"/>
        <v>153.80202588668709</v>
      </c>
      <c r="L110" s="55">
        <v>19.336925302006701</v>
      </c>
      <c r="M110" s="55">
        <v>16.898933609590198</v>
      </c>
      <c r="N110" s="55">
        <v>234.85784922227401</v>
      </c>
      <c r="O110" s="55">
        <v>3.83000315658327</v>
      </c>
      <c r="P110" s="12">
        <f t="shared" si="34"/>
        <v>120.12809515194697</v>
      </c>
      <c r="Q110" s="12">
        <f t="shared" si="37"/>
        <v>109.56322008662634</v>
      </c>
      <c r="R110" s="12">
        <f t="shared" si="38"/>
        <v>94.90379155342292</v>
      </c>
      <c r="S110" s="12">
        <f t="shared" si="39"/>
        <v>106.44198946271584</v>
      </c>
      <c r="T110" s="55">
        <v>13.0535127734402</v>
      </c>
      <c r="U110" s="55">
        <v>11.7847698116066</v>
      </c>
      <c r="V110">
        <v>0.45343303874914997</v>
      </c>
      <c r="W110" s="12"/>
      <c r="X110" s="12"/>
      <c r="Y110" t="str">
        <v>20220826</v>
      </c>
      <c r="Z110">
        <v>38.4</v>
      </c>
      <c r="AA110">
        <v>30.1</v>
      </c>
      <c r="AB110">
        <f t="shared" si="50"/>
        <v>1.2757475083056478</v>
      </c>
      <c r="AD110" t="str">
        <v>20151231</v>
      </c>
      <c r="AE110">
        <v>-4.5051350000000001</v>
      </c>
      <c r="AF110">
        <v>-19.328131634334898</v>
      </c>
      <c r="AG110">
        <v>33.9</v>
      </c>
      <c r="AH110">
        <v>49.8</v>
      </c>
      <c r="AI110">
        <v>48.7</v>
      </c>
      <c r="AJ110">
        <v>-7.4054621848739499</v>
      </c>
      <c r="AK110">
        <v>59.3</v>
      </c>
      <c r="AL110">
        <v>126.652617736209</v>
      </c>
      <c r="AM110" s="2">
        <v>0.41810344827586199</v>
      </c>
      <c r="AO110" s="1"/>
      <c r="AP110" s="1"/>
      <c r="AQ110" s="1"/>
      <c r="AR110" s="1"/>
      <c r="AS110" s="1"/>
      <c r="AT110" s="1"/>
      <c r="AV110" s="1"/>
      <c r="AY110" t="str">
        <v>21/03/2024</v>
      </c>
      <c r="AZ110">
        <v>60.6</v>
      </c>
      <c r="BA110">
        <v>15.2</v>
      </c>
      <c r="BB110">
        <f t="shared" si="51"/>
        <v>3.986842105263158</v>
      </c>
    </row>
    <row r="111" spans="1:54" x14ac:dyDescent="0.3">
      <c r="A111" s="11">
        <v>45366</v>
      </c>
      <c r="B111">
        <v>0.48780487804877998</v>
      </c>
      <c r="C111">
        <v>5150.4799999999996</v>
      </c>
      <c r="D111">
        <v>92.97</v>
      </c>
      <c r="E111">
        <v>2162.1999999999998</v>
      </c>
      <c r="F111">
        <v>81.540000000000006</v>
      </c>
      <c r="G111">
        <v>52.91</v>
      </c>
      <c r="H111" s="12">
        <f t="shared" si="32"/>
        <v>187.31665754007315</v>
      </c>
      <c r="I111" s="12">
        <f t="shared" si="33"/>
        <v>89.262120468124863</v>
      </c>
      <c r="J111" s="12">
        <f t="shared" si="35"/>
        <v>181.35306937302886</v>
      </c>
      <c r="K111" s="12">
        <f t="shared" si="36"/>
        <v>154.48234897871652</v>
      </c>
      <c r="L111" s="55">
        <v>19.1373769090116</v>
      </c>
      <c r="M111" s="55">
        <v>16.428093875296</v>
      </c>
      <c r="N111" s="55">
        <v>235.60919907308099</v>
      </c>
      <c r="O111" s="55">
        <v>3.8422786877285602</v>
      </c>
      <c r="P111" s="12">
        <f t="shared" si="34"/>
        <v>120.12738753983581</v>
      </c>
      <c r="Q111" s="12">
        <f t="shared" si="37"/>
        <v>109.75598642897879</v>
      </c>
      <c r="R111" s="12">
        <f t="shared" si="38"/>
        <v>94.825518105147765</v>
      </c>
      <c r="S111" s="12">
        <f t="shared" si="39"/>
        <v>106.59824181598609</v>
      </c>
      <c r="T111" s="55">
        <v>12.8859608572265</v>
      </c>
      <c r="U111" s="55">
        <v>11.423933644036</v>
      </c>
      <c r="V111">
        <v>0.45460750853242299</v>
      </c>
      <c r="W111" s="12"/>
      <c r="X111" s="12"/>
      <c r="Y111" t="str">
        <v>20220819</v>
      </c>
      <c r="Z111">
        <v>45.1</v>
      </c>
      <c r="AA111">
        <v>29.6</v>
      </c>
      <c r="AB111">
        <f t="shared" si="50"/>
        <v>1.5236486486486487</v>
      </c>
      <c r="AD111" t="str">
        <v>20151130</v>
      </c>
      <c r="AE111">
        <v>-4.0166874000000004</v>
      </c>
      <c r="AF111">
        <v>-20.123693855881399</v>
      </c>
      <c r="AG111">
        <v>35.700000000000003</v>
      </c>
      <c r="AH111">
        <v>50.2</v>
      </c>
      <c r="AI111">
        <v>49.1</v>
      </c>
      <c r="AJ111">
        <v>-8.0557868442964207</v>
      </c>
      <c r="AK111">
        <v>58.4</v>
      </c>
      <c r="AL111">
        <v>126.829485833154</v>
      </c>
      <c r="AM111" s="2">
        <v>0.54948805460750805</v>
      </c>
      <c r="AO111" s="1"/>
      <c r="AP111" s="1"/>
      <c r="AQ111" s="1"/>
      <c r="AR111" s="1"/>
      <c r="AS111" s="1"/>
      <c r="AT111" s="1"/>
      <c r="AV111" s="1"/>
      <c r="AY111" t="str">
        <v>20/03/2024</v>
      </c>
      <c r="AZ111">
        <v>60.6</v>
      </c>
      <c r="BA111">
        <v>15.2</v>
      </c>
      <c r="BB111">
        <f t="shared" si="51"/>
        <v>3.986842105263158</v>
      </c>
    </row>
    <row r="112" spans="1:54" x14ac:dyDescent="0.3">
      <c r="A112" s="11">
        <v>45365</v>
      </c>
      <c r="B112">
        <v>0.496</v>
      </c>
      <c r="C112">
        <v>5165.3100000000004</v>
      </c>
      <c r="D112">
        <v>94.42</v>
      </c>
      <c r="E112">
        <v>2174.33</v>
      </c>
      <c r="F112">
        <v>81.61</v>
      </c>
      <c r="G112">
        <v>53.24</v>
      </c>
      <c r="H112" s="12">
        <f t="shared" si="32"/>
        <v>185.00669366799966</v>
      </c>
      <c r="I112" s="12">
        <f t="shared" si="33"/>
        <v>89.021082220621011</v>
      </c>
      <c r="J112" s="12">
        <f t="shared" si="35"/>
        <v>181.71893108361007</v>
      </c>
      <c r="K112" s="12">
        <f t="shared" si="36"/>
        <v>153.97004895574372</v>
      </c>
      <c r="L112" s="55">
        <v>19.280824903710698</v>
      </c>
      <c r="M112" s="55">
        <v>16.5459673335316</v>
      </c>
      <c r="N112" s="55">
        <v>236.16057302015199</v>
      </c>
      <c r="O112" s="55">
        <v>3.86601266559969</v>
      </c>
      <c r="P112" s="12">
        <f t="shared" si="34"/>
        <v>119.67210764985647</v>
      </c>
      <c r="Q112" s="12">
        <f t="shared" si="37"/>
        <v>108.75990138940007</v>
      </c>
      <c r="R112" s="12">
        <f t="shared" si="38"/>
        <v>94.88431004691958</v>
      </c>
      <c r="S112" s="12">
        <f t="shared" si="39"/>
        <v>107.17059808578259</v>
      </c>
      <c r="T112" s="55">
        <v>13.048327469528999</v>
      </c>
      <c r="U112" s="55">
        <v>11.6241663905368</v>
      </c>
      <c r="V112">
        <v>0.44565217391304301</v>
      </c>
      <c r="W112" s="12"/>
      <c r="X112" s="12"/>
      <c r="Y112" t="str">
        <v>20220812</v>
      </c>
      <c r="Z112">
        <v>45</v>
      </c>
      <c r="AA112">
        <v>27.5</v>
      </c>
      <c r="AB112">
        <f t="shared" si="50"/>
        <v>1.6363636363636365</v>
      </c>
      <c r="AD112" t="str">
        <v>20151030</v>
      </c>
      <c r="AE112">
        <v>-2.7241355999999999</v>
      </c>
      <c r="AF112">
        <v>-16.183249334086302</v>
      </c>
      <c r="AG112">
        <v>39.799999999999997</v>
      </c>
      <c r="AH112">
        <v>51.9</v>
      </c>
      <c r="AI112">
        <v>49.1</v>
      </c>
      <c r="AJ112">
        <v>-8.9949707313051395</v>
      </c>
      <c r="AK112">
        <v>59.6</v>
      </c>
      <c r="AL112">
        <v>127.084720781165</v>
      </c>
      <c r="AM112" s="2">
        <v>0.50645994832041297</v>
      </c>
      <c r="AO112" s="1"/>
      <c r="AP112" s="1"/>
      <c r="AQ112" s="1"/>
      <c r="AR112" s="1"/>
      <c r="AS112" s="1"/>
      <c r="AT112" s="1"/>
      <c r="AV112" s="1"/>
      <c r="AY112" t="str">
        <v>19/03/2024</v>
      </c>
      <c r="AZ112">
        <v>60.6</v>
      </c>
      <c r="BA112">
        <v>15.2</v>
      </c>
      <c r="BB112">
        <f t="shared" si="51"/>
        <v>3.986842105263158</v>
      </c>
    </row>
    <row r="113" spans="1:54" x14ac:dyDescent="0.3">
      <c r="A113" s="11">
        <v>45364</v>
      </c>
      <c r="B113">
        <v>0.51193633952254602</v>
      </c>
      <c r="C113">
        <v>5175.2700000000004</v>
      </c>
      <c r="D113">
        <v>94.88</v>
      </c>
      <c r="E113">
        <v>2158.25</v>
      </c>
      <c r="F113">
        <v>81.650000000000006</v>
      </c>
      <c r="G113">
        <v>53.29</v>
      </c>
      <c r="H113" s="12">
        <f t="shared" si="32"/>
        <v>184.46736788700116</v>
      </c>
      <c r="I113" s="12">
        <f t="shared" si="33"/>
        <v>89.863554661685882</v>
      </c>
      <c r="J113" s="12">
        <f t="shared" si="35"/>
        <v>181.9800071309713</v>
      </c>
      <c r="K113" s="12">
        <f t="shared" si="36"/>
        <v>154.12205567578201</v>
      </c>
      <c r="L113" s="55">
        <v>19.193326848203601</v>
      </c>
      <c r="M113" s="55">
        <v>16.251811465726401</v>
      </c>
      <c r="N113" s="55">
        <v>235.87869465933201</v>
      </c>
      <c r="O113" s="55">
        <v>3.9293499822050801</v>
      </c>
      <c r="P113" s="12">
        <f t="shared" si="34"/>
        <v>117.63536358908762</v>
      </c>
      <c r="Q113" s="12">
        <f t="shared" si="37"/>
        <v>108.33630999197712</v>
      </c>
      <c r="R113" s="12">
        <f t="shared" si="38"/>
        <v>95.687003734635596</v>
      </c>
      <c r="S113" s="12">
        <f t="shared" si="39"/>
        <v>107.21867133986296</v>
      </c>
      <c r="T113" s="55">
        <v>13.0018510207424</v>
      </c>
      <c r="U113" s="55">
        <v>11.4523706960334</v>
      </c>
      <c r="V113">
        <v>0.44109589041095898</v>
      </c>
      <c r="W113" s="12"/>
      <c r="X113" s="12"/>
      <c r="Y113" t="str">
        <v>20220805</v>
      </c>
      <c r="Z113">
        <v>44.4</v>
      </c>
      <c r="AA113">
        <v>27.8</v>
      </c>
      <c r="AB113">
        <f t="shared" si="50"/>
        <v>1.5971223021582732</v>
      </c>
      <c r="AD113" t="str">
        <v>20150930</v>
      </c>
      <c r="AE113">
        <v>-2.2427258000000001</v>
      </c>
      <c r="AF113">
        <v>-15.517436915225399</v>
      </c>
      <c r="AG113">
        <v>37.6</v>
      </c>
      <c r="AH113">
        <v>51.5</v>
      </c>
      <c r="AI113">
        <v>50.1</v>
      </c>
      <c r="AJ113">
        <v>-8.3648248391379791</v>
      </c>
      <c r="AK113">
        <v>59.9</v>
      </c>
      <c r="AL113">
        <v>127.262085475733</v>
      </c>
      <c r="AM113" s="2">
        <v>0.40625</v>
      </c>
      <c r="AO113" s="1"/>
      <c r="AP113" s="1"/>
      <c r="AQ113" s="1"/>
      <c r="AR113" s="1"/>
      <c r="AS113" s="1"/>
      <c r="AT113" s="1"/>
      <c r="AV113" s="1"/>
      <c r="AY113" t="str">
        <v>18/03/2024</v>
      </c>
      <c r="AZ113">
        <v>60.6</v>
      </c>
      <c r="BA113">
        <v>15.2</v>
      </c>
      <c r="BB113">
        <f t="shared" si="51"/>
        <v>3.986842105263158</v>
      </c>
    </row>
    <row r="114" spans="1:54" x14ac:dyDescent="0.3">
      <c r="A114" s="11">
        <v>45363</v>
      </c>
      <c r="B114">
        <v>0.506493506493506</v>
      </c>
      <c r="C114">
        <v>5117.9399999999996</v>
      </c>
      <c r="D114">
        <v>95.68</v>
      </c>
      <c r="E114">
        <v>2182.84</v>
      </c>
      <c r="F114">
        <v>81.73</v>
      </c>
      <c r="G114">
        <v>52.82</v>
      </c>
      <c r="H114" s="12">
        <f t="shared" si="32"/>
        <v>180.92788000391332</v>
      </c>
      <c r="I114" s="12">
        <f t="shared" si="33"/>
        <v>87.88896098519362</v>
      </c>
      <c r="J114" s="12">
        <f t="shared" si="35"/>
        <v>179.79005542357189</v>
      </c>
      <c r="K114" s="12">
        <f t="shared" si="36"/>
        <v>153.76783180124747</v>
      </c>
      <c r="L114" s="55">
        <v>19.4478848565068</v>
      </c>
      <c r="M114" s="55">
        <v>16.604440000425299</v>
      </c>
      <c r="N114" s="55">
        <v>236.10847774134501</v>
      </c>
      <c r="O114" s="55">
        <v>3.9385087183513199</v>
      </c>
      <c r="P114" s="12">
        <f t="shared" si="34"/>
        <v>117.47650918632441</v>
      </c>
      <c r="Q114" s="12">
        <f t="shared" si="37"/>
        <v>106.49822008041282</v>
      </c>
      <c r="R114" s="12">
        <f t="shared" si="38"/>
        <v>93.795772792145797</v>
      </c>
      <c r="S114" s="12">
        <f t="shared" si="39"/>
        <v>106.17003233165026</v>
      </c>
      <c r="T114" s="55">
        <v>13.1353642443535</v>
      </c>
      <c r="U114" s="55">
        <v>11.627062867278701</v>
      </c>
      <c r="V114">
        <v>0.44459551325628799</v>
      </c>
      <c r="W114" s="12"/>
      <c r="X114" s="12"/>
      <c r="Y114" t="str">
        <v>20220729</v>
      </c>
      <c r="Z114">
        <v>41.1</v>
      </c>
      <c r="AA114">
        <v>30.1</v>
      </c>
      <c r="AB114">
        <f t="shared" si="50"/>
        <v>1.3654485049833887</v>
      </c>
      <c r="AD114" t="str">
        <v>20150831</v>
      </c>
      <c r="AE114">
        <v>-1.6716975999999999</v>
      </c>
      <c r="AF114">
        <v>-16.201616926042899</v>
      </c>
      <c r="AG114">
        <v>38.799999999999997</v>
      </c>
      <c r="AH114">
        <v>52.6</v>
      </c>
      <c r="AI114">
        <v>50.2</v>
      </c>
      <c r="AJ114">
        <v>-10.042717981475599</v>
      </c>
      <c r="AK114">
        <v>63.1</v>
      </c>
      <c r="AL114">
        <v>127.59839930052399</v>
      </c>
      <c r="AM114" s="2">
        <v>0.52272727272727304</v>
      </c>
      <c r="AO114" s="1"/>
      <c r="AP114" s="1"/>
      <c r="AQ114" s="1"/>
      <c r="AR114" s="1"/>
      <c r="AS114" s="1"/>
      <c r="AT114" s="1"/>
      <c r="AV114" s="1"/>
      <c r="AY114" t="str">
        <v>15/03/2024</v>
      </c>
      <c r="AZ114">
        <v>60.3</v>
      </c>
      <c r="BA114">
        <v>14.7</v>
      </c>
      <c r="BB114">
        <f t="shared" si="51"/>
        <v>4.1020408163265305</v>
      </c>
    </row>
    <row r="115" spans="1:54" x14ac:dyDescent="0.3">
      <c r="A115" s="11">
        <v>45360</v>
      </c>
      <c r="B115">
        <v>0.50127877237851703</v>
      </c>
      <c r="C115">
        <v>5123.6899999999996</v>
      </c>
      <c r="D115">
        <v>95.73</v>
      </c>
      <c r="E115">
        <v>2177.85</v>
      </c>
      <c r="F115">
        <v>81.8</v>
      </c>
      <c r="G115">
        <v>52.99</v>
      </c>
      <c r="H115" s="12">
        <f t="shared" si="32"/>
        <v>181.03649026936552</v>
      </c>
      <c r="I115" s="12">
        <f t="shared" si="33"/>
        <v>88.189996534742988</v>
      </c>
      <c r="J115" s="12">
        <f t="shared" si="35"/>
        <v>179.83798087029618</v>
      </c>
      <c r="K115" s="12">
        <f t="shared" si="36"/>
        <v>153.44775292269082</v>
      </c>
      <c r="L115" s="55">
        <v>19.033362452329001</v>
      </c>
      <c r="M115" s="55">
        <v>15.6053290178002</v>
      </c>
      <c r="N115" s="55">
        <v>236.01634951803899</v>
      </c>
      <c r="O115" s="55">
        <v>3.8876540458882798</v>
      </c>
      <c r="P115" s="12">
        <f t="shared" si="34"/>
        <v>118.98653429051252</v>
      </c>
      <c r="Q115" s="12">
        <f t="shared" si="37"/>
        <v>106.78502866813753</v>
      </c>
      <c r="R115" s="12">
        <f t="shared" si="38"/>
        <v>94.314445941634119</v>
      </c>
      <c r="S115" s="12">
        <f t="shared" si="39"/>
        <v>106.42037634439959</v>
      </c>
      <c r="T115" s="55">
        <v>13.0783284753395</v>
      </c>
      <c r="U115" s="55">
        <v>11.4190327040121</v>
      </c>
      <c r="V115">
        <v>0.44512610770279498</v>
      </c>
      <c r="W115" s="12"/>
      <c r="X115" s="12"/>
      <c r="Y115" t="str">
        <v>20220722</v>
      </c>
      <c r="Z115">
        <v>38.9</v>
      </c>
      <c r="AA115">
        <v>33.299999999999997</v>
      </c>
      <c r="AB115">
        <f t="shared" si="50"/>
        <v>1.1681681681681682</v>
      </c>
      <c r="AD115" t="str">
        <v>20150731</v>
      </c>
      <c r="AE115">
        <v>-1.6597046</v>
      </c>
      <c r="AF115">
        <v>-15.0670360849183</v>
      </c>
      <c r="AG115">
        <v>45.1</v>
      </c>
      <c r="AH115">
        <v>53.9</v>
      </c>
      <c r="AI115">
        <v>52</v>
      </c>
      <c r="AJ115">
        <v>-11.3005723307677</v>
      </c>
      <c r="AK115">
        <v>65.3</v>
      </c>
      <c r="AL115">
        <v>127.316333051301</v>
      </c>
      <c r="AM115" s="2">
        <v>0.55584415584415603</v>
      </c>
      <c r="AO115" s="1"/>
      <c r="AP115" s="1"/>
      <c r="AQ115" s="1"/>
      <c r="AR115" s="1"/>
      <c r="AS115" s="1"/>
      <c r="AT115" s="1"/>
      <c r="AV115" s="1"/>
      <c r="AY115" t="str">
        <v>14/03/2024</v>
      </c>
      <c r="AZ115">
        <v>60.3</v>
      </c>
      <c r="BA115">
        <v>14.7</v>
      </c>
      <c r="BB115">
        <f t="shared" si="51"/>
        <v>4.1020408163265305</v>
      </c>
    </row>
    <row r="116" spans="1:54" x14ac:dyDescent="0.3">
      <c r="A116" s="11">
        <v>45359</v>
      </c>
      <c r="B116">
        <v>0.49127182044887802</v>
      </c>
      <c r="C116">
        <v>5157.3599999999997</v>
      </c>
      <c r="D116">
        <v>95.9</v>
      </c>
      <c r="E116">
        <v>2160.1999999999998</v>
      </c>
      <c r="F116">
        <v>81.760000000000005</v>
      </c>
      <c r="G116">
        <v>53.14</v>
      </c>
      <c r="H116" s="12">
        <f t="shared" si="32"/>
        <v>181.90158768162073</v>
      </c>
      <c r="I116" s="12">
        <f t="shared" si="33"/>
        <v>89.50564663508834</v>
      </c>
      <c r="J116" s="12">
        <f t="shared" si="35"/>
        <v>181.10896205021803</v>
      </c>
      <c r="K116" s="12">
        <f t="shared" si="36"/>
        <v>154.01851497786808</v>
      </c>
      <c r="L116" s="55">
        <v>19.5709806603038</v>
      </c>
      <c r="M116" s="55">
        <v>16.583105797601402</v>
      </c>
      <c r="N116" s="55">
        <v>235.769701358899</v>
      </c>
      <c r="O116" s="55">
        <v>3.8749645519072802</v>
      </c>
      <c r="P116" s="12">
        <f t="shared" si="34"/>
        <v>119.25229971468808</v>
      </c>
      <c r="Q116" s="12">
        <f t="shared" si="37"/>
        <v>106.89727642370687</v>
      </c>
      <c r="R116" s="12">
        <f t="shared" si="38"/>
        <v>95.362795103075541</v>
      </c>
      <c r="S116" s="12">
        <f t="shared" si="39"/>
        <v>106.774008571677</v>
      </c>
      <c r="T116" s="55">
        <v>13.3919254789758</v>
      </c>
      <c r="U116" s="55">
        <v>12.019246689186399</v>
      </c>
      <c r="V116">
        <v>0.44601889338731399</v>
      </c>
      <c r="W116" s="12"/>
      <c r="X116" s="12"/>
      <c r="Y116" t="str">
        <v>20220715</v>
      </c>
      <c r="Z116">
        <v>35.200000000000003</v>
      </c>
      <c r="AA116">
        <v>35.200000000000003</v>
      </c>
      <c r="AB116">
        <f t="shared" si="50"/>
        <v>1</v>
      </c>
      <c r="AD116" t="str">
        <v>20150630</v>
      </c>
      <c r="AE116">
        <v>-2.0653671999999998</v>
      </c>
      <c r="AF116">
        <v>-12.6085756053709</v>
      </c>
      <c r="AG116">
        <v>49.7</v>
      </c>
      <c r="AH116">
        <v>53.2</v>
      </c>
      <c r="AI116">
        <v>52.5</v>
      </c>
      <c r="AJ116">
        <v>-12.1680347658136</v>
      </c>
      <c r="AK116">
        <v>60.8</v>
      </c>
      <c r="AL116">
        <v>127.757604867089</v>
      </c>
      <c r="AM116" s="2">
        <v>0.45229681978798603</v>
      </c>
      <c r="AO116" s="1"/>
      <c r="AP116" s="1"/>
      <c r="AQ116" s="1"/>
      <c r="AR116" s="1"/>
      <c r="AS116" s="1"/>
      <c r="AT116" s="1"/>
      <c r="AV116" s="1"/>
      <c r="AY116" t="str">
        <v>13/03/2024</v>
      </c>
      <c r="AZ116">
        <v>60.3</v>
      </c>
      <c r="BA116">
        <v>14.7</v>
      </c>
      <c r="BB116">
        <f t="shared" si="51"/>
        <v>4.1020408163265305</v>
      </c>
    </row>
    <row r="117" spans="1:54" x14ac:dyDescent="0.3">
      <c r="A117" s="11">
        <v>45358</v>
      </c>
      <c r="B117">
        <v>0.47772277227722798</v>
      </c>
      <c r="C117">
        <v>5104.76</v>
      </c>
      <c r="D117">
        <v>95.99</v>
      </c>
      <c r="E117">
        <v>2148.3000000000002</v>
      </c>
      <c r="F117">
        <v>81.66</v>
      </c>
      <c r="G117">
        <v>52.57</v>
      </c>
      <c r="H117" s="12">
        <f t="shared" si="32"/>
        <v>179.87943594923888</v>
      </c>
      <c r="I117" s="12">
        <f t="shared" si="33"/>
        <v>89.081188604037436</v>
      </c>
      <c r="J117" s="12">
        <f t="shared" si="35"/>
        <v>179.47937572716623</v>
      </c>
      <c r="K117" s="12">
        <f t="shared" si="36"/>
        <v>154.10151060270604</v>
      </c>
      <c r="L117" s="55">
        <v>20.052741513824099</v>
      </c>
      <c r="M117" s="55">
        <v>17.5258399164514</v>
      </c>
      <c r="N117" s="55">
        <v>234.96843844065799</v>
      </c>
      <c r="O117" s="55">
        <v>4.0170465136459503</v>
      </c>
      <c r="P117" s="12">
        <f t="shared" si="34"/>
        <v>114.80035955377868</v>
      </c>
      <c r="Q117" s="12">
        <f t="shared" si="37"/>
        <v>105.65265814669658</v>
      </c>
      <c r="R117" s="12">
        <f t="shared" si="38"/>
        <v>94.859713976920716</v>
      </c>
      <c r="S117" s="12">
        <f t="shared" si="39"/>
        <v>105.7568292165672</v>
      </c>
      <c r="T117" s="55">
        <v>13.5466049284723</v>
      </c>
      <c r="U117" s="55">
        <v>12.311047735905101</v>
      </c>
      <c r="V117">
        <v>0.43586299529885802</v>
      </c>
      <c r="W117" s="12"/>
      <c r="X117" s="12"/>
      <c r="Y117" t="str">
        <v>20220708</v>
      </c>
      <c r="Z117">
        <v>32.4</v>
      </c>
      <c r="AA117">
        <v>36.6</v>
      </c>
      <c r="AB117">
        <f t="shared" si="50"/>
        <v>0.88524590163934413</v>
      </c>
      <c r="AD117" t="str">
        <v>20150529</v>
      </c>
      <c r="AE117">
        <v>-1.4394674000000001</v>
      </c>
      <c r="AF117">
        <v>-13.1159733712808</v>
      </c>
      <c r="AG117">
        <v>49</v>
      </c>
      <c r="AH117">
        <v>54.6</v>
      </c>
      <c r="AI117">
        <v>52.9</v>
      </c>
      <c r="AJ117">
        <v>-15.2583039664092</v>
      </c>
      <c r="AK117">
        <v>60.8</v>
      </c>
      <c r="AL117">
        <v>127.092970244947</v>
      </c>
      <c r="AM117" s="2">
        <v>0.57681940700808598</v>
      </c>
      <c r="AO117" s="1"/>
      <c r="AP117" s="1"/>
      <c r="AQ117" s="1"/>
      <c r="AR117" s="1"/>
      <c r="AS117" s="1"/>
      <c r="AT117" s="1"/>
      <c r="AV117" s="1"/>
      <c r="AY117" t="str">
        <v>12/03/2024</v>
      </c>
      <c r="AZ117">
        <v>60.3</v>
      </c>
      <c r="BA117">
        <v>14.7</v>
      </c>
      <c r="BB117">
        <f t="shared" si="51"/>
        <v>4.1020408163265305</v>
      </c>
    </row>
    <row r="118" spans="1:54" x14ac:dyDescent="0.3">
      <c r="A118" s="11">
        <v>45357</v>
      </c>
      <c r="B118">
        <v>0.482926829268293</v>
      </c>
      <c r="C118">
        <v>5078.6499999999996</v>
      </c>
      <c r="D118">
        <v>95.43</v>
      </c>
      <c r="E118">
        <v>2128.13</v>
      </c>
      <c r="F118">
        <v>81.64</v>
      </c>
      <c r="G118">
        <v>51.93</v>
      </c>
      <c r="H118" s="12">
        <f t="shared" si="32"/>
        <v>180.01031165453426</v>
      </c>
      <c r="I118" s="12">
        <f t="shared" si="33"/>
        <v>89.46918734129693</v>
      </c>
      <c r="J118" s="12">
        <f t="shared" si="35"/>
        <v>178.60489898082201</v>
      </c>
      <c r="K118" s="12">
        <f t="shared" si="36"/>
        <v>155.21645408831304</v>
      </c>
      <c r="L118" s="55">
        <v>20.2049671771173</v>
      </c>
      <c r="M118" s="55">
        <v>17.7657630728337</v>
      </c>
      <c r="N118" s="55">
        <v>234.61249611236701</v>
      </c>
      <c r="O118" s="55">
        <v>4.04846497760711</v>
      </c>
      <c r="P118" s="12">
        <f t="shared" si="34"/>
        <v>113.74506280586472</v>
      </c>
      <c r="Q118" s="12">
        <f t="shared" si="37"/>
        <v>104.97492876773357</v>
      </c>
      <c r="R118" s="12">
        <f t="shared" si="38"/>
        <v>94.590464279507856</v>
      </c>
      <c r="S118" s="12">
        <f t="shared" si="39"/>
        <v>104.49460701513668</v>
      </c>
      <c r="T118" s="55">
        <v>13.558303245251601</v>
      </c>
      <c r="U118" s="55">
        <v>12.267745710286199</v>
      </c>
      <c r="V118">
        <v>0.438975050573162</v>
      </c>
      <c r="W118" s="12"/>
      <c r="X118" s="12"/>
      <c r="Y118" t="str">
        <v>20220701</v>
      </c>
      <c r="Z118">
        <v>30.5</v>
      </c>
      <c r="AA118">
        <v>40.299999999999997</v>
      </c>
      <c r="AB118">
        <f t="shared" si="50"/>
        <v>0.75682382133995041</v>
      </c>
      <c r="AD118" t="str">
        <v>20150430</v>
      </c>
      <c r="AE118">
        <v>-0.59100059999999999</v>
      </c>
      <c r="AF118">
        <v>-13.609454446963399</v>
      </c>
      <c r="AG118">
        <v>41.6</v>
      </c>
      <c r="AH118">
        <v>55.7</v>
      </c>
      <c r="AI118">
        <v>51.9</v>
      </c>
      <c r="AJ118">
        <v>-16.152149944873202</v>
      </c>
      <c r="AK118">
        <v>60.3</v>
      </c>
      <c r="AL118">
        <v>125.966052183481</v>
      </c>
      <c r="AM118" s="2">
        <v>0.47422680412371099</v>
      </c>
      <c r="AO118" s="1"/>
      <c r="AP118" s="1"/>
      <c r="AQ118" s="1"/>
      <c r="AR118" s="1"/>
      <c r="AS118" s="1"/>
      <c r="AT118" s="1"/>
      <c r="AV118" s="1"/>
      <c r="AY118" t="str">
        <v>11/03/2024</v>
      </c>
      <c r="AZ118">
        <v>60.3</v>
      </c>
      <c r="BA118">
        <v>14.7</v>
      </c>
      <c r="BB118">
        <f t="shared" si="51"/>
        <v>4.1020408163265305</v>
      </c>
    </row>
    <row r="119" spans="1:54" x14ac:dyDescent="0.3">
      <c r="A119" s="11">
        <v>45356</v>
      </c>
      <c r="B119">
        <v>0.48905109489051102</v>
      </c>
      <c r="C119">
        <v>5130.95</v>
      </c>
      <c r="D119">
        <v>94.09</v>
      </c>
      <c r="E119">
        <v>2114.36</v>
      </c>
      <c r="F119">
        <v>81.58</v>
      </c>
      <c r="G119">
        <v>52.13</v>
      </c>
      <c r="H119" s="12">
        <f t="shared" si="32"/>
        <v>184.51898274747754</v>
      </c>
      <c r="I119" s="12">
        <f t="shared" si="33"/>
        <v>90.989221723394706</v>
      </c>
      <c r="J119" s="12">
        <f t="shared" si="35"/>
        <v>180.57835286052384</v>
      </c>
      <c r="K119" s="12">
        <f t="shared" si="36"/>
        <v>156.20939626218478</v>
      </c>
      <c r="L119" s="55">
        <v>19.827290290501601</v>
      </c>
      <c r="M119" s="55">
        <v>16.713894270199599</v>
      </c>
      <c r="N119" s="55">
        <v>233.955573788442</v>
      </c>
      <c r="O119" s="55">
        <v>3.97766201617554</v>
      </c>
      <c r="P119" s="12">
        <f t="shared" si="34"/>
        <v>115.47631275716569</v>
      </c>
      <c r="Q119" s="12">
        <f t="shared" si="37"/>
        <v>106.90763121716083</v>
      </c>
      <c r="R119" s="12">
        <f t="shared" si="38"/>
        <v>95.579634302655009</v>
      </c>
      <c r="S119" s="12">
        <f t="shared" si="39"/>
        <v>104.97455454378203</v>
      </c>
      <c r="T119" s="55">
        <v>13.508208887560301</v>
      </c>
      <c r="U119" s="55">
        <v>12.068361089551599</v>
      </c>
      <c r="V119">
        <v>0.42581503659348002</v>
      </c>
      <c r="W119" s="12"/>
      <c r="X119" s="12"/>
      <c r="Y119" t="str">
        <v>20220624</v>
      </c>
      <c r="Z119">
        <v>32.9</v>
      </c>
      <c r="AA119">
        <v>40</v>
      </c>
      <c r="AB119">
        <f t="shared" si="50"/>
        <v>0.82250000000000001</v>
      </c>
      <c r="AD119" t="str">
        <v>20150331</v>
      </c>
      <c r="AE119">
        <v>4.2656288000000001E-2</v>
      </c>
      <c r="AF119">
        <v>-12.1970682665692</v>
      </c>
      <c r="AG119">
        <v>40.1</v>
      </c>
      <c r="AH119">
        <v>55</v>
      </c>
      <c r="AI119">
        <v>52.1</v>
      </c>
      <c r="AJ119">
        <v>-16.230083715906002</v>
      </c>
      <c r="AK119">
        <v>61.2</v>
      </c>
      <c r="AL119">
        <v>125.35445747486</v>
      </c>
      <c r="AM119" s="2">
        <v>0.37704918032786899</v>
      </c>
      <c r="AO119" s="1"/>
      <c r="AP119" s="1"/>
      <c r="AQ119" s="1"/>
      <c r="AR119" s="1"/>
      <c r="AS119" s="1"/>
      <c r="AT119" s="1"/>
      <c r="AV119" s="1"/>
      <c r="AY119" t="str">
        <v>08/03/2024</v>
      </c>
      <c r="AZ119">
        <v>60.9</v>
      </c>
      <c r="BA119">
        <v>14.5</v>
      </c>
      <c r="BB119">
        <f t="shared" si="51"/>
        <v>4.2</v>
      </c>
    </row>
    <row r="120" spans="1:54" x14ac:dyDescent="0.3">
      <c r="A120" s="11">
        <v>45353</v>
      </c>
      <c r="B120">
        <v>0.48564593301435399</v>
      </c>
      <c r="C120">
        <v>5137.08</v>
      </c>
      <c r="D120">
        <v>94.47</v>
      </c>
      <c r="E120">
        <v>2083.65</v>
      </c>
      <c r="F120">
        <v>81.66</v>
      </c>
      <c r="G120">
        <v>52.26</v>
      </c>
      <c r="H120" s="12">
        <f t="shared" si="32"/>
        <v>183.99842249078253</v>
      </c>
      <c r="I120" s="12">
        <f t="shared" si="33"/>
        <v>92.46231699278465</v>
      </c>
      <c r="J120" s="12">
        <f t="shared" si="35"/>
        <v>180.61693500233392</v>
      </c>
      <c r="K120" s="12">
        <f t="shared" si="36"/>
        <v>156.00747932495125</v>
      </c>
      <c r="L120" s="55">
        <v>20.110853975258699</v>
      </c>
      <c r="M120" s="55">
        <v>17.2886396377293</v>
      </c>
      <c r="N120" s="55">
        <v>233.27552725409799</v>
      </c>
      <c r="O120" s="55">
        <v>3.93542357709843</v>
      </c>
      <c r="P120" s="12">
        <f t="shared" si="34"/>
        <v>116.38618212661515</v>
      </c>
      <c r="Q120" s="12">
        <f t="shared" si="37"/>
        <v>106.74379243338988</v>
      </c>
      <c r="R120" s="12">
        <f t="shared" si="38"/>
        <v>97.254960103498163</v>
      </c>
      <c r="S120" s="12">
        <f t="shared" si="39"/>
        <v>105.13308370923346</v>
      </c>
      <c r="T120" s="55">
        <v>13.5263517043782</v>
      </c>
      <c r="U120" s="55">
        <v>12.025172268397499</v>
      </c>
      <c r="V120">
        <v>0.40785096473719201</v>
      </c>
      <c r="W120" s="12"/>
      <c r="X120" s="12"/>
      <c r="Y120" t="str">
        <v>20220617</v>
      </c>
      <c r="Z120">
        <v>26.5</v>
      </c>
      <c r="AA120">
        <v>44.1</v>
      </c>
      <c r="AB120">
        <f t="shared" si="50"/>
        <v>0.60090702947845798</v>
      </c>
      <c r="AD120" t="str">
        <v>20150227</v>
      </c>
      <c r="AE120">
        <v>1.3791960000000001</v>
      </c>
      <c r="AF120">
        <v>-10.1716561055658</v>
      </c>
      <c r="AG120">
        <v>35.200000000000003</v>
      </c>
      <c r="AH120">
        <v>55</v>
      </c>
      <c r="AI120">
        <v>53</v>
      </c>
      <c r="AJ120">
        <v>-17.378640776699001</v>
      </c>
      <c r="AK120">
        <v>60.2</v>
      </c>
      <c r="AL120">
        <v>125.092944091601</v>
      </c>
      <c r="AM120" s="2">
        <v>0.64306784660767002</v>
      </c>
      <c r="AO120" s="1"/>
      <c r="AP120" s="1"/>
      <c r="AQ120" s="1"/>
      <c r="AR120" s="1"/>
      <c r="AS120" s="1"/>
      <c r="AT120" s="1"/>
      <c r="AV120" s="1"/>
      <c r="AY120" t="str">
        <v>07/03/2024</v>
      </c>
      <c r="AZ120">
        <v>60.9</v>
      </c>
      <c r="BA120">
        <v>14.5</v>
      </c>
      <c r="BB120">
        <f t="shared" si="51"/>
        <v>4.2</v>
      </c>
    </row>
    <row r="121" spans="1:54" x14ac:dyDescent="0.3">
      <c r="A121" s="11">
        <v>45351</v>
      </c>
      <c r="B121">
        <v>0.72537313432835804</v>
      </c>
      <c r="C121">
        <v>5096.2700000000004</v>
      </c>
      <c r="D121">
        <v>94.18</v>
      </c>
      <c r="E121">
        <v>2044.15</v>
      </c>
      <c r="F121">
        <v>81.739999999999995</v>
      </c>
      <c r="G121">
        <v>51.68</v>
      </c>
      <c r="H121" s="12">
        <f t="shared" si="32"/>
        <v>183.09601410995666</v>
      </c>
      <c r="I121" s="12">
        <f t="shared" si="33"/>
        <v>93.520559894372525</v>
      </c>
      <c r="J121" s="12">
        <f t="shared" si="35"/>
        <v>179.00827171337397</v>
      </c>
      <c r="K121" s="12">
        <f t="shared" si="36"/>
        <v>156.51067566114432</v>
      </c>
      <c r="L121" s="55">
        <v>20.334071152195001</v>
      </c>
      <c r="M121" s="55">
        <v>17.7597310124433</v>
      </c>
      <c r="N121" s="55">
        <v>232.687427698308</v>
      </c>
      <c r="O121" s="55">
        <v>3.9237592050775101</v>
      </c>
      <c r="P121" s="12">
        <f t="shared" si="34"/>
        <v>116.43803562794885</v>
      </c>
      <c r="Q121" s="12">
        <f t="shared" si="37"/>
        <v>105.88152503746912</v>
      </c>
      <c r="R121" s="12">
        <f t="shared" si="38"/>
        <v>98.049210177054789</v>
      </c>
      <c r="S121" s="12">
        <f t="shared" si="39"/>
        <v>103.86575292767701</v>
      </c>
      <c r="T121" s="55">
        <v>13.600209391614801</v>
      </c>
      <c r="U121" s="55">
        <v>12.154040358034401</v>
      </c>
      <c r="V121">
        <v>0.49614576033636998</v>
      </c>
      <c r="W121" s="12"/>
      <c r="X121" s="12"/>
      <c r="Y121" t="str">
        <v>20220610</v>
      </c>
      <c r="Z121">
        <v>29.4</v>
      </c>
      <c r="AA121">
        <v>42.7</v>
      </c>
      <c r="AB121">
        <f t="shared" si="50"/>
        <v>0.6885245901639343</v>
      </c>
      <c r="AD121" t="str">
        <v>20150130</v>
      </c>
      <c r="AE121">
        <v>2.802683</v>
      </c>
      <c r="AF121">
        <v>-8.1271997246346093</v>
      </c>
      <c r="AG121">
        <v>35.1</v>
      </c>
      <c r="AH121">
        <v>55.9</v>
      </c>
      <c r="AI121">
        <v>53.9</v>
      </c>
      <c r="AJ121">
        <v>-18.176753255797799</v>
      </c>
      <c r="AK121">
        <v>59.9</v>
      </c>
      <c r="AL121">
        <v>124.696854487837</v>
      </c>
      <c r="AM121" s="2">
        <v>0.52463768115942</v>
      </c>
      <c r="AO121" s="1"/>
      <c r="AP121" s="1"/>
      <c r="AQ121" s="1"/>
      <c r="AR121" s="1"/>
      <c r="AS121" s="1"/>
      <c r="AT121" s="1"/>
      <c r="AV121" s="1"/>
      <c r="AY121" t="str">
        <v>06/03/2024</v>
      </c>
      <c r="AZ121">
        <v>60.9</v>
      </c>
      <c r="BA121">
        <v>14.5</v>
      </c>
      <c r="BB121">
        <f t="shared" si="51"/>
        <v>4.2</v>
      </c>
    </row>
    <row r="122" spans="1:54" x14ac:dyDescent="0.3">
      <c r="A122" s="11">
        <v>45351</v>
      </c>
      <c r="B122">
        <v>0.73404255319148903</v>
      </c>
      <c r="C122">
        <v>5069.76</v>
      </c>
      <c r="D122">
        <v>93.52</v>
      </c>
      <c r="E122">
        <v>2034.47</v>
      </c>
      <c r="F122">
        <v>81.69</v>
      </c>
      <c r="G122">
        <v>51.57</v>
      </c>
      <c r="H122" s="12">
        <f t="shared" si="32"/>
        <v>183.43137611320367</v>
      </c>
      <c r="I122" s="12">
        <f t="shared" si="33"/>
        <v>93.476527922378509</v>
      </c>
      <c r="J122" s="12">
        <f t="shared" si="35"/>
        <v>178.18559339873846</v>
      </c>
      <c r="K122" s="12">
        <f t="shared" si="36"/>
        <v>156.02761085494285</v>
      </c>
      <c r="L122" s="55">
        <v>20.405160801757599</v>
      </c>
      <c r="M122" s="55">
        <v>17.845176196264202</v>
      </c>
      <c r="N122" s="55">
        <v>232.01743838794599</v>
      </c>
      <c r="O122" s="55">
        <v>3.8817050697738802</v>
      </c>
      <c r="P122" s="12">
        <f t="shared" si="34"/>
        <v>117.37069435983759</v>
      </c>
      <c r="Q122" s="12">
        <f t="shared" si="37"/>
        <v>106.40549665295399</v>
      </c>
      <c r="R122" s="12">
        <f t="shared" si="38"/>
        <v>98.307264077646082</v>
      </c>
      <c r="S122" s="12">
        <f t="shared" si="39"/>
        <v>103.70801790106168</v>
      </c>
      <c r="T122" s="55">
        <v>13.777759285043601</v>
      </c>
      <c r="U122" s="55">
        <v>12.5731666803733</v>
      </c>
      <c r="V122">
        <v>0.485599464166108</v>
      </c>
      <c r="W122" s="12"/>
      <c r="X122" s="12"/>
      <c r="Y122" t="str">
        <v>20220603</v>
      </c>
      <c r="Z122">
        <v>35.700000000000003</v>
      </c>
      <c r="AA122">
        <v>40</v>
      </c>
      <c r="AB122">
        <f t="shared" si="50"/>
        <v>0.89250000000000007</v>
      </c>
      <c r="AD122" t="str">
        <v>20141231</v>
      </c>
      <c r="AE122">
        <v>3.2290234999999998</v>
      </c>
      <c r="AF122">
        <v>-6.0007348847931103</v>
      </c>
      <c r="AG122">
        <v>37.799999999999997</v>
      </c>
      <c r="AH122">
        <v>58.7</v>
      </c>
      <c r="AI122">
        <v>55.7</v>
      </c>
      <c r="AJ122">
        <v>-16.739548714360701</v>
      </c>
      <c r="AK122">
        <v>61.1</v>
      </c>
      <c r="AL122">
        <v>128.983468792579</v>
      </c>
      <c r="AM122" s="2">
        <v>0.48165137614678899</v>
      </c>
      <c r="AO122" s="1"/>
      <c r="AP122" s="1"/>
      <c r="AQ122" s="1"/>
      <c r="AR122" s="1"/>
      <c r="AS122" s="1"/>
      <c r="AT122" s="1"/>
      <c r="AV122" s="1"/>
      <c r="AY122" t="str">
        <v>05/03/2024</v>
      </c>
      <c r="AZ122">
        <v>60.9</v>
      </c>
      <c r="BA122">
        <v>14.5</v>
      </c>
      <c r="BB122">
        <f t="shared" si="51"/>
        <v>4.2</v>
      </c>
    </row>
    <row r="123" spans="1:54" x14ac:dyDescent="0.3">
      <c r="A123" s="11">
        <v>45350</v>
      </c>
      <c r="B123">
        <v>0.73170731707317105</v>
      </c>
      <c r="C123">
        <v>5078.18</v>
      </c>
      <c r="D123">
        <v>92.93</v>
      </c>
      <c r="E123">
        <v>2030.43</v>
      </c>
      <c r="F123">
        <v>81.61</v>
      </c>
      <c r="G123">
        <v>51.98</v>
      </c>
      <c r="H123" s="12">
        <f t="shared" si="32"/>
        <v>184.91195487220708</v>
      </c>
      <c r="I123" s="12">
        <f t="shared" si="33"/>
        <v>93.818760057574849</v>
      </c>
      <c r="J123" s="12">
        <f t="shared" si="35"/>
        <v>178.6569523212564</v>
      </c>
      <c r="K123" s="12">
        <f t="shared" si="36"/>
        <v>155.06164276107336</v>
      </c>
      <c r="L123" s="55">
        <v>20.6125413563826</v>
      </c>
      <c r="M123" s="55">
        <v>18.370329131166201</v>
      </c>
      <c r="N123" s="55">
        <v>232.96771931837799</v>
      </c>
      <c r="O123" s="55">
        <v>3.9237751825078502</v>
      </c>
      <c r="P123" s="12">
        <f t="shared" si="34"/>
        <v>116.59616679916721</v>
      </c>
      <c r="Q123" s="12">
        <f t="shared" si="37"/>
        <v>107.94221752589418</v>
      </c>
      <c r="R123" s="12">
        <f t="shared" si="38"/>
        <v>99.287968617369827</v>
      </c>
      <c r="S123" s="12">
        <f t="shared" si="39"/>
        <v>104.63592099489829</v>
      </c>
      <c r="T123" s="55">
        <v>13.839207248365099</v>
      </c>
      <c r="U123" s="55">
        <v>12.681518295735399</v>
      </c>
      <c r="V123">
        <v>0.48428961748633897</v>
      </c>
      <c r="W123" s="12"/>
      <c r="X123" s="12"/>
      <c r="Y123" t="str">
        <v>20220527</v>
      </c>
      <c r="Z123">
        <v>35.200000000000003</v>
      </c>
      <c r="AA123">
        <v>38</v>
      </c>
      <c r="AB123">
        <f t="shared" si="50"/>
        <v>0.92631578947368431</v>
      </c>
      <c r="AD123" t="str">
        <v>20141128</v>
      </c>
      <c r="AE123">
        <v>3.4341670999999998</v>
      </c>
      <c r="AF123">
        <v>-2.9581018195064601</v>
      </c>
      <c r="AG123">
        <v>44.4</v>
      </c>
      <c r="AH123">
        <v>60.2</v>
      </c>
      <c r="AI123">
        <v>56.3</v>
      </c>
      <c r="AJ123">
        <v>-15.754769921436599</v>
      </c>
      <c r="AK123">
        <v>62.1</v>
      </c>
      <c r="AL123">
        <v>130.212365659076</v>
      </c>
      <c r="AM123" s="2">
        <v>0.62099125364431496</v>
      </c>
      <c r="AO123" s="1"/>
      <c r="AP123" s="1"/>
      <c r="AQ123" s="1"/>
      <c r="AR123" s="1"/>
      <c r="AS123" s="1"/>
      <c r="AT123" s="1"/>
      <c r="AV123" s="1"/>
      <c r="AY123" t="str">
        <v>04/03/2024</v>
      </c>
      <c r="AZ123">
        <v>60.9</v>
      </c>
      <c r="BA123">
        <v>14.5</v>
      </c>
      <c r="BB123">
        <f t="shared" si="51"/>
        <v>4.2</v>
      </c>
    </row>
    <row r="124" spans="1:54" x14ac:dyDescent="0.3">
      <c r="A124" s="11">
        <v>45349</v>
      </c>
      <c r="B124">
        <v>0.73698630136986298</v>
      </c>
      <c r="C124">
        <v>5069.53</v>
      </c>
      <c r="D124">
        <v>93.59</v>
      </c>
      <c r="E124">
        <v>2031.28</v>
      </c>
      <c r="F124">
        <v>81.61</v>
      </c>
      <c r="G124">
        <v>51.88</v>
      </c>
      <c r="H124" s="12">
        <f t="shared" si="32"/>
        <v>183.30650007742597</v>
      </c>
      <c r="I124" s="12">
        <f t="shared" si="33"/>
        <v>93.619843361415107</v>
      </c>
      <c r="J124" s="12">
        <f t="shared" si="35"/>
        <v>178.35263411324115</v>
      </c>
      <c r="K124" s="12">
        <f t="shared" si="36"/>
        <v>155.09595812710364</v>
      </c>
      <c r="L124" s="55">
        <v>20.845703927315</v>
      </c>
      <c r="M124" s="55">
        <v>19.010692351777401</v>
      </c>
      <c r="N124" s="55">
        <v>231.48201107351699</v>
      </c>
      <c r="O124" s="55">
        <v>3.9703397214299199</v>
      </c>
      <c r="P124" s="12">
        <f t="shared" si="34"/>
        <v>114.5180822457767</v>
      </c>
      <c r="Q124" s="12">
        <f t="shared" si="37"/>
        <v>106.98157004192628</v>
      </c>
      <c r="R124" s="12">
        <f t="shared" si="38"/>
        <v>99.055586152159137</v>
      </c>
      <c r="S124" s="12">
        <f t="shared" si="39"/>
        <v>104.43462064669725</v>
      </c>
      <c r="T124" s="55">
        <v>13.928299948809</v>
      </c>
      <c r="U124" s="55">
        <v>12.903072842319</v>
      </c>
      <c r="V124">
        <v>0.48214285714285698</v>
      </c>
      <c r="W124" s="12"/>
      <c r="X124" s="12"/>
      <c r="Y124" t="str">
        <v>20220520</v>
      </c>
      <c r="Z124">
        <v>28.2</v>
      </c>
      <c r="AA124">
        <v>40.799999999999997</v>
      </c>
      <c r="AB124">
        <f t="shared" si="50"/>
        <v>0.69117647058823528</v>
      </c>
      <c r="AD124" t="str">
        <v>20141031</v>
      </c>
      <c r="AE124">
        <v>3.0603470000000002</v>
      </c>
      <c r="AF124">
        <v>-1.69609165160164</v>
      </c>
      <c r="AG124">
        <v>52.7</v>
      </c>
      <c r="AH124">
        <v>60.7</v>
      </c>
      <c r="AI124">
        <v>56.2</v>
      </c>
      <c r="AJ124">
        <v>-17.165784531330001</v>
      </c>
      <c r="AK124">
        <v>59.1</v>
      </c>
      <c r="AL124">
        <v>130.18931877362201</v>
      </c>
      <c r="AM124" s="2">
        <v>0.51595744680851097</v>
      </c>
      <c r="AO124" s="1"/>
      <c r="AP124" s="1"/>
      <c r="AQ124" s="1"/>
      <c r="AR124" s="1"/>
      <c r="AS124" s="1"/>
      <c r="AT124" s="1"/>
      <c r="AV124" s="1"/>
      <c r="AY124" t="str">
        <v>01/03/2024</v>
      </c>
      <c r="AZ124">
        <v>59.4</v>
      </c>
      <c r="BA124">
        <v>16</v>
      </c>
      <c r="BB124">
        <f t="shared" si="51"/>
        <v>3.7124999999999999</v>
      </c>
    </row>
    <row r="125" spans="1:54" x14ac:dyDescent="0.3">
      <c r="A125" s="11">
        <v>45346</v>
      </c>
      <c r="B125">
        <v>0.72815533980582503</v>
      </c>
      <c r="C125">
        <v>5088.8</v>
      </c>
      <c r="D125">
        <v>93.87</v>
      </c>
      <c r="E125">
        <v>2036</v>
      </c>
      <c r="F125">
        <v>81.67</v>
      </c>
      <c r="G125">
        <v>52.03</v>
      </c>
      <c r="H125" s="12">
        <f t="shared" si="32"/>
        <v>183.45397850075267</v>
      </c>
      <c r="I125" s="12">
        <f t="shared" si="33"/>
        <v>93.757524058465322</v>
      </c>
      <c r="J125" s="12">
        <f t="shared" si="35"/>
        <v>178.89864771973524</v>
      </c>
      <c r="K125" s="12">
        <f t="shared" si="36"/>
        <v>155.23625991737319</v>
      </c>
      <c r="L125" s="55">
        <v>21.009753452231902</v>
      </c>
      <c r="M125" s="55">
        <v>19.517894943265201</v>
      </c>
      <c r="N125" s="55">
        <v>230.375087689515</v>
      </c>
      <c r="O125" s="55">
        <v>3.9865328947070799</v>
      </c>
      <c r="P125" s="12">
        <f t="shared" si="34"/>
        <v>113.51159271103357</v>
      </c>
      <c r="Q125" s="12">
        <f t="shared" si="37"/>
        <v>106.97088402742349</v>
      </c>
      <c r="R125" s="12">
        <f t="shared" si="38"/>
        <v>99.111552565067711</v>
      </c>
      <c r="S125" s="12">
        <f t="shared" si="39"/>
        <v>104.65945933361552</v>
      </c>
      <c r="T125" s="55">
        <v>13.97037725012</v>
      </c>
      <c r="U125" s="55">
        <v>13.0102566741686</v>
      </c>
      <c r="V125">
        <v>0.47124183006535902</v>
      </c>
      <c r="W125" s="12"/>
      <c r="X125" s="12"/>
      <c r="Y125" t="str">
        <v>20220513</v>
      </c>
      <c r="Z125">
        <v>27.8</v>
      </c>
      <c r="AA125">
        <v>43</v>
      </c>
      <c r="AB125">
        <f t="shared" si="50"/>
        <v>0.6465116279069768</v>
      </c>
      <c r="AD125" t="str">
        <v>20140930</v>
      </c>
      <c r="AE125">
        <v>2.9200868999999998</v>
      </c>
      <c r="AF125">
        <v>-0.105643875345851</v>
      </c>
      <c r="AG125">
        <v>58.7</v>
      </c>
      <c r="AH125">
        <v>62</v>
      </c>
      <c r="AI125">
        <v>55.7</v>
      </c>
      <c r="AJ125">
        <v>-15.4709488042821</v>
      </c>
      <c r="AK125">
        <v>61.6</v>
      </c>
      <c r="AL125">
        <v>131.422213263374</v>
      </c>
      <c r="AM125" s="2">
        <v>0.483870967741935</v>
      </c>
      <c r="AO125" s="1"/>
      <c r="AP125" s="1"/>
      <c r="AQ125" s="1"/>
      <c r="AR125" s="1"/>
      <c r="AS125" s="1"/>
      <c r="AT125" s="1"/>
      <c r="AV125" s="1"/>
      <c r="AY125" t="str">
        <v>29/02/2024</v>
      </c>
      <c r="AZ125">
        <v>59.4</v>
      </c>
      <c r="BA125">
        <v>16</v>
      </c>
      <c r="BB125">
        <f t="shared" si="51"/>
        <v>3.7124999999999999</v>
      </c>
    </row>
    <row r="126" spans="1:54" x14ac:dyDescent="0.3">
      <c r="A126" s="11">
        <v>45345</v>
      </c>
      <c r="B126">
        <v>0.73396674584322996</v>
      </c>
      <c r="C126">
        <v>5087.03</v>
      </c>
      <c r="D126">
        <v>92.63</v>
      </c>
      <c r="E126">
        <v>2024.59</v>
      </c>
      <c r="F126">
        <v>81.63</v>
      </c>
      <c r="G126">
        <v>51.96</v>
      </c>
      <c r="H126" s="12">
        <f t="shared" si="32"/>
        <v>185.87757073992515</v>
      </c>
      <c r="I126" s="12">
        <f t="shared" si="33"/>
        <v>94.255927276859168</v>
      </c>
      <c r="J126" s="12">
        <f t="shared" si="35"/>
        <v>178.92406786166933</v>
      </c>
      <c r="K126" s="12">
        <f t="shared" si="36"/>
        <v>155.39153435708766</v>
      </c>
      <c r="L126" s="55">
        <v>21.1133243159823</v>
      </c>
      <c r="M126" s="55">
        <v>19.857067179091899</v>
      </c>
      <c r="N126" s="55">
        <v>229.32386758311699</v>
      </c>
      <c r="O126" s="55">
        <v>4.01221052645732</v>
      </c>
      <c r="P126" s="12">
        <f t="shared" si="34"/>
        <v>112.27834207690542</v>
      </c>
      <c r="Q126" s="12">
        <f t="shared" si="37"/>
        <v>108.27444354391368</v>
      </c>
      <c r="R126" s="12">
        <f t="shared" si="38"/>
        <v>99.538424973090684</v>
      </c>
      <c r="S126" s="12">
        <f t="shared" si="39"/>
        <v>104.56982477554972</v>
      </c>
      <c r="T126" s="55">
        <v>14.026732278986101</v>
      </c>
      <c r="U126" s="55">
        <v>13.1640062748834</v>
      </c>
      <c r="V126">
        <v>0.47171052631578902</v>
      </c>
      <c r="W126" s="12"/>
      <c r="X126" s="12"/>
      <c r="Y126" t="str">
        <v>20220506</v>
      </c>
      <c r="Z126">
        <v>27.6</v>
      </c>
      <c r="AA126">
        <v>40.799999999999997</v>
      </c>
      <c r="AB126">
        <f t="shared" si="50"/>
        <v>0.67647058823529416</v>
      </c>
      <c r="AD126" t="str">
        <v>20140829</v>
      </c>
      <c r="AE126">
        <v>3.1586185000000002</v>
      </c>
      <c r="AF126">
        <v>0.85926871631269996</v>
      </c>
      <c r="AG126">
        <v>56.9</v>
      </c>
      <c r="AH126">
        <v>60.1</v>
      </c>
      <c r="AI126">
        <v>56.3</v>
      </c>
      <c r="AJ126">
        <v>-14.6401308615049</v>
      </c>
      <c r="AK126">
        <v>61.9</v>
      </c>
      <c r="AL126">
        <v>130.72463247272501</v>
      </c>
      <c r="AM126" s="2">
        <v>0.59119496855345899</v>
      </c>
      <c r="AO126" s="1"/>
      <c r="AP126" s="1"/>
      <c r="AQ126" s="1"/>
      <c r="AR126" s="1"/>
      <c r="AS126" s="1"/>
      <c r="AT126" s="1"/>
      <c r="AV126" s="1"/>
      <c r="AY126" t="str">
        <v>28/02/2024</v>
      </c>
      <c r="AZ126">
        <v>59.4</v>
      </c>
      <c r="BA126">
        <v>16</v>
      </c>
      <c r="BB126">
        <f t="shared" si="51"/>
        <v>3.7124999999999999</v>
      </c>
    </row>
    <row r="127" spans="1:54" x14ac:dyDescent="0.3">
      <c r="A127" s="11">
        <v>45344</v>
      </c>
      <c r="B127">
        <v>0.72572815533980595</v>
      </c>
      <c r="C127">
        <v>4981.8</v>
      </c>
      <c r="D127">
        <v>92.18</v>
      </c>
      <c r="E127">
        <v>2025.89</v>
      </c>
      <c r="F127">
        <v>81.64</v>
      </c>
      <c r="G127">
        <v>51.43</v>
      </c>
      <c r="H127" s="12">
        <f t="shared" si="32"/>
        <v>182.90695434499682</v>
      </c>
      <c r="I127" s="12">
        <f t="shared" si="33"/>
        <v>92.248184236730737</v>
      </c>
      <c r="J127" s="12">
        <f t="shared" si="35"/>
        <v>175.20183886893474</v>
      </c>
      <c r="K127" s="12">
        <f t="shared" si="36"/>
        <v>153.72855754408116</v>
      </c>
      <c r="L127" s="55">
        <v>21.134092773054601</v>
      </c>
      <c r="M127" s="55">
        <v>19.892925680913098</v>
      </c>
      <c r="N127" s="55">
        <v>228.75222534642401</v>
      </c>
      <c r="O127" s="55">
        <v>3.9832347110199899</v>
      </c>
      <c r="P127" s="12">
        <f t="shared" si="34"/>
        <v>112.81709846667778</v>
      </c>
      <c r="Q127" s="12">
        <f t="shared" si="37"/>
        <v>107.6903830064159</v>
      </c>
      <c r="R127" s="12">
        <f t="shared" si="38"/>
        <v>98.460580680913495</v>
      </c>
      <c r="S127" s="12">
        <f t="shared" si="39"/>
        <v>103.49064930101247</v>
      </c>
      <c r="T127" s="55">
        <v>14.0381574388496</v>
      </c>
      <c r="U127" s="55">
        <v>13.151613515452301</v>
      </c>
      <c r="V127">
        <v>0.46383543463835403</v>
      </c>
      <c r="W127" s="12"/>
      <c r="X127" s="12"/>
      <c r="Y127" t="str">
        <v>20220429</v>
      </c>
      <c r="Z127">
        <v>30.9</v>
      </c>
      <c r="AA127">
        <v>39.299999999999997</v>
      </c>
      <c r="AB127">
        <f t="shared" si="50"/>
        <v>0.7862595419847328</v>
      </c>
      <c r="AO127" s="1"/>
      <c r="AY127" t="str">
        <v>27/02/2024</v>
      </c>
      <c r="AZ127">
        <v>59.4</v>
      </c>
      <c r="BA127">
        <v>16</v>
      </c>
      <c r="BB127">
        <f t="shared" si="51"/>
        <v>3.7124999999999999</v>
      </c>
    </row>
    <row r="128" spans="1:54" x14ac:dyDescent="0.3">
      <c r="A128" s="11">
        <v>45343</v>
      </c>
      <c r="B128">
        <v>0.73267326732673299</v>
      </c>
      <c r="C128">
        <v>4975.51</v>
      </c>
      <c r="D128">
        <v>92.84</v>
      </c>
      <c r="E128">
        <v>2024.12</v>
      </c>
      <c r="F128">
        <v>81.709999999999994</v>
      </c>
      <c r="G128">
        <v>51.38</v>
      </c>
      <c r="H128" s="12">
        <f t="shared" si="32"/>
        <v>181.38815562946272</v>
      </c>
      <c r="I128" s="12">
        <f t="shared" si="33"/>
        <v>92.212245627116744</v>
      </c>
      <c r="J128" s="12">
        <f t="shared" si="35"/>
        <v>174.83104315362507</v>
      </c>
      <c r="K128" s="12">
        <f t="shared" si="36"/>
        <v>153.68382775653436</v>
      </c>
      <c r="L128" s="55">
        <v>21.083855739507399</v>
      </c>
      <c r="M128" s="55">
        <v>19.600189779433901</v>
      </c>
      <c r="N128" s="55">
        <v>228.06297371670499</v>
      </c>
      <c r="O128" s="55">
        <v>3.98142705131341</v>
      </c>
      <c r="P128" s="12">
        <f t="shared" si="34"/>
        <v>112.5281065216066</v>
      </c>
      <c r="Q128" s="12">
        <f t="shared" si="37"/>
        <v>106.82699165887342</v>
      </c>
      <c r="R128" s="12">
        <f t="shared" si="38"/>
        <v>98.450864839113606</v>
      </c>
      <c r="S128" s="12">
        <f t="shared" si="39"/>
        <v>103.30162493122855</v>
      </c>
      <c r="T128" s="55">
        <v>14.0583450825221</v>
      </c>
      <c r="U128" s="55">
        <v>13.1683166450608</v>
      </c>
      <c r="V128">
        <v>0.46107382550335602</v>
      </c>
      <c r="W128" s="12"/>
      <c r="X128" s="12"/>
      <c r="Y128" t="str">
        <v>20220422</v>
      </c>
      <c r="Z128">
        <v>34.200000000000003</v>
      </c>
      <c r="AA128">
        <v>32.9</v>
      </c>
      <c r="AB128">
        <f t="shared" si="50"/>
        <v>1.0395136778115504</v>
      </c>
      <c r="AO128" s="1"/>
      <c r="AY128" t="str">
        <v>26/02/2024</v>
      </c>
      <c r="AZ128">
        <v>59.4</v>
      </c>
      <c r="BA128">
        <v>16</v>
      </c>
      <c r="BB128">
        <f t="shared" si="51"/>
        <v>3.7124999999999999</v>
      </c>
    </row>
    <row r="129" spans="1:54" x14ac:dyDescent="0.3">
      <c r="A129" s="11">
        <v>45339</v>
      </c>
      <c r="B129">
        <v>0.71229698375870099</v>
      </c>
      <c r="C129">
        <v>5005.57</v>
      </c>
      <c r="D129">
        <v>92.76</v>
      </c>
      <c r="E129">
        <v>2013.43</v>
      </c>
      <c r="F129">
        <v>81.66</v>
      </c>
      <c r="G129">
        <v>51.23</v>
      </c>
      <c r="H129" s="12">
        <f t="shared" si="32"/>
        <v>182.64249879517359</v>
      </c>
      <c r="I129" s="12">
        <f t="shared" si="33"/>
        <v>93.267535880815245</v>
      </c>
      <c r="J129" s="12">
        <f t="shared" si="35"/>
        <v>175.99571325964823</v>
      </c>
      <c r="K129" s="12">
        <f t="shared" si="36"/>
        <v>155.06910378642965</v>
      </c>
      <c r="L129" s="55">
        <v>20.886995883966801</v>
      </c>
      <c r="M129" s="55">
        <v>18.494831237995001</v>
      </c>
      <c r="N129" s="55">
        <v>227.64561872720799</v>
      </c>
      <c r="O129" s="55">
        <v>3.8813562823471099</v>
      </c>
      <c r="P129" s="12">
        <f t="shared" si="34"/>
        <v>115.28917491948772</v>
      </c>
      <c r="Q129" s="12">
        <f t="shared" si="37"/>
        <v>106.60679200553116</v>
      </c>
      <c r="R129" s="12">
        <f t="shared" si="38"/>
        <v>98.685872992661899</v>
      </c>
      <c r="S129" s="12">
        <f t="shared" si="39"/>
        <v>103.06296439397269</v>
      </c>
      <c r="T129" s="55">
        <v>13.9676726919161</v>
      </c>
      <c r="U129" s="55">
        <v>12.625789017149501</v>
      </c>
      <c r="V129">
        <v>0.44517833553500702</v>
      </c>
      <c r="W129" s="12"/>
      <c r="X129" s="12"/>
      <c r="Y129" t="str">
        <v>20220415</v>
      </c>
      <c r="Z129">
        <v>32.1</v>
      </c>
      <c r="AA129">
        <v>33.299999999999997</v>
      </c>
      <c r="AB129">
        <f t="shared" si="50"/>
        <v>0.96396396396396411</v>
      </c>
      <c r="AO129" s="1"/>
      <c r="AY129" t="str">
        <v>23/02/2024</v>
      </c>
      <c r="AZ129">
        <v>57.6</v>
      </c>
      <c r="BA129">
        <v>16.7</v>
      </c>
      <c r="BB129">
        <f t="shared" si="51"/>
        <v>3.4491017964071857</v>
      </c>
    </row>
    <row r="130" spans="1:54" x14ac:dyDescent="0.3">
      <c r="A130" s="11">
        <v>45338</v>
      </c>
      <c r="B130">
        <v>0.70207852193995401</v>
      </c>
      <c r="C130">
        <v>5029.7299999999996</v>
      </c>
      <c r="D130">
        <v>93.3</v>
      </c>
      <c r="E130">
        <v>2003.92</v>
      </c>
      <c r="F130">
        <v>81.760000000000005</v>
      </c>
      <c r="G130">
        <v>51.14</v>
      </c>
      <c r="H130" s="12">
        <f t="shared" ref="H130:H193" si="62">H131*(1+((C130/C131)-(D130/D131)))</f>
        <v>182.46289279736499</v>
      </c>
      <c r="I130" s="12">
        <f t="shared" ref="I130:I193" si="63">I131*(1+((C130/C131)-(E130/E131)))</f>
        <v>94.166747066750091</v>
      </c>
      <c r="J130" s="12">
        <f t="shared" si="35"/>
        <v>176.6281031193185</v>
      </c>
      <c r="K130" s="12">
        <f t="shared" si="36"/>
        <v>156.09359500239907</v>
      </c>
      <c r="L130" s="55">
        <v>21.049597303380502</v>
      </c>
      <c r="M130" s="55">
        <v>19.170077378517799</v>
      </c>
      <c r="N130" s="55">
        <v>226.12043858390999</v>
      </c>
      <c r="O130" s="55">
        <v>3.9036635566052902</v>
      </c>
      <c r="P130" s="12">
        <f t="shared" ref="P130:P193" si="64">P131*(1+((N130/N131)-(O130/O131)))</f>
        <v>113.87041377335792</v>
      </c>
      <c r="Q130" s="12">
        <f t="shared" si="37"/>
        <v>105.80818817761681</v>
      </c>
      <c r="R130" s="12">
        <f t="shared" si="38"/>
        <v>98.981414032437158</v>
      </c>
      <c r="S130" s="12">
        <f t="shared" si="39"/>
        <v>102.75644532601083</v>
      </c>
      <c r="T130" s="55">
        <v>14.020300274134399</v>
      </c>
      <c r="U130" s="55">
        <v>12.781270660635199</v>
      </c>
      <c r="V130">
        <v>0.44642857142857101</v>
      </c>
      <c r="W130" s="12"/>
      <c r="X130" s="12"/>
      <c r="Y130" t="str">
        <v>20220408</v>
      </c>
      <c r="Z130">
        <v>35.799999999999997</v>
      </c>
      <c r="AA130">
        <v>32.1</v>
      </c>
      <c r="AB130">
        <f t="shared" si="50"/>
        <v>1.1152647975077881</v>
      </c>
      <c r="AO130" s="1"/>
      <c r="AY130" t="str">
        <v>22/02/2024</v>
      </c>
      <c r="AZ130">
        <v>57.6</v>
      </c>
      <c r="BA130">
        <v>16.7</v>
      </c>
      <c r="BB130">
        <f t="shared" si="51"/>
        <v>3.4491017964071857</v>
      </c>
    </row>
    <row r="131" spans="1:54" x14ac:dyDescent="0.3">
      <c r="A131" s="11">
        <v>45337</v>
      </c>
      <c r="B131">
        <v>0.69392523364486003</v>
      </c>
      <c r="C131">
        <v>5000.62</v>
      </c>
      <c r="D131">
        <v>92.82</v>
      </c>
      <c r="E131">
        <v>1992.28</v>
      </c>
      <c r="F131">
        <v>81.680000000000007</v>
      </c>
      <c r="G131">
        <v>50.61</v>
      </c>
      <c r="H131" s="12">
        <f t="shared" si="62"/>
        <v>182.34437280750961</v>
      </c>
      <c r="I131" s="12">
        <f t="shared" si="63"/>
        <v>94.168750421239039</v>
      </c>
      <c r="J131" s="12">
        <f t="shared" ref="J131:J194" si="65">J132*(1+((C131/C132)-(F131/F132)))</f>
        <v>175.77701782787167</v>
      </c>
      <c r="K131" s="12">
        <f t="shared" ref="K131:K194" si="66">K132*(1+((C131/C132)-(G131/G132)))</f>
        <v>156.82297245694446</v>
      </c>
      <c r="L131" s="55">
        <v>21.1676453291483</v>
      </c>
      <c r="M131" s="55">
        <v>19.473300379064199</v>
      </c>
      <c r="N131" s="55">
        <v>225.44479767862799</v>
      </c>
      <c r="O131" s="55">
        <v>4.0775589379860397</v>
      </c>
      <c r="P131" s="12">
        <f t="shared" si="64"/>
        <v>108.89980662083009</v>
      </c>
      <c r="Q131" s="12">
        <f t="shared" ref="Q131:Q194" si="67">Q132*(1+((G131/G132)-(D131/D132)))</f>
        <v>105.2502629121842</v>
      </c>
      <c r="R131" s="12">
        <f t="shared" ref="R131:R194" si="68">R132*(1+((G131/G132)-(E131/E132)))</f>
        <v>98.52527291279857</v>
      </c>
      <c r="S131" s="12">
        <f t="shared" ref="S131:S194" si="69">S132*(1+((G131/G132)-(F131/F132)))</f>
        <v>101.79017090370469</v>
      </c>
      <c r="T131" s="55">
        <v>13.9257895627404</v>
      </c>
      <c r="U131" s="55">
        <v>13.064588844880999</v>
      </c>
      <c r="V131">
        <v>0.45016722408026799</v>
      </c>
      <c r="W131" s="12"/>
      <c r="X131" s="12"/>
      <c r="Y131" t="str">
        <v>20220401</v>
      </c>
      <c r="Z131">
        <v>39.1</v>
      </c>
      <c r="AA131">
        <v>31</v>
      </c>
      <c r="AB131">
        <f t="shared" si="50"/>
        <v>1.2612903225806451</v>
      </c>
      <c r="AO131" s="1"/>
      <c r="AY131" t="str">
        <v>21/02/2024</v>
      </c>
      <c r="AZ131">
        <v>57.6</v>
      </c>
      <c r="BA131">
        <v>16.7</v>
      </c>
      <c r="BB131">
        <f t="shared" si="51"/>
        <v>3.4491017964071857</v>
      </c>
    </row>
    <row r="132" spans="1:54" x14ac:dyDescent="0.3">
      <c r="A132" s="11">
        <v>45336</v>
      </c>
      <c r="B132">
        <v>0.68483412322274895</v>
      </c>
      <c r="C132">
        <v>4953.17</v>
      </c>
      <c r="D132">
        <v>92.35</v>
      </c>
      <c r="E132">
        <v>1993.25</v>
      </c>
      <c r="F132">
        <v>81.56</v>
      </c>
      <c r="G132">
        <v>49.98</v>
      </c>
      <c r="H132" s="12">
        <f t="shared" si="62"/>
        <v>181.52923580824634</v>
      </c>
      <c r="I132" s="12">
        <f t="shared" si="63"/>
        <v>93.23026048662561</v>
      </c>
      <c r="J132" s="12">
        <f t="shared" si="65"/>
        <v>174.36320870579274</v>
      </c>
      <c r="K132" s="12">
        <f t="shared" si="66"/>
        <v>157.29885155500909</v>
      </c>
      <c r="L132" s="55">
        <v>21.039993179324</v>
      </c>
      <c r="M132" s="55">
        <v>19.3612970444022</v>
      </c>
      <c r="N132" s="55">
        <v>224.86903555926301</v>
      </c>
      <c r="O132" s="55">
        <v>4.0248292017351099</v>
      </c>
      <c r="P132" s="12">
        <f t="shared" si="64"/>
        <v>110.05991277029379</v>
      </c>
      <c r="Q132" s="12">
        <f t="shared" si="67"/>
        <v>104.46513347680485</v>
      </c>
      <c r="R132" s="12">
        <f t="shared" si="68"/>
        <v>97.252079378925217</v>
      </c>
      <c r="S132" s="12">
        <f t="shared" si="69"/>
        <v>100.66934533660418</v>
      </c>
      <c r="T132" s="55">
        <v>14.262197667570399</v>
      </c>
      <c r="U132" s="55">
        <v>13.4036216637002</v>
      </c>
      <c r="V132">
        <v>0.44564483457123599</v>
      </c>
      <c r="W132" s="12"/>
      <c r="X132" s="12"/>
      <c r="Y132" t="str">
        <v>20220325</v>
      </c>
      <c r="Z132">
        <v>37.700000000000003</v>
      </c>
      <c r="AA132">
        <v>34.1</v>
      </c>
      <c r="AB132">
        <f t="shared" si="50"/>
        <v>1.1055718475073315</v>
      </c>
      <c r="AO132" s="1"/>
      <c r="AY132" t="str">
        <v>20/02/2024</v>
      </c>
      <c r="AZ132">
        <v>57.6</v>
      </c>
      <c r="BA132">
        <v>16.7</v>
      </c>
      <c r="BB132">
        <f t="shared" si="51"/>
        <v>3.4491017964071857</v>
      </c>
    </row>
    <row r="133" spans="1:54" x14ac:dyDescent="0.3">
      <c r="A133" s="11">
        <v>45335</v>
      </c>
      <c r="B133">
        <v>0.68824940047961602</v>
      </c>
      <c r="C133">
        <v>5021.84</v>
      </c>
      <c r="D133">
        <v>93.96</v>
      </c>
      <c r="E133">
        <v>2020.1</v>
      </c>
      <c r="F133">
        <v>81.819999999999993</v>
      </c>
      <c r="G133">
        <v>50.89</v>
      </c>
      <c r="H133" s="12">
        <f t="shared" si="62"/>
        <v>180.90318771794017</v>
      </c>
      <c r="I133" s="12">
        <f t="shared" si="63"/>
        <v>93.265967321964851</v>
      </c>
      <c r="J133" s="12">
        <f t="shared" si="65"/>
        <v>176.21283797076825</v>
      </c>
      <c r="K133" s="12">
        <f t="shared" si="66"/>
        <v>156.6397998017363</v>
      </c>
      <c r="L133" s="55">
        <v>21.408186928722799</v>
      </c>
      <c r="M133" s="55">
        <v>19.713966770440699</v>
      </c>
      <c r="N133" s="55">
        <v>224.35586900928101</v>
      </c>
      <c r="O133" s="55">
        <v>3.9609216555830198</v>
      </c>
      <c r="P133" s="12">
        <f t="shared" si="64"/>
        <v>111.6053370711157</v>
      </c>
      <c r="Q133" s="12">
        <f t="shared" si="67"/>
        <v>104.54320159313968</v>
      </c>
      <c r="R133" s="12">
        <f t="shared" si="68"/>
        <v>97.700552704106073</v>
      </c>
      <c r="S133" s="12">
        <f t="shared" si="69"/>
        <v>102.17167752741624</v>
      </c>
      <c r="T133" s="55">
        <v>14.4996923177182</v>
      </c>
      <c r="U133" s="55">
        <v>13.6794375029988</v>
      </c>
      <c r="V133">
        <v>0.44504748982360898</v>
      </c>
      <c r="W133" s="12"/>
      <c r="X133" s="12"/>
      <c r="Y133" t="str">
        <v>20220318</v>
      </c>
      <c r="Z133">
        <v>35.299999999999997</v>
      </c>
      <c r="AA133">
        <v>35.299999999999997</v>
      </c>
      <c r="AB133">
        <f t="shared" si="50"/>
        <v>1</v>
      </c>
      <c r="AY133" t="str">
        <v>19/02/2024</v>
      </c>
      <c r="AZ133">
        <v>57.6</v>
      </c>
      <c r="BA133">
        <v>16.7</v>
      </c>
      <c r="BB133">
        <f t="shared" si="51"/>
        <v>3.4491017964071857</v>
      </c>
    </row>
    <row r="134" spans="1:54" x14ac:dyDescent="0.3">
      <c r="A134" s="11">
        <v>45332</v>
      </c>
      <c r="B134">
        <v>0.68384074941452</v>
      </c>
      <c r="C134">
        <v>5026.6099999999997</v>
      </c>
      <c r="D134">
        <v>93.85</v>
      </c>
      <c r="E134">
        <v>2024.47</v>
      </c>
      <c r="F134">
        <v>81.81</v>
      </c>
      <c r="G134">
        <v>50.69</v>
      </c>
      <c r="H134" s="12">
        <f t="shared" si="62"/>
        <v>181.28770488644025</v>
      </c>
      <c r="I134" s="12">
        <f t="shared" si="63"/>
        <v>93.153285385016332</v>
      </c>
      <c r="J134" s="12">
        <f t="shared" si="65"/>
        <v>176.40179677693487</v>
      </c>
      <c r="K134" s="12">
        <f t="shared" si="66"/>
        <v>157.41024441310714</v>
      </c>
      <c r="L134" s="55">
        <v>21.9045037903104</v>
      </c>
      <c r="M134" s="55">
        <v>20.1528262390386</v>
      </c>
      <c r="N134" s="55">
        <v>223.513096624621</v>
      </c>
      <c r="O134" s="55">
        <v>4.00429913543209</v>
      </c>
      <c r="P134" s="12">
        <f t="shared" si="64"/>
        <v>109.99898885457104</v>
      </c>
      <c r="Q134" s="12">
        <f t="shared" si="67"/>
        <v>104.25405627505589</v>
      </c>
      <c r="R134" s="12">
        <f t="shared" si="68"/>
        <v>97.107793038696059</v>
      </c>
      <c r="S134" s="12">
        <f t="shared" si="69"/>
        <v>101.7825306532504</v>
      </c>
      <c r="T134" s="55">
        <v>14.4259453908934</v>
      </c>
      <c r="U134" s="55">
        <v>13.552928058144699</v>
      </c>
      <c r="V134">
        <v>0.42781806196440297</v>
      </c>
      <c r="W134" s="12"/>
      <c r="X134" s="12"/>
      <c r="Y134" t="str">
        <v>20220311</v>
      </c>
      <c r="Z134">
        <v>30.6</v>
      </c>
      <c r="AA134">
        <v>36.5</v>
      </c>
      <c r="AB134">
        <f t="shared" si="50"/>
        <v>0.83835616438356164</v>
      </c>
      <c r="AY134" t="str">
        <v>16/02/2024</v>
      </c>
      <c r="AZ134">
        <v>57.3</v>
      </c>
      <c r="BA134">
        <v>16.2</v>
      </c>
      <c r="BB134">
        <f t="shared" si="51"/>
        <v>3.5370370370370372</v>
      </c>
    </row>
    <row r="135" spans="1:54" x14ac:dyDescent="0.3">
      <c r="A135" s="11">
        <v>45331</v>
      </c>
      <c r="B135">
        <v>0.67695961995249399</v>
      </c>
      <c r="C135">
        <v>4997.91</v>
      </c>
      <c r="D135">
        <v>94.04</v>
      </c>
      <c r="E135">
        <v>2034.36</v>
      </c>
      <c r="F135">
        <v>81.84</v>
      </c>
      <c r="G135">
        <v>50.48</v>
      </c>
      <c r="H135" s="12">
        <f t="shared" si="62"/>
        <v>179.89124206430887</v>
      </c>
      <c r="I135" s="12">
        <f t="shared" si="63"/>
        <v>92.175863579436083</v>
      </c>
      <c r="J135" s="12">
        <f t="shared" si="65"/>
        <v>175.3307068820645</v>
      </c>
      <c r="K135" s="12">
        <f t="shared" si="66"/>
        <v>157.16156186948709</v>
      </c>
      <c r="L135" s="55">
        <v>21.751863871795901</v>
      </c>
      <c r="M135" s="55">
        <v>19.853253267572398</v>
      </c>
      <c r="N135" s="55">
        <v>223.38541158421</v>
      </c>
      <c r="O135" s="55">
        <v>3.9561808579356401</v>
      </c>
      <c r="P135" s="12">
        <f t="shared" si="64"/>
        <v>111.2889636691053</v>
      </c>
      <c r="Q135" s="12">
        <f t="shared" si="67"/>
        <v>103.61367401072179</v>
      </c>
      <c r="R135" s="12">
        <f t="shared" si="68"/>
        <v>96.239563660579307</v>
      </c>
      <c r="S135" s="12">
        <f t="shared" si="69"/>
        <v>101.32387472849496</v>
      </c>
      <c r="T135" s="55">
        <v>14.270674091709701</v>
      </c>
      <c r="U135" s="55">
        <v>13.426216860131101</v>
      </c>
      <c r="V135">
        <v>0.42042440318302399</v>
      </c>
      <c r="W135" s="12"/>
      <c r="X135" s="12"/>
      <c r="Y135" t="str">
        <v>20220304</v>
      </c>
      <c r="Z135">
        <v>32.200000000000003</v>
      </c>
      <c r="AA135">
        <v>35.6</v>
      </c>
      <c r="AB135">
        <f t="shared" si="50"/>
        <v>0.9044943820224719</v>
      </c>
      <c r="AY135" t="str">
        <v>15/02/2024</v>
      </c>
      <c r="AZ135">
        <v>57.3</v>
      </c>
      <c r="BA135">
        <v>16.2</v>
      </c>
      <c r="BB135">
        <f t="shared" si="51"/>
        <v>3.5370370370370372</v>
      </c>
    </row>
    <row r="136" spans="1:54" x14ac:dyDescent="0.3">
      <c r="A136" s="11">
        <v>45330</v>
      </c>
      <c r="B136">
        <v>0.65789473684210498</v>
      </c>
      <c r="C136">
        <v>4995.0600000000004</v>
      </c>
      <c r="D136">
        <v>94.59</v>
      </c>
      <c r="E136">
        <v>2035.22</v>
      </c>
      <c r="F136">
        <v>81.86</v>
      </c>
      <c r="G136">
        <v>50.65</v>
      </c>
      <c r="H136" s="12">
        <f t="shared" si="62"/>
        <v>178.74990038164026</v>
      </c>
      <c r="I136" s="12">
        <f t="shared" si="63"/>
        <v>92.084412481412286</v>
      </c>
      <c r="J136" s="12">
        <f t="shared" si="65"/>
        <v>175.18794915022698</v>
      </c>
      <c r="K136" s="12">
        <f t="shared" si="66"/>
        <v>156.54681334413584</v>
      </c>
      <c r="L136" s="55">
        <v>21.619538145014399</v>
      </c>
      <c r="M136" s="55">
        <v>19.826214599175501</v>
      </c>
      <c r="N136" s="55">
        <v>221.94007595421499</v>
      </c>
      <c r="O136" s="55">
        <v>3.93021904855626</v>
      </c>
      <c r="P136" s="12">
        <f t="shared" si="64"/>
        <v>111.29936030687657</v>
      </c>
      <c r="Q136" s="12">
        <f t="shared" si="67"/>
        <v>103.35959535934134</v>
      </c>
      <c r="R136" s="12">
        <f t="shared" si="68"/>
        <v>96.522742902749457</v>
      </c>
      <c r="S136" s="12">
        <f t="shared" si="69"/>
        <v>101.64018382432735</v>
      </c>
      <c r="T136" s="55">
        <v>14.6474856234074</v>
      </c>
      <c r="U136" s="55">
        <v>13.8396311619843</v>
      </c>
      <c r="V136">
        <v>0.42115768463073899</v>
      </c>
      <c r="W136" s="12"/>
      <c r="X136" s="12"/>
      <c r="Y136" t="str">
        <v>20220225</v>
      </c>
      <c r="Z136">
        <v>29.9</v>
      </c>
      <c r="AA136">
        <v>34.5</v>
      </c>
      <c r="AB136">
        <f t="shared" ref="AB136:AB199" si="70">IFERROR(Z136/AA136,"")</f>
        <v>0.86666666666666659</v>
      </c>
      <c r="AY136" t="str">
        <v>14/02/2024</v>
      </c>
      <c r="AZ136">
        <v>57.3</v>
      </c>
      <c r="BA136">
        <v>16.2</v>
      </c>
      <c r="BB136">
        <f t="shared" ref="BB136:BB199" si="71">IFERROR(AZ136/BA136,"")</f>
        <v>3.5370370370370372</v>
      </c>
    </row>
    <row r="137" spans="1:54" x14ac:dyDescent="0.3">
      <c r="A137" s="11">
        <v>45329</v>
      </c>
      <c r="B137">
        <v>0.64058679706601496</v>
      </c>
      <c r="C137">
        <v>4954.2299999999996</v>
      </c>
      <c r="D137">
        <v>95.05</v>
      </c>
      <c r="E137">
        <v>2036.11</v>
      </c>
      <c r="F137">
        <v>81.89</v>
      </c>
      <c r="G137">
        <v>50.62</v>
      </c>
      <c r="H137" s="12">
        <f t="shared" si="62"/>
        <v>176.4418643037184</v>
      </c>
      <c r="I137" s="12">
        <f t="shared" si="63"/>
        <v>91.292129157811331</v>
      </c>
      <c r="J137" s="12">
        <f t="shared" si="65"/>
        <v>173.69283815107516</v>
      </c>
      <c r="K137" s="12">
        <f t="shared" si="66"/>
        <v>155.35850857644618</v>
      </c>
      <c r="L137" s="55">
        <v>23.001467634231702</v>
      </c>
      <c r="M137" s="55">
        <v>21.050494340005699</v>
      </c>
      <c r="N137" s="55">
        <v>221.58344738653901</v>
      </c>
      <c r="O137" s="55">
        <v>3.9695970846553399</v>
      </c>
      <c r="P137" s="12">
        <f t="shared" si="64"/>
        <v>110.03077561269447</v>
      </c>
      <c r="Q137" s="12">
        <f t="shared" si="67"/>
        <v>102.80115795782891</v>
      </c>
      <c r="R137" s="12">
        <f t="shared" si="68"/>
        <v>96.423449973748617</v>
      </c>
      <c r="S137" s="12">
        <f t="shared" si="69"/>
        <v>101.54280465817529</v>
      </c>
      <c r="T137" s="55">
        <v>15.022557927999999</v>
      </c>
      <c r="U137" s="55">
        <v>14.142111049017799</v>
      </c>
      <c r="V137">
        <v>0.42165433759246801</v>
      </c>
      <c r="W137" s="12"/>
      <c r="X137" s="12"/>
      <c r="Y137" t="str">
        <v>20220218</v>
      </c>
      <c r="Z137">
        <v>32.200000000000003</v>
      </c>
      <c r="AA137">
        <v>31</v>
      </c>
      <c r="AB137">
        <f t="shared" si="70"/>
        <v>1.0387096774193549</v>
      </c>
      <c r="AY137" t="str">
        <v>13/02/2024</v>
      </c>
      <c r="AZ137">
        <v>57.3</v>
      </c>
      <c r="BA137">
        <v>16.2</v>
      </c>
      <c r="BB137">
        <f t="shared" si="71"/>
        <v>3.5370370370370372</v>
      </c>
    </row>
    <row r="138" spans="1:54" x14ac:dyDescent="0.3">
      <c r="A138" s="11">
        <v>45328</v>
      </c>
      <c r="B138">
        <v>0.62222222222222201</v>
      </c>
      <c r="C138">
        <v>4942.8100000000004</v>
      </c>
      <c r="D138">
        <v>94.13</v>
      </c>
      <c r="E138">
        <v>2025.2</v>
      </c>
      <c r="F138">
        <v>81.760000000000005</v>
      </c>
      <c r="G138">
        <v>50.06</v>
      </c>
      <c r="H138" s="12">
        <f t="shared" si="62"/>
        <v>177.76860303698069</v>
      </c>
      <c r="I138" s="12">
        <f t="shared" si="63"/>
        <v>91.573874093253252</v>
      </c>
      <c r="J138" s="12">
        <f t="shared" si="65"/>
        <v>173.56779867819594</v>
      </c>
      <c r="K138" s="12">
        <f t="shared" si="66"/>
        <v>156.74984361440147</v>
      </c>
      <c r="L138" s="55">
        <v>23.1528206760157</v>
      </c>
      <c r="M138" s="55">
        <v>21.1602327346971</v>
      </c>
      <c r="N138" s="55">
        <v>221.06721158834901</v>
      </c>
      <c r="O138" s="55">
        <v>3.9177046028740401</v>
      </c>
      <c r="P138" s="12">
        <f t="shared" si="64"/>
        <v>111.24450159748842</v>
      </c>
      <c r="Q138" s="12">
        <f t="shared" si="67"/>
        <v>102.65611934504355</v>
      </c>
      <c r="R138" s="12">
        <f t="shared" si="68"/>
        <v>95.867471000050088</v>
      </c>
      <c r="S138" s="12">
        <f t="shared" si="69"/>
        <v>100.57760597585086</v>
      </c>
      <c r="T138" s="55">
        <v>15.023535678301201</v>
      </c>
      <c r="U138" s="55">
        <v>14.1931083802423</v>
      </c>
      <c r="V138">
        <v>0.42428376534788498</v>
      </c>
      <c r="W138" s="12"/>
      <c r="X138" s="12"/>
      <c r="Y138" t="str">
        <v>20220211</v>
      </c>
      <c r="Z138">
        <v>33.700000000000003</v>
      </c>
      <c r="AA138">
        <v>27.9</v>
      </c>
      <c r="AB138">
        <f t="shared" si="70"/>
        <v>1.2078853046594984</v>
      </c>
      <c r="AY138" t="str">
        <v>12/02/2024</v>
      </c>
      <c r="AZ138">
        <v>57.3</v>
      </c>
      <c r="BA138">
        <v>16.2</v>
      </c>
      <c r="BB138">
        <f t="shared" si="71"/>
        <v>3.5370370370370372</v>
      </c>
    </row>
    <row r="139" spans="1:54" x14ac:dyDescent="0.3">
      <c r="A139" s="11">
        <v>45325</v>
      </c>
      <c r="B139">
        <v>0.63027295285359797</v>
      </c>
      <c r="C139">
        <v>4958.6099999999997</v>
      </c>
      <c r="D139">
        <v>96.07</v>
      </c>
      <c r="E139">
        <v>2038.8</v>
      </c>
      <c r="F139">
        <v>81.92</v>
      </c>
      <c r="G139">
        <v>50.3</v>
      </c>
      <c r="H139" s="12">
        <f t="shared" si="62"/>
        <v>174.79581014136249</v>
      </c>
      <c r="I139" s="12">
        <f t="shared" si="63"/>
        <v>91.255918968708997</v>
      </c>
      <c r="J139" s="12">
        <f t="shared" si="65"/>
        <v>173.78211579005946</v>
      </c>
      <c r="K139" s="12">
        <f t="shared" si="66"/>
        <v>156.50178907031002</v>
      </c>
      <c r="L139" s="55">
        <v>23.670701442571101</v>
      </c>
      <c r="M139" s="55">
        <v>21.6581802936971</v>
      </c>
      <c r="N139" s="55">
        <v>220.063869992593</v>
      </c>
      <c r="O139" s="55">
        <v>3.8980922497085402</v>
      </c>
      <c r="P139" s="12">
        <f t="shared" si="64"/>
        <v>111.29702819321642</v>
      </c>
      <c r="Q139" s="12">
        <f t="shared" si="67"/>
        <v>101.0969777878019</v>
      </c>
      <c r="R139" s="12">
        <f t="shared" si="68"/>
        <v>95.685742840835616</v>
      </c>
      <c r="S139" s="12">
        <f t="shared" si="69"/>
        <v>100.86185958578251</v>
      </c>
      <c r="T139" s="55">
        <v>15.060215789094901</v>
      </c>
      <c r="U139" s="55">
        <v>14.2633874311613</v>
      </c>
      <c r="V139">
        <v>0.42305129913391099</v>
      </c>
      <c r="W139" s="12"/>
      <c r="X139" s="12"/>
      <c r="Y139" t="str">
        <v>20220204</v>
      </c>
      <c r="Z139">
        <v>34.1</v>
      </c>
      <c r="AA139">
        <v>25.9</v>
      </c>
      <c r="AB139">
        <f t="shared" si="70"/>
        <v>1.3166023166023166</v>
      </c>
      <c r="AY139" t="str">
        <v>09/02/2024</v>
      </c>
      <c r="AZ139">
        <v>58.8</v>
      </c>
      <c r="BA139">
        <v>17.7</v>
      </c>
      <c r="BB139">
        <f t="shared" si="71"/>
        <v>3.3220338983050848</v>
      </c>
    </row>
    <row r="140" spans="1:54" x14ac:dyDescent="0.3">
      <c r="A140" s="11">
        <v>45324</v>
      </c>
      <c r="B140">
        <v>0.63861386138613896</v>
      </c>
      <c r="C140">
        <v>4906.1899999999996</v>
      </c>
      <c r="D140">
        <v>98.24</v>
      </c>
      <c r="E140">
        <v>2055.29</v>
      </c>
      <c r="F140">
        <v>82.18</v>
      </c>
      <c r="G140">
        <v>50.65</v>
      </c>
      <c r="H140" s="12">
        <f t="shared" si="62"/>
        <v>169.24897553923927</v>
      </c>
      <c r="I140" s="12">
        <f t="shared" si="63"/>
        <v>89.580085144118144</v>
      </c>
      <c r="J140" s="12">
        <f t="shared" si="65"/>
        <v>171.40840950880406</v>
      </c>
      <c r="K140" s="12">
        <f t="shared" si="66"/>
        <v>153.79580876686987</v>
      </c>
      <c r="L140" s="55">
        <v>23.574779090449901</v>
      </c>
      <c r="M140" s="55">
        <v>21.574540592403999</v>
      </c>
      <c r="N140" s="55">
        <v>219.079731872374</v>
      </c>
      <c r="O140" s="55">
        <v>3.9138072815609899</v>
      </c>
      <c r="P140" s="12">
        <f t="shared" si="64"/>
        <v>110.3581642945818</v>
      </c>
      <c r="Q140" s="12">
        <f t="shared" si="67"/>
        <v>99.585411223026739</v>
      </c>
      <c r="R140" s="12">
        <f t="shared" si="68"/>
        <v>95.579360064047009</v>
      </c>
      <c r="S140" s="12">
        <f t="shared" si="69"/>
        <v>101.24114749809048</v>
      </c>
      <c r="T140" s="55">
        <v>15.0925723639367</v>
      </c>
      <c r="U140" s="55">
        <v>14.173794372702099</v>
      </c>
      <c r="V140">
        <v>0.41972018654230497</v>
      </c>
      <c r="W140" s="12"/>
      <c r="X140" s="12"/>
      <c r="Y140" t="str">
        <v>20220128</v>
      </c>
      <c r="Z140">
        <v>35.700000000000003</v>
      </c>
      <c r="AA140">
        <v>25</v>
      </c>
      <c r="AB140">
        <f t="shared" si="70"/>
        <v>1.4280000000000002</v>
      </c>
      <c r="AY140" t="str">
        <v>08/02/2024</v>
      </c>
      <c r="AZ140">
        <v>58.8</v>
      </c>
      <c r="BA140">
        <v>17.7</v>
      </c>
      <c r="BB140">
        <f t="shared" si="71"/>
        <v>3.3220338983050848</v>
      </c>
    </row>
    <row r="141" spans="1:54" x14ac:dyDescent="0.3">
      <c r="A141" s="11">
        <v>45322</v>
      </c>
      <c r="B141">
        <v>0.614427860696517</v>
      </c>
      <c r="C141">
        <v>4845.6499999999996</v>
      </c>
      <c r="D141">
        <v>96.66</v>
      </c>
      <c r="E141">
        <v>2040.16</v>
      </c>
      <c r="F141">
        <v>82.3</v>
      </c>
      <c r="G141">
        <v>50.16</v>
      </c>
      <c r="H141" s="12">
        <f t="shared" si="62"/>
        <v>169.90349050727946</v>
      </c>
      <c r="I141" s="12">
        <f t="shared" si="63"/>
        <v>89.127531645276576</v>
      </c>
      <c r="J141" s="12">
        <f t="shared" si="65"/>
        <v>169.0498663300346</v>
      </c>
      <c r="K141" s="12">
        <f t="shared" si="66"/>
        <v>153.37786331248074</v>
      </c>
      <c r="L141" s="55">
        <v>23.1371915827009</v>
      </c>
      <c r="M141" s="55">
        <v>21.1145648600491</v>
      </c>
      <c r="N141" s="55">
        <v>218.89690784704001</v>
      </c>
      <c r="O141" s="55">
        <v>3.86972060409644</v>
      </c>
      <c r="P141" s="12">
        <f t="shared" si="64"/>
        <v>111.53570503874757</v>
      </c>
      <c r="Q141" s="12">
        <f t="shared" si="67"/>
        <v>100.24474243274693</v>
      </c>
      <c r="R141" s="12">
        <f t="shared" si="68"/>
        <v>95.355022591564122</v>
      </c>
      <c r="S141" s="12">
        <f t="shared" si="69"/>
        <v>100.11715025065604</v>
      </c>
      <c r="T141" s="55">
        <v>15.050339464921</v>
      </c>
      <c r="U141" s="55">
        <v>14.036129038795099</v>
      </c>
      <c r="V141">
        <v>0.42377434519812002</v>
      </c>
      <c r="W141" s="12"/>
      <c r="X141" s="12"/>
      <c r="Y141" t="str">
        <v>20220121</v>
      </c>
      <c r="Z141">
        <v>34.9</v>
      </c>
      <c r="AA141">
        <v>26.7</v>
      </c>
      <c r="AB141">
        <f t="shared" si="70"/>
        <v>1.3071161048689139</v>
      </c>
      <c r="AY141" t="str">
        <v>07/02/2024</v>
      </c>
      <c r="AZ141">
        <v>58.8</v>
      </c>
      <c r="BA141">
        <v>17.7</v>
      </c>
      <c r="BB141">
        <f t="shared" si="71"/>
        <v>3.3220338983050848</v>
      </c>
    </row>
    <row r="142" spans="1:54" x14ac:dyDescent="0.3">
      <c r="A142" s="11">
        <v>45322</v>
      </c>
      <c r="B142">
        <v>0.6</v>
      </c>
      <c r="C142">
        <v>4924.97</v>
      </c>
      <c r="D142">
        <v>95.72</v>
      </c>
      <c r="E142">
        <v>2036.95</v>
      </c>
      <c r="F142">
        <v>82.15</v>
      </c>
      <c r="G142">
        <v>50.45</v>
      </c>
      <c r="H142" s="12">
        <f t="shared" si="62"/>
        <v>174.42564831257042</v>
      </c>
      <c r="I142" s="12">
        <f t="shared" si="63"/>
        <v>90.731812297666892</v>
      </c>
      <c r="J142" s="12">
        <f t="shared" si="65"/>
        <v>172.1365518518474</v>
      </c>
      <c r="K142" s="12">
        <f t="shared" si="66"/>
        <v>154.98308766351053</v>
      </c>
      <c r="L142" s="55">
        <v>23.676039018506099</v>
      </c>
      <c r="M142" s="55">
        <v>21.579900645374899</v>
      </c>
      <c r="N142" s="55">
        <v>218.44119333730899</v>
      </c>
      <c r="O142" s="55">
        <v>3.9523629868294399</v>
      </c>
      <c r="P142" s="12">
        <f t="shared" si="64"/>
        <v>109.02850462885783</v>
      </c>
      <c r="Q142" s="12">
        <f t="shared" si="67"/>
        <v>101.83009183899354</v>
      </c>
      <c r="R142" s="12">
        <f t="shared" si="68"/>
        <v>96.05857007561309</v>
      </c>
      <c r="S142" s="12">
        <f t="shared" si="69"/>
        <v>100.88124434506892</v>
      </c>
      <c r="T142" s="55">
        <v>15.310203485900701</v>
      </c>
      <c r="U142" s="55">
        <v>14.196208262741701</v>
      </c>
      <c r="V142">
        <v>0.41649763353617297</v>
      </c>
      <c r="W142" s="12"/>
      <c r="X142" s="12"/>
      <c r="Y142" t="str">
        <v>20220114</v>
      </c>
      <c r="Z142">
        <v>39.799999999999997</v>
      </c>
      <c r="AA142">
        <v>25</v>
      </c>
      <c r="AB142">
        <f t="shared" si="70"/>
        <v>1.5919999999999999</v>
      </c>
      <c r="AY142" t="str">
        <v>06/02/2024</v>
      </c>
      <c r="AZ142">
        <v>58.8</v>
      </c>
      <c r="BA142">
        <v>17.7</v>
      </c>
      <c r="BB142">
        <f t="shared" si="71"/>
        <v>3.3220338983050848</v>
      </c>
    </row>
    <row r="143" spans="1:54" x14ac:dyDescent="0.3">
      <c r="A143" s="11">
        <v>45321</v>
      </c>
      <c r="B143">
        <v>0.58701298701298699</v>
      </c>
      <c r="C143">
        <v>4927.93</v>
      </c>
      <c r="D143">
        <v>94.86</v>
      </c>
      <c r="E143">
        <v>2032.73</v>
      </c>
      <c r="F143">
        <v>82.2</v>
      </c>
      <c r="G143">
        <v>50.59</v>
      </c>
      <c r="H143" s="12">
        <f t="shared" si="62"/>
        <v>176.12821812961749</v>
      </c>
      <c r="I143" s="12">
        <f t="shared" si="63"/>
        <v>90.975324467581544</v>
      </c>
      <c r="J143" s="12">
        <f t="shared" si="65"/>
        <v>172.13524110681919</v>
      </c>
      <c r="K143" s="12">
        <f t="shared" si="66"/>
        <v>154.64801375411096</v>
      </c>
      <c r="L143" s="55">
        <v>22.9926663130422</v>
      </c>
      <c r="M143" s="55">
        <v>20.924496511807799</v>
      </c>
      <c r="N143" s="55">
        <v>216.99974972598801</v>
      </c>
      <c r="O143" s="55">
        <v>3.9189013672792101</v>
      </c>
      <c r="P143" s="12">
        <f t="shared" si="64"/>
        <v>109.23560611016055</v>
      </c>
      <c r="Q143" s="12">
        <f t="shared" si="67"/>
        <v>103.04951146817299</v>
      </c>
      <c r="R143" s="12">
        <f t="shared" si="68"/>
        <v>96.52608171621084</v>
      </c>
      <c r="S143" s="12">
        <f t="shared" si="69"/>
        <v>101.09952558277662</v>
      </c>
      <c r="T143" s="55">
        <v>15.198990224052499</v>
      </c>
      <c r="U143" s="55">
        <v>13.9633293215359</v>
      </c>
      <c r="V143">
        <v>0.42239010989011</v>
      </c>
      <c r="W143" s="12"/>
      <c r="X143" s="12"/>
      <c r="Y143" t="str">
        <v>20220107</v>
      </c>
      <c r="Z143">
        <v>43.7</v>
      </c>
      <c r="AA143">
        <v>23</v>
      </c>
      <c r="AB143">
        <f t="shared" si="70"/>
        <v>1.9000000000000001</v>
      </c>
      <c r="AY143" t="str">
        <v>05/02/2024</v>
      </c>
      <c r="AZ143">
        <v>58.8</v>
      </c>
      <c r="BA143">
        <v>17.7</v>
      </c>
      <c r="BB143">
        <f t="shared" si="71"/>
        <v>3.3220338983050848</v>
      </c>
    </row>
    <row r="144" spans="1:54" x14ac:dyDescent="0.3">
      <c r="A144" s="11">
        <v>45318</v>
      </c>
      <c r="B144">
        <v>0.58311345646437995</v>
      </c>
      <c r="C144">
        <v>4890.97</v>
      </c>
      <c r="D144">
        <v>93.78</v>
      </c>
      <c r="E144">
        <v>2018.71</v>
      </c>
      <c r="F144">
        <v>82.12</v>
      </c>
      <c r="G144">
        <v>50.36</v>
      </c>
      <c r="H144" s="12">
        <f t="shared" si="62"/>
        <v>176.82837566455862</v>
      </c>
      <c r="I144" s="12">
        <f t="shared" si="63"/>
        <v>90.919703978319106</v>
      </c>
      <c r="J144" s="12">
        <f t="shared" si="65"/>
        <v>171.00955377309006</v>
      </c>
      <c r="K144" s="12">
        <f t="shared" si="66"/>
        <v>154.18704591507392</v>
      </c>
      <c r="L144" s="55">
        <v>23.374593029946499</v>
      </c>
      <c r="M144" s="55">
        <v>21.247651657429898</v>
      </c>
      <c r="N144" s="55">
        <v>216.36778324098501</v>
      </c>
      <c r="O144" s="55">
        <v>3.92139585131165</v>
      </c>
      <c r="P144" s="12">
        <f t="shared" si="64"/>
        <v>108.84844102478601</v>
      </c>
      <c r="Q144" s="12">
        <f t="shared" si="67"/>
        <v>103.77063415356059</v>
      </c>
      <c r="R144" s="12">
        <f t="shared" si="68"/>
        <v>96.756159396319291</v>
      </c>
      <c r="S144" s="12">
        <f t="shared" si="69"/>
        <v>100.7375822356352</v>
      </c>
      <c r="T144" s="55">
        <v>15.301109124045899</v>
      </c>
      <c r="U144" s="55">
        <v>13.9776926569214</v>
      </c>
      <c r="V144">
        <v>0.424760601915185</v>
      </c>
      <c r="W144" s="12"/>
      <c r="X144" s="12"/>
      <c r="Y144" t="str">
        <v>20211231</v>
      </c>
      <c r="Z144">
        <v>50.6</v>
      </c>
      <c r="AA144">
        <v>23.5</v>
      </c>
      <c r="AB144">
        <f t="shared" si="70"/>
        <v>2.1531914893617023</v>
      </c>
      <c r="AY144" t="str">
        <v>02/02/2024</v>
      </c>
      <c r="AZ144">
        <v>54.3</v>
      </c>
      <c r="BA144">
        <v>17.100000000000001</v>
      </c>
      <c r="BB144">
        <f t="shared" si="71"/>
        <v>3.1754385964912277</v>
      </c>
    </row>
    <row r="145" spans="1:54" x14ac:dyDescent="0.3">
      <c r="A145" s="11">
        <v>45317</v>
      </c>
      <c r="B145">
        <v>0.59574468085106402</v>
      </c>
      <c r="C145">
        <v>4894.16</v>
      </c>
      <c r="D145">
        <v>93.96</v>
      </c>
      <c r="E145">
        <v>2020.86</v>
      </c>
      <c r="F145">
        <v>82.17</v>
      </c>
      <c r="G145">
        <v>50.18</v>
      </c>
      <c r="H145" s="12">
        <f t="shared" si="62"/>
        <v>176.6051623568523</v>
      </c>
      <c r="I145" s="12">
        <f t="shared" si="63"/>
        <v>90.882250835410844</v>
      </c>
      <c r="J145" s="12">
        <f t="shared" si="65"/>
        <v>171.01695926227379</v>
      </c>
      <c r="K145" s="12">
        <f t="shared" si="66"/>
        <v>154.84340912312223</v>
      </c>
      <c r="L145" s="55">
        <v>23.945189844938199</v>
      </c>
      <c r="M145" s="55">
        <v>21.786712643515799</v>
      </c>
      <c r="N145" s="55">
        <v>215.78050844128299</v>
      </c>
      <c r="O145" s="55">
        <v>3.9372301098646898</v>
      </c>
      <c r="P145" s="12">
        <f t="shared" si="64"/>
        <v>108.11935919899179</v>
      </c>
      <c r="Q145" s="12">
        <f t="shared" si="67"/>
        <v>103.20273065228699</v>
      </c>
      <c r="R145" s="12">
        <f t="shared" si="68"/>
        <v>96.308230780423031</v>
      </c>
      <c r="S145" s="12">
        <f t="shared" si="69"/>
        <v>100.31669540707544</v>
      </c>
      <c r="T145" s="55">
        <v>15.905930357590799</v>
      </c>
      <c r="U145" s="55">
        <v>14.493698796356099</v>
      </c>
      <c r="V145">
        <v>0.43035343035342999</v>
      </c>
      <c r="W145" s="12"/>
      <c r="X145" s="12"/>
      <c r="Y145" t="str">
        <v>20211224</v>
      </c>
      <c r="Z145" t="e">
        <v>#N/A</v>
      </c>
      <c r="AA145" t="e">
        <v>#N/A</v>
      </c>
      <c r="AB145" t="str">
        <f t="shared" si="70"/>
        <v/>
      </c>
      <c r="AY145" t="str">
        <v>01/02/2024</v>
      </c>
      <c r="AZ145">
        <v>54.3</v>
      </c>
      <c r="BA145">
        <v>17.100000000000001</v>
      </c>
      <c r="BB145">
        <f t="shared" si="71"/>
        <v>3.1754385964912277</v>
      </c>
    </row>
    <row r="146" spans="1:54" x14ac:dyDescent="0.3">
      <c r="A146" s="11">
        <v>45316</v>
      </c>
      <c r="B146">
        <v>0.579088471849866</v>
      </c>
      <c r="C146">
        <v>4868.55</v>
      </c>
      <c r="D146">
        <v>93.35</v>
      </c>
      <c r="E146">
        <v>2014</v>
      </c>
      <c r="F146">
        <v>82.02</v>
      </c>
      <c r="G146">
        <v>50.08</v>
      </c>
      <c r="H146" s="12">
        <f t="shared" si="62"/>
        <v>176.83048936768117</v>
      </c>
      <c r="I146" s="12">
        <f t="shared" si="63"/>
        <v>90.714054622517978</v>
      </c>
      <c r="J146" s="12">
        <f t="shared" si="65"/>
        <v>170.43212638573399</v>
      </c>
      <c r="K146" s="12">
        <f t="shared" si="66"/>
        <v>154.33972328918165</v>
      </c>
      <c r="L146" s="55">
        <v>23.979597341007999</v>
      </c>
      <c r="M146" s="55">
        <v>21.787703623211598</v>
      </c>
      <c r="N146" s="55">
        <v>215.09214515044201</v>
      </c>
      <c r="O146" s="55">
        <v>3.9659500339561902</v>
      </c>
      <c r="P146" s="12">
        <f t="shared" si="64"/>
        <v>107.00204984837988</v>
      </c>
      <c r="Q146" s="12">
        <f t="shared" si="67"/>
        <v>103.67317279285201</v>
      </c>
      <c r="R146" s="12">
        <f t="shared" si="68"/>
        <v>96.44415452222114</v>
      </c>
      <c r="S146" s="12">
        <f t="shared" si="69"/>
        <v>100.29984675062246</v>
      </c>
      <c r="T146" s="55">
        <v>16.1373074270251</v>
      </c>
      <c r="U146" s="55">
        <v>14.608950833825</v>
      </c>
      <c r="V146">
        <v>0.43508287292817699</v>
      </c>
      <c r="W146" s="12"/>
      <c r="X146" s="12"/>
      <c r="Y146" t="str">
        <v>20211217</v>
      </c>
      <c r="Z146">
        <v>42.2</v>
      </c>
      <c r="AA146">
        <v>24.1</v>
      </c>
      <c r="AB146">
        <f t="shared" si="70"/>
        <v>1.7510373443983402</v>
      </c>
      <c r="AY146" t="str">
        <v>31/01/2024</v>
      </c>
      <c r="AZ146">
        <v>54.3</v>
      </c>
      <c r="BA146">
        <v>17.100000000000001</v>
      </c>
      <c r="BB146">
        <f t="shared" si="71"/>
        <v>3.1754385964912277</v>
      </c>
    </row>
    <row r="147" spans="1:54" x14ac:dyDescent="0.3">
      <c r="A147" s="11">
        <v>45315</v>
      </c>
      <c r="B147">
        <v>0.57336956521739102</v>
      </c>
      <c r="C147">
        <v>4864.6000000000004</v>
      </c>
      <c r="D147">
        <v>93.9</v>
      </c>
      <c r="E147">
        <v>2029.26</v>
      </c>
      <c r="F147">
        <v>82.06</v>
      </c>
      <c r="G147">
        <v>49.67</v>
      </c>
      <c r="H147" s="12">
        <f t="shared" si="62"/>
        <v>175.65896987239367</v>
      </c>
      <c r="I147" s="12">
        <f t="shared" si="63"/>
        <v>89.964473213102835</v>
      </c>
      <c r="J147" s="12">
        <f t="shared" si="65"/>
        <v>170.21094800569119</v>
      </c>
      <c r="K147" s="12">
        <f t="shared" si="66"/>
        <v>155.49700836081462</v>
      </c>
      <c r="L147" s="55">
        <v>24.165627834021802</v>
      </c>
      <c r="M147" s="55">
        <v>21.909843336618199</v>
      </c>
      <c r="N147" s="55">
        <v>214.587001195292</v>
      </c>
      <c r="O147" s="55">
        <v>3.96946564188669</v>
      </c>
      <c r="P147" s="12">
        <f t="shared" si="64"/>
        <v>106.65651564670463</v>
      </c>
      <c r="Q147" s="12">
        <f t="shared" si="67"/>
        <v>102.23051875899317</v>
      </c>
      <c r="R147" s="12">
        <f t="shared" si="68"/>
        <v>94.946425716929355</v>
      </c>
      <c r="S147" s="12">
        <f t="shared" si="69"/>
        <v>99.430631352836841</v>
      </c>
      <c r="T147" s="55">
        <v>16.215488896994898</v>
      </c>
      <c r="U147" s="55">
        <v>14.554044218861801</v>
      </c>
      <c r="V147">
        <v>0.436805555555556</v>
      </c>
      <c r="W147" s="12"/>
      <c r="X147" s="12"/>
      <c r="Y147" t="str">
        <v>20211210</v>
      </c>
      <c r="Z147">
        <v>43.9</v>
      </c>
      <c r="AA147">
        <v>24.4</v>
      </c>
      <c r="AB147">
        <f t="shared" si="70"/>
        <v>1.7991803278688525</v>
      </c>
      <c r="AY147" t="str">
        <v>30/01/2024</v>
      </c>
      <c r="AZ147">
        <v>54.3</v>
      </c>
      <c r="BA147">
        <v>17.100000000000001</v>
      </c>
      <c r="BB147">
        <f t="shared" si="71"/>
        <v>3.1754385964912277</v>
      </c>
    </row>
    <row r="148" spans="1:54" x14ac:dyDescent="0.3">
      <c r="A148" s="11">
        <v>45314</v>
      </c>
      <c r="B148">
        <v>0.56545961002785505</v>
      </c>
      <c r="C148">
        <v>4850.43</v>
      </c>
      <c r="D148">
        <v>94.65</v>
      </c>
      <c r="E148">
        <v>2021.7</v>
      </c>
      <c r="F148">
        <v>82.07</v>
      </c>
      <c r="G148">
        <v>49.64</v>
      </c>
      <c r="H148" s="12">
        <f t="shared" si="62"/>
        <v>173.77433151008003</v>
      </c>
      <c r="I148" s="12">
        <f t="shared" si="63"/>
        <v>90.038127709575591</v>
      </c>
      <c r="J148" s="12">
        <f t="shared" si="65"/>
        <v>169.69452722663965</v>
      </c>
      <c r="K148" s="12">
        <f t="shared" si="66"/>
        <v>155.13754858786388</v>
      </c>
      <c r="L148" s="55">
        <v>23.915325874053899</v>
      </c>
      <c r="M148" s="55">
        <v>21.599094518894901</v>
      </c>
      <c r="N148" s="55">
        <v>213.41232537845599</v>
      </c>
      <c r="O148" s="55">
        <v>3.9520778706183299</v>
      </c>
      <c r="P148" s="12">
        <f t="shared" si="64"/>
        <v>106.53883266036571</v>
      </c>
      <c r="Q148" s="12">
        <f t="shared" si="67"/>
        <v>101.36604062001139</v>
      </c>
      <c r="R148" s="12">
        <f t="shared" si="68"/>
        <v>95.245026101440189</v>
      </c>
      <c r="S148" s="12">
        <f t="shared" si="69"/>
        <v>99.358477372310119</v>
      </c>
      <c r="T148" s="55">
        <v>16.2447972218243</v>
      </c>
      <c r="U148" s="55">
        <v>14.4467604955087</v>
      </c>
      <c r="V148">
        <v>0.43605870020964399</v>
      </c>
      <c r="W148" s="12"/>
      <c r="X148" s="12"/>
      <c r="Y148" t="str">
        <v>20211203</v>
      </c>
      <c r="Z148">
        <v>39.799999999999997</v>
      </c>
      <c r="AA148">
        <v>25.3</v>
      </c>
      <c r="AB148">
        <f t="shared" si="70"/>
        <v>1.5731225296442686</v>
      </c>
      <c r="AY148" t="str">
        <v>29/01/2024</v>
      </c>
      <c r="AZ148">
        <v>54.3</v>
      </c>
      <c r="BA148">
        <v>17.100000000000001</v>
      </c>
      <c r="BB148">
        <f t="shared" si="71"/>
        <v>3.1754385964912277</v>
      </c>
    </row>
    <row r="149" spans="1:54" x14ac:dyDescent="0.3">
      <c r="A149" s="11">
        <v>45311</v>
      </c>
      <c r="B149">
        <v>0.57584269662921395</v>
      </c>
      <c r="C149">
        <v>4839.8100000000004</v>
      </c>
      <c r="D149">
        <v>94.09</v>
      </c>
      <c r="E149">
        <v>2029.68</v>
      </c>
      <c r="F149">
        <v>82.03</v>
      </c>
      <c r="G149">
        <v>49.65</v>
      </c>
      <c r="H149" s="12">
        <f t="shared" si="62"/>
        <v>174.42974207524591</v>
      </c>
      <c r="I149" s="12">
        <f t="shared" si="63"/>
        <v>89.489916484356911</v>
      </c>
      <c r="J149" s="12">
        <f t="shared" si="65"/>
        <v>169.40540733137627</v>
      </c>
      <c r="K149" s="12">
        <f t="shared" si="66"/>
        <v>154.7667721471895</v>
      </c>
      <c r="L149" s="55">
        <v>23.834562240639599</v>
      </c>
      <c r="M149" s="55">
        <v>21.341523007068702</v>
      </c>
      <c r="N149" s="55">
        <v>213.19537451433101</v>
      </c>
      <c r="O149" s="55">
        <v>3.94836556310648</v>
      </c>
      <c r="P149" s="12">
        <f t="shared" si="64"/>
        <v>106.53058703106379</v>
      </c>
      <c r="Q149" s="12">
        <f t="shared" si="67"/>
        <v>101.99362352042959</v>
      </c>
      <c r="R149" s="12">
        <f t="shared" si="68"/>
        <v>94.891059260746601</v>
      </c>
      <c r="S149" s="12">
        <f t="shared" si="69"/>
        <v>99.426986179680597</v>
      </c>
      <c r="T149" s="55">
        <v>16.497435549089001</v>
      </c>
      <c r="U149" s="55">
        <v>14.563333504507399</v>
      </c>
      <c r="V149">
        <v>0.422916666666667</v>
      </c>
      <c r="W149" s="12"/>
      <c r="X149" s="12"/>
      <c r="Y149" t="str">
        <v>20211126</v>
      </c>
      <c r="Z149">
        <v>49.4</v>
      </c>
      <c r="AA149">
        <v>24.7</v>
      </c>
      <c r="AB149">
        <f t="shared" si="70"/>
        <v>2</v>
      </c>
      <c r="AY149" t="str">
        <v>26/01/2024</v>
      </c>
      <c r="AZ149">
        <v>57.7</v>
      </c>
      <c r="BA149">
        <v>16.899999999999999</v>
      </c>
      <c r="BB149">
        <f t="shared" si="71"/>
        <v>3.414201183431953</v>
      </c>
    </row>
    <row r="150" spans="1:54" x14ac:dyDescent="0.3">
      <c r="A150" s="11">
        <v>45310</v>
      </c>
      <c r="B150">
        <v>0.57103064066852405</v>
      </c>
      <c r="C150">
        <v>4780.9399999999996</v>
      </c>
      <c r="D150">
        <v>93.79</v>
      </c>
      <c r="E150">
        <v>2023.13</v>
      </c>
      <c r="F150">
        <v>82.09</v>
      </c>
      <c r="G150">
        <v>49.39</v>
      </c>
      <c r="H150" s="12">
        <f t="shared" si="62"/>
        <v>172.8542031766936</v>
      </c>
      <c r="I150" s="12">
        <f t="shared" si="63"/>
        <v>88.685018312442736</v>
      </c>
      <c r="J150" s="12">
        <f t="shared" si="65"/>
        <v>167.22407244895268</v>
      </c>
      <c r="K150" s="12">
        <f t="shared" si="66"/>
        <v>153.68341860539115</v>
      </c>
      <c r="L150" s="55">
        <v>23.7265606402215</v>
      </c>
      <c r="M150" s="55">
        <v>21.072672262055502</v>
      </c>
      <c r="N150" s="55">
        <v>212.46091185049499</v>
      </c>
      <c r="O150" s="55">
        <v>3.9230010395582098</v>
      </c>
      <c r="P150" s="12">
        <f t="shared" si="64"/>
        <v>106.85206869131584</v>
      </c>
      <c r="Q150" s="12">
        <f t="shared" si="67"/>
        <v>101.78338096181261</v>
      </c>
      <c r="R150" s="12">
        <f t="shared" si="68"/>
        <v>94.699135753335824</v>
      </c>
      <c r="S150" s="12">
        <f t="shared" si="69"/>
        <v>98.834460873549972</v>
      </c>
      <c r="T150" s="55">
        <v>16.590309493490501</v>
      </c>
      <c r="U150" s="55">
        <v>14.565737115848099</v>
      </c>
      <c r="V150">
        <v>0.42565186751233303</v>
      </c>
      <c r="W150" s="12"/>
      <c r="X150" s="12"/>
      <c r="Y150" t="str">
        <v>20211119</v>
      </c>
      <c r="Z150">
        <v>56.6</v>
      </c>
      <c r="AA150">
        <v>21.7</v>
      </c>
      <c r="AB150">
        <f t="shared" si="70"/>
        <v>2.6082949308755761</v>
      </c>
      <c r="AY150" t="str">
        <v>25/01/2024</v>
      </c>
      <c r="AZ150">
        <v>57.7</v>
      </c>
      <c r="BA150">
        <v>16.899999999999999</v>
      </c>
      <c r="BB150">
        <f t="shared" si="71"/>
        <v>3.414201183431953</v>
      </c>
    </row>
    <row r="151" spans="1:54" x14ac:dyDescent="0.3">
      <c r="A151" s="11">
        <v>45309</v>
      </c>
      <c r="B151">
        <v>0.56125356125356096</v>
      </c>
      <c r="C151">
        <v>4739.21</v>
      </c>
      <c r="D151">
        <v>94.67</v>
      </c>
      <c r="E151">
        <v>2006.24</v>
      </c>
      <c r="F151">
        <v>82.05</v>
      </c>
      <c r="G151">
        <v>48.96</v>
      </c>
      <c r="H151" s="12">
        <f t="shared" si="62"/>
        <v>169.7810453120124</v>
      </c>
      <c r="I151" s="12">
        <f t="shared" si="63"/>
        <v>88.650752007732436</v>
      </c>
      <c r="J151" s="12">
        <f t="shared" si="65"/>
        <v>165.84461715812881</v>
      </c>
      <c r="K151" s="12">
        <f t="shared" si="66"/>
        <v>153.67994770167002</v>
      </c>
      <c r="L151" s="55">
        <v>23.6232872069086</v>
      </c>
      <c r="M151" s="55">
        <v>20.7924827222114</v>
      </c>
      <c r="N151" s="55">
        <v>211.51473255534199</v>
      </c>
      <c r="O151" s="55">
        <v>3.90296989332905</v>
      </c>
      <c r="P151" s="12">
        <f t="shared" si="64"/>
        <v>106.92252354349289</v>
      </c>
      <c r="Q151" s="12">
        <f t="shared" si="67"/>
        <v>99.97600209086707</v>
      </c>
      <c r="R151" s="12">
        <f t="shared" si="68"/>
        <v>94.664682902926813</v>
      </c>
      <c r="S151" s="12">
        <f t="shared" si="69"/>
        <v>98.021356846945537</v>
      </c>
      <c r="T151" s="55">
        <v>16.4710686303305</v>
      </c>
      <c r="U151" s="55">
        <v>14.2820686190049</v>
      </c>
      <c r="V151">
        <v>0.42396636299929902</v>
      </c>
      <c r="W151" s="12"/>
      <c r="X151" s="12"/>
      <c r="Y151" t="str">
        <v>20211112</v>
      </c>
      <c r="Z151">
        <v>57.2</v>
      </c>
      <c r="AA151">
        <v>21.4</v>
      </c>
      <c r="AB151">
        <f t="shared" si="70"/>
        <v>2.6728971962616828</v>
      </c>
      <c r="AY151" t="str">
        <v>24/01/2024</v>
      </c>
      <c r="AZ151">
        <v>57.7</v>
      </c>
      <c r="BA151">
        <v>16.899999999999999</v>
      </c>
      <c r="BB151">
        <f t="shared" si="71"/>
        <v>3.414201183431953</v>
      </c>
    </row>
    <row r="152" spans="1:54" x14ac:dyDescent="0.3">
      <c r="A152" s="11">
        <v>45308</v>
      </c>
      <c r="B152">
        <v>0.55459770114942497</v>
      </c>
      <c r="C152">
        <v>4765.9799999999996</v>
      </c>
      <c r="D152">
        <v>94.82</v>
      </c>
      <c r="E152">
        <v>2028.28</v>
      </c>
      <c r="F152">
        <v>82.21</v>
      </c>
      <c r="G152">
        <v>49.56</v>
      </c>
      <c r="H152" s="12">
        <f t="shared" si="62"/>
        <v>170.46887842757695</v>
      </c>
      <c r="I152" s="12">
        <f t="shared" si="63"/>
        <v>88.187813892761952</v>
      </c>
      <c r="J152" s="12">
        <f t="shared" si="65"/>
        <v>166.45561877549355</v>
      </c>
      <c r="K152" s="12">
        <f t="shared" si="66"/>
        <v>152.68905005277017</v>
      </c>
      <c r="L152" s="55">
        <v>23.609800003813699</v>
      </c>
      <c r="M152" s="55">
        <v>20.697753925041201</v>
      </c>
      <c r="N152" s="55">
        <v>210.830638858475</v>
      </c>
      <c r="O152" s="55">
        <v>3.9257492132591398</v>
      </c>
      <c r="P152" s="12">
        <f t="shared" si="64"/>
        <v>105.96383740034001</v>
      </c>
      <c r="Q152" s="12">
        <f t="shared" si="67"/>
        <v>101.03940063862417</v>
      </c>
      <c r="R152" s="12">
        <f t="shared" si="68"/>
        <v>94.782230661147665</v>
      </c>
      <c r="S152" s="12">
        <f t="shared" si="69"/>
        <v>99.027506244331462</v>
      </c>
      <c r="T152" s="55">
        <v>16.510720102233599</v>
      </c>
      <c r="U152" s="55">
        <v>14.191789068140499</v>
      </c>
      <c r="V152">
        <v>0.42592592592592599</v>
      </c>
      <c r="W152" s="12"/>
      <c r="X152" s="12"/>
      <c r="Y152" t="str">
        <v>20211105</v>
      </c>
      <c r="Z152">
        <v>56.5</v>
      </c>
      <c r="AA152">
        <v>22.3</v>
      </c>
      <c r="AB152">
        <f t="shared" si="70"/>
        <v>2.5336322869955157</v>
      </c>
      <c r="AY152" t="str">
        <v>23/01/2024</v>
      </c>
      <c r="AZ152">
        <v>57.7</v>
      </c>
      <c r="BA152">
        <v>16.899999999999999</v>
      </c>
      <c r="BB152">
        <f t="shared" si="71"/>
        <v>3.414201183431953</v>
      </c>
    </row>
    <row r="153" spans="1:54" x14ac:dyDescent="0.3">
      <c r="A153" s="11">
        <v>45304</v>
      </c>
      <c r="B153">
        <v>0.54651162790697705</v>
      </c>
      <c r="C153">
        <v>4783.83</v>
      </c>
      <c r="D153">
        <v>96.52</v>
      </c>
      <c r="E153">
        <v>2049.0300000000002</v>
      </c>
      <c r="F153">
        <v>82.34</v>
      </c>
      <c r="G153">
        <v>50.43</v>
      </c>
      <c r="H153" s="12">
        <f t="shared" si="62"/>
        <v>168.13489536941168</v>
      </c>
      <c r="I153" s="12">
        <f t="shared" si="63"/>
        <v>87.627399604673229</v>
      </c>
      <c r="J153" s="12">
        <f t="shared" si="65"/>
        <v>166.81468744946034</v>
      </c>
      <c r="K153" s="12">
        <f t="shared" si="66"/>
        <v>150.65218489973438</v>
      </c>
      <c r="L153" s="55">
        <v>24.091340411352999</v>
      </c>
      <c r="M153" s="55">
        <v>21.1959381147797</v>
      </c>
      <c r="N153" s="55">
        <v>210.54755029821001</v>
      </c>
      <c r="O153" s="55">
        <v>3.9000658242922901</v>
      </c>
      <c r="P153" s="12">
        <f t="shared" si="64"/>
        <v>106.52210249959872</v>
      </c>
      <c r="Q153" s="12">
        <f t="shared" si="67"/>
        <v>101.00290889045685</v>
      </c>
      <c r="R153" s="12">
        <f t="shared" si="68"/>
        <v>95.462389978431347</v>
      </c>
      <c r="S153" s="12">
        <f t="shared" si="69"/>
        <v>100.60425831416998</v>
      </c>
      <c r="T153" s="55">
        <v>16.881208915044201</v>
      </c>
      <c r="U153" s="55">
        <v>14.5316548507649</v>
      </c>
      <c r="V153">
        <v>0.432857142857143</v>
      </c>
      <c r="W153" s="12"/>
      <c r="X153" s="12"/>
      <c r="Y153" t="str">
        <v>20211029</v>
      </c>
      <c r="Z153">
        <v>54</v>
      </c>
      <c r="AA153">
        <v>24.1</v>
      </c>
      <c r="AB153">
        <f t="shared" si="70"/>
        <v>2.2406639004149378</v>
      </c>
      <c r="AY153" t="str">
        <v>22/01/2024</v>
      </c>
      <c r="AZ153">
        <v>57.7</v>
      </c>
      <c r="BA153">
        <v>16.899999999999999</v>
      </c>
      <c r="BB153">
        <f t="shared" si="71"/>
        <v>3.414201183431953</v>
      </c>
    </row>
    <row r="154" spans="1:54" x14ac:dyDescent="0.3">
      <c r="A154" s="11">
        <v>45303</v>
      </c>
      <c r="B154">
        <v>0.53801169590643305</v>
      </c>
      <c r="C154">
        <v>4780.24</v>
      </c>
      <c r="D154">
        <v>96.71</v>
      </c>
      <c r="E154">
        <v>2029.75</v>
      </c>
      <c r="F154">
        <v>82.17</v>
      </c>
      <c r="G154">
        <v>50.27</v>
      </c>
      <c r="H154" s="12">
        <f t="shared" si="62"/>
        <v>167.67953729585824</v>
      </c>
      <c r="I154" s="12">
        <f t="shared" si="63"/>
        <v>88.400702288382462</v>
      </c>
      <c r="J154" s="12">
        <f t="shared" si="65"/>
        <v>167.0348181713841</v>
      </c>
      <c r="K154" s="12">
        <f t="shared" si="66"/>
        <v>151.0194346394583</v>
      </c>
      <c r="L154" s="55">
        <v>24.106241119106901</v>
      </c>
      <c r="M154" s="55">
        <v>21.128653519149001</v>
      </c>
      <c r="N154" s="55">
        <v>210.16034904975899</v>
      </c>
      <c r="O154" s="55">
        <v>3.9030719477376299</v>
      </c>
      <c r="P154" s="12">
        <f t="shared" si="64"/>
        <v>106.24452773999319</v>
      </c>
      <c r="Q154" s="12">
        <f t="shared" si="67"/>
        <v>100.48566402418363</v>
      </c>
      <c r="R154" s="12">
        <f t="shared" si="68"/>
        <v>96.069152555577404</v>
      </c>
      <c r="S154" s="12">
        <f t="shared" si="69"/>
        <v>100.49231678474465</v>
      </c>
      <c r="T154" s="55">
        <v>17.038048623544402</v>
      </c>
      <c r="U154" s="55">
        <v>14.5826231354577</v>
      </c>
      <c r="V154">
        <v>0.44550109729334297</v>
      </c>
      <c r="W154" s="12"/>
      <c r="X154" s="12"/>
      <c r="Y154" t="str">
        <v>20211022</v>
      </c>
      <c r="Z154">
        <v>48.9</v>
      </c>
      <c r="AA154">
        <v>23.8</v>
      </c>
      <c r="AB154">
        <f t="shared" si="70"/>
        <v>2.0546218487394956</v>
      </c>
      <c r="AY154" t="str">
        <v>19/01/2024</v>
      </c>
      <c r="AZ154">
        <v>52.9</v>
      </c>
      <c r="BA154">
        <v>17.100000000000001</v>
      </c>
      <c r="BB154">
        <f t="shared" si="71"/>
        <v>3.0935672514619879</v>
      </c>
    </row>
    <row r="155" spans="1:54" x14ac:dyDescent="0.3">
      <c r="A155" s="11">
        <v>45302</v>
      </c>
      <c r="B155">
        <v>0.53314121037464002</v>
      </c>
      <c r="C155">
        <v>4783.45</v>
      </c>
      <c r="D155">
        <v>96.17</v>
      </c>
      <c r="E155">
        <v>2024.4</v>
      </c>
      <c r="F155">
        <v>81.98</v>
      </c>
      <c r="G155">
        <v>50.22</v>
      </c>
      <c r="H155" s="12">
        <f t="shared" si="62"/>
        <v>168.74025888670914</v>
      </c>
      <c r="I155" s="12">
        <f t="shared" si="63"/>
        <v>88.694620483676587</v>
      </c>
      <c r="J155" s="12">
        <f t="shared" si="65"/>
        <v>167.53553198782629</v>
      </c>
      <c r="K155" s="12">
        <f t="shared" si="66"/>
        <v>151.27155637798995</v>
      </c>
      <c r="L155" s="55">
        <v>24.290979951270799</v>
      </c>
      <c r="M155" s="55">
        <v>21.292441974497802</v>
      </c>
      <c r="N155" s="55">
        <v>209.74987635500199</v>
      </c>
      <c r="O155" s="55">
        <v>3.90191493418962</v>
      </c>
      <c r="P155" s="12">
        <f t="shared" si="64"/>
        <v>106.06840770347533</v>
      </c>
      <c r="Q155" s="12">
        <f t="shared" si="67"/>
        <v>100.95200549348979</v>
      </c>
      <c r="R155" s="12">
        <f t="shared" si="68"/>
        <v>96.227652882539786</v>
      </c>
      <c r="S155" s="12">
        <f t="shared" si="69"/>
        <v>100.62534542070198</v>
      </c>
      <c r="T155" s="55">
        <v>17.292757458341001</v>
      </c>
      <c r="U155" s="55">
        <v>14.777174809048301</v>
      </c>
      <c r="V155">
        <v>0.444364161849711</v>
      </c>
      <c r="W155" s="12"/>
      <c r="X155" s="12"/>
      <c r="Y155" t="str">
        <v>20211015</v>
      </c>
      <c r="Z155">
        <v>43.2</v>
      </c>
      <c r="AA155">
        <v>23.9</v>
      </c>
      <c r="AB155">
        <f t="shared" si="70"/>
        <v>1.8075313807531384</v>
      </c>
      <c r="AY155" t="str">
        <v>18/01/2024</v>
      </c>
      <c r="AZ155">
        <v>52.9</v>
      </c>
      <c r="BA155">
        <v>17.100000000000001</v>
      </c>
      <c r="BB155">
        <f t="shared" si="71"/>
        <v>3.0935672514619879</v>
      </c>
    </row>
    <row r="156" spans="1:54" x14ac:dyDescent="0.3">
      <c r="A156" s="11">
        <v>45301</v>
      </c>
      <c r="B156">
        <v>0.53097345132743401</v>
      </c>
      <c r="C156">
        <v>4756.5</v>
      </c>
      <c r="D156">
        <v>96.62</v>
      </c>
      <c r="E156">
        <v>2030.29</v>
      </c>
      <c r="F156">
        <v>81.98</v>
      </c>
      <c r="G156">
        <v>50.04</v>
      </c>
      <c r="H156" s="12">
        <f t="shared" si="62"/>
        <v>167.01609302629777</v>
      </c>
      <c r="I156" s="12">
        <f t="shared" si="63"/>
        <v>87.941228486968129</v>
      </c>
      <c r="J156" s="12">
        <f t="shared" si="65"/>
        <v>166.59163530508226</v>
      </c>
      <c r="K156" s="12">
        <f t="shared" si="66"/>
        <v>150.95925059278153</v>
      </c>
      <c r="L156" s="55">
        <v>24.6383927025419</v>
      </c>
      <c r="M156" s="55">
        <v>21.6846207093358</v>
      </c>
      <c r="N156" s="55">
        <v>209.509688600244</v>
      </c>
      <c r="O156" s="55">
        <v>3.92776904734965</v>
      </c>
      <c r="P156" s="12">
        <f t="shared" si="64"/>
        <v>105.25491151177421</v>
      </c>
      <c r="Q156" s="12">
        <f t="shared" si="67"/>
        <v>100.12551511099272</v>
      </c>
      <c r="R156" s="12">
        <f t="shared" si="68"/>
        <v>95.606384840026365</v>
      </c>
      <c r="S156" s="12">
        <f t="shared" si="69"/>
        <v>100.26468110019766</v>
      </c>
      <c r="T156" s="55">
        <v>17.4746767178471</v>
      </c>
      <c r="U156" s="55">
        <v>14.8692192183626</v>
      </c>
      <c r="V156">
        <v>0.45225758697261298</v>
      </c>
      <c r="W156" s="12"/>
      <c r="X156" s="12"/>
      <c r="Y156" t="str">
        <v>20211008</v>
      </c>
      <c r="Z156">
        <v>42.1</v>
      </c>
      <c r="AA156">
        <v>22.7</v>
      </c>
      <c r="AB156">
        <f t="shared" si="70"/>
        <v>1.8546255506607932</v>
      </c>
      <c r="AY156" t="str">
        <v>17/01/2024</v>
      </c>
      <c r="AZ156">
        <v>52.9</v>
      </c>
      <c r="BA156">
        <v>17.100000000000001</v>
      </c>
      <c r="BB156">
        <f t="shared" si="71"/>
        <v>3.0935672514619879</v>
      </c>
    </row>
    <row r="157" spans="1:54" x14ac:dyDescent="0.3">
      <c r="A157" s="11">
        <v>45300</v>
      </c>
      <c r="B157">
        <v>0.51702786377708998</v>
      </c>
      <c r="C157">
        <v>4763.54</v>
      </c>
      <c r="D157">
        <v>97.24</v>
      </c>
      <c r="E157">
        <v>2028.04</v>
      </c>
      <c r="F157">
        <v>81.96</v>
      </c>
      <c r="G157">
        <v>50.54</v>
      </c>
      <c r="H157" s="12">
        <f t="shared" si="62"/>
        <v>166.20202148556226</v>
      </c>
      <c r="I157" s="12">
        <f t="shared" si="63"/>
        <v>88.169352408602251</v>
      </c>
      <c r="J157" s="12">
        <f t="shared" si="65"/>
        <v>166.87898656261098</v>
      </c>
      <c r="K157" s="12">
        <f t="shared" si="66"/>
        <v>149.69949024408106</v>
      </c>
      <c r="L157" s="55">
        <v>24.644661718916701</v>
      </c>
      <c r="M157" s="55">
        <v>21.5986206303598</v>
      </c>
      <c r="N157" s="55">
        <v>209.14052615790101</v>
      </c>
      <c r="O157" s="55">
        <v>3.5818536469627098</v>
      </c>
      <c r="P157" s="12">
        <f t="shared" si="64"/>
        <v>116.27926344696752</v>
      </c>
      <c r="Q157" s="12">
        <f t="shared" si="67"/>
        <v>100.47891724502534</v>
      </c>
      <c r="R157" s="12">
        <f t="shared" si="68"/>
        <v>96.670006202959016</v>
      </c>
      <c r="S157" s="12">
        <f t="shared" si="69"/>
        <v>101.29149070919544</v>
      </c>
      <c r="T157" s="55">
        <v>18.460341501067699</v>
      </c>
      <c r="U157" s="55">
        <v>15.9841123914668</v>
      </c>
      <c r="V157">
        <v>0.45227272727272699</v>
      </c>
      <c r="W157" s="12"/>
      <c r="X157" s="12"/>
      <c r="Y157" t="str">
        <v>20211001</v>
      </c>
      <c r="Z157">
        <v>40.4</v>
      </c>
      <c r="AA157">
        <v>22.5</v>
      </c>
      <c r="AB157">
        <f t="shared" si="70"/>
        <v>1.7955555555555556</v>
      </c>
      <c r="AY157" t="str">
        <v>16/01/2024</v>
      </c>
      <c r="AZ157">
        <v>52.9</v>
      </c>
      <c r="BA157">
        <v>17.100000000000001</v>
      </c>
      <c r="BB157">
        <f t="shared" si="71"/>
        <v>3.0935672514619879</v>
      </c>
    </row>
    <row r="158" spans="1:54" x14ac:dyDescent="0.3">
      <c r="A158" s="11">
        <v>45297</v>
      </c>
      <c r="B158">
        <v>0.538699690402477</v>
      </c>
      <c r="C158">
        <v>4697.24</v>
      </c>
      <c r="D158">
        <v>96.29</v>
      </c>
      <c r="E158">
        <v>2045.85</v>
      </c>
      <c r="F158">
        <v>81.89</v>
      </c>
      <c r="G158">
        <v>50.21</v>
      </c>
      <c r="H158" s="12">
        <f t="shared" si="62"/>
        <v>165.49887602771895</v>
      </c>
      <c r="I158" s="12">
        <f t="shared" si="63"/>
        <v>86.202209399531611</v>
      </c>
      <c r="J158" s="12">
        <f t="shared" si="65"/>
        <v>164.69515087063189</v>
      </c>
      <c r="K158" s="12">
        <f t="shared" si="66"/>
        <v>148.57886746877926</v>
      </c>
      <c r="L158" s="55">
        <v>24.528218901094501</v>
      </c>
      <c r="M158" s="55">
        <v>21.318084720388999</v>
      </c>
      <c r="N158" s="55">
        <v>208.71710509982699</v>
      </c>
      <c r="O158" s="55">
        <v>3.8766110781873002</v>
      </c>
      <c r="P158" s="12">
        <f t="shared" si="64"/>
        <v>107.85938198820631</v>
      </c>
      <c r="Q158" s="12">
        <f t="shared" si="67"/>
        <v>100.81095159908153</v>
      </c>
      <c r="R158" s="12">
        <f t="shared" si="68"/>
        <v>95.215323252325888</v>
      </c>
      <c r="S158" s="12">
        <f t="shared" si="69"/>
        <v>100.7156399020851</v>
      </c>
      <c r="T158" s="55">
        <v>17.396975025987299</v>
      </c>
      <c r="U158" s="55">
        <v>14.413364981786399</v>
      </c>
      <c r="V158">
        <v>0.43568773234200697</v>
      </c>
      <c r="W158" s="12"/>
      <c r="X158" s="12"/>
      <c r="Y158" t="str">
        <v>20210924</v>
      </c>
      <c r="Z158">
        <v>46.5</v>
      </c>
      <c r="AA158">
        <v>22.1</v>
      </c>
      <c r="AB158">
        <f t="shared" si="70"/>
        <v>2.1040723981900453</v>
      </c>
      <c r="AY158" t="str">
        <v>15/01/2024</v>
      </c>
      <c r="AZ158">
        <v>52.9</v>
      </c>
      <c r="BA158">
        <v>17.100000000000001</v>
      </c>
      <c r="BB158">
        <f t="shared" si="71"/>
        <v>3.0935672514619879</v>
      </c>
    </row>
    <row r="159" spans="1:54" x14ac:dyDescent="0.3">
      <c r="A159" s="11">
        <v>45296</v>
      </c>
      <c r="B159">
        <v>0.51757188498402595</v>
      </c>
      <c r="C159">
        <v>4688.68</v>
      </c>
      <c r="D159">
        <v>97.22</v>
      </c>
      <c r="E159">
        <v>2043.54</v>
      </c>
      <c r="F159">
        <v>81.91</v>
      </c>
      <c r="G159">
        <v>50.15</v>
      </c>
      <c r="H159" s="12">
        <f t="shared" si="62"/>
        <v>163.6348126024142</v>
      </c>
      <c r="I159" s="12">
        <f t="shared" si="63"/>
        <v>86.142316165727749</v>
      </c>
      <c r="J159" s="12">
        <f t="shared" si="65"/>
        <v>164.35496170946067</v>
      </c>
      <c r="K159" s="12">
        <f t="shared" si="66"/>
        <v>148.48543108352851</v>
      </c>
      <c r="L159" s="55">
        <v>24.7516428775658</v>
      </c>
      <c r="M159" s="55">
        <v>21.5360287992346</v>
      </c>
      <c r="N159" s="55">
        <v>207.83650274784199</v>
      </c>
      <c r="O159" s="55">
        <v>3.8725135135455702</v>
      </c>
      <c r="P159" s="12">
        <f t="shared" si="64"/>
        <v>107.51759638481201</v>
      </c>
      <c r="Q159" s="12">
        <f t="shared" si="67"/>
        <v>99.737541893104975</v>
      </c>
      <c r="R159" s="12">
        <f t="shared" si="68"/>
        <v>95.209037609927748</v>
      </c>
      <c r="S159" s="12">
        <f t="shared" si="69"/>
        <v>100.57075955673294</v>
      </c>
      <c r="T159" s="55">
        <v>17.8048818311598</v>
      </c>
      <c r="U159" s="55">
        <v>14.863229674393301</v>
      </c>
      <c r="V159">
        <v>0.42942942942942902</v>
      </c>
      <c r="W159" s="12"/>
      <c r="X159" s="12"/>
      <c r="Y159" t="str">
        <v>20210917</v>
      </c>
      <c r="Z159">
        <v>47.1</v>
      </c>
      <c r="AA159">
        <v>22.3</v>
      </c>
      <c r="AB159">
        <f t="shared" si="70"/>
        <v>2.1121076233183858</v>
      </c>
      <c r="AY159" t="str">
        <v>12/01/2024</v>
      </c>
      <c r="AZ159">
        <v>48.5</v>
      </c>
      <c r="BA159">
        <v>19.100000000000001</v>
      </c>
      <c r="BB159">
        <f t="shared" si="71"/>
        <v>2.5392670157068062</v>
      </c>
    </row>
    <row r="160" spans="1:54" x14ac:dyDescent="0.3">
      <c r="A160" s="11">
        <v>45295</v>
      </c>
      <c r="B160">
        <v>0.48867313915857602</v>
      </c>
      <c r="C160">
        <v>4704.8100000000004</v>
      </c>
      <c r="D160">
        <v>98.72</v>
      </c>
      <c r="E160">
        <v>2041.56</v>
      </c>
      <c r="F160">
        <v>81.96</v>
      </c>
      <c r="G160">
        <v>50.09</v>
      </c>
      <c r="H160" s="12">
        <f t="shared" si="62"/>
        <v>161.73186205462616</v>
      </c>
      <c r="I160" s="12">
        <f t="shared" si="63"/>
        <v>86.52286560475072</v>
      </c>
      <c r="J160" s="12">
        <f t="shared" si="65"/>
        <v>164.81948111655547</v>
      </c>
      <c r="K160" s="12">
        <f t="shared" si="66"/>
        <v>149.17555451184569</v>
      </c>
      <c r="L160" s="55">
        <v>24.785702018499901</v>
      </c>
      <c r="M160" s="55">
        <v>21.465803071125801</v>
      </c>
      <c r="N160" s="55">
        <v>207.05161596377499</v>
      </c>
      <c r="O160" s="55">
        <v>3.8532801435299802</v>
      </c>
      <c r="P160" s="12">
        <f t="shared" si="64"/>
        <v>107.64684251736959</v>
      </c>
      <c r="Q160" s="12">
        <f t="shared" si="67"/>
        <v>98.128978959088471</v>
      </c>
      <c r="R160" s="12">
        <f t="shared" si="68"/>
        <v>95.18733515517394</v>
      </c>
      <c r="S160" s="12">
        <f t="shared" si="69"/>
        <v>100.38926604702027</v>
      </c>
      <c r="T160" s="55">
        <v>17.907022317683602</v>
      </c>
      <c r="U160" s="55">
        <v>14.8296603862719</v>
      </c>
      <c r="V160">
        <v>0.43373493975903599</v>
      </c>
      <c r="W160" s="12"/>
      <c r="X160" s="12"/>
      <c r="Y160" t="str">
        <v>20210910</v>
      </c>
      <c r="Z160">
        <v>50</v>
      </c>
      <c r="AA160">
        <v>22.1</v>
      </c>
      <c r="AB160">
        <f t="shared" si="70"/>
        <v>2.2624434389140271</v>
      </c>
      <c r="AY160" t="str">
        <v>11/01/2024</v>
      </c>
      <c r="AZ160">
        <v>48.5</v>
      </c>
      <c r="BA160">
        <v>19.100000000000001</v>
      </c>
      <c r="BB160">
        <f t="shared" si="71"/>
        <v>2.5392670157068062</v>
      </c>
    </row>
    <row r="161" spans="1:54" x14ac:dyDescent="0.3">
      <c r="A161" s="11">
        <v>45294</v>
      </c>
      <c r="B161">
        <v>0.49006622516556297</v>
      </c>
      <c r="C161">
        <v>4742.83</v>
      </c>
      <c r="D161">
        <v>98.31</v>
      </c>
      <c r="E161">
        <v>2059.13</v>
      </c>
      <c r="F161">
        <v>81.94</v>
      </c>
      <c r="G161">
        <v>50.42</v>
      </c>
      <c r="H161" s="12">
        <f t="shared" si="62"/>
        <v>163.72717104399416</v>
      </c>
      <c r="I161" s="12">
        <f t="shared" si="63"/>
        <v>86.478206623936742</v>
      </c>
      <c r="J161" s="12">
        <f t="shared" si="65"/>
        <v>166.19229461271993</v>
      </c>
      <c r="K161" s="12">
        <f t="shared" si="66"/>
        <v>149.39535827705419</v>
      </c>
      <c r="L161" s="55">
        <v>24.842549937582302</v>
      </c>
      <c r="M161" s="55">
        <v>21.3965707003963</v>
      </c>
      <c r="N161" s="55">
        <v>205.81457396787599</v>
      </c>
      <c r="O161" s="55">
        <v>3.8361228004721202</v>
      </c>
      <c r="P161" s="12">
        <f t="shared" si="64"/>
        <v>107.48154724516253</v>
      </c>
      <c r="Q161" s="12">
        <f t="shared" si="67"/>
        <v>99.191869731600704</v>
      </c>
      <c r="R161" s="12">
        <f t="shared" si="68"/>
        <v>94.998505862662526</v>
      </c>
      <c r="S161" s="12">
        <f t="shared" si="69"/>
        <v>101.07547786200438</v>
      </c>
      <c r="T161" s="55">
        <v>18.029257622880699</v>
      </c>
      <c r="U161" s="55">
        <v>14.7630006497109</v>
      </c>
      <c r="V161">
        <v>0.440184049079755</v>
      </c>
      <c r="W161" s="12"/>
      <c r="X161" s="12"/>
      <c r="Y161" t="str">
        <v>20210903</v>
      </c>
      <c r="Z161">
        <v>52.6</v>
      </c>
      <c r="AA161">
        <v>21.1</v>
      </c>
      <c r="AB161">
        <f t="shared" si="70"/>
        <v>2.4928909952606633</v>
      </c>
      <c r="AY161" t="str">
        <v>10/01/2024</v>
      </c>
      <c r="AZ161">
        <v>48.5</v>
      </c>
      <c r="BA161">
        <v>19.100000000000001</v>
      </c>
      <c r="BB161">
        <f t="shared" si="71"/>
        <v>2.5392670157068062</v>
      </c>
    </row>
    <row r="162" spans="1:54" x14ac:dyDescent="0.3">
      <c r="A162" s="11">
        <v>45290</v>
      </c>
      <c r="B162">
        <v>0.51020408163265296</v>
      </c>
      <c r="C162">
        <v>4769.83</v>
      </c>
      <c r="D162">
        <v>98.88</v>
      </c>
      <c r="E162">
        <v>2065.1999999999998</v>
      </c>
      <c r="F162">
        <v>82.04</v>
      </c>
      <c r="G162">
        <v>51.04</v>
      </c>
      <c r="H162" s="12">
        <f t="shared" si="62"/>
        <v>163.7101478065785</v>
      </c>
      <c r="I162" s="12">
        <f t="shared" si="63"/>
        <v>86.714190313834607</v>
      </c>
      <c r="J162" s="12">
        <f t="shared" si="65"/>
        <v>166.93375785755146</v>
      </c>
      <c r="K162" s="12">
        <f t="shared" si="66"/>
        <v>148.4325127362282</v>
      </c>
      <c r="L162" s="55">
        <v>25.250786265683999</v>
      </c>
      <c r="M162" s="55">
        <v>21.869677708966101</v>
      </c>
      <c r="N162" s="55">
        <v>202.184537418415</v>
      </c>
      <c r="O162" s="55">
        <v>3.7801293265514202</v>
      </c>
      <c r="P162" s="12">
        <f t="shared" si="64"/>
        <v>107.14495197396464</v>
      </c>
      <c r="Q162" s="12">
        <f t="shared" si="67"/>
        <v>99.829055865753119</v>
      </c>
      <c r="R162" s="12">
        <f t="shared" si="68"/>
        <v>95.881396409314647</v>
      </c>
      <c r="S162" s="12">
        <f t="shared" si="69"/>
        <v>102.19227777167794</v>
      </c>
      <c r="T162" s="55">
        <v>18.3229640271927</v>
      </c>
      <c r="U162" s="55">
        <v>15.037887892333201</v>
      </c>
      <c r="V162">
        <v>0.43740458015267197</v>
      </c>
      <c r="W162" s="12"/>
      <c r="X162" s="12"/>
      <c r="Y162" t="str">
        <v>20210827</v>
      </c>
      <c r="Z162">
        <v>52.1</v>
      </c>
      <c r="AA162">
        <v>21.3</v>
      </c>
      <c r="AB162">
        <f t="shared" si="70"/>
        <v>2.4460093896713615</v>
      </c>
      <c r="AY162" t="str">
        <v>09/01/2024</v>
      </c>
      <c r="AZ162">
        <v>48.5</v>
      </c>
      <c r="BA162">
        <v>19.100000000000001</v>
      </c>
      <c r="BB162">
        <f t="shared" si="71"/>
        <v>2.5392670157068062</v>
      </c>
    </row>
    <row r="163" spans="1:54" x14ac:dyDescent="0.3">
      <c r="A163" s="11">
        <v>45289</v>
      </c>
      <c r="B163">
        <v>0.51369863013698602</v>
      </c>
      <c r="C163">
        <v>4783.3500000000004</v>
      </c>
      <c r="D163">
        <v>99.78</v>
      </c>
      <c r="E163">
        <v>2065.6</v>
      </c>
      <c r="F163">
        <v>82</v>
      </c>
      <c r="G163">
        <v>50.98</v>
      </c>
      <c r="H163" s="12">
        <f t="shared" si="62"/>
        <v>162.70247077106657</v>
      </c>
      <c r="I163" s="12">
        <f t="shared" si="63"/>
        <v>86.943096066705479</v>
      </c>
      <c r="J163" s="12">
        <f t="shared" si="65"/>
        <v>167.48886215119538</v>
      </c>
      <c r="K163" s="12">
        <f t="shared" si="66"/>
        <v>149.02913644577089</v>
      </c>
      <c r="L163" s="55">
        <v>25.210347628885199</v>
      </c>
      <c r="M163" s="55">
        <v>21.619581005614201</v>
      </c>
      <c r="N163" s="55">
        <v>200.646904842618</v>
      </c>
      <c r="O163" s="55">
        <v>3.74501931637151</v>
      </c>
      <c r="P163" s="12">
        <f t="shared" si="64"/>
        <v>107.32867137061416</v>
      </c>
      <c r="Q163" s="12">
        <f t="shared" si="67"/>
        <v>98.821396245351096</v>
      </c>
      <c r="R163" s="12">
        <f t="shared" si="68"/>
        <v>95.750163106252941</v>
      </c>
      <c r="S163" s="12">
        <f t="shared" si="69"/>
        <v>102.12190278542214</v>
      </c>
      <c r="T163" s="55">
        <v>18.4923604421055</v>
      </c>
      <c r="U163" s="55">
        <v>15.1353441108625</v>
      </c>
      <c r="V163">
        <v>0.43197026022304802</v>
      </c>
      <c r="W163" s="12"/>
      <c r="X163" s="12"/>
      <c r="Y163" t="str">
        <v>20210820</v>
      </c>
      <c r="Z163">
        <v>50</v>
      </c>
      <c r="AA163">
        <v>18.5</v>
      </c>
      <c r="AB163">
        <f t="shared" si="70"/>
        <v>2.7027027027027026</v>
      </c>
      <c r="AY163" t="str">
        <v>08/01/2024</v>
      </c>
      <c r="AZ163">
        <v>48.5</v>
      </c>
      <c r="BA163">
        <v>19.100000000000001</v>
      </c>
      <c r="BB163">
        <f t="shared" si="71"/>
        <v>2.5392670157068062</v>
      </c>
    </row>
    <row r="164" spans="1:54" x14ac:dyDescent="0.3">
      <c r="A164" s="11">
        <v>45288</v>
      </c>
      <c r="B164">
        <v>0.51342281879194596</v>
      </c>
      <c r="C164">
        <v>4781.58</v>
      </c>
      <c r="D164">
        <v>100.51</v>
      </c>
      <c r="E164">
        <v>2077.4899999999998</v>
      </c>
      <c r="F164">
        <v>82.01</v>
      </c>
      <c r="G164">
        <v>50.98</v>
      </c>
      <c r="H164" s="12">
        <f t="shared" si="62"/>
        <v>161.46994974416566</v>
      </c>
      <c r="I164" s="12">
        <f t="shared" si="63"/>
        <v>86.416523624716874</v>
      </c>
      <c r="J164" s="12">
        <f t="shared" si="65"/>
        <v>167.40648027072649</v>
      </c>
      <c r="K164" s="12">
        <f t="shared" si="66"/>
        <v>148.97399066477865</v>
      </c>
      <c r="L164" s="55">
        <v>25.539296611345002</v>
      </c>
      <c r="M164" s="55">
        <v>22.0056103225144</v>
      </c>
      <c r="N164" s="55">
        <v>199.12828829187299</v>
      </c>
      <c r="O164" s="55">
        <v>3.7733262935949798</v>
      </c>
      <c r="P164" s="12">
        <f t="shared" si="64"/>
        <v>105.7291807005524</v>
      </c>
      <c r="Q164" s="12">
        <f t="shared" si="67"/>
        <v>98.108835802254418</v>
      </c>
      <c r="R164" s="12">
        <f t="shared" si="68"/>
        <v>95.2052792462881</v>
      </c>
      <c r="S164" s="12">
        <f t="shared" si="69"/>
        <v>102.10945193163215</v>
      </c>
      <c r="T164" s="55">
        <v>18.646216099341501</v>
      </c>
      <c r="U164" s="55">
        <v>15.2172006268678</v>
      </c>
      <c r="V164">
        <v>0.43722304283604102</v>
      </c>
      <c r="W164" s="12"/>
      <c r="X164" s="12"/>
      <c r="Y164" t="str">
        <v>20210813</v>
      </c>
      <c r="Z164">
        <v>51.1</v>
      </c>
      <c r="AA164">
        <v>18.5</v>
      </c>
      <c r="AB164">
        <f t="shared" si="70"/>
        <v>2.7621621621621624</v>
      </c>
      <c r="AY164" t="str">
        <v>05/01/2024</v>
      </c>
      <c r="AZ164">
        <v>54.4</v>
      </c>
      <c r="BA164">
        <v>17.7</v>
      </c>
      <c r="BB164">
        <f t="shared" si="71"/>
        <v>3.0734463276836159</v>
      </c>
    </row>
    <row r="165" spans="1:54" x14ac:dyDescent="0.3">
      <c r="A165" s="11">
        <v>45287</v>
      </c>
      <c r="B165">
        <v>0.51315789473684204</v>
      </c>
      <c r="C165">
        <v>4774.75</v>
      </c>
      <c r="D165">
        <v>98.76</v>
      </c>
      <c r="E165">
        <v>2058.3000000000002</v>
      </c>
      <c r="F165">
        <v>81.91</v>
      </c>
      <c r="G165">
        <v>50.74</v>
      </c>
      <c r="H165" s="12">
        <f t="shared" si="62"/>
        <v>164.14373350481068</v>
      </c>
      <c r="I165" s="12">
        <f t="shared" si="63"/>
        <v>87.104017036407711</v>
      </c>
      <c r="J165" s="12">
        <f t="shared" si="65"/>
        <v>167.37140102773444</v>
      </c>
      <c r="K165" s="12">
        <f t="shared" si="66"/>
        <v>149.46716575013465</v>
      </c>
      <c r="L165" s="55">
        <v>25.592832308035799</v>
      </c>
      <c r="M165" s="55">
        <v>21.970527864220301</v>
      </c>
      <c r="N165" s="55">
        <v>198.668036722751</v>
      </c>
      <c r="O165" s="55">
        <v>3.7286481890505199</v>
      </c>
      <c r="P165" s="12">
        <f t="shared" si="64"/>
        <v>106.76110149716963</v>
      </c>
      <c r="Q165" s="12">
        <f t="shared" si="67"/>
        <v>99.400015012802299</v>
      </c>
      <c r="R165" s="12">
        <f t="shared" si="68"/>
        <v>95.64459705559095</v>
      </c>
      <c r="S165" s="12">
        <f t="shared" si="69"/>
        <v>101.75238815905395</v>
      </c>
      <c r="T165" s="55">
        <v>18.889036351872999</v>
      </c>
      <c r="U165" s="55">
        <v>15.466538191165199</v>
      </c>
      <c r="V165">
        <v>0.44170890658942802</v>
      </c>
      <c r="W165" s="12"/>
      <c r="X165" s="12"/>
      <c r="Y165" t="str">
        <v>20210806</v>
      </c>
      <c r="Z165">
        <v>56.4</v>
      </c>
      <c r="AA165">
        <v>15.9</v>
      </c>
      <c r="AB165">
        <f t="shared" si="70"/>
        <v>3.5471698113207544</v>
      </c>
      <c r="AY165" t="str">
        <v>04/01/2024</v>
      </c>
      <c r="AZ165">
        <v>54.4</v>
      </c>
      <c r="BA165">
        <v>17.7</v>
      </c>
      <c r="BB165">
        <f t="shared" si="71"/>
        <v>3.0734463276836159</v>
      </c>
    </row>
    <row r="166" spans="1:54" x14ac:dyDescent="0.3">
      <c r="A166" s="11">
        <v>45283</v>
      </c>
      <c r="B166">
        <v>0.52427184466019405</v>
      </c>
      <c r="C166">
        <v>4754.63</v>
      </c>
      <c r="D166">
        <v>98.474999999999994</v>
      </c>
      <c r="E166">
        <v>2053.3000000000002</v>
      </c>
      <c r="F166">
        <v>81.95</v>
      </c>
      <c r="G166">
        <v>50.45</v>
      </c>
      <c r="H166" s="12">
        <f t="shared" si="62"/>
        <v>163.92447973529386</v>
      </c>
      <c r="I166" s="12">
        <f t="shared" si="63"/>
        <v>86.947810057190722</v>
      </c>
      <c r="J166" s="12">
        <f t="shared" si="65"/>
        <v>166.58515786103814</v>
      </c>
      <c r="K166" s="12">
        <f t="shared" si="66"/>
        <v>149.69419209589304</v>
      </c>
      <c r="L166" s="55">
        <v>25.524079897996</v>
      </c>
      <c r="M166" s="55">
        <v>21.688517886606</v>
      </c>
      <c r="N166" s="55">
        <v>197.94475495080999</v>
      </c>
      <c r="O166" s="55">
        <v>3.7170173366233699</v>
      </c>
      <c r="P166" s="12">
        <f t="shared" si="64"/>
        <v>106.70509459140338</v>
      </c>
      <c r="Q166" s="12">
        <f t="shared" si="67"/>
        <v>99.117121857620859</v>
      </c>
      <c r="R166" s="12">
        <f t="shared" si="68"/>
        <v>95.328757520313403</v>
      </c>
      <c r="S166" s="12">
        <f t="shared" si="69"/>
        <v>101.12175566668189</v>
      </c>
      <c r="T166" s="55">
        <v>19.095572411638202</v>
      </c>
      <c r="U166" s="55">
        <v>15.6731497338354</v>
      </c>
      <c r="V166">
        <v>0.440334961618981</v>
      </c>
      <c r="W166" s="12"/>
      <c r="X166" s="12"/>
      <c r="Y166" t="str">
        <v>20210730</v>
      </c>
      <c r="Z166">
        <v>54.1</v>
      </c>
      <c r="AA166">
        <v>16.3</v>
      </c>
      <c r="AB166">
        <f t="shared" si="70"/>
        <v>3.3190184049079754</v>
      </c>
      <c r="AY166" t="str">
        <v>03/01/2024</v>
      </c>
      <c r="AZ166">
        <v>54.4</v>
      </c>
      <c r="BA166">
        <v>17.7</v>
      </c>
      <c r="BB166">
        <f t="shared" si="71"/>
        <v>3.0734463276836159</v>
      </c>
    </row>
    <row r="167" spans="1:54" x14ac:dyDescent="0.3">
      <c r="A167" s="11">
        <v>45282</v>
      </c>
      <c r="B167">
        <v>0.52884615384615397</v>
      </c>
      <c r="C167">
        <v>4746.75</v>
      </c>
      <c r="D167">
        <v>98.93</v>
      </c>
      <c r="E167">
        <v>2045.94</v>
      </c>
      <c r="F167">
        <v>81.92</v>
      </c>
      <c r="G167">
        <v>50.46</v>
      </c>
      <c r="H167" s="12">
        <f t="shared" si="62"/>
        <v>162.90481050549397</v>
      </c>
      <c r="I167" s="12">
        <f t="shared" si="63"/>
        <v>87.116579720540997</v>
      </c>
      <c r="J167" s="12">
        <f t="shared" si="65"/>
        <v>166.36989646422063</v>
      </c>
      <c r="K167" s="12">
        <f t="shared" si="66"/>
        <v>149.41653732296356</v>
      </c>
      <c r="L167" s="55">
        <v>25.358376557143501</v>
      </c>
      <c r="M167" s="55">
        <v>21.190854646364901</v>
      </c>
      <c r="N167" s="55">
        <v>197.177989341244</v>
      </c>
      <c r="O167" s="55">
        <v>3.65953920339176</v>
      </c>
      <c r="P167" s="12">
        <f t="shared" si="64"/>
        <v>107.98118247813041</v>
      </c>
      <c r="Q167" s="12">
        <f t="shared" si="67"/>
        <v>98.682815354067529</v>
      </c>
      <c r="R167" s="12">
        <f t="shared" si="68"/>
        <v>95.69196068432521</v>
      </c>
      <c r="S167" s="12">
        <f t="shared" si="69"/>
        <v>101.17885977176849</v>
      </c>
      <c r="T167" s="55">
        <v>19.1497797821036</v>
      </c>
      <c r="U167" s="55">
        <v>15.594125759418</v>
      </c>
      <c r="V167">
        <v>0.44111498257839699</v>
      </c>
      <c r="W167" s="12"/>
      <c r="X167" s="12"/>
      <c r="Y167" t="str">
        <v>20210723</v>
      </c>
      <c r="Z167">
        <v>52.6</v>
      </c>
      <c r="AA167">
        <v>16.5</v>
      </c>
      <c r="AB167">
        <f t="shared" si="70"/>
        <v>3.187878787878788</v>
      </c>
      <c r="AY167" t="str">
        <v>02/01/2024</v>
      </c>
      <c r="AZ167">
        <v>54.4</v>
      </c>
      <c r="BA167">
        <v>17.7</v>
      </c>
      <c r="BB167">
        <f t="shared" si="71"/>
        <v>3.0734463276836159</v>
      </c>
    </row>
    <row r="168" spans="1:54" x14ac:dyDescent="0.3">
      <c r="A168" s="11">
        <v>45281</v>
      </c>
      <c r="B168">
        <v>0.517133956386293</v>
      </c>
      <c r="C168">
        <v>4698.3500000000004</v>
      </c>
      <c r="D168">
        <v>99.56</v>
      </c>
      <c r="E168">
        <v>2031.52</v>
      </c>
      <c r="F168">
        <v>81.84</v>
      </c>
      <c r="G168">
        <v>49.62</v>
      </c>
      <c r="H168" s="12">
        <f t="shared" si="62"/>
        <v>160.24012438512207</v>
      </c>
      <c r="I168" s="12">
        <f t="shared" si="63"/>
        <v>86.838405445252633</v>
      </c>
      <c r="J168" s="12">
        <f t="shared" si="65"/>
        <v>164.83299825099553</v>
      </c>
      <c r="K168" s="12">
        <f t="shared" si="66"/>
        <v>150.41335202348057</v>
      </c>
      <c r="L168" s="55">
        <v>25.677104520012001</v>
      </c>
      <c r="M168" s="55">
        <v>21.669153905516801</v>
      </c>
      <c r="N168" s="55">
        <v>196.58247694487</v>
      </c>
      <c r="O168" s="55">
        <v>3.7243601790674399</v>
      </c>
      <c r="P168" s="12">
        <f t="shared" si="64"/>
        <v>105.81888782899588</v>
      </c>
      <c r="Q168" s="12">
        <f t="shared" si="67"/>
        <v>96.439959408542649</v>
      </c>
      <c r="R168" s="12">
        <f t="shared" si="68"/>
        <v>94.76041610337893</v>
      </c>
      <c r="S168" s="12">
        <f t="shared" si="69"/>
        <v>99.590281184959125</v>
      </c>
      <c r="T168" s="55">
        <v>19.316962762338001</v>
      </c>
      <c r="U168" s="55">
        <v>15.7608395863748</v>
      </c>
      <c r="V168">
        <v>0.45352900069881202</v>
      </c>
      <c r="W168" s="12"/>
      <c r="X168" s="12"/>
      <c r="Y168" t="str">
        <v>20210716</v>
      </c>
      <c r="Z168">
        <v>53.1</v>
      </c>
      <c r="AA168">
        <v>16.7</v>
      </c>
      <c r="AB168">
        <f t="shared" si="70"/>
        <v>3.1796407185628746</v>
      </c>
      <c r="AY168" t="str">
        <v>01/01/2024</v>
      </c>
      <c r="AZ168">
        <v>54.4</v>
      </c>
      <c r="BA168">
        <v>17.7</v>
      </c>
      <c r="BB168">
        <f t="shared" si="71"/>
        <v>3.0734463276836159</v>
      </c>
    </row>
    <row r="169" spans="1:54" x14ac:dyDescent="0.3">
      <c r="A169" s="11">
        <v>45280</v>
      </c>
      <c r="B169">
        <v>0.51257861635220103</v>
      </c>
      <c r="C169">
        <v>4768.37</v>
      </c>
      <c r="D169">
        <v>98.89</v>
      </c>
      <c r="E169">
        <v>2040.31</v>
      </c>
      <c r="F169">
        <v>81.73</v>
      </c>
      <c r="G169">
        <v>51</v>
      </c>
      <c r="H169" s="12">
        <f t="shared" si="62"/>
        <v>163.75420244396037</v>
      </c>
      <c r="I169" s="12">
        <f t="shared" si="63"/>
        <v>87.74889626934845</v>
      </c>
      <c r="J169" s="12">
        <f t="shared" si="65"/>
        <v>167.5183438029004</v>
      </c>
      <c r="K169" s="12">
        <f t="shared" si="66"/>
        <v>148.57480414260465</v>
      </c>
      <c r="L169" s="55">
        <v>25.7464238332749</v>
      </c>
      <c r="M169" s="55">
        <v>21.635187023275801</v>
      </c>
      <c r="N169" s="55">
        <v>196.07660745462999</v>
      </c>
      <c r="O169" s="55">
        <v>3.7571416524900498</v>
      </c>
      <c r="P169" s="12">
        <f t="shared" si="64"/>
        <v>104.63597104113472</v>
      </c>
      <c r="Q169" s="12">
        <f t="shared" si="67"/>
        <v>99.81717658622587</v>
      </c>
      <c r="R169" s="12">
        <f t="shared" si="68"/>
        <v>96.966466702153284</v>
      </c>
      <c r="S169" s="12">
        <f t="shared" si="69"/>
        <v>102.5018164315192</v>
      </c>
      <c r="T169" s="55">
        <v>19.415610521843501</v>
      </c>
      <c r="U169" s="55">
        <v>15.7734188017509</v>
      </c>
      <c r="V169">
        <v>0.45599445599445598</v>
      </c>
      <c r="W169" s="12"/>
      <c r="X169" s="12"/>
      <c r="Y169" t="str">
        <v>20210709</v>
      </c>
      <c r="Z169">
        <v>61.2</v>
      </c>
      <c r="AA169">
        <v>15.3</v>
      </c>
      <c r="AB169">
        <f t="shared" si="70"/>
        <v>4</v>
      </c>
      <c r="AY169" t="str">
        <v>29/12/2023</v>
      </c>
      <c r="AZ169">
        <v>57.1</v>
      </c>
      <c r="BA169">
        <v>17.2</v>
      </c>
      <c r="BB169">
        <f t="shared" si="71"/>
        <v>3.3197674418604652</v>
      </c>
    </row>
    <row r="170" spans="1:54" x14ac:dyDescent="0.3">
      <c r="A170" s="11">
        <v>45279</v>
      </c>
      <c r="B170">
        <v>0.52063492063492101</v>
      </c>
      <c r="C170">
        <v>4740.5600000000004</v>
      </c>
      <c r="D170">
        <v>98.36</v>
      </c>
      <c r="E170">
        <v>2027.28</v>
      </c>
      <c r="F170">
        <v>81.7</v>
      </c>
      <c r="G170">
        <v>50.5</v>
      </c>
      <c r="H170" s="12">
        <f t="shared" si="62"/>
        <v>163.67596103391278</v>
      </c>
      <c r="I170" s="12">
        <f t="shared" si="63"/>
        <v>87.79814538094638</v>
      </c>
      <c r="J170" s="12">
        <f t="shared" si="65"/>
        <v>166.60216542985211</v>
      </c>
      <c r="K170" s="12">
        <f t="shared" si="66"/>
        <v>149.17667153118902</v>
      </c>
      <c r="L170" s="55">
        <v>25.8065808113925</v>
      </c>
      <c r="M170" s="55">
        <v>21.577094169770099</v>
      </c>
      <c r="N170" s="55">
        <v>195.397793784519</v>
      </c>
      <c r="O170" s="55">
        <v>3.7210927735015198</v>
      </c>
      <c r="P170" s="12">
        <f t="shared" si="64"/>
        <v>105.290213277828</v>
      </c>
      <c r="Q170" s="12">
        <f t="shared" si="67"/>
        <v>99.368763034989698</v>
      </c>
      <c r="R170" s="12">
        <f t="shared" si="68"/>
        <v>96.630804249286101</v>
      </c>
      <c r="S170" s="12">
        <f t="shared" si="69"/>
        <v>101.5338140620365</v>
      </c>
      <c r="T170" s="55">
        <v>19.481238047954299</v>
      </c>
      <c r="U170" s="55">
        <v>15.711053398385801</v>
      </c>
      <c r="V170">
        <v>0.45650661099512901</v>
      </c>
      <c r="W170" s="12"/>
      <c r="X170" s="12"/>
      <c r="Y170" t="str">
        <v>20210702</v>
      </c>
      <c r="Z170">
        <v>60.8</v>
      </c>
      <c r="AA170">
        <v>15.5</v>
      </c>
      <c r="AB170">
        <f t="shared" si="70"/>
        <v>3.9225806451612901</v>
      </c>
      <c r="AY170" t="str">
        <v>28/12/2023</v>
      </c>
      <c r="AZ170">
        <v>57.1</v>
      </c>
      <c r="BA170">
        <v>17.2</v>
      </c>
      <c r="BB170">
        <f t="shared" si="71"/>
        <v>3.3197674418604652</v>
      </c>
    </row>
    <row r="171" spans="1:54" x14ac:dyDescent="0.3">
      <c r="A171" s="11">
        <v>45276</v>
      </c>
      <c r="B171">
        <v>0.52424242424242395</v>
      </c>
      <c r="C171">
        <v>4719.1899999999996</v>
      </c>
      <c r="D171">
        <v>99.15</v>
      </c>
      <c r="E171">
        <v>2018.4</v>
      </c>
      <c r="F171">
        <v>81.709999999999994</v>
      </c>
      <c r="G171">
        <v>50.37</v>
      </c>
      <c r="H171" s="12">
        <f t="shared" si="62"/>
        <v>161.65590158941541</v>
      </c>
      <c r="I171" s="12">
        <f t="shared" si="63"/>
        <v>87.78683886600912</v>
      </c>
      <c r="J171" s="12">
        <f t="shared" si="65"/>
        <v>165.83093491716176</v>
      </c>
      <c r="K171" s="12">
        <f t="shared" si="66"/>
        <v>148.88672681732939</v>
      </c>
      <c r="L171" s="55">
        <v>25.834338248477899</v>
      </c>
      <c r="M171" s="55">
        <v>21.4196805787094</v>
      </c>
      <c r="N171" s="55">
        <v>194.57490522129299</v>
      </c>
      <c r="O171" s="55">
        <v>3.71385901661756</v>
      </c>
      <c r="P171" s="12">
        <f t="shared" si="64"/>
        <v>105.05055230123902</v>
      </c>
      <c r="Q171" s="12">
        <f t="shared" si="67"/>
        <v>98.331500711794305</v>
      </c>
      <c r="R171" s="12">
        <f t="shared" si="68"/>
        <v>96.806859434825085</v>
      </c>
      <c r="S171" s="12">
        <f t="shared" si="69"/>
        <v>101.26007917131821</v>
      </c>
      <c r="T171" s="55">
        <v>19.482444724157698</v>
      </c>
      <c r="U171" s="55">
        <v>15.4872480530523</v>
      </c>
      <c r="V171">
        <v>0.45075239398084799</v>
      </c>
      <c r="W171" s="12"/>
      <c r="X171" s="12"/>
      <c r="Y171" t="str">
        <v>20210625</v>
      </c>
      <c r="Z171">
        <v>59.6</v>
      </c>
      <c r="AA171">
        <v>16.2</v>
      </c>
      <c r="AB171">
        <f t="shared" si="70"/>
        <v>3.6790123456790127</v>
      </c>
      <c r="AY171" t="str">
        <v>27/12/2023</v>
      </c>
      <c r="AZ171">
        <v>57.1</v>
      </c>
      <c r="BA171">
        <v>17.2</v>
      </c>
      <c r="BB171">
        <f t="shared" si="71"/>
        <v>3.3197674418604652</v>
      </c>
    </row>
    <row r="172" spans="1:54" x14ac:dyDescent="0.3">
      <c r="A172" s="11">
        <v>45275</v>
      </c>
      <c r="B172">
        <v>0.527272727272727</v>
      </c>
      <c r="C172">
        <v>4719.55</v>
      </c>
      <c r="D172">
        <v>99.04</v>
      </c>
      <c r="E172">
        <v>2036.37</v>
      </c>
      <c r="F172">
        <v>81.8</v>
      </c>
      <c r="G172">
        <v>50.83</v>
      </c>
      <c r="H172" s="12">
        <f t="shared" si="62"/>
        <v>161.84800559346817</v>
      </c>
      <c r="I172" s="12">
        <f t="shared" si="63"/>
        <v>87.025518091790602</v>
      </c>
      <c r="J172" s="12">
        <f t="shared" si="65"/>
        <v>165.66130336836608</v>
      </c>
      <c r="K172" s="12">
        <f t="shared" si="66"/>
        <v>147.56257474683952</v>
      </c>
      <c r="L172" s="55">
        <v>26.010289355948601</v>
      </c>
      <c r="M172" s="55">
        <v>21.631264467845199</v>
      </c>
      <c r="N172" s="55">
        <v>193.50275889931601</v>
      </c>
      <c r="O172" s="55">
        <v>3.7094644991696999</v>
      </c>
      <c r="P172" s="12">
        <f t="shared" si="64"/>
        <v>104.59493136015195</v>
      </c>
      <c r="Q172" s="12">
        <f t="shared" si="67"/>
        <v>99.340847041701878</v>
      </c>
      <c r="R172" s="12">
        <f t="shared" si="68"/>
        <v>96.828669875902776</v>
      </c>
      <c r="S172" s="12">
        <f t="shared" si="69"/>
        <v>102.07149954323059</v>
      </c>
      <c r="T172" s="55">
        <v>19.5571886089689</v>
      </c>
      <c r="U172" s="55">
        <v>15.417157109278399</v>
      </c>
      <c r="V172">
        <v>0.45034013605442202</v>
      </c>
      <c r="W172" s="12"/>
      <c r="X172" s="12"/>
      <c r="Y172" t="str">
        <v>20210618</v>
      </c>
      <c r="Z172">
        <v>56.5</v>
      </c>
      <c r="AA172">
        <v>15.8</v>
      </c>
      <c r="AB172">
        <f t="shared" si="70"/>
        <v>3.5759493670886076</v>
      </c>
      <c r="AY172" t="str">
        <v>26/12/2023</v>
      </c>
      <c r="AZ172">
        <v>57.1</v>
      </c>
      <c r="BA172">
        <v>17.2</v>
      </c>
      <c r="BB172">
        <f t="shared" si="71"/>
        <v>3.3197674418604652</v>
      </c>
    </row>
    <row r="173" spans="1:54" x14ac:dyDescent="0.3">
      <c r="A173" s="11">
        <v>45274</v>
      </c>
      <c r="B173">
        <v>0.529051987767584</v>
      </c>
      <c r="C173">
        <v>4707.09</v>
      </c>
      <c r="D173">
        <v>96.84</v>
      </c>
      <c r="E173">
        <v>2027.68</v>
      </c>
      <c r="F173">
        <v>81.92</v>
      </c>
      <c r="G173">
        <v>50.37</v>
      </c>
      <c r="H173" s="12">
        <f t="shared" si="62"/>
        <v>165.16296073671063</v>
      </c>
      <c r="I173" s="12">
        <f t="shared" si="63"/>
        <v>87.16835349899668</v>
      </c>
      <c r="J173" s="12">
        <f t="shared" si="65"/>
        <v>164.98290776666258</v>
      </c>
      <c r="K173" s="12">
        <f t="shared" si="66"/>
        <v>148.52581656154379</v>
      </c>
      <c r="L173" s="55">
        <v>26.2502699899592</v>
      </c>
      <c r="M173" s="55">
        <v>22.042715746754599</v>
      </c>
      <c r="N173" s="55">
        <v>192.555200368784</v>
      </c>
      <c r="O173" s="55">
        <v>3.6845211882651698</v>
      </c>
      <c r="P173" s="12">
        <f t="shared" si="64"/>
        <v>104.78866312524605</v>
      </c>
      <c r="Q173" s="12">
        <f t="shared" si="67"/>
        <v>100.70902599764297</v>
      </c>
      <c r="R173" s="12">
        <f t="shared" si="68"/>
        <v>96.361630685416245</v>
      </c>
      <c r="S173" s="12">
        <f t="shared" si="69"/>
        <v>101.00116356465519</v>
      </c>
      <c r="T173" s="55">
        <v>19.793465435872701</v>
      </c>
      <c r="U173" s="55">
        <v>15.7717939534734</v>
      </c>
      <c r="V173">
        <v>0.45914922349763698</v>
      </c>
      <c r="W173" s="12"/>
      <c r="X173" s="12"/>
      <c r="Y173" t="str">
        <v>20210611</v>
      </c>
      <c r="Z173">
        <v>54.1</v>
      </c>
      <c r="AA173">
        <v>16.3</v>
      </c>
      <c r="AB173">
        <f t="shared" si="70"/>
        <v>3.3190184049079754</v>
      </c>
      <c r="AY173" t="str">
        <v>25/12/2023</v>
      </c>
      <c r="AZ173">
        <v>57.1</v>
      </c>
      <c r="BA173">
        <v>17.2</v>
      </c>
      <c r="BB173">
        <f t="shared" si="71"/>
        <v>3.3197674418604652</v>
      </c>
    </row>
    <row r="174" spans="1:54" x14ac:dyDescent="0.3">
      <c r="A174" s="11">
        <v>45273</v>
      </c>
      <c r="B174">
        <v>0.53333333333333299</v>
      </c>
      <c r="C174">
        <v>4643.7</v>
      </c>
      <c r="D174">
        <v>94.62</v>
      </c>
      <c r="E174">
        <v>1979.54</v>
      </c>
      <c r="F174">
        <v>81.510000000000005</v>
      </c>
      <c r="G174">
        <v>49.67</v>
      </c>
      <c r="H174" s="12">
        <f t="shared" si="62"/>
        <v>166.7995171179997</v>
      </c>
      <c r="I174" s="12">
        <f t="shared" si="63"/>
        <v>88.108295304245246</v>
      </c>
      <c r="J174" s="12">
        <f t="shared" si="65"/>
        <v>163.57279658178373</v>
      </c>
      <c r="K174" s="12">
        <f t="shared" si="66"/>
        <v>148.59153283994709</v>
      </c>
      <c r="L174" s="55">
        <v>26.3323358141432</v>
      </c>
      <c r="M174" s="55">
        <v>22.028255811287</v>
      </c>
      <c r="N174" s="55">
        <v>190.340462452211</v>
      </c>
      <c r="O174" s="55">
        <v>3.6052581934990999</v>
      </c>
      <c r="P174" s="12">
        <f t="shared" si="64"/>
        <v>105.88453857606892</v>
      </c>
      <c r="Q174" s="12">
        <f t="shared" si="67"/>
        <v>101.66151881734058</v>
      </c>
      <c r="R174" s="12">
        <f t="shared" si="68"/>
        <v>97.357182573485275</v>
      </c>
      <c r="S174" s="12">
        <f t="shared" si="69"/>
        <v>100.09401587984637</v>
      </c>
      <c r="T174" s="55">
        <v>19.878088788652001</v>
      </c>
      <c r="U174" s="55">
        <v>15.733440166692599</v>
      </c>
      <c r="V174">
        <v>0.46298788694481802</v>
      </c>
      <c r="W174" s="12"/>
      <c r="X174" s="12"/>
      <c r="Y174" t="str">
        <v>20210604</v>
      </c>
      <c r="Z174">
        <v>54.5</v>
      </c>
      <c r="AA174">
        <v>16.2</v>
      </c>
      <c r="AB174">
        <f t="shared" si="70"/>
        <v>3.3641975308641978</v>
      </c>
      <c r="AY174" t="str">
        <v>22/12/2023</v>
      </c>
      <c r="AZ174" t="e">
        <v>#N/A</v>
      </c>
      <c r="BA174" t="e">
        <v>#N/A</v>
      </c>
      <c r="BB174" t="str">
        <f t="shared" si="71"/>
        <v/>
      </c>
    </row>
    <row r="175" spans="1:54" x14ac:dyDescent="0.3">
      <c r="A175" s="11">
        <v>45272</v>
      </c>
      <c r="B175">
        <v>0.54545454545454497</v>
      </c>
      <c r="C175">
        <v>4622.4399999999996</v>
      </c>
      <c r="D175">
        <v>94.34</v>
      </c>
      <c r="E175">
        <v>1981.91</v>
      </c>
      <c r="F175">
        <v>81.5</v>
      </c>
      <c r="G175">
        <v>49.62</v>
      </c>
      <c r="H175" s="12">
        <f t="shared" si="62"/>
        <v>166.52785782472742</v>
      </c>
      <c r="I175" s="12">
        <f t="shared" si="63"/>
        <v>87.600639202745228</v>
      </c>
      <c r="J175" s="12">
        <f t="shared" si="65"/>
        <v>162.84380947193668</v>
      </c>
      <c r="K175" s="12">
        <f t="shared" si="66"/>
        <v>148.05975486082252</v>
      </c>
      <c r="L175" s="55">
        <v>26.6290200444692</v>
      </c>
      <c r="M175" s="55">
        <v>22.630382773366001</v>
      </c>
      <c r="N175" s="55">
        <v>185.298834842433</v>
      </c>
      <c r="O175" s="55">
        <v>3.5678475152234701</v>
      </c>
      <c r="P175" s="12">
        <f t="shared" si="64"/>
        <v>104.14299816851452</v>
      </c>
      <c r="Q175" s="12">
        <f t="shared" si="67"/>
        <v>101.86120037670774</v>
      </c>
      <c r="R175" s="12">
        <f t="shared" si="68"/>
        <v>97.143130176940815</v>
      </c>
      <c r="S175" s="12">
        <f t="shared" si="69"/>
        <v>100.00551511761093</v>
      </c>
      <c r="T175" s="55">
        <v>20.092911908537701</v>
      </c>
      <c r="U175" s="55">
        <v>16.065063648592599</v>
      </c>
      <c r="V175">
        <v>0.46070460704607002</v>
      </c>
      <c r="W175" s="12"/>
      <c r="X175" s="12"/>
      <c r="Y175" t="str">
        <v>20210528</v>
      </c>
      <c r="Z175">
        <v>53.6</v>
      </c>
      <c r="AA175">
        <v>16.5</v>
      </c>
      <c r="AB175">
        <f t="shared" si="70"/>
        <v>3.2484848484848485</v>
      </c>
      <c r="AY175" t="str">
        <v>21/12/2023</v>
      </c>
      <c r="AZ175" t="e">
        <v>#N/A</v>
      </c>
      <c r="BA175" t="e">
        <v>#N/A</v>
      </c>
      <c r="BB175" t="str">
        <f t="shared" si="71"/>
        <v/>
      </c>
    </row>
    <row r="176" spans="1:54" x14ac:dyDescent="0.3">
      <c r="A176" s="11">
        <v>45269</v>
      </c>
      <c r="B176">
        <v>0.56976744186046502</v>
      </c>
      <c r="C176">
        <v>4604.37</v>
      </c>
      <c r="D176">
        <v>94.54</v>
      </c>
      <c r="E176">
        <v>2003.6</v>
      </c>
      <c r="F176">
        <v>81.48</v>
      </c>
      <c r="G176">
        <v>49.48</v>
      </c>
      <c r="H176" s="12">
        <f t="shared" si="62"/>
        <v>165.52806183797804</v>
      </c>
      <c r="I176" s="12">
        <f t="shared" si="63"/>
        <v>86.327307392546714</v>
      </c>
      <c r="J176" s="12">
        <f t="shared" si="65"/>
        <v>162.24689122500371</v>
      </c>
      <c r="K176" s="12">
        <f t="shared" si="66"/>
        <v>147.89779102366953</v>
      </c>
      <c r="L176" s="55">
        <v>26.767953845485799</v>
      </c>
      <c r="M176" s="55">
        <v>22.8321424983403</v>
      </c>
      <c r="N176" s="55">
        <v>183.90327843957999</v>
      </c>
      <c r="O176" s="55">
        <v>3.5272926268445799</v>
      </c>
      <c r="P176" s="12">
        <f t="shared" si="64"/>
        <v>104.55168236997676</v>
      </c>
      <c r="Q176" s="12">
        <f t="shared" si="67"/>
        <v>101.35998208736335</v>
      </c>
      <c r="R176" s="12">
        <f t="shared" si="68"/>
        <v>95.834515606308102</v>
      </c>
      <c r="S176" s="12">
        <f t="shared" si="69"/>
        <v>99.747770168939056</v>
      </c>
      <c r="T176" s="55">
        <v>20.2493680311966</v>
      </c>
      <c r="U176" s="55">
        <v>16.275198068973499</v>
      </c>
      <c r="V176">
        <v>0.47109634551495</v>
      </c>
      <c r="W176" s="12"/>
      <c r="X176" s="12"/>
      <c r="Y176" t="str">
        <v>20210521</v>
      </c>
      <c r="Z176">
        <v>51.5</v>
      </c>
      <c r="AA176">
        <v>16.8</v>
      </c>
      <c r="AB176">
        <f t="shared" si="70"/>
        <v>3.0654761904761902</v>
      </c>
      <c r="AY176" t="str">
        <v>20/12/2023</v>
      </c>
      <c r="AZ176" t="e">
        <v>#N/A</v>
      </c>
      <c r="BA176" t="e">
        <v>#N/A</v>
      </c>
      <c r="BB176" t="str">
        <f t="shared" si="71"/>
        <v/>
      </c>
    </row>
    <row r="177" spans="1:54" x14ac:dyDescent="0.3">
      <c r="A177" s="11">
        <v>45268</v>
      </c>
      <c r="B177">
        <v>0.57183908045977005</v>
      </c>
      <c r="C177">
        <v>4585.59</v>
      </c>
      <c r="D177">
        <v>95.32</v>
      </c>
      <c r="E177">
        <v>2028.52</v>
      </c>
      <c r="F177">
        <v>81.66</v>
      </c>
      <c r="G177">
        <v>49.41</v>
      </c>
      <c r="H177" s="12">
        <f t="shared" si="62"/>
        <v>163.52029413537184</v>
      </c>
      <c r="I177" s="12">
        <f t="shared" si="63"/>
        <v>84.936033372256034</v>
      </c>
      <c r="J177" s="12">
        <f t="shared" si="65"/>
        <v>161.23118319296046</v>
      </c>
      <c r="K177" s="12">
        <f t="shared" si="66"/>
        <v>147.50267254122798</v>
      </c>
      <c r="L177" s="55">
        <v>26.863027517688</v>
      </c>
      <c r="M177" s="55">
        <v>22.858442188438801</v>
      </c>
      <c r="N177" s="55">
        <v>181.28741437874601</v>
      </c>
      <c r="O177" s="55">
        <v>3.4939762766092501</v>
      </c>
      <c r="P177" s="12">
        <f t="shared" si="64"/>
        <v>104.04249769125424</v>
      </c>
      <c r="Q177" s="12">
        <f t="shared" si="67"/>
        <v>100.396210600833</v>
      </c>
      <c r="R177" s="12">
        <f t="shared" si="68"/>
        <v>94.539183602211111</v>
      </c>
      <c r="S177" s="12">
        <f t="shared" si="69"/>
        <v>99.387888727294353</v>
      </c>
      <c r="T177" s="55">
        <v>20.310116547537199</v>
      </c>
      <c r="U177" s="55">
        <v>16.186585952913799</v>
      </c>
      <c r="V177">
        <v>0.48066666666666702</v>
      </c>
      <c r="W177" s="12"/>
      <c r="X177" s="12"/>
      <c r="Y177" t="str">
        <v>20210514</v>
      </c>
      <c r="Z177">
        <v>54.5</v>
      </c>
      <c r="AA177">
        <v>17.2</v>
      </c>
      <c r="AB177">
        <f t="shared" si="70"/>
        <v>3.168604651162791</v>
      </c>
      <c r="AY177" t="str">
        <v>19/12/2023</v>
      </c>
      <c r="AZ177" t="e">
        <v>#N/A</v>
      </c>
      <c r="BA177" t="e">
        <v>#N/A</v>
      </c>
      <c r="BB177" t="str">
        <f t="shared" si="71"/>
        <v/>
      </c>
    </row>
    <row r="178" spans="1:54" x14ac:dyDescent="0.3">
      <c r="A178" s="11">
        <v>45267</v>
      </c>
      <c r="B178">
        <v>0.58600583090378999</v>
      </c>
      <c r="C178">
        <v>4549.34</v>
      </c>
      <c r="D178">
        <v>95.87</v>
      </c>
      <c r="E178">
        <v>2025.47</v>
      </c>
      <c r="F178">
        <v>81.599999999999994</v>
      </c>
      <c r="G178">
        <v>49.19</v>
      </c>
      <c r="H178" s="12">
        <f t="shared" si="62"/>
        <v>161.30952702866796</v>
      </c>
      <c r="I178" s="12">
        <f t="shared" si="63"/>
        <v>84.390670021797845</v>
      </c>
      <c r="J178" s="12">
        <f t="shared" si="65"/>
        <v>160.07338922846895</v>
      </c>
      <c r="K178" s="12">
        <f t="shared" si="66"/>
        <v>146.9888385077532</v>
      </c>
      <c r="L178" s="55">
        <v>26.823764097622099</v>
      </c>
      <c r="M178" s="55">
        <v>22.389250982541999</v>
      </c>
      <c r="N178" s="55">
        <v>180.18726797364499</v>
      </c>
      <c r="O178" s="55">
        <v>3.4640003429089701</v>
      </c>
      <c r="P178" s="12">
        <f t="shared" si="64"/>
        <v>104.30827384919733</v>
      </c>
      <c r="Q178" s="12">
        <f t="shared" si="67"/>
        <v>99.381585318576654</v>
      </c>
      <c r="R178" s="12">
        <f t="shared" si="68"/>
        <v>94.259550353605448</v>
      </c>
      <c r="S178" s="12">
        <f t="shared" si="69"/>
        <v>99.017843240577534</v>
      </c>
      <c r="T178" s="55">
        <v>20.4109699543773</v>
      </c>
      <c r="U178" s="55">
        <v>16.189938917689702</v>
      </c>
      <c r="V178">
        <v>0.488992661774516</v>
      </c>
      <c r="W178" s="12"/>
      <c r="X178" s="12"/>
      <c r="Y178" t="str">
        <v>20210507</v>
      </c>
      <c r="Z178">
        <v>58.6</v>
      </c>
      <c r="AA178">
        <v>17.2</v>
      </c>
      <c r="AB178">
        <f t="shared" si="70"/>
        <v>3.4069767441860468</v>
      </c>
      <c r="AY178" t="str">
        <v>18/12/2023</v>
      </c>
      <c r="AZ178" t="e">
        <v>#N/A</v>
      </c>
      <c r="BA178" t="e">
        <v>#N/A</v>
      </c>
      <c r="BB178" t="str">
        <f t="shared" si="71"/>
        <v/>
      </c>
    </row>
    <row r="179" spans="1:54" x14ac:dyDescent="0.3">
      <c r="A179" s="11">
        <v>45266</v>
      </c>
      <c r="B179">
        <v>0.58620689655172398</v>
      </c>
      <c r="C179">
        <v>4567.18</v>
      </c>
      <c r="D179">
        <v>94.61</v>
      </c>
      <c r="E179">
        <v>2019.36</v>
      </c>
      <c r="F179">
        <v>81.62</v>
      </c>
      <c r="G179">
        <v>49.13</v>
      </c>
      <c r="H179" s="12">
        <f t="shared" si="62"/>
        <v>164.13660965037261</v>
      </c>
      <c r="I179" s="12">
        <f t="shared" si="63"/>
        <v>84.979736072443671</v>
      </c>
      <c r="J179" s="12">
        <f t="shared" si="65"/>
        <v>160.66158612093585</v>
      </c>
      <c r="K179" s="12">
        <f t="shared" si="66"/>
        <v>147.7463903957358</v>
      </c>
      <c r="L179" s="55">
        <v>26.8647112344138</v>
      </c>
      <c r="M179" s="55">
        <v>22.264799728470798</v>
      </c>
      <c r="N179" s="55">
        <v>179.13659561904799</v>
      </c>
      <c r="O179" s="55">
        <v>3.4471226044619701</v>
      </c>
      <c r="P179" s="12">
        <f t="shared" si="64"/>
        <v>104.20729483928612</v>
      </c>
      <c r="Q179" s="12">
        <f t="shared" si="67"/>
        <v>100.59848305255942</v>
      </c>
      <c r="R179" s="12">
        <f t="shared" si="68"/>
        <v>94.429945542585727</v>
      </c>
      <c r="S179" s="12">
        <f t="shared" si="69"/>
        <v>98.872867168967772</v>
      </c>
      <c r="T179" s="55">
        <v>20.477834139271899</v>
      </c>
      <c r="U179" s="55">
        <v>16.1522735436691</v>
      </c>
      <c r="V179">
        <v>0.48707753479125199</v>
      </c>
      <c r="W179" s="12"/>
      <c r="X179" s="12"/>
      <c r="Y179" t="str">
        <v>20210430</v>
      </c>
      <c r="Z179">
        <v>60.4</v>
      </c>
      <c r="AA179">
        <v>16.8</v>
      </c>
      <c r="AB179">
        <f t="shared" si="70"/>
        <v>3.5952380952380949</v>
      </c>
      <c r="AY179" t="str">
        <v>15/12/2023</v>
      </c>
      <c r="AZ179">
        <v>56.9</v>
      </c>
      <c r="BA179">
        <v>18.100000000000001</v>
      </c>
      <c r="BB179">
        <f t="shared" si="71"/>
        <v>3.1436464088397789</v>
      </c>
    </row>
    <row r="180" spans="1:54" x14ac:dyDescent="0.3">
      <c r="A180" s="11">
        <v>45265</v>
      </c>
      <c r="B180">
        <v>0.58789625360230502</v>
      </c>
      <c r="C180">
        <v>4569.78</v>
      </c>
      <c r="D180">
        <v>92.614999999999995</v>
      </c>
      <c r="E180">
        <v>2029.5</v>
      </c>
      <c r="F180">
        <v>81.52</v>
      </c>
      <c r="G180">
        <v>49.32</v>
      </c>
      <c r="H180" s="12">
        <f t="shared" si="62"/>
        <v>167.84767857073135</v>
      </c>
      <c r="I180" s="12">
        <f t="shared" si="63"/>
        <v>84.605159476402633</v>
      </c>
      <c r="J180" s="12">
        <f t="shared" si="65"/>
        <v>160.95059674057876</v>
      </c>
      <c r="K180" s="12">
        <f t="shared" si="66"/>
        <v>147.26286201299985</v>
      </c>
      <c r="L180" s="55">
        <v>26.8956776682666</v>
      </c>
      <c r="M180" s="55">
        <v>22.019431421575799</v>
      </c>
      <c r="N180" s="55">
        <v>178.29576275304399</v>
      </c>
      <c r="O180" s="55">
        <v>3.4283828730861701</v>
      </c>
      <c r="P180" s="12">
        <f t="shared" si="64"/>
        <v>104.28552059764066</v>
      </c>
      <c r="Q180" s="12">
        <f t="shared" si="67"/>
        <v>103.21955577767712</v>
      </c>
      <c r="R180" s="12">
        <f t="shared" si="68"/>
        <v>94.322049421220143</v>
      </c>
      <c r="S180" s="12">
        <f t="shared" si="69"/>
        <v>99.377614557633848</v>
      </c>
      <c r="T180" s="55">
        <v>20.601366917257199</v>
      </c>
      <c r="U180" s="55">
        <v>16.306466822802001</v>
      </c>
      <c r="V180">
        <v>0.48406374501992</v>
      </c>
      <c r="W180" s="12"/>
      <c r="X180" s="12"/>
      <c r="Y180" t="str">
        <v>20210423</v>
      </c>
      <c r="Z180">
        <v>59.2</v>
      </c>
      <c r="AA180">
        <v>16.5</v>
      </c>
      <c r="AB180">
        <f t="shared" si="70"/>
        <v>3.5878787878787879</v>
      </c>
      <c r="AY180" t="str">
        <v>14/12/2023</v>
      </c>
      <c r="AZ180">
        <v>56.9</v>
      </c>
      <c r="BA180">
        <v>18.100000000000001</v>
      </c>
      <c r="BB180">
        <f t="shared" si="71"/>
        <v>3.1436464088397789</v>
      </c>
    </row>
    <row r="181" spans="1:54" x14ac:dyDescent="0.3">
      <c r="A181" s="11">
        <v>45262</v>
      </c>
      <c r="B181">
        <v>0.59791122715404699</v>
      </c>
      <c r="C181">
        <v>4594.63</v>
      </c>
      <c r="D181">
        <v>92.99</v>
      </c>
      <c r="E181">
        <v>2071.25</v>
      </c>
      <c r="F181">
        <v>81.64</v>
      </c>
      <c r="G181">
        <v>49.75</v>
      </c>
      <c r="H181" s="12">
        <f t="shared" si="62"/>
        <v>168.07892088572314</v>
      </c>
      <c r="I181" s="12">
        <f t="shared" si="63"/>
        <v>83.375502354546271</v>
      </c>
      <c r="J181" s="12">
        <f t="shared" si="65"/>
        <v>161.58702663910626</v>
      </c>
      <c r="K181" s="12">
        <f t="shared" si="66"/>
        <v>146.78804257087026</v>
      </c>
      <c r="L181" s="55">
        <v>27.045411097620399</v>
      </c>
      <c r="M181" s="55">
        <v>22.301812276958799</v>
      </c>
      <c r="N181" s="55">
        <v>177.37120391588701</v>
      </c>
      <c r="O181" s="55">
        <v>3.4026604622507599</v>
      </c>
      <c r="P181" s="12">
        <f t="shared" si="64"/>
        <v>104.53084772866065</v>
      </c>
      <c r="Q181" s="12">
        <f t="shared" si="67"/>
        <v>103.69765635179685</v>
      </c>
      <c r="R181" s="12">
        <f t="shared" si="68"/>
        <v>93.248415697080702</v>
      </c>
      <c r="S181" s="12">
        <f t="shared" si="69"/>
        <v>100.09563542067229</v>
      </c>
      <c r="T181" s="55">
        <v>20.711360813137599</v>
      </c>
      <c r="U181" s="55">
        <v>16.421426320196499</v>
      </c>
      <c r="V181">
        <v>0.48172323759791102</v>
      </c>
      <c r="W181" s="12"/>
      <c r="X181" s="12"/>
      <c r="Y181" t="str">
        <v>20210416</v>
      </c>
      <c r="Z181">
        <v>63.7</v>
      </c>
      <c r="AA181">
        <v>16.7</v>
      </c>
      <c r="AB181">
        <f t="shared" si="70"/>
        <v>3.8143712574850301</v>
      </c>
      <c r="AY181" t="str">
        <v>13/12/2023</v>
      </c>
      <c r="AZ181">
        <v>56.9</v>
      </c>
      <c r="BA181">
        <v>18.100000000000001</v>
      </c>
      <c r="BB181">
        <f t="shared" si="71"/>
        <v>3.1436464088397789</v>
      </c>
    </row>
    <row r="182" spans="1:54" x14ac:dyDescent="0.3">
      <c r="A182" s="11">
        <v>45260</v>
      </c>
      <c r="B182">
        <v>0.58567774936061401</v>
      </c>
      <c r="C182">
        <v>4567.8</v>
      </c>
      <c r="D182">
        <v>91.56</v>
      </c>
      <c r="E182">
        <v>2036.72</v>
      </c>
      <c r="F182">
        <v>81.650000000000006</v>
      </c>
      <c r="G182">
        <v>49.31</v>
      </c>
      <c r="H182" s="12">
        <f t="shared" si="62"/>
        <v>169.73287424037682</v>
      </c>
      <c r="I182" s="12">
        <f t="shared" si="63"/>
        <v>84.309653718800547</v>
      </c>
      <c r="J182" s="12">
        <f t="shared" si="65"/>
        <v>160.62389384866435</v>
      </c>
      <c r="K182" s="12">
        <f t="shared" si="66"/>
        <v>147.23702931088221</v>
      </c>
      <c r="L182" s="55">
        <v>27.0514733427793</v>
      </c>
      <c r="M182" s="55">
        <v>21.838805076409201</v>
      </c>
      <c r="N182" s="55">
        <v>176.43824519446599</v>
      </c>
      <c r="O182" s="55">
        <v>3.3921085113071299</v>
      </c>
      <c r="P182" s="12">
        <f t="shared" si="64"/>
        <v>104.30377838966871</v>
      </c>
      <c r="Q182" s="12">
        <f t="shared" si="67"/>
        <v>104.39659516357007</v>
      </c>
      <c r="R182" s="12">
        <f t="shared" si="68"/>
        <v>94.003317820241094</v>
      </c>
      <c r="S182" s="12">
        <f t="shared" si="69"/>
        <v>99.198325726447635</v>
      </c>
      <c r="T182" s="55">
        <v>20.7559880689012</v>
      </c>
      <c r="U182" s="55">
        <v>16.186812489619498</v>
      </c>
      <c r="V182">
        <v>0.48191214470284199</v>
      </c>
      <c r="W182" s="12"/>
      <c r="X182" s="12"/>
      <c r="Y182" t="str">
        <v>20210409</v>
      </c>
      <c r="Z182">
        <v>63.4</v>
      </c>
      <c r="AA182">
        <v>16.8</v>
      </c>
      <c r="AB182">
        <f t="shared" si="70"/>
        <v>3.7738095238095237</v>
      </c>
      <c r="AY182" t="str">
        <v>12/12/2023</v>
      </c>
      <c r="AZ182">
        <v>56.9</v>
      </c>
      <c r="BA182">
        <v>18.100000000000001</v>
      </c>
      <c r="BB182">
        <f t="shared" si="71"/>
        <v>3.1436464088397789</v>
      </c>
    </row>
    <row r="183" spans="1:54" x14ac:dyDescent="0.3">
      <c r="A183" s="11">
        <v>45260</v>
      </c>
      <c r="B183">
        <v>0.59558823529411797</v>
      </c>
      <c r="C183">
        <v>4550.58</v>
      </c>
      <c r="D183">
        <v>92.63</v>
      </c>
      <c r="E183">
        <v>2044.2</v>
      </c>
      <c r="F183">
        <v>81.7</v>
      </c>
      <c r="G183">
        <v>49.31</v>
      </c>
      <c r="H183" s="12">
        <f t="shared" si="62"/>
        <v>167.16925575683888</v>
      </c>
      <c r="I183" s="12">
        <f t="shared" si="63"/>
        <v>83.686750956624834</v>
      </c>
      <c r="J183" s="12">
        <f t="shared" si="65"/>
        <v>159.92086125422486</v>
      </c>
      <c r="K183" s="12">
        <f t="shared" si="66"/>
        <v>146.68196524399369</v>
      </c>
      <c r="L183" s="55">
        <v>27.143285961095</v>
      </c>
      <c r="M183" s="55">
        <v>21.787635597635401</v>
      </c>
      <c r="N183" s="55">
        <v>175.38842999446001</v>
      </c>
      <c r="O183" s="55">
        <v>3.3671386825279201</v>
      </c>
      <c r="P183" s="12">
        <f t="shared" si="64"/>
        <v>104.45315505901759</v>
      </c>
      <c r="Q183" s="12">
        <f t="shared" si="67"/>
        <v>103.20444621132866</v>
      </c>
      <c r="R183" s="12">
        <f t="shared" si="68"/>
        <v>93.66060120883219</v>
      </c>
      <c r="S183" s="12">
        <f t="shared" si="69"/>
        <v>99.13765396759355</v>
      </c>
      <c r="T183" s="55">
        <v>20.841891833253602</v>
      </c>
      <c r="U183" s="55">
        <v>16.146448184919102</v>
      </c>
      <c r="V183">
        <v>0.471069182389937</v>
      </c>
      <c r="W183" s="12"/>
      <c r="X183" s="12"/>
      <c r="Y183" t="str">
        <v>20210402</v>
      </c>
      <c r="Z183">
        <v>60.8</v>
      </c>
      <c r="AA183">
        <v>16.7</v>
      </c>
      <c r="AB183">
        <f t="shared" si="70"/>
        <v>3.6407185628742513</v>
      </c>
      <c r="AY183" t="str">
        <v>11/12/2023</v>
      </c>
      <c r="AZ183">
        <v>56.9</v>
      </c>
      <c r="BA183">
        <v>18.100000000000001</v>
      </c>
      <c r="BB183">
        <f t="shared" si="71"/>
        <v>3.1436464088397789</v>
      </c>
    </row>
    <row r="184" spans="1:54" x14ac:dyDescent="0.3">
      <c r="A184" s="11">
        <v>45259</v>
      </c>
      <c r="B184">
        <v>0.59850374064837897</v>
      </c>
      <c r="C184">
        <v>4554.8900000000003</v>
      </c>
      <c r="D184">
        <v>91.48</v>
      </c>
      <c r="E184">
        <v>2040.69</v>
      </c>
      <c r="F184">
        <v>81.540000000000006</v>
      </c>
      <c r="G184">
        <v>49.33</v>
      </c>
      <c r="H184" s="12">
        <f t="shared" si="62"/>
        <v>169.4598942202208</v>
      </c>
      <c r="I184" s="12">
        <f t="shared" si="63"/>
        <v>83.910476616453295</v>
      </c>
      <c r="J184" s="12">
        <f t="shared" si="65"/>
        <v>160.38734189280328</v>
      </c>
      <c r="K184" s="12">
        <f t="shared" si="66"/>
        <v>146.76133421443805</v>
      </c>
      <c r="L184" s="55">
        <v>27.9956493908802</v>
      </c>
      <c r="M184" s="55">
        <v>22.503169222392501</v>
      </c>
      <c r="N184" s="55">
        <v>174.032657830598</v>
      </c>
      <c r="O184" s="55">
        <v>3.36091029345133</v>
      </c>
      <c r="P184" s="12">
        <f t="shared" si="64"/>
        <v>103.8366615634604</v>
      </c>
      <c r="Q184" s="12">
        <f t="shared" si="67"/>
        <v>104.5612843142036</v>
      </c>
      <c r="R184" s="12">
        <f t="shared" si="68"/>
        <v>93.860095140734444</v>
      </c>
      <c r="S184" s="12">
        <f t="shared" si="69"/>
        <v>99.372935284324754</v>
      </c>
      <c r="T184" s="55">
        <v>21.893592393469898</v>
      </c>
      <c r="U184" s="55">
        <v>16.889061931793201</v>
      </c>
      <c r="V184">
        <v>0.47248576850094898</v>
      </c>
      <c r="W184" s="12"/>
      <c r="X184" s="12"/>
      <c r="Y184" t="str">
        <v>20210326</v>
      </c>
      <c r="Z184">
        <v>54.4</v>
      </c>
      <c r="AA184">
        <v>17.5</v>
      </c>
      <c r="AB184">
        <f t="shared" si="70"/>
        <v>3.1085714285714285</v>
      </c>
      <c r="AY184" t="str">
        <v>08/12/2023</v>
      </c>
      <c r="AZ184">
        <v>55.6</v>
      </c>
      <c r="BA184">
        <v>19.399999999999999</v>
      </c>
      <c r="BB184">
        <f t="shared" si="71"/>
        <v>2.8659793814432994</v>
      </c>
    </row>
    <row r="185" spans="1:54" x14ac:dyDescent="0.3">
      <c r="A185" s="11">
        <v>45258</v>
      </c>
      <c r="B185">
        <v>0.60201511335012603</v>
      </c>
      <c r="C185">
        <v>4550.43</v>
      </c>
      <c r="D185">
        <v>91.3</v>
      </c>
      <c r="E185">
        <v>2014.03</v>
      </c>
      <c r="F185">
        <v>81.39</v>
      </c>
      <c r="G185">
        <v>49.2</v>
      </c>
      <c r="H185" s="12">
        <f t="shared" si="62"/>
        <v>169.62806268442139</v>
      </c>
      <c r="I185" s="12">
        <f t="shared" si="63"/>
        <v>84.951731200579275</v>
      </c>
      <c r="J185" s="12">
        <f t="shared" si="65"/>
        <v>160.52585180061399</v>
      </c>
      <c r="K185" s="12">
        <f t="shared" si="66"/>
        <v>147.00567959745882</v>
      </c>
      <c r="L185" s="55">
        <v>28.357254351060998</v>
      </c>
      <c r="M185" s="55">
        <v>22.772303430152601</v>
      </c>
      <c r="N185" s="55">
        <v>173.159771221677</v>
      </c>
      <c r="O185" s="55">
        <v>3.3389634014635599</v>
      </c>
      <c r="P185" s="12">
        <f t="shared" si="64"/>
        <v>103.99598693627001</v>
      </c>
      <c r="Q185" s="12">
        <f t="shared" si="67"/>
        <v>104.49119642944021</v>
      </c>
      <c r="R185" s="12">
        <f t="shared" si="68"/>
        <v>94.865178907298883</v>
      </c>
      <c r="S185" s="12">
        <f t="shared" si="69"/>
        <v>99.293570115447906</v>
      </c>
      <c r="T185" s="55">
        <v>22.097728819237702</v>
      </c>
      <c r="U185" s="55">
        <v>17.0119596039148</v>
      </c>
      <c r="V185">
        <v>0.47452229299363102</v>
      </c>
      <c r="W185" s="12"/>
      <c r="X185" s="12"/>
      <c r="Y185" t="str">
        <v>20210319</v>
      </c>
      <c r="Z185">
        <v>57.4</v>
      </c>
      <c r="AA185">
        <v>18.8</v>
      </c>
      <c r="AB185">
        <f t="shared" si="70"/>
        <v>3.0531914893617018</v>
      </c>
      <c r="AY185" t="str">
        <v>07/12/2023</v>
      </c>
      <c r="AZ185">
        <v>55.6</v>
      </c>
      <c r="BA185">
        <v>19.399999999999999</v>
      </c>
      <c r="BB185">
        <f t="shared" si="71"/>
        <v>2.8659793814432994</v>
      </c>
    </row>
    <row r="186" spans="1:54" x14ac:dyDescent="0.3">
      <c r="A186" s="11">
        <v>45255</v>
      </c>
      <c r="B186">
        <v>0.61872146118721505</v>
      </c>
      <c r="C186">
        <v>4559.34</v>
      </c>
      <c r="D186">
        <v>89.8</v>
      </c>
      <c r="E186">
        <v>2002.33</v>
      </c>
      <c r="F186">
        <v>81.290000000000006</v>
      </c>
      <c r="G186">
        <v>49.38</v>
      </c>
      <c r="H186" s="12">
        <f t="shared" si="62"/>
        <v>172.85315977587902</v>
      </c>
      <c r="I186" s="12">
        <f t="shared" si="63"/>
        <v>85.619341413836224</v>
      </c>
      <c r="J186" s="12">
        <f t="shared" si="65"/>
        <v>161.03866232319336</v>
      </c>
      <c r="K186" s="12">
        <f t="shared" si="66"/>
        <v>146.75751699953443</v>
      </c>
      <c r="L186" s="55">
        <v>28.1215569931272</v>
      </c>
      <c r="M186" s="55">
        <v>22.581347082761098</v>
      </c>
      <c r="N186" s="55">
        <v>172.44010828569299</v>
      </c>
      <c r="O186" s="55">
        <v>3.2941082776583701</v>
      </c>
      <c r="P186" s="12">
        <f t="shared" si="64"/>
        <v>104.98742144512141</v>
      </c>
      <c r="Q186" s="12">
        <f t="shared" si="67"/>
        <v>106.66165298503967</v>
      </c>
      <c r="R186" s="12">
        <f t="shared" si="68"/>
        <v>95.773919510718457</v>
      </c>
      <c r="S186" s="12">
        <f t="shared" si="69"/>
        <v>99.780034111430723</v>
      </c>
      <c r="T186" s="55">
        <v>22.037719769164202</v>
      </c>
      <c r="U186" s="55">
        <v>16.828619959660202</v>
      </c>
      <c r="V186">
        <v>0.46928746928746901</v>
      </c>
      <c r="W186" s="12"/>
      <c r="X186" s="12"/>
      <c r="Y186" t="str">
        <v>20210312</v>
      </c>
      <c r="Z186">
        <v>55.9</v>
      </c>
      <c r="AA186">
        <v>19.600000000000001</v>
      </c>
      <c r="AB186">
        <f t="shared" si="70"/>
        <v>2.8520408163265305</v>
      </c>
      <c r="AY186" t="str">
        <v>06/12/2023</v>
      </c>
      <c r="AZ186">
        <v>55.6</v>
      </c>
      <c r="BA186">
        <v>19.399999999999999</v>
      </c>
      <c r="BB186">
        <f t="shared" si="71"/>
        <v>2.8659793814432994</v>
      </c>
    </row>
    <row r="187" spans="1:54" x14ac:dyDescent="0.3">
      <c r="A187" s="11">
        <v>45253</v>
      </c>
      <c r="B187">
        <v>0.62387387387387405</v>
      </c>
      <c r="C187">
        <v>4556.62</v>
      </c>
      <c r="D187">
        <v>90.87</v>
      </c>
      <c r="E187">
        <v>1990.28</v>
      </c>
      <c r="F187">
        <v>81.349999999999994</v>
      </c>
      <c r="G187">
        <v>49.09</v>
      </c>
      <c r="H187" s="12">
        <f t="shared" si="62"/>
        <v>170.74075566426677</v>
      </c>
      <c r="I187" s="12">
        <f t="shared" si="63"/>
        <v>86.089172280484092</v>
      </c>
      <c r="J187" s="12">
        <f t="shared" si="65"/>
        <v>160.82404465040432</v>
      </c>
      <c r="K187" s="12">
        <f t="shared" si="66"/>
        <v>147.54104598694329</v>
      </c>
      <c r="L187" s="55">
        <v>27.177277665440499</v>
      </c>
      <c r="M187" s="55">
        <v>21.785554810606701</v>
      </c>
      <c r="N187" s="55">
        <v>170.75550494670699</v>
      </c>
      <c r="O187" s="55">
        <v>3.26773414392121</v>
      </c>
      <c r="P187" s="12">
        <f t="shared" si="64"/>
        <v>104.79935791421399</v>
      </c>
      <c r="Q187" s="12">
        <f t="shared" si="67"/>
        <v>104.80837057890153</v>
      </c>
      <c r="R187" s="12">
        <f t="shared" si="68"/>
        <v>95.787991503971469</v>
      </c>
      <c r="S187" s="12">
        <f t="shared" si="69"/>
        <v>99.121365640187847</v>
      </c>
      <c r="T187" s="55">
        <v>21.377199796677601</v>
      </c>
      <c r="U187" s="55">
        <v>16.3010687833399</v>
      </c>
      <c r="V187">
        <v>0.45784615384615401</v>
      </c>
      <c r="W187" s="12"/>
      <c r="X187" s="12"/>
      <c r="Y187" t="str">
        <v>20210305</v>
      </c>
      <c r="Z187">
        <v>51</v>
      </c>
      <c r="AA187">
        <v>20.6</v>
      </c>
      <c r="AB187">
        <f t="shared" si="70"/>
        <v>2.4757281553398056</v>
      </c>
      <c r="AY187" t="str">
        <v>05/12/2023</v>
      </c>
      <c r="AZ187">
        <v>55.6</v>
      </c>
      <c r="BA187">
        <v>19.399999999999999</v>
      </c>
      <c r="BB187">
        <f t="shared" si="71"/>
        <v>2.8659793814432994</v>
      </c>
    </row>
    <row r="188" spans="1:54" x14ac:dyDescent="0.3">
      <c r="A188" s="11">
        <v>45252</v>
      </c>
      <c r="B188">
        <v>0.62302483069977399</v>
      </c>
      <c r="C188">
        <v>4538.1899999999996</v>
      </c>
      <c r="D188">
        <v>90.55</v>
      </c>
      <c r="E188">
        <v>1998.34</v>
      </c>
      <c r="F188">
        <v>81.34</v>
      </c>
      <c r="G188">
        <v>49.04</v>
      </c>
      <c r="H188" s="12">
        <f t="shared" si="62"/>
        <v>170.65080028672509</v>
      </c>
      <c r="I188" s="12">
        <f t="shared" si="63"/>
        <v>85.397924069101933</v>
      </c>
      <c r="J188" s="12">
        <f t="shared" si="65"/>
        <v>160.19317992818227</v>
      </c>
      <c r="K188" s="12">
        <f t="shared" si="66"/>
        <v>147.09365848030157</v>
      </c>
      <c r="L188" s="55">
        <v>28.341762174578999</v>
      </c>
      <c r="M188" s="55">
        <v>22.905389805727999</v>
      </c>
      <c r="N188" s="55">
        <v>167.920539497595</v>
      </c>
      <c r="O188" s="55">
        <v>3.2680697846233202</v>
      </c>
      <c r="P188" s="12">
        <f t="shared" si="64"/>
        <v>103.04902057009609</v>
      </c>
      <c r="Q188" s="12">
        <f t="shared" si="67"/>
        <v>105.07256327541427</v>
      </c>
      <c r="R188" s="12">
        <f t="shared" si="68"/>
        <v>95.306415474183865</v>
      </c>
      <c r="S188" s="12">
        <f t="shared" si="69"/>
        <v>99.032569560901607</v>
      </c>
      <c r="T188" s="55">
        <v>22.316833930873401</v>
      </c>
      <c r="U188" s="55">
        <v>16.968721741322199</v>
      </c>
      <c r="V188">
        <v>0.45848822800495698</v>
      </c>
      <c r="W188" s="12"/>
      <c r="X188" s="12"/>
      <c r="Y188" t="str">
        <v>20210226</v>
      </c>
      <c r="Z188">
        <v>53.9</v>
      </c>
      <c r="AA188">
        <v>18.600000000000001</v>
      </c>
      <c r="AB188">
        <f t="shared" si="70"/>
        <v>2.897849462365591</v>
      </c>
      <c r="AY188" t="str">
        <v>04/12/2023</v>
      </c>
      <c r="AZ188">
        <v>55.6</v>
      </c>
      <c r="BA188">
        <v>19.399999999999999</v>
      </c>
      <c r="BB188">
        <f t="shared" si="71"/>
        <v>2.8659793814432994</v>
      </c>
    </row>
    <row r="189" spans="1:54" x14ac:dyDescent="0.3">
      <c r="A189" s="11">
        <v>45251</v>
      </c>
      <c r="B189">
        <v>0.625</v>
      </c>
      <c r="C189">
        <v>4547.38</v>
      </c>
      <c r="D189">
        <v>90.59</v>
      </c>
      <c r="E189">
        <v>1977.9</v>
      </c>
      <c r="F189">
        <v>81.290000000000006</v>
      </c>
      <c r="G189">
        <v>49.27</v>
      </c>
      <c r="H189" s="12">
        <f t="shared" si="62"/>
        <v>170.92075151121497</v>
      </c>
      <c r="I189" s="12">
        <f t="shared" si="63"/>
        <v>86.466226117816305</v>
      </c>
      <c r="J189" s="12">
        <f t="shared" si="65"/>
        <v>160.61656933826993</v>
      </c>
      <c r="K189" s="12">
        <f t="shared" si="66"/>
        <v>146.70529858022186</v>
      </c>
      <c r="L189" s="55">
        <v>28.054433372877099</v>
      </c>
      <c r="M189" s="55">
        <v>22.670970959065301</v>
      </c>
      <c r="N189" s="55">
        <v>166.364470357274</v>
      </c>
      <c r="O189" s="55">
        <v>3.2359301237931399</v>
      </c>
      <c r="P189" s="12">
        <f t="shared" si="64"/>
        <v>103.1086947598797</v>
      </c>
      <c r="Q189" s="12">
        <f t="shared" si="67"/>
        <v>105.51854852383349</v>
      </c>
      <c r="R189" s="12">
        <f t="shared" si="68"/>
        <v>96.758012844477889</v>
      </c>
      <c r="S189" s="12">
        <f t="shared" si="69"/>
        <v>99.558561021194365</v>
      </c>
      <c r="T189" s="55">
        <v>22.302488152969001</v>
      </c>
      <c r="U189" s="55">
        <v>16.8808058130662</v>
      </c>
      <c r="V189">
        <v>0.45465838509316803</v>
      </c>
      <c r="W189" s="12"/>
      <c r="X189" s="12"/>
      <c r="Y189" t="str">
        <v>20210219</v>
      </c>
      <c r="Z189">
        <v>56.3</v>
      </c>
      <c r="AA189">
        <v>18.5</v>
      </c>
      <c r="AB189">
        <f t="shared" si="70"/>
        <v>3.0432432432432432</v>
      </c>
      <c r="AY189" t="str">
        <v>01/12/2023</v>
      </c>
      <c r="AZ189">
        <v>55.1</v>
      </c>
      <c r="BA189">
        <v>21.7</v>
      </c>
      <c r="BB189">
        <f t="shared" si="71"/>
        <v>2.5391705069124426</v>
      </c>
    </row>
    <row r="190" spans="1:54" x14ac:dyDescent="0.3">
      <c r="A190" s="11">
        <v>45248</v>
      </c>
      <c r="B190">
        <v>0.62938596491228105</v>
      </c>
      <c r="C190">
        <v>4514.0200000000004</v>
      </c>
      <c r="D190">
        <v>90.04</v>
      </c>
      <c r="E190">
        <v>1980.39</v>
      </c>
      <c r="F190">
        <v>81.28</v>
      </c>
      <c r="G190">
        <v>48.96</v>
      </c>
      <c r="H190" s="12">
        <f t="shared" si="62"/>
        <v>170.70192663767511</v>
      </c>
      <c r="I190" s="12">
        <f t="shared" si="63"/>
        <v>85.724908270474771</v>
      </c>
      <c r="J190" s="12">
        <f t="shared" si="65"/>
        <v>159.45774574278661</v>
      </c>
      <c r="K190" s="12">
        <f t="shared" si="66"/>
        <v>146.55015925235668</v>
      </c>
      <c r="L190" s="55">
        <v>28.7049396344168</v>
      </c>
      <c r="M190" s="55">
        <v>23.176860172722598</v>
      </c>
      <c r="N190" s="55">
        <v>165.105011340499</v>
      </c>
      <c r="O190" s="55">
        <v>3.24600337534745</v>
      </c>
      <c r="P190" s="12">
        <f t="shared" si="64"/>
        <v>102.0139314071764</v>
      </c>
      <c r="Q190" s="12">
        <f t="shared" si="67"/>
        <v>105.49499116758373</v>
      </c>
      <c r="R190" s="12">
        <f t="shared" si="68"/>
        <v>96.029244273830287</v>
      </c>
      <c r="S190" s="12">
        <f t="shared" si="69"/>
        <v>98.944249043183689</v>
      </c>
      <c r="T190" s="55">
        <v>22.472022057154199</v>
      </c>
      <c r="U190" s="55">
        <v>17.0626022733749</v>
      </c>
      <c r="V190">
        <v>0.449969306322897</v>
      </c>
      <c r="W190" s="12"/>
      <c r="X190" s="12"/>
      <c r="Y190" t="str">
        <v>20210212</v>
      </c>
      <c r="Z190">
        <v>59.1</v>
      </c>
      <c r="AA190">
        <v>18.100000000000001</v>
      </c>
      <c r="AB190">
        <f t="shared" si="70"/>
        <v>3.2651933701657456</v>
      </c>
      <c r="AY190" t="str">
        <v>30/11/2023</v>
      </c>
      <c r="AZ190">
        <v>55.1</v>
      </c>
      <c r="BA190">
        <v>21.7</v>
      </c>
      <c r="BB190">
        <f t="shared" si="71"/>
        <v>2.5391705069124426</v>
      </c>
    </row>
    <row r="191" spans="1:54" x14ac:dyDescent="0.3">
      <c r="A191" s="11">
        <v>45247</v>
      </c>
      <c r="B191">
        <v>0.628571428571429</v>
      </c>
      <c r="C191">
        <v>4508.24</v>
      </c>
      <c r="D191">
        <v>89.62</v>
      </c>
      <c r="E191">
        <v>1981.49</v>
      </c>
      <c r="F191">
        <v>81.34</v>
      </c>
      <c r="G191">
        <v>48.5</v>
      </c>
      <c r="H191" s="12">
        <f t="shared" si="62"/>
        <v>171.28504209262894</v>
      </c>
      <c r="I191" s="12">
        <f t="shared" si="63"/>
        <v>85.567700332226181</v>
      </c>
      <c r="J191" s="12">
        <f t="shared" si="65"/>
        <v>159.13633153150414</v>
      </c>
      <c r="K191" s="12">
        <f t="shared" si="66"/>
        <v>147.76216947829352</v>
      </c>
      <c r="L191" s="55">
        <v>28.356706403671001</v>
      </c>
      <c r="M191" s="55">
        <v>22.952179356853499</v>
      </c>
      <c r="N191" s="55">
        <v>163.64770467148</v>
      </c>
      <c r="O191" s="55">
        <v>3.2066158972015302</v>
      </c>
      <c r="P191" s="12">
        <f t="shared" si="64"/>
        <v>102.35970720889664</v>
      </c>
      <c r="Q191" s="12">
        <f t="shared" si="67"/>
        <v>104.99123459728273</v>
      </c>
      <c r="R191" s="12">
        <f t="shared" si="68"/>
        <v>95.074725039930954</v>
      </c>
      <c r="S191" s="12">
        <f t="shared" si="69"/>
        <v>97.94305742772876</v>
      </c>
      <c r="T191" s="55">
        <v>21.774411229343599</v>
      </c>
      <c r="U191" s="55">
        <v>16.5408024223571</v>
      </c>
      <c r="V191">
        <v>0.46049382716049397</v>
      </c>
      <c r="W191" s="12"/>
      <c r="X191" s="12"/>
      <c r="Y191" t="str">
        <v>20210205</v>
      </c>
      <c r="Z191">
        <v>58.6</v>
      </c>
      <c r="AA191">
        <v>18.3</v>
      </c>
      <c r="AB191">
        <f t="shared" si="70"/>
        <v>3.2021857923497268</v>
      </c>
      <c r="AY191" t="str">
        <v>29/11/2023</v>
      </c>
      <c r="AZ191">
        <v>55.1</v>
      </c>
      <c r="BA191">
        <v>21.7</v>
      </c>
      <c r="BB191">
        <f t="shared" si="71"/>
        <v>2.5391705069124426</v>
      </c>
    </row>
    <row r="192" spans="1:54" x14ac:dyDescent="0.3">
      <c r="A192" s="11">
        <v>45246</v>
      </c>
      <c r="B192">
        <v>0.62882096069868998</v>
      </c>
      <c r="C192">
        <v>4502.88</v>
      </c>
      <c r="D192">
        <v>88.52</v>
      </c>
      <c r="E192">
        <v>1959.49</v>
      </c>
      <c r="F192">
        <v>81.2</v>
      </c>
      <c r="G192">
        <v>48.67</v>
      </c>
      <c r="H192" s="12">
        <f t="shared" si="62"/>
        <v>173.23150961519792</v>
      </c>
      <c r="I192" s="12">
        <f t="shared" si="63"/>
        <v>86.435256352879463</v>
      </c>
      <c r="J192" s="12">
        <f t="shared" si="65"/>
        <v>159.22132206502033</v>
      </c>
      <c r="K192" s="12">
        <f t="shared" si="66"/>
        <v>147.07338646275196</v>
      </c>
      <c r="L192" s="55">
        <v>27.7691533822304</v>
      </c>
      <c r="M192" s="55">
        <v>22.7644236648378</v>
      </c>
      <c r="N192" s="55">
        <v>162.80299820515401</v>
      </c>
      <c r="O192" s="55">
        <v>3.1912110920995298</v>
      </c>
      <c r="P192" s="12">
        <f t="shared" si="64"/>
        <v>102.32274216899543</v>
      </c>
      <c r="Q192" s="12">
        <f t="shared" si="67"/>
        <v>106.68967899073112</v>
      </c>
      <c r="R192" s="12">
        <f t="shared" si="68"/>
        <v>96.495165003777942</v>
      </c>
      <c r="S192" s="12">
        <f t="shared" si="69"/>
        <v>98.456710950100444</v>
      </c>
      <c r="T192" s="55">
        <v>21.30956597502</v>
      </c>
      <c r="U192" s="55">
        <v>16.408811313646499</v>
      </c>
      <c r="V192">
        <v>0.46011131725417398</v>
      </c>
      <c r="W192" s="12"/>
      <c r="X192" s="12"/>
      <c r="Y192" t="str">
        <v>20210129</v>
      </c>
      <c r="Z192">
        <v>57.8</v>
      </c>
      <c r="AA192">
        <v>16.7</v>
      </c>
      <c r="AB192">
        <f t="shared" si="70"/>
        <v>3.4610778443113772</v>
      </c>
      <c r="AY192" t="str">
        <v>28/11/2023</v>
      </c>
      <c r="AZ192">
        <v>55.1</v>
      </c>
      <c r="BA192">
        <v>21.7</v>
      </c>
      <c r="BB192">
        <f t="shared" si="71"/>
        <v>2.5391705069124426</v>
      </c>
    </row>
    <row r="193" spans="1:54" x14ac:dyDescent="0.3">
      <c r="A193" s="11">
        <v>45245</v>
      </c>
      <c r="B193">
        <v>0.62800875273523005</v>
      </c>
      <c r="C193">
        <v>4495.7</v>
      </c>
      <c r="D193">
        <v>89.78</v>
      </c>
      <c r="E193">
        <v>1963.49</v>
      </c>
      <c r="F193">
        <v>81.349999999999994</v>
      </c>
      <c r="G193">
        <v>48.62</v>
      </c>
      <c r="H193" s="12">
        <f t="shared" si="62"/>
        <v>170.56533670264935</v>
      </c>
      <c r="I193" s="12">
        <f t="shared" si="63"/>
        <v>86.122264743382289</v>
      </c>
      <c r="J193" s="12">
        <f t="shared" si="65"/>
        <v>158.67532564765392</v>
      </c>
      <c r="K193" s="12">
        <f t="shared" si="66"/>
        <v>146.98979362075372</v>
      </c>
      <c r="L193" s="55">
        <v>27.665145072647899</v>
      </c>
      <c r="M193" s="55">
        <v>22.887843742307201</v>
      </c>
      <c r="N193" s="55">
        <v>162.31358760178901</v>
      </c>
      <c r="O193" s="55">
        <v>3.18273178245953</v>
      </c>
      <c r="P193" s="12">
        <f t="shared" si="64"/>
        <v>102.2868338080428</v>
      </c>
      <c r="Q193" s="12">
        <f t="shared" si="67"/>
        <v>105.10649253317379</v>
      </c>
      <c r="R193" s="12">
        <f t="shared" si="68"/>
        <v>96.200256166646724</v>
      </c>
      <c r="S193" s="12">
        <f t="shared" si="69"/>
        <v>98.174726840356868</v>
      </c>
      <c r="T193" s="55">
        <v>21.306151950238501</v>
      </c>
      <c r="U193" s="55">
        <v>16.585112648299301</v>
      </c>
      <c r="V193">
        <v>0.45760598503740602</v>
      </c>
      <c r="W193" s="12"/>
      <c r="X193" s="12"/>
      <c r="Y193" t="str">
        <v>20210122</v>
      </c>
      <c r="Z193">
        <v>61.2</v>
      </c>
      <c r="AA193">
        <v>16.5</v>
      </c>
      <c r="AB193">
        <f t="shared" si="70"/>
        <v>3.7090909090909094</v>
      </c>
      <c r="AY193" t="str">
        <v>27/11/2023</v>
      </c>
      <c r="AZ193">
        <v>55.1</v>
      </c>
      <c r="BA193">
        <v>21.7</v>
      </c>
      <c r="BB193">
        <f t="shared" si="71"/>
        <v>2.5391705069124426</v>
      </c>
    </row>
    <row r="194" spans="1:54" x14ac:dyDescent="0.3">
      <c r="A194" s="11">
        <v>45244</v>
      </c>
      <c r="B194">
        <v>0.62800875273523005</v>
      </c>
      <c r="C194">
        <v>4411.55</v>
      </c>
      <c r="D194">
        <v>87.79</v>
      </c>
      <c r="E194">
        <v>1946.19</v>
      </c>
      <c r="F194">
        <v>81.03</v>
      </c>
      <c r="G194">
        <v>47.42</v>
      </c>
      <c r="H194" s="12">
        <f t="shared" ref="H194:H257" si="72">H195*(1+((C194/C195)-(D194/D195)))</f>
        <v>171.18035373373161</v>
      </c>
      <c r="I194" s="12">
        <f t="shared" ref="I194:I257" si="73">I195*(1+((C194/C195)-(E194/E195)))</f>
        <v>85.253888635616448</v>
      </c>
      <c r="J194" s="12">
        <f t="shared" si="65"/>
        <v>156.31100082561335</v>
      </c>
      <c r="K194" s="12">
        <f t="shared" si="66"/>
        <v>147.9114073897484</v>
      </c>
      <c r="L194" s="55">
        <v>27.135874289145899</v>
      </c>
      <c r="M194" s="55">
        <v>22.737879719383699</v>
      </c>
      <c r="N194" s="55">
        <v>161.47448826476901</v>
      </c>
      <c r="O194" s="55">
        <v>3.1748422230330098</v>
      </c>
      <c r="P194" s="12">
        <f t="shared" ref="P194:P257" si="74">P195*(1+((N194/N195)-(O194/O195)))</f>
        <v>102.01023730261271</v>
      </c>
      <c r="Q194" s="12">
        <f t="shared" si="67"/>
        <v>104.82994606766319</v>
      </c>
      <c r="R194" s="12">
        <f t="shared" si="68"/>
        <v>94.646481300817712</v>
      </c>
      <c r="S194" s="12">
        <f t="shared" si="69"/>
        <v>96.121887869237227</v>
      </c>
      <c r="T194" s="55">
        <v>20.917257964634999</v>
      </c>
      <c r="U194" s="55">
        <v>16.547979976682399</v>
      </c>
      <c r="V194">
        <v>0.45517676767676801</v>
      </c>
      <c r="W194" s="12"/>
      <c r="X194" s="12"/>
      <c r="Y194" t="str">
        <v>20210115</v>
      </c>
      <c r="Z194">
        <v>60.4</v>
      </c>
      <c r="AA194">
        <v>16.8</v>
      </c>
      <c r="AB194">
        <f t="shared" si="70"/>
        <v>3.5952380952380949</v>
      </c>
      <c r="AY194" t="str">
        <v>24/11/2023</v>
      </c>
      <c r="AZ194">
        <v>55.7</v>
      </c>
      <c r="BA194">
        <v>21.4</v>
      </c>
      <c r="BB194">
        <f t="shared" si="71"/>
        <v>2.6028037383177574</v>
      </c>
    </row>
    <row r="195" spans="1:54" x14ac:dyDescent="0.3">
      <c r="A195" s="11">
        <v>45241</v>
      </c>
      <c r="B195">
        <v>0.61771058315334804</v>
      </c>
      <c r="C195">
        <v>4415.24</v>
      </c>
      <c r="D195">
        <v>87.99</v>
      </c>
      <c r="E195">
        <v>1937.05</v>
      </c>
      <c r="F195">
        <v>81</v>
      </c>
      <c r="G195">
        <v>47.33</v>
      </c>
      <c r="H195" s="12">
        <f t="shared" si="72"/>
        <v>170.93467890778766</v>
      </c>
      <c r="I195" s="12">
        <f t="shared" si="73"/>
        <v>85.730055389573181</v>
      </c>
      <c r="J195" s="12">
        <f t="shared" ref="J195:J258" si="75">J196*(1+((C195/C196)-(F195/F196)))</f>
        <v>156.49975706511509</v>
      </c>
      <c r="K195" s="12">
        <f t="shared" ref="K195:K258" si="76">K196*(1+((C195/C196)-(G195/G196)))</f>
        <v>148.31739422292824</v>
      </c>
      <c r="L195" s="55">
        <v>27.203455324856399</v>
      </c>
      <c r="M195" s="55">
        <v>23.078583154181299</v>
      </c>
      <c r="N195" s="55">
        <v>160.74742726516601</v>
      </c>
      <c r="O195" s="55">
        <v>3.14844632052605</v>
      </c>
      <c r="P195" s="12">
        <f t="shared" si="74"/>
        <v>102.40560325157374</v>
      </c>
      <c r="Q195" s="12">
        <f t="shared" ref="Q195:Q258" si="77">Q196*(1+((G195/G196)-(D195/D196)))</f>
        <v>104.39414977384151</v>
      </c>
      <c r="R195" s="12">
        <f t="shared" ref="R195:R258" si="78">R196*(1+((G195/G196)-(E195/E196)))</f>
        <v>94.913851047615751</v>
      </c>
      <c r="S195" s="12">
        <f t="shared" ref="S195:S258" si="79">S196*(1+((G195/G196)-(F195/F196)))</f>
        <v>95.974933738784628</v>
      </c>
      <c r="T195" s="55">
        <v>20.8607182666955</v>
      </c>
      <c r="U195" s="55">
        <v>16.7622552237567</v>
      </c>
      <c r="V195">
        <v>0.46071653048397199</v>
      </c>
      <c r="W195" s="12"/>
      <c r="X195" s="12"/>
      <c r="Y195" t="str">
        <v>20210108</v>
      </c>
      <c r="Z195">
        <v>63.7</v>
      </c>
      <c r="AA195">
        <v>16.7</v>
      </c>
      <c r="AB195">
        <f t="shared" si="70"/>
        <v>3.8143712574850301</v>
      </c>
      <c r="AY195" t="str">
        <v>23/11/2023</v>
      </c>
      <c r="AZ195">
        <v>55.7</v>
      </c>
      <c r="BA195">
        <v>21.4</v>
      </c>
      <c r="BB195">
        <f t="shared" si="71"/>
        <v>2.6028037383177574</v>
      </c>
    </row>
    <row r="196" spans="1:54" x14ac:dyDescent="0.3">
      <c r="A196" s="11">
        <v>45240</v>
      </c>
      <c r="B196">
        <v>0.610869565217391</v>
      </c>
      <c r="C196">
        <v>4347.3500000000004</v>
      </c>
      <c r="D196">
        <v>87.5</v>
      </c>
      <c r="E196">
        <v>1958.57</v>
      </c>
      <c r="F196">
        <v>80.98</v>
      </c>
      <c r="G196">
        <v>47.04</v>
      </c>
      <c r="H196" s="12">
        <f t="shared" si="72"/>
        <v>169.23950662179166</v>
      </c>
      <c r="I196" s="12">
        <f t="shared" si="73"/>
        <v>83.50839648113859</v>
      </c>
      <c r="J196" s="12">
        <f t="shared" si="75"/>
        <v>154.1308528732952</v>
      </c>
      <c r="K196" s="12">
        <f t="shared" si="76"/>
        <v>146.92870578665048</v>
      </c>
      <c r="L196" s="55">
        <v>26.6095415670639</v>
      </c>
      <c r="M196" s="55">
        <v>22.8111589481334</v>
      </c>
      <c r="N196" s="55">
        <v>160.06266906460499</v>
      </c>
      <c r="O196" s="55">
        <v>3.1187211853460202</v>
      </c>
      <c r="P196" s="12">
        <f t="shared" si="74"/>
        <v>102.94639408537279</v>
      </c>
      <c r="Q196" s="12">
        <f t="shared" si="77"/>
        <v>104.33520393243616</v>
      </c>
      <c r="R196" s="12">
        <f t="shared" si="78"/>
        <v>93.313287943688437</v>
      </c>
      <c r="S196" s="12">
        <f t="shared" si="79"/>
        <v>95.410296422719782</v>
      </c>
      <c r="T196" s="55">
        <v>20.681921789928499</v>
      </c>
      <c r="U196" s="55">
        <v>16.729668897142801</v>
      </c>
      <c r="V196">
        <v>0.45721583652618097</v>
      </c>
      <c r="W196" s="12"/>
      <c r="X196" s="12"/>
      <c r="Y196" t="str">
        <v>20210101</v>
      </c>
      <c r="Z196">
        <v>60.2</v>
      </c>
      <c r="AA196">
        <v>17.5</v>
      </c>
      <c r="AB196">
        <f t="shared" si="70"/>
        <v>3.44</v>
      </c>
      <c r="AY196" t="str">
        <v>22/11/2023</v>
      </c>
      <c r="AZ196">
        <v>55.7</v>
      </c>
      <c r="BA196">
        <v>21.4</v>
      </c>
      <c r="BB196">
        <f t="shared" si="71"/>
        <v>2.6028037383177574</v>
      </c>
    </row>
    <row r="197" spans="1:54" x14ac:dyDescent="0.3">
      <c r="A197" s="11">
        <v>45239</v>
      </c>
      <c r="B197">
        <v>0.605664488017429</v>
      </c>
      <c r="C197">
        <v>4382.78</v>
      </c>
      <c r="D197">
        <v>89.56</v>
      </c>
      <c r="E197">
        <v>1950.2</v>
      </c>
      <c r="F197">
        <v>81.099999999999994</v>
      </c>
      <c r="G197">
        <v>47.19</v>
      </c>
      <c r="H197" s="12">
        <f t="shared" si="72"/>
        <v>166.75199545695733</v>
      </c>
      <c r="I197" s="12">
        <f t="shared" si="73"/>
        <v>84.554828239998429</v>
      </c>
      <c r="J197" s="12">
        <f t="shared" si="75"/>
        <v>155.15553969424812</v>
      </c>
      <c r="K197" s="12">
        <f t="shared" si="76"/>
        <v>147.6529836366158</v>
      </c>
      <c r="L197" s="55">
        <v>25.863355175316901</v>
      </c>
      <c r="M197" s="55">
        <v>22.3691093660909</v>
      </c>
      <c r="N197" s="55">
        <v>159.69902103731701</v>
      </c>
      <c r="O197" s="55">
        <v>3.0868532810961402</v>
      </c>
      <c r="P197" s="12">
        <f t="shared" si="74"/>
        <v>103.78148919421955</v>
      </c>
      <c r="Q197" s="12">
        <f t="shared" si="77"/>
        <v>102.30719898418415</v>
      </c>
      <c r="R197" s="12">
        <f t="shared" si="78"/>
        <v>94.015632387596298</v>
      </c>
      <c r="S197" s="12">
        <f t="shared" si="79"/>
        <v>95.572672940868642</v>
      </c>
      <c r="T197" s="55">
        <v>20.2779415135637</v>
      </c>
      <c r="U197" s="55">
        <v>16.579287376551999</v>
      </c>
      <c r="V197">
        <v>0.45624195624195601</v>
      </c>
      <c r="W197" s="12"/>
      <c r="X197" s="12"/>
      <c r="Y197" t="str">
        <v>20201225</v>
      </c>
      <c r="Z197" t="e">
        <v>#N/A</v>
      </c>
      <c r="AA197" t="e">
        <v>#N/A</v>
      </c>
      <c r="AB197" t="str">
        <f t="shared" si="70"/>
        <v/>
      </c>
      <c r="AY197" t="str">
        <v>21/11/2023</v>
      </c>
      <c r="AZ197">
        <v>55.7</v>
      </c>
      <c r="BA197">
        <v>21.4</v>
      </c>
      <c r="BB197">
        <f t="shared" si="71"/>
        <v>2.6028037383177574</v>
      </c>
    </row>
    <row r="198" spans="1:54" x14ac:dyDescent="0.3">
      <c r="A198" s="11">
        <v>45238</v>
      </c>
      <c r="B198">
        <v>0.59780219780219801</v>
      </c>
      <c r="C198">
        <v>4378.38</v>
      </c>
      <c r="D198">
        <v>88.06</v>
      </c>
      <c r="E198">
        <v>1969.3</v>
      </c>
      <c r="F198">
        <v>81.12</v>
      </c>
      <c r="G198">
        <v>47.3</v>
      </c>
      <c r="H198" s="12">
        <f t="shared" si="72"/>
        <v>169.46838774878159</v>
      </c>
      <c r="I198" s="12">
        <f t="shared" si="73"/>
        <v>83.659353936124333</v>
      </c>
      <c r="J198" s="12">
        <f t="shared" si="75"/>
        <v>154.96160737754022</v>
      </c>
      <c r="K198" s="12">
        <f t="shared" si="76"/>
        <v>147.16285490887066</v>
      </c>
      <c r="L198" s="55">
        <v>25.879671663917399</v>
      </c>
      <c r="M198" s="55">
        <v>22.629559673480699</v>
      </c>
      <c r="N198" s="55">
        <v>159.180607342472</v>
      </c>
      <c r="O198" s="55">
        <v>3.0565889025558501</v>
      </c>
      <c r="P198" s="12">
        <f t="shared" si="74"/>
        <v>104.47568762251991</v>
      </c>
      <c r="Q198" s="12">
        <f t="shared" si="77"/>
        <v>104.32690761024692</v>
      </c>
      <c r="R198" s="12">
        <f t="shared" si="78"/>
        <v>93.327501062003293</v>
      </c>
      <c r="S198" s="12">
        <f t="shared" si="79"/>
        <v>95.771785650588953</v>
      </c>
      <c r="T198" s="55">
        <v>19.9357517831838</v>
      </c>
      <c r="U198" s="55">
        <v>16.502485329560201</v>
      </c>
      <c r="V198">
        <v>0.443864229765013</v>
      </c>
      <c r="W198" s="12"/>
      <c r="X198" s="12"/>
      <c r="Y198" t="str">
        <v>20201218</v>
      </c>
      <c r="Z198">
        <v>62.4</v>
      </c>
      <c r="AA198">
        <v>16.8</v>
      </c>
      <c r="AB198">
        <f t="shared" si="70"/>
        <v>3.714285714285714</v>
      </c>
      <c r="AY198" t="str">
        <v>20/11/2023</v>
      </c>
      <c r="AZ198">
        <v>55.7</v>
      </c>
      <c r="BA198">
        <v>21.4</v>
      </c>
      <c r="BB198">
        <f t="shared" si="71"/>
        <v>2.6028037383177574</v>
      </c>
    </row>
    <row r="199" spans="1:54" x14ac:dyDescent="0.3">
      <c r="A199" s="11">
        <v>45237</v>
      </c>
      <c r="B199">
        <v>0.58351893095768403</v>
      </c>
      <c r="C199">
        <v>4365.9799999999996</v>
      </c>
      <c r="D199">
        <v>86.78</v>
      </c>
      <c r="E199">
        <v>1977.8</v>
      </c>
      <c r="F199">
        <v>81.06</v>
      </c>
      <c r="G199">
        <v>47.6</v>
      </c>
      <c r="H199" s="12">
        <f t="shared" si="72"/>
        <v>171.51105024518256</v>
      </c>
      <c r="I199" s="12">
        <f t="shared" si="73"/>
        <v>83.066438507377129</v>
      </c>
      <c r="J199" s="12">
        <f t="shared" si="75"/>
        <v>154.63687784774334</v>
      </c>
      <c r="K199" s="12">
        <f t="shared" si="76"/>
        <v>145.8295842690969</v>
      </c>
      <c r="L199" s="55">
        <v>25.3135820685407</v>
      </c>
      <c r="M199" s="55">
        <v>22.299373753985002</v>
      </c>
      <c r="N199" s="55">
        <v>158.224240819351</v>
      </c>
      <c r="O199" s="55">
        <v>3.0309160954279402</v>
      </c>
      <c r="P199" s="12">
        <f t="shared" si="74"/>
        <v>104.72975556704482</v>
      </c>
      <c r="Q199" s="12">
        <f t="shared" si="77"/>
        <v>106.57047871193834</v>
      </c>
      <c r="R199" s="12">
        <f t="shared" si="78"/>
        <v>93.514981438688054</v>
      </c>
      <c r="S199" s="12">
        <f t="shared" si="79"/>
        <v>96.451062848996457</v>
      </c>
      <c r="T199" s="55">
        <v>19.264292755516902</v>
      </c>
      <c r="U199" s="55">
        <v>16.125867499644901</v>
      </c>
      <c r="V199">
        <v>0.440052700922266</v>
      </c>
      <c r="W199" s="12"/>
      <c r="X199" s="12"/>
      <c r="Y199" t="str">
        <v>20201211</v>
      </c>
      <c r="Z199">
        <v>63.6</v>
      </c>
      <c r="AA199">
        <v>17.2</v>
      </c>
      <c r="AB199">
        <f t="shared" si="70"/>
        <v>3.6976744186046515</v>
      </c>
      <c r="AY199" t="str">
        <v>17/11/2023</v>
      </c>
      <c r="AZ199">
        <v>52.2</v>
      </c>
      <c r="BA199">
        <v>22.4</v>
      </c>
      <c r="BB199">
        <f t="shared" si="71"/>
        <v>2.3303571428571432</v>
      </c>
    </row>
    <row r="200" spans="1:54" x14ac:dyDescent="0.3">
      <c r="A200" s="11">
        <v>45234</v>
      </c>
      <c r="B200">
        <v>0.56387665198237902</v>
      </c>
      <c r="C200">
        <v>4358.34</v>
      </c>
      <c r="D200">
        <v>87.63</v>
      </c>
      <c r="E200">
        <v>1992.52</v>
      </c>
      <c r="F200">
        <v>81.209999999999994</v>
      </c>
      <c r="G200">
        <v>47.6</v>
      </c>
      <c r="H200" s="12">
        <f t="shared" si="72"/>
        <v>169.56900433904136</v>
      </c>
      <c r="I200" s="12">
        <f t="shared" si="73"/>
        <v>82.314039560834686</v>
      </c>
      <c r="J200" s="12">
        <f t="shared" si="75"/>
        <v>154.08217828340634</v>
      </c>
      <c r="K200" s="12">
        <f t="shared" si="76"/>
        <v>145.57439802824931</v>
      </c>
      <c r="L200" s="55">
        <v>23.761450694432</v>
      </c>
      <c r="M200" s="55">
        <v>20.923996630551699</v>
      </c>
      <c r="N200" s="55">
        <v>157.22380810857601</v>
      </c>
      <c r="O200" s="55">
        <v>2.9708832225469002</v>
      </c>
      <c r="P200" s="12">
        <f t="shared" si="74"/>
        <v>106.19998467534283</v>
      </c>
      <c r="Q200" s="12">
        <f t="shared" si="77"/>
        <v>105.5466890769344</v>
      </c>
      <c r="R200" s="12">
        <f t="shared" si="78"/>
        <v>92.829193726816271</v>
      </c>
      <c r="S200" s="12">
        <f t="shared" si="79"/>
        <v>96.273240093006422</v>
      </c>
      <c r="T200" s="55">
        <v>18.286501594062901</v>
      </c>
      <c r="U200" s="55">
        <v>15.3230513314109</v>
      </c>
      <c r="V200">
        <v>0.440361057382334</v>
      </c>
      <c r="W200" s="12"/>
      <c r="X200" s="12"/>
      <c r="Y200" t="str">
        <v>20201204</v>
      </c>
      <c r="Z200">
        <v>64.400000000000006</v>
      </c>
      <c r="AA200">
        <v>16.8</v>
      </c>
      <c r="AB200">
        <f t="shared" ref="AB200:AB263" si="80">IFERROR(Z200/AA200,"")</f>
        <v>3.8333333333333335</v>
      </c>
      <c r="AY200" t="str">
        <v>16/11/2023</v>
      </c>
      <c r="AZ200">
        <v>52.2</v>
      </c>
      <c r="BA200">
        <v>22.4</v>
      </c>
      <c r="BB200">
        <f t="shared" ref="BB200:BB263" si="81">IFERROR(AZ200/BA200,"")</f>
        <v>2.3303571428571432</v>
      </c>
    </row>
    <row r="201" spans="1:54" x14ac:dyDescent="0.3">
      <c r="A201" s="11">
        <v>45233</v>
      </c>
      <c r="B201">
        <v>0.53006681514476595</v>
      </c>
      <c r="C201">
        <v>4317.78</v>
      </c>
      <c r="D201">
        <v>87.04</v>
      </c>
      <c r="E201">
        <v>1986.01</v>
      </c>
      <c r="F201">
        <v>80.989999999999995</v>
      </c>
      <c r="G201">
        <v>46.94</v>
      </c>
      <c r="H201" s="12">
        <f t="shared" si="72"/>
        <v>169.12670020664589</v>
      </c>
      <c r="I201" s="12">
        <f t="shared" si="73"/>
        <v>81.813684484568554</v>
      </c>
      <c r="J201" s="12">
        <f t="shared" si="75"/>
        <v>153.06014495968157</v>
      </c>
      <c r="K201" s="12">
        <f t="shared" si="76"/>
        <v>146.25694798657369</v>
      </c>
      <c r="L201" s="55">
        <v>25.284859925483399</v>
      </c>
      <c r="M201" s="55">
        <v>22.445153929266802</v>
      </c>
      <c r="N201" s="55">
        <v>155.57250531293101</v>
      </c>
      <c r="O201" s="55">
        <v>2.9681794270738902</v>
      </c>
      <c r="P201" s="12">
        <f t="shared" si="74"/>
        <v>105.17938345206954</v>
      </c>
      <c r="Q201" s="12">
        <f t="shared" si="77"/>
        <v>104.78365345183249</v>
      </c>
      <c r="R201" s="12">
        <f t="shared" si="78"/>
        <v>91.838933660197355</v>
      </c>
      <c r="S201" s="12">
        <f t="shared" si="79"/>
        <v>95.193355433239432</v>
      </c>
      <c r="T201" s="55">
        <v>18.997322549742002</v>
      </c>
      <c r="U201" s="55">
        <v>16.126631229619701</v>
      </c>
      <c r="V201">
        <v>0.43469785575048703</v>
      </c>
      <c r="W201" s="12"/>
      <c r="X201" s="12"/>
      <c r="Y201" t="str">
        <v>20201127</v>
      </c>
      <c r="Z201">
        <v>64.7</v>
      </c>
      <c r="AA201">
        <v>16.7</v>
      </c>
      <c r="AB201">
        <f t="shared" si="80"/>
        <v>3.8742514970059885</v>
      </c>
      <c r="AY201" t="str">
        <v>15/11/2023</v>
      </c>
      <c r="AZ201">
        <v>52.2</v>
      </c>
      <c r="BA201">
        <v>22.4</v>
      </c>
      <c r="BB201">
        <f t="shared" si="81"/>
        <v>2.3303571428571432</v>
      </c>
    </row>
    <row r="202" spans="1:54" x14ac:dyDescent="0.3">
      <c r="A202" s="11">
        <v>45232</v>
      </c>
      <c r="B202">
        <v>0.50227272727272698</v>
      </c>
      <c r="C202">
        <v>4237.8599999999997</v>
      </c>
      <c r="D202">
        <v>85.1</v>
      </c>
      <c r="E202">
        <v>1982.41</v>
      </c>
      <c r="F202">
        <v>80.98</v>
      </c>
      <c r="G202">
        <v>45.99</v>
      </c>
      <c r="H202" s="12">
        <f t="shared" si="72"/>
        <v>169.79537730898755</v>
      </c>
      <c r="I202" s="12">
        <f t="shared" si="73"/>
        <v>80.442730926767169</v>
      </c>
      <c r="J202" s="12">
        <f t="shared" si="75"/>
        <v>150.24528636329717</v>
      </c>
      <c r="K202" s="12">
        <f t="shared" si="76"/>
        <v>146.52040480932197</v>
      </c>
      <c r="L202" s="55">
        <v>25.351021083359399</v>
      </c>
      <c r="M202" s="55">
        <v>22.740683500031</v>
      </c>
      <c r="N202" s="55">
        <v>154.481387216569</v>
      </c>
      <c r="O202" s="55">
        <v>2.93565462680065</v>
      </c>
      <c r="P202" s="12">
        <f t="shared" si="74"/>
        <v>105.60350069052912</v>
      </c>
      <c r="Q202" s="12">
        <f t="shared" si="77"/>
        <v>105.00837612952863</v>
      </c>
      <c r="R202" s="12">
        <f t="shared" si="78"/>
        <v>90.140621874537914</v>
      </c>
      <c r="S202" s="12">
        <f t="shared" si="79"/>
        <v>93.27806048731118</v>
      </c>
      <c r="T202" s="55">
        <v>18.927994798796099</v>
      </c>
      <c r="U202" s="55">
        <v>16.243013014652899</v>
      </c>
      <c r="V202">
        <v>0.438688524590164</v>
      </c>
      <c r="W202" s="12"/>
      <c r="X202" s="12"/>
      <c r="Y202" t="str">
        <v>20201120</v>
      </c>
      <c r="Z202">
        <v>64.599999999999994</v>
      </c>
      <c r="AA202">
        <v>17.2</v>
      </c>
      <c r="AB202">
        <f t="shared" si="80"/>
        <v>3.7558139534883721</v>
      </c>
      <c r="AY202" t="str">
        <v>14/11/2023</v>
      </c>
      <c r="AZ202">
        <v>52.2</v>
      </c>
      <c r="BA202">
        <v>22.4</v>
      </c>
      <c r="BB202">
        <f t="shared" si="81"/>
        <v>2.3303571428571432</v>
      </c>
    </row>
    <row r="203" spans="1:54" x14ac:dyDescent="0.3">
      <c r="A203" s="11">
        <v>45230</v>
      </c>
      <c r="B203">
        <v>0.49302325581395401</v>
      </c>
      <c r="C203">
        <v>4193.8</v>
      </c>
      <c r="D203">
        <v>83.58</v>
      </c>
      <c r="E203">
        <v>1983.67</v>
      </c>
      <c r="F203">
        <v>81.03</v>
      </c>
      <c r="G203">
        <v>45.54</v>
      </c>
      <c r="H203" s="12">
        <f t="shared" si="72"/>
        <v>171.10952996865745</v>
      </c>
      <c r="I203" s="12">
        <f t="shared" si="73"/>
        <v>79.55637967112321</v>
      </c>
      <c r="J203" s="12">
        <f t="shared" si="75"/>
        <v>148.5924861314098</v>
      </c>
      <c r="K203" s="12">
        <f t="shared" si="76"/>
        <v>146.42895083619723</v>
      </c>
      <c r="L203" s="55">
        <v>25.322220411672699</v>
      </c>
      <c r="M203" s="55">
        <v>22.8489235266142</v>
      </c>
      <c r="N203" s="55">
        <v>153.640061789821</v>
      </c>
      <c r="O203" s="55">
        <v>2.9294647895355701</v>
      </c>
      <c r="P203" s="12">
        <f t="shared" si="74"/>
        <v>105.24954725896779</v>
      </c>
      <c r="Q203" s="12">
        <f t="shared" si="77"/>
        <v>105.88774697425424</v>
      </c>
      <c r="R203" s="12">
        <f t="shared" si="78"/>
        <v>89.202513894379095</v>
      </c>
      <c r="S203" s="12">
        <f t="shared" si="79"/>
        <v>92.308956903002198</v>
      </c>
      <c r="T203" s="55">
        <v>18.961349396371901</v>
      </c>
      <c r="U203" s="55">
        <v>16.473392704111902</v>
      </c>
      <c r="V203">
        <v>0.43383805134957198</v>
      </c>
      <c r="W203" s="12"/>
      <c r="X203" s="12"/>
      <c r="Y203" t="str">
        <v>20201113</v>
      </c>
      <c r="Z203">
        <v>59.6</v>
      </c>
      <c r="AA203">
        <v>18.2</v>
      </c>
      <c r="AB203">
        <f t="shared" si="80"/>
        <v>3.2747252747252751</v>
      </c>
      <c r="AY203" t="str">
        <v>13/11/2023</v>
      </c>
      <c r="AZ203">
        <v>52.2</v>
      </c>
      <c r="BA203">
        <v>22.4</v>
      </c>
      <c r="BB203">
        <f t="shared" si="81"/>
        <v>2.3303571428571432</v>
      </c>
    </row>
    <row r="204" spans="1:54" x14ac:dyDescent="0.3">
      <c r="A204" s="11">
        <v>45230</v>
      </c>
      <c r="B204">
        <v>0.470449172576832</v>
      </c>
      <c r="C204">
        <v>4166.82</v>
      </c>
      <c r="D204">
        <v>83.99</v>
      </c>
      <c r="E204">
        <v>1996.13</v>
      </c>
      <c r="F204">
        <v>81.06</v>
      </c>
      <c r="G204">
        <v>45.54</v>
      </c>
      <c r="H204" s="12">
        <f t="shared" si="72"/>
        <v>169.18814559895472</v>
      </c>
      <c r="I204" s="12">
        <f t="shared" si="73"/>
        <v>78.557362538184748</v>
      </c>
      <c r="J204" s="12">
        <f t="shared" si="75"/>
        <v>147.58227689420329</v>
      </c>
      <c r="K204" s="12">
        <f t="shared" si="76"/>
        <v>145.4869285429165</v>
      </c>
      <c r="L204" s="55">
        <v>24.456555773760702</v>
      </c>
      <c r="M204" s="55">
        <v>22.1460999196999</v>
      </c>
      <c r="N204" s="55">
        <v>152.75265680964799</v>
      </c>
      <c r="O204" s="55">
        <v>2.8953098091068998</v>
      </c>
      <c r="P204" s="12">
        <f t="shared" si="74"/>
        <v>105.88349653843413</v>
      </c>
      <c r="Q204" s="12">
        <f t="shared" si="77"/>
        <v>105.37336336928453</v>
      </c>
      <c r="R204" s="12">
        <f t="shared" si="78"/>
        <v>88.649158892549977</v>
      </c>
      <c r="S204" s="12">
        <f t="shared" si="79"/>
        <v>92.274806345509418</v>
      </c>
      <c r="T204" s="55">
        <v>18.510092336588102</v>
      </c>
      <c r="U204" s="55">
        <v>16.1772143441524</v>
      </c>
      <c r="V204">
        <v>0.43594902749832298</v>
      </c>
      <c r="W204" s="12"/>
      <c r="X204" s="12"/>
      <c r="Y204" t="str">
        <v>20201106</v>
      </c>
      <c r="Z204">
        <v>59.2</v>
      </c>
      <c r="AA204">
        <v>19.399999999999999</v>
      </c>
      <c r="AB204">
        <f t="shared" si="80"/>
        <v>3.0515463917525776</v>
      </c>
      <c r="AY204" t="str">
        <v>10/11/2023</v>
      </c>
      <c r="AZ204">
        <v>50.7</v>
      </c>
      <c r="BA204">
        <v>23.2</v>
      </c>
      <c r="BB204">
        <f t="shared" si="81"/>
        <v>2.1853448275862073</v>
      </c>
    </row>
    <row r="205" spans="1:54" x14ac:dyDescent="0.3">
      <c r="A205" s="11">
        <v>45227</v>
      </c>
      <c r="B205">
        <v>0.47685185185185203</v>
      </c>
      <c r="C205">
        <v>4117.37</v>
      </c>
      <c r="D205">
        <v>84.37</v>
      </c>
      <c r="E205">
        <v>2006.5</v>
      </c>
      <c r="F205">
        <v>81.09</v>
      </c>
      <c r="G205">
        <v>44.98</v>
      </c>
      <c r="H205" s="12">
        <f t="shared" si="72"/>
        <v>166.43955211205983</v>
      </c>
      <c r="I205" s="12">
        <f t="shared" si="73"/>
        <v>77.230671119733017</v>
      </c>
      <c r="J205" s="12">
        <f t="shared" si="75"/>
        <v>145.77754316516737</v>
      </c>
      <c r="K205" s="12">
        <f t="shared" si="76"/>
        <v>145.55095407091832</v>
      </c>
      <c r="L205" s="55">
        <v>24.007610142202498</v>
      </c>
      <c r="M205" s="55">
        <v>21.900341803509701</v>
      </c>
      <c r="N205" s="55">
        <v>152.238213165747</v>
      </c>
      <c r="O205" s="55">
        <v>2.8586924567832299</v>
      </c>
      <c r="P205" s="12">
        <f t="shared" si="74"/>
        <v>106.89147506274939</v>
      </c>
      <c r="Q205" s="12">
        <f t="shared" si="77"/>
        <v>103.61665200062457</v>
      </c>
      <c r="R205" s="12">
        <f t="shared" si="78"/>
        <v>87.114362280861073</v>
      </c>
      <c r="S205" s="12">
        <f t="shared" si="79"/>
        <v>91.106822612750079</v>
      </c>
      <c r="T205" s="55">
        <v>18.273855221484698</v>
      </c>
      <c r="U205" s="55">
        <v>16.120795546228099</v>
      </c>
      <c r="V205">
        <v>0.442779291553134</v>
      </c>
      <c r="W205" s="12"/>
      <c r="X205" s="12"/>
      <c r="Y205" t="str">
        <v>20201030</v>
      </c>
      <c r="Z205">
        <v>53.6</v>
      </c>
      <c r="AA205">
        <v>20.6</v>
      </c>
      <c r="AB205">
        <f t="shared" si="80"/>
        <v>2.6019417475728153</v>
      </c>
      <c r="AY205" t="str">
        <v>09/11/2023</v>
      </c>
      <c r="AZ205">
        <v>50.7</v>
      </c>
      <c r="BA205">
        <v>23.2</v>
      </c>
      <c r="BB205">
        <f t="shared" si="81"/>
        <v>2.1853448275862073</v>
      </c>
    </row>
    <row r="206" spans="1:54" x14ac:dyDescent="0.3">
      <c r="A206" s="11">
        <v>45226</v>
      </c>
      <c r="B206">
        <v>0.45754716981132099</v>
      </c>
      <c r="C206">
        <v>4137.2299999999996</v>
      </c>
      <c r="D206">
        <v>84.73</v>
      </c>
      <c r="E206">
        <v>1984.7</v>
      </c>
      <c r="F206">
        <v>81.040000000000006</v>
      </c>
      <c r="G206">
        <v>45.09</v>
      </c>
      <c r="H206" s="12">
        <f t="shared" si="72"/>
        <v>166.531398004631</v>
      </c>
      <c r="I206" s="12">
        <f t="shared" si="73"/>
        <v>78.46925662955671</v>
      </c>
      <c r="J206" s="12">
        <f t="shared" si="75"/>
        <v>146.57156420395035</v>
      </c>
      <c r="K206" s="12">
        <f t="shared" si="76"/>
        <v>145.89537627981747</v>
      </c>
      <c r="L206" s="55">
        <v>24.0165284650903</v>
      </c>
      <c r="M206" s="55">
        <v>22.169554774197</v>
      </c>
      <c r="N206" s="55">
        <v>151.424555083081</v>
      </c>
      <c r="O206" s="55">
        <v>2.85477526949431</v>
      </c>
      <c r="P206" s="12">
        <f t="shared" si="74"/>
        <v>106.46548497269447</v>
      </c>
      <c r="Q206" s="12">
        <f t="shared" si="77"/>
        <v>103.42952472277373</v>
      </c>
      <c r="R206" s="12">
        <f t="shared" si="78"/>
        <v>88.299661003385879</v>
      </c>
      <c r="S206" s="12">
        <f t="shared" si="79"/>
        <v>91.386148449784145</v>
      </c>
      <c r="T206" s="55">
        <v>18.562319050047599</v>
      </c>
      <c r="U206" s="55">
        <v>16.6697901352176</v>
      </c>
      <c r="V206">
        <v>0.44237405106970301</v>
      </c>
      <c r="W206" s="12"/>
      <c r="X206" s="12"/>
      <c r="Y206" t="str">
        <v>20201023</v>
      </c>
      <c r="Z206">
        <v>60.6</v>
      </c>
      <c r="AA206">
        <v>20.2</v>
      </c>
      <c r="AB206">
        <f t="shared" si="80"/>
        <v>3</v>
      </c>
      <c r="AY206" t="str">
        <v>08/11/2023</v>
      </c>
      <c r="AZ206">
        <v>50.7</v>
      </c>
      <c r="BA206">
        <v>23.2</v>
      </c>
      <c r="BB206">
        <f t="shared" si="81"/>
        <v>2.1853448275862073</v>
      </c>
    </row>
    <row r="207" spans="1:54" x14ac:dyDescent="0.3">
      <c r="A207" s="11">
        <v>45225</v>
      </c>
      <c r="B207">
        <v>0.43236714975845397</v>
      </c>
      <c r="C207">
        <v>4186.7700000000004</v>
      </c>
      <c r="D207">
        <v>83.45</v>
      </c>
      <c r="E207">
        <v>1979.85</v>
      </c>
      <c r="F207">
        <v>80.88</v>
      </c>
      <c r="G207">
        <v>45.39</v>
      </c>
      <c r="H207" s="12">
        <f t="shared" si="72"/>
        <v>171.18260687565555</v>
      </c>
      <c r="I207" s="12">
        <f t="shared" si="73"/>
        <v>79.606207695408727</v>
      </c>
      <c r="J207" s="12">
        <f t="shared" si="75"/>
        <v>148.62417551668904</v>
      </c>
      <c r="K207" s="12">
        <f t="shared" si="76"/>
        <v>146.66140716796744</v>
      </c>
      <c r="L207" s="55">
        <v>23.9940025258162</v>
      </c>
      <c r="M207" s="55">
        <v>22.4076461137461</v>
      </c>
      <c r="N207" s="55">
        <v>150.861195339305</v>
      </c>
      <c r="O207" s="55">
        <v>2.8282965540142202</v>
      </c>
      <c r="P207" s="12">
        <f t="shared" si="74"/>
        <v>107.06804033784324</v>
      </c>
      <c r="Q207" s="12">
        <f t="shared" si="77"/>
        <v>105.75052793950719</v>
      </c>
      <c r="R207" s="12">
        <f t="shared" si="78"/>
        <v>89.106886153497868</v>
      </c>
      <c r="S207" s="12">
        <f t="shared" si="79"/>
        <v>92.177736253886849</v>
      </c>
      <c r="T207" s="55">
        <v>18.4162131088022</v>
      </c>
      <c r="U207" s="55">
        <v>16.728638826310199</v>
      </c>
      <c r="V207">
        <v>0.44249649368864002</v>
      </c>
      <c r="W207" s="12"/>
      <c r="X207" s="12"/>
      <c r="Y207" t="str">
        <v>20201016</v>
      </c>
      <c r="Z207">
        <v>59.2</v>
      </c>
      <c r="AA207">
        <v>20.399999999999999</v>
      </c>
      <c r="AB207">
        <f t="shared" si="80"/>
        <v>2.9019607843137258</v>
      </c>
      <c r="AY207" t="str">
        <v>07/11/2023</v>
      </c>
      <c r="AZ207">
        <v>50.7</v>
      </c>
      <c r="BA207">
        <v>23.2</v>
      </c>
      <c r="BB207">
        <f t="shared" si="81"/>
        <v>2.1853448275862073</v>
      </c>
    </row>
    <row r="208" spans="1:54" x14ac:dyDescent="0.3">
      <c r="A208" s="11">
        <v>45224</v>
      </c>
      <c r="B208">
        <v>0.41421568627451</v>
      </c>
      <c r="C208">
        <v>4247.68</v>
      </c>
      <c r="D208">
        <v>85.35</v>
      </c>
      <c r="E208">
        <v>1970.99</v>
      </c>
      <c r="F208">
        <v>80.97</v>
      </c>
      <c r="G208">
        <v>45.81</v>
      </c>
      <c r="H208" s="12">
        <f t="shared" si="72"/>
        <v>169.8372100544141</v>
      </c>
      <c r="I208" s="12">
        <f t="shared" si="73"/>
        <v>81.134356700087835</v>
      </c>
      <c r="J208" s="12">
        <f t="shared" si="75"/>
        <v>150.61654161969523</v>
      </c>
      <c r="K208" s="12">
        <f t="shared" si="76"/>
        <v>147.42377806680742</v>
      </c>
      <c r="L208" s="55">
        <v>24.348631966418601</v>
      </c>
      <c r="M208" s="55">
        <v>23.135718806366299</v>
      </c>
      <c r="N208" s="55">
        <v>149.94088081556001</v>
      </c>
      <c r="O208" s="55">
        <v>2.8353916455306001</v>
      </c>
      <c r="P208" s="12">
        <f t="shared" si="74"/>
        <v>106.15087750564049</v>
      </c>
      <c r="Q208" s="12">
        <f t="shared" si="77"/>
        <v>104.38383320564533</v>
      </c>
      <c r="R208" s="12">
        <f t="shared" si="78"/>
        <v>90.341264635550601</v>
      </c>
      <c r="S208" s="12">
        <f t="shared" si="79"/>
        <v>92.926424109256359</v>
      </c>
      <c r="T208" s="55">
        <v>18.200018581131499</v>
      </c>
      <c r="U208" s="55">
        <v>16.708756906522201</v>
      </c>
      <c r="V208">
        <v>0.43941504178273</v>
      </c>
      <c r="W208" s="12"/>
      <c r="X208" s="12"/>
      <c r="Y208" t="str">
        <v>20201009</v>
      </c>
      <c r="Z208">
        <v>56.6</v>
      </c>
      <c r="AA208">
        <v>21.2</v>
      </c>
      <c r="AB208">
        <f t="shared" si="80"/>
        <v>2.6698113207547172</v>
      </c>
      <c r="AY208" t="str">
        <v>06/11/2023</v>
      </c>
      <c r="AZ208">
        <v>50.7</v>
      </c>
      <c r="BA208">
        <v>23.2</v>
      </c>
      <c r="BB208">
        <f t="shared" si="81"/>
        <v>2.1853448275862073</v>
      </c>
    </row>
    <row r="209" spans="1:54" x14ac:dyDescent="0.3">
      <c r="A209" s="11">
        <v>45223</v>
      </c>
      <c r="B209">
        <v>0.40100250626566403</v>
      </c>
      <c r="C209">
        <v>4217.04</v>
      </c>
      <c r="D209">
        <v>84.24</v>
      </c>
      <c r="E209">
        <v>1972.86</v>
      </c>
      <c r="F209">
        <v>80.989999999999995</v>
      </c>
      <c r="G209">
        <v>45.46</v>
      </c>
      <c r="H209" s="12">
        <f t="shared" si="72"/>
        <v>170.84706627228422</v>
      </c>
      <c r="I209" s="12">
        <f t="shared" si="73"/>
        <v>80.473378756663593</v>
      </c>
      <c r="J209" s="12">
        <f t="shared" si="75"/>
        <v>149.49344165209206</v>
      </c>
      <c r="K209" s="12">
        <f t="shared" si="76"/>
        <v>147.48768687693544</v>
      </c>
      <c r="L209" s="55">
        <v>24.625524537010602</v>
      </c>
      <c r="M209" s="55">
        <v>23.803050781628301</v>
      </c>
      <c r="N209" s="55">
        <v>149.24615520906201</v>
      </c>
      <c r="O209" s="55">
        <v>2.8411246554776399</v>
      </c>
      <c r="P209" s="12">
        <f t="shared" si="74"/>
        <v>105.44725284817346</v>
      </c>
      <c r="Q209" s="12">
        <f t="shared" si="77"/>
        <v>104.95875128012813</v>
      </c>
      <c r="R209" s="12">
        <f t="shared" si="78"/>
        <v>89.566786134803777</v>
      </c>
      <c r="S209" s="12">
        <f t="shared" si="79"/>
        <v>92.193849917520978</v>
      </c>
      <c r="T209" s="55">
        <v>18.1987392004181</v>
      </c>
      <c r="U209" s="55">
        <v>16.9891819565382</v>
      </c>
      <c r="V209">
        <v>0.44022503516174399</v>
      </c>
      <c r="W209" s="12"/>
      <c r="X209" s="12"/>
      <c r="Y209" t="str">
        <v>20201002</v>
      </c>
      <c r="Z209">
        <v>54.6</v>
      </c>
      <c r="AA209">
        <v>23.2</v>
      </c>
      <c r="AB209">
        <f t="shared" si="80"/>
        <v>2.353448275862069</v>
      </c>
      <c r="AY209" t="str">
        <v>03/11/2023</v>
      </c>
      <c r="AZ209">
        <v>49.3</v>
      </c>
      <c r="BA209">
        <v>23.9</v>
      </c>
      <c r="BB209">
        <f t="shared" si="81"/>
        <v>2.0627615062761508</v>
      </c>
    </row>
    <row r="210" spans="1:54" x14ac:dyDescent="0.3">
      <c r="A210" s="11">
        <v>45220</v>
      </c>
      <c r="B210">
        <v>0.404522613065327</v>
      </c>
      <c r="C210">
        <v>4224.16</v>
      </c>
      <c r="D210">
        <v>83.24</v>
      </c>
      <c r="E210">
        <v>1981.33</v>
      </c>
      <c r="F210">
        <v>80.94</v>
      </c>
      <c r="G210">
        <v>45.48</v>
      </c>
      <c r="H210" s="12">
        <f t="shared" si="72"/>
        <v>173.22000667323323</v>
      </c>
      <c r="I210" s="12">
        <f t="shared" si="73"/>
        <v>80.265542048789953</v>
      </c>
      <c r="J210" s="12">
        <f t="shared" si="75"/>
        <v>149.83856237812839</v>
      </c>
      <c r="K210" s="12">
        <f t="shared" si="76"/>
        <v>147.67165452243091</v>
      </c>
      <c r="L210" s="55">
        <v>23.909743769373399</v>
      </c>
      <c r="M210" s="55">
        <v>23.154876067962</v>
      </c>
      <c r="N210" s="55">
        <v>148.64660077506301</v>
      </c>
      <c r="O210" s="55">
        <v>2.80551348725623</v>
      </c>
      <c r="P210" s="12">
        <f t="shared" si="74"/>
        <v>106.36838800902197</v>
      </c>
      <c r="Q210" s="12">
        <f t="shared" si="77"/>
        <v>106.28230704227744</v>
      </c>
      <c r="R210" s="12">
        <f t="shared" si="78"/>
        <v>89.224596200558764</v>
      </c>
      <c r="S210" s="12">
        <f t="shared" si="79"/>
        <v>92.291447687359195</v>
      </c>
      <c r="T210" s="55">
        <v>17.878529520480601</v>
      </c>
      <c r="U210" s="55">
        <v>16.848530223875802</v>
      </c>
      <c r="V210">
        <v>0.44389901823281902</v>
      </c>
      <c r="W210" s="12"/>
      <c r="X210" s="12"/>
      <c r="Y210" t="str">
        <v>20200925</v>
      </c>
      <c r="Z210">
        <v>52.5</v>
      </c>
      <c r="AA210">
        <v>21.8</v>
      </c>
      <c r="AB210">
        <f t="shared" si="80"/>
        <v>2.4082568807339451</v>
      </c>
      <c r="AY210" t="str">
        <v>02/11/2023</v>
      </c>
      <c r="AZ210">
        <v>49.3</v>
      </c>
      <c r="BA210">
        <v>23.9</v>
      </c>
      <c r="BB210">
        <f t="shared" si="81"/>
        <v>2.0627615062761508</v>
      </c>
    </row>
    <row r="211" spans="1:54" x14ac:dyDescent="0.3">
      <c r="A211" s="11">
        <v>45219</v>
      </c>
      <c r="B211">
        <v>0.41116751269035501</v>
      </c>
      <c r="C211">
        <v>4278</v>
      </c>
      <c r="D211">
        <v>82.77</v>
      </c>
      <c r="E211">
        <v>1974.4</v>
      </c>
      <c r="F211">
        <v>80.81</v>
      </c>
      <c r="G211">
        <v>45.94</v>
      </c>
      <c r="H211" s="12">
        <f t="shared" si="72"/>
        <v>176.44250065432814</v>
      </c>
      <c r="I211" s="12">
        <f t="shared" si="73"/>
        <v>81.578569296781296</v>
      </c>
      <c r="J211" s="12">
        <f t="shared" si="75"/>
        <v>151.99599844949461</v>
      </c>
      <c r="K211" s="12">
        <f t="shared" si="76"/>
        <v>148.05248396476978</v>
      </c>
      <c r="L211" s="55">
        <v>23.6457977448026</v>
      </c>
      <c r="M211" s="55">
        <v>23.0961457859052</v>
      </c>
      <c r="N211" s="55">
        <v>148.01425730102599</v>
      </c>
      <c r="O211" s="55">
        <v>2.7899638604189598</v>
      </c>
      <c r="P211" s="12">
        <f t="shared" si="74"/>
        <v>106.50697868750116</v>
      </c>
      <c r="Q211" s="12">
        <f t="shared" si="77"/>
        <v>107.97661633012552</v>
      </c>
      <c r="R211" s="12">
        <f t="shared" si="78"/>
        <v>90.447719589217911</v>
      </c>
      <c r="S211" s="12">
        <f t="shared" si="79"/>
        <v>93.37664985069658</v>
      </c>
      <c r="T211" s="55">
        <v>17.824220869225201</v>
      </c>
      <c r="U211" s="55">
        <v>17.011387208453701</v>
      </c>
      <c r="V211">
        <v>0.44154929577464802</v>
      </c>
      <c r="W211" s="12"/>
      <c r="X211" s="12"/>
      <c r="Y211" t="str">
        <v>20200918</v>
      </c>
      <c r="Z211">
        <v>51.5</v>
      </c>
      <c r="AA211">
        <v>19.399999999999999</v>
      </c>
      <c r="AB211">
        <f t="shared" si="80"/>
        <v>2.6546391752577323</v>
      </c>
      <c r="AY211" t="str">
        <v>01/11/2023</v>
      </c>
      <c r="AZ211">
        <v>49.3</v>
      </c>
      <c r="BA211">
        <v>23.9</v>
      </c>
      <c r="BB211">
        <f t="shared" si="81"/>
        <v>2.0627615062761508</v>
      </c>
    </row>
    <row r="212" spans="1:54" x14ac:dyDescent="0.3">
      <c r="A212" s="11">
        <v>45218</v>
      </c>
      <c r="B212">
        <v>0.40256410256410302</v>
      </c>
      <c r="C212">
        <v>4314.6000000000004</v>
      </c>
      <c r="D212">
        <v>84.5</v>
      </c>
      <c r="E212">
        <v>1947.5</v>
      </c>
      <c r="F212">
        <v>80.7</v>
      </c>
      <c r="G212">
        <v>46.29</v>
      </c>
      <c r="H212" s="12">
        <f t="shared" si="72"/>
        <v>174.35192569015342</v>
      </c>
      <c r="I212" s="12">
        <f t="shared" si="73"/>
        <v>83.438872841759235</v>
      </c>
      <c r="J212" s="12">
        <f t="shared" si="75"/>
        <v>153.50741695178323</v>
      </c>
      <c r="K212" s="12">
        <f t="shared" si="76"/>
        <v>148.18908428545865</v>
      </c>
      <c r="L212" s="55">
        <v>23.371494696600301</v>
      </c>
      <c r="M212" s="55">
        <v>23.024133395452601</v>
      </c>
      <c r="N212" s="55">
        <v>147.56177782458201</v>
      </c>
      <c r="O212" s="55">
        <v>2.7713582204330698</v>
      </c>
      <c r="P212" s="12">
        <f t="shared" si="74"/>
        <v>106.89684993912806</v>
      </c>
      <c r="Q212" s="12">
        <f t="shared" si="77"/>
        <v>106.60015836358274</v>
      </c>
      <c r="R212" s="12">
        <f t="shared" si="78"/>
        <v>92.423135506738603</v>
      </c>
      <c r="S212" s="12">
        <f t="shared" si="79"/>
        <v>94.217455982489128</v>
      </c>
      <c r="T212" s="55">
        <v>17.588363956630001</v>
      </c>
      <c r="U212" s="55">
        <v>16.892662772550899</v>
      </c>
      <c r="V212">
        <v>0.44073811213626701</v>
      </c>
      <c r="W212" s="12"/>
      <c r="X212" s="12"/>
      <c r="Y212" t="str">
        <v>20200911</v>
      </c>
      <c r="Z212">
        <v>54.8</v>
      </c>
      <c r="AA212">
        <v>18.3</v>
      </c>
      <c r="AB212">
        <f t="shared" si="80"/>
        <v>2.9945355191256828</v>
      </c>
      <c r="AY212" t="str">
        <v>31/10/2023</v>
      </c>
      <c r="AZ212">
        <v>49.3</v>
      </c>
      <c r="BA212">
        <v>23.9</v>
      </c>
      <c r="BB212">
        <f t="shared" si="81"/>
        <v>2.0627615062761508</v>
      </c>
    </row>
    <row r="213" spans="1:54" x14ac:dyDescent="0.3">
      <c r="A213" s="11">
        <v>45217</v>
      </c>
      <c r="B213">
        <v>0.39686684073106998</v>
      </c>
      <c r="C213">
        <v>4373.2</v>
      </c>
      <c r="D213">
        <v>85.25</v>
      </c>
      <c r="E213">
        <v>1923.18</v>
      </c>
      <c r="F213">
        <v>80.7</v>
      </c>
      <c r="G213">
        <v>47.08</v>
      </c>
      <c r="H213" s="12">
        <f t="shared" si="72"/>
        <v>175.15802830198055</v>
      </c>
      <c r="I213" s="12">
        <f t="shared" si="73"/>
        <v>85.670197773837174</v>
      </c>
      <c r="J213" s="12">
        <f t="shared" si="75"/>
        <v>155.59232276770462</v>
      </c>
      <c r="K213" s="12">
        <f t="shared" si="76"/>
        <v>147.68987033353699</v>
      </c>
      <c r="L213" s="55">
        <v>22.909994558640399</v>
      </c>
      <c r="M213" s="55">
        <v>22.6364911523854</v>
      </c>
      <c r="N213" s="55">
        <v>146.555041531228</v>
      </c>
      <c r="O213" s="55">
        <v>2.75027033552366</v>
      </c>
      <c r="P213" s="12">
        <f t="shared" si="74"/>
        <v>106.98224625163563</v>
      </c>
      <c r="Q213" s="12">
        <f t="shared" si="77"/>
        <v>107.45791918145206</v>
      </c>
      <c r="R213" s="12">
        <f t="shared" si="78"/>
        <v>95.22520096134572</v>
      </c>
      <c r="S213" s="12">
        <f t="shared" si="79"/>
        <v>95.825401331941848</v>
      </c>
      <c r="T213" s="55">
        <v>17.234332597197199</v>
      </c>
      <c r="U213" s="55">
        <v>16.6572725774618</v>
      </c>
      <c r="V213">
        <v>0.442857142857143</v>
      </c>
      <c r="W213" s="12"/>
      <c r="X213" s="12"/>
      <c r="Y213" t="str">
        <v>20200904</v>
      </c>
      <c r="Z213">
        <v>59</v>
      </c>
      <c r="AA213">
        <v>16.2</v>
      </c>
      <c r="AB213">
        <f t="shared" si="80"/>
        <v>3.6419753086419755</v>
      </c>
      <c r="AY213" t="str">
        <v>30/10/2023</v>
      </c>
      <c r="AZ213">
        <v>49.3</v>
      </c>
      <c r="BA213">
        <v>23.9</v>
      </c>
      <c r="BB213">
        <f t="shared" si="81"/>
        <v>2.0627615062761508</v>
      </c>
    </row>
    <row r="214" spans="1:54" x14ac:dyDescent="0.3">
      <c r="A214" s="11">
        <v>45216</v>
      </c>
      <c r="B214">
        <v>0.39361702127659598</v>
      </c>
      <c r="C214">
        <v>4373.63</v>
      </c>
      <c r="D214">
        <v>86.2</v>
      </c>
      <c r="E214">
        <v>1920</v>
      </c>
      <c r="F214">
        <v>80.88</v>
      </c>
      <c r="G214">
        <v>47.09</v>
      </c>
      <c r="H214" s="12">
        <f t="shared" si="72"/>
        <v>173.26552432101937</v>
      </c>
      <c r="I214" s="12">
        <f t="shared" si="73"/>
        <v>85.820776032587759</v>
      </c>
      <c r="J214" s="12">
        <f t="shared" si="75"/>
        <v>155.2620489046466</v>
      </c>
      <c r="K214" s="12">
        <f t="shared" si="76"/>
        <v>147.67302928623329</v>
      </c>
      <c r="L214" s="55">
        <v>22.861209725515302</v>
      </c>
      <c r="M214" s="55">
        <v>22.712530926819799</v>
      </c>
      <c r="N214" s="55">
        <v>143.86016477412599</v>
      </c>
      <c r="O214" s="55">
        <v>2.7273293576302899</v>
      </c>
      <c r="P214" s="12">
        <f t="shared" si="74"/>
        <v>105.88935213391568</v>
      </c>
      <c r="Q214" s="12">
        <f t="shared" si="77"/>
        <v>106.30887730419438</v>
      </c>
      <c r="R214" s="12">
        <f t="shared" si="78"/>
        <v>95.403472778973466</v>
      </c>
      <c r="S214" s="12">
        <f t="shared" si="79"/>
        <v>95.632877051483774</v>
      </c>
      <c r="T214" s="55">
        <v>17.243088660333498</v>
      </c>
      <c r="U214" s="55">
        <v>16.9475021091881</v>
      </c>
      <c r="V214">
        <v>0.44218181818181801</v>
      </c>
      <c r="W214" s="12"/>
      <c r="X214" s="12"/>
      <c r="Y214" t="str">
        <v>20200828</v>
      </c>
      <c r="Z214">
        <v>61.5</v>
      </c>
      <c r="AA214">
        <v>16.399999999999999</v>
      </c>
      <c r="AB214">
        <f t="shared" si="80"/>
        <v>3.7500000000000004</v>
      </c>
      <c r="AY214" t="str">
        <v>27/10/2023</v>
      </c>
      <c r="AZ214">
        <v>42.9</v>
      </c>
      <c r="BA214">
        <v>25.7</v>
      </c>
      <c r="BB214">
        <f t="shared" si="81"/>
        <v>1.6692607003891051</v>
      </c>
    </row>
    <row r="215" spans="1:54" x14ac:dyDescent="0.3">
      <c r="A215" s="11">
        <v>45213</v>
      </c>
      <c r="B215">
        <v>0.39353099730458202</v>
      </c>
      <c r="C215">
        <v>4327.78</v>
      </c>
      <c r="D215">
        <v>87.61</v>
      </c>
      <c r="E215">
        <v>1932.97</v>
      </c>
      <c r="F215">
        <v>80.930000000000007</v>
      </c>
      <c r="G215">
        <v>46.77</v>
      </c>
      <c r="H215" s="12">
        <f t="shared" si="72"/>
        <v>168.76154869210515</v>
      </c>
      <c r="I215" s="12">
        <f t="shared" si="73"/>
        <v>84.360974497464383</v>
      </c>
      <c r="J215" s="12">
        <f t="shared" si="75"/>
        <v>153.54052730721727</v>
      </c>
      <c r="K215" s="12">
        <f t="shared" si="76"/>
        <v>147.12097935521126</v>
      </c>
      <c r="L215" s="55">
        <v>22.876286471776901</v>
      </c>
      <c r="M215" s="55">
        <v>23.031357330593199</v>
      </c>
      <c r="N215" s="55">
        <v>142.35395221632001</v>
      </c>
      <c r="O215" s="55">
        <v>2.6989761632995699</v>
      </c>
      <c r="P215" s="12">
        <f t="shared" si="74"/>
        <v>105.88134853761724</v>
      </c>
      <c r="Q215" s="12">
        <f t="shared" si="77"/>
        <v>103.92524315487859</v>
      </c>
      <c r="R215" s="12">
        <f t="shared" si="78"/>
        <v>94.127863789935887</v>
      </c>
      <c r="S215" s="12">
        <f t="shared" si="79"/>
        <v>94.92475634809648</v>
      </c>
      <c r="T215" s="55">
        <v>17.199891037152501</v>
      </c>
      <c r="U215" s="55">
        <v>17.125302276397399</v>
      </c>
      <c r="V215">
        <v>0.43444365698086501</v>
      </c>
      <c r="W215" s="12"/>
      <c r="X215" s="12"/>
      <c r="Y215" t="str">
        <v>20200821</v>
      </c>
      <c r="Z215">
        <v>60</v>
      </c>
      <c r="AA215">
        <v>16.2</v>
      </c>
      <c r="AB215">
        <f t="shared" si="80"/>
        <v>3.7037037037037037</v>
      </c>
      <c r="AY215" t="str">
        <v>26/10/2023</v>
      </c>
      <c r="AZ215">
        <v>42.9</v>
      </c>
      <c r="BA215">
        <v>25.7</v>
      </c>
      <c r="BB215">
        <f t="shared" si="81"/>
        <v>1.6692607003891051</v>
      </c>
    </row>
    <row r="216" spans="1:54" x14ac:dyDescent="0.3">
      <c r="A216" s="11">
        <v>45212</v>
      </c>
      <c r="B216">
        <v>0.404891304347826</v>
      </c>
      <c r="C216">
        <v>4349.6099999999997</v>
      </c>
      <c r="D216">
        <v>86.07</v>
      </c>
      <c r="E216">
        <v>1868.99</v>
      </c>
      <c r="F216">
        <v>80.88</v>
      </c>
      <c r="G216">
        <v>47.08</v>
      </c>
      <c r="H216" s="12">
        <f t="shared" si="72"/>
        <v>172.7187518733169</v>
      </c>
      <c r="I216" s="12">
        <f t="shared" si="73"/>
        <v>87.807528308775048</v>
      </c>
      <c r="J216" s="12">
        <f t="shared" si="75"/>
        <v>154.41094808631121</v>
      </c>
      <c r="K216" s="12">
        <f t="shared" si="76"/>
        <v>146.89099268780029</v>
      </c>
      <c r="L216" s="55">
        <v>22.639903981272901</v>
      </c>
      <c r="M216" s="55">
        <v>22.958626085338999</v>
      </c>
      <c r="N216" s="55">
        <v>141.112763859447</v>
      </c>
      <c r="O216" s="55">
        <v>2.6913238438217002</v>
      </c>
      <c r="P216" s="12">
        <f t="shared" si="74"/>
        <v>105.25483064627409</v>
      </c>
      <c r="Q216" s="12">
        <f t="shared" si="77"/>
        <v>106.5328422189979</v>
      </c>
      <c r="R216" s="12">
        <f t="shared" si="78"/>
        <v>98.133366527948738</v>
      </c>
      <c r="S216" s="12">
        <f t="shared" si="79"/>
        <v>95.613434749367698</v>
      </c>
      <c r="T216" s="55">
        <v>16.958320098438101</v>
      </c>
      <c r="U216" s="55">
        <v>16.997469751387101</v>
      </c>
      <c r="V216">
        <v>0.43493635077793502</v>
      </c>
      <c r="W216" s="12"/>
      <c r="X216" s="12"/>
      <c r="Y216" t="str">
        <v>20200814</v>
      </c>
      <c r="Z216">
        <v>59.2</v>
      </c>
      <c r="AA216">
        <v>16.5</v>
      </c>
      <c r="AB216">
        <f t="shared" si="80"/>
        <v>3.5878787878787879</v>
      </c>
      <c r="AY216" t="str">
        <v>25/10/2023</v>
      </c>
      <c r="AZ216">
        <v>42.9</v>
      </c>
      <c r="BA216">
        <v>25.7</v>
      </c>
      <c r="BB216">
        <f t="shared" si="81"/>
        <v>1.6692607003891051</v>
      </c>
    </row>
    <row r="217" spans="1:54" x14ac:dyDescent="0.3">
      <c r="A217" s="11">
        <v>45211</v>
      </c>
      <c r="B217">
        <v>0.40599455040871901</v>
      </c>
      <c r="C217">
        <v>4376.95</v>
      </c>
      <c r="D217">
        <v>88.47</v>
      </c>
      <c r="E217">
        <v>1874.4</v>
      </c>
      <c r="F217">
        <v>80.98</v>
      </c>
      <c r="G217">
        <v>47.53</v>
      </c>
      <c r="H217" s="12">
        <f t="shared" si="72"/>
        <v>169.18589969296747</v>
      </c>
      <c r="I217" s="12">
        <f t="shared" si="73"/>
        <v>88.103565259655966</v>
      </c>
      <c r="J217" s="12">
        <f t="shared" si="75"/>
        <v>155.18867394658963</v>
      </c>
      <c r="K217" s="12">
        <f t="shared" si="76"/>
        <v>146.41932540275366</v>
      </c>
      <c r="L217" s="55">
        <v>22.176900156313099</v>
      </c>
      <c r="M217" s="55">
        <v>22.5594189143509</v>
      </c>
      <c r="N217" s="55">
        <v>141.12899102849499</v>
      </c>
      <c r="O217" s="55">
        <v>2.6598458952981998</v>
      </c>
      <c r="P217" s="12">
        <f t="shared" si="74"/>
        <v>106.52778246239667</v>
      </c>
      <c r="Q217" s="12">
        <f t="shared" si="77"/>
        <v>104.68410672645761</v>
      </c>
      <c r="R217" s="12">
        <f t="shared" si="78"/>
        <v>98.783504996949176</v>
      </c>
      <c r="S217" s="12">
        <f t="shared" si="79"/>
        <v>96.407138504951547</v>
      </c>
      <c r="T217" s="55">
        <v>16.705445787056298</v>
      </c>
      <c r="U217" s="55">
        <v>16.874411816482802</v>
      </c>
      <c r="V217">
        <v>0.436389481165601</v>
      </c>
      <c r="W217" s="12"/>
      <c r="X217" s="12"/>
      <c r="Y217" t="str">
        <v>20200807</v>
      </c>
      <c r="Z217">
        <v>58.1</v>
      </c>
      <c r="AA217">
        <v>16.2</v>
      </c>
      <c r="AB217">
        <f t="shared" si="80"/>
        <v>3.5864197530864201</v>
      </c>
      <c r="AY217" t="str">
        <v>24/10/2023</v>
      </c>
      <c r="AZ217">
        <v>42.9</v>
      </c>
      <c r="BA217">
        <v>25.7</v>
      </c>
      <c r="BB217">
        <f t="shared" si="81"/>
        <v>1.6692607003891051</v>
      </c>
    </row>
    <row r="218" spans="1:54" x14ac:dyDescent="0.3">
      <c r="A218" s="11">
        <v>45210</v>
      </c>
      <c r="B218">
        <v>0.41573033707865198</v>
      </c>
      <c r="C218">
        <v>4358.24</v>
      </c>
      <c r="D218">
        <v>86.66</v>
      </c>
      <c r="E218">
        <v>1860.37</v>
      </c>
      <c r="F218">
        <v>81</v>
      </c>
      <c r="G218">
        <v>47.31</v>
      </c>
      <c r="H218" s="12">
        <f t="shared" si="72"/>
        <v>172.0406046544999</v>
      </c>
      <c r="I218" s="12">
        <f t="shared" si="73"/>
        <v>88.390701853119978</v>
      </c>
      <c r="J218" s="12">
        <f t="shared" si="75"/>
        <v>154.48731221723628</v>
      </c>
      <c r="K218" s="12">
        <f t="shared" si="76"/>
        <v>146.47163955059969</v>
      </c>
      <c r="L218" s="55">
        <v>21.595841583673899</v>
      </c>
      <c r="M218" s="55">
        <v>21.778852726800402</v>
      </c>
      <c r="N218" s="55">
        <v>140.56848922891899</v>
      </c>
      <c r="O218" s="55">
        <v>2.6352786151988599</v>
      </c>
      <c r="P218" s="12">
        <f t="shared" si="74"/>
        <v>107.0991637095609</v>
      </c>
      <c r="Q218" s="12">
        <f t="shared" si="77"/>
        <v>106.411813436057</v>
      </c>
      <c r="R218" s="12">
        <f t="shared" si="78"/>
        <v>99.069949001132926</v>
      </c>
      <c r="S218" s="12">
        <f t="shared" si="79"/>
        <v>95.937324481168716</v>
      </c>
      <c r="T218" s="55">
        <v>16.385240106203302</v>
      </c>
      <c r="U218" s="55">
        <v>16.565882618548699</v>
      </c>
      <c r="V218">
        <v>0.433451957295374</v>
      </c>
      <c r="W218" s="12"/>
      <c r="X218" s="12"/>
      <c r="Y218" t="str">
        <v>20200731</v>
      </c>
      <c r="Z218">
        <v>56.7</v>
      </c>
      <c r="AA218">
        <v>17.3</v>
      </c>
      <c r="AB218">
        <f t="shared" si="80"/>
        <v>3.2774566473988438</v>
      </c>
      <c r="AY218" t="str">
        <v>23/10/2023</v>
      </c>
      <c r="AZ218">
        <v>42.9</v>
      </c>
      <c r="BA218">
        <v>25.7</v>
      </c>
      <c r="BB218">
        <f t="shared" si="81"/>
        <v>1.6692607003891051</v>
      </c>
    </row>
    <row r="219" spans="1:54" x14ac:dyDescent="0.3">
      <c r="A219" s="11">
        <v>45209</v>
      </c>
      <c r="B219">
        <v>0.42528735632183901</v>
      </c>
      <c r="C219">
        <v>4335.66</v>
      </c>
      <c r="D219">
        <v>86.78</v>
      </c>
      <c r="E219">
        <v>1861.3</v>
      </c>
      <c r="F219">
        <v>81.05</v>
      </c>
      <c r="G219">
        <v>46.65</v>
      </c>
      <c r="H219" s="12">
        <f t="shared" si="72"/>
        <v>170.91414710379289</v>
      </c>
      <c r="I219" s="12">
        <f t="shared" si="73"/>
        <v>87.889064144856903</v>
      </c>
      <c r="J219" s="12">
        <f t="shared" si="75"/>
        <v>153.59265403819046</v>
      </c>
      <c r="K219" s="12">
        <f t="shared" si="76"/>
        <v>147.79289875718732</v>
      </c>
      <c r="L219" s="55">
        <v>21.796684054194099</v>
      </c>
      <c r="M219" s="55">
        <v>22.507499677783301</v>
      </c>
      <c r="N219" s="55">
        <v>139.96364080556199</v>
      </c>
      <c r="O219" s="55">
        <v>2.6214865278381199</v>
      </c>
      <c r="P219" s="12">
        <f t="shared" si="74"/>
        <v>107.19989969228129</v>
      </c>
      <c r="Q219" s="12">
        <f t="shared" si="77"/>
        <v>104.78443600747771</v>
      </c>
      <c r="R219" s="12">
        <f t="shared" si="78"/>
        <v>97.639764617328112</v>
      </c>
      <c r="S219" s="12">
        <f t="shared" si="79"/>
        <v>94.541437820219443</v>
      </c>
      <c r="T219" s="55">
        <v>16.3653547159876</v>
      </c>
      <c r="U219" s="55">
        <v>16.774232213277202</v>
      </c>
      <c r="V219">
        <v>0.43795093795093798</v>
      </c>
      <c r="W219" s="12"/>
      <c r="X219" s="12"/>
      <c r="Y219" t="str">
        <v>20200724</v>
      </c>
      <c r="Z219">
        <v>57.3</v>
      </c>
      <c r="AA219">
        <v>17.5</v>
      </c>
      <c r="AB219">
        <f t="shared" si="80"/>
        <v>3.274285714285714</v>
      </c>
      <c r="AY219" t="str">
        <v>20/10/2023</v>
      </c>
      <c r="AZ219">
        <v>50</v>
      </c>
      <c r="BA219">
        <v>24.3</v>
      </c>
      <c r="BB219">
        <f t="shared" si="81"/>
        <v>2.0576131687242798</v>
      </c>
    </row>
    <row r="220" spans="1:54" x14ac:dyDescent="0.3">
      <c r="A220" s="11">
        <v>45206</v>
      </c>
      <c r="B220">
        <v>0.44915254237288099</v>
      </c>
      <c r="C220">
        <v>4308.5</v>
      </c>
      <c r="D220">
        <v>84.79</v>
      </c>
      <c r="E220">
        <v>1831.66</v>
      </c>
      <c r="F220">
        <v>80.81</v>
      </c>
      <c r="G220">
        <v>46.72</v>
      </c>
      <c r="H220" s="12">
        <f t="shared" si="72"/>
        <v>173.89929027942307</v>
      </c>
      <c r="I220" s="12">
        <f t="shared" si="73"/>
        <v>88.765913767642246</v>
      </c>
      <c r="J220" s="12">
        <f t="shared" si="75"/>
        <v>153.08229472554424</v>
      </c>
      <c r="K220" s="12">
        <f t="shared" si="76"/>
        <v>146.64872986522332</v>
      </c>
      <c r="L220" s="55">
        <v>21.448287192479199</v>
      </c>
      <c r="M220" s="55">
        <v>22.167560639968301</v>
      </c>
      <c r="N220" s="55">
        <v>139.501273838781</v>
      </c>
      <c r="O220" s="55">
        <v>2.6891957037366301</v>
      </c>
      <c r="P220" s="12">
        <f t="shared" si="74"/>
        <v>104.23010732877586</v>
      </c>
      <c r="Q220" s="12">
        <f t="shared" si="77"/>
        <v>107.46769329212154</v>
      </c>
      <c r="R220" s="12">
        <f t="shared" si="78"/>
        <v>99.397138852179992</v>
      </c>
      <c r="S220" s="12">
        <f t="shared" si="79"/>
        <v>94.965765480817979</v>
      </c>
      <c r="T220" s="55">
        <v>16.0246510936798</v>
      </c>
      <c r="U220" s="55">
        <v>16.3715991180093</v>
      </c>
      <c r="V220">
        <v>0.44603288062902102</v>
      </c>
      <c r="W220" s="12"/>
      <c r="X220" s="12"/>
      <c r="Y220" t="str">
        <v>20200717</v>
      </c>
      <c r="Z220">
        <v>56.7</v>
      </c>
      <c r="AA220">
        <v>17.3</v>
      </c>
      <c r="AB220">
        <f t="shared" si="80"/>
        <v>3.2774566473988438</v>
      </c>
      <c r="AY220" t="str">
        <v>19/10/2023</v>
      </c>
      <c r="AZ220">
        <v>50</v>
      </c>
      <c r="BA220">
        <v>24.3</v>
      </c>
      <c r="BB220">
        <f t="shared" si="81"/>
        <v>2.0576131687242798</v>
      </c>
    </row>
    <row r="221" spans="1:54" x14ac:dyDescent="0.3">
      <c r="A221" s="11">
        <v>45205</v>
      </c>
      <c r="B221">
        <v>0.44857142857142901</v>
      </c>
      <c r="C221">
        <v>4258.1899999999996</v>
      </c>
      <c r="D221">
        <v>85.83</v>
      </c>
      <c r="E221">
        <v>1820.31</v>
      </c>
      <c r="F221">
        <v>80.88</v>
      </c>
      <c r="G221">
        <v>46.17</v>
      </c>
      <c r="H221" s="12">
        <f t="shared" si="72"/>
        <v>169.83482788795916</v>
      </c>
      <c r="I221" s="12">
        <f t="shared" si="73"/>
        <v>88.273376802481252</v>
      </c>
      <c r="J221" s="12">
        <f t="shared" si="75"/>
        <v>151.16546242162275</v>
      </c>
      <c r="K221" s="12">
        <f t="shared" si="76"/>
        <v>146.66304684797947</v>
      </c>
      <c r="L221" s="55">
        <v>21.856541401023499</v>
      </c>
      <c r="M221" s="55">
        <v>23.3689806518952</v>
      </c>
      <c r="N221" s="55">
        <v>138.95193790125299</v>
      </c>
      <c r="O221" s="55">
        <v>2.68992873146864</v>
      </c>
      <c r="P221" s="12">
        <f t="shared" si="74"/>
        <v>103.79149151053707</v>
      </c>
      <c r="Q221" s="12">
        <f t="shared" si="77"/>
        <v>104.94589868376437</v>
      </c>
      <c r="R221" s="12">
        <f t="shared" si="78"/>
        <v>98.836017564912794</v>
      </c>
      <c r="S221" s="12">
        <f t="shared" si="79"/>
        <v>93.767605177052062</v>
      </c>
      <c r="T221" s="55">
        <v>16.1759632068404</v>
      </c>
      <c r="U221" s="55">
        <v>16.952611405620399</v>
      </c>
      <c r="V221">
        <v>0.46367521367521403</v>
      </c>
      <c r="W221" s="12"/>
      <c r="X221" s="12"/>
      <c r="Y221" t="str">
        <v>20200710</v>
      </c>
      <c r="Z221">
        <v>58.1</v>
      </c>
      <c r="AA221">
        <v>18.100000000000001</v>
      </c>
      <c r="AB221">
        <f t="shared" si="80"/>
        <v>3.2099447513812152</v>
      </c>
      <c r="AY221" t="str">
        <v>18/10/2023</v>
      </c>
      <c r="AZ221">
        <v>50</v>
      </c>
      <c r="BA221">
        <v>24.3</v>
      </c>
      <c r="BB221">
        <f t="shared" si="81"/>
        <v>2.0576131687242798</v>
      </c>
    </row>
    <row r="222" spans="1:54" x14ac:dyDescent="0.3">
      <c r="A222" s="11">
        <v>45204</v>
      </c>
      <c r="B222">
        <v>0.45402298850574702</v>
      </c>
      <c r="C222">
        <v>4263.75</v>
      </c>
      <c r="D222">
        <v>86.26</v>
      </c>
      <c r="E222">
        <v>1821.55</v>
      </c>
      <c r="F222">
        <v>80.8</v>
      </c>
      <c r="G222">
        <v>45.8</v>
      </c>
      <c r="H222" s="12">
        <f t="shared" si="72"/>
        <v>169.21197335812903</v>
      </c>
      <c r="I222" s="12">
        <f t="shared" si="73"/>
        <v>88.328429924257065</v>
      </c>
      <c r="J222" s="12">
        <f t="shared" si="75"/>
        <v>151.51305084902401</v>
      </c>
      <c r="K222" s="12">
        <f t="shared" si="76"/>
        <v>148.05216389953526</v>
      </c>
      <c r="L222" s="55">
        <v>21.224702206003101</v>
      </c>
      <c r="M222" s="55">
        <v>22.390826514254002</v>
      </c>
      <c r="N222" s="55">
        <v>138.18939804237701</v>
      </c>
      <c r="O222" s="55">
        <v>2.6942545312899</v>
      </c>
      <c r="P222" s="12">
        <f t="shared" si="74"/>
        <v>103.05734780642091</v>
      </c>
      <c r="Q222" s="12">
        <f t="shared" si="77"/>
        <v>103.59261327526063</v>
      </c>
      <c r="R222" s="12">
        <f t="shared" si="78"/>
        <v>97.977796580230844</v>
      </c>
      <c r="S222" s="12">
        <f t="shared" si="79"/>
        <v>93.107611536539466</v>
      </c>
      <c r="T222" s="55">
        <v>15.521232708628199</v>
      </c>
      <c r="U222" s="55">
        <v>15.777180655821001</v>
      </c>
      <c r="V222">
        <v>0.47338537970191602</v>
      </c>
      <c r="W222" s="12"/>
      <c r="X222" s="12"/>
      <c r="Y222" t="str">
        <v>20200703</v>
      </c>
      <c r="Z222">
        <v>57.7</v>
      </c>
      <c r="AA222">
        <v>18.3</v>
      </c>
      <c r="AB222">
        <f t="shared" si="80"/>
        <v>3.1530054644808745</v>
      </c>
      <c r="AY222" t="str">
        <v>17/10/2023</v>
      </c>
      <c r="AZ222">
        <v>50</v>
      </c>
      <c r="BA222">
        <v>24.3</v>
      </c>
      <c r="BB222">
        <f t="shared" si="81"/>
        <v>2.0576131687242798</v>
      </c>
    </row>
    <row r="223" spans="1:54" x14ac:dyDescent="0.3">
      <c r="A223" s="11">
        <v>45203</v>
      </c>
      <c r="B223">
        <v>0.44219653179190699</v>
      </c>
      <c r="C223">
        <v>4229.45</v>
      </c>
      <c r="D223">
        <v>85.06</v>
      </c>
      <c r="E223">
        <v>1823.01</v>
      </c>
      <c r="F223">
        <v>80.62</v>
      </c>
      <c r="G223">
        <v>45.82</v>
      </c>
      <c r="H223" s="12">
        <f t="shared" si="72"/>
        <v>170.23301175687351</v>
      </c>
      <c r="I223" s="12">
        <f t="shared" si="73"/>
        <v>87.5483153575329</v>
      </c>
      <c r="J223" s="12">
        <f t="shared" si="75"/>
        <v>150.62779549262785</v>
      </c>
      <c r="K223" s="12">
        <f t="shared" si="76"/>
        <v>146.79758882202771</v>
      </c>
      <c r="L223" s="55">
        <v>20.8074363249169</v>
      </c>
      <c r="M223" s="55">
        <v>21.7947421055635</v>
      </c>
      <c r="N223" s="55">
        <v>137.77713575915001</v>
      </c>
      <c r="O223" s="55">
        <v>2.6916768654650798</v>
      </c>
      <c r="P223" s="12">
        <f t="shared" si="74"/>
        <v>102.84809337646992</v>
      </c>
      <c r="Q223" s="12">
        <f t="shared" si="77"/>
        <v>105.12151950382109</v>
      </c>
      <c r="R223" s="12">
        <f t="shared" si="78"/>
        <v>97.942108173784831</v>
      </c>
      <c r="S223" s="12">
        <f t="shared" si="79"/>
        <v>93.356798309186914</v>
      </c>
      <c r="T223" s="55">
        <v>15.14854587758</v>
      </c>
      <c r="U223" s="55">
        <v>15.1392211754203</v>
      </c>
      <c r="V223">
        <v>0.47476901208244499</v>
      </c>
      <c r="W223" s="12"/>
      <c r="X223" s="12"/>
      <c r="Y223" t="str">
        <v>20200626</v>
      </c>
      <c r="Z223">
        <v>54.5</v>
      </c>
      <c r="AA223">
        <v>19.8</v>
      </c>
      <c r="AB223">
        <f t="shared" si="80"/>
        <v>2.7525252525252526</v>
      </c>
      <c r="AY223" t="str">
        <v>16/10/2023</v>
      </c>
      <c r="AZ223">
        <v>50</v>
      </c>
      <c r="BA223">
        <v>24.3</v>
      </c>
      <c r="BB223">
        <f t="shared" si="81"/>
        <v>2.0576131687242798</v>
      </c>
    </row>
    <row r="224" spans="1:54" x14ac:dyDescent="0.3">
      <c r="A224" s="11">
        <v>45202</v>
      </c>
      <c r="B224">
        <v>0.46407185628742498</v>
      </c>
      <c r="C224">
        <v>4288.3900000000003</v>
      </c>
      <c r="D224">
        <v>86.93</v>
      </c>
      <c r="E224">
        <v>1828.12</v>
      </c>
      <c r="F224">
        <v>80.680000000000007</v>
      </c>
      <c r="G224">
        <v>46.42</v>
      </c>
      <c r="H224" s="12">
        <f t="shared" si="72"/>
        <v>168.92092267076504</v>
      </c>
      <c r="I224" s="12">
        <f t="shared" si="73"/>
        <v>88.517481261812293</v>
      </c>
      <c r="J224" s="12">
        <f t="shared" si="75"/>
        <v>152.61181115754954</v>
      </c>
      <c r="K224" s="12">
        <f t="shared" si="76"/>
        <v>146.91785910379514</v>
      </c>
      <c r="L224" s="55">
        <v>20.376313869078299</v>
      </c>
      <c r="M224" s="55">
        <v>21.117996264302999</v>
      </c>
      <c r="N224" s="55">
        <v>137.63808623077099</v>
      </c>
      <c r="O224" s="55">
        <v>2.6891912480724902</v>
      </c>
      <c r="P224" s="12">
        <f t="shared" si="74"/>
        <v>102.8392537761617</v>
      </c>
      <c r="Q224" s="12">
        <f t="shared" si="77"/>
        <v>104.22661954837785</v>
      </c>
      <c r="R224" s="12">
        <f t="shared" si="78"/>
        <v>98.944439272553367</v>
      </c>
      <c r="S224" s="12">
        <f t="shared" si="79"/>
        <v>94.508075309658537</v>
      </c>
      <c r="T224" s="55">
        <v>14.903046225089801</v>
      </c>
      <c r="U224" s="55">
        <v>14.7495864205929</v>
      </c>
      <c r="V224">
        <v>0.47383512544802903</v>
      </c>
      <c r="W224" s="12"/>
      <c r="X224" s="12"/>
      <c r="Y224" t="str">
        <v>20200619</v>
      </c>
      <c r="Z224">
        <v>57.3</v>
      </c>
      <c r="AA224">
        <v>18.399999999999999</v>
      </c>
      <c r="AB224">
        <f t="shared" si="80"/>
        <v>3.1141304347826089</v>
      </c>
      <c r="AY224" t="str">
        <v>13/10/2023</v>
      </c>
      <c r="AZ224">
        <v>51.4</v>
      </c>
      <c r="BA224">
        <v>22.2</v>
      </c>
      <c r="BB224">
        <f t="shared" si="81"/>
        <v>2.3153153153153152</v>
      </c>
    </row>
    <row r="225" spans="1:54" x14ac:dyDescent="0.3">
      <c r="A225" s="11">
        <v>45199</v>
      </c>
      <c r="B225">
        <v>0.476331360946746</v>
      </c>
      <c r="C225">
        <v>4288.05</v>
      </c>
      <c r="D225">
        <v>88.69</v>
      </c>
      <c r="E225">
        <v>1848.76</v>
      </c>
      <c r="F225">
        <v>80.97</v>
      </c>
      <c r="G225">
        <v>47.01</v>
      </c>
      <c r="H225" s="12">
        <f t="shared" si="72"/>
        <v>165.62113813102843</v>
      </c>
      <c r="I225" s="12">
        <f t="shared" si="73"/>
        <v>87.533298005378441</v>
      </c>
      <c r="J225" s="12">
        <f t="shared" si="75"/>
        <v>152.05515797328022</v>
      </c>
      <c r="K225" s="12">
        <f t="shared" si="76"/>
        <v>145.08545715953773</v>
      </c>
      <c r="L225" s="55">
        <v>20.4202203897709</v>
      </c>
      <c r="M225" s="55">
        <v>21.5591197285726</v>
      </c>
      <c r="N225" s="55">
        <v>137.84640661183599</v>
      </c>
      <c r="O225" s="55">
        <v>2.73157156252043</v>
      </c>
      <c r="P225" s="12">
        <f t="shared" si="74"/>
        <v>101.41900802298289</v>
      </c>
      <c r="Q225" s="12">
        <f t="shared" si="77"/>
        <v>103.47190779880668</v>
      </c>
      <c r="R225" s="12">
        <f t="shared" si="78"/>
        <v>99.081794516506733</v>
      </c>
      <c r="S225" s="12">
        <f t="shared" si="79"/>
        <v>95.363384522075975</v>
      </c>
      <c r="T225" s="55">
        <v>14.8852032462051</v>
      </c>
      <c r="U225" s="55">
        <v>14.8920679989953</v>
      </c>
      <c r="V225">
        <v>0.47658402203856698</v>
      </c>
      <c r="W225" s="12"/>
      <c r="X225" s="12"/>
      <c r="Y225" t="str">
        <v>20200612</v>
      </c>
      <c r="Z225">
        <v>54.9</v>
      </c>
      <c r="AA225">
        <v>18.600000000000001</v>
      </c>
      <c r="AB225">
        <f t="shared" si="80"/>
        <v>2.9516129032258061</v>
      </c>
      <c r="AY225" t="str">
        <v>12/10/2023</v>
      </c>
      <c r="AZ225">
        <v>51.4</v>
      </c>
      <c r="BA225">
        <v>22.2</v>
      </c>
      <c r="BB225">
        <f t="shared" si="81"/>
        <v>2.3153153153153152</v>
      </c>
    </row>
    <row r="226" spans="1:54" x14ac:dyDescent="0.3">
      <c r="A226" s="11">
        <v>45198</v>
      </c>
      <c r="B226">
        <v>0.48780487804877998</v>
      </c>
      <c r="C226">
        <v>4299.7</v>
      </c>
      <c r="D226">
        <v>88.68</v>
      </c>
      <c r="E226">
        <v>1864.81</v>
      </c>
      <c r="F226">
        <v>80.959999999999994</v>
      </c>
      <c r="G226">
        <v>47.1</v>
      </c>
      <c r="H226" s="12">
        <f t="shared" si="72"/>
        <v>166.08988636876688</v>
      </c>
      <c r="I226" s="12">
        <f t="shared" si="73"/>
        <v>87.020115704764635</v>
      </c>
      <c r="J226" s="12">
        <f t="shared" si="75"/>
        <v>152.48715547946566</v>
      </c>
      <c r="K226" s="12">
        <f t="shared" si="76"/>
        <v>145.20142421315717</v>
      </c>
      <c r="L226" s="55">
        <v>19.894205707696401</v>
      </c>
      <c r="M226" s="55">
        <v>20.496735073559801</v>
      </c>
      <c r="N226" s="55">
        <v>139.883860058187</v>
      </c>
      <c r="O226" s="55">
        <v>2.7040332059729599</v>
      </c>
      <c r="P226" s="12">
        <f t="shared" si="74"/>
        <v>103.99277729195212</v>
      </c>
      <c r="Q226" s="12">
        <f t="shared" si="77"/>
        <v>103.68171739877056</v>
      </c>
      <c r="R226" s="12">
        <f t="shared" si="78"/>
        <v>98.422760932845691</v>
      </c>
      <c r="S226" s="12">
        <f t="shared" si="79"/>
        <v>95.557782095890488</v>
      </c>
      <c r="T226" s="55">
        <v>14.704664649229001</v>
      </c>
      <c r="U226" s="55">
        <v>14.583828587910499</v>
      </c>
      <c r="V226">
        <v>0.47357584076870302</v>
      </c>
      <c r="W226" s="12"/>
      <c r="X226" s="12"/>
      <c r="Y226" t="str">
        <v>20200605</v>
      </c>
      <c r="Z226">
        <v>56.9</v>
      </c>
      <c r="AA226">
        <v>20.6</v>
      </c>
      <c r="AB226">
        <f t="shared" si="80"/>
        <v>2.762135922330097</v>
      </c>
      <c r="AY226" t="str">
        <v>11/10/2023</v>
      </c>
      <c r="AZ226">
        <v>51.4</v>
      </c>
      <c r="BA226">
        <v>22.2</v>
      </c>
      <c r="BB226">
        <f t="shared" si="81"/>
        <v>2.3153153153153152</v>
      </c>
    </row>
    <row r="227" spans="1:54" x14ac:dyDescent="0.3">
      <c r="A227" s="11">
        <v>45197</v>
      </c>
      <c r="B227">
        <v>0.48948948948949</v>
      </c>
      <c r="C227">
        <v>4274.51</v>
      </c>
      <c r="D227">
        <v>88.41</v>
      </c>
      <c r="E227">
        <v>1875.06</v>
      </c>
      <c r="F227">
        <v>80.819999999999993</v>
      </c>
      <c r="G227">
        <v>46.8</v>
      </c>
      <c r="H227" s="12">
        <f t="shared" si="72"/>
        <v>165.61967225292054</v>
      </c>
      <c r="I227" s="12">
        <f t="shared" si="73"/>
        <v>86.042707982441172</v>
      </c>
      <c r="J227" s="12">
        <f t="shared" si="75"/>
        <v>151.85531155150909</v>
      </c>
      <c r="K227" s="12">
        <f t="shared" si="76"/>
        <v>145.27655882123958</v>
      </c>
      <c r="L227" s="55">
        <v>19.661070535450399</v>
      </c>
      <c r="M227" s="55">
        <v>20.160275159644399</v>
      </c>
      <c r="N227" s="55">
        <v>142.25268802421201</v>
      </c>
      <c r="O227" s="55">
        <v>2.8203830776155598</v>
      </c>
      <c r="P227" s="12">
        <f t="shared" si="74"/>
        <v>101.49588105474277</v>
      </c>
      <c r="Q227" s="12">
        <f t="shared" si="77"/>
        <v>103.33489415895416</v>
      </c>
      <c r="R227" s="12">
        <f t="shared" si="78"/>
        <v>97.26753887058841</v>
      </c>
      <c r="S227" s="12">
        <f t="shared" si="79"/>
        <v>95.112843082555273</v>
      </c>
      <c r="T227" s="55">
        <v>14.4273859697775</v>
      </c>
      <c r="U227" s="55">
        <v>13.947482567740099</v>
      </c>
      <c r="V227">
        <v>0.47264021887824897</v>
      </c>
      <c r="W227" s="12"/>
      <c r="X227" s="12"/>
      <c r="Y227" t="str">
        <v>20200529</v>
      </c>
      <c r="Z227">
        <v>53.5</v>
      </c>
      <c r="AA227">
        <v>23.7</v>
      </c>
      <c r="AB227">
        <f t="shared" si="80"/>
        <v>2.2573839662447259</v>
      </c>
      <c r="AY227" t="str">
        <v>10/10/2023</v>
      </c>
      <c r="AZ227">
        <v>51.4</v>
      </c>
      <c r="BA227">
        <v>22.2</v>
      </c>
      <c r="BB227">
        <f t="shared" si="81"/>
        <v>2.3153153153153152</v>
      </c>
    </row>
    <row r="228" spans="1:54" x14ac:dyDescent="0.3">
      <c r="A228" s="11">
        <v>45196</v>
      </c>
      <c r="B228">
        <v>0.49393939393939401</v>
      </c>
      <c r="C228">
        <v>4273.53</v>
      </c>
      <c r="D228">
        <v>88.87</v>
      </c>
      <c r="E228">
        <v>1900.7</v>
      </c>
      <c r="F228">
        <v>80.88</v>
      </c>
      <c r="G228">
        <v>46.86</v>
      </c>
      <c r="H228" s="12">
        <f t="shared" si="72"/>
        <v>164.72924175533498</v>
      </c>
      <c r="I228" s="12">
        <f t="shared" si="73"/>
        <v>84.878255928241089</v>
      </c>
      <c r="J228" s="12">
        <f t="shared" si="75"/>
        <v>151.70797907599598</v>
      </c>
      <c r="K228" s="12">
        <f t="shared" si="76"/>
        <v>145.057561308461</v>
      </c>
      <c r="L228" s="55">
        <v>19.485281527253701</v>
      </c>
      <c r="M228" s="55">
        <v>19.938428834486899</v>
      </c>
      <c r="N228" s="55">
        <v>145.464365011984</v>
      </c>
      <c r="O228" s="55">
        <v>2.86194019489681</v>
      </c>
      <c r="P228" s="12">
        <f t="shared" si="74"/>
        <v>102.26884728925421</v>
      </c>
      <c r="Q228" s="12">
        <f t="shared" si="77"/>
        <v>102.93389559166694</v>
      </c>
      <c r="R228" s="12">
        <f t="shared" si="78"/>
        <v>96.094289367126734</v>
      </c>
      <c r="S228" s="12">
        <f t="shared" si="79"/>
        <v>95.164095606528662</v>
      </c>
      <c r="T228" s="55">
        <v>14.3574222680537</v>
      </c>
      <c r="U228" s="55">
        <v>13.863852256969199</v>
      </c>
      <c r="V228">
        <v>0.474048442906574</v>
      </c>
      <c r="W228" s="12"/>
      <c r="X228" s="12"/>
      <c r="Y228" t="str">
        <v>20200522</v>
      </c>
      <c r="Z228">
        <v>50.5</v>
      </c>
      <c r="AA228">
        <v>23.8</v>
      </c>
      <c r="AB228">
        <f t="shared" si="80"/>
        <v>2.1218487394957983</v>
      </c>
      <c r="AY228" t="str">
        <v>09/10/2023</v>
      </c>
      <c r="AZ228">
        <v>51.4</v>
      </c>
      <c r="BA228">
        <v>22.2</v>
      </c>
      <c r="BB228">
        <f t="shared" si="81"/>
        <v>2.3153153153153152</v>
      </c>
    </row>
    <row r="229" spans="1:54" x14ac:dyDescent="0.3">
      <c r="A229" s="11">
        <v>45195</v>
      </c>
      <c r="B229">
        <v>0.49085365853658502</v>
      </c>
      <c r="C229">
        <v>4337.4399999999996</v>
      </c>
      <c r="D229">
        <v>89.18</v>
      </c>
      <c r="E229">
        <v>1915.99</v>
      </c>
      <c r="F229">
        <v>80.87</v>
      </c>
      <c r="G229">
        <v>47.51</v>
      </c>
      <c r="H229" s="12">
        <f t="shared" si="72"/>
        <v>166.604943864321</v>
      </c>
      <c r="I229" s="12">
        <f t="shared" si="73"/>
        <v>85.455446720845046</v>
      </c>
      <c r="J229" s="12">
        <f t="shared" si="75"/>
        <v>153.99607634237546</v>
      </c>
      <c r="K229" s="12">
        <f t="shared" si="76"/>
        <v>145.21049228278758</v>
      </c>
      <c r="L229" s="55">
        <v>18.932975167265202</v>
      </c>
      <c r="M229" s="55">
        <v>18.4365275447804</v>
      </c>
      <c r="N229" s="55">
        <v>152.206163838365</v>
      </c>
      <c r="O229" s="55">
        <v>2.9530258676565202</v>
      </c>
      <c r="P229" s="12">
        <f t="shared" si="74"/>
        <v>103.66301122552579</v>
      </c>
      <c r="Q229" s="12">
        <f t="shared" si="77"/>
        <v>103.99518880299541</v>
      </c>
      <c r="R229" s="12">
        <f t="shared" si="78"/>
        <v>96.64527583491909</v>
      </c>
      <c r="S229" s="12">
        <f t="shared" si="79"/>
        <v>96.496224587320299</v>
      </c>
      <c r="T229" s="55">
        <v>14.1582798739358</v>
      </c>
      <c r="U229" s="55">
        <v>13.3056184874435</v>
      </c>
      <c r="V229">
        <v>0.47463516330785299</v>
      </c>
      <c r="W229" s="12"/>
      <c r="X229" s="12"/>
      <c r="Y229" t="str">
        <v>20200515</v>
      </c>
      <c r="Z229">
        <v>49</v>
      </c>
      <c r="AA229">
        <v>24.1</v>
      </c>
      <c r="AB229">
        <f t="shared" si="80"/>
        <v>2.0331950207468878</v>
      </c>
      <c r="AY229" t="str">
        <v>06/10/2023</v>
      </c>
      <c r="AZ229">
        <v>48.6</v>
      </c>
      <c r="BA229">
        <v>22.8</v>
      </c>
      <c r="BB229">
        <f t="shared" si="81"/>
        <v>2.1315789473684212</v>
      </c>
    </row>
    <row r="230" spans="1:54" x14ac:dyDescent="0.3">
      <c r="A230" s="11">
        <v>45192</v>
      </c>
      <c r="B230">
        <v>0.51818181818181797</v>
      </c>
      <c r="C230">
        <v>4320.0600000000004</v>
      </c>
      <c r="D230">
        <v>91.43</v>
      </c>
      <c r="E230">
        <v>1925.52</v>
      </c>
      <c r="F230">
        <v>80.900000000000006</v>
      </c>
      <c r="G230">
        <v>47.68</v>
      </c>
      <c r="H230" s="12">
        <f t="shared" si="72"/>
        <v>161.96747764066959</v>
      </c>
      <c r="I230" s="12">
        <f t="shared" si="73"/>
        <v>84.695524204335427</v>
      </c>
      <c r="J230" s="12">
        <f t="shared" si="75"/>
        <v>153.32238995696346</v>
      </c>
      <c r="K230" s="12">
        <f t="shared" si="76"/>
        <v>144.11685740112642</v>
      </c>
      <c r="L230" s="55">
        <v>18.191212592790801</v>
      </c>
      <c r="M230" s="55">
        <v>15.8229119388428</v>
      </c>
      <c r="N230" s="55">
        <v>157.951639185716</v>
      </c>
      <c r="O230" s="55">
        <v>2.96777876717006</v>
      </c>
      <c r="P230" s="12">
        <f t="shared" si="74"/>
        <v>107.02397917633851</v>
      </c>
      <c r="Q230" s="12">
        <f t="shared" si="77"/>
        <v>101.85186358686347</v>
      </c>
      <c r="R230" s="12">
        <f t="shared" si="78"/>
        <v>96.511715573355801</v>
      </c>
      <c r="S230" s="12">
        <f t="shared" si="79"/>
        <v>96.805480154344679</v>
      </c>
      <c r="T230" s="55">
        <v>13.8386631013061</v>
      </c>
      <c r="U230" s="55">
        <v>12.1622574716428</v>
      </c>
      <c r="V230">
        <v>0.46021947873799701</v>
      </c>
      <c r="W230" s="12"/>
      <c r="X230" s="12"/>
      <c r="Y230" t="str">
        <v>20200508</v>
      </c>
      <c r="Z230">
        <v>47.1</v>
      </c>
      <c r="AA230">
        <v>26</v>
      </c>
      <c r="AB230">
        <f t="shared" si="80"/>
        <v>1.8115384615384615</v>
      </c>
      <c r="AY230" t="str">
        <v>05/10/2023</v>
      </c>
      <c r="AZ230">
        <v>48.6</v>
      </c>
      <c r="BA230">
        <v>22.8</v>
      </c>
      <c r="BB230">
        <f t="shared" si="81"/>
        <v>2.1315789473684212</v>
      </c>
    </row>
    <row r="231" spans="1:54" x14ac:dyDescent="0.3">
      <c r="A231" s="11">
        <v>45191</v>
      </c>
      <c r="B231">
        <v>0.50898203592814395</v>
      </c>
      <c r="C231">
        <v>4330</v>
      </c>
      <c r="D231">
        <v>90.7</v>
      </c>
      <c r="E231">
        <v>1920.06</v>
      </c>
      <c r="F231">
        <v>80.819999999999993</v>
      </c>
      <c r="G231">
        <v>47.51</v>
      </c>
      <c r="H231" s="12">
        <f t="shared" si="72"/>
        <v>163.66040105529765</v>
      </c>
      <c r="I231" s="12">
        <f t="shared" si="73"/>
        <v>85.133046182317557</v>
      </c>
      <c r="J231" s="12">
        <f t="shared" si="75"/>
        <v>153.82778591834156</v>
      </c>
      <c r="K231" s="12">
        <f t="shared" si="76"/>
        <v>144.96837351395919</v>
      </c>
      <c r="L231" s="55">
        <v>18.163106453138699</v>
      </c>
      <c r="M231" s="55">
        <v>15.607736364147801</v>
      </c>
      <c r="N231" s="55">
        <v>163.38458994752401</v>
      </c>
      <c r="O231" s="55">
        <v>3.08768665964481</v>
      </c>
      <c r="P231" s="12">
        <f t="shared" si="74"/>
        <v>106.42992057552162</v>
      </c>
      <c r="Q231" s="12">
        <f t="shared" si="77"/>
        <v>102.3092182769885</v>
      </c>
      <c r="R231" s="12">
        <f t="shared" si="78"/>
        <v>96.440876573828248</v>
      </c>
      <c r="S231" s="12">
        <f t="shared" si="79"/>
        <v>96.555561525671905</v>
      </c>
      <c r="T231" s="55">
        <v>13.819529814635199</v>
      </c>
      <c r="U231" s="55">
        <v>12.026272604126699</v>
      </c>
      <c r="V231">
        <v>0.45864661654135302</v>
      </c>
      <c r="W231" s="12"/>
      <c r="X231" s="12"/>
      <c r="Y231" t="str">
        <v>20200501</v>
      </c>
      <c r="Z231">
        <v>48.1</v>
      </c>
      <c r="AA231">
        <v>26.9</v>
      </c>
      <c r="AB231">
        <f t="shared" si="80"/>
        <v>1.7881040892193309</v>
      </c>
      <c r="AY231" t="str">
        <v>04/10/2023</v>
      </c>
      <c r="AZ231">
        <v>48.6</v>
      </c>
      <c r="BA231">
        <v>22.8</v>
      </c>
      <c r="BB231">
        <f t="shared" si="81"/>
        <v>2.1315789473684212</v>
      </c>
    </row>
    <row r="232" spans="1:54" x14ac:dyDescent="0.3">
      <c r="A232" s="11">
        <v>45190</v>
      </c>
      <c r="B232">
        <v>0.51335311572700304</v>
      </c>
      <c r="C232">
        <v>4402.2</v>
      </c>
      <c r="D232">
        <v>93.09</v>
      </c>
      <c r="E232">
        <v>1930.32</v>
      </c>
      <c r="F232">
        <v>80.78</v>
      </c>
      <c r="G232">
        <v>48.38</v>
      </c>
      <c r="H232" s="12">
        <f t="shared" si="72"/>
        <v>162.15669150713381</v>
      </c>
      <c r="I232" s="12">
        <f t="shared" si="73"/>
        <v>86.087385939729245</v>
      </c>
      <c r="J232" s="12">
        <f t="shared" si="75"/>
        <v>156.47153882343048</v>
      </c>
      <c r="K232" s="12">
        <f t="shared" si="76"/>
        <v>144.73943235255413</v>
      </c>
      <c r="L232" s="55">
        <v>17.789799214254302</v>
      </c>
      <c r="M232" s="55">
        <v>13.7894456850971</v>
      </c>
      <c r="N232" s="55">
        <v>167.591868999197</v>
      </c>
      <c r="O232" s="55">
        <v>3.0697207383633698</v>
      </c>
      <c r="P232" s="12">
        <f t="shared" si="74"/>
        <v>109.82991865571995</v>
      </c>
      <c r="Q232" s="12">
        <f t="shared" si="77"/>
        <v>101.52831916024145</v>
      </c>
      <c r="R232" s="12">
        <f t="shared" si="78"/>
        <v>97.678211068502776</v>
      </c>
      <c r="S232" s="12">
        <f t="shared" si="79"/>
        <v>98.373284336059825</v>
      </c>
      <c r="T232" s="55">
        <v>13.5933140060133</v>
      </c>
      <c r="U232" s="55">
        <v>10.9129514279406</v>
      </c>
      <c r="V232">
        <v>0.46293800539083602</v>
      </c>
      <c r="W232" s="12"/>
      <c r="X232" s="12"/>
      <c r="Y232" t="str">
        <v>20200424</v>
      </c>
      <c r="Z232">
        <v>46.6</v>
      </c>
      <c r="AA232">
        <v>29.1</v>
      </c>
      <c r="AB232">
        <f t="shared" si="80"/>
        <v>1.6013745704467353</v>
      </c>
      <c r="AY232" t="str">
        <v>03/10/2023</v>
      </c>
      <c r="AZ232">
        <v>48.6</v>
      </c>
      <c r="BA232">
        <v>22.8</v>
      </c>
      <c r="BB232">
        <f t="shared" si="81"/>
        <v>2.1315789473684212</v>
      </c>
    </row>
    <row r="233" spans="1:54" x14ac:dyDescent="0.3">
      <c r="A233" s="11">
        <v>45189</v>
      </c>
      <c r="B233">
        <v>0.51641791044776097</v>
      </c>
      <c r="C233">
        <v>4443.95</v>
      </c>
      <c r="D233">
        <v>92.8</v>
      </c>
      <c r="E233">
        <v>1931.4</v>
      </c>
      <c r="F233">
        <v>80.83</v>
      </c>
      <c r="G233">
        <v>48.5</v>
      </c>
      <c r="H233" s="12">
        <f t="shared" si="72"/>
        <v>164.21259961885318</v>
      </c>
      <c r="I233" s="12">
        <f t="shared" si="73"/>
        <v>86.854801553337268</v>
      </c>
      <c r="J233" s="12">
        <f t="shared" si="75"/>
        <v>157.85692481301919</v>
      </c>
      <c r="K233" s="12">
        <f t="shared" si="76"/>
        <v>145.74809198748991</v>
      </c>
      <c r="L233" s="55">
        <v>18.293587822952698</v>
      </c>
      <c r="M233" s="55">
        <v>15.8705061096965</v>
      </c>
      <c r="N233" s="55">
        <v>171.19988908707199</v>
      </c>
      <c r="O233" s="55">
        <v>3.3941292519841002</v>
      </c>
      <c r="P233" s="12">
        <f t="shared" si="74"/>
        <v>102.21448875805578</v>
      </c>
      <c r="Q233" s="12">
        <f t="shared" si="77"/>
        <v>102.10000021816404</v>
      </c>
      <c r="R233" s="12">
        <f t="shared" si="78"/>
        <v>97.865628340057995</v>
      </c>
      <c r="S233" s="12">
        <f t="shared" si="79"/>
        <v>98.556169559362019</v>
      </c>
      <c r="T233" s="55">
        <v>13.7000528214878</v>
      </c>
      <c r="U233" s="55">
        <v>11.187880151481201</v>
      </c>
      <c r="V233">
        <v>0.46762099522835698</v>
      </c>
      <c r="W233" s="12"/>
      <c r="X233" s="12"/>
      <c r="Y233" t="str">
        <v>20200417</v>
      </c>
      <c r="Z233">
        <v>43.3</v>
      </c>
      <c r="AA233">
        <v>30.8</v>
      </c>
      <c r="AB233">
        <f t="shared" si="80"/>
        <v>1.4058441558441557</v>
      </c>
      <c r="AY233" t="str">
        <v>02/10/2023</v>
      </c>
      <c r="AZ233">
        <v>48.6</v>
      </c>
      <c r="BA233">
        <v>22.8</v>
      </c>
      <c r="BB233">
        <f t="shared" si="81"/>
        <v>2.1315789473684212</v>
      </c>
    </row>
    <row r="234" spans="1:54" x14ac:dyDescent="0.3">
      <c r="A234" s="11">
        <v>45188</v>
      </c>
      <c r="B234">
        <v>0.51651651651651698</v>
      </c>
      <c r="C234">
        <v>4453.53</v>
      </c>
      <c r="D234">
        <v>93.49</v>
      </c>
      <c r="E234">
        <v>1934.08</v>
      </c>
      <c r="F234">
        <v>80.89</v>
      </c>
      <c r="G234">
        <v>48.59</v>
      </c>
      <c r="H234" s="12">
        <f t="shared" si="72"/>
        <v>163.35833909242351</v>
      </c>
      <c r="I234" s="12">
        <f t="shared" si="73"/>
        <v>86.921333825328261</v>
      </c>
      <c r="J234" s="12">
        <f t="shared" si="75"/>
        <v>158.07971517975275</v>
      </c>
      <c r="K234" s="12">
        <f t="shared" si="76"/>
        <v>145.79166468964783</v>
      </c>
      <c r="L234" s="55">
        <v>18.581350294901501</v>
      </c>
      <c r="M234" s="55">
        <v>17.2104659154821</v>
      </c>
      <c r="N234" s="55">
        <v>173.041302841587</v>
      </c>
      <c r="O234" s="55">
        <v>3.4258859281334799</v>
      </c>
      <c r="P234" s="12">
        <f t="shared" si="74"/>
        <v>102.35490382540654</v>
      </c>
      <c r="Q234" s="12">
        <f t="shared" si="77"/>
        <v>101.53867053210439</v>
      </c>
      <c r="R234" s="12">
        <f t="shared" si="78"/>
        <v>97.911309961183903</v>
      </c>
      <c r="S234" s="12">
        <f t="shared" si="79"/>
        <v>98.665736371410944</v>
      </c>
      <c r="T234" s="55">
        <v>14.057410224929599</v>
      </c>
      <c r="U234" s="55">
        <v>12.870111906329599</v>
      </c>
      <c r="V234">
        <v>0.47339699863574403</v>
      </c>
      <c r="W234" s="12"/>
      <c r="X234" s="12"/>
      <c r="Y234" t="str">
        <v>20200410</v>
      </c>
      <c r="Z234">
        <v>40.9</v>
      </c>
      <c r="AA234">
        <v>32.4</v>
      </c>
      <c r="AB234">
        <f t="shared" si="80"/>
        <v>1.2623456790123457</v>
      </c>
      <c r="AY234" t="str">
        <v>29/09/2023</v>
      </c>
      <c r="AZ234">
        <v>42.3</v>
      </c>
      <c r="BA234">
        <v>23.9</v>
      </c>
      <c r="BB234">
        <f t="shared" si="81"/>
        <v>1.7698744769874477</v>
      </c>
    </row>
    <row r="235" spans="1:54" x14ac:dyDescent="0.3">
      <c r="A235" s="11">
        <v>45185</v>
      </c>
      <c r="B235">
        <v>0.51940298507462701</v>
      </c>
      <c r="C235">
        <v>4450.32</v>
      </c>
      <c r="D235">
        <v>92.96</v>
      </c>
      <c r="E235">
        <v>1923.6</v>
      </c>
      <c r="F235">
        <v>80.900000000000006</v>
      </c>
      <c r="G235">
        <v>48.72</v>
      </c>
      <c r="H235" s="12">
        <f t="shared" si="72"/>
        <v>164.17594853066419</v>
      </c>
      <c r="I235" s="12">
        <f t="shared" si="73"/>
        <v>87.334146762406803</v>
      </c>
      <c r="J235" s="12">
        <f t="shared" si="75"/>
        <v>157.94626545759633</v>
      </c>
      <c r="K235" s="12">
        <f t="shared" si="76"/>
        <v>145.29915791584696</v>
      </c>
      <c r="L235" s="55">
        <v>18.5682545544269</v>
      </c>
      <c r="M235" s="55">
        <v>17.0285210630358</v>
      </c>
      <c r="N235" s="55">
        <v>173.77690720560099</v>
      </c>
      <c r="O235" s="55">
        <v>3.4254573210842501</v>
      </c>
      <c r="P235" s="12">
        <f t="shared" si="74"/>
        <v>102.80293574370489</v>
      </c>
      <c r="Q235" s="12">
        <f t="shared" si="77"/>
        <v>102.39569027046768</v>
      </c>
      <c r="R235" s="12">
        <f t="shared" si="78"/>
        <v>98.712502765573078</v>
      </c>
      <c r="S235" s="12">
        <f t="shared" si="79"/>
        <v>98.917451541946079</v>
      </c>
      <c r="T235" s="55">
        <v>14.0872538507799</v>
      </c>
      <c r="U235" s="55">
        <v>12.94526192577</v>
      </c>
      <c r="V235">
        <v>0.47694334650856401</v>
      </c>
      <c r="W235" s="12"/>
      <c r="X235" s="12"/>
      <c r="Y235" t="str">
        <v>20200403</v>
      </c>
      <c r="Z235">
        <v>33.299999999999997</v>
      </c>
      <c r="AA235">
        <v>36.200000000000003</v>
      </c>
      <c r="AB235">
        <f t="shared" si="80"/>
        <v>0.91988950276243076</v>
      </c>
      <c r="AY235" t="str">
        <v>28/09/2023</v>
      </c>
      <c r="AZ235">
        <v>42.3</v>
      </c>
      <c r="BA235">
        <v>23.9</v>
      </c>
      <c r="BB235">
        <f t="shared" si="81"/>
        <v>1.7698744769874477</v>
      </c>
    </row>
    <row r="236" spans="1:54" x14ac:dyDescent="0.3">
      <c r="A236" s="11">
        <v>45184</v>
      </c>
      <c r="B236">
        <v>0.54434250764526004</v>
      </c>
      <c r="C236">
        <v>4505.1000000000004</v>
      </c>
      <c r="D236">
        <v>93.53</v>
      </c>
      <c r="E236">
        <v>1910.9</v>
      </c>
      <c r="F236">
        <v>80.94</v>
      </c>
      <c r="G236">
        <v>48.83</v>
      </c>
      <c r="H236" s="12">
        <f t="shared" si="72"/>
        <v>165.17779334216877</v>
      </c>
      <c r="I236" s="12">
        <f t="shared" si="73"/>
        <v>89.007998743785137</v>
      </c>
      <c r="J236" s="12">
        <f t="shared" si="75"/>
        <v>159.8105125022737</v>
      </c>
      <c r="K236" s="12">
        <f t="shared" si="76"/>
        <v>146.75301642399046</v>
      </c>
      <c r="L236" s="55">
        <v>21.005696020668601</v>
      </c>
      <c r="M236" s="55">
        <v>19.228320203005101</v>
      </c>
      <c r="N236" s="55">
        <v>173.83811206478401</v>
      </c>
      <c r="O236" s="55">
        <v>3.38721228795076</v>
      </c>
      <c r="P236" s="12">
        <f t="shared" si="74"/>
        <v>104.01397937813117</v>
      </c>
      <c r="Q236" s="12">
        <f t="shared" si="77"/>
        <v>102.00383358801683</v>
      </c>
      <c r="R236" s="12">
        <f t="shared" si="78"/>
        <v>99.598812327453658</v>
      </c>
      <c r="S236" s="12">
        <f t="shared" si="79"/>
        <v>99.091706315719463</v>
      </c>
      <c r="T236" s="55">
        <v>15.5374210345144</v>
      </c>
      <c r="U236" s="55">
        <v>14.241420881712401</v>
      </c>
      <c r="V236">
        <v>0.48594377510040199</v>
      </c>
      <c r="W236" s="12"/>
      <c r="X236" s="12"/>
      <c r="Y236" t="str">
        <v>20200327</v>
      </c>
      <c r="Z236">
        <v>31.4</v>
      </c>
      <c r="AA236">
        <v>36.299999999999997</v>
      </c>
      <c r="AB236">
        <f t="shared" si="80"/>
        <v>0.86501377410468328</v>
      </c>
      <c r="AY236" t="str">
        <v>27/09/2023</v>
      </c>
      <c r="AZ236">
        <v>42.3</v>
      </c>
      <c r="BA236">
        <v>23.9</v>
      </c>
      <c r="BB236">
        <f t="shared" si="81"/>
        <v>1.7698744769874477</v>
      </c>
    </row>
    <row r="237" spans="1:54" x14ac:dyDescent="0.3">
      <c r="A237" s="11">
        <v>45183</v>
      </c>
      <c r="B237">
        <v>0.54461538461538495</v>
      </c>
      <c r="C237">
        <v>4467.4399999999996</v>
      </c>
      <c r="D237">
        <v>94.21</v>
      </c>
      <c r="E237">
        <v>1906.83</v>
      </c>
      <c r="F237">
        <v>80.959999999999994</v>
      </c>
      <c r="G237">
        <v>48.27</v>
      </c>
      <c r="H237" s="12">
        <f t="shared" si="72"/>
        <v>162.63294534486644</v>
      </c>
      <c r="I237" s="12">
        <f t="shared" si="73"/>
        <v>88.451158786396007</v>
      </c>
      <c r="J237" s="12">
        <f t="shared" si="75"/>
        <v>158.43577803342004</v>
      </c>
      <c r="K237" s="12">
        <f t="shared" si="76"/>
        <v>147.21992810074426</v>
      </c>
      <c r="L237" s="55">
        <v>21.276363185195802</v>
      </c>
      <c r="M237" s="55">
        <v>19.462253819523902</v>
      </c>
      <c r="N237" s="55">
        <v>173.89811964725899</v>
      </c>
      <c r="O237" s="55">
        <v>3.4212111754558601</v>
      </c>
      <c r="P237" s="12">
        <f t="shared" si="74"/>
        <v>103.0256948311234</v>
      </c>
      <c r="Q237" s="12">
        <f t="shared" si="77"/>
        <v>100.11964925358637</v>
      </c>
      <c r="R237" s="12">
        <f t="shared" si="78"/>
        <v>98.664755435706496</v>
      </c>
      <c r="S237" s="12">
        <f t="shared" si="79"/>
        <v>97.931371908905277</v>
      </c>
      <c r="T237" s="55">
        <v>15.5832851854988</v>
      </c>
      <c r="U237" s="55">
        <v>14.310597913010101</v>
      </c>
      <c r="V237">
        <v>0.47771124417831001</v>
      </c>
      <c r="W237" s="12"/>
      <c r="X237" s="12"/>
      <c r="Y237" t="str">
        <v>20200320</v>
      </c>
      <c r="Z237">
        <v>30.1</v>
      </c>
      <c r="AA237">
        <v>41.7</v>
      </c>
      <c r="AB237">
        <f t="shared" si="80"/>
        <v>0.72182254196642681</v>
      </c>
      <c r="AY237" t="str">
        <v>26/09/2023</v>
      </c>
      <c r="AZ237">
        <v>42.3</v>
      </c>
      <c r="BA237">
        <v>23.9</v>
      </c>
      <c r="BB237">
        <f t="shared" si="81"/>
        <v>1.7698744769874477</v>
      </c>
    </row>
    <row r="238" spans="1:54" x14ac:dyDescent="0.3">
      <c r="A238" s="11">
        <v>45182</v>
      </c>
      <c r="B238">
        <v>0.544303797468354</v>
      </c>
      <c r="C238">
        <v>4461.8999999999996</v>
      </c>
      <c r="D238">
        <v>94.23</v>
      </c>
      <c r="E238">
        <v>1913.64</v>
      </c>
      <c r="F238">
        <v>80.89</v>
      </c>
      <c r="G238">
        <v>48.37</v>
      </c>
      <c r="H238" s="12">
        <f t="shared" si="72"/>
        <v>162.39684142398443</v>
      </c>
      <c r="I238" s="12">
        <f t="shared" si="73"/>
        <v>88.028596295618385</v>
      </c>
      <c r="J238" s="12">
        <f t="shared" si="75"/>
        <v>158.37618886641599</v>
      </c>
      <c r="K238" s="12">
        <f t="shared" si="76"/>
        <v>146.73438100092409</v>
      </c>
      <c r="L238" s="55">
        <v>20.953130135416</v>
      </c>
      <c r="M238" s="55">
        <v>19.143366055216202</v>
      </c>
      <c r="N238" s="55">
        <v>174.017888476292</v>
      </c>
      <c r="O238" s="55">
        <v>3.4168751958292498</v>
      </c>
      <c r="P238" s="12">
        <f t="shared" si="74"/>
        <v>103.22773686526421</v>
      </c>
      <c r="Q238" s="12">
        <f t="shared" si="77"/>
        <v>100.30573148314591</v>
      </c>
      <c r="R238" s="12">
        <f t="shared" si="78"/>
        <v>98.517839139249418</v>
      </c>
      <c r="S238" s="12">
        <f t="shared" si="79"/>
        <v>98.219426885252247</v>
      </c>
      <c r="T238" s="55">
        <v>15.438806262679799</v>
      </c>
      <c r="U238" s="55">
        <v>14.211931165627901</v>
      </c>
      <c r="V238">
        <v>0.47855227882037499</v>
      </c>
      <c r="W238" s="12"/>
      <c r="X238" s="12"/>
      <c r="Y238" t="str">
        <v>20200313</v>
      </c>
      <c r="Z238">
        <v>34.6</v>
      </c>
      <c r="AA238">
        <v>32.700000000000003</v>
      </c>
      <c r="AB238">
        <f t="shared" si="80"/>
        <v>1.0581039755351682</v>
      </c>
      <c r="AY238" t="str">
        <v>25/09/2023</v>
      </c>
      <c r="AZ238">
        <v>42.3</v>
      </c>
      <c r="BA238">
        <v>23.9</v>
      </c>
      <c r="BB238">
        <f t="shared" si="81"/>
        <v>1.7698744769874477</v>
      </c>
    </row>
    <row r="239" spans="1:54" x14ac:dyDescent="0.3">
      <c r="A239" s="11">
        <v>45181</v>
      </c>
      <c r="B239">
        <v>0.54220779220779203</v>
      </c>
      <c r="C239">
        <v>4487.46</v>
      </c>
      <c r="D239">
        <v>93.69</v>
      </c>
      <c r="E239">
        <v>1922.31</v>
      </c>
      <c r="F239">
        <v>80.930000000000007</v>
      </c>
      <c r="G239">
        <v>48.53</v>
      </c>
      <c r="H239" s="12">
        <f t="shared" si="72"/>
        <v>164.27941140251693</v>
      </c>
      <c r="I239" s="12">
        <f t="shared" si="73"/>
        <v>88.133093398087908</v>
      </c>
      <c r="J239" s="12">
        <f t="shared" si="75"/>
        <v>159.20430889776469</v>
      </c>
      <c r="K239" s="12">
        <f t="shared" si="76"/>
        <v>147.08723485864186</v>
      </c>
      <c r="L239" s="55">
        <v>20.351276477271099</v>
      </c>
      <c r="M239" s="55">
        <v>18.497370770910599</v>
      </c>
      <c r="N239" s="55">
        <v>174.528324418772</v>
      </c>
      <c r="O239" s="55">
        <v>3.4384078448325601</v>
      </c>
      <c r="P239" s="12">
        <f t="shared" si="74"/>
        <v>102.88433674544633</v>
      </c>
      <c r="Q239" s="12">
        <f t="shared" si="77"/>
        <v>101.22287332127692</v>
      </c>
      <c r="R239" s="12">
        <f t="shared" si="78"/>
        <v>98.398455350313441</v>
      </c>
      <c r="S239" s="12">
        <f t="shared" si="79"/>
        <v>98.495477741704562</v>
      </c>
      <c r="T239" s="55">
        <v>15.0286711234051</v>
      </c>
      <c r="U239" s="55">
        <v>13.8062462670824</v>
      </c>
      <c r="V239">
        <v>0.479405806887238</v>
      </c>
      <c r="W239" s="12"/>
      <c r="X239" s="12"/>
      <c r="Y239" t="str">
        <v>20200306</v>
      </c>
      <c r="Z239">
        <v>36.200000000000003</v>
      </c>
      <c r="AA239">
        <v>22.9</v>
      </c>
      <c r="AB239">
        <f t="shared" si="80"/>
        <v>1.5807860262008735</v>
      </c>
      <c r="AY239" t="str">
        <v>22/09/2023</v>
      </c>
      <c r="AZ239">
        <v>43.7</v>
      </c>
      <c r="BA239">
        <v>23.9</v>
      </c>
      <c r="BB239">
        <f t="shared" si="81"/>
        <v>1.8284518828451886</v>
      </c>
    </row>
    <row r="240" spans="1:54" x14ac:dyDescent="0.3">
      <c r="A240" s="11">
        <v>45178</v>
      </c>
      <c r="B240">
        <v>0.54029850746268704</v>
      </c>
      <c r="C240">
        <v>4457.49</v>
      </c>
      <c r="D240">
        <v>94.37</v>
      </c>
      <c r="E240">
        <v>1919.16</v>
      </c>
      <c r="F240">
        <v>80.91</v>
      </c>
      <c r="G240">
        <v>48.02</v>
      </c>
      <c r="H240" s="12">
        <f t="shared" si="72"/>
        <v>162.02256753391137</v>
      </c>
      <c r="I240" s="12">
        <f t="shared" si="73"/>
        <v>87.687450716247071</v>
      </c>
      <c r="J240" s="12">
        <f t="shared" si="75"/>
        <v>158.17988431027192</v>
      </c>
      <c r="K240" s="12">
        <f t="shared" si="76"/>
        <v>147.66268519631404</v>
      </c>
      <c r="L240" s="55">
        <v>20.819496963351799</v>
      </c>
      <c r="M240" s="55">
        <v>18.862985025963301</v>
      </c>
      <c r="N240" s="55">
        <v>174.82068438532701</v>
      </c>
      <c r="O240" s="55">
        <v>3.4489194453976402</v>
      </c>
      <c r="P240" s="12">
        <f t="shared" si="74"/>
        <v>102.74301851514896</v>
      </c>
      <c r="Q240" s="12">
        <f t="shared" si="77"/>
        <v>99.450051391979798</v>
      </c>
      <c r="R240" s="12">
        <f t="shared" si="78"/>
        <v>97.522775753437529</v>
      </c>
      <c r="S240" s="12">
        <f t="shared" si="79"/>
        <v>97.484236080582917</v>
      </c>
      <c r="T240" s="55">
        <v>15.496953945073701</v>
      </c>
      <c r="U240" s="55">
        <v>14.2436632945303</v>
      </c>
      <c r="V240">
        <v>0.492894056847545</v>
      </c>
      <c r="W240" s="12"/>
      <c r="X240" s="12"/>
      <c r="Y240" t="str">
        <v>20200228</v>
      </c>
      <c r="Z240">
        <v>41.7</v>
      </c>
      <c r="AA240">
        <v>20.399999999999999</v>
      </c>
      <c r="AB240">
        <f t="shared" si="80"/>
        <v>2.0441176470588238</v>
      </c>
      <c r="AY240" t="str">
        <v>21/09/2023</v>
      </c>
      <c r="AZ240">
        <v>43.7</v>
      </c>
      <c r="BA240">
        <v>23.9</v>
      </c>
      <c r="BB240">
        <f t="shared" si="81"/>
        <v>1.8284518828451886</v>
      </c>
    </row>
    <row r="241" spans="1:54" x14ac:dyDescent="0.3">
      <c r="A241" s="11">
        <v>45177</v>
      </c>
      <c r="B241">
        <v>0.54054054054054101</v>
      </c>
      <c r="C241">
        <v>4451.1400000000003</v>
      </c>
      <c r="D241">
        <v>94.01</v>
      </c>
      <c r="E241">
        <v>1919.63</v>
      </c>
      <c r="F241">
        <v>80.95</v>
      </c>
      <c r="G241">
        <v>48.06</v>
      </c>
      <c r="H241" s="12">
        <f t="shared" si="72"/>
        <v>162.41280962665553</v>
      </c>
      <c r="I241" s="12">
        <f t="shared" si="73"/>
        <v>87.541130996704041</v>
      </c>
      <c r="J241" s="12">
        <f t="shared" si="75"/>
        <v>157.87664542649091</v>
      </c>
      <c r="K241" s="12">
        <f t="shared" si="76"/>
        <v>147.32988263890056</v>
      </c>
      <c r="L241" s="55">
        <v>21.082342028811802</v>
      </c>
      <c r="M241" s="55">
        <v>19.055116397901401</v>
      </c>
      <c r="N241" s="55">
        <v>174.81909099817099</v>
      </c>
      <c r="O241" s="55">
        <v>3.47622763697473</v>
      </c>
      <c r="P241" s="12">
        <f t="shared" si="74"/>
        <v>101.94126962992063</v>
      </c>
      <c r="Q241" s="12">
        <f t="shared" si="77"/>
        <v>99.915826283687437</v>
      </c>
      <c r="R241" s="12">
        <f t="shared" si="78"/>
        <v>97.580099584770636</v>
      </c>
      <c r="S241" s="12">
        <f t="shared" si="79"/>
        <v>97.517212577911494</v>
      </c>
      <c r="T241" s="55">
        <v>15.6817670587569</v>
      </c>
      <c r="U241" s="55">
        <v>14.3888135336849</v>
      </c>
      <c r="V241">
        <v>0.49935732647814901</v>
      </c>
      <c r="W241" s="12"/>
      <c r="X241" s="12"/>
      <c r="Y241" t="str">
        <v>20200221</v>
      </c>
      <c r="Z241">
        <v>49.1</v>
      </c>
      <c r="AA241">
        <v>19.2</v>
      </c>
      <c r="AB241">
        <f t="shared" si="80"/>
        <v>2.557291666666667</v>
      </c>
      <c r="AY241" t="str">
        <v>20/09/2023</v>
      </c>
      <c r="AZ241">
        <v>43.7</v>
      </c>
      <c r="BA241">
        <v>23.9</v>
      </c>
      <c r="BB241">
        <f t="shared" si="81"/>
        <v>1.8284518828451886</v>
      </c>
    </row>
    <row r="242" spans="1:54" x14ac:dyDescent="0.3">
      <c r="A242" s="11">
        <v>45176</v>
      </c>
      <c r="B242">
        <v>0.55142857142857105</v>
      </c>
      <c r="C242">
        <v>4465.4799999999996</v>
      </c>
      <c r="D242">
        <v>93.75</v>
      </c>
      <c r="E242">
        <v>1916.7</v>
      </c>
      <c r="F242">
        <v>80.8</v>
      </c>
      <c r="G242">
        <v>48.33</v>
      </c>
      <c r="H242" s="12">
        <f t="shared" si="72"/>
        <v>163.39064286343043</v>
      </c>
      <c r="I242" s="12">
        <f t="shared" si="73"/>
        <v>87.958049510832367</v>
      </c>
      <c r="J242" s="12">
        <f t="shared" si="75"/>
        <v>158.68079790683322</v>
      </c>
      <c r="K242" s="12">
        <f t="shared" si="76"/>
        <v>146.98076052216354</v>
      </c>
      <c r="L242" s="55">
        <v>20.694860910859202</v>
      </c>
      <c r="M242" s="55">
        <v>18.697487869434301</v>
      </c>
      <c r="N242" s="55">
        <v>174.68987047605901</v>
      </c>
      <c r="O242" s="55">
        <v>3.46289720444135</v>
      </c>
      <c r="P242" s="12">
        <f t="shared" si="74"/>
        <v>102.25927438969318</v>
      </c>
      <c r="Q242" s="12">
        <f t="shared" si="77"/>
        <v>100.75815697069939</v>
      </c>
      <c r="R242" s="12">
        <f t="shared" si="78"/>
        <v>98.279383070352523</v>
      </c>
      <c r="S242" s="12">
        <f t="shared" si="79"/>
        <v>98.248478738665497</v>
      </c>
      <c r="T242" s="55">
        <v>15.524617897335499</v>
      </c>
      <c r="U242" s="55">
        <v>14.239810974299701</v>
      </c>
      <c r="V242">
        <v>0.498094027954257</v>
      </c>
      <c r="W242" s="12"/>
      <c r="X242" s="12"/>
      <c r="Y242" t="str">
        <v>20200214</v>
      </c>
      <c r="Z242">
        <v>54.7</v>
      </c>
      <c r="AA242">
        <v>18.899999999999999</v>
      </c>
      <c r="AB242">
        <f t="shared" si="80"/>
        <v>2.8941798941798944</v>
      </c>
      <c r="AY242" t="str">
        <v>19/09/2023</v>
      </c>
      <c r="AZ242">
        <v>43.7</v>
      </c>
      <c r="BA242">
        <v>23.9</v>
      </c>
      <c r="BB242">
        <f t="shared" si="81"/>
        <v>1.8284518828451886</v>
      </c>
    </row>
    <row r="243" spans="1:54" x14ac:dyDescent="0.3">
      <c r="A243" s="11">
        <v>45175</v>
      </c>
      <c r="B243">
        <v>0.55747126436781602</v>
      </c>
      <c r="C243">
        <v>4496.83</v>
      </c>
      <c r="D243">
        <v>93.52</v>
      </c>
      <c r="E243">
        <v>1926.01</v>
      </c>
      <c r="F243">
        <v>80.89</v>
      </c>
      <c r="G243">
        <v>48.53</v>
      </c>
      <c r="H243" s="12">
        <f t="shared" si="72"/>
        <v>164.94624175385673</v>
      </c>
      <c r="I243" s="12">
        <f t="shared" si="73"/>
        <v>88.146484685751304</v>
      </c>
      <c r="J243" s="12">
        <f t="shared" si="75"/>
        <v>159.61598086397933</v>
      </c>
      <c r="K243" s="12">
        <f t="shared" si="76"/>
        <v>147.4009143862383</v>
      </c>
      <c r="L243" s="55">
        <v>20.503691706508299</v>
      </c>
      <c r="M243" s="55">
        <v>18.54336537032</v>
      </c>
      <c r="N243" s="55">
        <v>174.46265996405</v>
      </c>
      <c r="O243" s="55">
        <v>3.45760195631141</v>
      </c>
      <c r="P243" s="12">
        <f t="shared" si="74"/>
        <v>102.28271097098924</v>
      </c>
      <c r="Q243" s="12">
        <f t="shared" si="77"/>
        <v>101.4255910288234</v>
      </c>
      <c r="R243" s="12">
        <f t="shared" si="78"/>
        <v>98.209392646176553</v>
      </c>
      <c r="S243" s="12">
        <f t="shared" si="79"/>
        <v>98.544955186851197</v>
      </c>
      <c r="T243" s="55">
        <v>15.453727473141599</v>
      </c>
      <c r="U243" s="55">
        <v>14.195772160554901</v>
      </c>
      <c r="V243">
        <v>0.49260450160771702</v>
      </c>
      <c r="W243" s="12"/>
      <c r="X243" s="12"/>
      <c r="Y243" t="str">
        <v>20200207</v>
      </c>
      <c r="Z243">
        <v>52.9</v>
      </c>
      <c r="AA243">
        <v>19.2</v>
      </c>
      <c r="AB243">
        <f t="shared" si="80"/>
        <v>2.7552083333333335</v>
      </c>
      <c r="AY243" t="str">
        <v>18/09/2023</v>
      </c>
      <c r="AZ243">
        <v>43.7</v>
      </c>
      <c r="BA243">
        <v>23.9</v>
      </c>
      <c r="BB243">
        <f t="shared" si="81"/>
        <v>1.8284518828451886</v>
      </c>
    </row>
    <row r="244" spans="1:54" x14ac:dyDescent="0.3">
      <c r="A244" s="11">
        <v>45171</v>
      </c>
      <c r="B244">
        <v>0.56443298969072198</v>
      </c>
      <c r="C244">
        <v>4515.7700000000004</v>
      </c>
      <c r="D244">
        <v>94.85</v>
      </c>
      <c r="E244">
        <v>1939.85</v>
      </c>
      <c r="F244">
        <v>80.989999999999995</v>
      </c>
      <c r="G244">
        <v>48.93</v>
      </c>
      <c r="H244" s="12">
        <f t="shared" si="72"/>
        <v>163.34093526782965</v>
      </c>
      <c r="I244" s="12">
        <f t="shared" si="73"/>
        <v>87.88806024354389</v>
      </c>
      <c r="J244" s="12">
        <f t="shared" si="75"/>
        <v>160.08976175043523</v>
      </c>
      <c r="K244" s="12">
        <f t="shared" si="76"/>
        <v>146.81647423423149</v>
      </c>
      <c r="L244" s="55">
        <v>20.503136354675402</v>
      </c>
      <c r="M244" s="55">
        <v>18.594020261810499</v>
      </c>
      <c r="N244" s="55">
        <v>174.269737667773</v>
      </c>
      <c r="O244" s="55">
        <v>3.4582946887058199</v>
      </c>
      <c r="P244" s="12">
        <f t="shared" si="74"/>
        <v>102.14916696346789</v>
      </c>
      <c r="Q244" s="12">
        <f t="shared" si="77"/>
        <v>100.83598322826636</v>
      </c>
      <c r="R244" s="12">
        <f t="shared" si="78"/>
        <v>98.311673312798803</v>
      </c>
      <c r="S244" s="12">
        <f t="shared" si="79"/>
        <v>99.233658954892249</v>
      </c>
      <c r="T244" s="55">
        <v>15.4531823597728</v>
      </c>
      <c r="U244" s="55">
        <v>14.2335487633576</v>
      </c>
      <c r="V244">
        <v>0.48905565978736698</v>
      </c>
      <c r="W244" s="12"/>
      <c r="X244" s="12"/>
      <c r="Y244" t="str">
        <v>20200131</v>
      </c>
      <c r="Z244">
        <v>47.6</v>
      </c>
      <c r="AA244">
        <v>19.100000000000001</v>
      </c>
      <c r="AB244">
        <f t="shared" si="80"/>
        <v>2.4921465968586385</v>
      </c>
      <c r="AY244" t="str">
        <v>15/09/2023</v>
      </c>
      <c r="AZ244">
        <v>48.6</v>
      </c>
      <c r="BA244">
        <v>22.8</v>
      </c>
      <c r="BB244">
        <f t="shared" si="81"/>
        <v>2.1315789473684212</v>
      </c>
    </row>
    <row r="245" spans="1:54" x14ac:dyDescent="0.3">
      <c r="A245" s="11">
        <v>45169</v>
      </c>
      <c r="B245">
        <v>0.57908163265306101</v>
      </c>
      <c r="C245">
        <v>4507.66</v>
      </c>
      <c r="D245">
        <v>96.64</v>
      </c>
      <c r="E245">
        <v>1940.03</v>
      </c>
      <c r="F245">
        <v>81.239999999999995</v>
      </c>
      <c r="G245">
        <v>48.72</v>
      </c>
      <c r="H245" s="12">
        <f t="shared" si="72"/>
        <v>160.08771114156332</v>
      </c>
      <c r="I245" s="12">
        <f t="shared" si="73"/>
        <v>87.722095151692102</v>
      </c>
      <c r="J245" s="12">
        <f t="shared" si="75"/>
        <v>159.31287863538716</v>
      </c>
      <c r="K245" s="12">
        <f t="shared" si="76"/>
        <v>147.18608575072113</v>
      </c>
      <c r="L245" s="55">
        <v>20.328714497160501</v>
      </c>
      <c r="M245" s="55">
        <v>18.518369847916599</v>
      </c>
      <c r="N245" s="55">
        <v>173.99901490286899</v>
      </c>
      <c r="O245" s="55">
        <v>3.4478405485133599</v>
      </c>
      <c r="P245" s="12">
        <f t="shared" si="74"/>
        <v>102.30018215077979</v>
      </c>
      <c r="Q245" s="12">
        <f t="shared" si="77"/>
        <v>98.585021421642793</v>
      </c>
      <c r="R245" s="12">
        <f t="shared" si="78"/>
        <v>97.880692204163054</v>
      </c>
      <c r="S245" s="12">
        <f t="shared" si="79"/>
        <v>98.505931936877772</v>
      </c>
      <c r="T245" s="55">
        <v>15.321537037799899</v>
      </c>
      <c r="U245" s="55">
        <v>14.1712111732332</v>
      </c>
      <c r="V245">
        <v>0.488415779586725</v>
      </c>
      <c r="W245" s="12"/>
      <c r="X245" s="12"/>
      <c r="Y245" t="str">
        <v>20200124</v>
      </c>
      <c r="Z245">
        <v>52.8</v>
      </c>
      <c r="AA245">
        <v>18.899999999999999</v>
      </c>
      <c r="AB245">
        <f t="shared" si="80"/>
        <v>2.7936507936507935</v>
      </c>
      <c r="AY245" t="str">
        <v>14/09/2023</v>
      </c>
      <c r="AZ245">
        <v>48.6</v>
      </c>
      <c r="BA245">
        <v>22.8</v>
      </c>
      <c r="BB245">
        <f t="shared" si="81"/>
        <v>2.1315789473684212</v>
      </c>
    </row>
    <row r="246" spans="1:54" x14ac:dyDescent="0.3">
      <c r="A246" s="11">
        <v>45169</v>
      </c>
      <c r="B246">
        <v>0.58897243107769404</v>
      </c>
      <c r="C246">
        <v>4514.87</v>
      </c>
      <c r="D246">
        <v>96.21</v>
      </c>
      <c r="E246">
        <v>1942.32</v>
      </c>
      <c r="F246">
        <v>81.16</v>
      </c>
      <c r="G246">
        <v>49.07</v>
      </c>
      <c r="H246" s="12">
        <f t="shared" si="72"/>
        <v>161.0647840917452</v>
      </c>
      <c r="I246" s="12">
        <f t="shared" si="73"/>
        <v>87.758773296971839</v>
      </c>
      <c r="J246" s="12">
        <f t="shared" si="75"/>
        <v>159.72539381512416</v>
      </c>
      <c r="K246" s="12">
        <f t="shared" si="76"/>
        <v>146.37579000936583</v>
      </c>
      <c r="L246" s="55">
        <v>19.946504512999699</v>
      </c>
      <c r="M246" s="55">
        <v>18.2242716003867</v>
      </c>
      <c r="N246" s="55">
        <v>173.96220939863099</v>
      </c>
      <c r="O246" s="55">
        <v>3.5136434622894499</v>
      </c>
      <c r="P246" s="12">
        <f t="shared" si="74"/>
        <v>100.39869110085635</v>
      </c>
      <c r="Q246" s="12">
        <f t="shared" si="77"/>
        <v>99.742236585083219</v>
      </c>
      <c r="R246" s="12">
        <f t="shared" si="78"/>
        <v>98.466931345444763</v>
      </c>
      <c r="S246" s="12">
        <f t="shared" si="79"/>
        <v>99.312185487089721</v>
      </c>
      <c r="T246" s="55">
        <v>15.093581642880199</v>
      </c>
      <c r="U246" s="55">
        <v>14.0184670985601</v>
      </c>
      <c r="V246">
        <v>0.49564134495641299</v>
      </c>
      <c r="W246" s="12"/>
      <c r="X246" s="12"/>
      <c r="Y246" t="str">
        <v>20200117</v>
      </c>
      <c r="Z246">
        <v>59.4</v>
      </c>
      <c r="AA246">
        <v>17.899999999999999</v>
      </c>
      <c r="AB246">
        <f t="shared" si="80"/>
        <v>3.3184357541899443</v>
      </c>
      <c r="AY246" t="str">
        <v>13/09/2023</v>
      </c>
      <c r="AZ246">
        <v>48.6</v>
      </c>
      <c r="BA246">
        <v>22.8</v>
      </c>
      <c r="BB246">
        <f t="shared" si="81"/>
        <v>2.1315789473684212</v>
      </c>
    </row>
    <row r="247" spans="1:54" x14ac:dyDescent="0.3">
      <c r="A247" s="11">
        <v>45168</v>
      </c>
      <c r="B247">
        <v>0.59287531806615801</v>
      </c>
      <c r="C247">
        <v>4497.63</v>
      </c>
      <c r="D247">
        <v>96.31</v>
      </c>
      <c r="E247">
        <v>1937.51</v>
      </c>
      <c r="F247">
        <v>81.16</v>
      </c>
      <c r="G247">
        <v>49.12</v>
      </c>
      <c r="H247" s="12">
        <f t="shared" si="72"/>
        <v>160.28396976164245</v>
      </c>
      <c r="I247" s="12">
        <f t="shared" si="73"/>
        <v>87.640409484915679</v>
      </c>
      <c r="J247" s="12">
        <f t="shared" si="75"/>
        <v>159.11548349890847</v>
      </c>
      <c r="K247" s="12">
        <f t="shared" si="76"/>
        <v>145.66914241493058</v>
      </c>
      <c r="L247" s="55">
        <v>19.779664107636201</v>
      </c>
      <c r="M247" s="55">
        <v>18.128284058536799</v>
      </c>
      <c r="N247" s="55">
        <v>173.652628730511</v>
      </c>
      <c r="O247" s="55">
        <v>3.5005196627480499</v>
      </c>
      <c r="P247" s="12">
        <f t="shared" si="74"/>
        <v>100.59649822509645</v>
      </c>
      <c r="Q247" s="12">
        <f t="shared" si="77"/>
        <v>99.740202037666123</v>
      </c>
      <c r="R247" s="12">
        <f t="shared" si="78"/>
        <v>98.812823969901004</v>
      </c>
      <c r="S247" s="12">
        <f t="shared" si="79"/>
        <v>99.413379888441952</v>
      </c>
      <c r="T247" s="55">
        <v>14.8168343064868</v>
      </c>
      <c r="U247" s="55">
        <v>13.8010815747209</v>
      </c>
      <c r="V247">
        <v>0.49779179810725599</v>
      </c>
      <c r="W247" s="12"/>
      <c r="X247" s="12"/>
      <c r="Y247" t="str">
        <v>20200110</v>
      </c>
      <c r="Z247">
        <v>57</v>
      </c>
      <c r="AA247">
        <v>17.8</v>
      </c>
      <c r="AB247">
        <f t="shared" si="80"/>
        <v>3.202247191011236</v>
      </c>
      <c r="AY247" t="str">
        <v>12/09/2023</v>
      </c>
      <c r="AZ247">
        <v>48.6</v>
      </c>
      <c r="BA247">
        <v>22.8</v>
      </c>
      <c r="BB247">
        <f t="shared" si="81"/>
        <v>2.1315789473684212</v>
      </c>
    </row>
    <row r="248" spans="1:54" x14ac:dyDescent="0.3">
      <c r="A248" s="11">
        <v>45167</v>
      </c>
      <c r="B248">
        <v>0.58928571428571397</v>
      </c>
      <c r="C248">
        <v>4433.3100000000004</v>
      </c>
      <c r="D248">
        <v>95.32</v>
      </c>
      <c r="E248">
        <v>1920.17</v>
      </c>
      <c r="F248">
        <v>80.98</v>
      </c>
      <c r="G248">
        <v>48.48</v>
      </c>
      <c r="H248" s="12">
        <f t="shared" si="72"/>
        <v>159.62594706344791</v>
      </c>
      <c r="I248" s="12">
        <f t="shared" si="73"/>
        <v>87.162939912067742</v>
      </c>
      <c r="J248" s="12">
        <f t="shared" si="75"/>
        <v>157.18438282060856</v>
      </c>
      <c r="K248" s="12">
        <f t="shared" si="76"/>
        <v>145.47899745123669</v>
      </c>
      <c r="L248" s="55">
        <v>19.7236944049302</v>
      </c>
      <c r="M248" s="55">
        <v>18.153252683102501</v>
      </c>
      <c r="N248" s="55">
        <v>173.17163452931001</v>
      </c>
      <c r="O248" s="55">
        <v>3.4853799021044298</v>
      </c>
      <c r="P248" s="12">
        <f t="shared" si="74"/>
        <v>100.75430293791325</v>
      </c>
      <c r="Q248" s="12">
        <f t="shared" si="77"/>
        <v>99.460196505566941</v>
      </c>
      <c r="R248" s="12">
        <f t="shared" si="78"/>
        <v>98.402400379441659</v>
      </c>
      <c r="S248" s="12">
        <f t="shared" si="79"/>
        <v>98.333817249793867</v>
      </c>
      <c r="T248" s="55">
        <v>14.7375587784349</v>
      </c>
      <c r="U248" s="55">
        <v>13.762147020477199</v>
      </c>
      <c r="V248">
        <v>0.50063613231552195</v>
      </c>
      <c r="W248" s="12"/>
      <c r="X248" s="12"/>
      <c r="Y248" t="str">
        <v>20200103</v>
      </c>
      <c r="Z248">
        <v>55.1</v>
      </c>
      <c r="AA248">
        <v>17.8</v>
      </c>
      <c r="AB248">
        <f t="shared" si="80"/>
        <v>3.095505617977528</v>
      </c>
      <c r="AY248" t="str">
        <v>11/09/2023</v>
      </c>
      <c r="AZ248">
        <v>48.6</v>
      </c>
      <c r="BA248">
        <v>22.8</v>
      </c>
      <c r="BB248">
        <f t="shared" si="81"/>
        <v>2.1315789473684212</v>
      </c>
    </row>
    <row r="249" spans="1:54" x14ac:dyDescent="0.3">
      <c r="A249" s="11">
        <v>45164</v>
      </c>
      <c r="B249">
        <v>0.60997732426303897</v>
      </c>
      <c r="C249">
        <v>4405.71</v>
      </c>
      <c r="D249">
        <v>95.22</v>
      </c>
      <c r="E249">
        <v>1914.23</v>
      </c>
      <c r="F249">
        <v>80.930000000000007</v>
      </c>
      <c r="G249">
        <v>47.98</v>
      </c>
      <c r="H249" s="12">
        <f t="shared" si="72"/>
        <v>158.79791155172441</v>
      </c>
      <c r="I249" s="12">
        <f t="shared" si="73"/>
        <v>86.888240814536857</v>
      </c>
      <c r="J249" s="12">
        <f t="shared" si="75"/>
        <v>156.30178110126965</v>
      </c>
      <c r="K249" s="12">
        <f t="shared" si="76"/>
        <v>146.08619173766104</v>
      </c>
      <c r="L249" s="55">
        <v>19.500796834433299</v>
      </c>
      <c r="M249" s="55">
        <v>17.9990520246836</v>
      </c>
      <c r="N249" s="55">
        <v>172.978611488403</v>
      </c>
      <c r="O249" s="55">
        <v>3.4982732300108901</v>
      </c>
      <c r="P249" s="12">
        <f t="shared" si="74"/>
        <v>100.27284244325841</v>
      </c>
      <c r="Q249" s="12">
        <f t="shared" si="77"/>
        <v>98.536826701820218</v>
      </c>
      <c r="R249" s="12">
        <f t="shared" si="78"/>
        <v>97.687529547559379</v>
      </c>
      <c r="S249" s="12">
        <f t="shared" si="79"/>
        <v>97.379190457381469</v>
      </c>
      <c r="T249" s="55">
        <v>14.6189197049962</v>
      </c>
      <c r="U249" s="55">
        <v>13.7011357817657</v>
      </c>
      <c r="V249">
        <v>0.50244498777506097</v>
      </c>
      <c r="W249" s="12"/>
      <c r="X249" s="12"/>
      <c r="Y249" t="str">
        <v>20191227</v>
      </c>
      <c r="Z249">
        <v>58.9</v>
      </c>
      <c r="AA249">
        <v>17.8</v>
      </c>
      <c r="AB249">
        <f t="shared" si="80"/>
        <v>3.3089887640449436</v>
      </c>
      <c r="AY249" t="str">
        <v>08/09/2023</v>
      </c>
      <c r="AZ249">
        <v>50.7</v>
      </c>
      <c r="BA249">
        <v>22.5</v>
      </c>
      <c r="BB249">
        <f t="shared" si="81"/>
        <v>2.2533333333333334</v>
      </c>
    </row>
    <row r="250" spans="1:54" x14ac:dyDescent="0.3">
      <c r="A250" s="11">
        <v>45163</v>
      </c>
      <c r="B250">
        <v>0.60088691796008897</v>
      </c>
      <c r="C250">
        <v>4376.3100000000004</v>
      </c>
      <c r="D250">
        <v>94.91</v>
      </c>
      <c r="E250">
        <v>1916.81</v>
      </c>
      <c r="F250">
        <v>80.98</v>
      </c>
      <c r="G250">
        <v>47.74</v>
      </c>
      <c r="H250" s="12">
        <f t="shared" si="72"/>
        <v>158.25166853818988</v>
      </c>
      <c r="I250" s="12">
        <f t="shared" si="73"/>
        <v>86.193181178539717</v>
      </c>
      <c r="J250" s="12">
        <f t="shared" si="75"/>
        <v>155.16359024612652</v>
      </c>
      <c r="K250" s="12">
        <f t="shared" si="76"/>
        <v>145.83961230351841</v>
      </c>
      <c r="L250" s="55">
        <v>19.5190305538421</v>
      </c>
      <c r="M250" s="55">
        <v>18.1138134715112</v>
      </c>
      <c r="N250" s="55">
        <v>172.467765608983</v>
      </c>
      <c r="O250" s="55">
        <v>3.5094155853670199</v>
      </c>
      <c r="P250" s="12">
        <f t="shared" si="74"/>
        <v>99.661224723009255</v>
      </c>
      <c r="Q250" s="12">
        <f t="shared" si="77"/>
        <v>98.363610489249368</v>
      </c>
      <c r="R250" s="12">
        <f t="shared" si="78"/>
        <v>97.068888444561978</v>
      </c>
      <c r="S250" s="12">
        <f t="shared" si="79"/>
        <v>96.832602637727902</v>
      </c>
      <c r="T250" s="55">
        <v>14.633998817287999</v>
      </c>
      <c r="U250" s="55">
        <v>13.744840895332199</v>
      </c>
      <c r="V250">
        <v>0.50891210817455401</v>
      </c>
      <c r="W250" s="12"/>
      <c r="X250" s="12"/>
      <c r="Y250" t="str">
        <v>20191220</v>
      </c>
      <c r="Z250" t="e">
        <v>#N/A</v>
      </c>
      <c r="AA250" t="e">
        <v>#N/A</v>
      </c>
      <c r="AB250" t="str">
        <f t="shared" si="80"/>
        <v/>
      </c>
      <c r="AY250" t="str">
        <v>07/09/2023</v>
      </c>
      <c r="AZ250">
        <v>50.7</v>
      </c>
      <c r="BA250">
        <v>22.5</v>
      </c>
      <c r="BB250">
        <f t="shared" si="81"/>
        <v>2.2533333333333334</v>
      </c>
    </row>
    <row r="251" spans="1:54" x14ac:dyDescent="0.3">
      <c r="A251" s="11">
        <v>45162</v>
      </c>
      <c r="B251">
        <v>0.60714285714285698</v>
      </c>
      <c r="C251">
        <v>4436.01</v>
      </c>
      <c r="D251">
        <v>95.54</v>
      </c>
      <c r="E251">
        <v>1915.51</v>
      </c>
      <c r="F251">
        <v>81.03</v>
      </c>
      <c r="G251">
        <v>48.25</v>
      </c>
      <c r="H251" s="12">
        <f t="shared" si="72"/>
        <v>159.34540636975635</v>
      </c>
      <c r="I251" s="12">
        <f t="shared" si="73"/>
        <v>87.429141636812076</v>
      </c>
      <c r="J251" s="12">
        <f t="shared" si="75"/>
        <v>157.1819613891804</v>
      </c>
      <c r="K251" s="12">
        <f t="shared" si="76"/>
        <v>146.26203047568433</v>
      </c>
      <c r="L251" s="55">
        <v>19.329541373998499</v>
      </c>
      <c r="M251" s="55">
        <v>17.9831907748943</v>
      </c>
      <c r="N251" s="55">
        <v>172.22416515393499</v>
      </c>
      <c r="O251" s="55">
        <v>3.5094922388548802</v>
      </c>
      <c r="P251" s="12">
        <f t="shared" si="74"/>
        <v>99.518288589675336</v>
      </c>
      <c r="Q251" s="12">
        <f t="shared" si="77"/>
        <v>98.756250673970285</v>
      </c>
      <c r="R251" s="12">
        <f t="shared" si="78"/>
        <v>98.173201345093929</v>
      </c>
      <c r="S251" s="12">
        <f t="shared" si="79"/>
        <v>97.806055824086044</v>
      </c>
      <c r="T251" s="55">
        <v>14.657169605181601</v>
      </c>
      <c r="U251" s="55">
        <v>13.7892701960411</v>
      </c>
      <c r="V251">
        <v>0.50802469135802497</v>
      </c>
      <c r="W251" s="12"/>
      <c r="X251" s="12"/>
      <c r="Y251" t="str">
        <v>20191213</v>
      </c>
      <c r="Z251">
        <v>57.7</v>
      </c>
      <c r="AA251">
        <v>17.3</v>
      </c>
      <c r="AB251">
        <f t="shared" si="80"/>
        <v>3.3352601156069364</v>
      </c>
      <c r="AY251" t="str">
        <v>06/09/2023</v>
      </c>
      <c r="AZ251">
        <v>50.7</v>
      </c>
      <c r="BA251">
        <v>22.5</v>
      </c>
      <c r="BB251">
        <f t="shared" si="81"/>
        <v>2.2533333333333334</v>
      </c>
    </row>
    <row r="252" spans="1:54" x14ac:dyDescent="0.3">
      <c r="A252" s="11">
        <v>45161</v>
      </c>
      <c r="B252">
        <v>0.61073825503355705</v>
      </c>
      <c r="C252">
        <v>4387.55</v>
      </c>
      <c r="D252">
        <v>93.23</v>
      </c>
      <c r="E252">
        <v>1897.45</v>
      </c>
      <c r="F252">
        <v>80.88</v>
      </c>
      <c r="G252">
        <v>47.69</v>
      </c>
      <c r="H252" s="12">
        <f t="shared" si="72"/>
        <v>161.5640923410559</v>
      </c>
      <c r="I252" s="12">
        <f t="shared" si="73"/>
        <v>87.295853874033313</v>
      </c>
      <c r="J252" s="12">
        <f t="shared" si="75"/>
        <v>155.75056865586467</v>
      </c>
      <c r="K252" s="12">
        <f t="shared" si="76"/>
        <v>146.3641363354204</v>
      </c>
      <c r="L252" s="55">
        <v>19.127345235593602</v>
      </c>
      <c r="M252" s="55">
        <v>17.853808853489799</v>
      </c>
      <c r="N252" s="55">
        <v>172.023961081984</v>
      </c>
      <c r="O252" s="55">
        <v>3.5345818564222</v>
      </c>
      <c r="P252" s="12">
        <f t="shared" si="74"/>
        <v>98.702792109409302</v>
      </c>
      <c r="Q252" s="12">
        <f t="shared" si="77"/>
        <v>100.06053256031502</v>
      </c>
      <c r="R252" s="12">
        <f t="shared" si="78"/>
        <v>97.955303074147153</v>
      </c>
      <c r="S252" s="12">
        <f t="shared" si="79"/>
        <v>96.848427841566163</v>
      </c>
      <c r="T252" s="55">
        <v>14.4396199126884</v>
      </c>
      <c r="U252" s="55">
        <v>13.590833634950201</v>
      </c>
      <c r="V252">
        <v>0.51305970149253699</v>
      </c>
      <c r="W252" s="12"/>
      <c r="X252" s="12"/>
      <c r="Y252" t="str">
        <v>20191206</v>
      </c>
      <c r="Z252">
        <v>53.3</v>
      </c>
      <c r="AA252">
        <v>17.2</v>
      </c>
      <c r="AB252">
        <f t="shared" si="80"/>
        <v>3.0988372093023258</v>
      </c>
      <c r="AY252" t="str">
        <v>05/09/2023</v>
      </c>
      <c r="AZ252">
        <v>50.7</v>
      </c>
      <c r="BA252">
        <v>22.5</v>
      </c>
      <c r="BB252">
        <f t="shared" si="81"/>
        <v>2.2533333333333334</v>
      </c>
    </row>
    <row r="253" spans="1:54" x14ac:dyDescent="0.3">
      <c r="A253" s="11">
        <v>45160</v>
      </c>
      <c r="B253">
        <v>0.609480812641084</v>
      </c>
      <c r="C253">
        <v>4399.7700000000004</v>
      </c>
      <c r="D253">
        <v>92.52</v>
      </c>
      <c r="E253">
        <v>1894.88</v>
      </c>
      <c r="F253">
        <v>80.92</v>
      </c>
      <c r="G253">
        <v>47.79</v>
      </c>
      <c r="H253" s="12">
        <f t="shared" si="72"/>
        <v>163.27050328570101</v>
      </c>
      <c r="I253" s="12">
        <f t="shared" si="73"/>
        <v>87.658206983309114</v>
      </c>
      <c r="J253" s="12">
        <f t="shared" si="75"/>
        <v>156.10697689089037</v>
      </c>
      <c r="K253" s="12">
        <f t="shared" si="76"/>
        <v>146.46445422560032</v>
      </c>
      <c r="L253" s="55">
        <v>18.862762916573399</v>
      </c>
      <c r="M253" s="55">
        <v>17.612886920028899</v>
      </c>
      <c r="N253" s="55">
        <v>171.883390642156</v>
      </c>
      <c r="O253" s="55">
        <v>3.5157297332870199</v>
      </c>
      <c r="P253" s="12">
        <f t="shared" si="74"/>
        <v>99.153384501508924</v>
      </c>
      <c r="Q253" s="12">
        <f t="shared" si="77"/>
        <v>101.04741255938931</v>
      </c>
      <c r="R253" s="12">
        <f t="shared" si="78"/>
        <v>98.294297930758191</v>
      </c>
      <c r="S253" s="12">
        <f t="shared" si="79"/>
        <v>97.003456106734873</v>
      </c>
      <c r="T253" s="55">
        <v>14.33413314545</v>
      </c>
      <c r="U253" s="55">
        <v>13.4836520584316</v>
      </c>
      <c r="V253">
        <v>0.51219512195121997</v>
      </c>
      <c r="W253" s="12"/>
      <c r="X253" s="12"/>
      <c r="Y253" t="str">
        <v>20191129</v>
      </c>
      <c r="Z253">
        <v>54.8</v>
      </c>
      <c r="AA253">
        <v>17.3</v>
      </c>
      <c r="AB253">
        <f t="shared" si="80"/>
        <v>3.1676300578034677</v>
      </c>
      <c r="AY253" t="str">
        <v>04/09/2023</v>
      </c>
      <c r="AZ253">
        <v>50.7</v>
      </c>
      <c r="BA253">
        <v>22.5</v>
      </c>
      <c r="BB253">
        <f t="shared" si="81"/>
        <v>2.2533333333333334</v>
      </c>
    </row>
    <row r="254" spans="1:54" x14ac:dyDescent="0.3">
      <c r="A254" s="11">
        <v>45157</v>
      </c>
      <c r="B254">
        <v>0.61269146608315095</v>
      </c>
      <c r="C254">
        <v>4369.71</v>
      </c>
      <c r="D254">
        <v>93.77</v>
      </c>
      <c r="E254">
        <v>1889.4</v>
      </c>
      <c r="F254">
        <v>81.010000000000005</v>
      </c>
      <c r="G254">
        <v>47.62</v>
      </c>
      <c r="H254" s="12">
        <f t="shared" si="72"/>
        <v>160.03622486629638</v>
      </c>
      <c r="I254" s="12">
        <f t="shared" si="73"/>
        <v>87.310816158254767</v>
      </c>
      <c r="J254" s="12">
        <f t="shared" si="75"/>
        <v>154.86954614133924</v>
      </c>
      <c r="K254" s="12">
        <f t="shared" si="76"/>
        <v>145.98136590916613</v>
      </c>
      <c r="L254" s="55">
        <v>18.651632203645899</v>
      </c>
      <c r="M254" s="55">
        <v>17.3948984673229</v>
      </c>
      <c r="N254" s="55">
        <v>171.98475298068999</v>
      </c>
      <c r="O254" s="55">
        <v>3.5185427315591</v>
      </c>
      <c r="P254" s="12">
        <f t="shared" si="74"/>
        <v>99.132555755141539</v>
      </c>
      <c r="Q254" s="12">
        <f t="shared" si="77"/>
        <v>99.368050952802747</v>
      </c>
      <c r="R254" s="12">
        <f t="shared" si="78"/>
        <v>98.228530300894576</v>
      </c>
      <c r="S254" s="12">
        <f t="shared" si="79"/>
        <v>96.551507906660305</v>
      </c>
      <c r="T254" s="55">
        <v>14.1508596214201</v>
      </c>
      <c r="U254" s="55">
        <v>13.311836549738</v>
      </c>
      <c r="V254">
        <v>0.50494437577255902</v>
      </c>
      <c r="W254" s="12"/>
      <c r="X254" s="12"/>
      <c r="Y254" t="str">
        <v>20191122</v>
      </c>
      <c r="Z254">
        <v>58.1</v>
      </c>
      <c r="AA254">
        <v>17.100000000000001</v>
      </c>
      <c r="AB254">
        <f t="shared" si="80"/>
        <v>3.39766081871345</v>
      </c>
      <c r="AY254" t="str">
        <v>01/09/2023</v>
      </c>
      <c r="AZ254">
        <v>49.3</v>
      </c>
      <c r="BA254">
        <v>21.9</v>
      </c>
      <c r="BB254">
        <f t="shared" si="81"/>
        <v>2.2511415525114153</v>
      </c>
    </row>
    <row r="255" spans="1:54" x14ac:dyDescent="0.3">
      <c r="A255" s="11">
        <v>45156</v>
      </c>
      <c r="B255">
        <v>0.60917030567685604</v>
      </c>
      <c r="C255">
        <v>4370.3599999999997</v>
      </c>
      <c r="D255">
        <v>93.44</v>
      </c>
      <c r="E255">
        <v>1889.49</v>
      </c>
      <c r="F255">
        <v>80.98</v>
      </c>
      <c r="G255">
        <v>47.74</v>
      </c>
      <c r="H255" s="12">
        <f t="shared" si="72"/>
        <v>160.62739911031662</v>
      </c>
      <c r="I255" s="12">
        <f t="shared" si="73"/>
        <v>87.319643935507656</v>
      </c>
      <c r="J255" s="12">
        <f t="shared" si="75"/>
        <v>154.94999478546191</v>
      </c>
      <c r="K255" s="12">
        <f t="shared" si="76"/>
        <v>145.63695108599768</v>
      </c>
      <c r="L255" s="55">
        <v>18.5297400727721</v>
      </c>
      <c r="M255" s="55">
        <v>17.2950409179155</v>
      </c>
      <c r="N255" s="55">
        <v>172.086619556366</v>
      </c>
      <c r="O255" s="55">
        <v>3.5090741633362601</v>
      </c>
      <c r="P255" s="12">
        <f t="shared" si="74"/>
        <v>99.459804265942395</v>
      </c>
      <c r="Q255" s="12">
        <f t="shared" si="77"/>
        <v>99.972413534425044</v>
      </c>
      <c r="R255" s="12">
        <f t="shared" si="78"/>
        <v>98.471359049124558</v>
      </c>
      <c r="S255" s="12">
        <f t="shared" si="79"/>
        <v>96.830775343827085</v>
      </c>
      <c r="T255" s="55">
        <v>14.0424331268259</v>
      </c>
      <c r="U255" s="55">
        <v>13.2286146493446</v>
      </c>
      <c r="V255">
        <v>0.50339715873996305</v>
      </c>
      <c r="W255" s="12"/>
      <c r="X255" s="12"/>
      <c r="Y255" t="str">
        <v>20191115</v>
      </c>
      <c r="Z255">
        <v>57.2</v>
      </c>
      <c r="AA255">
        <v>17.100000000000001</v>
      </c>
      <c r="AB255">
        <f t="shared" si="80"/>
        <v>3.3450292397660819</v>
      </c>
      <c r="AY255" t="str">
        <v>31/08/2023</v>
      </c>
      <c r="AZ255">
        <v>49.3</v>
      </c>
      <c r="BA255">
        <v>21.9</v>
      </c>
      <c r="BB255">
        <f t="shared" si="81"/>
        <v>2.2511415525114153</v>
      </c>
    </row>
    <row r="256" spans="1:54" x14ac:dyDescent="0.3">
      <c r="A256" s="11">
        <v>45155</v>
      </c>
      <c r="B256">
        <v>0.60745614035087703</v>
      </c>
      <c r="C256">
        <v>4404.33</v>
      </c>
      <c r="D256">
        <v>93.84</v>
      </c>
      <c r="E256">
        <v>1891.71</v>
      </c>
      <c r="F256">
        <v>80.89</v>
      </c>
      <c r="G256">
        <v>47.92</v>
      </c>
      <c r="H256" s="12">
        <f t="shared" si="72"/>
        <v>161.1835289948323</v>
      </c>
      <c r="I256" s="12">
        <f t="shared" si="73"/>
        <v>87.894413896702943</v>
      </c>
      <c r="J256" s="12">
        <f t="shared" si="75"/>
        <v>156.3296802627134</v>
      </c>
      <c r="K256" s="12">
        <f t="shared" si="76"/>
        <v>146.21546778362608</v>
      </c>
      <c r="L256" s="55">
        <v>18.385621675606</v>
      </c>
      <c r="M256" s="55">
        <v>17.168422011090598</v>
      </c>
      <c r="N256" s="55">
        <v>172.319026185647</v>
      </c>
      <c r="O256" s="55">
        <v>3.5110368191052399</v>
      </c>
      <c r="P256" s="12">
        <f t="shared" si="74"/>
        <v>99.538410116131757</v>
      </c>
      <c r="Q256" s="12">
        <f t="shared" si="77"/>
        <v>99.921821701104989</v>
      </c>
      <c r="R256" s="12">
        <f t="shared" si="78"/>
        <v>98.726341450445034</v>
      </c>
      <c r="S256" s="12">
        <f t="shared" si="79"/>
        <v>97.304539715725738</v>
      </c>
      <c r="T256" s="55">
        <v>13.8277648293454</v>
      </c>
      <c r="U256" s="55">
        <v>12.9914509233103</v>
      </c>
      <c r="V256">
        <v>0.50123762376237602</v>
      </c>
      <c r="W256" s="12"/>
      <c r="X256" s="12"/>
      <c r="Y256" t="str">
        <v>20191108</v>
      </c>
      <c r="Z256">
        <v>57.6</v>
      </c>
      <c r="AA256">
        <v>17.899999999999999</v>
      </c>
      <c r="AB256">
        <f t="shared" si="80"/>
        <v>3.2178770949720672</v>
      </c>
      <c r="AY256" t="str">
        <v>30/08/2023</v>
      </c>
      <c r="AZ256">
        <v>49.3</v>
      </c>
      <c r="BA256">
        <v>21.9</v>
      </c>
      <c r="BB256">
        <f t="shared" si="81"/>
        <v>2.2511415525114153</v>
      </c>
    </row>
    <row r="257" spans="1:54" x14ac:dyDescent="0.3">
      <c r="A257" s="11">
        <v>45154</v>
      </c>
      <c r="B257">
        <v>0.60831509846827103</v>
      </c>
      <c r="C257">
        <v>4437.8599999999997</v>
      </c>
      <c r="D257">
        <v>94.58</v>
      </c>
      <c r="E257">
        <v>1901.97</v>
      </c>
      <c r="F257">
        <v>80.930000000000007</v>
      </c>
      <c r="G257">
        <v>48.32</v>
      </c>
      <c r="H257" s="12">
        <f t="shared" si="72"/>
        <v>161.14024335846946</v>
      </c>
      <c r="I257" s="12">
        <f t="shared" si="73"/>
        <v>88.084768299398533</v>
      </c>
      <c r="J257" s="12">
        <f t="shared" si="75"/>
        <v>157.44140378631695</v>
      </c>
      <c r="K257" s="12">
        <f t="shared" si="76"/>
        <v>146.10987384087443</v>
      </c>
      <c r="L257" s="55">
        <v>18.351514622827999</v>
      </c>
      <c r="M257" s="55">
        <v>17.196170989820601</v>
      </c>
      <c r="N257" s="55">
        <v>172.62555063257599</v>
      </c>
      <c r="O257" s="55">
        <v>3.47249688367038</v>
      </c>
      <c r="P257" s="12">
        <f t="shared" si="74"/>
        <v>100.83660930355597</v>
      </c>
      <c r="Q257" s="12">
        <f t="shared" si="77"/>
        <v>99.9672149551416</v>
      </c>
      <c r="R257" s="12">
        <f t="shared" si="78"/>
        <v>99.011865813861974</v>
      </c>
      <c r="S257" s="12">
        <f t="shared" si="79"/>
        <v>98.067889517708821</v>
      </c>
      <c r="T257" s="55">
        <v>13.999568868075601</v>
      </c>
      <c r="U257" s="55">
        <v>13.229194854750199</v>
      </c>
      <c r="V257">
        <v>0.50062266500622699</v>
      </c>
      <c r="W257" s="12"/>
      <c r="X257" s="12"/>
      <c r="Y257" t="str">
        <v>20191101</v>
      </c>
      <c r="Z257">
        <v>57.1</v>
      </c>
      <c r="AA257">
        <v>18.100000000000001</v>
      </c>
      <c r="AB257">
        <f t="shared" si="80"/>
        <v>3.1546961325966851</v>
      </c>
      <c r="AY257" t="str">
        <v>29/08/2023</v>
      </c>
      <c r="AZ257">
        <v>49.3</v>
      </c>
      <c r="BA257">
        <v>21.9</v>
      </c>
      <c r="BB257">
        <f t="shared" si="81"/>
        <v>2.2511415525114153</v>
      </c>
    </row>
    <row r="258" spans="1:54" x14ac:dyDescent="0.3">
      <c r="A258" s="11">
        <v>45153</v>
      </c>
      <c r="B258">
        <v>0.60526315789473695</v>
      </c>
      <c r="C258">
        <v>4489.72</v>
      </c>
      <c r="D258">
        <v>95.16</v>
      </c>
      <c r="E258">
        <v>1907.23</v>
      </c>
      <c r="F258">
        <v>80.900000000000006</v>
      </c>
      <c r="G258">
        <v>48.95</v>
      </c>
      <c r="H258" s="12">
        <f t="shared" ref="H258:H321" si="82">H259*(1+((C258/C259)-(D258/D259)))</f>
        <v>162.02422057416263</v>
      </c>
      <c r="I258" s="12">
        <f t="shared" ref="I258:I321" si="83">I259*(1+((C258/C259)-(E258/E259)))</f>
        <v>88.866160025397747</v>
      </c>
      <c r="J258" s="12">
        <f t="shared" si="75"/>
        <v>159.34101314690434</v>
      </c>
      <c r="K258" s="12">
        <f t="shared" si="76"/>
        <v>145.91734406013475</v>
      </c>
      <c r="L258" s="55">
        <v>18.468305059275799</v>
      </c>
      <c r="M258" s="55">
        <v>17.4067022875048</v>
      </c>
      <c r="N258" s="55">
        <v>172.29940910411199</v>
      </c>
      <c r="O258" s="55">
        <v>3.48759145427027</v>
      </c>
      <c r="P258" s="12">
        <f t="shared" ref="P258:P260" si="84">P259*(1+((N258/N259)-(O258/O259)))</f>
        <v>100.21318752938481</v>
      </c>
      <c r="Q258" s="12">
        <f t="shared" si="77"/>
        <v>100.64914085415518</v>
      </c>
      <c r="R258" s="12">
        <f t="shared" si="78"/>
        <v>100.02333674061421</v>
      </c>
      <c r="S258" s="12">
        <f t="shared" si="79"/>
        <v>99.383841293670088</v>
      </c>
      <c r="T258" s="55">
        <v>14.057028586715001</v>
      </c>
      <c r="U258" s="55">
        <v>13.339296996781099</v>
      </c>
      <c r="V258">
        <v>0.506607929515419</v>
      </c>
      <c r="W258" s="12"/>
      <c r="X258" s="12"/>
      <c r="Y258" t="str">
        <v>20191025</v>
      </c>
      <c r="Z258">
        <v>54.2</v>
      </c>
      <c r="AA258">
        <v>17.8</v>
      </c>
      <c r="AB258">
        <f t="shared" si="80"/>
        <v>3.0449438202247192</v>
      </c>
      <c r="AY258" t="str">
        <v>28/08/2023</v>
      </c>
      <c r="AZ258">
        <v>49.3</v>
      </c>
      <c r="BA258">
        <v>21.9</v>
      </c>
      <c r="BB258">
        <f t="shared" si="81"/>
        <v>2.2511415525114153</v>
      </c>
    </row>
    <row r="259" spans="1:54" x14ac:dyDescent="0.3">
      <c r="A259" s="11">
        <v>45150</v>
      </c>
      <c r="B259">
        <v>0.60389610389610404</v>
      </c>
      <c r="C259">
        <v>4464.05</v>
      </c>
      <c r="D259">
        <v>95.37</v>
      </c>
      <c r="E259">
        <v>1913.67</v>
      </c>
      <c r="F259">
        <v>80.97</v>
      </c>
      <c r="G259">
        <v>49.17</v>
      </c>
      <c r="H259" s="12">
        <f t="shared" si="82"/>
        <v>160.74591537893929</v>
      </c>
      <c r="I259" s="12">
        <f t="shared" si="83"/>
        <v>88.06340527367766</v>
      </c>
      <c r="J259" s="12">
        <f t="shared" ref="J259:J322" si="85">J260*(1+((C259/C260)-(F259/F260)))</f>
        <v>158.29391451918349</v>
      </c>
      <c r="K259" s="12">
        <f t="shared" ref="K259:K322" si="86">K260*(1+((C259/C260)-(G259/G260)))</f>
        <v>144.44048966130353</v>
      </c>
      <c r="L259" s="55">
        <v>18.493150819353598</v>
      </c>
      <c r="M259" s="55">
        <v>17.500702760961602</v>
      </c>
      <c r="N259" s="55">
        <v>172.271418067356</v>
      </c>
      <c r="O259" s="55">
        <v>3.5077317422525698</v>
      </c>
      <c r="P259" s="12">
        <f t="shared" si="84"/>
        <v>99.624985039710054</v>
      </c>
      <c r="Q259" s="12">
        <f t="shared" ref="Q259:Q261" si="87">Q260*(1+((G259/G260)-(D259/D260)))</f>
        <v>100.87836905521969</v>
      </c>
      <c r="R259" s="12">
        <f t="shared" ref="R259:R261" si="88">R260*(1+((G259/G260)-(E259/E260)))</f>
        <v>100.13438691898479</v>
      </c>
      <c r="S259" s="12">
        <f t="shared" ref="S259:S261" si="89">S260*(1+((G259/G260)-(F259/F260)))</f>
        <v>99.743892328472526</v>
      </c>
      <c r="T259" s="55">
        <v>14.046563991103699</v>
      </c>
      <c r="U259" s="55">
        <v>13.3498098109898</v>
      </c>
      <c r="V259">
        <v>0.5</v>
      </c>
      <c r="W259" s="12"/>
      <c r="X259" s="12"/>
      <c r="Y259" t="str">
        <v>20191018</v>
      </c>
      <c r="Z259">
        <v>52.8</v>
      </c>
      <c r="AA259">
        <v>17.899999999999999</v>
      </c>
      <c r="AB259">
        <f t="shared" si="80"/>
        <v>2.9497206703910615</v>
      </c>
      <c r="AY259" t="str">
        <v>25/08/2023</v>
      </c>
      <c r="AZ259">
        <v>43.1</v>
      </c>
      <c r="BA259">
        <v>20.8</v>
      </c>
      <c r="BB259">
        <f t="shared" si="81"/>
        <v>2.0721153846153846</v>
      </c>
    </row>
    <row r="260" spans="1:54" x14ac:dyDescent="0.3">
      <c r="A260" s="11">
        <v>45149</v>
      </c>
      <c r="B260">
        <v>0.59694989106753804</v>
      </c>
      <c r="C260">
        <v>4468.83</v>
      </c>
      <c r="D260">
        <v>95.59</v>
      </c>
      <c r="E260">
        <v>1912.27</v>
      </c>
      <c r="F260">
        <v>81.05</v>
      </c>
      <c r="G260">
        <v>49.61</v>
      </c>
      <c r="H260" s="12">
        <f t="shared" si="82"/>
        <v>160.54814177897217</v>
      </c>
      <c r="I260" s="12">
        <f t="shared" si="83"/>
        <v>88.222359503198987</v>
      </c>
      <c r="J260" s="12">
        <f t="shared" si="85"/>
        <v>158.30698848658429</v>
      </c>
      <c r="K260" s="12">
        <f t="shared" si="86"/>
        <v>143.32263781089907</v>
      </c>
      <c r="L260" s="55">
        <v>18.356719575398898</v>
      </c>
      <c r="M260" s="55">
        <v>17.391688860943201</v>
      </c>
      <c r="N260" s="55">
        <v>171.70821565364</v>
      </c>
      <c r="O260" s="55">
        <v>3.4942428525585099</v>
      </c>
      <c r="P260" s="12">
        <f t="shared" si="84"/>
        <v>99.682833123631681</v>
      </c>
      <c r="Q260" s="12">
        <f t="shared" si="87"/>
        <v>101.54528637006419</v>
      </c>
      <c r="R260" s="12">
        <f t="shared" si="88"/>
        <v>101.10512694645097</v>
      </c>
      <c r="S260" s="12">
        <f t="shared" si="89"/>
        <v>100.5363332359064</v>
      </c>
      <c r="T260" s="55">
        <v>13.8714836766306</v>
      </c>
      <c r="U260" s="55">
        <v>13.138725985367</v>
      </c>
      <c r="V260">
        <v>0.49407361197754202</v>
      </c>
      <c r="W260" s="12"/>
      <c r="X260" s="12"/>
      <c r="Y260" t="str">
        <v>20191011</v>
      </c>
      <c r="Z260">
        <v>49.1</v>
      </c>
      <c r="AA260">
        <v>17</v>
      </c>
      <c r="AB260">
        <f t="shared" si="80"/>
        <v>2.888235294117647</v>
      </c>
      <c r="AY260" t="str">
        <v>24/08/2023</v>
      </c>
      <c r="AZ260">
        <v>43.1</v>
      </c>
      <c r="BA260">
        <v>20.8</v>
      </c>
      <c r="BB260">
        <f t="shared" si="81"/>
        <v>2.0721153846153846</v>
      </c>
    </row>
    <row r="261" spans="1:54" x14ac:dyDescent="0.3">
      <c r="A261" s="11">
        <v>45148</v>
      </c>
      <c r="B261">
        <v>0.59694989106753804</v>
      </c>
      <c r="C261">
        <v>4467.71</v>
      </c>
      <c r="D261">
        <v>97.19</v>
      </c>
      <c r="E261">
        <v>1914.26</v>
      </c>
      <c r="F261">
        <v>81.09</v>
      </c>
      <c r="G261">
        <v>49.44</v>
      </c>
      <c r="H261" s="12">
        <f t="shared" si="82"/>
        <v>157.90896398424715</v>
      </c>
      <c r="I261" s="12">
        <f t="shared" si="83"/>
        <v>88.108676937779478</v>
      </c>
      <c r="J261" s="12">
        <f t="shared" si="85"/>
        <v>158.18930090095068</v>
      </c>
      <c r="K261" s="12">
        <f t="shared" si="86"/>
        <v>143.7809862341127</v>
      </c>
      <c r="L261" s="55">
        <v>18.1178318850341</v>
      </c>
      <c r="M261" s="55">
        <v>17.1192250459249</v>
      </c>
      <c r="N261" s="55">
        <v>171.396591743431</v>
      </c>
      <c r="O261" s="55">
        <v>3.4853957757019298</v>
      </c>
      <c r="P261" s="12">
        <f>P262*(1+((N261/N262)-(O261/O262)))</f>
        <v>99.754674689323636</v>
      </c>
      <c r="Q261" s="12">
        <f t="shared" si="87"/>
        <v>99.563855101846841</v>
      </c>
      <c r="R261" s="12">
        <f t="shared" si="88"/>
        <v>100.65438878971698</v>
      </c>
      <c r="S261" s="12">
        <f t="shared" si="89"/>
        <v>100.14259354801366</v>
      </c>
      <c r="T261" s="55">
        <v>13.6762326714449</v>
      </c>
      <c r="U261" s="55">
        <v>12.891097683616101</v>
      </c>
      <c r="V261">
        <v>0.48578648136449798</v>
      </c>
      <c r="W261" s="12"/>
      <c r="X261" s="12"/>
      <c r="Y261" t="str">
        <v>20191004</v>
      </c>
      <c r="Z261">
        <v>47.6</v>
      </c>
      <c r="AA261">
        <v>17.2</v>
      </c>
      <c r="AB261">
        <f t="shared" si="80"/>
        <v>2.7674418604651163</v>
      </c>
      <c r="AY261" t="str">
        <v>23/08/2023</v>
      </c>
      <c r="AZ261">
        <v>43.1</v>
      </c>
      <c r="BA261">
        <v>20.8</v>
      </c>
      <c r="BB261">
        <f t="shared" si="81"/>
        <v>2.0721153846153846</v>
      </c>
    </row>
    <row r="262" spans="1:54" x14ac:dyDescent="0.3">
      <c r="A262" s="11">
        <v>45147</v>
      </c>
      <c r="B262">
        <v>0.59340659340659296</v>
      </c>
      <c r="C262">
        <v>4499.38</v>
      </c>
      <c r="D262">
        <v>96.69</v>
      </c>
      <c r="E262">
        <v>1925.3</v>
      </c>
      <c r="F262">
        <v>81.14</v>
      </c>
      <c r="G262">
        <v>49.4</v>
      </c>
      <c r="H262" s="12">
        <f t="shared" si="82"/>
        <v>159.86085109079147</v>
      </c>
      <c r="I262" s="12">
        <f t="shared" si="83"/>
        <v>88.223771575991819</v>
      </c>
      <c r="J262" s="12">
        <f t="shared" si="85"/>
        <v>159.21184353220465</v>
      </c>
      <c r="K262" s="12">
        <f t="shared" si="86"/>
        <v>144.91837288985926</v>
      </c>
      <c r="L262" s="55">
        <v>17.7830870664313</v>
      </c>
      <c r="M262" s="55">
        <v>16.6877309092574</v>
      </c>
      <c r="N262" s="55">
        <v>171.07562551479899</v>
      </c>
      <c r="O262" s="55">
        <v>3.4703710856961001</v>
      </c>
      <c r="P262">
        <v>100</v>
      </c>
      <c r="Q262">
        <v>100</v>
      </c>
      <c r="R262">
        <v>100</v>
      </c>
      <c r="S262">
        <v>100</v>
      </c>
      <c r="T262" s="55">
        <v>13.510836509687801</v>
      </c>
      <c r="U262" s="55">
        <v>12.6649550162354</v>
      </c>
      <c r="V262">
        <v>0.48426461143224098</v>
      </c>
      <c r="Y262" t="str">
        <v>20190927</v>
      </c>
      <c r="Z262">
        <v>55.3</v>
      </c>
      <c r="AA262">
        <v>17.100000000000001</v>
      </c>
      <c r="AB262">
        <f t="shared" si="80"/>
        <v>3.2339181286549703</v>
      </c>
      <c r="AY262" t="str">
        <v>22/08/2023</v>
      </c>
      <c r="AZ262">
        <v>43.1</v>
      </c>
      <c r="BA262">
        <v>20.8</v>
      </c>
      <c r="BB262">
        <f t="shared" si="81"/>
        <v>2.0721153846153846</v>
      </c>
    </row>
    <row r="263" spans="1:54" x14ac:dyDescent="0.3">
      <c r="A263" s="11">
        <v>45146</v>
      </c>
      <c r="B263">
        <v>0.58407079646017701</v>
      </c>
      <c r="C263">
        <v>4518.4399999999996</v>
      </c>
      <c r="D263">
        <v>95.58</v>
      </c>
      <c r="E263">
        <v>1936.6</v>
      </c>
      <c r="F263">
        <v>81.099999999999994</v>
      </c>
      <c r="G263">
        <v>49.79</v>
      </c>
      <c r="H263" s="12">
        <f t="shared" si="82"/>
        <v>162.43241253957802</v>
      </c>
      <c r="I263" s="12">
        <f t="shared" si="83"/>
        <v>88.081370558173347</v>
      </c>
      <c r="J263" s="12">
        <f t="shared" si="85"/>
        <v>159.96551919975428</v>
      </c>
      <c r="K263" s="12">
        <f t="shared" si="86"/>
        <v>144.39643347666546</v>
      </c>
      <c r="L263" s="55">
        <v>17.939234061184301</v>
      </c>
      <c r="M263" s="55">
        <v>16.963592680795301</v>
      </c>
      <c r="P263" s="12"/>
      <c r="Q263" s="12"/>
      <c r="R263" s="12"/>
      <c r="S263" s="12"/>
      <c r="T263" s="55">
        <v>13.456571905212</v>
      </c>
      <c r="U263" s="55">
        <v>12.5848979577127</v>
      </c>
      <c r="V263">
        <v>0.48100450740502299</v>
      </c>
      <c r="W263" s="12"/>
      <c r="X263" s="12"/>
      <c r="Y263" t="str">
        <v>20190920</v>
      </c>
      <c r="Z263">
        <v>55.1</v>
      </c>
      <c r="AA263">
        <v>16.8</v>
      </c>
      <c r="AB263">
        <f t="shared" si="80"/>
        <v>3.2797619047619047</v>
      </c>
      <c r="AY263" t="str">
        <v>21/08/2023</v>
      </c>
      <c r="AZ263">
        <v>43.1</v>
      </c>
      <c r="BA263">
        <v>20.8</v>
      </c>
      <c r="BB263">
        <f t="shared" si="81"/>
        <v>2.0721153846153846</v>
      </c>
    </row>
    <row r="264" spans="1:54" x14ac:dyDescent="0.3">
      <c r="A264" s="11">
        <v>45143</v>
      </c>
      <c r="B264">
        <v>0.57615894039735105</v>
      </c>
      <c r="C264">
        <v>4478.03</v>
      </c>
      <c r="D264">
        <v>96.53</v>
      </c>
      <c r="E264">
        <v>1942.87</v>
      </c>
      <c r="F264">
        <v>81.069999999999993</v>
      </c>
      <c r="G264">
        <v>49.53</v>
      </c>
      <c r="H264" s="12">
        <f t="shared" si="82"/>
        <v>159.42477527382701</v>
      </c>
      <c r="I264" s="12">
        <f t="shared" si="83"/>
        <v>87.015324758603057</v>
      </c>
      <c r="J264" s="12">
        <f t="shared" si="85"/>
        <v>158.59305382082783</v>
      </c>
      <c r="K264" s="12">
        <f t="shared" si="86"/>
        <v>143.85342798251511</v>
      </c>
      <c r="L264" s="55">
        <v>18.037705647732999</v>
      </c>
      <c r="M264" s="55">
        <v>17.166520096390101</v>
      </c>
      <c r="P264" s="12"/>
      <c r="Q264" s="12"/>
      <c r="R264" s="12"/>
      <c r="S264" s="12"/>
      <c r="T264" s="55">
        <v>13.5382538808562</v>
      </c>
      <c r="U264" s="55">
        <v>12.712646355212099</v>
      </c>
      <c r="V264">
        <v>0.46467218332272398</v>
      </c>
      <c r="W264" s="12"/>
      <c r="X264" s="12"/>
      <c r="Y264" t="str">
        <v>20190913</v>
      </c>
      <c r="Z264">
        <v>53.8</v>
      </c>
      <c r="AA264">
        <v>17</v>
      </c>
      <c r="AB264">
        <f t="shared" ref="AB264:AB327" si="90">IFERROR(Z264/AA264,"")</f>
        <v>3.164705882352941</v>
      </c>
      <c r="AY264" t="str">
        <v>18/08/2023</v>
      </c>
      <c r="AZ264">
        <v>44.3</v>
      </c>
      <c r="BA264">
        <v>18.600000000000001</v>
      </c>
      <c r="BB264">
        <f t="shared" ref="BB264:BB327" si="91">IFERROR(AZ264/BA264,"")</f>
        <v>2.3817204301075265</v>
      </c>
    </row>
    <row r="265" spans="1:54" x14ac:dyDescent="0.3">
      <c r="A265" s="11">
        <v>45142</v>
      </c>
      <c r="B265">
        <v>0.57461024498886404</v>
      </c>
      <c r="C265">
        <v>4501.8900000000003</v>
      </c>
      <c r="D265">
        <v>94.85</v>
      </c>
      <c r="E265">
        <v>1934.06</v>
      </c>
      <c r="F265">
        <v>80.91</v>
      </c>
      <c r="G265">
        <v>49.45</v>
      </c>
      <c r="H265" s="12">
        <f t="shared" si="82"/>
        <v>163.17989940545968</v>
      </c>
      <c r="I265" s="12">
        <f t="shared" si="83"/>
        <v>87.88141194953721</v>
      </c>
      <c r="J265" s="12">
        <f t="shared" si="85"/>
        <v>159.75567608817241</v>
      </c>
      <c r="K265" s="12">
        <f t="shared" si="86"/>
        <v>144.855508255362</v>
      </c>
      <c r="L265" s="55">
        <v>18.026691500232001</v>
      </c>
      <c r="M265" s="55">
        <v>17.206365292172901</v>
      </c>
      <c r="P265" s="12"/>
      <c r="Q265" s="12"/>
      <c r="R265" s="12"/>
      <c r="S265" s="12"/>
      <c r="T265" s="55">
        <v>13.651083030138601</v>
      </c>
      <c r="U265" s="55">
        <v>12.907097608753901</v>
      </c>
      <c r="V265">
        <v>0.46410256410256401</v>
      </c>
      <c r="W265" s="12"/>
      <c r="X265" s="12"/>
      <c r="Y265" t="str">
        <v>20190906</v>
      </c>
      <c r="Z265">
        <v>50</v>
      </c>
      <c r="AA265">
        <v>17.899999999999999</v>
      </c>
      <c r="AB265">
        <f t="shared" si="90"/>
        <v>2.7932960893854752</v>
      </c>
      <c r="AY265" t="str">
        <v>17/08/2023</v>
      </c>
      <c r="AZ265">
        <v>44.3</v>
      </c>
      <c r="BA265">
        <v>18.600000000000001</v>
      </c>
      <c r="BB265">
        <f t="shared" si="91"/>
        <v>2.3817204301075265</v>
      </c>
    </row>
    <row r="266" spans="1:54" x14ac:dyDescent="0.3">
      <c r="A266" s="11">
        <v>45141</v>
      </c>
      <c r="B266">
        <v>0.55981941309255101</v>
      </c>
      <c r="C266">
        <v>4513.3900000000003</v>
      </c>
      <c r="D266">
        <v>97.09</v>
      </c>
      <c r="E266">
        <v>1934.5</v>
      </c>
      <c r="F266">
        <v>80.88</v>
      </c>
      <c r="G266">
        <v>49.49</v>
      </c>
      <c r="H266" s="12">
        <f t="shared" si="82"/>
        <v>159.89824329451653</v>
      </c>
      <c r="I266" s="12">
        <f t="shared" si="83"/>
        <v>88.085817287561838</v>
      </c>
      <c r="J266" s="12">
        <f t="shared" si="85"/>
        <v>160.22335103394681</v>
      </c>
      <c r="K266" s="12">
        <f t="shared" si="86"/>
        <v>145.10795689623922</v>
      </c>
      <c r="L266" s="55">
        <v>18.340862173660799</v>
      </c>
      <c r="M266" s="55">
        <v>17.773456742635599</v>
      </c>
      <c r="P266" s="12"/>
      <c r="Q266" s="12"/>
      <c r="R266" s="12"/>
      <c r="S266" s="12"/>
      <c r="T266" s="55">
        <v>13.864071929895699</v>
      </c>
      <c r="U266" s="55">
        <v>13.282799012737501</v>
      </c>
      <c r="V266">
        <v>0.45231958762886598</v>
      </c>
      <c r="W266" s="12"/>
      <c r="X266" s="12"/>
      <c r="Y266" t="str">
        <v>20190830</v>
      </c>
      <c r="Z266">
        <v>44.9</v>
      </c>
      <c r="AA266">
        <v>18.7</v>
      </c>
      <c r="AB266">
        <f t="shared" si="90"/>
        <v>2.4010695187165774</v>
      </c>
      <c r="AY266" t="str">
        <v>16/08/2023</v>
      </c>
      <c r="AZ266">
        <v>44.3</v>
      </c>
      <c r="BA266">
        <v>18.600000000000001</v>
      </c>
      <c r="BB266">
        <f t="shared" si="91"/>
        <v>2.3817204301075265</v>
      </c>
    </row>
    <row r="267" spans="1:54" x14ac:dyDescent="0.3">
      <c r="A267" s="11">
        <v>45140</v>
      </c>
      <c r="B267">
        <v>0.54214123006833703</v>
      </c>
      <c r="C267">
        <v>4576.7299999999996</v>
      </c>
      <c r="D267">
        <v>98.14</v>
      </c>
      <c r="E267">
        <v>1944.36</v>
      </c>
      <c r="F267">
        <v>80.84</v>
      </c>
      <c r="G267">
        <v>50.52</v>
      </c>
      <c r="H267" s="12">
        <f t="shared" si="82"/>
        <v>160.40199763637364</v>
      </c>
      <c r="I267" s="12">
        <f t="shared" si="83"/>
        <v>88.8650301305195</v>
      </c>
      <c r="J267" s="12">
        <f t="shared" si="85"/>
        <v>162.55345400908141</v>
      </c>
      <c r="K267" s="12">
        <f t="shared" si="86"/>
        <v>144.1639153911033</v>
      </c>
      <c r="L267" s="55">
        <v>18.131079249974199</v>
      </c>
      <c r="M267" s="55">
        <v>17.490591159932499</v>
      </c>
      <c r="P267" s="12"/>
      <c r="Q267" s="12"/>
      <c r="R267" s="12"/>
      <c r="S267" s="12"/>
      <c r="T267" s="55">
        <v>13.811672538673999</v>
      </c>
      <c r="U267" s="55">
        <v>13.235647072901999</v>
      </c>
      <c r="V267">
        <v>0.45561357702349897</v>
      </c>
      <c r="W267" s="12"/>
      <c r="X267" s="12"/>
      <c r="Y267" t="str">
        <v>20190823</v>
      </c>
      <c r="Z267">
        <v>43.9</v>
      </c>
      <c r="AA267">
        <v>18.7</v>
      </c>
      <c r="AB267">
        <f t="shared" si="90"/>
        <v>2.3475935828877006</v>
      </c>
      <c r="AY267" t="str">
        <v>15/08/2023</v>
      </c>
      <c r="AZ267">
        <v>44.3</v>
      </c>
      <c r="BA267">
        <v>18.600000000000001</v>
      </c>
      <c r="BB267">
        <f t="shared" si="91"/>
        <v>2.3817204301075265</v>
      </c>
    </row>
    <row r="268" spans="1:54" x14ac:dyDescent="0.3">
      <c r="A268" s="11">
        <v>45138</v>
      </c>
      <c r="B268">
        <v>0.52777777777777801</v>
      </c>
      <c r="C268">
        <v>4588.96</v>
      </c>
      <c r="D268">
        <v>100.05</v>
      </c>
      <c r="E268">
        <v>1965.1</v>
      </c>
      <c r="F268">
        <v>81.12</v>
      </c>
      <c r="G268">
        <v>51.15</v>
      </c>
      <c r="H268" s="12">
        <f t="shared" si="82"/>
        <v>157.80991255347422</v>
      </c>
      <c r="I268" s="12">
        <f t="shared" si="83"/>
        <v>88.169454392458732</v>
      </c>
      <c r="J268" s="12">
        <f t="shared" si="85"/>
        <v>162.42569245166993</v>
      </c>
      <c r="K268" s="12">
        <f t="shared" si="86"/>
        <v>142.78580057852068</v>
      </c>
      <c r="L268" s="55">
        <v>18.202253045375802</v>
      </c>
      <c r="M268" s="55">
        <v>17.6844020113166</v>
      </c>
      <c r="P268" s="12"/>
      <c r="Q268" s="12"/>
      <c r="R268" s="12"/>
      <c r="S268" s="12"/>
      <c r="T268" s="55">
        <v>13.774201103425399</v>
      </c>
      <c r="U268" s="55">
        <v>13.205853587395</v>
      </c>
      <c r="V268">
        <v>0.44795783926218702</v>
      </c>
      <c r="W268" s="12"/>
      <c r="X268" s="12"/>
      <c r="Y268" t="str">
        <v>20190816</v>
      </c>
      <c r="Z268">
        <v>49.1</v>
      </c>
      <c r="AA268">
        <v>17.899999999999999</v>
      </c>
      <c r="AB268">
        <f t="shared" si="90"/>
        <v>2.7430167597765367</v>
      </c>
      <c r="AY268" t="str">
        <v>14/08/2023</v>
      </c>
      <c r="AZ268">
        <v>44.3</v>
      </c>
      <c r="BA268">
        <v>18.600000000000001</v>
      </c>
      <c r="BB268">
        <f t="shared" si="91"/>
        <v>2.3817204301075265</v>
      </c>
    </row>
    <row r="269" spans="1:54" x14ac:dyDescent="0.3">
      <c r="A269" s="11">
        <v>45136</v>
      </c>
      <c r="B269">
        <v>0.53810623556582005</v>
      </c>
      <c r="C269">
        <v>4582.2299999999996</v>
      </c>
      <c r="D269">
        <v>99.81</v>
      </c>
      <c r="E269">
        <v>1959.67</v>
      </c>
      <c r="F269">
        <v>81.099999999999994</v>
      </c>
      <c r="G269">
        <v>51.14</v>
      </c>
      <c r="H269" s="12">
        <f t="shared" si="82"/>
        <v>157.95773753653242</v>
      </c>
      <c r="I269" s="12">
        <f t="shared" si="83"/>
        <v>88.284414604312801</v>
      </c>
      <c r="J269" s="12">
        <f t="shared" si="85"/>
        <v>162.22743299628726</v>
      </c>
      <c r="K269" s="12">
        <f t="shared" si="86"/>
        <v>142.6042403469155</v>
      </c>
      <c r="L269" s="55">
        <v>18.068348655805298</v>
      </c>
      <c r="M269" s="55">
        <v>17.520264950499001</v>
      </c>
      <c r="P269" s="12"/>
      <c r="Q269" s="12"/>
      <c r="R269" s="12"/>
      <c r="S269" s="12"/>
      <c r="T269" s="55">
        <v>13.818232651482599</v>
      </c>
      <c r="U269" s="55">
        <v>13.3131849200274</v>
      </c>
      <c r="V269">
        <v>0.44144736842105298</v>
      </c>
      <c r="W269" s="12"/>
      <c r="X269" s="12"/>
      <c r="Y269" t="str">
        <v>20190809</v>
      </c>
      <c r="Z269">
        <v>49.5</v>
      </c>
      <c r="AA269">
        <v>18.100000000000001</v>
      </c>
      <c r="AB269">
        <f t="shared" si="90"/>
        <v>2.7348066298342539</v>
      </c>
      <c r="AY269" t="str">
        <v>11/08/2023</v>
      </c>
      <c r="AZ269">
        <v>47.1</v>
      </c>
      <c r="BA269">
        <v>20</v>
      </c>
      <c r="BB269">
        <f t="shared" si="91"/>
        <v>2.355</v>
      </c>
    </row>
    <row r="270" spans="1:54" x14ac:dyDescent="0.3">
      <c r="A270" s="11">
        <v>45135</v>
      </c>
      <c r="B270">
        <v>0.51529411764705901</v>
      </c>
      <c r="C270">
        <v>4537.41</v>
      </c>
      <c r="D270">
        <v>99.3</v>
      </c>
      <c r="E270">
        <v>1945.51</v>
      </c>
      <c r="F270">
        <v>80.989999999999995</v>
      </c>
      <c r="G270">
        <v>50.53</v>
      </c>
      <c r="H270" s="12">
        <f t="shared" si="82"/>
        <v>157.21224802764462</v>
      </c>
      <c r="I270" s="12">
        <f t="shared" si="83"/>
        <v>88.05550685875626</v>
      </c>
      <c r="J270" s="12">
        <f t="shared" si="85"/>
        <v>160.85698145939458</v>
      </c>
      <c r="K270" s="12">
        <f t="shared" si="86"/>
        <v>142.91782413940763</v>
      </c>
      <c r="L270" s="55">
        <v>17.8718850235094</v>
      </c>
      <c r="M270" s="55">
        <v>17.2159051455365</v>
      </c>
      <c r="P270" s="12"/>
      <c r="Q270" s="12"/>
      <c r="R270" s="12"/>
      <c r="S270" s="12"/>
      <c r="T270" s="55">
        <v>13.717987696041201</v>
      </c>
      <c r="U270" s="55">
        <v>13.1539119170407</v>
      </c>
      <c r="V270">
        <v>0.43812045003309102</v>
      </c>
      <c r="W270" s="12"/>
      <c r="X270" s="12"/>
      <c r="Y270" t="str">
        <v>20190802</v>
      </c>
      <c r="Z270">
        <v>48.1</v>
      </c>
      <c r="AA270">
        <v>17.899999999999999</v>
      </c>
      <c r="AB270">
        <f t="shared" si="90"/>
        <v>2.6871508379888271</v>
      </c>
      <c r="AY270" t="str">
        <v>10/08/2023</v>
      </c>
      <c r="AZ270">
        <v>47.1</v>
      </c>
      <c r="BA270">
        <v>20</v>
      </c>
      <c r="BB270">
        <f t="shared" si="91"/>
        <v>2.355</v>
      </c>
    </row>
    <row r="271" spans="1:54" x14ac:dyDescent="0.3">
      <c r="A271" s="11">
        <v>45134</v>
      </c>
      <c r="B271">
        <v>0.50361445783132497</v>
      </c>
      <c r="C271">
        <v>4566.75</v>
      </c>
      <c r="D271">
        <v>101.27</v>
      </c>
      <c r="E271">
        <v>1972.2</v>
      </c>
      <c r="F271">
        <v>81.11</v>
      </c>
      <c r="G271">
        <v>50.81</v>
      </c>
      <c r="H271" s="12">
        <f t="shared" si="82"/>
        <v>155.19038925984492</v>
      </c>
      <c r="I271" s="12">
        <f t="shared" si="83"/>
        <v>87.433990212496099</v>
      </c>
      <c r="J271" s="12">
        <f t="shared" si="85"/>
        <v>161.65640925397116</v>
      </c>
      <c r="K271" s="12">
        <f t="shared" si="86"/>
        <v>143.0485668165378</v>
      </c>
      <c r="L271" s="55">
        <v>17.881992071210899</v>
      </c>
      <c r="M271" s="55">
        <v>17.2892635118775</v>
      </c>
      <c r="P271" s="12"/>
      <c r="Q271" s="12"/>
      <c r="R271" s="12"/>
      <c r="S271" s="12"/>
      <c r="T271" s="55">
        <v>13.709830035307199</v>
      </c>
      <c r="U271" s="55">
        <v>13.1557976399837</v>
      </c>
      <c r="V271">
        <v>0.43</v>
      </c>
      <c r="W271" s="12"/>
      <c r="X271" s="12"/>
      <c r="Y271" t="str">
        <v>20190726</v>
      </c>
      <c r="Z271">
        <v>57.2</v>
      </c>
      <c r="AA271">
        <v>17.100000000000001</v>
      </c>
      <c r="AB271">
        <f t="shared" si="90"/>
        <v>3.3450292397660819</v>
      </c>
      <c r="AY271" t="str">
        <v>09/08/2023</v>
      </c>
      <c r="AZ271">
        <v>47.1</v>
      </c>
      <c r="BA271">
        <v>20</v>
      </c>
      <c r="BB271">
        <f t="shared" si="91"/>
        <v>2.355</v>
      </c>
    </row>
    <row r="272" spans="1:54" x14ac:dyDescent="0.3">
      <c r="A272" s="11">
        <v>45133</v>
      </c>
      <c r="B272">
        <v>0.49024390243902399</v>
      </c>
      <c r="C272">
        <v>4567.46</v>
      </c>
      <c r="D272">
        <v>101.17</v>
      </c>
      <c r="E272">
        <v>1964.91</v>
      </c>
      <c r="F272">
        <v>81.03</v>
      </c>
      <c r="G272">
        <v>50.67</v>
      </c>
      <c r="H272" s="12">
        <f t="shared" si="82"/>
        <v>155.36811216398345</v>
      </c>
      <c r="I272" s="12">
        <f t="shared" si="83"/>
        <v>87.773281434085234</v>
      </c>
      <c r="J272" s="12">
        <f t="shared" si="85"/>
        <v>161.84135120949665</v>
      </c>
      <c r="K272" s="12">
        <f t="shared" si="86"/>
        <v>143.46726506410982</v>
      </c>
      <c r="L272" s="55">
        <v>17.686696310329001</v>
      </c>
      <c r="M272" s="55">
        <v>16.938810616705801</v>
      </c>
      <c r="P272" s="12"/>
      <c r="Q272" s="12"/>
      <c r="R272" s="12"/>
      <c r="S272" s="12"/>
      <c r="T272" s="55">
        <v>13.5730213924297</v>
      </c>
      <c r="U272" s="55">
        <v>12.8911570162571</v>
      </c>
      <c r="V272">
        <v>0.42533333333333301</v>
      </c>
      <c r="W272" s="12"/>
      <c r="X272" s="12"/>
      <c r="Y272" t="str">
        <v>20190719</v>
      </c>
      <c r="Z272">
        <v>54.2</v>
      </c>
      <c r="AA272">
        <v>16.8</v>
      </c>
      <c r="AB272">
        <f t="shared" si="90"/>
        <v>3.2261904761904763</v>
      </c>
      <c r="AY272" t="str">
        <v>08/08/2023</v>
      </c>
      <c r="AZ272">
        <v>47.1</v>
      </c>
      <c r="BA272">
        <v>20</v>
      </c>
      <c r="BB272">
        <f t="shared" si="91"/>
        <v>2.355</v>
      </c>
    </row>
    <row r="273" spans="1:54" x14ac:dyDescent="0.3">
      <c r="A273" s="11">
        <v>45132</v>
      </c>
      <c r="B273">
        <v>0.48029556650246302</v>
      </c>
      <c r="C273">
        <v>4554.6400000000003</v>
      </c>
      <c r="D273">
        <v>101.36</v>
      </c>
      <c r="E273">
        <v>1954.7</v>
      </c>
      <c r="F273">
        <v>81.040000000000006</v>
      </c>
      <c r="G273">
        <v>50.49</v>
      </c>
      <c r="H273" s="12">
        <f t="shared" si="82"/>
        <v>154.64295750982185</v>
      </c>
      <c r="I273" s="12">
        <f t="shared" si="83"/>
        <v>87.985202230960752</v>
      </c>
      <c r="J273" s="12">
        <f t="shared" si="85"/>
        <v>161.36723685869038</v>
      </c>
      <c r="K273" s="12">
        <f t="shared" si="86"/>
        <v>143.57499661431427</v>
      </c>
      <c r="L273" s="55">
        <v>17.636121994682298</v>
      </c>
      <c r="M273" s="55">
        <v>16.862151582349199</v>
      </c>
      <c r="P273" s="12"/>
      <c r="Q273" s="12"/>
      <c r="R273" s="12"/>
      <c r="S273" s="12"/>
      <c r="T273" s="55">
        <v>13.541613380128</v>
      </c>
      <c r="U273" s="55">
        <v>12.830514908381801</v>
      </c>
      <c r="V273">
        <v>0.42799188640973601</v>
      </c>
      <c r="W273" s="12"/>
      <c r="X273" s="12"/>
      <c r="Y273" t="str">
        <v>20190712</v>
      </c>
      <c r="Z273">
        <v>58</v>
      </c>
      <c r="AA273">
        <v>16.8</v>
      </c>
      <c r="AB273">
        <f t="shared" si="90"/>
        <v>3.4523809523809521</v>
      </c>
      <c r="AY273" t="str">
        <v>07/08/2023</v>
      </c>
      <c r="AZ273">
        <v>47.1</v>
      </c>
      <c r="BA273">
        <v>20</v>
      </c>
      <c r="BB273">
        <f t="shared" si="91"/>
        <v>2.355</v>
      </c>
    </row>
    <row r="274" spans="1:54" x14ac:dyDescent="0.3">
      <c r="A274" s="11">
        <v>45129</v>
      </c>
      <c r="B274">
        <v>0.47201946472019501</v>
      </c>
      <c r="C274">
        <v>4536.34</v>
      </c>
      <c r="D274">
        <v>101.73</v>
      </c>
      <c r="E274">
        <v>1961.87</v>
      </c>
      <c r="F274">
        <v>81.14</v>
      </c>
      <c r="G274">
        <v>50.35</v>
      </c>
      <c r="H274" s="12">
        <f t="shared" si="82"/>
        <v>153.46569641689987</v>
      </c>
      <c r="I274" s="12">
        <f t="shared" si="83"/>
        <v>87.313866382102546</v>
      </c>
      <c r="J274" s="12">
        <f t="shared" si="85"/>
        <v>160.52184424513183</v>
      </c>
      <c r="K274" s="12">
        <f t="shared" si="86"/>
        <v>143.395243090159</v>
      </c>
      <c r="L274" s="55">
        <v>17.299995255292099</v>
      </c>
      <c r="M274" s="55">
        <v>16.133455212126201</v>
      </c>
      <c r="P274" s="12"/>
      <c r="Q274" s="12"/>
      <c r="R274" s="12"/>
      <c r="S274" s="12"/>
      <c r="T274" s="55">
        <v>13.4337961651238</v>
      </c>
      <c r="U274" s="55">
        <v>12.5832182884413</v>
      </c>
      <c r="V274">
        <v>0.42504996668887401</v>
      </c>
      <c r="W274" s="12"/>
      <c r="X274" s="12"/>
      <c r="Y274" t="str">
        <v>20190705</v>
      </c>
      <c r="Z274">
        <v>56.7</v>
      </c>
      <c r="AA274">
        <v>18.3</v>
      </c>
      <c r="AB274">
        <f t="shared" si="90"/>
        <v>3.098360655737705</v>
      </c>
      <c r="AY274" t="str">
        <v>04/08/2023</v>
      </c>
      <c r="AZ274">
        <v>52.2</v>
      </c>
      <c r="BA274">
        <v>19.399999999999999</v>
      </c>
      <c r="BB274">
        <f t="shared" si="91"/>
        <v>2.6907216494845363</v>
      </c>
    </row>
    <row r="275" spans="1:54" x14ac:dyDescent="0.3">
      <c r="A275" s="11">
        <v>45128</v>
      </c>
      <c r="B275">
        <v>0.47044334975369501</v>
      </c>
      <c r="C275">
        <v>4534.87</v>
      </c>
      <c r="D275">
        <v>101.7</v>
      </c>
      <c r="E275">
        <v>1969.5</v>
      </c>
      <c r="F275">
        <v>81.13</v>
      </c>
      <c r="G275">
        <v>50.33</v>
      </c>
      <c r="H275" s="12">
        <f t="shared" si="82"/>
        <v>153.46122001814996</v>
      </c>
      <c r="I275" s="12">
        <f t="shared" si="83"/>
        <v>86.948834780488809</v>
      </c>
      <c r="J275" s="12">
        <f t="shared" si="85"/>
        <v>160.48960254843249</v>
      </c>
      <c r="K275" s="12">
        <f t="shared" si="86"/>
        <v>143.40574361475794</v>
      </c>
      <c r="L275" s="55">
        <v>17.487313341787502</v>
      </c>
      <c r="M275" s="55">
        <v>16.5862340289484</v>
      </c>
      <c r="P275" s="12"/>
      <c r="Q275" s="12"/>
      <c r="R275" s="12"/>
      <c r="S275" s="12"/>
      <c r="T275" s="55">
        <v>13.464104755341101</v>
      </c>
      <c r="U275" s="55">
        <v>12.651170528197399</v>
      </c>
      <c r="V275">
        <v>0.42530282637954198</v>
      </c>
      <c r="W275" s="12"/>
      <c r="X275" s="12"/>
      <c r="Y275" t="str">
        <v>20190628</v>
      </c>
      <c r="Z275">
        <v>55.2</v>
      </c>
      <c r="AA275">
        <v>18.100000000000001</v>
      </c>
      <c r="AB275">
        <f t="shared" si="90"/>
        <v>3.0497237569060771</v>
      </c>
      <c r="AY275" t="str">
        <v>03/08/2023</v>
      </c>
      <c r="AZ275">
        <v>52.2</v>
      </c>
      <c r="BA275">
        <v>19.399999999999999</v>
      </c>
      <c r="BB275">
        <f t="shared" si="91"/>
        <v>2.6907216494845363</v>
      </c>
    </row>
    <row r="276" spans="1:54" x14ac:dyDescent="0.3">
      <c r="A276" s="11">
        <v>45127</v>
      </c>
      <c r="B276">
        <v>0.47890818858560802</v>
      </c>
      <c r="C276">
        <v>4565.72</v>
      </c>
      <c r="D276">
        <v>102.95</v>
      </c>
      <c r="E276">
        <v>1976.54</v>
      </c>
      <c r="F276">
        <v>81.23</v>
      </c>
      <c r="G276">
        <v>50.58</v>
      </c>
      <c r="H276" s="12">
        <f t="shared" si="82"/>
        <v>152.63926653269684</v>
      </c>
      <c r="I276" s="12">
        <f t="shared" si="83"/>
        <v>87.227535082887343</v>
      </c>
      <c r="J276" s="12">
        <f t="shared" si="85"/>
        <v>161.38136415589267</v>
      </c>
      <c r="K276" s="12">
        <f t="shared" si="86"/>
        <v>143.66638461541723</v>
      </c>
      <c r="L276" s="55">
        <v>17.570475122606901</v>
      </c>
      <c r="M276" s="55">
        <v>16.8129475184911</v>
      </c>
      <c r="P276" s="12"/>
      <c r="Q276" s="12"/>
      <c r="R276" s="12"/>
      <c r="S276" s="12"/>
      <c r="T276" s="55">
        <v>13.5265504767726</v>
      </c>
      <c r="U276" s="55">
        <v>12.802770664181599</v>
      </c>
      <c r="V276">
        <v>0.42005420054200499</v>
      </c>
      <c r="W276" s="12"/>
      <c r="X276" s="12"/>
      <c r="Y276" t="str">
        <v>20190621</v>
      </c>
      <c r="Z276">
        <v>53.3</v>
      </c>
      <c r="AA276">
        <v>18.100000000000001</v>
      </c>
      <c r="AB276">
        <f t="shared" si="90"/>
        <v>2.9447513812154691</v>
      </c>
      <c r="AY276" t="str">
        <v>02/08/2023</v>
      </c>
      <c r="AZ276">
        <v>52.2</v>
      </c>
      <c r="BA276">
        <v>19.399999999999999</v>
      </c>
      <c r="BB276">
        <f t="shared" si="91"/>
        <v>2.6907216494845363</v>
      </c>
    </row>
    <row r="277" spans="1:54" x14ac:dyDescent="0.3">
      <c r="A277" s="11">
        <v>45126</v>
      </c>
      <c r="B277">
        <v>0.47341772151898698</v>
      </c>
      <c r="C277">
        <v>4554.9799999999996</v>
      </c>
      <c r="D277">
        <v>101.8</v>
      </c>
      <c r="E277">
        <v>1978.83</v>
      </c>
      <c r="F277">
        <v>81.2</v>
      </c>
      <c r="G277">
        <v>50.54</v>
      </c>
      <c r="H277" s="12">
        <f t="shared" si="82"/>
        <v>154.01598480976122</v>
      </c>
      <c r="I277" s="12">
        <f t="shared" si="83"/>
        <v>86.92199485239567</v>
      </c>
      <c r="J277" s="12">
        <f t="shared" si="85"/>
        <v>161.0611101248727</v>
      </c>
      <c r="K277" s="12">
        <f t="shared" si="86"/>
        <v>143.44169660146383</v>
      </c>
      <c r="L277" s="55">
        <v>17.6174322793923</v>
      </c>
      <c r="M277" s="55">
        <v>16.9713236447671</v>
      </c>
      <c r="P277" s="12"/>
      <c r="Q277" s="12"/>
      <c r="R277" s="12"/>
      <c r="S277" s="12"/>
      <c r="T277" s="55">
        <v>13.526565544975901</v>
      </c>
      <c r="U277" s="55">
        <v>12.8098032056243</v>
      </c>
      <c r="V277">
        <v>0.41428571428571398</v>
      </c>
      <c r="W277" s="12"/>
      <c r="X277" s="12"/>
      <c r="Y277" t="str">
        <v>20190614</v>
      </c>
      <c r="Z277">
        <v>50.5</v>
      </c>
      <c r="AA277">
        <v>18.399999999999999</v>
      </c>
      <c r="AB277">
        <f t="shared" si="90"/>
        <v>2.7445652173913047</v>
      </c>
      <c r="AY277" t="str">
        <v>01/08/2023</v>
      </c>
      <c r="AZ277">
        <v>52.2</v>
      </c>
      <c r="BA277">
        <v>19.399999999999999</v>
      </c>
      <c r="BB277">
        <f t="shared" si="91"/>
        <v>2.6907216494845363</v>
      </c>
    </row>
    <row r="278" spans="1:54" x14ac:dyDescent="0.3">
      <c r="A278" s="11">
        <v>45125</v>
      </c>
      <c r="B278">
        <v>0.46233766233766199</v>
      </c>
      <c r="C278">
        <v>4522.79</v>
      </c>
      <c r="D278">
        <v>101.34</v>
      </c>
      <c r="E278">
        <v>1955.07</v>
      </c>
      <c r="F278">
        <v>81.2</v>
      </c>
      <c r="G278">
        <v>50.42</v>
      </c>
      <c r="H278" s="12">
        <f t="shared" si="82"/>
        <v>153.61993523183241</v>
      </c>
      <c r="I278" s="12">
        <f t="shared" si="83"/>
        <v>87.361925863611091</v>
      </c>
      <c r="J278" s="12">
        <f t="shared" si="85"/>
        <v>159.92289280340924</v>
      </c>
      <c r="K278" s="12">
        <f t="shared" si="86"/>
        <v>142.76537699504848</v>
      </c>
      <c r="L278" s="55">
        <v>17.7059957523782</v>
      </c>
      <c r="M278" s="55">
        <v>17.2656553413293</v>
      </c>
      <c r="P278" s="12"/>
      <c r="Q278" s="12"/>
      <c r="R278" s="12"/>
      <c r="S278" s="12"/>
      <c r="T278" s="55">
        <v>13.6831114803683</v>
      </c>
      <c r="U278" s="55">
        <v>13.2616284106</v>
      </c>
      <c r="V278">
        <v>0.41082581540596802</v>
      </c>
      <c r="W278" s="12"/>
      <c r="X278" s="12"/>
      <c r="Y278" t="str">
        <v>20190607</v>
      </c>
      <c r="Z278">
        <v>48.1</v>
      </c>
      <c r="AA278">
        <v>18.3</v>
      </c>
      <c r="AB278">
        <f t="shared" si="90"/>
        <v>2.6284153005464481</v>
      </c>
      <c r="AY278" t="str">
        <v>31/07/2023</v>
      </c>
      <c r="AZ278">
        <v>52.2</v>
      </c>
      <c r="BA278">
        <v>19.399999999999999</v>
      </c>
      <c r="BB278">
        <f t="shared" si="91"/>
        <v>2.6907216494845363</v>
      </c>
    </row>
    <row r="279" spans="1:54" x14ac:dyDescent="0.3">
      <c r="A279" s="11">
        <v>45122</v>
      </c>
      <c r="B279">
        <v>0.468586387434555</v>
      </c>
      <c r="C279">
        <v>4505.42</v>
      </c>
      <c r="D279">
        <v>101.29</v>
      </c>
      <c r="E279">
        <v>1955.27</v>
      </c>
      <c r="F279">
        <v>81.17</v>
      </c>
      <c r="G279">
        <v>50.41</v>
      </c>
      <c r="H279" s="12">
        <f t="shared" si="82"/>
        <v>153.10523763523665</v>
      </c>
      <c r="I279" s="12">
        <f t="shared" si="83"/>
        <v>87.017541404193281</v>
      </c>
      <c r="J279" s="12">
        <f t="shared" si="85"/>
        <v>159.36737609809131</v>
      </c>
      <c r="K279" s="12">
        <f t="shared" si="86"/>
        <v>142.24518874393567</v>
      </c>
      <c r="L279" s="55">
        <v>17.6878936939375</v>
      </c>
      <c r="M279" s="55">
        <v>17.253314024394399</v>
      </c>
      <c r="P279" s="12"/>
      <c r="Q279" s="12"/>
      <c r="R279" s="12"/>
      <c r="S279" s="12"/>
      <c r="T279" s="55">
        <v>13.672547020768301</v>
      </c>
      <c r="U279" s="55">
        <v>13.250850834931599</v>
      </c>
      <c r="V279">
        <v>0.42017968210089801</v>
      </c>
      <c r="W279" s="12"/>
      <c r="X279" s="12"/>
      <c r="Y279" t="str">
        <v>20190531</v>
      </c>
      <c r="Z279">
        <v>42.7</v>
      </c>
      <c r="AA279">
        <v>18.5</v>
      </c>
      <c r="AB279">
        <f t="shared" si="90"/>
        <v>2.3081081081081081</v>
      </c>
      <c r="AY279" t="str">
        <v>28/07/2023</v>
      </c>
      <c r="AZ279">
        <v>57.1</v>
      </c>
      <c r="BA279">
        <v>18.600000000000001</v>
      </c>
      <c r="BB279">
        <f t="shared" si="91"/>
        <v>3.0698924731182795</v>
      </c>
    </row>
    <row r="280" spans="1:54" x14ac:dyDescent="0.3">
      <c r="A280" s="11">
        <v>45121</v>
      </c>
      <c r="B280">
        <v>0.450549450549451</v>
      </c>
      <c r="C280">
        <v>4510.04</v>
      </c>
      <c r="D280">
        <v>101.89</v>
      </c>
      <c r="E280">
        <v>1960.51</v>
      </c>
      <c r="F280">
        <v>81.38</v>
      </c>
      <c r="G280">
        <v>50.74</v>
      </c>
      <c r="H280" s="12">
        <f t="shared" si="82"/>
        <v>152.36408958962505</v>
      </c>
      <c r="I280" s="12">
        <f t="shared" si="83"/>
        <v>86.874338373563532</v>
      </c>
      <c r="J280" s="12">
        <f t="shared" si="85"/>
        <v>159.11976895879945</v>
      </c>
      <c r="K280" s="12">
        <f t="shared" si="86"/>
        <v>141.47002307423128</v>
      </c>
      <c r="L280" s="55">
        <v>17.617022336037301</v>
      </c>
      <c r="M280" s="55">
        <v>17.0855706236866</v>
      </c>
      <c r="P280" s="12"/>
      <c r="Q280" s="12"/>
      <c r="R280" s="12"/>
      <c r="S280" s="12"/>
      <c r="T280" s="55">
        <v>13.6666837731927</v>
      </c>
      <c r="U280" s="55">
        <v>13.258657131973701</v>
      </c>
      <c r="V280">
        <v>0.42127071823204398</v>
      </c>
      <c r="W280" s="12"/>
      <c r="X280" s="12"/>
      <c r="Y280" t="str">
        <v>20190524</v>
      </c>
      <c r="Z280">
        <v>49</v>
      </c>
      <c r="AA280">
        <v>17.3</v>
      </c>
      <c r="AB280">
        <f t="shared" si="90"/>
        <v>2.8323699421965318</v>
      </c>
      <c r="AY280" t="str">
        <v>27/07/2023</v>
      </c>
      <c r="AZ280">
        <v>57.1</v>
      </c>
      <c r="BA280">
        <v>18.600000000000001</v>
      </c>
      <c r="BB280">
        <f t="shared" si="91"/>
        <v>3.0698924731182795</v>
      </c>
    </row>
    <row r="281" spans="1:54" x14ac:dyDescent="0.3">
      <c r="A281" s="11">
        <v>45120</v>
      </c>
      <c r="B281">
        <v>0.44686648501362403</v>
      </c>
      <c r="C281">
        <v>4472.16</v>
      </c>
      <c r="D281">
        <v>100.83</v>
      </c>
      <c r="E281">
        <v>1957.44</v>
      </c>
      <c r="F281">
        <v>81.150000000000006</v>
      </c>
      <c r="G281">
        <v>49.97</v>
      </c>
      <c r="H281" s="12">
        <f t="shared" si="82"/>
        <v>152.67594000883778</v>
      </c>
      <c r="I281" s="12">
        <f t="shared" si="83"/>
        <v>86.278858521828766</v>
      </c>
      <c r="J281" s="12">
        <f t="shared" si="85"/>
        <v>158.22800818159402</v>
      </c>
      <c r="K281" s="12">
        <f t="shared" si="86"/>
        <v>142.45855231251949</v>
      </c>
      <c r="L281" s="55">
        <v>17.623829102309202</v>
      </c>
      <c r="M281" s="55">
        <v>17.1384768292051</v>
      </c>
      <c r="P281" s="12"/>
      <c r="Q281" s="12"/>
      <c r="R281" s="12"/>
      <c r="S281" s="12"/>
      <c r="T281" s="55">
        <v>13.647410403917901</v>
      </c>
      <c r="U281" s="55">
        <v>13.2019473124386</v>
      </c>
      <c r="V281">
        <v>0.42539902845246402</v>
      </c>
      <c r="W281" s="12"/>
      <c r="X281" s="12"/>
      <c r="Y281" t="str">
        <v>20190517</v>
      </c>
      <c r="Z281">
        <v>49.5</v>
      </c>
      <c r="AA281">
        <v>17.2</v>
      </c>
      <c r="AB281">
        <f t="shared" si="90"/>
        <v>2.8779069767441863</v>
      </c>
      <c r="AY281" t="str">
        <v>26/07/2023</v>
      </c>
      <c r="AZ281">
        <v>57.1</v>
      </c>
      <c r="BA281">
        <v>18.600000000000001</v>
      </c>
      <c r="BB281">
        <f t="shared" si="91"/>
        <v>3.0698924731182795</v>
      </c>
    </row>
    <row r="282" spans="1:54" x14ac:dyDescent="0.3">
      <c r="A282" s="11">
        <v>45119</v>
      </c>
      <c r="B282">
        <v>0.45355191256830601</v>
      </c>
      <c r="C282">
        <v>4439.26</v>
      </c>
      <c r="D282">
        <v>99.72</v>
      </c>
      <c r="E282">
        <v>1932.37</v>
      </c>
      <c r="F282">
        <v>80.91</v>
      </c>
      <c r="G282">
        <v>49.01</v>
      </c>
      <c r="H282" s="12">
        <f t="shared" si="82"/>
        <v>153.2460185951067</v>
      </c>
      <c r="I282" s="12">
        <f t="shared" si="83"/>
        <v>86.761474495600112</v>
      </c>
      <c r="J282" s="12">
        <f t="shared" si="85"/>
        <v>157.52781495586598</v>
      </c>
      <c r="K282" s="12">
        <f t="shared" si="86"/>
        <v>144.2146094994128</v>
      </c>
      <c r="L282" s="55">
        <v>17.598928745519</v>
      </c>
      <c r="M282" s="55">
        <v>17.0775325547365</v>
      </c>
      <c r="P282" s="12"/>
      <c r="Q282" s="12"/>
      <c r="R282" s="12"/>
      <c r="S282" s="12"/>
      <c r="T282" s="55">
        <v>13.6499621674173</v>
      </c>
      <c r="U282" s="55">
        <v>13.2266291284672</v>
      </c>
      <c r="V282">
        <v>0.42591316333563101</v>
      </c>
      <c r="W282" s="12"/>
      <c r="X282" s="12"/>
      <c r="Y282" t="str">
        <v>20190510</v>
      </c>
      <c r="Z282">
        <v>51.4</v>
      </c>
      <c r="AA282">
        <v>17.5</v>
      </c>
      <c r="AB282">
        <f t="shared" si="90"/>
        <v>2.9371428571428573</v>
      </c>
      <c r="AY282" t="str">
        <v>25/07/2023</v>
      </c>
      <c r="AZ282">
        <v>57.1</v>
      </c>
      <c r="BA282">
        <v>18.600000000000001</v>
      </c>
      <c r="BB282">
        <f t="shared" si="91"/>
        <v>3.0698924731182795</v>
      </c>
    </row>
    <row r="283" spans="1:54" x14ac:dyDescent="0.3">
      <c r="A283" s="11">
        <v>45118</v>
      </c>
      <c r="B283">
        <v>0.46260387811634401</v>
      </c>
      <c r="C283">
        <v>4409.53</v>
      </c>
      <c r="D283">
        <v>99.21</v>
      </c>
      <c r="E283">
        <v>1925.37</v>
      </c>
      <c r="F283">
        <v>80.92</v>
      </c>
      <c r="G283">
        <v>48.56</v>
      </c>
      <c r="H283" s="12">
        <f t="shared" si="82"/>
        <v>153.00097157635284</v>
      </c>
      <c r="I283" s="12">
        <f t="shared" si="83"/>
        <v>86.492780320916793</v>
      </c>
      <c r="J283" s="12">
        <f t="shared" si="85"/>
        <v>156.45363651698639</v>
      </c>
      <c r="K283" s="12">
        <f t="shared" si="86"/>
        <v>144.57962551163575</v>
      </c>
      <c r="L283" s="55">
        <v>17.505715479419301</v>
      </c>
      <c r="M283" s="55">
        <v>16.7310800513897</v>
      </c>
      <c r="P283" s="12"/>
      <c r="Q283" s="12"/>
      <c r="R283" s="12"/>
      <c r="S283" s="12"/>
      <c r="T283" s="55">
        <v>13.578236145383601</v>
      </c>
      <c r="U283" s="55">
        <v>12.9437444334331</v>
      </c>
      <c r="V283">
        <v>0.42946927374301702</v>
      </c>
      <c r="W283" s="12"/>
      <c r="X283" s="12"/>
      <c r="Y283" t="str">
        <v>20190503</v>
      </c>
      <c r="Z283">
        <v>55.5</v>
      </c>
      <c r="AA283">
        <v>17.8</v>
      </c>
      <c r="AB283">
        <f t="shared" si="90"/>
        <v>3.1179775280898876</v>
      </c>
      <c r="AY283" t="str">
        <v>24/07/2023</v>
      </c>
      <c r="AZ283">
        <v>57.1</v>
      </c>
      <c r="BA283">
        <v>18.600000000000001</v>
      </c>
      <c r="BB283">
        <f t="shared" si="91"/>
        <v>3.0698924731182795</v>
      </c>
    </row>
    <row r="284" spans="1:54" x14ac:dyDescent="0.3">
      <c r="A284" s="11">
        <v>45115</v>
      </c>
      <c r="B284">
        <v>0.483050847457627</v>
      </c>
      <c r="C284">
        <v>4398.95</v>
      </c>
      <c r="D284">
        <v>99.08</v>
      </c>
      <c r="E284">
        <v>1925.57</v>
      </c>
      <c r="F284">
        <v>80.8</v>
      </c>
      <c r="G284">
        <v>48.47</v>
      </c>
      <c r="H284" s="12">
        <f t="shared" si="82"/>
        <v>152.83391671589308</v>
      </c>
      <c r="I284" s="12">
        <f t="shared" si="83"/>
        <v>86.276314363680243</v>
      </c>
      <c r="J284" s="12">
        <f t="shared" si="85"/>
        <v>156.30983601824113</v>
      </c>
      <c r="K284" s="12">
        <f t="shared" si="86"/>
        <v>144.50039583582165</v>
      </c>
      <c r="L284" s="55">
        <v>17.467598061710401</v>
      </c>
      <c r="M284" s="55">
        <v>16.5561376155914</v>
      </c>
      <c r="P284" s="12"/>
      <c r="Q284" s="12"/>
      <c r="R284" s="12"/>
      <c r="S284" s="12"/>
      <c r="T284" s="55">
        <v>13.581628815381499</v>
      </c>
      <c r="U284" s="55">
        <v>12.938848969168101</v>
      </c>
      <c r="V284">
        <v>0.43392226148409901</v>
      </c>
      <c r="W284" s="12"/>
      <c r="X284" s="12"/>
      <c r="Y284" t="str">
        <v>20190426</v>
      </c>
      <c r="Z284">
        <v>56.4</v>
      </c>
      <c r="AA284">
        <v>17.8</v>
      </c>
      <c r="AB284">
        <f t="shared" si="90"/>
        <v>3.1685393258426964</v>
      </c>
      <c r="AY284" t="str">
        <v>21/07/2023</v>
      </c>
      <c r="AZ284">
        <v>55.6</v>
      </c>
      <c r="BA284">
        <v>19.399999999999999</v>
      </c>
      <c r="BB284">
        <f t="shared" si="91"/>
        <v>2.8659793814432994</v>
      </c>
    </row>
    <row r="285" spans="1:54" x14ac:dyDescent="0.3">
      <c r="A285" s="11">
        <v>45114</v>
      </c>
      <c r="B285">
        <v>0.49142857142857099</v>
      </c>
      <c r="C285">
        <v>4411.59</v>
      </c>
      <c r="D285">
        <v>99.68</v>
      </c>
      <c r="E285">
        <v>1911.01</v>
      </c>
      <c r="F285">
        <v>80.709999999999994</v>
      </c>
      <c r="G285">
        <v>48.03</v>
      </c>
      <c r="H285" s="12">
        <f t="shared" si="82"/>
        <v>152.35338173167264</v>
      </c>
      <c r="I285" s="12">
        <f t="shared" si="83"/>
        <v>87.190435268163867</v>
      </c>
      <c r="J285" s="12">
        <f t="shared" si="85"/>
        <v>156.93447975185845</v>
      </c>
      <c r="K285" s="12">
        <f t="shared" si="86"/>
        <v>146.25932824484505</v>
      </c>
      <c r="L285" s="55">
        <v>17.505639665333199</v>
      </c>
      <c r="M285" s="55">
        <v>16.710554842050701</v>
      </c>
      <c r="P285" s="12"/>
      <c r="Q285" s="12"/>
      <c r="R285" s="12"/>
      <c r="S285" s="12"/>
      <c r="T285" s="55">
        <v>13.5947185442667</v>
      </c>
      <c r="U285" s="55">
        <v>12.9803821911245</v>
      </c>
      <c r="V285">
        <v>0.433093525179856</v>
      </c>
      <c r="W285" s="12"/>
      <c r="X285" s="12"/>
      <c r="Y285" t="str">
        <v>20190419</v>
      </c>
      <c r="Z285">
        <v>53.4</v>
      </c>
      <c r="AA285">
        <v>18.399999999999999</v>
      </c>
      <c r="AB285">
        <f t="shared" si="90"/>
        <v>2.9021739130434785</v>
      </c>
      <c r="AY285" t="str">
        <v>20/07/2023</v>
      </c>
      <c r="AZ285">
        <v>55.6</v>
      </c>
      <c r="BA285">
        <v>19.399999999999999</v>
      </c>
      <c r="BB285">
        <f t="shared" si="91"/>
        <v>2.8659793814432994</v>
      </c>
    </row>
    <row r="286" spans="1:54" x14ac:dyDescent="0.3">
      <c r="A286" s="11">
        <v>45113</v>
      </c>
      <c r="B286">
        <v>0.502923976608187</v>
      </c>
      <c r="C286">
        <v>4446.82</v>
      </c>
      <c r="D286">
        <v>101.11</v>
      </c>
      <c r="E286">
        <v>1915.63</v>
      </c>
      <c r="F286">
        <v>80.760000000000005</v>
      </c>
      <c r="G286">
        <v>48.92</v>
      </c>
      <c r="H286" s="12">
        <f t="shared" si="82"/>
        <v>151.41152676172109</v>
      </c>
      <c r="I286" s="12">
        <f t="shared" si="83"/>
        <v>87.67358477219345</v>
      </c>
      <c r="J286" s="12">
        <f t="shared" si="85"/>
        <v>158.08906697567713</v>
      </c>
      <c r="K286" s="12">
        <f t="shared" si="86"/>
        <v>144.77244964908473</v>
      </c>
      <c r="L286" s="55">
        <v>17.425949293329602</v>
      </c>
      <c r="M286" s="55">
        <v>16.2645251691543</v>
      </c>
      <c r="P286" s="12"/>
      <c r="Q286" s="12"/>
      <c r="R286" s="12"/>
      <c r="S286" s="12"/>
      <c r="T286" s="55">
        <v>13.544988557786599</v>
      </c>
      <c r="U286" s="55">
        <v>12.6887632990826</v>
      </c>
      <c r="V286">
        <v>0.44348452123830101</v>
      </c>
      <c r="W286" s="12"/>
      <c r="X286" s="12"/>
      <c r="Y286" t="str">
        <v>20190412</v>
      </c>
      <c r="Z286">
        <v>54.8</v>
      </c>
      <c r="AA286">
        <v>19.2</v>
      </c>
      <c r="AB286">
        <f t="shared" si="90"/>
        <v>2.8541666666666665</v>
      </c>
      <c r="AY286" t="str">
        <v>19/07/2023</v>
      </c>
      <c r="AZ286">
        <v>55.6</v>
      </c>
      <c r="BA286">
        <v>19.399999999999999</v>
      </c>
      <c r="BB286">
        <f t="shared" si="91"/>
        <v>2.8659793814432994</v>
      </c>
    </row>
    <row r="287" spans="1:54" x14ac:dyDescent="0.3">
      <c r="A287" s="11">
        <v>45111</v>
      </c>
      <c r="B287">
        <v>0.48703170028818399</v>
      </c>
      <c r="C287">
        <v>4455.59</v>
      </c>
      <c r="D287">
        <v>102.08</v>
      </c>
      <c r="E287">
        <v>1921.78</v>
      </c>
      <c r="F287">
        <v>80.78</v>
      </c>
      <c r="G287">
        <v>49.42</v>
      </c>
      <c r="H287" s="12">
        <f t="shared" si="82"/>
        <v>150.27931680803943</v>
      </c>
      <c r="I287" s="12">
        <f t="shared" si="83"/>
        <v>87.565717448757255</v>
      </c>
      <c r="J287" s="12">
        <f t="shared" si="85"/>
        <v>158.36156414126532</v>
      </c>
      <c r="K287" s="12">
        <f t="shared" si="86"/>
        <v>143.60222827956781</v>
      </c>
      <c r="L287" s="55">
        <v>17.503858709598799</v>
      </c>
      <c r="M287" s="55">
        <v>16.646524781943199</v>
      </c>
      <c r="P287" s="12"/>
      <c r="Q287" s="12"/>
      <c r="R287" s="12"/>
      <c r="S287" s="12"/>
      <c r="T287" s="55">
        <v>13.5921103274163</v>
      </c>
      <c r="U287" s="55">
        <v>12.897399936481399</v>
      </c>
      <c r="V287">
        <v>0.44268204758471502</v>
      </c>
      <c r="W287" s="12"/>
      <c r="X287" s="12"/>
      <c r="Y287" t="str">
        <v>20190405</v>
      </c>
      <c r="Z287">
        <v>53.9</v>
      </c>
      <c r="AA287">
        <v>19.2</v>
      </c>
      <c r="AB287">
        <f t="shared" si="90"/>
        <v>2.8072916666666665</v>
      </c>
      <c r="AY287" t="str">
        <v>18/07/2023</v>
      </c>
      <c r="AZ287">
        <v>55.6</v>
      </c>
      <c r="BA287">
        <v>19.399999999999999</v>
      </c>
      <c r="BB287">
        <f t="shared" si="91"/>
        <v>2.8659793814432994</v>
      </c>
    </row>
    <row r="288" spans="1:54" x14ac:dyDescent="0.3">
      <c r="A288" s="11">
        <v>45107</v>
      </c>
      <c r="B288">
        <v>0.48295454545454503</v>
      </c>
      <c r="C288">
        <v>4450.38</v>
      </c>
      <c r="D288">
        <v>102.94</v>
      </c>
      <c r="E288">
        <v>1919.38</v>
      </c>
      <c r="F288">
        <v>81.08</v>
      </c>
      <c r="G288">
        <v>49.22</v>
      </c>
      <c r="H288" s="12">
        <f t="shared" si="82"/>
        <v>148.86140187118974</v>
      </c>
      <c r="I288" s="12">
        <f t="shared" si="83"/>
        <v>87.572698501539421</v>
      </c>
      <c r="J288" s="12">
        <f t="shared" si="85"/>
        <v>157.59396555841658</v>
      </c>
      <c r="K288" s="12">
        <f t="shared" si="86"/>
        <v>144.0188318884359</v>
      </c>
      <c r="L288" s="55">
        <v>17.537485177915201</v>
      </c>
      <c r="M288" s="55">
        <v>16.5824292559235</v>
      </c>
      <c r="P288" s="12"/>
      <c r="Q288" s="12"/>
      <c r="R288" s="12"/>
      <c r="S288" s="12"/>
      <c r="T288" s="55">
        <v>13.5872972316723</v>
      </c>
      <c r="U288" s="55">
        <v>12.798499648739</v>
      </c>
      <c r="V288">
        <v>0.44507845934379497</v>
      </c>
      <c r="W288" s="12"/>
      <c r="X288" s="12"/>
      <c r="Y288" t="str">
        <v>20190329</v>
      </c>
      <c r="Z288">
        <v>53.4</v>
      </c>
      <c r="AA288">
        <v>19.399999999999999</v>
      </c>
      <c r="AB288">
        <f t="shared" si="90"/>
        <v>2.7525773195876289</v>
      </c>
      <c r="AY288" t="str">
        <v>17/07/2023</v>
      </c>
      <c r="AZ288">
        <v>55.6</v>
      </c>
      <c r="BA288">
        <v>19.399999999999999</v>
      </c>
      <c r="BB288">
        <f t="shared" si="91"/>
        <v>2.8659793814432994</v>
      </c>
    </row>
    <row r="289" spans="1:54" x14ac:dyDescent="0.3">
      <c r="A289" s="11">
        <v>45107</v>
      </c>
      <c r="B289">
        <v>0.47875354107648699</v>
      </c>
      <c r="C289">
        <v>4396.4399999999996</v>
      </c>
      <c r="D289">
        <v>101.74</v>
      </c>
      <c r="E289">
        <v>1908.53</v>
      </c>
      <c r="F289">
        <v>81.05</v>
      </c>
      <c r="G289">
        <v>48.73</v>
      </c>
      <c r="H289" s="12">
        <f t="shared" si="82"/>
        <v>148.79083831086825</v>
      </c>
      <c r="I289" s="12">
        <f t="shared" si="83"/>
        <v>86.999890006157287</v>
      </c>
      <c r="J289" s="12">
        <f t="shared" si="85"/>
        <v>155.74082483111926</v>
      </c>
      <c r="K289" s="12">
        <f t="shared" si="86"/>
        <v>143.70073446062815</v>
      </c>
      <c r="L289" s="55">
        <v>17.435796553235601</v>
      </c>
      <c r="M289" s="55">
        <v>16.478449776556801</v>
      </c>
      <c r="P289" s="12"/>
      <c r="Q289" s="12"/>
      <c r="R289" s="12"/>
      <c r="S289" s="12"/>
      <c r="T289" s="55">
        <v>13.3788086641774</v>
      </c>
      <c r="U289" s="55">
        <v>12.621715039657699</v>
      </c>
      <c r="V289">
        <v>0.44602272727272702</v>
      </c>
      <c r="W289" s="12"/>
      <c r="X289" s="12"/>
      <c r="Y289" t="str">
        <v>20190322</v>
      </c>
      <c r="Z289">
        <v>52</v>
      </c>
      <c r="AA289">
        <v>20.6</v>
      </c>
      <c r="AB289">
        <f t="shared" si="90"/>
        <v>2.5242718446601939</v>
      </c>
      <c r="AY289" t="str">
        <v>14/07/2023</v>
      </c>
      <c r="AZ289">
        <v>54.2</v>
      </c>
      <c r="BA289">
        <v>18</v>
      </c>
      <c r="BB289">
        <f t="shared" si="91"/>
        <v>3.0111111111111111</v>
      </c>
    </row>
    <row r="290" spans="1:54" x14ac:dyDescent="0.3">
      <c r="A290" s="11">
        <v>45106</v>
      </c>
      <c r="B290">
        <v>0.48863636363636398</v>
      </c>
      <c r="C290">
        <v>4376.8599999999997</v>
      </c>
      <c r="D290">
        <v>103.61</v>
      </c>
      <c r="E290">
        <v>1907.51</v>
      </c>
      <c r="F290">
        <v>81.25</v>
      </c>
      <c r="G290">
        <v>48.83</v>
      </c>
      <c r="H290" s="12">
        <f t="shared" si="82"/>
        <v>145.51358461686914</v>
      </c>
      <c r="I290" s="12">
        <f t="shared" si="83"/>
        <v>86.658559431453028</v>
      </c>
      <c r="J290" s="12">
        <f t="shared" si="85"/>
        <v>154.66819085169553</v>
      </c>
      <c r="K290" s="12">
        <f t="shared" si="86"/>
        <v>142.76966947895738</v>
      </c>
      <c r="L290" s="55">
        <v>17.027031138894898</v>
      </c>
      <c r="M290" s="55">
        <v>16.089038733246401</v>
      </c>
      <c r="P290" s="12"/>
      <c r="Q290" s="12"/>
      <c r="R290" s="12"/>
      <c r="S290" s="12"/>
      <c r="T290" s="55">
        <v>13.1074970560054</v>
      </c>
      <c r="U290" s="55">
        <v>12.3682507094187</v>
      </c>
      <c r="V290">
        <v>0.44578313253011997</v>
      </c>
      <c r="W290" s="12"/>
      <c r="X290" s="12"/>
      <c r="Y290" t="str">
        <v>20190315</v>
      </c>
      <c r="Z290">
        <v>53.9</v>
      </c>
      <c r="AA290">
        <v>20.6</v>
      </c>
      <c r="AB290">
        <f t="shared" si="90"/>
        <v>2.616504854368932</v>
      </c>
      <c r="AY290" t="str">
        <v>13/07/2023</v>
      </c>
      <c r="AZ290">
        <v>54.2</v>
      </c>
      <c r="BA290">
        <v>18</v>
      </c>
      <c r="BB290">
        <f t="shared" si="91"/>
        <v>3.0111111111111111</v>
      </c>
    </row>
    <row r="291" spans="1:54" x14ac:dyDescent="0.3">
      <c r="A291" s="11">
        <v>45105</v>
      </c>
      <c r="B291">
        <v>0.49855907780979802</v>
      </c>
      <c r="C291">
        <v>4378.41</v>
      </c>
      <c r="D291">
        <v>103.17</v>
      </c>
      <c r="E291">
        <v>1913.73</v>
      </c>
      <c r="F291">
        <v>81.16</v>
      </c>
      <c r="G291">
        <v>48.88</v>
      </c>
      <c r="H291" s="12">
        <f t="shared" si="82"/>
        <v>146.18880372204475</v>
      </c>
      <c r="I291" s="12">
        <f t="shared" si="83"/>
        <v>86.408304781855875</v>
      </c>
      <c r="J291" s="12">
        <f t="shared" si="85"/>
        <v>154.89479115659984</v>
      </c>
      <c r="K291" s="12">
        <f t="shared" si="86"/>
        <v>142.67423418891212</v>
      </c>
      <c r="L291" s="55">
        <v>17.044076481313201</v>
      </c>
      <c r="M291" s="55">
        <v>16.068932974887801</v>
      </c>
      <c r="P291" s="12"/>
      <c r="Q291" s="12"/>
      <c r="R291" s="12"/>
      <c r="S291" s="12"/>
      <c r="T291" s="55">
        <v>13.171218071950699</v>
      </c>
      <c r="U291" s="55">
        <v>12.4089826804097</v>
      </c>
      <c r="V291">
        <v>0.45369705671213201</v>
      </c>
      <c r="W291" s="12"/>
      <c r="X291" s="12"/>
      <c r="Y291" t="str">
        <v>20190308</v>
      </c>
      <c r="Z291">
        <v>52.4</v>
      </c>
      <c r="AA291">
        <v>21.4</v>
      </c>
      <c r="AB291">
        <f t="shared" si="90"/>
        <v>2.4485981308411215</v>
      </c>
      <c r="AY291" t="str">
        <v>12/07/2023</v>
      </c>
      <c r="AZ291">
        <v>54.2</v>
      </c>
      <c r="BA291">
        <v>18</v>
      </c>
      <c r="BB291">
        <f t="shared" si="91"/>
        <v>3.0111111111111111</v>
      </c>
    </row>
    <row r="292" spans="1:54" x14ac:dyDescent="0.3">
      <c r="A292" s="11">
        <v>45104</v>
      </c>
      <c r="B292">
        <v>0.49404761904761901</v>
      </c>
      <c r="C292">
        <v>4328.82</v>
      </c>
      <c r="D292">
        <v>103.44</v>
      </c>
      <c r="E292">
        <v>1923.21</v>
      </c>
      <c r="F292">
        <v>81.28</v>
      </c>
      <c r="G292">
        <v>48.45</v>
      </c>
      <c r="H292" s="12">
        <f t="shared" si="82"/>
        <v>144.16103651366467</v>
      </c>
      <c r="I292" s="12">
        <f t="shared" si="83"/>
        <v>85.015325554094147</v>
      </c>
      <c r="J292" s="12">
        <f t="shared" si="85"/>
        <v>152.91724157327755</v>
      </c>
      <c r="K292" s="12">
        <f t="shared" si="86"/>
        <v>142.30698982808121</v>
      </c>
      <c r="L292" s="55">
        <v>16.788394659704899</v>
      </c>
      <c r="M292" s="55">
        <v>15.739095723061</v>
      </c>
      <c r="P292" s="12"/>
      <c r="Q292" s="12"/>
      <c r="R292" s="12"/>
      <c r="S292" s="12"/>
      <c r="T292" s="55">
        <v>13.0174063222481</v>
      </c>
      <c r="U292" s="55">
        <v>12.268291122340599</v>
      </c>
      <c r="V292">
        <v>0.45743145743145702</v>
      </c>
      <c r="W292" s="12"/>
      <c r="X292" s="12"/>
      <c r="Y292" t="str">
        <v>20190301</v>
      </c>
      <c r="Z292">
        <v>52.9</v>
      </c>
      <c r="AA292">
        <v>20.6</v>
      </c>
      <c r="AB292">
        <f t="shared" si="90"/>
        <v>2.5679611650485437</v>
      </c>
      <c r="AY292" t="str">
        <v>11/07/2023</v>
      </c>
      <c r="AZ292">
        <v>54.2</v>
      </c>
      <c r="BA292">
        <v>18</v>
      </c>
      <c r="BB292">
        <f t="shared" si="91"/>
        <v>3.0111111111111111</v>
      </c>
    </row>
    <row r="293" spans="1:54" x14ac:dyDescent="0.3">
      <c r="A293" s="11">
        <v>45101</v>
      </c>
      <c r="B293">
        <v>0.49560117302052797</v>
      </c>
      <c r="C293">
        <v>4348.33</v>
      </c>
      <c r="D293">
        <v>103.33</v>
      </c>
      <c r="E293">
        <v>1921.7</v>
      </c>
      <c r="F293">
        <v>81.22</v>
      </c>
      <c r="G293">
        <v>48.32</v>
      </c>
      <c r="H293" s="12">
        <f t="shared" si="82"/>
        <v>144.96578951543762</v>
      </c>
      <c r="I293" s="12">
        <f t="shared" si="83"/>
        <v>85.46594840691273</v>
      </c>
      <c r="J293" s="12">
        <f t="shared" si="85"/>
        <v>153.72051029558568</v>
      </c>
      <c r="K293" s="12">
        <f t="shared" si="86"/>
        <v>143.3357358222614</v>
      </c>
      <c r="L293" s="55">
        <v>16.841315440104101</v>
      </c>
      <c r="M293" s="55">
        <v>15.7717762965005</v>
      </c>
      <c r="P293" s="12"/>
      <c r="Q293" s="12"/>
      <c r="R293" s="12"/>
      <c r="S293" s="12"/>
      <c r="T293" s="55">
        <v>12.887164193404899</v>
      </c>
      <c r="U293" s="55">
        <v>12.1700851792313</v>
      </c>
      <c r="V293">
        <v>0.47004933051444697</v>
      </c>
      <c r="W293" s="12"/>
      <c r="X293" s="12"/>
      <c r="Y293" t="str">
        <v>20190222</v>
      </c>
      <c r="Z293">
        <v>52.4</v>
      </c>
      <c r="AA293">
        <v>20.399999999999999</v>
      </c>
      <c r="AB293">
        <f t="shared" si="90"/>
        <v>2.5686274509803924</v>
      </c>
      <c r="AY293" t="str">
        <v>10/07/2023</v>
      </c>
      <c r="AZ293">
        <v>54.2</v>
      </c>
      <c r="BA293">
        <v>18</v>
      </c>
      <c r="BB293">
        <f t="shared" si="91"/>
        <v>3.0111111111111111</v>
      </c>
    </row>
    <row r="294" spans="1:54" x14ac:dyDescent="0.3">
      <c r="A294" s="11">
        <v>45100</v>
      </c>
      <c r="B294">
        <v>0.51176470588235301</v>
      </c>
      <c r="C294">
        <v>4381.8900000000003</v>
      </c>
      <c r="D294">
        <v>102.31</v>
      </c>
      <c r="E294">
        <v>1913.84</v>
      </c>
      <c r="F294">
        <v>81.150000000000006</v>
      </c>
      <c r="G294">
        <v>49.06</v>
      </c>
      <c r="H294" s="12">
        <f t="shared" si="82"/>
        <v>147.56717683792775</v>
      </c>
      <c r="I294" s="12">
        <f t="shared" si="83"/>
        <v>86.483489099205329</v>
      </c>
      <c r="J294" s="12">
        <f t="shared" si="85"/>
        <v>155.04168182526143</v>
      </c>
      <c r="K294" s="12">
        <f t="shared" si="86"/>
        <v>142.27934363696662</v>
      </c>
      <c r="L294" s="55">
        <v>16.402165031829401</v>
      </c>
      <c r="M294" s="55">
        <v>15.351678850400701</v>
      </c>
      <c r="P294" s="12"/>
      <c r="Q294" s="12"/>
      <c r="R294" s="12"/>
      <c r="S294" s="12"/>
      <c r="T294" s="55">
        <v>12.6018614752949</v>
      </c>
      <c r="U294" s="55">
        <v>11.8571017210135</v>
      </c>
      <c r="V294">
        <v>0.47208480565371003</v>
      </c>
      <c r="W294" s="12"/>
      <c r="X294" s="12"/>
      <c r="Y294" t="str">
        <v>20190215</v>
      </c>
      <c r="Z294">
        <v>51.9</v>
      </c>
      <c r="AA294">
        <v>20.7</v>
      </c>
      <c r="AB294">
        <f t="shared" si="90"/>
        <v>2.5072463768115942</v>
      </c>
      <c r="AY294" t="str">
        <v>07/07/2023</v>
      </c>
      <c r="AZ294">
        <v>51.4</v>
      </c>
      <c r="BA294">
        <v>18.100000000000001</v>
      </c>
      <c r="BB294">
        <f t="shared" si="91"/>
        <v>2.8397790055248615</v>
      </c>
    </row>
    <row r="295" spans="1:54" x14ac:dyDescent="0.3">
      <c r="A295" s="11">
        <v>45099</v>
      </c>
      <c r="B295">
        <v>0.50737463126843696</v>
      </c>
      <c r="C295">
        <v>4365.6899999999996</v>
      </c>
      <c r="D295">
        <v>103.56</v>
      </c>
      <c r="E295">
        <v>1932.6</v>
      </c>
      <c r="F295">
        <v>81.239999999999995</v>
      </c>
      <c r="G295">
        <v>49.33</v>
      </c>
      <c r="H295" s="12">
        <f t="shared" si="82"/>
        <v>145.27459110113406</v>
      </c>
      <c r="I295" s="12">
        <f t="shared" si="83"/>
        <v>85.338427978893321</v>
      </c>
      <c r="J295" s="12">
        <f t="shared" si="85"/>
        <v>154.29818333284587</v>
      </c>
      <c r="K295" s="12">
        <f t="shared" si="86"/>
        <v>140.98452813682886</v>
      </c>
      <c r="L295" s="55">
        <v>15.9896835826467</v>
      </c>
      <c r="M295" s="55">
        <v>14.9040378855738</v>
      </c>
      <c r="P295" s="12"/>
      <c r="Q295" s="12"/>
      <c r="R295" s="12"/>
      <c r="S295" s="12"/>
      <c r="T295" s="55">
        <v>12.228362109156601</v>
      </c>
      <c r="U295" s="55">
        <v>11.4456919228489</v>
      </c>
      <c r="V295">
        <v>0.474719101123595</v>
      </c>
      <c r="W295" s="12"/>
      <c r="X295" s="12"/>
      <c r="Y295" t="str">
        <v>20190208</v>
      </c>
      <c r="Z295">
        <v>49.5</v>
      </c>
      <c r="AA295">
        <v>21.5</v>
      </c>
      <c r="AB295">
        <f t="shared" si="90"/>
        <v>2.3023255813953489</v>
      </c>
      <c r="AY295" t="str">
        <v>06/07/2023</v>
      </c>
      <c r="AZ295">
        <v>51.4</v>
      </c>
      <c r="BA295">
        <v>18.100000000000001</v>
      </c>
      <c r="BB295">
        <f t="shared" si="91"/>
        <v>2.8397790055248615</v>
      </c>
    </row>
    <row r="296" spans="1:54" x14ac:dyDescent="0.3">
      <c r="A296" s="11">
        <v>45098</v>
      </c>
      <c r="B296">
        <v>0.50299401197604798</v>
      </c>
      <c r="C296">
        <v>4388.71</v>
      </c>
      <c r="D296">
        <v>103.31</v>
      </c>
      <c r="E296">
        <v>1936.29</v>
      </c>
      <c r="F296">
        <v>81.239999999999995</v>
      </c>
      <c r="G296">
        <v>49.3</v>
      </c>
      <c r="H296" s="12">
        <f t="shared" si="82"/>
        <v>146.39674828720194</v>
      </c>
      <c r="I296" s="12">
        <f t="shared" si="83"/>
        <v>85.624376647997494</v>
      </c>
      <c r="J296" s="12">
        <f t="shared" si="85"/>
        <v>155.11178763831012</v>
      </c>
      <c r="K296" s="12">
        <f t="shared" si="86"/>
        <v>141.8146824079007</v>
      </c>
      <c r="L296" s="55">
        <v>15.716630273763901</v>
      </c>
      <c r="M296" s="55">
        <v>14.546239913057001</v>
      </c>
      <c r="P296" s="12"/>
      <c r="Q296" s="12"/>
      <c r="R296" s="12"/>
      <c r="S296" s="12"/>
      <c r="T296" s="55">
        <v>12.163279558218701</v>
      </c>
      <c r="U296" s="55">
        <v>11.3498618635466</v>
      </c>
      <c r="V296">
        <v>0.47323943661971801</v>
      </c>
      <c r="W296" s="12"/>
      <c r="X296" s="12"/>
      <c r="Y296" t="str">
        <v>20190201</v>
      </c>
      <c r="Z296">
        <v>48.6</v>
      </c>
      <c r="AA296">
        <v>20.6</v>
      </c>
      <c r="AB296">
        <f t="shared" si="90"/>
        <v>2.3592233009708736</v>
      </c>
      <c r="AY296" t="str">
        <v>05/07/2023</v>
      </c>
      <c r="AZ296">
        <v>51.4</v>
      </c>
      <c r="BA296">
        <v>18.100000000000001</v>
      </c>
      <c r="BB296">
        <f t="shared" si="91"/>
        <v>2.8397790055248615</v>
      </c>
    </row>
    <row r="297" spans="1:54" x14ac:dyDescent="0.3">
      <c r="A297" s="11">
        <v>45094</v>
      </c>
      <c r="B297">
        <v>0.5</v>
      </c>
      <c r="C297">
        <v>4409.59</v>
      </c>
      <c r="D297">
        <v>102.6</v>
      </c>
      <c r="E297">
        <v>1957.85</v>
      </c>
      <c r="F297">
        <v>81.209999999999994</v>
      </c>
      <c r="G297">
        <v>50.07</v>
      </c>
      <c r="H297" s="12">
        <f t="shared" si="82"/>
        <v>148.12315507326525</v>
      </c>
      <c r="I297" s="12">
        <f t="shared" si="83"/>
        <v>85.09026966514152</v>
      </c>
      <c r="J297" s="12">
        <f t="shared" si="85"/>
        <v>155.90762539918137</v>
      </c>
      <c r="K297" s="12">
        <f t="shared" si="86"/>
        <v>140.32119675778299</v>
      </c>
      <c r="L297" s="55">
        <v>15.3826190050167</v>
      </c>
      <c r="M297" s="55">
        <v>14.153432559247699</v>
      </c>
      <c r="P297" s="12"/>
      <c r="Q297" s="12"/>
      <c r="R297" s="12"/>
      <c r="S297" s="12"/>
      <c r="T297" s="55">
        <v>12.191698817796601</v>
      </c>
      <c r="U297" s="55">
        <v>11.3298134544379</v>
      </c>
      <c r="V297">
        <v>0.46861924686192502</v>
      </c>
      <c r="W297" s="12"/>
      <c r="X297" s="12"/>
      <c r="Y297" t="str">
        <v>20190125</v>
      </c>
      <c r="Z297">
        <v>45.8</v>
      </c>
      <c r="AA297">
        <v>20.6</v>
      </c>
      <c r="AB297">
        <f t="shared" si="90"/>
        <v>2.2233009708737863</v>
      </c>
      <c r="AY297" t="str">
        <v>04/07/2023</v>
      </c>
      <c r="AZ297">
        <v>51.4</v>
      </c>
      <c r="BA297">
        <v>18.100000000000001</v>
      </c>
      <c r="BB297">
        <f t="shared" si="91"/>
        <v>2.8397790055248615</v>
      </c>
    </row>
    <row r="298" spans="1:54" x14ac:dyDescent="0.3">
      <c r="A298" s="11">
        <v>45093</v>
      </c>
      <c r="B298">
        <v>0.51008645533141195</v>
      </c>
      <c r="C298">
        <v>4425.84</v>
      </c>
      <c r="D298">
        <v>103</v>
      </c>
      <c r="E298">
        <v>1958.03</v>
      </c>
      <c r="F298">
        <v>81.319999999999993</v>
      </c>
      <c r="G298">
        <v>50.2</v>
      </c>
      <c r="H298" s="12">
        <f t="shared" si="82"/>
        <v>148.09177801719881</v>
      </c>
      <c r="I298" s="12">
        <f t="shared" si="83"/>
        <v>85.395960754606264</v>
      </c>
      <c r="J298" s="12">
        <f t="shared" si="85"/>
        <v>156.27000595292481</v>
      </c>
      <c r="K298" s="12">
        <f t="shared" si="86"/>
        <v>140.47318564926428</v>
      </c>
      <c r="L298" s="55">
        <v>16.570384606073599</v>
      </c>
      <c r="M298" s="55">
        <v>15.1627470622542</v>
      </c>
      <c r="P298" s="12"/>
      <c r="Q298" s="12"/>
      <c r="R298" s="12"/>
      <c r="S298" s="12"/>
      <c r="T298" s="55">
        <v>12.6498462211886</v>
      </c>
      <c r="U298" s="55">
        <v>11.713499523612301</v>
      </c>
      <c r="V298">
        <v>0.46485734168406401</v>
      </c>
      <c r="W298" s="12"/>
      <c r="X298" s="12"/>
      <c r="Y298" t="str">
        <v>20190118</v>
      </c>
      <c r="Z298">
        <v>45.4</v>
      </c>
      <c r="AA298">
        <v>21.3</v>
      </c>
      <c r="AB298">
        <f t="shared" si="90"/>
        <v>2.1314553990610325</v>
      </c>
      <c r="AY298" t="str">
        <v>03/07/2023</v>
      </c>
      <c r="AZ298">
        <v>51.4</v>
      </c>
      <c r="BA298">
        <v>18.100000000000001</v>
      </c>
      <c r="BB298">
        <f t="shared" si="91"/>
        <v>2.8397790055248615</v>
      </c>
    </row>
    <row r="299" spans="1:54" x14ac:dyDescent="0.3">
      <c r="A299" s="11">
        <v>45092</v>
      </c>
      <c r="B299">
        <v>0.54</v>
      </c>
      <c r="C299">
        <v>4372.59</v>
      </c>
      <c r="D299">
        <v>102.02</v>
      </c>
      <c r="E299">
        <v>1942.05</v>
      </c>
      <c r="F299">
        <v>81.150000000000006</v>
      </c>
      <c r="G299">
        <v>49.68</v>
      </c>
      <c r="H299" s="12">
        <f t="shared" si="82"/>
        <v>147.71183697294276</v>
      </c>
      <c r="I299" s="12">
        <f t="shared" si="83"/>
        <v>85.059997702851533</v>
      </c>
      <c r="J299" s="12">
        <f t="shared" si="85"/>
        <v>154.71002593361061</v>
      </c>
      <c r="K299" s="12">
        <f t="shared" si="86"/>
        <v>140.23322580930301</v>
      </c>
      <c r="L299" s="55">
        <v>16.825178502292001</v>
      </c>
      <c r="M299" s="55">
        <v>15.3172936746875</v>
      </c>
      <c r="P299" s="12"/>
      <c r="Q299" s="12"/>
      <c r="R299" s="12"/>
      <c r="S299" s="12"/>
      <c r="T299" s="55">
        <v>12.728372674049099</v>
      </c>
      <c r="U299" s="55">
        <v>11.705880965703701</v>
      </c>
      <c r="V299">
        <v>0.46440912232204601</v>
      </c>
      <c r="W299" s="12"/>
      <c r="X299" s="12"/>
      <c r="Y299" t="str">
        <v>20190111</v>
      </c>
      <c r="Z299">
        <v>42.1</v>
      </c>
      <c r="AA299">
        <v>25.2</v>
      </c>
      <c r="AB299">
        <f t="shared" si="90"/>
        <v>1.6706349206349207</v>
      </c>
      <c r="AY299" t="str">
        <v>30/06/2023</v>
      </c>
      <c r="AZ299">
        <v>54.9</v>
      </c>
      <c r="BA299">
        <v>18.3</v>
      </c>
      <c r="BB299">
        <f t="shared" si="91"/>
        <v>3</v>
      </c>
    </row>
    <row r="300" spans="1:54" x14ac:dyDescent="0.3">
      <c r="A300" s="11">
        <v>45091</v>
      </c>
      <c r="B300">
        <v>0.53801169590643305</v>
      </c>
      <c r="C300">
        <v>4369.01</v>
      </c>
      <c r="D300">
        <v>101.21</v>
      </c>
      <c r="E300">
        <v>1943.67</v>
      </c>
      <c r="F300">
        <v>81.2</v>
      </c>
      <c r="G300">
        <v>49.49</v>
      </c>
      <c r="H300" s="12">
        <f t="shared" si="82"/>
        <v>148.78064051557959</v>
      </c>
      <c r="I300" s="12">
        <f t="shared" si="83"/>
        <v>84.919635530289185</v>
      </c>
      <c r="J300" s="12">
        <f t="shared" si="85"/>
        <v>154.48830877029198</v>
      </c>
      <c r="K300" s="12">
        <f t="shared" si="86"/>
        <v>140.65797799516696</v>
      </c>
      <c r="L300" s="55">
        <v>17.622718198234399</v>
      </c>
      <c r="M300" s="55">
        <v>16.047221905776599</v>
      </c>
      <c r="P300" s="12"/>
      <c r="Q300" s="12"/>
      <c r="R300" s="12"/>
      <c r="S300" s="12"/>
      <c r="T300" s="55">
        <v>12.998769798308601</v>
      </c>
      <c r="U300" s="55">
        <v>11.923109312047901</v>
      </c>
      <c r="V300">
        <v>0.46433566433566398</v>
      </c>
      <c r="W300" s="12"/>
      <c r="X300" s="12"/>
      <c r="Y300" t="str">
        <v>20190104</v>
      </c>
      <c r="Z300">
        <v>34.799999999999997</v>
      </c>
      <c r="AA300">
        <v>29.4</v>
      </c>
      <c r="AB300">
        <f t="shared" si="90"/>
        <v>1.1836734693877551</v>
      </c>
      <c r="AY300" t="str">
        <v>29/06/2023</v>
      </c>
      <c r="AZ300">
        <v>54.9</v>
      </c>
      <c r="BA300">
        <v>18.3</v>
      </c>
      <c r="BB300">
        <f t="shared" si="91"/>
        <v>3</v>
      </c>
    </row>
    <row r="301" spans="1:54" x14ac:dyDescent="0.3">
      <c r="A301" s="11">
        <v>45090</v>
      </c>
      <c r="B301">
        <v>0.55214723926380405</v>
      </c>
      <c r="C301">
        <v>4338.93</v>
      </c>
      <c r="D301">
        <v>102.22</v>
      </c>
      <c r="E301">
        <v>1957.65</v>
      </c>
      <c r="F301">
        <v>81.349999999999994</v>
      </c>
      <c r="G301">
        <v>49</v>
      </c>
      <c r="H301" s="12">
        <f t="shared" si="82"/>
        <v>146.32051933509891</v>
      </c>
      <c r="I301" s="12">
        <f t="shared" si="83"/>
        <v>83.741080314640172</v>
      </c>
      <c r="J301" s="12">
        <f t="shared" si="85"/>
        <v>153.14424303635144</v>
      </c>
      <c r="K301" s="12">
        <f t="shared" si="86"/>
        <v>141.09076194835342</v>
      </c>
      <c r="L301" s="55">
        <v>16.963966350462201</v>
      </c>
      <c r="M301" s="55">
        <v>15.322617771393301</v>
      </c>
      <c r="P301" s="12"/>
      <c r="Q301" s="12"/>
      <c r="R301" s="12"/>
      <c r="S301" s="12"/>
      <c r="T301" s="55">
        <v>12.870070781141401</v>
      </c>
      <c r="U301" s="55">
        <v>11.7412238334714</v>
      </c>
      <c r="V301">
        <v>0.46436132674664798</v>
      </c>
      <c r="W301" s="12"/>
      <c r="X301" s="12"/>
      <c r="Y301" t="str">
        <v>20181228</v>
      </c>
      <c r="Z301">
        <v>29.9</v>
      </c>
      <c r="AA301">
        <v>34.6</v>
      </c>
      <c r="AB301">
        <f t="shared" si="90"/>
        <v>0.86416184971098253</v>
      </c>
      <c r="AY301" t="str">
        <v>28/06/2023</v>
      </c>
      <c r="AZ301">
        <v>54.9</v>
      </c>
      <c r="BA301">
        <v>18.3</v>
      </c>
      <c r="BB301">
        <f t="shared" si="91"/>
        <v>3</v>
      </c>
    </row>
    <row r="302" spans="1:54" x14ac:dyDescent="0.3">
      <c r="A302" s="11">
        <v>45087</v>
      </c>
      <c r="B302">
        <v>0.54390934844192595</v>
      </c>
      <c r="C302">
        <v>4298.8599999999997</v>
      </c>
      <c r="D302">
        <v>101.92</v>
      </c>
      <c r="E302">
        <v>1960.99</v>
      </c>
      <c r="F302">
        <v>81.28</v>
      </c>
      <c r="G302">
        <v>48.84</v>
      </c>
      <c r="H302" s="12">
        <f t="shared" si="82"/>
        <v>145.39326062339612</v>
      </c>
      <c r="I302" s="12">
        <f t="shared" si="83"/>
        <v>82.827960268135001</v>
      </c>
      <c r="J302" s="12">
        <f t="shared" si="85"/>
        <v>151.85953335103846</v>
      </c>
      <c r="K302" s="12">
        <f t="shared" si="86"/>
        <v>140.24298294266433</v>
      </c>
      <c r="L302" s="55">
        <v>17.612754865542598</v>
      </c>
      <c r="M302" s="55">
        <v>15.931778738292801</v>
      </c>
      <c r="P302" s="12"/>
      <c r="Q302" s="12"/>
      <c r="R302" s="12"/>
      <c r="S302" s="12"/>
      <c r="T302" s="55">
        <v>13.0405795800345</v>
      </c>
      <c r="U302" s="55">
        <v>11.865692831810399</v>
      </c>
      <c r="V302">
        <v>0.46983050847457603</v>
      </c>
      <c r="W302" s="12"/>
      <c r="X302" s="12"/>
      <c r="Y302" t="str">
        <v>20181221</v>
      </c>
      <c r="Z302" t="e">
        <v>#N/A</v>
      </c>
      <c r="AA302" t="e">
        <v>#N/A</v>
      </c>
      <c r="AB302" t="str">
        <f t="shared" si="90"/>
        <v/>
      </c>
      <c r="AY302" t="str">
        <v>27/06/2023</v>
      </c>
      <c r="AZ302">
        <v>54.9</v>
      </c>
      <c r="BA302">
        <v>18.3</v>
      </c>
      <c r="BB302">
        <f t="shared" si="91"/>
        <v>3</v>
      </c>
    </row>
    <row r="303" spans="1:54" x14ac:dyDescent="0.3">
      <c r="A303" s="11">
        <v>45086</v>
      </c>
      <c r="B303">
        <v>0.55142857142857105</v>
      </c>
      <c r="C303">
        <v>4293.93</v>
      </c>
      <c r="D303">
        <v>102.06</v>
      </c>
      <c r="E303">
        <v>1968.1</v>
      </c>
      <c r="F303">
        <v>81.430000000000007</v>
      </c>
      <c r="G303">
        <v>48.82</v>
      </c>
      <c r="H303" s="12">
        <f t="shared" si="82"/>
        <v>145.02780874980638</v>
      </c>
      <c r="I303" s="12">
        <f t="shared" si="83"/>
        <v>82.435505134241566</v>
      </c>
      <c r="J303" s="12">
        <f t="shared" si="85"/>
        <v>151.40679594587934</v>
      </c>
      <c r="K303" s="12">
        <f t="shared" si="86"/>
        <v>140.13949494337004</v>
      </c>
      <c r="L303" s="55">
        <v>17.9219471195998</v>
      </c>
      <c r="M303" s="55">
        <v>16.204567865245</v>
      </c>
      <c r="P303" s="12"/>
      <c r="Q303" s="12"/>
      <c r="R303" s="12"/>
      <c r="S303" s="12"/>
      <c r="T303" s="55">
        <v>13.1899480196833</v>
      </c>
      <c r="U303" s="55">
        <v>11.977838078666901</v>
      </c>
      <c r="V303">
        <v>0.47246770904146801</v>
      </c>
      <c r="W303" s="12"/>
      <c r="X303" s="12"/>
      <c r="Y303" t="str">
        <v>20181214</v>
      </c>
      <c r="Z303">
        <v>39.299999999999997</v>
      </c>
      <c r="AA303">
        <v>21.4</v>
      </c>
      <c r="AB303">
        <f t="shared" si="90"/>
        <v>1.8364485981308412</v>
      </c>
      <c r="AY303" t="str">
        <v>26/06/2023</v>
      </c>
      <c r="AZ303">
        <v>54.9</v>
      </c>
      <c r="BA303">
        <v>18.3</v>
      </c>
      <c r="BB303">
        <f t="shared" si="91"/>
        <v>3</v>
      </c>
    </row>
    <row r="304" spans="1:54" x14ac:dyDescent="0.3">
      <c r="A304" s="11">
        <v>45085</v>
      </c>
      <c r="B304">
        <v>0.54901960784313697</v>
      </c>
      <c r="C304">
        <v>4267.5200000000004</v>
      </c>
      <c r="D304">
        <v>100.88</v>
      </c>
      <c r="E304">
        <v>1939.99</v>
      </c>
      <c r="F304">
        <v>81.3</v>
      </c>
      <c r="G304">
        <v>48.38</v>
      </c>
      <c r="H304" s="12">
        <f t="shared" si="82"/>
        <v>145.83111357535634</v>
      </c>
      <c r="I304" s="12">
        <f t="shared" si="83"/>
        <v>83.125543519744909</v>
      </c>
      <c r="J304" s="12">
        <f t="shared" si="85"/>
        <v>150.71507553652492</v>
      </c>
      <c r="K304" s="12">
        <f t="shared" si="86"/>
        <v>140.54793584493214</v>
      </c>
      <c r="L304" s="55">
        <v>17.683368836714799</v>
      </c>
      <c r="M304" s="55">
        <v>15.8664796028142</v>
      </c>
      <c r="P304" s="12"/>
      <c r="Q304" s="12"/>
      <c r="R304" s="12"/>
      <c r="S304" s="12"/>
      <c r="T304" s="55">
        <v>13.2513345635486</v>
      </c>
      <c r="U304" s="55">
        <v>11.9913238692215</v>
      </c>
      <c r="V304">
        <v>0.47414965986394603</v>
      </c>
      <c r="W304" s="12"/>
      <c r="X304" s="12"/>
      <c r="Y304" t="str">
        <v>20181207</v>
      </c>
      <c r="Z304">
        <v>45.4</v>
      </c>
      <c r="AA304">
        <v>20.399999999999999</v>
      </c>
      <c r="AB304">
        <f t="shared" si="90"/>
        <v>2.2254901960784315</v>
      </c>
      <c r="AY304" t="str">
        <v>23/06/2023</v>
      </c>
      <c r="AZ304">
        <v>50</v>
      </c>
      <c r="BA304">
        <v>18.600000000000001</v>
      </c>
      <c r="BB304">
        <f t="shared" si="91"/>
        <v>2.6881720430107525</v>
      </c>
    </row>
    <row r="305" spans="1:54" x14ac:dyDescent="0.3">
      <c r="A305" s="11">
        <v>45084</v>
      </c>
      <c r="B305">
        <v>0.55113636363636398</v>
      </c>
      <c r="C305">
        <v>4283.8500000000004</v>
      </c>
      <c r="D305">
        <v>102.4</v>
      </c>
      <c r="E305">
        <v>1963.41</v>
      </c>
      <c r="F305">
        <v>81.36</v>
      </c>
      <c r="G305">
        <v>49.53</v>
      </c>
      <c r="H305" s="12">
        <f t="shared" si="82"/>
        <v>144.23989390687268</v>
      </c>
      <c r="I305" s="12">
        <f t="shared" si="83"/>
        <v>82.456308711189081</v>
      </c>
      <c r="J305" s="12">
        <f t="shared" si="85"/>
        <v>151.17988238186561</v>
      </c>
      <c r="K305" s="12">
        <f t="shared" si="86"/>
        <v>137.87234918770957</v>
      </c>
      <c r="L305" s="55">
        <v>17.432811209157901</v>
      </c>
      <c r="M305" s="55">
        <v>15.468804850641799</v>
      </c>
      <c r="P305" s="12"/>
      <c r="Q305" s="12"/>
      <c r="R305" s="12"/>
      <c r="S305" s="12"/>
      <c r="T305" s="55">
        <v>12.9344956653515</v>
      </c>
      <c r="U305" s="55">
        <v>11.572139033199701</v>
      </c>
      <c r="V305">
        <v>0.47882513661202197</v>
      </c>
      <c r="W305" s="12"/>
      <c r="X305" s="12"/>
      <c r="Y305" t="str">
        <v>20181130</v>
      </c>
      <c r="Z305">
        <v>46.7</v>
      </c>
      <c r="AA305">
        <v>21.5</v>
      </c>
      <c r="AB305">
        <f t="shared" si="90"/>
        <v>2.172093023255814</v>
      </c>
      <c r="AY305" t="str">
        <v>22/06/2023</v>
      </c>
      <c r="AZ305">
        <v>50</v>
      </c>
      <c r="BA305">
        <v>18.600000000000001</v>
      </c>
      <c r="BB305">
        <f t="shared" si="91"/>
        <v>2.6881720430107525</v>
      </c>
    </row>
    <row r="306" spans="1:54" x14ac:dyDescent="0.3">
      <c r="A306" s="11">
        <v>45083</v>
      </c>
      <c r="B306">
        <v>0.55397727272727304</v>
      </c>
      <c r="C306">
        <v>4273.79</v>
      </c>
      <c r="D306">
        <v>101.8</v>
      </c>
      <c r="E306">
        <v>1961.79</v>
      </c>
      <c r="F306">
        <v>81.400000000000006</v>
      </c>
      <c r="G306">
        <v>49.1</v>
      </c>
      <c r="H306" s="12">
        <f t="shared" si="82"/>
        <v>144.7523210326994</v>
      </c>
      <c r="I306" s="12">
        <f t="shared" si="83"/>
        <v>82.330498968546692</v>
      </c>
      <c r="J306" s="12">
        <f t="shared" si="85"/>
        <v>150.75095324067161</v>
      </c>
      <c r="K306" s="12">
        <f t="shared" si="86"/>
        <v>138.7609402324259</v>
      </c>
      <c r="L306" s="55">
        <v>18.110589021447801</v>
      </c>
      <c r="M306" s="55">
        <v>16.124514190137202</v>
      </c>
      <c r="P306" s="12"/>
      <c r="Q306" s="12"/>
      <c r="R306" s="12"/>
      <c r="S306" s="12"/>
      <c r="T306" s="55">
        <v>13.3150634018318</v>
      </c>
      <c r="U306" s="55">
        <v>11.948418896018</v>
      </c>
      <c r="V306">
        <v>0.48038540949759101</v>
      </c>
      <c r="W306" s="12"/>
      <c r="X306" s="12"/>
      <c r="Y306" t="str">
        <v>20181123</v>
      </c>
      <c r="Z306">
        <v>38.299999999999997</v>
      </c>
      <c r="AA306">
        <v>20.6</v>
      </c>
      <c r="AB306">
        <f t="shared" si="90"/>
        <v>1.8592233009708736</v>
      </c>
      <c r="AY306" t="str">
        <v>21/06/2023</v>
      </c>
      <c r="AZ306">
        <v>50</v>
      </c>
      <c r="BA306">
        <v>18.600000000000001</v>
      </c>
      <c r="BB306">
        <f t="shared" si="91"/>
        <v>2.6881720430107525</v>
      </c>
    </row>
    <row r="307" spans="1:54" x14ac:dyDescent="0.3">
      <c r="A307" s="11">
        <v>45080</v>
      </c>
      <c r="B307">
        <v>0.56892230576441105</v>
      </c>
      <c r="C307">
        <v>4282.37</v>
      </c>
      <c r="D307">
        <v>101.99</v>
      </c>
      <c r="E307">
        <v>1948.02</v>
      </c>
      <c r="F307">
        <v>81.38</v>
      </c>
      <c r="G307">
        <v>49.33</v>
      </c>
      <c r="H307" s="12">
        <f t="shared" si="82"/>
        <v>144.77268124141736</v>
      </c>
      <c r="I307" s="12">
        <f t="shared" si="83"/>
        <v>83.084262610556081</v>
      </c>
      <c r="J307" s="12">
        <f t="shared" si="85"/>
        <v>151.09080542705505</v>
      </c>
      <c r="K307" s="12">
        <f t="shared" si="86"/>
        <v>138.39296527456077</v>
      </c>
      <c r="L307" s="55">
        <v>18.1644380710107</v>
      </c>
      <c r="M307" s="55">
        <v>16.1416034006042</v>
      </c>
      <c r="P307" s="12"/>
      <c r="Q307" s="12"/>
      <c r="R307" s="12"/>
      <c r="S307" s="12"/>
      <c r="T307" s="55">
        <v>13.358772821337199</v>
      </c>
      <c r="U307" s="55">
        <v>11.965054480755599</v>
      </c>
      <c r="V307">
        <v>0.49107732980832802</v>
      </c>
      <c r="W307" s="12"/>
      <c r="X307" s="12"/>
      <c r="Y307" t="str">
        <v>20181116</v>
      </c>
      <c r="Z307">
        <v>39.6</v>
      </c>
      <c r="AA307">
        <v>19.8</v>
      </c>
      <c r="AB307">
        <f t="shared" si="90"/>
        <v>2</v>
      </c>
      <c r="AY307" t="str">
        <v>20/06/2023</v>
      </c>
      <c r="AZ307">
        <v>50</v>
      </c>
      <c r="BA307">
        <v>18.600000000000001</v>
      </c>
      <c r="BB307">
        <f t="shared" si="91"/>
        <v>2.6881720430107525</v>
      </c>
    </row>
    <row r="308" spans="1:54" x14ac:dyDescent="0.3">
      <c r="A308" s="11">
        <v>45079</v>
      </c>
      <c r="B308">
        <v>0.57425742574257399</v>
      </c>
      <c r="C308">
        <v>4221.0200000000004</v>
      </c>
      <c r="D308">
        <v>103.12</v>
      </c>
      <c r="E308">
        <v>1977.65</v>
      </c>
      <c r="F308">
        <v>81.61</v>
      </c>
      <c r="G308">
        <v>48.61</v>
      </c>
      <c r="H308" s="12">
        <f t="shared" si="82"/>
        <v>141.17380674514217</v>
      </c>
      <c r="I308" s="12">
        <f t="shared" si="83"/>
        <v>80.702189772026799</v>
      </c>
      <c r="J308" s="12">
        <f t="shared" si="85"/>
        <v>148.51369426377417</v>
      </c>
      <c r="K308" s="12">
        <f t="shared" si="86"/>
        <v>138.43136135673922</v>
      </c>
      <c r="L308" s="55">
        <v>18.785103190309901</v>
      </c>
      <c r="M308" s="55">
        <v>16.849156931564998</v>
      </c>
      <c r="P308" s="12"/>
      <c r="Q308" s="12"/>
      <c r="R308" s="12"/>
      <c r="S308" s="12"/>
      <c r="T308" s="55">
        <v>13.805430477865899</v>
      </c>
      <c r="U308" s="55">
        <v>12.4768911752933</v>
      </c>
      <c r="V308">
        <v>0.487433862433862</v>
      </c>
      <c r="W308" s="12"/>
      <c r="X308" s="12"/>
      <c r="Y308" t="str">
        <v>20181109</v>
      </c>
      <c r="Z308">
        <v>42.9</v>
      </c>
      <c r="AA308">
        <v>19</v>
      </c>
      <c r="AB308">
        <f t="shared" si="90"/>
        <v>2.2578947368421054</v>
      </c>
      <c r="AY308" t="str">
        <v>19/06/2023</v>
      </c>
      <c r="AZ308">
        <v>50</v>
      </c>
      <c r="BA308">
        <v>18.600000000000001</v>
      </c>
      <c r="BB308">
        <f t="shared" si="91"/>
        <v>2.6881720430107525</v>
      </c>
    </row>
    <row r="309" spans="1:54" x14ac:dyDescent="0.3">
      <c r="A309" s="11">
        <v>45077</v>
      </c>
      <c r="B309">
        <v>0.58024691358024705</v>
      </c>
      <c r="C309">
        <v>4179.83</v>
      </c>
      <c r="D309">
        <v>102.99</v>
      </c>
      <c r="E309">
        <v>1962.67</v>
      </c>
      <c r="F309">
        <v>81.680000000000007</v>
      </c>
      <c r="G309">
        <v>47.82</v>
      </c>
      <c r="H309" s="12">
        <f t="shared" si="82"/>
        <v>139.97114536904692</v>
      </c>
      <c r="I309" s="12">
        <f t="shared" si="83"/>
        <v>80.523266437700443</v>
      </c>
      <c r="J309" s="12">
        <f t="shared" si="85"/>
        <v>146.9397534000164</v>
      </c>
      <c r="K309" s="12">
        <f t="shared" si="86"/>
        <v>139.36031164024553</v>
      </c>
      <c r="L309" s="55">
        <v>18.974412327638401</v>
      </c>
      <c r="M309" s="55">
        <v>17.0744057192044</v>
      </c>
      <c r="P309" s="12"/>
      <c r="Q309" s="12"/>
      <c r="R309" s="12"/>
      <c r="S309" s="12"/>
      <c r="T309" s="55">
        <v>14.0575320351237</v>
      </c>
      <c r="U309" s="55">
        <v>12.7879162762822</v>
      </c>
      <c r="V309">
        <v>0.49414824447334199</v>
      </c>
      <c r="W309" s="12"/>
      <c r="X309" s="12"/>
      <c r="Y309" t="str">
        <v>20181102</v>
      </c>
      <c r="Z309">
        <v>42.5</v>
      </c>
      <c r="AA309">
        <v>19.8</v>
      </c>
      <c r="AB309">
        <f t="shared" si="90"/>
        <v>2.1464646464646462</v>
      </c>
      <c r="AY309" t="str">
        <v>16/06/2023</v>
      </c>
      <c r="AZ309">
        <v>54.3</v>
      </c>
      <c r="BA309">
        <v>20</v>
      </c>
      <c r="BB309">
        <f t="shared" si="91"/>
        <v>2.7149999999999999</v>
      </c>
    </row>
    <row r="310" spans="1:54" x14ac:dyDescent="0.3">
      <c r="A310" s="11">
        <v>45077</v>
      </c>
      <c r="B310">
        <v>0.57999999999999996</v>
      </c>
      <c r="C310">
        <v>4205.5200000000004</v>
      </c>
      <c r="D310">
        <v>102.1</v>
      </c>
      <c r="E310">
        <v>1959.52</v>
      </c>
      <c r="F310">
        <v>81.599999999999994</v>
      </c>
      <c r="G310">
        <v>48.33</v>
      </c>
      <c r="H310" s="12">
        <f t="shared" si="82"/>
        <v>142.07752745139084</v>
      </c>
      <c r="I310" s="12">
        <f t="shared" si="83"/>
        <v>81.149429614248902</v>
      </c>
      <c r="J310" s="12">
        <f t="shared" si="85"/>
        <v>147.98885085185904</v>
      </c>
      <c r="K310" s="12">
        <f t="shared" si="86"/>
        <v>138.74376021469931</v>
      </c>
      <c r="L310" s="55">
        <v>19.097676379758202</v>
      </c>
      <c r="M310" s="55">
        <v>17.211801283498101</v>
      </c>
      <c r="P310" s="12"/>
      <c r="Q310" s="12"/>
      <c r="R310" s="12"/>
      <c r="S310" s="12"/>
      <c r="T310" s="55">
        <v>14.107999252301401</v>
      </c>
      <c r="U310" s="55">
        <v>12.835167405031299</v>
      </c>
      <c r="V310">
        <v>0.49151436031331602</v>
      </c>
      <c r="W310" s="12"/>
      <c r="X310" s="12"/>
      <c r="Y310" t="str">
        <v>20181026</v>
      </c>
      <c r="Z310">
        <v>44.3</v>
      </c>
      <c r="AA310">
        <v>19.8</v>
      </c>
      <c r="AB310">
        <f t="shared" si="90"/>
        <v>2.237373737373737</v>
      </c>
      <c r="AY310" t="str">
        <v>15/06/2023</v>
      </c>
      <c r="AZ310">
        <v>54.3</v>
      </c>
      <c r="BA310">
        <v>20</v>
      </c>
      <c r="BB310">
        <f t="shared" si="91"/>
        <v>2.7149999999999999</v>
      </c>
    </row>
    <row r="311" spans="1:54" x14ac:dyDescent="0.3">
      <c r="A311" s="11">
        <v>45073</v>
      </c>
      <c r="B311">
        <v>0.60183066361556103</v>
      </c>
      <c r="C311">
        <v>4205.45</v>
      </c>
      <c r="D311">
        <v>101.09</v>
      </c>
      <c r="E311">
        <v>1946.71</v>
      </c>
      <c r="F311">
        <v>81.44</v>
      </c>
      <c r="G311">
        <v>48.85</v>
      </c>
      <c r="H311" s="12">
        <f t="shared" si="82"/>
        <v>143.50895058693536</v>
      </c>
      <c r="I311" s="12">
        <f t="shared" si="83"/>
        <v>81.685588322277923</v>
      </c>
      <c r="J311" s="12">
        <f t="shared" si="85"/>
        <v>148.27769453667941</v>
      </c>
      <c r="K311" s="12">
        <f t="shared" si="86"/>
        <v>137.28015115273496</v>
      </c>
      <c r="L311" s="55">
        <v>19.0397960775474</v>
      </c>
      <c r="M311" s="55">
        <v>17.109144798172998</v>
      </c>
      <c r="P311" s="12"/>
      <c r="Q311" s="12"/>
      <c r="R311" s="12"/>
      <c r="S311" s="12"/>
      <c r="T311" s="55">
        <v>13.918879239953601</v>
      </c>
      <c r="U311" s="55">
        <v>12.552019606755399</v>
      </c>
      <c r="V311">
        <v>0.49618320610687</v>
      </c>
      <c r="W311" s="12"/>
      <c r="X311" s="12"/>
      <c r="Y311" t="str">
        <v>20181019</v>
      </c>
      <c r="Z311">
        <v>50.5</v>
      </c>
      <c r="AA311">
        <v>19</v>
      </c>
      <c r="AB311">
        <f t="shared" si="90"/>
        <v>2.6578947368421053</v>
      </c>
      <c r="AY311" t="str">
        <v>14/06/2023</v>
      </c>
      <c r="AZ311">
        <v>54.3</v>
      </c>
      <c r="BA311">
        <v>20</v>
      </c>
      <c r="BB311">
        <f t="shared" si="91"/>
        <v>2.7149999999999999</v>
      </c>
    </row>
    <row r="312" spans="1:54" x14ac:dyDescent="0.3">
      <c r="A312" s="11">
        <v>45072</v>
      </c>
      <c r="B312">
        <v>0.60317460317460303</v>
      </c>
      <c r="C312">
        <v>4151.28</v>
      </c>
      <c r="D312">
        <v>100.28</v>
      </c>
      <c r="E312">
        <v>1940.69</v>
      </c>
      <c r="F312">
        <v>81.459999999999994</v>
      </c>
      <c r="G312">
        <v>48.26</v>
      </c>
      <c r="H312" s="12">
        <f t="shared" si="82"/>
        <v>142.79901045910825</v>
      </c>
      <c r="I312" s="12">
        <f t="shared" si="83"/>
        <v>80.881064550988299</v>
      </c>
      <c r="J312" s="12">
        <f t="shared" si="85"/>
        <v>146.33227909038743</v>
      </c>
      <c r="K312" s="12">
        <f t="shared" si="86"/>
        <v>137.16718824007248</v>
      </c>
      <c r="L312" s="55">
        <v>18.935250905443201</v>
      </c>
      <c r="M312" s="55">
        <v>16.931315887337199</v>
      </c>
      <c r="P312" s="12"/>
      <c r="Q312" s="12"/>
      <c r="R312" s="12"/>
      <c r="S312" s="12"/>
      <c r="T312" s="55">
        <v>13.846824007869101</v>
      </c>
      <c r="U312" s="55">
        <v>12.4158911229122</v>
      </c>
      <c r="V312">
        <v>0.50829081632653095</v>
      </c>
      <c r="W312" s="12"/>
      <c r="X312" s="12"/>
      <c r="Y312" t="str">
        <v>20181012</v>
      </c>
      <c r="Z312">
        <v>51.9</v>
      </c>
      <c r="AA312">
        <v>18.3</v>
      </c>
      <c r="AB312">
        <f t="shared" si="90"/>
        <v>2.8360655737704916</v>
      </c>
      <c r="AY312" t="str">
        <v>13/06/2023</v>
      </c>
      <c r="AZ312">
        <v>54.3</v>
      </c>
      <c r="BA312">
        <v>20</v>
      </c>
      <c r="BB312">
        <f t="shared" si="91"/>
        <v>2.7149999999999999</v>
      </c>
    </row>
    <row r="313" spans="1:54" x14ac:dyDescent="0.3">
      <c r="A313" s="11">
        <v>45071</v>
      </c>
      <c r="B313">
        <v>0.60496613995485304</v>
      </c>
      <c r="C313">
        <v>4115.24</v>
      </c>
      <c r="D313">
        <v>100.53</v>
      </c>
      <c r="E313">
        <v>1957.15</v>
      </c>
      <c r="F313">
        <v>81.64</v>
      </c>
      <c r="G313">
        <v>48.36</v>
      </c>
      <c r="H313" s="12">
        <f t="shared" si="82"/>
        <v>141.21116004780234</v>
      </c>
      <c r="I313" s="12">
        <f t="shared" si="83"/>
        <v>79.515944422005433</v>
      </c>
      <c r="J313" s="12">
        <f t="shared" si="85"/>
        <v>144.74550755056654</v>
      </c>
      <c r="K313" s="12">
        <f t="shared" si="86"/>
        <v>135.6981854205828</v>
      </c>
      <c r="L313" s="55">
        <v>19.1221277036835</v>
      </c>
      <c r="M313" s="55">
        <v>17.157896341115901</v>
      </c>
      <c r="P313" s="12"/>
      <c r="Q313" s="12"/>
      <c r="R313" s="12"/>
      <c r="S313" s="12"/>
      <c r="T313" s="55">
        <v>14.1377382283841</v>
      </c>
      <c r="U313" s="55">
        <v>12.794362695275099</v>
      </c>
      <c r="V313">
        <v>0.51301587301587304</v>
      </c>
      <c r="W313" s="12"/>
      <c r="X313" s="12"/>
      <c r="Y313" t="str">
        <v>20181005</v>
      </c>
      <c r="Z313">
        <v>56.3</v>
      </c>
      <c r="AA313">
        <v>18.5</v>
      </c>
      <c r="AB313">
        <f t="shared" si="90"/>
        <v>3.0432432432432432</v>
      </c>
      <c r="AY313" t="str">
        <v>12/06/2023</v>
      </c>
      <c r="AZ313">
        <v>54.3</v>
      </c>
      <c r="BA313">
        <v>20</v>
      </c>
      <c r="BB313">
        <f t="shared" si="91"/>
        <v>2.7149999999999999</v>
      </c>
    </row>
    <row r="314" spans="1:54" x14ac:dyDescent="0.3">
      <c r="A314" s="11">
        <v>45070</v>
      </c>
      <c r="B314">
        <v>0.59731543624161099</v>
      </c>
      <c r="C314">
        <v>4145.58</v>
      </c>
      <c r="D314">
        <v>101.03</v>
      </c>
      <c r="E314">
        <v>1975.22</v>
      </c>
      <c r="F314">
        <v>81.739999999999995</v>
      </c>
      <c r="G314">
        <v>49</v>
      </c>
      <c r="H314" s="12">
        <f t="shared" si="82"/>
        <v>141.54657065900346</v>
      </c>
      <c r="I314" s="12">
        <f t="shared" si="83"/>
        <v>79.370719034150653</v>
      </c>
      <c r="J314" s="12">
        <f t="shared" si="85"/>
        <v>145.63317772907953</v>
      </c>
      <c r="K314" s="12">
        <f t="shared" si="86"/>
        <v>134.92337628490168</v>
      </c>
      <c r="L314" s="55">
        <v>19.062390982655</v>
      </c>
      <c r="M314" s="55">
        <v>17.0320448530919</v>
      </c>
      <c r="P314" s="12"/>
      <c r="Q314" s="12"/>
      <c r="R314" s="12"/>
      <c r="S314" s="12"/>
      <c r="T314" s="55">
        <v>14.164818319931101</v>
      </c>
      <c r="U314" s="55">
        <v>12.8049828150621</v>
      </c>
      <c r="V314">
        <v>0.51388888888888895</v>
      </c>
      <c r="W314" s="12"/>
      <c r="X314" s="12"/>
      <c r="Y314" t="str">
        <v>20180928</v>
      </c>
      <c r="Z314">
        <v>61.8</v>
      </c>
      <c r="AA314">
        <v>18.600000000000001</v>
      </c>
      <c r="AB314">
        <f t="shared" si="90"/>
        <v>3.32258064516129</v>
      </c>
      <c r="AY314" t="str">
        <v>09/06/2023</v>
      </c>
      <c r="AZ314">
        <v>53.4</v>
      </c>
      <c r="BA314">
        <v>20.6</v>
      </c>
      <c r="BB314">
        <f t="shared" si="91"/>
        <v>2.5922330097087376</v>
      </c>
    </row>
    <row r="315" spans="1:54" x14ac:dyDescent="0.3">
      <c r="A315" s="11">
        <v>45069</v>
      </c>
      <c r="B315">
        <v>0.59865470852017899</v>
      </c>
      <c r="C315">
        <v>4192.63</v>
      </c>
      <c r="D315">
        <v>100.74</v>
      </c>
      <c r="E315">
        <v>1971.78</v>
      </c>
      <c r="F315">
        <v>81.75</v>
      </c>
      <c r="G315">
        <v>49.71</v>
      </c>
      <c r="H315" s="12">
        <f t="shared" si="82"/>
        <v>143.57103286630911</v>
      </c>
      <c r="I315" s="12">
        <f t="shared" si="83"/>
        <v>80.413414820423924</v>
      </c>
      <c r="J315" s="12">
        <f t="shared" si="85"/>
        <v>147.26781347373824</v>
      </c>
      <c r="K315" s="12">
        <f t="shared" si="86"/>
        <v>134.51166735100165</v>
      </c>
      <c r="L315" s="55">
        <v>19.014598787981601</v>
      </c>
      <c r="M315" s="55">
        <v>16.9147341714879</v>
      </c>
      <c r="P315" s="12"/>
      <c r="Q315" s="12"/>
      <c r="R315" s="12"/>
      <c r="S315" s="12"/>
      <c r="T315" s="55">
        <v>14.106896201499101</v>
      </c>
      <c r="U315" s="55">
        <v>12.689385133906701</v>
      </c>
      <c r="V315">
        <v>0.51363348129359498</v>
      </c>
      <c r="W315" s="12"/>
      <c r="X315" s="12"/>
      <c r="Y315" t="str">
        <v>20180921</v>
      </c>
      <c r="Z315">
        <v>60.6</v>
      </c>
      <c r="AA315">
        <v>18.3</v>
      </c>
      <c r="AB315">
        <f t="shared" si="90"/>
        <v>3.3114754098360657</v>
      </c>
      <c r="AY315" t="str">
        <v>08/06/2023</v>
      </c>
      <c r="AZ315">
        <v>53.4</v>
      </c>
      <c r="BA315">
        <v>20.6</v>
      </c>
      <c r="BB315">
        <f t="shared" si="91"/>
        <v>2.5922330097087376</v>
      </c>
    </row>
    <row r="316" spans="1:54" x14ac:dyDescent="0.3">
      <c r="A316" s="11">
        <v>45066</v>
      </c>
      <c r="B316">
        <v>0.58620689655172398</v>
      </c>
      <c r="C316">
        <v>4191.9799999999996</v>
      </c>
      <c r="D316">
        <v>101.1</v>
      </c>
      <c r="E316">
        <v>1977.8</v>
      </c>
      <c r="F316">
        <v>81.78</v>
      </c>
      <c r="G316">
        <v>49.59</v>
      </c>
      <c r="H316" s="12">
        <f t="shared" si="82"/>
        <v>143.03951393106527</v>
      </c>
      <c r="I316" s="12">
        <f t="shared" si="83"/>
        <v>80.157005064387945</v>
      </c>
      <c r="J316" s="12">
        <f t="shared" si="85"/>
        <v>147.19099510433074</v>
      </c>
      <c r="K316" s="12">
        <f t="shared" si="86"/>
        <v>134.81699882974999</v>
      </c>
      <c r="L316" s="55">
        <v>19.001521779040399</v>
      </c>
      <c r="M316" s="55">
        <v>16.838714747538599</v>
      </c>
      <c r="P316" s="12"/>
      <c r="Q316" s="12"/>
      <c r="R316" s="12"/>
      <c r="S316" s="12"/>
      <c r="T316" s="55">
        <v>14.2662652054152</v>
      </c>
      <c r="U316" s="55">
        <v>12.8983138421306</v>
      </c>
      <c r="V316">
        <v>0.50565326633165797</v>
      </c>
      <c r="W316" s="12"/>
      <c r="X316" s="12"/>
      <c r="Y316" t="str">
        <v>20180914</v>
      </c>
      <c r="Z316">
        <v>59</v>
      </c>
      <c r="AA316">
        <v>18.100000000000001</v>
      </c>
      <c r="AB316">
        <f t="shared" si="90"/>
        <v>3.2596685082872927</v>
      </c>
      <c r="AY316" t="str">
        <v>07/06/2023</v>
      </c>
      <c r="AZ316">
        <v>53.4</v>
      </c>
      <c r="BA316">
        <v>20.6</v>
      </c>
      <c r="BB316">
        <f t="shared" si="91"/>
        <v>2.5922330097087376</v>
      </c>
    </row>
    <row r="317" spans="1:54" x14ac:dyDescent="0.3">
      <c r="A317" s="11">
        <v>45065</v>
      </c>
      <c r="B317">
        <v>0.58422174840085295</v>
      </c>
      <c r="C317">
        <v>4198.05</v>
      </c>
      <c r="D317">
        <v>101.82</v>
      </c>
      <c r="E317">
        <v>1957.83</v>
      </c>
      <c r="F317">
        <v>81.84</v>
      </c>
      <c r="G317">
        <v>49.42</v>
      </c>
      <c r="H317" s="12">
        <f t="shared" si="82"/>
        <v>142.23936163773581</v>
      </c>
      <c r="I317" s="12">
        <f t="shared" si="83"/>
        <v>81.101511470858483</v>
      </c>
      <c r="J317" s="12">
        <f t="shared" si="85"/>
        <v>147.29598349527464</v>
      </c>
      <c r="K317" s="12">
        <f t="shared" si="86"/>
        <v>135.47892341796145</v>
      </c>
      <c r="L317" s="55">
        <v>19.087549490754402</v>
      </c>
      <c r="M317" s="55">
        <v>16.9112674844156</v>
      </c>
      <c r="P317" s="12"/>
      <c r="Q317" s="12"/>
      <c r="R317" s="12"/>
      <c r="S317" s="12"/>
      <c r="T317" s="55">
        <v>14.3713556069562</v>
      </c>
      <c r="U317" s="55">
        <v>13.0291508229828</v>
      </c>
      <c r="V317">
        <v>0.50721003134796205</v>
      </c>
      <c r="W317" s="12"/>
      <c r="X317" s="12"/>
      <c r="Y317" t="str">
        <v>20180907</v>
      </c>
      <c r="Z317">
        <v>57.7</v>
      </c>
      <c r="AA317">
        <v>18.3</v>
      </c>
      <c r="AB317">
        <f t="shared" si="90"/>
        <v>3.1530054644808745</v>
      </c>
      <c r="AY317" t="str">
        <v>06/06/2023</v>
      </c>
      <c r="AZ317">
        <v>53.4</v>
      </c>
      <c r="BA317">
        <v>20.6</v>
      </c>
      <c r="BB317">
        <f t="shared" si="91"/>
        <v>2.5922330097087376</v>
      </c>
    </row>
    <row r="318" spans="1:54" x14ac:dyDescent="0.3">
      <c r="A318" s="11">
        <v>45064</v>
      </c>
      <c r="B318">
        <v>0.587096774193548</v>
      </c>
      <c r="C318">
        <v>4158.7700000000004</v>
      </c>
      <c r="D318">
        <v>102.58</v>
      </c>
      <c r="E318">
        <v>1982.09</v>
      </c>
      <c r="F318">
        <v>81.99</v>
      </c>
      <c r="G318">
        <v>49.53</v>
      </c>
      <c r="H318" s="12">
        <f t="shared" si="82"/>
        <v>139.88180048911022</v>
      </c>
      <c r="I318" s="12">
        <f t="shared" si="83"/>
        <v>79.380175696822391</v>
      </c>
      <c r="J318" s="12">
        <f t="shared" si="85"/>
        <v>145.65379640317823</v>
      </c>
      <c r="K318" s="12">
        <f t="shared" si="86"/>
        <v>133.91665485727617</v>
      </c>
      <c r="L318" s="55">
        <v>19.078136500617699</v>
      </c>
      <c r="M318" s="55">
        <v>16.836918486203899</v>
      </c>
      <c r="P318" s="12"/>
      <c r="Q318" s="12"/>
      <c r="R318" s="12"/>
      <c r="S318" s="12"/>
      <c r="T318" s="55">
        <v>14.523443964609999</v>
      </c>
      <c r="U318" s="55">
        <v>13.239463677227</v>
      </c>
      <c r="V318">
        <v>0.50565326633165797</v>
      </c>
      <c r="W318" s="12"/>
      <c r="X318" s="12"/>
      <c r="Y318" t="str">
        <v>20180831</v>
      </c>
      <c r="Z318">
        <v>60</v>
      </c>
      <c r="AA318">
        <v>18.100000000000001</v>
      </c>
      <c r="AB318">
        <f t="shared" si="90"/>
        <v>3.3149171270718227</v>
      </c>
      <c r="AY318" t="str">
        <v>05/06/2023</v>
      </c>
      <c r="AZ318">
        <v>53.4</v>
      </c>
      <c r="BA318">
        <v>20.6</v>
      </c>
      <c r="BB318">
        <f t="shared" si="91"/>
        <v>2.5922330097087376</v>
      </c>
    </row>
    <row r="319" spans="1:54" x14ac:dyDescent="0.3">
      <c r="A319" s="11">
        <v>45063</v>
      </c>
      <c r="B319">
        <v>0.58798283261802597</v>
      </c>
      <c r="C319">
        <v>4109.8999999999996</v>
      </c>
      <c r="D319">
        <v>102.88</v>
      </c>
      <c r="E319">
        <v>1988.94</v>
      </c>
      <c r="F319">
        <v>82.08</v>
      </c>
      <c r="G319">
        <v>49.32</v>
      </c>
      <c r="H319" s="12">
        <f t="shared" si="82"/>
        <v>137.84081647899035</v>
      </c>
      <c r="I319" s="12">
        <f t="shared" si="83"/>
        <v>78.18127785376771</v>
      </c>
      <c r="J319" s="12">
        <f t="shared" si="85"/>
        <v>143.78640050736888</v>
      </c>
      <c r="K319" s="12">
        <f t="shared" si="86"/>
        <v>132.90222642073084</v>
      </c>
      <c r="L319" s="55">
        <v>19.0923645025387</v>
      </c>
      <c r="M319" s="55">
        <v>16.798186049789699</v>
      </c>
      <c r="P319" s="12"/>
      <c r="Q319" s="12"/>
      <c r="R319" s="12"/>
      <c r="S319" s="12"/>
      <c r="T319" s="55">
        <v>14.4483137660586</v>
      </c>
      <c r="U319" s="55">
        <v>13.089425549974701</v>
      </c>
      <c r="V319">
        <v>0.49937106918238999</v>
      </c>
      <c r="W319" s="12"/>
      <c r="X319" s="12"/>
      <c r="Y319" t="str">
        <v>20180824</v>
      </c>
      <c r="Z319">
        <v>59.6</v>
      </c>
      <c r="AA319">
        <v>18.3</v>
      </c>
      <c r="AB319">
        <f t="shared" si="90"/>
        <v>3.2568306010928962</v>
      </c>
      <c r="AY319" t="str">
        <v>02/06/2023</v>
      </c>
      <c r="AZ319">
        <v>51.3</v>
      </c>
      <c r="BA319">
        <v>21.6</v>
      </c>
      <c r="BB319">
        <f t="shared" si="91"/>
        <v>2.3749999999999996</v>
      </c>
    </row>
    <row r="320" spans="1:54" x14ac:dyDescent="0.3">
      <c r="A320" s="11">
        <v>45062</v>
      </c>
      <c r="B320">
        <v>0.58405172413793105</v>
      </c>
      <c r="C320">
        <v>4136.28</v>
      </c>
      <c r="D320">
        <v>103.19</v>
      </c>
      <c r="E320">
        <v>2016.97</v>
      </c>
      <c r="F320">
        <v>82.18</v>
      </c>
      <c r="G320">
        <v>49.79</v>
      </c>
      <c r="H320" s="12">
        <f t="shared" si="82"/>
        <v>138.30740262920003</v>
      </c>
      <c r="I320" s="12">
        <f t="shared" si="83"/>
        <v>77.597791205008519</v>
      </c>
      <c r="J320" s="12">
        <f t="shared" si="85"/>
        <v>144.53231302804664</v>
      </c>
      <c r="K320" s="12">
        <f t="shared" si="86"/>
        <v>132.49653063739771</v>
      </c>
      <c r="L320" s="55">
        <v>19.168066205183202</v>
      </c>
      <c r="M320" s="55">
        <v>16.8548383838509</v>
      </c>
      <c r="P320" s="12"/>
      <c r="Q320" s="12"/>
      <c r="R320" s="12"/>
      <c r="S320" s="12"/>
      <c r="T320" s="55">
        <v>14.4503446140459</v>
      </c>
      <c r="U320" s="55">
        <v>13.068659803093</v>
      </c>
      <c r="V320">
        <v>0.49204328453214502</v>
      </c>
      <c r="W320" s="12"/>
      <c r="X320" s="12"/>
      <c r="Y320" t="str">
        <v>20180817</v>
      </c>
      <c r="Z320">
        <v>57.7</v>
      </c>
      <c r="AA320">
        <v>18.3</v>
      </c>
      <c r="AB320">
        <f t="shared" si="90"/>
        <v>3.1530054644808745</v>
      </c>
      <c r="AY320" t="str">
        <v>01/06/2023</v>
      </c>
      <c r="AZ320">
        <v>51.3</v>
      </c>
      <c r="BA320">
        <v>21.6</v>
      </c>
      <c r="BB320">
        <f t="shared" si="91"/>
        <v>2.3749999999999996</v>
      </c>
    </row>
    <row r="321" spans="1:54" x14ac:dyDescent="0.3">
      <c r="A321" s="11">
        <v>45059</v>
      </c>
      <c r="B321">
        <v>0.56768558951965098</v>
      </c>
      <c r="C321">
        <v>4124.08</v>
      </c>
      <c r="D321">
        <v>104.27</v>
      </c>
      <c r="E321">
        <v>2011.2</v>
      </c>
      <c r="F321">
        <v>82.17</v>
      </c>
      <c r="G321">
        <v>49.25</v>
      </c>
      <c r="H321" s="12">
        <f t="shared" si="82"/>
        <v>136.48990837733982</v>
      </c>
      <c r="I321" s="12">
        <f t="shared" si="83"/>
        <v>77.590862219662228</v>
      </c>
      <c r="J321" s="12">
        <f t="shared" si="85"/>
        <v>144.12350143886474</v>
      </c>
      <c r="K321" s="12">
        <f t="shared" si="86"/>
        <v>133.56589006997251</v>
      </c>
      <c r="L321" s="55">
        <v>19.088078406290901</v>
      </c>
      <c r="M321" s="55">
        <v>16.630390602535901</v>
      </c>
      <c r="P321" s="12"/>
      <c r="Q321" s="12"/>
      <c r="R321" s="12"/>
      <c r="S321" s="12"/>
      <c r="T321" s="55">
        <v>14.397449371226999</v>
      </c>
      <c r="U321" s="55">
        <v>12.944998578840901</v>
      </c>
      <c r="V321">
        <v>0.481691919191919</v>
      </c>
      <c r="W321" s="12"/>
      <c r="X321" s="12"/>
      <c r="Y321" t="str">
        <v>20180810</v>
      </c>
      <c r="Z321">
        <v>57.3</v>
      </c>
      <c r="AA321">
        <v>18.399999999999999</v>
      </c>
      <c r="AB321">
        <f t="shared" si="90"/>
        <v>3.1141304347826089</v>
      </c>
      <c r="AY321" t="str">
        <v>31/05/2023</v>
      </c>
      <c r="AZ321">
        <v>51.3</v>
      </c>
      <c r="BA321">
        <v>21.6</v>
      </c>
      <c r="BB321">
        <f t="shared" si="91"/>
        <v>2.3749999999999996</v>
      </c>
    </row>
    <row r="322" spans="1:54" x14ac:dyDescent="0.3">
      <c r="A322" s="11">
        <v>45058</v>
      </c>
      <c r="B322">
        <v>0.56194690265486702</v>
      </c>
      <c r="C322">
        <v>4130.62</v>
      </c>
      <c r="D322">
        <v>105.15</v>
      </c>
      <c r="E322">
        <v>2015.52</v>
      </c>
      <c r="F322">
        <v>82.31</v>
      </c>
      <c r="G322">
        <v>49.48</v>
      </c>
      <c r="H322" s="12">
        <f t="shared" ref="H322:H385" si="92">H323*(1+((C322/C323)-(D322/D323)))</f>
        <v>135.56997132476707</v>
      </c>
      <c r="I322" s="12">
        <f t="shared" ref="I322:I385" si="93">I323*(1+((C322/C323)-(E322/E323)))</f>
        <v>77.547430226864805</v>
      </c>
      <c r="J322" s="12">
        <f t="shared" si="85"/>
        <v>144.10655602555465</v>
      </c>
      <c r="K322" s="12">
        <f t="shared" si="86"/>
        <v>133.15775551167823</v>
      </c>
      <c r="L322" s="55">
        <v>19.024965374226699</v>
      </c>
      <c r="M322" s="55">
        <v>16.4167910289917</v>
      </c>
      <c r="P322" s="12"/>
      <c r="Q322" s="12"/>
      <c r="R322" s="12"/>
      <c r="S322" s="12"/>
      <c r="T322" s="55">
        <v>14.4271104342809</v>
      </c>
      <c r="U322" s="55">
        <v>12.9598114297658</v>
      </c>
      <c r="V322">
        <v>0.47418738049713199</v>
      </c>
      <c r="W322" s="12"/>
      <c r="X322" s="12"/>
      <c r="Y322" t="str">
        <v>20180803</v>
      </c>
      <c r="Z322">
        <v>54.9</v>
      </c>
      <c r="AA322">
        <v>18.600000000000001</v>
      </c>
      <c r="AB322">
        <f t="shared" si="90"/>
        <v>2.9516129032258061</v>
      </c>
      <c r="AY322" t="str">
        <v>30/05/2023</v>
      </c>
      <c r="AZ322">
        <v>51.3</v>
      </c>
      <c r="BA322">
        <v>21.6</v>
      </c>
      <c r="BB322">
        <f t="shared" si="91"/>
        <v>2.3749999999999996</v>
      </c>
    </row>
    <row r="323" spans="1:54" x14ac:dyDescent="0.3">
      <c r="A323" s="11">
        <v>45057</v>
      </c>
      <c r="B323">
        <v>0.55973451327433599</v>
      </c>
      <c r="C323">
        <v>4137.6400000000003</v>
      </c>
      <c r="D323">
        <v>104.05</v>
      </c>
      <c r="E323">
        <v>2029.83</v>
      </c>
      <c r="F323">
        <v>82.26</v>
      </c>
      <c r="G323">
        <v>49.67</v>
      </c>
      <c r="H323" s="12">
        <f t="shared" si="92"/>
        <v>137.25386484668954</v>
      </c>
      <c r="I323" s="12">
        <f t="shared" si="93"/>
        <v>77.134511282235465</v>
      </c>
      <c r="J323" s="12">
        <f t="shared" ref="J323:J386" si="94">J324*(1+((C323/C324)-(F323/F324)))</f>
        <v>144.43940915683766</v>
      </c>
      <c r="K323" s="12">
        <f t="shared" ref="K323:K386" si="95">K324*(1+((C323/C324)-(G323/G324)))</f>
        <v>132.87491434167814</v>
      </c>
      <c r="L323" s="55">
        <v>19.206379750691699</v>
      </c>
      <c r="M323" s="55">
        <v>16.672002600591401</v>
      </c>
      <c r="P323" s="12"/>
      <c r="Q323" s="12"/>
      <c r="R323" s="12"/>
      <c r="S323" s="12"/>
      <c r="T323" s="55">
        <v>14.520940898147099</v>
      </c>
      <c r="U323" s="55">
        <v>13.1003172003318</v>
      </c>
      <c r="V323">
        <v>0.47961165048543702</v>
      </c>
      <c r="W323" s="12"/>
      <c r="X323" s="12"/>
      <c r="Y323" t="str">
        <v>20180727</v>
      </c>
      <c r="Z323">
        <v>54.5</v>
      </c>
      <c r="AA323">
        <v>18.8</v>
      </c>
      <c r="AB323">
        <f t="shared" si="90"/>
        <v>2.8989361702127661</v>
      </c>
      <c r="AY323" t="str">
        <v>29/05/2023</v>
      </c>
      <c r="AZ323">
        <v>51.3</v>
      </c>
      <c r="BA323">
        <v>21.6</v>
      </c>
      <c r="BB323">
        <f t="shared" si="91"/>
        <v>2.3749999999999996</v>
      </c>
    </row>
    <row r="324" spans="1:54" x14ac:dyDescent="0.3">
      <c r="A324" s="11">
        <v>45056</v>
      </c>
      <c r="B324">
        <v>0.54525386313465796</v>
      </c>
      <c r="C324">
        <v>4119.17</v>
      </c>
      <c r="D324">
        <v>103.05</v>
      </c>
      <c r="E324">
        <v>2034.43</v>
      </c>
      <c r="F324">
        <v>82.06</v>
      </c>
      <c r="G324">
        <v>49.72</v>
      </c>
      <c r="H324" s="12">
        <f t="shared" si="92"/>
        <v>137.9741054267563</v>
      </c>
      <c r="I324" s="12">
        <f t="shared" si="93"/>
        <v>76.617725596137987</v>
      </c>
      <c r="J324" s="12">
        <f t="shared" si="94"/>
        <v>144.14439286714565</v>
      </c>
      <c r="K324" s="12">
        <f t="shared" si="95"/>
        <v>132.1494739163092</v>
      </c>
      <c r="L324" s="55">
        <v>19.351473536089902</v>
      </c>
      <c r="M324" s="55">
        <v>16.8714355541358</v>
      </c>
      <c r="P324" s="12"/>
      <c r="Q324" s="12"/>
      <c r="R324" s="12"/>
      <c r="S324" s="12"/>
      <c r="T324" s="55">
        <v>14.6225170943409</v>
      </c>
      <c r="U324" s="55">
        <v>13.272349743698999</v>
      </c>
      <c r="V324">
        <v>0.48067010309278402</v>
      </c>
      <c r="W324" s="12"/>
      <c r="X324" s="12"/>
      <c r="Y324" t="str">
        <v>20180720</v>
      </c>
      <c r="Z324">
        <v>54.9</v>
      </c>
      <c r="AA324">
        <v>18.600000000000001</v>
      </c>
      <c r="AB324">
        <f t="shared" si="90"/>
        <v>2.9516129032258061</v>
      </c>
      <c r="AY324" t="str">
        <v>26/05/2023</v>
      </c>
      <c r="AZ324">
        <v>47.9</v>
      </c>
      <c r="BA324">
        <v>23.3</v>
      </c>
      <c r="BB324">
        <f t="shared" si="91"/>
        <v>2.055793991416309</v>
      </c>
    </row>
    <row r="325" spans="1:54" x14ac:dyDescent="0.3">
      <c r="A325" s="11">
        <v>45055</v>
      </c>
      <c r="B325">
        <v>0.54</v>
      </c>
      <c r="C325">
        <v>4138.12</v>
      </c>
      <c r="D325">
        <v>103.42</v>
      </c>
      <c r="E325">
        <v>2021.65</v>
      </c>
      <c r="F325">
        <v>82.08</v>
      </c>
      <c r="G325">
        <v>49.97</v>
      </c>
      <c r="H325" s="12">
        <f t="shared" si="92"/>
        <v>138.11245677006855</v>
      </c>
      <c r="I325" s="12">
        <f t="shared" si="93"/>
        <v>77.462135942050963</v>
      </c>
      <c r="J325" s="12">
        <f t="shared" si="94"/>
        <v>144.77208255956413</v>
      </c>
      <c r="K325" s="12">
        <f t="shared" si="95"/>
        <v>132.09351545837032</v>
      </c>
      <c r="L325" s="55">
        <v>19.421379703050501</v>
      </c>
      <c r="M325" s="55">
        <v>16.920155600237401</v>
      </c>
      <c r="P325" s="12"/>
      <c r="Q325" s="12"/>
      <c r="R325" s="12"/>
      <c r="S325" s="12"/>
      <c r="T325" s="55">
        <v>14.645614172999</v>
      </c>
      <c r="U325" s="55">
        <v>13.2823683256112</v>
      </c>
      <c r="V325">
        <v>0.48152948801036899</v>
      </c>
      <c r="W325" s="12"/>
      <c r="X325" s="12"/>
      <c r="Y325" t="str">
        <v>20180713</v>
      </c>
      <c r="Z325">
        <v>55.3</v>
      </c>
      <c r="AA325">
        <v>18.5</v>
      </c>
      <c r="AB325">
        <f t="shared" si="90"/>
        <v>2.9891891891891889</v>
      </c>
      <c r="AY325" t="str">
        <v>25/05/2023</v>
      </c>
      <c r="AZ325">
        <v>47.9</v>
      </c>
      <c r="BA325">
        <v>23.3</v>
      </c>
      <c r="BB325">
        <f t="shared" si="91"/>
        <v>2.055793991416309</v>
      </c>
    </row>
    <row r="326" spans="1:54" x14ac:dyDescent="0.3">
      <c r="A326" s="11">
        <v>45052</v>
      </c>
      <c r="B326">
        <v>0.547085201793722</v>
      </c>
      <c r="C326">
        <v>4136.25</v>
      </c>
      <c r="D326">
        <v>104.89</v>
      </c>
      <c r="E326">
        <v>2016.57</v>
      </c>
      <c r="F326">
        <v>82.21</v>
      </c>
      <c r="G326">
        <v>49.93</v>
      </c>
      <c r="H326" s="12">
        <f t="shared" si="92"/>
        <v>136.14290696242358</v>
      </c>
      <c r="I326" s="12">
        <f t="shared" si="93"/>
        <v>77.622584049782844</v>
      </c>
      <c r="J326" s="12">
        <f t="shared" si="94"/>
        <v>144.47829800825644</v>
      </c>
      <c r="K326" s="12">
        <f t="shared" si="95"/>
        <v>132.13963499733575</v>
      </c>
      <c r="L326" s="55">
        <v>19.3710241820555</v>
      </c>
      <c r="M326" s="55">
        <v>16.698580150791798</v>
      </c>
      <c r="P326" s="12"/>
      <c r="Q326" s="12"/>
      <c r="R326" s="12"/>
      <c r="S326" s="12"/>
      <c r="T326" s="55">
        <v>14.648723799695199</v>
      </c>
      <c r="U326" s="55">
        <v>13.2333709570837</v>
      </c>
      <c r="V326">
        <v>0.48054474708171202</v>
      </c>
      <c r="W326" s="12"/>
      <c r="X326" s="12"/>
      <c r="Y326" t="str">
        <v>20180706</v>
      </c>
      <c r="Z326">
        <v>52.4</v>
      </c>
      <c r="AA326">
        <v>18.5</v>
      </c>
      <c r="AB326">
        <f t="shared" si="90"/>
        <v>2.8324324324324324</v>
      </c>
      <c r="AY326" t="str">
        <v>24/05/2023</v>
      </c>
      <c r="AZ326">
        <v>47.9</v>
      </c>
      <c r="BA326">
        <v>23.3</v>
      </c>
      <c r="BB326">
        <f t="shared" si="91"/>
        <v>2.055793991416309</v>
      </c>
    </row>
    <row r="327" spans="1:54" x14ac:dyDescent="0.3">
      <c r="A327" s="11">
        <v>45051</v>
      </c>
      <c r="B327">
        <v>0.53287981859410405</v>
      </c>
      <c r="C327">
        <v>4061.22</v>
      </c>
      <c r="D327">
        <v>105.24</v>
      </c>
      <c r="E327">
        <v>2049.9</v>
      </c>
      <c r="F327">
        <v>82.41</v>
      </c>
      <c r="G327">
        <v>49.17</v>
      </c>
      <c r="H327" s="12">
        <f t="shared" si="92"/>
        <v>133.2382497362847</v>
      </c>
      <c r="I327" s="12">
        <f t="shared" si="93"/>
        <v>75.01694011803599</v>
      </c>
      <c r="J327" s="12">
        <f t="shared" si="94"/>
        <v>141.52029265012058</v>
      </c>
      <c r="K327" s="12">
        <f t="shared" si="95"/>
        <v>131.74201587871164</v>
      </c>
      <c r="L327" s="55">
        <v>19.406237848847301</v>
      </c>
      <c r="M327" s="55">
        <v>16.650549841503899</v>
      </c>
      <c r="P327" s="12"/>
      <c r="Q327" s="12"/>
      <c r="R327" s="12"/>
      <c r="S327" s="12"/>
      <c r="T327" s="55">
        <v>14.731848093183499</v>
      </c>
      <c r="U327" s="55">
        <v>13.389824915483301</v>
      </c>
      <c r="V327">
        <v>0.47968545216251601</v>
      </c>
      <c r="W327" s="12"/>
      <c r="X327" s="12"/>
      <c r="Y327" t="str">
        <v>20180629</v>
      </c>
      <c r="Z327">
        <v>47.1</v>
      </c>
      <c r="AA327">
        <v>18.600000000000001</v>
      </c>
      <c r="AB327">
        <f t="shared" si="90"/>
        <v>2.532258064516129</v>
      </c>
      <c r="AY327" t="str">
        <v>23/05/2023</v>
      </c>
      <c r="AZ327">
        <v>47.9</v>
      </c>
      <c r="BA327">
        <v>23.3</v>
      </c>
      <c r="BB327">
        <f t="shared" si="91"/>
        <v>2.055793991416309</v>
      </c>
    </row>
    <row r="328" spans="1:54" x14ac:dyDescent="0.3">
      <c r="A328" s="11">
        <v>45050</v>
      </c>
      <c r="B328">
        <v>0.51388888888888895</v>
      </c>
      <c r="C328">
        <v>4090.75</v>
      </c>
      <c r="D328">
        <v>106.29</v>
      </c>
      <c r="E328">
        <v>2039.37</v>
      </c>
      <c r="F328">
        <v>82.28</v>
      </c>
      <c r="G328">
        <v>49.13</v>
      </c>
      <c r="H328" s="12">
        <f t="shared" si="92"/>
        <v>132.88478832462556</v>
      </c>
      <c r="I328" s="12">
        <f t="shared" si="93"/>
        <v>75.95745169923039</v>
      </c>
      <c r="J328" s="12">
        <f t="shared" si="94"/>
        <v>142.77654002227283</v>
      </c>
      <c r="K328" s="12">
        <f t="shared" si="95"/>
        <v>132.80885502389472</v>
      </c>
      <c r="L328" s="55">
        <v>19.452706929153798</v>
      </c>
      <c r="M328" s="55">
        <v>16.630266668677301</v>
      </c>
      <c r="P328" s="12"/>
      <c r="Q328" s="12"/>
      <c r="R328" s="12"/>
      <c r="S328" s="12"/>
      <c r="T328" s="55">
        <v>14.822906558882201</v>
      </c>
      <c r="U328" s="55">
        <v>13.5651134631876</v>
      </c>
      <c r="V328">
        <v>0.47205785667324102</v>
      </c>
      <c r="W328" s="12"/>
      <c r="X328" s="12"/>
      <c r="Y328" t="str">
        <v>20180622</v>
      </c>
      <c r="Z328">
        <v>47.6</v>
      </c>
      <c r="AA328">
        <v>18.399999999999999</v>
      </c>
      <c r="AB328">
        <f t="shared" ref="AB328:AB391" si="96">IFERROR(Z328/AA328,"")</f>
        <v>2.5869565217391308</v>
      </c>
      <c r="AY328" t="str">
        <v>22/05/2023</v>
      </c>
      <c r="AZ328">
        <v>47.9</v>
      </c>
      <c r="BA328">
        <v>23.3</v>
      </c>
      <c r="BB328">
        <f t="shared" ref="BB328:BB391" si="97">IFERROR(AZ328/BA328,"")</f>
        <v>2.055793991416309</v>
      </c>
    </row>
    <row r="329" spans="1:54" x14ac:dyDescent="0.3">
      <c r="A329" s="11">
        <v>45049</v>
      </c>
      <c r="B329">
        <v>0.50580046403712298</v>
      </c>
      <c r="C329">
        <v>4119.58</v>
      </c>
      <c r="D329">
        <v>105.7</v>
      </c>
      <c r="E329">
        <v>2016.69</v>
      </c>
      <c r="F329">
        <v>82.08</v>
      </c>
      <c r="G329">
        <v>49.09</v>
      </c>
      <c r="H329" s="12">
        <f t="shared" si="92"/>
        <v>134.57779333157967</v>
      </c>
      <c r="I329" s="12">
        <f t="shared" si="93"/>
        <v>77.369005656737158</v>
      </c>
      <c r="J329" s="12">
        <f t="shared" si="94"/>
        <v>144.13645790405386</v>
      </c>
      <c r="K329" s="12">
        <f t="shared" si="95"/>
        <v>133.85467716208555</v>
      </c>
      <c r="L329" s="55">
        <v>19.567238351830099</v>
      </c>
      <c r="M329" s="55">
        <v>16.7890793650893</v>
      </c>
      <c r="P329" s="12"/>
      <c r="Q329" s="12"/>
      <c r="R329" s="12"/>
      <c r="S329" s="12"/>
      <c r="T329" s="55">
        <v>14.856769094294901</v>
      </c>
      <c r="U329" s="55">
        <v>13.606101549350701</v>
      </c>
      <c r="V329">
        <v>0.46891534391534401</v>
      </c>
      <c r="W329" s="12"/>
      <c r="X329" s="12"/>
      <c r="Y329" t="str">
        <v>20180615</v>
      </c>
      <c r="Z329">
        <v>52</v>
      </c>
      <c r="AA329">
        <v>17.600000000000001</v>
      </c>
      <c r="AB329">
        <f t="shared" si="96"/>
        <v>2.9545454545454541</v>
      </c>
      <c r="AY329" t="str">
        <v>19/05/2023</v>
      </c>
      <c r="AZ329">
        <v>46.5</v>
      </c>
      <c r="BA329">
        <v>23.9</v>
      </c>
      <c r="BB329">
        <f t="shared" si="97"/>
        <v>1.9456066945606696</v>
      </c>
    </row>
    <row r="330" spans="1:54" x14ac:dyDescent="0.3">
      <c r="A330" s="11">
        <v>45048</v>
      </c>
      <c r="B330">
        <v>0.49292452830188699</v>
      </c>
      <c r="C330">
        <v>4167.87</v>
      </c>
      <c r="D330">
        <v>103.13</v>
      </c>
      <c r="E330">
        <v>1982.42</v>
      </c>
      <c r="F330">
        <v>81.81</v>
      </c>
      <c r="G330">
        <v>49.59</v>
      </c>
      <c r="H330" s="12">
        <f t="shared" si="92"/>
        <v>139.67687327152478</v>
      </c>
      <c r="I330" s="12">
        <f t="shared" si="93"/>
        <v>79.669314193307997</v>
      </c>
      <c r="J330" s="12">
        <f t="shared" si="94"/>
        <v>146.31458221128321</v>
      </c>
      <c r="K330" s="12">
        <f t="shared" si="95"/>
        <v>134.05624089924979</v>
      </c>
      <c r="L330" s="55">
        <v>19.503730549264802</v>
      </c>
      <c r="M330" s="55">
        <v>16.450407385866001</v>
      </c>
      <c r="P330" s="12"/>
      <c r="Q330" s="12"/>
      <c r="R330" s="12"/>
      <c r="S330" s="12"/>
      <c r="T330" s="55">
        <v>14.819210621642499</v>
      </c>
      <c r="U330" s="55">
        <v>13.444083489398601</v>
      </c>
      <c r="V330">
        <v>0.46900269541778999</v>
      </c>
      <c r="W330" s="12"/>
      <c r="X330" s="12"/>
      <c r="Y330" t="str">
        <v>20180608</v>
      </c>
      <c r="Z330">
        <v>55.5</v>
      </c>
      <c r="AA330">
        <v>17.8</v>
      </c>
      <c r="AB330">
        <f t="shared" si="96"/>
        <v>3.1179775280898876</v>
      </c>
      <c r="AY330" t="str">
        <v>18/05/2023</v>
      </c>
      <c r="AZ330">
        <v>46.5</v>
      </c>
      <c r="BA330">
        <v>23.9</v>
      </c>
      <c r="BB330">
        <f t="shared" si="97"/>
        <v>1.9456066945606696</v>
      </c>
    </row>
    <row r="331" spans="1:54" x14ac:dyDescent="0.3">
      <c r="A331" s="11">
        <v>45045</v>
      </c>
      <c r="B331">
        <v>0.5</v>
      </c>
      <c r="C331">
        <v>4169.4799999999996</v>
      </c>
      <c r="D331">
        <v>106.46</v>
      </c>
      <c r="E331">
        <v>1989.7</v>
      </c>
      <c r="F331">
        <v>82.18</v>
      </c>
      <c r="G331">
        <v>49.68</v>
      </c>
      <c r="H331" s="12">
        <f t="shared" si="92"/>
        <v>135.49111713132507</v>
      </c>
      <c r="I331" s="12">
        <f t="shared" si="93"/>
        <v>79.409430650806911</v>
      </c>
      <c r="J331" s="12">
        <f t="shared" si="94"/>
        <v>145.71479494752268</v>
      </c>
      <c r="K331" s="12">
        <f t="shared" si="95"/>
        <v>133.86542177460916</v>
      </c>
      <c r="L331" s="55">
        <v>19.595282999376298</v>
      </c>
      <c r="M331" s="55">
        <v>16.5320668700809</v>
      </c>
      <c r="P331" s="12"/>
      <c r="Q331" s="12"/>
      <c r="R331" s="12"/>
      <c r="S331" s="12"/>
      <c r="T331" s="55">
        <v>14.8542386586163</v>
      </c>
      <c r="U331" s="55">
        <v>13.484606507794499</v>
      </c>
      <c r="V331">
        <v>0.45112285336856001</v>
      </c>
      <c r="W331" s="12"/>
      <c r="X331" s="12"/>
      <c r="Y331" t="str">
        <v>20180601</v>
      </c>
      <c r="Z331">
        <v>52.9</v>
      </c>
      <c r="AA331">
        <v>17.7</v>
      </c>
      <c r="AB331">
        <f t="shared" si="96"/>
        <v>2.9887005649717513</v>
      </c>
      <c r="AY331" t="str">
        <v>17/05/2023</v>
      </c>
      <c r="AZ331">
        <v>46.5</v>
      </c>
      <c r="BA331">
        <v>23.9</v>
      </c>
      <c r="BB331">
        <f t="shared" si="97"/>
        <v>1.9456066945606696</v>
      </c>
    </row>
    <row r="332" spans="1:54" x14ac:dyDescent="0.3">
      <c r="A332" s="11">
        <v>45044</v>
      </c>
      <c r="B332">
        <v>0.48470588235294099</v>
      </c>
      <c r="C332">
        <v>4135.3500000000004</v>
      </c>
      <c r="D332">
        <v>104.77</v>
      </c>
      <c r="E332">
        <v>1988.01</v>
      </c>
      <c r="F332">
        <v>82.09</v>
      </c>
      <c r="G332">
        <v>49.61</v>
      </c>
      <c r="H332" s="12">
        <f t="shared" si="92"/>
        <v>136.56690110446121</v>
      </c>
      <c r="I332" s="12">
        <f t="shared" si="93"/>
        <v>78.825872081537099</v>
      </c>
      <c r="J332" s="12">
        <f t="shared" si="94"/>
        <v>144.67934317155553</v>
      </c>
      <c r="K332" s="12">
        <f t="shared" si="95"/>
        <v>132.95570884108344</v>
      </c>
      <c r="L332" s="55">
        <v>19.716996883418499</v>
      </c>
      <c r="M332" s="55">
        <v>16.702605910357398</v>
      </c>
      <c r="P332" s="12"/>
      <c r="Q332" s="12"/>
      <c r="R332" s="12"/>
      <c r="S332" s="12"/>
      <c r="T332" s="55">
        <v>14.857701284328799</v>
      </c>
      <c r="U332" s="55">
        <v>13.432122003181201</v>
      </c>
      <c r="V332">
        <v>0.44370419720186499</v>
      </c>
      <c r="W332" s="12"/>
      <c r="X332" s="12"/>
      <c r="Y332" t="str">
        <v>20180525</v>
      </c>
      <c r="Z332">
        <v>50</v>
      </c>
      <c r="AA332">
        <v>19.2</v>
      </c>
      <c r="AB332">
        <f t="shared" si="96"/>
        <v>2.604166666666667</v>
      </c>
      <c r="AY332" t="str">
        <v>16/05/2023</v>
      </c>
      <c r="AZ332">
        <v>46.5</v>
      </c>
      <c r="BA332">
        <v>23.9</v>
      </c>
      <c r="BB332">
        <f t="shared" si="97"/>
        <v>1.9456066945606696</v>
      </c>
    </row>
    <row r="333" spans="1:54" x14ac:dyDescent="0.3">
      <c r="A333" s="11">
        <v>45043</v>
      </c>
      <c r="B333">
        <v>0.43932038834951498</v>
      </c>
      <c r="C333">
        <v>4055.99</v>
      </c>
      <c r="D333">
        <v>105.82</v>
      </c>
      <c r="E333">
        <v>1989.56</v>
      </c>
      <c r="F333">
        <v>82.25</v>
      </c>
      <c r="G333">
        <v>48.99</v>
      </c>
      <c r="H333" s="12">
        <f t="shared" si="92"/>
        <v>132.65508400173991</v>
      </c>
      <c r="I333" s="12">
        <f t="shared" si="93"/>
        <v>77.254122291494014</v>
      </c>
      <c r="J333" s="12">
        <f t="shared" si="94"/>
        <v>141.63262542134461</v>
      </c>
      <c r="K333" s="12">
        <f t="shared" si="95"/>
        <v>132.04322687071445</v>
      </c>
      <c r="L333" s="55">
        <v>19.7685936517722</v>
      </c>
      <c r="M333" s="55">
        <v>16.667271622947801</v>
      </c>
      <c r="P333" s="12"/>
      <c r="Q333" s="12"/>
      <c r="R333" s="12"/>
      <c r="S333" s="12"/>
      <c r="T333" s="55">
        <v>14.8584726001744</v>
      </c>
      <c r="U333" s="55">
        <v>13.348990772687999</v>
      </c>
      <c r="V333">
        <v>0.42799999999999999</v>
      </c>
      <c r="W333" s="12"/>
      <c r="X333" s="12"/>
      <c r="Y333" t="str">
        <v>20180518</v>
      </c>
      <c r="Z333">
        <v>49.1</v>
      </c>
      <c r="AA333">
        <v>19.2</v>
      </c>
      <c r="AB333">
        <f t="shared" si="96"/>
        <v>2.557291666666667</v>
      </c>
      <c r="AY333" t="str">
        <v>15/05/2023</v>
      </c>
      <c r="AZ333">
        <v>46.5</v>
      </c>
      <c r="BA333">
        <v>23.9</v>
      </c>
      <c r="BB333">
        <f t="shared" si="97"/>
        <v>1.9456066945606696</v>
      </c>
    </row>
    <row r="334" spans="1:54" x14ac:dyDescent="0.3">
      <c r="A334" s="11">
        <v>45042</v>
      </c>
      <c r="B334">
        <v>0.420792079207921</v>
      </c>
      <c r="C334">
        <v>4071.63</v>
      </c>
      <c r="D334">
        <v>106.96</v>
      </c>
      <c r="E334">
        <v>1997.52</v>
      </c>
      <c r="F334">
        <v>82.35</v>
      </c>
      <c r="G334">
        <v>48.96</v>
      </c>
      <c r="H334" s="12">
        <f t="shared" si="92"/>
        <v>131.75690030760612</v>
      </c>
      <c r="I334" s="12">
        <f t="shared" si="93"/>
        <v>77.243020317680319</v>
      </c>
      <c r="J334" s="12">
        <f t="shared" si="94"/>
        <v>142.00565786680497</v>
      </c>
      <c r="K334" s="12">
        <f t="shared" si="95"/>
        <v>132.63397309155079</v>
      </c>
      <c r="L334" s="55">
        <v>19.757218543646001</v>
      </c>
      <c r="M334" s="55">
        <v>16.394752641516799</v>
      </c>
      <c r="P334" s="12"/>
      <c r="Q334" s="12"/>
      <c r="R334" s="12"/>
      <c r="S334" s="12"/>
      <c r="T334" s="55">
        <v>14.8743932880347</v>
      </c>
      <c r="U334" s="55">
        <v>13.310369847102899</v>
      </c>
      <c r="V334">
        <v>0.41846361185983799</v>
      </c>
      <c r="W334" s="12"/>
      <c r="X334" s="12"/>
      <c r="Y334" t="str">
        <v>20180511</v>
      </c>
      <c r="Z334">
        <v>46.6</v>
      </c>
      <c r="AA334">
        <v>19.399999999999999</v>
      </c>
      <c r="AB334">
        <f t="shared" si="96"/>
        <v>2.4020618556701034</v>
      </c>
      <c r="AY334" t="str">
        <v>12/05/2023</v>
      </c>
      <c r="AZ334">
        <v>45.2</v>
      </c>
      <c r="BA334">
        <v>24.7</v>
      </c>
      <c r="BB334">
        <f t="shared" si="97"/>
        <v>1.8299595141700407</v>
      </c>
    </row>
    <row r="335" spans="1:54" x14ac:dyDescent="0.3">
      <c r="A335" s="11">
        <v>45041</v>
      </c>
      <c r="B335">
        <v>0.419191919191919</v>
      </c>
      <c r="C335">
        <v>4137.04</v>
      </c>
      <c r="D335">
        <v>105.41</v>
      </c>
      <c r="E335">
        <v>1989.24</v>
      </c>
      <c r="F335">
        <v>82.03</v>
      </c>
      <c r="G335">
        <v>49.72</v>
      </c>
      <c r="H335" s="12">
        <f t="shared" si="92"/>
        <v>135.90405445625765</v>
      </c>
      <c r="I335" s="12">
        <f t="shared" si="93"/>
        <v>78.81725427848329</v>
      </c>
      <c r="J335" s="12">
        <f t="shared" si="94"/>
        <v>144.86113640869698</v>
      </c>
      <c r="K335" s="12">
        <f t="shared" si="95"/>
        <v>132.70367196722276</v>
      </c>
      <c r="L335" s="55">
        <v>19.902719143030399</v>
      </c>
      <c r="M335" s="55">
        <v>16.662917303870501</v>
      </c>
      <c r="P335" s="12"/>
      <c r="Q335" s="12"/>
      <c r="R335" s="12"/>
      <c r="S335" s="12"/>
      <c r="T335" s="55">
        <v>14.8801083463248</v>
      </c>
      <c r="U335" s="55">
        <v>13.202120357281199</v>
      </c>
      <c r="V335">
        <v>0.41445126107702801</v>
      </c>
      <c r="W335" s="12"/>
      <c r="X335" s="12"/>
      <c r="Y335" t="str">
        <v>20180504</v>
      </c>
      <c r="Z335">
        <v>43.1</v>
      </c>
      <c r="AA335">
        <v>20.6</v>
      </c>
      <c r="AB335">
        <f t="shared" si="96"/>
        <v>2.0922330097087376</v>
      </c>
      <c r="AY335" t="str">
        <v>11/05/2023</v>
      </c>
      <c r="AZ335">
        <v>45.2</v>
      </c>
      <c r="BA335">
        <v>24.7</v>
      </c>
      <c r="BB335">
        <f t="shared" si="97"/>
        <v>1.8299595141700407</v>
      </c>
    </row>
    <row r="336" spans="1:54" x14ac:dyDescent="0.3">
      <c r="A336" s="11">
        <v>45038</v>
      </c>
      <c r="B336">
        <v>0.43</v>
      </c>
      <c r="C336">
        <v>4133.5200000000004</v>
      </c>
      <c r="D336">
        <v>104.4</v>
      </c>
      <c r="E336">
        <v>1982.44</v>
      </c>
      <c r="F336">
        <v>81.94</v>
      </c>
      <c r="G336">
        <v>49.66</v>
      </c>
      <c r="H336" s="12">
        <f t="shared" si="92"/>
        <v>137.11377571431046</v>
      </c>
      <c r="I336" s="12">
        <f t="shared" si="93"/>
        <v>79.02101327829925</v>
      </c>
      <c r="J336" s="12">
        <f t="shared" si="94"/>
        <v>144.89689554427244</v>
      </c>
      <c r="K336" s="12">
        <f t="shared" si="95"/>
        <v>132.75101647862803</v>
      </c>
      <c r="L336" s="55">
        <v>19.889963172458199</v>
      </c>
      <c r="M336" s="55">
        <v>16.365192710954201</v>
      </c>
      <c r="P336" s="12"/>
      <c r="Q336" s="12"/>
      <c r="R336" s="12"/>
      <c r="S336" s="12"/>
      <c r="T336" s="55">
        <v>14.888242034547799</v>
      </c>
      <c r="U336" s="55">
        <v>13.1204297066704</v>
      </c>
      <c r="V336">
        <v>0.42154255319148898</v>
      </c>
      <c r="W336" s="12"/>
      <c r="X336" s="12"/>
      <c r="Y336" t="str">
        <v>20180427</v>
      </c>
      <c r="Z336">
        <v>43.6</v>
      </c>
      <c r="AA336">
        <v>20.8</v>
      </c>
      <c r="AB336">
        <f t="shared" si="96"/>
        <v>2.0961538461538463</v>
      </c>
      <c r="AY336" t="str">
        <v>10/05/2023</v>
      </c>
      <c r="AZ336">
        <v>45.2</v>
      </c>
      <c r="BA336">
        <v>24.7</v>
      </c>
      <c r="BB336">
        <f t="shared" si="97"/>
        <v>1.8299595141700407</v>
      </c>
    </row>
    <row r="337" spans="1:54" x14ac:dyDescent="0.3">
      <c r="A337" s="11">
        <v>45037</v>
      </c>
      <c r="B337">
        <v>0.42602040816326497</v>
      </c>
      <c r="C337">
        <v>4129.79</v>
      </c>
      <c r="D337">
        <v>104.99</v>
      </c>
      <c r="E337">
        <v>2004.69</v>
      </c>
      <c r="F337">
        <v>81.99</v>
      </c>
      <c r="G337">
        <v>49.67</v>
      </c>
      <c r="H337" s="12">
        <f t="shared" si="92"/>
        <v>136.22520912935838</v>
      </c>
      <c r="I337" s="12">
        <f t="shared" si="93"/>
        <v>78.083838050451718</v>
      </c>
      <c r="J337" s="12">
        <f t="shared" si="94"/>
        <v>144.67799425338663</v>
      </c>
      <c r="K337" s="12">
        <f t="shared" si="95"/>
        <v>132.60455178154101</v>
      </c>
      <c r="L337" s="55">
        <v>20.191512376653101</v>
      </c>
      <c r="M337" s="55">
        <v>17.462453732557499</v>
      </c>
      <c r="P337" s="12"/>
      <c r="Q337" s="12"/>
      <c r="R337" s="12"/>
      <c r="S337" s="12"/>
      <c r="T337" s="55">
        <v>15.0158385612958</v>
      </c>
      <c r="U337" s="55">
        <v>13.571958604626699</v>
      </c>
      <c r="V337">
        <v>0.41510695187165803</v>
      </c>
      <c r="W337" s="12"/>
      <c r="X337" s="12"/>
      <c r="Y337" t="str">
        <v>20180420</v>
      </c>
      <c r="Z337">
        <v>48</v>
      </c>
      <c r="AA337">
        <v>19.600000000000001</v>
      </c>
      <c r="AB337">
        <f t="shared" si="96"/>
        <v>2.4489795918367343</v>
      </c>
      <c r="AY337" t="str">
        <v>09/05/2023</v>
      </c>
      <c r="AZ337">
        <v>45.2</v>
      </c>
      <c r="BA337">
        <v>24.7</v>
      </c>
      <c r="BB337">
        <f t="shared" si="97"/>
        <v>1.8299595141700407</v>
      </c>
    </row>
    <row r="338" spans="1:54" x14ac:dyDescent="0.3">
      <c r="A338" s="11">
        <v>45036</v>
      </c>
      <c r="B338">
        <v>0.42077922077922097</v>
      </c>
      <c r="C338">
        <v>4154.5200000000004</v>
      </c>
      <c r="D338">
        <v>104.1</v>
      </c>
      <c r="E338">
        <v>1994.75</v>
      </c>
      <c r="F338">
        <v>81.790000000000006</v>
      </c>
      <c r="G338">
        <v>49.69</v>
      </c>
      <c r="H338" s="12">
        <f t="shared" si="92"/>
        <v>138.22982139190003</v>
      </c>
      <c r="I338" s="12">
        <f t="shared" si="93"/>
        <v>78.947175424280957</v>
      </c>
      <c r="J338" s="12">
        <f t="shared" si="94"/>
        <v>145.90326648124918</v>
      </c>
      <c r="K338" s="12">
        <f t="shared" si="95"/>
        <v>133.34462208948392</v>
      </c>
      <c r="L338" s="55">
        <v>20.288820821876602</v>
      </c>
      <c r="M338" s="55">
        <v>17.7073851755327</v>
      </c>
      <c r="P338" s="12"/>
      <c r="Q338" s="12"/>
      <c r="R338" s="12"/>
      <c r="S338" s="12"/>
      <c r="T338" s="55">
        <v>15.039280127569199</v>
      </c>
      <c r="U338" s="55">
        <v>13.5662117111392</v>
      </c>
      <c r="V338">
        <v>0.412239408204438</v>
      </c>
      <c r="W338" s="12"/>
      <c r="X338" s="12"/>
      <c r="Y338" t="str">
        <v>20180413</v>
      </c>
      <c r="Z338">
        <v>43.6</v>
      </c>
      <c r="AA338">
        <v>19.8</v>
      </c>
      <c r="AB338">
        <f t="shared" si="96"/>
        <v>2.202020202020202</v>
      </c>
      <c r="AY338" t="str">
        <v>08/05/2023</v>
      </c>
      <c r="AZ338">
        <v>45.2</v>
      </c>
      <c r="BA338">
        <v>24.7</v>
      </c>
      <c r="BB338">
        <f t="shared" si="97"/>
        <v>1.8299595141700407</v>
      </c>
    </row>
    <row r="339" spans="1:54" x14ac:dyDescent="0.3">
      <c r="A339" s="11">
        <v>45035</v>
      </c>
      <c r="B339">
        <v>0.40263157894736801</v>
      </c>
      <c r="C339">
        <v>4154.87</v>
      </c>
      <c r="D339">
        <v>104.2</v>
      </c>
      <c r="E339">
        <v>2005.3</v>
      </c>
      <c r="F339">
        <v>81.86</v>
      </c>
      <c r="G339">
        <v>49.95</v>
      </c>
      <c r="H339" s="12">
        <f t="shared" si="92"/>
        <v>138.1089133357313</v>
      </c>
      <c r="I339" s="12">
        <f t="shared" si="93"/>
        <v>78.540584976743361</v>
      </c>
      <c r="J339" s="12">
        <f t="shared" si="94"/>
        <v>145.79087920843639</v>
      </c>
      <c r="K339" s="12">
        <f t="shared" si="95"/>
        <v>132.66524777217805</v>
      </c>
      <c r="L339" s="55">
        <v>20.237715344293001</v>
      </c>
      <c r="M339" s="55">
        <v>17.127755845020801</v>
      </c>
      <c r="P339" s="12"/>
      <c r="Q339" s="12"/>
      <c r="R339" s="12"/>
      <c r="S339" s="12"/>
      <c r="T339" s="55">
        <v>15.01491806197</v>
      </c>
      <c r="U339" s="55">
        <v>13.2667342562148</v>
      </c>
      <c r="V339">
        <v>0.40379403794037899</v>
      </c>
      <c r="W339" s="12"/>
      <c r="X339" s="12"/>
      <c r="Y339" t="str">
        <v>20180406</v>
      </c>
      <c r="Z339">
        <v>42.2</v>
      </c>
      <c r="AA339">
        <v>18.600000000000001</v>
      </c>
      <c r="AB339">
        <f t="shared" si="96"/>
        <v>2.268817204301075</v>
      </c>
      <c r="AY339" t="str">
        <v>05/05/2023</v>
      </c>
      <c r="AZ339">
        <v>44.6</v>
      </c>
      <c r="BA339">
        <v>24.3</v>
      </c>
      <c r="BB339">
        <f t="shared" si="97"/>
        <v>1.8353909465020577</v>
      </c>
    </row>
    <row r="340" spans="1:54" x14ac:dyDescent="0.3">
      <c r="A340" s="11">
        <v>45034</v>
      </c>
      <c r="B340">
        <v>0.39142091152815001</v>
      </c>
      <c r="C340">
        <v>4151.32</v>
      </c>
      <c r="D340">
        <v>103.83</v>
      </c>
      <c r="E340">
        <v>1995.12</v>
      </c>
      <c r="F340">
        <v>81.88</v>
      </c>
      <c r="G340">
        <v>49.78</v>
      </c>
      <c r="H340" s="12">
        <f t="shared" si="92"/>
        <v>138.48397885726303</v>
      </c>
      <c r="I340" s="12">
        <f t="shared" si="93"/>
        <v>78.875593307119345</v>
      </c>
      <c r="J340" s="12">
        <f t="shared" si="94"/>
        <v>145.63077134330004</v>
      </c>
      <c r="K340" s="12">
        <f t="shared" si="95"/>
        <v>133.00572599488515</v>
      </c>
      <c r="L340" s="55">
        <v>20.5483841807924</v>
      </c>
      <c r="M340" s="55">
        <v>17.519159332902198</v>
      </c>
      <c r="P340" s="12"/>
      <c r="Q340" s="12"/>
      <c r="R340" s="12"/>
      <c r="S340" s="12"/>
      <c r="T340" s="55">
        <v>15.2645934126545</v>
      </c>
      <c r="U340" s="55">
        <v>13.7503568075148</v>
      </c>
      <c r="V340">
        <v>0.40753424657534199</v>
      </c>
      <c r="W340" s="12"/>
      <c r="X340" s="12"/>
      <c r="Y340" t="str">
        <v>20180330</v>
      </c>
      <c r="Z340">
        <v>47.6</v>
      </c>
      <c r="AA340">
        <v>18.100000000000001</v>
      </c>
      <c r="AB340">
        <f t="shared" si="96"/>
        <v>2.6298342541436464</v>
      </c>
      <c r="AY340" t="str">
        <v>04/05/2023</v>
      </c>
      <c r="AZ340">
        <v>44.6</v>
      </c>
      <c r="BA340">
        <v>24.3</v>
      </c>
      <c r="BB340">
        <f t="shared" si="97"/>
        <v>1.8353909465020577</v>
      </c>
    </row>
    <row r="341" spans="1:54" x14ac:dyDescent="0.3">
      <c r="A341" s="11">
        <v>45031</v>
      </c>
      <c r="B341">
        <v>0.39370078740157499</v>
      </c>
      <c r="C341">
        <v>4137.6400000000003</v>
      </c>
      <c r="D341">
        <v>105.08</v>
      </c>
      <c r="E341">
        <v>2004.4</v>
      </c>
      <c r="F341">
        <v>82</v>
      </c>
      <c r="G341">
        <v>49.77</v>
      </c>
      <c r="H341" s="12">
        <f t="shared" si="92"/>
        <v>136.4102791978712</v>
      </c>
      <c r="I341" s="12">
        <f t="shared" si="93"/>
        <v>78.254561433790755</v>
      </c>
      <c r="J341" s="12">
        <f t="shared" si="94"/>
        <v>144.93946125175671</v>
      </c>
      <c r="K341" s="12">
        <f t="shared" si="95"/>
        <v>132.59398080750407</v>
      </c>
      <c r="L341" s="55">
        <v>20.516571052101799</v>
      </c>
      <c r="M341" s="55">
        <v>17.4770921082158</v>
      </c>
      <c r="P341" s="12"/>
      <c r="Q341" s="12"/>
      <c r="R341" s="12"/>
      <c r="S341" s="12"/>
      <c r="T341" s="55">
        <v>15.3553375581509</v>
      </c>
      <c r="U341" s="55">
        <v>13.7837626359489</v>
      </c>
      <c r="V341">
        <v>0.40304434149569801</v>
      </c>
      <c r="W341" s="12"/>
      <c r="X341" s="12"/>
      <c r="Y341" t="str">
        <v>20180323</v>
      </c>
      <c r="Z341">
        <v>49.5</v>
      </c>
      <c r="AA341">
        <v>17.5</v>
      </c>
      <c r="AB341">
        <f t="shared" si="96"/>
        <v>2.8285714285714287</v>
      </c>
      <c r="AY341" t="str">
        <v>03/05/2023</v>
      </c>
      <c r="AZ341">
        <v>44.6</v>
      </c>
      <c r="BA341">
        <v>24.3</v>
      </c>
      <c r="BB341">
        <f t="shared" si="97"/>
        <v>1.8353909465020577</v>
      </c>
    </row>
    <row r="342" spans="1:54" x14ac:dyDescent="0.3">
      <c r="A342" s="11">
        <v>45030</v>
      </c>
      <c r="B342">
        <v>0.40266666666666701</v>
      </c>
      <c r="C342">
        <v>4146.22</v>
      </c>
      <c r="D342">
        <v>106.05</v>
      </c>
      <c r="E342">
        <v>2040.06</v>
      </c>
      <c r="F342">
        <v>82.19</v>
      </c>
      <c r="G342">
        <v>49.99</v>
      </c>
      <c r="H342" s="12">
        <f t="shared" si="92"/>
        <v>135.4516507233638</v>
      </c>
      <c r="I342" s="12">
        <f t="shared" si="93"/>
        <v>77.066919869085581</v>
      </c>
      <c r="J342" s="12">
        <f t="shared" si="94"/>
        <v>144.90434194327347</v>
      </c>
      <c r="K342" s="12">
        <f t="shared" si="95"/>
        <v>132.28555367397149</v>
      </c>
      <c r="L342" s="55">
        <v>19.728284861378899</v>
      </c>
      <c r="M342" s="55">
        <v>16.823477822199902</v>
      </c>
      <c r="P342" s="12"/>
      <c r="Q342" s="12"/>
      <c r="R342" s="12"/>
      <c r="S342" s="12"/>
      <c r="T342" s="55">
        <v>14.9521328118014</v>
      </c>
      <c r="U342" s="55">
        <v>13.410122717354101</v>
      </c>
      <c r="V342">
        <v>0.40720961281708901</v>
      </c>
      <c r="W342" s="12"/>
      <c r="X342" s="12"/>
      <c r="Y342" t="str">
        <v>20180316</v>
      </c>
      <c r="Z342">
        <v>55.5</v>
      </c>
      <c r="AA342">
        <v>16.8</v>
      </c>
      <c r="AB342">
        <f t="shared" si="96"/>
        <v>3.3035714285714284</v>
      </c>
      <c r="AY342" t="str">
        <v>02/05/2023</v>
      </c>
      <c r="AZ342">
        <v>44.6</v>
      </c>
      <c r="BA342">
        <v>24.3</v>
      </c>
      <c r="BB342">
        <f t="shared" si="97"/>
        <v>1.8353909465020577</v>
      </c>
    </row>
    <row r="343" spans="1:54" x14ac:dyDescent="0.3">
      <c r="A343" s="11">
        <v>45029</v>
      </c>
      <c r="B343">
        <v>0.390835579514825</v>
      </c>
      <c r="C343">
        <v>4091.95</v>
      </c>
      <c r="D343">
        <v>106.89</v>
      </c>
      <c r="E343">
        <v>2015.02</v>
      </c>
      <c r="F343">
        <v>82.14</v>
      </c>
      <c r="G343">
        <v>49.31</v>
      </c>
      <c r="H343" s="12">
        <f t="shared" si="92"/>
        <v>132.64992881836028</v>
      </c>
      <c r="I343" s="12">
        <f t="shared" si="93"/>
        <v>77.002549608308016</v>
      </c>
      <c r="J343" s="12">
        <f t="shared" si="94"/>
        <v>143.09364800395198</v>
      </c>
      <c r="K343" s="12">
        <f t="shared" si="95"/>
        <v>132.35539507833994</v>
      </c>
      <c r="L343" s="55">
        <v>20.909382629943298</v>
      </c>
      <c r="M343" s="55">
        <v>17.8774800191606</v>
      </c>
      <c r="P343" s="12"/>
      <c r="Q343" s="12"/>
      <c r="R343" s="12"/>
      <c r="S343" s="12"/>
      <c r="T343" s="55">
        <v>15.8628031508312</v>
      </c>
      <c r="U343" s="55">
        <v>14.2556811171278</v>
      </c>
      <c r="V343">
        <v>0.405566600397614</v>
      </c>
      <c r="W343" s="12"/>
      <c r="X343" s="12"/>
      <c r="Y343" t="str">
        <v>20180309</v>
      </c>
      <c r="Z343">
        <v>54.9</v>
      </c>
      <c r="AA343">
        <v>15.7</v>
      </c>
      <c r="AB343">
        <f t="shared" si="96"/>
        <v>3.4968152866242037</v>
      </c>
      <c r="AY343" t="str">
        <v>01/05/2023</v>
      </c>
      <c r="AZ343">
        <v>44.6</v>
      </c>
      <c r="BA343">
        <v>24.3</v>
      </c>
      <c r="BB343">
        <f t="shared" si="97"/>
        <v>1.8353909465020577</v>
      </c>
    </row>
    <row r="344" spans="1:54" x14ac:dyDescent="0.3">
      <c r="A344" s="11">
        <v>45028</v>
      </c>
      <c r="B344">
        <v>0.40659340659340698</v>
      </c>
      <c r="C344">
        <v>4108.9399999999996</v>
      </c>
      <c r="D344">
        <v>107</v>
      </c>
      <c r="E344">
        <v>2003.71</v>
      </c>
      <c r="F344">
        <v>82.05</v>
      </c>
      <c r="G344">
        <v>49.2</v>
      </c>
      <c r="H344" s="12">
        <f t="shared" si="92"/>
        <v>133.0633365105441</v>
      </c>
      <c r="I344" s="12">
        <f t="shared" si="93"/>
        <v>77.763026576553855</v>
      </c>
      <c r="J344" s="12">
        <f t="shared" si="94"/>
        <v>143.84621956401907</v>
      </c>
      <c r="K344" s="12">
        <f t="shared" si="95"/>
        <v>133.20399225412407</v>
      </c>
      <c r="L344" s="55">
        <v>21.948451907519601</v>
      </c>
      <c r="M344" s="55">
        <v>18.879595777966301</v>
      </c>
      <c r="P344" s="12"/>
      <c r="Q344" s="12"/>
      <c r="R344" s="12"/>
      <c r="S344" s="12"/>
      <c r="T344" s="55">
        <v>16.334999570315201</v>
      </c>
      <c r="U344" s="55">
        <v>14.670400831464301</v>
      </c>
      <c r="V344">
        <v>0.40820443846671201</v>
      </c>
      <c r="W344" s="12"/>
      <c r="X344" s="12"/>
      <c r="Y344" t="str">
        <v>20180302</v>
      </c>
      <c r="Z344">
        <v>48.6</v>
      </c>
      <c r="AA344">
        <v>15.5</v>
      </c>
      <c r="AB344">
        <f t="shared" si="96"/>
        <v>3.1354838709677422</v>
      </c>
      <c r="AY344" t="str">
        <v>28/04/2023</v>
      </c>
      <c r="AZ344">
        <v>45.8</v>
      </c>
      <c r="BA344">
        <v>23.6</v>
      </c>
      <c r="BB344">
        <f t="shared" si="97"/>
        <v>1.9406779661016946</v>
      </c>
    </row>
    <row r="345" spans="1:54" x14ac:dyDescent="0.3">
      <c r="A345" s="11">
        <v>45027</v>
      </c>
      <c r="B345">
        <v>0.417366946778712</v>
      </c>
      <c r="C345">
        <v>4109.1099999999997</v>
      </c>
      <c r="D345">
        <v>106.78</v>
      </c>
      <c r="E345">
        <v>1990.03</v>
      </c>
      <c r="F345">
        <v>82.06</v>
      </c>
      <c r="G345">
        <v>49.01</v>
      </c>
      <c r="H345" s="12">
        <f t="shared" si="92"/>
        <v>133.3435823719484</v>
      </c>
      <c r="I345" s="12">
        <f t="shared" si="93"/>
        <v>78.304552650834268</v>
      </c>
      <c r="J345" s="12">
        <f t="shared" si="94"/>
        <v>143.83464223269348</v>
      </c>
      <c r="K345" s="12">
        <f t="shared" si="95"/>
        <v>133.72795594857573</v>
      </c>
      <c r="L345" s="55">
        <v>21.578903123765699</v>
      </c>
      <c r="M345" s="55">
        <v>18.746915961475601</v>
      </c>
      <c r="P345" s="12"/>
      <c r="Q345" s="12"/>
      <c r="R345" s="12"/>
      <c r="S345" s="12"/>
      <c r="T345" s="55">
        <v>16.217038487509399</v>
      </c>
      <c r="U345" s="55">
        <v>14.648337455483</v>
      </c>
      <c r="V345">
        <v>0.404941660947152</v>
      </c>
      <c r="W345" s="12"/>
      <c r="X345" s="12"/>
      <c r="Y345" t="str">
        <v>20180223</v>
      </c>
      <c r="Z345">
        <v>48.1</v>
      </c>
      <c r="AA345">
        <v>14.4</v>
      </c>
      <c r="AB345">
        <f t="shared" si="96"/>
        <v>3.3402777777777777</v>
      </c>
      <c r="AY345" t="str">
        <v>27/04/2023</v>
      </c>
      <c r="AZ345">
        <v>45.8</v>
      </c>
      <c r="BA345">
        <v>23.6</v>
      </c>
      <c r="BB345">
        <f t="shared" si="97"/>
        <v>1.9406779661016946</v>
      </c>
    </row>
    <row r="346" spans="1:54" x14ac:dyDescent="0.3">
      <c r="A346" s="11">
        <v>45023</v>
      </c>
      <c r="B346">
        <v>0.42577030812324901</v>
      </c>
      <c r="C346">
        <v>4105.0200000000004</v>
      </c>
      <c r="D346">
        <v>108.53</v>
      </c>
      <c r="E346">
        <v>2007.89</v>
      </c>
      <c r="F346">
        <v>82.35</v>
      </c>
      <c r="G346">
        <v>48.97</v>
      </c>
      <c r="H346" s="12">
        <f t="shared" si="92"/>
        <v>131.09904674703967</v>
      </c>
      <c r="I346" s="12">
        <f t="shared" si="93"/>
        <v>77.537608728331008</v>
      </c>
      <c r="J346" s="12">
        <f t="shared" si="94"/>
        <v>143.18773502236081</v>
      </c>
      <c r="K346" s="12">
        <f t="shared" si="95"/>
        <v>133.70395415854949</v>
      </c>
      <c r="L346" s="55">
        <v>21.453477348178399</v>
      </c>
      <c r="M346" s="55">
        <v>18.7831646837089</v>
      </c>
      <c r="P346" s="12"/>
      <c r="Q346" s="12"/>
      <c r="R346" s="12"/>
      <c r="S346" s="12"/>
      <c r="T346" s="55">
        <v>16.1237175244</v>
      </c>
      <c r="U346" s="55">
        <v>14.6127872376511</v>
      </c>
      <c r="V346">
        <v>0.41672196416722002</v>
      </c>
      <c r="W346" s="12"/>
      <c r="X346" s="12"/>
      <c r="Y346" t="str">
        <v>20180216</v>
      </c>
      <c r="Z346">
        <v>48.5</v>
      </c>
      <c r="AA346">
        <v>14.6</v>
      </c>
      <c r="AB346">
        <f t="shared" si="96"/>
        <v>3.3219178082191783</v>
      </c>
      <c r="AY346" t="str">
        <v>26/04/2023</v>
      </c>
      <c r="AZ346">
        <v>45.8</v>
      </c>
      <c r="BA346">
        <v>23.6</v>
      </c>
      <c r="BB346">
        <f t="shared" si="97"/>
        <v>1.9406779661016946</v>
      </c>
    </row>
    <row r="347" spans="1:54" x14ac:dyDescent="0.3">
      <c r="A347" s="11">
        <v>45022</v>
      </c>
      <c r="B347">
        <v>0.42777777777777798</v>
      </c>
      <c r="C347">
        <v>4090.38</v>
      </c>
      <c r="D347">
        <v>108.25</v>
      </c>
      <c r="E347">
        <v>2020.73</v>
      </c>
      <c r="F347">
        <v>82.38</v>
      </c>
      <c r="G347">
        <v>48.77</v>
      </c>
      <c r="H347" s="12">
        <f t="shared" si="92"/>
        <v>130.96905675122812</v>
      </c>
      <c r="I347" s="12">
        <f t="shared" si="93"/>
        <v>76.774982184493496</v>
      </c>
      <c r="J347" s="12">
        <f t="shared" si="94"/>
        <v>142.62532121688579</v>
      </c>
      <c r="K347" s="12">
        <f t="shared" si="95"/>
        <v>133.77375089696648</v>
      </c>
      <c r="L347" s="55">
        <v>21.1827683929816</v>
      </c>
      <c r="M347" s="55">
        <v>18.7669339853846</v>
      </c>
      <c r="P347" s="12"/>
      <c r="Q347" s="12"/>
      <c r="R347" s="12"/>
      <c r="S347" s="12"/>
      <c r="T347" s="55">
        <v>16.121581422455201</v>
      </c>
      <c r="U347" s="55">
        <v>14.6207407233188</v>
      </c>
      <c r="V347">
        <v>0.413086582947786</v>
      </c>
      <c r="W347" s="12"/>
      <c r="X347" s="12"/>
      <c r="Y347" t="str">
        <v>20180209</v>
      </c>
      <c r="Z347">
        <v>51.9</v>
      </c>
      <c r="AA347">
        <v>14.4</v>
      </c>
      <c r="AB347">
        <f t="shared" si="96"/>
        <v>3.6041666666666665</v>
      </c>
      <c r="AY347" t="str">
        <v>25/04/2023</v>
      </c>
      <c r="AZ347">
        <v>45.8</v>
      </c>
      <c r="BA347">
        <v>23.6</v>
      </c>
      <c r="BB347">
        <f t="shared" si="97"/>
        <v>1.9406779661016946</v>
      </c>
    </row>
    <row r="348" spans="1:54" x14ac:dyDescent="0.3">
      <c r="A348" s="11">
        <v>45021</v>
      </c>
      <c r="B348">
        <v>0.44057971014492803</v>
      </c>
      <c r="C348">
        <v>4100.6000000000004</v>
      </c>
      <c r="D348">
        <v>107.13</v>
      </c>
      <c r="E348">
        <v>2020.34</v>
      </c>
      <c r="F348">
        <v>82.27</v>
      </c>
      <c r="G348">
        <v>49.11</v>
      </c>
      <c r="H348" s="12">
        <f t="shared" si="92"/>
        <v>132.68694212917842</v>
      </c>
      <c r="I348" s="12">
        <f t="shared" si="93"/>
        <v>76.981705392973851</v>
      </c>
      <c r="J348" s="12">
        <f t="shared" si="94"/>
        <v>143.17358715841812</v>
      </c>
      <c r="K348" s="12">
        <f t="shared" si="95"/>
        <v>133.18362552492982</v>
      </c>
      <c r="L348" s="55">
        <v>20.679935525136599</v>
      </c>
      <c r="M348" s="55">
        <v>18.5141955619541</v>
      </c>
      <c r="P348" s="12"/>
      <c r="Q348" s="12"/>
      <c r="R348" s="12"/>
      <c r="S348" s="12"/>
      <c r="T348" s="55">
        <v>15.802148113332199</v>
      </c>
      <c r="U348" s="55">
        <v>14.3506965062763</v>
      </c>
      <c r="V348">
        <v>0.42003981420039799</v>
      </c>
      <c r="W348" s="12"/>
      <c r="X348" s="12"/>
      <c r="Y348" t="str">
        <v>20180202</v>
      </c>
      <c r="Z348">
        <v>54.4</v>
      </c>
      <c r="AA348">
        <v>15.5</v>
      </c>
      <c r="AB348">
        <f t="shared" si="96"/>
        <v>3.5096774193548388</v>
      </c>
      <c r="AY348" t="str">
        <v>24/04/2023</v>
      </c>
      <c r="AZ348">
        <v>45.8</v>
      </c>
      <c r="BA348">
        <v>23.6</v>
      </c>
      <c r="BB348">
        <f t="shared" si="97"/>
        <v>1.9406779661016946</v>
      </c>
    </row>
    <row r="349" spans="1:54" x14ac:dyDescent="0.3">
      <c r="A349" s="11">
        <v>45020</v>
      </c>
      <c r="B349">
        <v>0.45454545454545497</v>
      </c>
      <c r="C349">
        <v>4124.51</v>
      </c>
      <c r="D349">
        <v>106.6</v>
      </c>
      <c r="E349">
        <v>1984.48</v>
      </c>
      <c r="F349">
        <v>82.08</v>
      </c>
      <c r="G349">
        <v>49.12</v>
      </c>
      <c r="H349" s="12">
        <f t="shared" si="92"/>
        <v>134.13139096192782</v>
      </c>
      <c r="I349" s="12">
        <f t="shared" si="93"/>
        <v>78.86397371483622</v>
      </c>
      <c r="J349" s="12">
        <f t="shared" si="94"/>
        <v>144.3444904775628</v>
      </c>
      <c r="K349" s="12">
        <f t="shared" si="95"/>
        <v>133.93277437245112</v>
      </c>
      <c r="L349" s="55">
        <v>20.741557554383</v>
      </c>
      <c r="M349" s="55">
        <v>18.652467799540801</v>
      </c>
      <c r="P349" s="12"/>
      <c r="Q349" s="12"/>
      <c r="R349" s="12"/>
      <c r="S349" s="12"/>
      <c r="T349" s="55">
        <v>15.7676995707782</v>
      </c>
      <c r="U349" s="55">
        <v>14.337019600717101</v>
      </c>
      <c r="V349">
        <v>0.41566265060240998</v>
      </c>
      <c r="W349" s="12"/>
      <c r="X349" s="12"/>
      <c r="Y349" t="str">
        <v>20180126</v>
      </c>
      <c r="Z349">
        <v>66</v>
      </c>
      <c r="AA349">
        <v>12.6</v>
      </c>
      <c r="AB349">
        <f t="shared" si="96"/>
        <v>5.2380952380952381</v>
      </c>
      <c r="AY349" t="str">
        <v>21/04/2023</v>
      </c>
      <c r="AZ349">
        <v>48.6</v>
      </c>
      <c r="BA349">
        <v>25</v>
      </c>
      <c r="BB349">
        <f t="shared" si="97"/>
        <v>1.944</v>
      </c>
    </row>
    <row r="350" spans="1:54" x14ac:dyDescent="0.3">
      <c r="A350" s="11">
        <v>45016</v>
      </c>
      <c r="B350">
        <v>0.46086956521739098</v>
      </c>
      <c r="C350">
        <v>4109.3100000000004</v>
      </c>
      <c r="D350">
        <v>106.37</v>
      </c>
      <c r="E350">
        <v>1969.84</v>
      </c>
      <c r="F350">
        <v>82.16</v>
      </c>
      <c r="G350">
        <v>48.77</v>
      </c>
      <c r="H350" s="12">
        <f t="shared" si="92"/>
        <v>133.92559365911268</v>
      </c>
      <c r="I350" s="12">
        <f t="shared" si="93"/>
        <v>79.159488583290496</v>
      </c>
      <c r="J350" s="12">
        <f t="shared" si="94"/>
        <v>143.67315929975592</v>
      </c>
      <c r="K350" s="12">
        <f t="shared" si="95"/>
        <v>134.40016777385466</v>
      </c>
      <c r="L350" s="55">
        <v>20.703492188352499</v>
      </c>
      <c r="M350" s="55">
        <v>18.731678003531002</v>
      </c>
      <c r="P350" s="12"/>
      <c r="Q350" s="12"/>
      <c r="R350" s="12"/>
      <c r="S350" s="12"/>
      <c r="T350" s="55">
        <v>15.592826450526101</v>
      </c>
      <c r="U350" s="55">
        <v>14.182985659324499</v>
      </c>
      <c r="V350">
        <v>0.43092105263157898</v>
      </c>
      <c r="W350" s="12"/>
      <c r="X350" s="12"/>
      <c r="Y350" t="str">
        <v>20180119</v>
      </c>
      <c r="Z350">
        <v>64.7</v>
      </c>
      <c r="AA350">
        <v>12.8</v>
      </c>
      <c r="AB350">
        <f t="shared" si="96"/>
        <v>5.0546875</v>
      </c>
      <c r="AY350" t="str">
        <v>20/04/2023</v>
      </c>
      <c r="AZ350">
        <v>48.6</v>
      </c>
      <c r="BA350">
        <v>25</v>
      </c>
      <c r="BB350">
        <f t="shared" si="97"/>
        <v>1.944</v>
      </c>
    </row>
    <row r="351" spans="1:54" x14ac:dyDescent="0.3">
      <c r="A351" s="11">
        <v>45016</v>
      </c>
      <c r="B351">
        <v>0.45722713864306802</v>
      </c>
      <c r="C351">
        <v>4050.83</v>
      </c>
      <c r="D351">
        <v>104.8</v>
      </c>
      <c r="E351">
        <v>1980.61</v>
      </c>
      <c r="F351">
        <v>82.06</v>
      </c>
      <c r="G351">
        <v>48.61</v>
      </c>
      <c r="H351" s="12">
        <f t="shared" si="92"/>
        <v>133.99853823685442</v>
      </c>
      <c r="I351" s="12">
        <f t="shared" si="93"/>
        <v>77.616909458864427</v>
      </c>
      <c r="J351" s="12">
        <f t="shared" si="94"/>
        <v>141.79887215185732</v>
      </c>
      <c r="K351" s="12">
        <f t="shared" si="95"/>
        <v>132.91878212970488</v>
      </c>
      <c r="L351" s="55">
        <v>20.5151566163286</v>
      </c>
      <c r="M351" s="55">
        <v>18.609349031420201</v>
      </c>
      <c r="P351" s="12"/>
      <c r="Q351" s="12"/>
      <c r="R351" s="12"/>
      <c r="S351" s="12"/>
      <c r="T351" s="55">
        <v>15.6410707945367</v>
      </c>
      <c r="U351" s="55">
        <v>14.231328508634901</v>
      </c>
      <c r="V351">
        <v>0.43707713125845699</v>
      </c>
      <c r="W351" s="12"/>
      <c r="X351" s="12"/>
      <c r="Y351" t="str">
        <v>20180112</v>
      </c>
      <c r="Z351">
        <v>66.7</v>
      </c>
      <c r="AA351">
        <v>12.7</v>
      </c>
      <c r="AB351">
        <f t="shared" si="96"/>
        <v>5.2519685039370083</v>
      </c>
      <c r="AY351" t="str">
        <v>19/04/2023</v>
      </c>
      <c r="AZ351">
        <v>48.6</v>
      </c>
      <c r="BA351">
        <v>25</v>
      </c>
      <c r="BB351">
        <f t="shared" si="97"/>
        <v>1.944</v>
      </c>
    </row>
    <row r="352" spans="1:54" x14ac:dyDescent="0.3">
      <c r="A352" s="11">
        <v>45015</v>
      </c>
      <c r="B352">
        <v>0.452380952380952</v>
      </c>
      <c r="C352">
        <v>4027.81</v>
      </c>
      <c r="D352">
        <v>104.32</v>
      </c>
      <c r="E352">
        <v>1964.39</v>
      </c>
      <c r="F352">
        <v>82.05</v>
      </c>
      <c r="G352">
        <v>48.06</v>
      </c>
      <c r="H352" s="12">
        <f t="shared" si="92"/>
        <v>133.84942494087096</v>
      </c>
      <c r="I352" s="12">
        <f t="shared" si="93"/>
        <v>77.814695080717982</v>
      </c>
      <c r="J352" s="12">
        <f t="shared" si="94"/>
        <v>141.0101477234137</v>
      </c>
      <c r="K352" s="12">
        <f t="shared" si="95"/>
        <v>133.68462978073202</v>
      </c>
      <c r="L352" s="55">
        <v>20.441264103603299</v>
      </c>
      <c r="M352" s="55">
        <v>18.595558993296802</v>
      </c>
      <c r="P352" s="12"/>
      <c r="Q352" s="12"/>
      <c r="R352" s="12"/>
      <c r="S352" s="12"/>
      <c r="T352" s="55">
        <v>15.5993431089575</v>
      </c>
      <c r="U352" s="55">
        <v>14.196457015265601</v>
      </c>
      <c r="V352">
        <v>0.43685300207039302</v>
      </c>
      <c r="W352" s="12"/>
      <c r="X352" s="12"/>
      <c r="Y352" t="str">
        <v>20180105</v>
      </c>
      <c r="Z352">
        <v>64.400000000000006</v>
      </c>
      <c r="AA352">
        <v>13.5</v>
      </c>
      <c r="AB352">
        <f t="shared" si="96"/>
        <v>4.7703703703703706</v>
      </c>
      <c r="AY352" t="str">
        <v>18/04/2023</v>
      </c>
      <c r="AZ352">
        <v>48.6</v>
      </c>
      <c r="BA352">
        <v>25</v>
      </c>
      <c r="BB352">
        <f t="shared" si="97"/>
        <v>1.944</v>
      </c>
    </row>
    <row r="353" spans="1:54" x14ac:dyDescent="0.3">
      <c r="A353" s="11">
        <v>45014</v>
      </c>
      <c r="B353">
        <v>0.44984802431610899</v>
      </c>
      <c r="C353">
        <v>3971.27</v>
      </c>
      <c r="D353">
        <v>104.53</v>
      </c>
      <c r="E353">
        <v>1974.06</v>
      </c>
      <c r="F353">
        <v>82.08</v>
      </c>
      <c r="G353">
        <v>47.62</v>
      </c>
      <c r="H353" s="12">
        <f t="shared" si="92"/>
        <v>131.70963702029675</v>
      </c>
      <c r="I353" s="12">
        <f t="shared" si="93"/>
        <v>76.353608231214423</v>
      </c>
      <c r="J353" s="12">
        <f t="shared" si="94"/>
        <v>138.98064721702966</v>
      </c>
      <c r="K353" s="12">
        <f t="shared" si="95"/>
        <v>133.01987043931109</v>
      </c>
      <c r="L353" s="55">
        <v>20.188155610479601</v>
      </c>
      <c r="M353" s="55">
        <v>18.394734248289101</v>
      </c>
      <c r="P353" s="12"/>
      <c r="Q353" s="12"/>
      <c r="R353" s="12"/>
      <c r="S353" s="12"/>
      <c r="T353" s="55">
        <v>15.773398837041499</v>
      </c>
      <c r="U353" s="55">
        <v>14.398248884063401</v>
      </c>
      <c r="V353">
        <v>0.442200557103064</v>
      </c>
      <c r="W353" s="12"/>
      <c r="X353" s="12"/>
      <c r="Y353" t="str">
        <v>20171229</v>
      </c>
      <c r="Z353">
        <v>61.9</v>
      </c>
      <c r="AA353">
        <v>15.2</v>
      </c>
      <c r="AB353">
        <f t="shared" si="96"/>
        <v>4.0723684210526319</v>
      </c>
      <c r="AY353" t="str">
        <v>17/04/2023</v>
      </c>
      <c r="AZ353">
        <v>48.6</v>
      </c>
      <c r="BA353">
        <v>25</v>
      </c>
      <c r="BB353">
        <f t="shared" si="97"/>
        <v>1.944</v>
      </c>
    </row>
    <row r="354" spans="1:54" x14ac:dyDescent="0.3">
      <c r="A354" s="11">
        <v>45013</v>
      </c>
      <c r="B354">
        <v>0.449101796407186</v>
      </c>
      <c r="C354">
        <v>3977.53</v>
      </c>
      <c r="D354">
        <v>104.34</v>
      </c>
      <c r="E354">
        <v>1956.67</v>
      </c>
      <c r="F354">
        <v>82.17</v>
      </c>
      <c r="G354">
        <v>47.4</v>
      </c>
      <c r="H354" s="12">
        <f t="shared" si="92"/>
        <v>132.15828942946712</v>
      </c>
      <c r="I354" s="12">
        <f t="shared" si="93"/>
        <v>77.160817621301049</v>
      </c>
      <c r="J354" s="12">
        <f t="shared" si="94"/>
        <v>139.04718836028414</v>
      </c>
      <c r="K354" s="12">
        <f t="shared" si="95"/>
        <v>133.85178488326531</v>
      </c>
      <c r="L354" s="55">
        <v>20.0202992143603</v>
      </c>
      <c r="M354" s="55">
        <v>18.2647299056961</v>
      </c>
      <c r="P354" s="12"/>
      <c r="Q354" s="12"/>
      <c r="R354" s="12"/>
      <c r="S354" s="12"/>
      <c r="T354" s="55">
        <v>15.6213294229106</v>
      </c>
      <c r="U354" s="55">
        <v>14.2980498516539</v>
      </c>
      <c r="V354">
        <v>0.44723969252271101</v>
      </c>
      <c r="W354" s="12"/>
      <c r="X354" s="12"/>
      <c r="Y354" t="str">
        <v>20171222</v>
      </c>
      <c r="Z354" t="e">
        <v>#N/A</v>
      </c>
      <c r="AA354" t="e">
        <v>#N/A</v>
      </c>
      <c r="AB354" t="str">
        <f t="shared" si="96"/>
        <v/>
      </c>
      <c r="AY354" t="str">
        <v>14/04/2023</v>
      </c>
      <c r="AZ354">
        <v>50.7</v>
      </c>
      <c r="BA354">
        <v>24</v>
      </c>
      <c r="BB354">
        <f t="shared" si="97"/>
        <v>2.1125000000000003</v>
      </c>
    </row>
    <row r="355" spans="1:54" x14ac:dyDescent="0.3">
      <c r="A355" s="11">
        <v>45010</v>
      </c>
      <c r="B355">
        <v>0.45454545454545497</v>
      </c>
      <c r="C355">
        <v>3970.99</v>
      </c>
      <c r="D355">
        <v>106.85</v>
      </c>
      <c r="E355">
        <v>1978.3</v>
      </c>
      <c r="F355">
        <v>82.52</v>
      </c>
      <c r="G355">
        <v>47.15</v>
      </c>
      <c r="H355" s="12">
        <f t="shared" si="92"/>
        <v>128.91758250703501</v>
      </c>
      <c r="I355" s="12">
        <f t="shared" si="93"/>
        <v>76.20215079763959</v>
      </c>
      <c r="J355" s="12">
        <f t="shared" si="94"/>
        <v>138.23322406993867</v>
      </c>
      <c r="K355" s="12">
        <f t="shared" si="95"/>
        <v>134.34284593305256</v>
      </c>
      <c r="L355" s="55">
        <v>20.033297516738799</v>
      </c>
      <c r="M355" s="55">
        <v>18.320946953256701</v>
      </c>
      <c r="P355" s="12"/>
      <c r="Q355" s="12"/>
      <c r="R355" s="12"/>
      <c r="S355" s="12"/>
      <c r="T355" s="55">
        <v>15.7282265259207</v>
      </c>
      <c r="U355" s="55">
        <v>14.4387752172082</v>
      </c>
      <c r="V355">
        <v>0.452937013446568</v>
      </c>
      <c r="W355" s="12"/>
      <c r="X355" s="12"/>
      <c r="Y355" t="str">
        <v>20171215</v>
      </c>
      <c r="Z355">
        <v>64.099999999999994</v>
      </c>
      <c r="AA355">
        <v>15.1</v>
      </c>
      <c r="AB355">
        <f t="shared" si="96"/>
        <v>4.2450331125827816</v>
      </c>
      <c r="AY355" t="str">
        <v>13/04/2023</v>
      </c>
      <c r="AZ355">
        <v>50.7</v>
      </c>
      <c r="BA355">
        <v>24</v>
      </c>
      <c r="BB355">
        <f t="shared" si="97"/>
        <v>2.1125000000000003</v>
      </c>
    </row>
    <row r="356" spans="1:54" x14ac:dyDescent="0.3">
      <c r="A356" s="11">
        <v>45009</v>
      </c>
      <c r="B356">
        <v>0.48071216617210699</v>
      </c>
      <c r="C356">
        <v>3948.72</v>
      </c>
      <c r="D356">
        <v>106.4</v>
      </c>
      <c r="E356">
        <v>1993.82</v>
      </c>
      <c r="F356">
        <v>82.48</v>
      </c>
      <c r="G356">
        <v>47.26</v>
      </c>
      <c r="H356" s="12">
        <f t="shared" si="92"/>
        <v>128.73600308370715</v>
      </c>
      <c r="I356" s="12">
        <f t="shared" si="93"/>
        <v>75.192773904602376</v>
      </c>
      <c r="J356" s="12">
        <f t="shared" si="94"/>
        <v>137.52430878290332</v>
      </c>
      <c r="K356" s="12">
        <f t="shared" si="95"/>
        <v>133.28094969328947</v>
      </c>
      <c r="L356" s="55">
        <v>20.085355790381101</v>
      </c>
      <c r="M356" s="55">
        <v>18.410088659049801</v>
      </c>
      <c r="P356" s="12"/>
      <c r="Q356" s="12"/>
      <c r="R356" s="12"/>
      <c r="S356" s="12"/>
      <c r="T356" s="55">
        <v>15.8009864354052</v>
      </c>
      <c r="U356" s="55">
        <v>14.5405240018148</v>
      </c>
      <c r="V356">
        <v>0.456582633053221</v>
      </c>
      <c r="W356" s="12"/>
      <c r="X356" s="12"/>
      <c r="Y356" t="str">
        <v>20171208</v>
      </c>
      <c r="Z356">
        <v>61.9</v>
      </c>
      <c r="AA356">
        <v>15.2</v>
      </c>
      <c r="AB356">
        <f t="shared" si="96"/>
        <v>4.0723684210526319</v>
      </c>
      <c r="AY356" t="str">
        <v>12/04/2023</v>
      </c>
      <c r="AZ356">
        <v>50.7</v>
      </c>
      <c r="BA356">
        <v>24</v>
      </c>
      <c r="BB356">
        <f t="shared" si="97"/>
        <v>2.1125000000000003</v>
      </c>
    </row>
    <row r="357" spans="1:54" x14ac:dyDescent="0.3">
      <c r="A357" s="11">
        <v>45008</v>
      </c>
      <c r="B357">
        <v>0.45074626865671602</v>
      </c>
      <c r="C357">
        <v>3936.97</v>
      </c>
      <c r="D357">
        <v>106.4</v>
      </c>
      <c r="E357">
        <v>1969.07</v>
      </c>
      <c r="F357">
        <v>82.24</v>
      </c>
      <c r="G357">
        <v>47.11</v>
      </c>
      <c r="H357" s="12">
        <f t="shared" si="92"/>
        <v>128.35293007872488</v>
      </c>
      <c r="I357" s="12">
        <f t="shared" si="93"/>
        <v>75.920460650889041</v>
      </c>
      <c r="J357" s="12">
        <f t="shared" si="94"/>
        <v>137.51519966971981</v>
      </c>
      <c r="K357" s="12">
        <f t="shared" si="95"/>
        <v>133.30754570152797</v>
      </c>
      <c r="L357" s="55">
        <v>20.0608109279117</v>
      </c>
      <c r="M357" s="55">
        <v>18.395341086920201</v>
      </c>
      <c r="P357" s="12"/>
      <c r="Q357" s="12"/>
      <c r="R357" s="12"/>
      <c r="S357" s="12"/>
      <c r="T357" s="55">
        <v>15.7349206384062</v>
      </c>
      <c r="U357" s="55">
        <v>14.4571356516749</v>
      </c>
      <c r="V357">
        <v>0.45536959553695999</v>
      </c>
      <c r="W357" s="12"/>
      <c r="X357" s="12"/>
      <c r="Y357" t="str">
        <v>20171201</v>
      </c>
      <c r="Z357">
        <v>64.2</v>
      </c>
      <c r="AA357">
        <v>15.1</v>
      </c>
      <c r="AB357">
        <f t="shared" si="96"/>
        <v>4.2516556291390728</v>
      </c>
      <c r="AY357" t="str">
        <v>11/04/2023</v>
      </c>
      <c r="AZ357">
        <v>50.7</v>
      </c>
      <c r="BA357">
        <v>24</v>
      </c>
      <c r="BB357">
        <f t="shared" si="97"/>
        <v>2.1125000000000003</v>
      </c>
    </row>
    <row r="358" spans="1:54" x14ac:dyDescent="0.3">
      <c r="A358" s="11">
        <v>45007</v>
      </c>
      <c r="B358">
        <v>0.44927536231884102</v>
      </c>
      <c r="C358">
        <v>4002.87</v>
      </c>
      <c r="D358">
        <v>105</v>
      </c>
      <c r="E358">
        <v>1940.51</v>
      </c>
      <c r="F358">
        <v>81.86</v>
      </c>
      <c r="G358">
        <v>47.17</v>
      </c>
      <c r="H358" s="12">
        <f t="shared" si="92"/>
        <v>132.29485654959214</v>
      </c>
      <c r="I358" s="12">
        <f t="shared" si="93"/>
        <v>78.363923649713513</v>
      </c>
      <c r="J358" s="12">
        <f t="shared" si="94"/>
        <v>140.48006795753045</v>
      </c>
      <c r="K358" s="12">
        <f t="shared" si="95"/>
        <v>135.36388456343238</v>
      </c>
      <c r="L358" s="55">
        <v>20.099125864209899</v>
      </c>
      <c r="M358" s="55">
        <v>18.399813023613</v>
      </c>
      <c r="P358" s="12"/>
      <c r="Q358" s="12"/>
      <c r="R358" s="12"/>
      <c r="S358" s="12"/>
      <c r="T358" s="55">
        <v>15.703638588680199</v>
      </c>
      <c r="U358" s="55">
        <v>14.422131246351899</v>
      </c>
      <c r="V358">
        <v>0.45403508771929801</v>
      </c>
      <c r="W358" s="12"/>
      <c r="X358" s="12"/>
      <c r="Y358" t="str">
        <v>20171124</v>
      </c>
      <c r="Z358">
        <v>62.3</v>
      </c>
      <c r="AA358">
        <v>15.1</v>
      </c>
      <c r="AB358">
        <f t="shared" si="96"/>
        <v>4.1258278145695364</v>
      </c>
      <c r="AY358" t="str">
        <v>10/04/2023</v>
      </c>
      <c r="AZ358">
        <v>50.7</v>
      </c>
      <c r="BA358">
        <v>24</v>
      </c>
      <c r="BB358">
        <f t="shared" si="97"/>
        <v>2.1125000000000003</v>
      </c>
    </row>
    <row r="359" spans="1:54" x14ac:dyDescent="0.3">
      <c r="A359" s="11">
        <v>45006</v>
      </c>
      <c r="B359">
        <v>0.46242774566473999</v>
      </c>
      <c r="C359">
        <v>3951.57</v>
      </c>
      <c r="D359">
        <v>105.91</v>
      </c>
      <c r="E359">
        <v>1978.85</v>
      </c>
      <c r="F359">
        <v>82.17</v>
      </c>
      <c r="G359">
        <v>46.58</v>
      </c>
      <c r="H359" s="12">
        <f t="shared" si="92"/>
        <v>129.50095342161927</v>
      </c>
      <c r="I359" s="12">
        <f t="shared" si="93"/>
        <v>75.907770512943785</v>
      </c>
      <c r="J359" s="12">
        <f t="shared" si="94"/>
        <v>138.16513214345412</v>
      </c>
      <c r="K359" s="12">
        <f t="shared" si="95"/>
        <v>135.32114996227452</v>
      </c>
      <c r="L359" s="55">
        <v>19.916739408607299</v>
      </c>
      <c r="M359" s="55">
        <v>18.2547991098739</v>
      </c>
      <c r="P359" s="12"/>
      <c r="Q359" s="12"/>
      <c r="R359" s="12"/>
      <c r="S359" s="12"/>
      <c r="T359" s="55">
        <v>15.686026499181899</v>
      </c>
      <c r="U359" s="55">
        <v>14.405384143269799</v>
      </c>
      <c r="V359">
        <v>0.46610169491525399</v>
      </c>
      <c r="W359" s="12"/>
      <c r="X359" s="12"/>
      <c r="Y359" t="str">
        <v>20171117</v>
      </c>
      <c r="Z359">
        <v>61.5</v>
      </c>
      <c r="AA359">
        <v>15.4</v>
      </c>
      <c r="AB359">
        <f t="shared" si="96"/>
        <v>3.9935064935064934</v>
      </c>
      <c r="AY359" t="str">
        <v>07/04/2023</v>
      </c>
      <c r="AZ359">
        <v>48.7</v>
      </c>
      <c r="BA359">
        <v>24.3</v>
      </c>
      <c r="BB359">
        <f t="shared" si="97"/>
        <v>2.0041152263374484</v>
      </c>
    </row>
    <row r="360" spans="1:54" x14ac:dyDescent="0.3">
      <c r="A360" s="11">
        <v>45003</v>
      </c>
      <c r="B360">
        <v>0.46820809248554901</v>
      </c>
      <c r="C360">
        <v>3916.64</v>
      </c>
      <c r="D360">
        <v>106.85</v>
      </c>
      <c r="E360">
        <v>1989.01</v>
      </c>
      <c r="F360">
        <v>82.27</v>
      </c>
      <c r="G360">
        <v>46.04</v>
      </c>
      <c r="H360" s="12">
        <f t="shared" si="92"/>
        <v>127.2466844855543</v>
      </c>
      <c r="I360" s="12">
        <f t="shared" si="93"/>
        <v>74.857783248536748</v>
      </c>
      <c r="J360" s="12">
        <f t="shared" si="94"/>
        <v>136.7790314255011</v>
      </c>
      <c r="K360" s="12">
        <f t="shared" si="95"/>
        <v>135.70255185947937</v>
      </c>
      <c r="L360" s="55">
        <v>19.856409247189401</v>
      </c>
      <c r="M360" s="55">
        <v>18.235493108426201</v>
      </c>
      <c r="P360" s="12"/>
      <c r="Q360" s="12"/>
      <c r="R360" s="12"/>
      <c r="S360" s="12"/>
      <c r="T360" s="55">
        <v>15.6059805403731</v>
      </c>
      <c r="U360" s="55">
        <v>14.333386050115299</v>
      </c>
      <c r="V360">
        <v>0.46801112656467297</v>
      </c>
      <c r="W360" s="12"/>
      <c r="X360" s="12"/>
      <c r="Y360" t="str">
        <v>20171110</v>
      </c>
      <c r="Z360">
        <v>63.5</v>
      </c>
      <c r="AA360">
        <v>15.4</v>
      </c>
      <c r="AB360">
        <f t="shared" si="96"/>
        <v>4.1233766233766236</v>
      </c>
      <c r="AY360" t="str">
        <v>06/04/2023</v>
      </c>
      <c r="AZ360">
        <v>48.7</v>
      </c>
      <c r="BA360">
        <v>24.3</v>
      </c>
      <c r="BB360">
        <f t="shared" si="97"/>
        <v>2.0041152263374484</v>
      </c>
    </row>
    <row r="361" spans="1:54" x14ac:dyDescent="0.3">
      <c r="A361" s="11">
        <v>45002</v>
      </c>
      <c r="B361">
        <v>0.467605633802817</v>
      </c>
      <c r="C361">
        <v>3960.28</v>
      </c>
      <c r="D361">
        <v>105.27</v>
      </c>
      <c r="E361">
        <v>1920.22</v>
      </c>
      <c r="F361">
        <v>81.86</v>
      </c>
      <c r="G361">
        <v>46.49</v>
      </c>
      <c r="H361" s="12">
        <f t="shared" si="92"/>
        <v>130.64722899813745</v>
      </c>
      <c r="I361" s="12">
        <f t="shared" si="93"/>
        <v>78.536713304237921</v>
      </c>
      <c r="J361" s="12">
        <f t="shared" si="94"/>
        <v>139.00703253632238</v>
      </c>
      <c r="K361" s="12">
        <f t="shared" si="95"/>
        <v>135.8846266467516</v>
      </c>
      <c r="L361" s="55">
        <v>19.661526993380399</v>
      </c>
      <c r="M361" s="55">
        <v>18.0383327383243</v>
      </c>
      <c r="P361" s="12"/>
      <c r="Q361" s="12"/>
      <c r="R361" s="12"/>
      <c r="S361" s="12"/>
      <c r="T361" s="55">
        <v>15.5475060651424</v>
      </c>
      <c r="U361" s="55">
        <v>14.249042159955399</v>
      </c>
      <c r="V361">
        <v>0.46699438202247201</v>
      </c>
      <c r="W361" s="12"/>
      <c r="X361" s="12"/>
      <c r="Y361" t="str">
        <v>20171103</v>
      </c>
      <c r="Z361">
        <v>64.400000000000006</v>
      </c>
      <c r="AA361">
        <v>14.4</v>
      </c>
      <c r="AB361">
        <f t="shared" si="96"/>
        <v>4.4722222222222223</v>
      </c>
      <c r="AY361" t="str">
        <v>05/04/2023</v>
      </c>
      <c r="AZ361">
        <v>48.7</v>
      </c>
      <c r="BA361">
        <v>24.3</v>
      </c>
      <c r="BB361">
        <f t="shared" si="97"/>
        <v>2.0041152263374484</v>
      </c>
    </row>
    <row r="362" spans="1:54" x14ac:dyDescent="0.3">
      <c r="A362" s="11">
        <v>45001</v>
      </c>
      <c r="B362">
        <v>0.46388888888888902</v>
      </c>
      <c r="C362">
        <v>3891.93</v>
      </c>
      <c r="D362">
        <v>106.1</v>
      </c>
      <c r="E362">
        <v>1918.38</v>
      </c>
      <c r="F362">
        <v>82.19</v>
      </c>
      <c r="G362">
        <v>45.79</v>
      </c>
      <c r="H362" s="12">
        <f t="shared" si="92"/>
        <v>127.41287986473915</v>
      </c>
      <c r="I362" s="12">
        <f t="shared" si="93"/>
        <v>77.25407637339427</v>
      </c>
      <c r="J362" s="12">
        <f t="shared" si="94"/>
        <v>136.07101893377612</v>
      </c>
      <c r="K362" s="12">
        <f t="shared" si="95"/>
        <v>135.57621783799746</v>
      </c>
      <c r="L362" s="55">
        <v>19.560663331298301</v>
      </c>
      <c r="M362" s="55">
        <v>17.9731760277311</v>
      </c>
      <c r="P362" s="12"/>
      <c r="Q362" s="12"/>
      <c r="R362" s="12"/>
      <c r="S362" s="12"/>
      <c r="T362" s="55">
        <v>15.5657405380888</v>
      </c>
      <c r="U362" s="55">
        <v>14.2496209301761</v>
      </c>
      <c r="V362">
        <v>0.46890286512927998</v>
      </c>
      <c r="W362" s="12"/>
      <c r="X362" s="12"/>
      <c r="Y362" t="str">
        <v>20171027</v>
      </c>
      <c r="Z362">
        <v>63.5</v>
      </c>
      <c r="AA362">
        <v>14.4</v>
      </c>
      <c r="AB362">
        <f t="shared" si="96"/>
        <v>4.4097222222222223</v>
      </c>
      <c r="AY362" t="str">
        <v>04/04/2023</v>
      </c>
      <c r="AZ362">
        <v>48.7</v>
      </c>
      <c r="BA362">
        <v>24.3</v>
      </c>
      <c r="BB362">
        <f t="shared" si="97"/>
        <v>2.0041152263374484</v>
      </c>
    </row>
    <row r="363" spans="1:54" x14ac:dyDescent="0.3">
      <c r="A363" s="11">
        <v>45000</v>
      </c>
      <c r="B363">
        <v>0.465753424657534</v>
      </c>
      <c r="C363">
        <v>3919.29</v>
      </c>
      <c r="D363">
        <v>104.09</v>
      </c>
      <c r="E363">
        <v>1902.79</v>
      </c>
      <c r="F363">
        <v>81.709999999999994</v>
      </c>
      <c r="G363">
        <v>47.06</v>
      </c>
      <c r="H363" s="12">
        <f t="shared" si="92"/>
        <v>130.85314897343778</v>
      </c>
      <c r="I363" s="12">
        <f t="shared" si="93"/>
        <v>78.444398602067807</v>
      </c>
      <c r="J363" s="12">
        <f t="shared" si="94"/>
        <v>137.84303110066699</v>
      </c>
      <c r="K363" s="12">
        <f t="shared" si="95"/>
        <v>132.91708278652837</v>
      </c>
      <c r="L363" s="55">
        <v>19.554540246707798</v>
      </c>
      <c r="M363" s="55">
        <v>17.983234772979198</v>
      </c>
      <c r="P363" s="12"/>
      <c r="Q363" s="12"/>
      <c r="R363" s="12"/>
      <c r="S363" s="12"/>
      <c r="T363" s="55">
        <v>15.479644046458599</v>
      </c>
      <c r="U363" s="55">
        <v>14.1413916316325</v>
      </c>
      <c r="V363">
        <v>0.46754143646408802</v>
      </c>
      <c r="W363" s="12"/>
      <c r="X363" s="12"/>
      <c r="Y363" t="str">
        <v>20171020</v>
      </c>
      <c r="Z363">
        <v>62.3</v>
      </c>
      <c r="AA363">
        <v>15.1</v>
      </c>
      <c r="AB363">
        <f t="shared" si="96"/>
        <v>4.1258278145695364</v>
      </c>
      <c r="AY363" t="str">
        <v>03/04/2023</v>
      </c>
      <c r="AZ363">
        <v>48.7</v>
      </c>
      <c r="BA363">
        <v>24.3</v>
      </c>
      <c r="BB363">
        <f t="shared" si="97"/>
        <v>2.0041152263374484</v>
      </c>
    </row>
    <row r="364" spans="1:54" x14ac:dyDescent="0.3">
      <c r="A364" s="11">
        <v>44999</v>
      </c>
      <c r="B364">
        <v>0.45628415300546399</v>
      </c>
      <c r="C364">
        <v>3855.76</v>
      </c>
      <c r="D364">
        <v>105.83</v>
      </c>
      <c r="E364">
        <v>1913.53</v>
      </c>
      <c r="F364">
        <v>82.02</v>
      </c>
      <c r="G364">
        <v>46.6</v>
      </c>
      <c r="H364" s="12">
        <f t="shared" si="92"/>
        <v>126.68298447340204</v>
      </c>
      <c r="I364" s="12">
        <f t="shared" si="93"/>
        <v>76.749064611830093</v>
      </c>
      <c r="J364" s="12">
        <f t="shared" si="94"/>
        <v>135.10628920941261</v>
      </c>
      <c r="K364" s="12">
        <f t="shared" si="95"/>
        <v>132.044873147153</v>
      </c>
      <c r="L364" s="55">
        <v>19.346636996052499</v>
      </c>
      <c r="M364" s="55">
        <v>17.730158133113299</v>
      </c>
      <c r="P364" s="12"/>
      <c r="Q364" s="12"/>
      <c r="R364" s="12"/>
      <c r="S364" s="12"/>
      <c r="T364" s="55">
        <v>15.3960507928099</v>
      </c>
      <c r="U364" s="55">
        <v>13.9915168311435</v>
      </c>
      <c r="V364">
        <v>0.467586206896552</v>
      </c>
      <c r="W364" s="12"/>
      <c r="X364" s="12"/>
      <c r="Y364" t="str">
        <v>20171013</v>
      </c>
      <c r="Z364">
        <v>60</v>
      </c>
      <c r="AA364">
        <v>15.2</v>
      </c>
      <c r="AB364">
        <f t="shared" si="96"/>
        <v>3.9473684210526319</v>
      </c>
      <c r="AY364" t="str">
        <v>31/03/2023</v>
      </c>
      <c r="AZ364">
        <v>48.6</v>
      </c>
      <c r="BA364">
        <v>25</v>
      </c>
      <c r="BB364">
        <f t="shared" si="97"/>
        <v>1.944</v>
      </c>
    </row>
    <row r="365" spans="1:54" x14ac:dyDescent="0.3">
      <c r="A365" s="11">
        <v>44996</v>
      </c>
      <c r="B365">
        <v>0.46153846153846201</v>
      </c>
      <c r="C365">
        <v>3861.59</v>
      </c>
      <c r="D365">
        <v>105.59</v>
      </c>
      <c r="E365">
        <v>1868.14</v>
      </c>
      <c r="F365">
        <v>81.209999999999994</v>
      </c>
      <c r="G365">
        <v>46.79</v>
      </c>
      <c r="H365" s="12">
        <f t="shared" si="92"/>
        <v>127.16400563639463</v>
      </c>
      <c r="I365" s="12">
        <f t="shared" si="93"/>
        <v>78.78216724997003</v>
      </c>
      <c r="J365" s="12">
        <f t="shared" si="94"/>
        <v>136.67585863150765</v>
      </c>
      <c r="K365" s="12">
        <f t="shared" si="95"/>
        <v>131.70888957507142</v>
      </c>
      <c r="L365" s="55">
        <v>19.439012449072699</v>
      </c>
      <c r="M365" s="55">
        <v>17.8541100090744</v>
      </c>
      <c r="P365" s="12"/>
      <c r="Q365" s="12"/>
      <c r="R365" s="12"/>
      <c r="S365" s="12"/>
      <c r="T365" s="55">
        <v>15.500886643955999</v>
      </c>
      <c r="U365" s="55">
        <v>14.099665068443</v>
      </c>
      <c r="V365">
        <v>0.46462585034013598</v>
      </c>
      <c r="W365" s="12"/>
      <c r="X365" s="12"/>
      <c r="Y365" t="str">
        <v>20171006</v>
      </c>
      <c r="Z365">
        <v>60.4</v>
      </c>
      <c r="AA365">
        <v>15.1</v>
      </c>
      <c r="AB365">
        <f t="shared" si="96"/>
        <v>4</v>
      </c>
      <c r="AY365" t="str">
        <v>30/03/2023</v>
      </c>
      <c r="AZ365">
        <v>48.6</v>
      </c>
      <c r="BA365">
        <v>25</v>
      </c>
      <c r="BB365">
        <f t="shared" si="97"/>
        <v>1.944</v>
      </c>
    </row>
    <row r="366" spans="1:54" x14ac:dyDescent="0.3">
      <c r="A366" s="11">
        <v>44995</v>
      </c>
      <c r="B366">
        <v>0.43817204301075302</v>
      </c>
      <c r="C366">
        <v>3918.32</v>
      </c>
      <c r="D366">
        <v>102.07</v>
      </c>
      <c r="E366">
        <v>1830.9</v>
      </c>
      <c r="F366">
        <v>80.77</v>
      </c>
      <c r="G366">
        <v>47.22</v>
      </c>
      <c r="H366" s="12">
        <f t="shared" si="92"/>
        <v>133.71107209781653</v>
      </c>
      <c r="I366" s="12">
        <f t="shared" si="93"/>
        <v>81.624145933807483</v>
      </c>
      <c r="J366" s="12">
        <f t="shared" si="94"/>
        <v>139.45459047953938</v>
      </c>
      <c r="K366" s="12">
        <f t="shared" si="95"/>
        <v>132.42022890528253</v>
      </c>
      <c r="L366" s="55">
        <v>19.295656331405802</v>
      </c>
      <c r="M366" s="55">
        <v>17.665944347836898</v>
      </c>
      <c r="P366" s="12"/>
      <c r="Q366" s="12"/>
      <c r="R366" s="12"/>
      <c r="S366" s="12"/>
      <c r="T366" s="55">
        <v>15.512810491226</v>
      </c>
      <c r="U366" s="55">
        <v>14.080764489325301</v>
      </c>
      <c r="V366">
        <v>0.46577181208053697</v>
      </c>
      <c r="W366" s="12"/>
      <c r="X366" s="12"/>
      <c r="Y366" t="str">
        <v>20170929</v>
      </c>
      <c r="Z366">
        <v>57.5</v>
      </c>
      <c r="AA366">
        <v>17</v>
      </c>
      <c r="AB366">
        <f t="shared" si="96"/>
        <v>3.3823529411764706</v>
      </c>
      <c r="AY366" t="str">
        <v>29/03/2023</v>
      </c>
      <c r="AZ366">
        <v>48.6</v>
      </c>
      <c r="BA366">
        <v>25</v>
      </c>
      <c r="BB366">
        <f t="shared" si="97"/>
        <v>1.944</v>
      </c>
    </row>
    <row r="367" spans="1:54" x14ac:dyDescent="0.3">
      <c r="A367" s="11">
        <v>44994</v>
      </c>
      <c r="B367">
        <v>0.43850267379679098</v>
      </c>
      <c r="C367">
        <v>3992.01</v>
      </c>
      <c r="D367">
        <v>101.82</v>
      </c>
      <c r="E367">
        <v>1813.95</v>
      </c>
      <c r="F367">
        <v>80.510000000000005</v>
      </c>
      <c r="G367">
        <v>47.8</v>
      </c>
      <c r="H367" s="12">
        <f t="shared" si="92"/>
        <v>136.56733501309702</v>
      </c>
      <c r="I367" s="12">
        <f t="shared" si="93"/>
        <v>83.958496169211216</v>
      </c>
      <c r="J367" s="12">
        <f t="shared" si="94"/>
        <v>142.54624536085734</v>
      </c>
      <c r="K367" s="12">
        <f t="shared" si="95"/>
        <v>133.26318268645474</v>
      </c>
      <c r="L367" s="55">
        <v>19.235537575431</v>
      </c>
      <c r="M367" s="55">
        <v>17.570625719240201</v>
      </c>
      <c r="P367" s="12"/>
      <c r="Q367" s="12"/>
      <c r="R367" s="12"/>
      <c r="S367" s="12"/>
      <c r="T367" s="55">
        <v>15.4863266257252</v>
      </c>
      <c r="U367" s="55">
        <v>14.008254950743</v>
      </c>
      <c r="V367">
        <v>0.45557782231128902</v>
      </c>
      <c r="W367" s="12"/>
      <c r="X367" s="12"/>
      <c r="Y367" t="str">
        <v>20170922</v>
      </c>
      <c r="Z367">
        <v>54.3</v>
      </c>
      <c r="AA367">
        <v>17.100000000000001</v>
      </c>
      <c r="AB367">
        <f t="shared" si="96"/>
        <v>3.1754385964912277</v>
      </c>
      <c r="AY367" t="str">
        <v>28/03/2023</v>
      </c>
      <c r="AZ367">
        <v>48.6</v>
      </c>
      <c r="BA367">
        <v>25</v>
      </c>
      <c r="BB367">
        <f t="shared" si="97"/>
        <v>1.944</v>
      </c>
    </row>
    <row r="368" spans="1:54" x14ac:dyDescent="0.3">
      <c r="A368" s="11">
        <v>44993</v>
      </c>
      <c r="B368">
        <v>0.42744063324538301</v>
      </c>
      <c r="C368">
        <v>3986.37</v>
      </c>
      <c r="D368">
        <v>101.72</v>
      </c>
      <c r="E368">
        <v>1813.51</v>
      </c>
      <c r="F368">
        <v>80.55</v>
      </c>
      <c r="G368">
        <v>47.61</v>
      </c>
      <c r="H368" s="12">
        <f t="shared" si="92"/>
        <v>136.5084002189503</v>
      </c>
      <c r="I368" s="12">
        <f t="shared" si="93"/>
        <v>83.860195450903902</v>
      </c>
      <c r="J368" s="12">
        <f t="shared" si="94"/>
        <v>142.27430126918867</v>
      </c>
      <c r="K368" s="12">
        <f t="shared" si="95"/>
        <v>133.60734682688411</v>
      </c>
      <c r="L368" s="55">
        <v>19.328896422610701</v>
      </c>
      <c r="M368" s="55">
        <v>17.7015422409896</v>
      </c>
      <c r="P368" s="12"/>
      <c r="Q368" s="12"/>
      <c r="R368" s="12"/>
      <c r="S368" s="12"/>
      <c r="T368" s="55">
        <v>15.515905010025801</v>
      </c>
      <c r="U368" s="55">
        <v>14.014287930183899</v>
      </c>
      <c r="V368">
        <v>0.45867208672086701</v>
      </c>
      <c r="W368" s="12"/>
      <c r="X368" s="12"/>
      <c r="Y368" t="str">
        <v>20170915</v>
      </c>
      <c r="Z368">
        <v>50.5</v>
      </c>
      <c r="AA368">
        <v>19</v>
      </c>
      <c r="AB368">
        <f t="shared" si="96"/>
        <v>2.6578947368421053</v>
      </c>
      <c r="AY368" t="str">
        <v>27/03/2023</v>
      </c>
      <c r="AZ368">
        <v>48.6</v>
      </c>
      <c r="BA368">
        <v>25</v>
      </c>
      <c r="BB368">
        <f t="shared" si="97"/>
        <v>1.944</v>
      </c>
    </row>
    <row r="369" spans="1:54" x14ac:dyDescent="0.3">
      <c r="A369" s="11">
        <v>44992</v>
      </c>
      <c r="B369">
        <v>0.42455242966751899</v>
      </c>
      <c r="C369">
        <v>4048.42</v>
      </c>
      <c r="D369">
        <v>101.1</v>
      </c>
      <c r="E369">
        <v>1846.89</v>
      </c>
      <c r="F369">
        <v>80.72</v>
      </c>
      <c r="G369">
        <v>48.43</v>
      </c>
      <c r="H369" s="12">
        <f t="shared" si="92"/>
        <v>139.50204563694356</v>
      </c>
      <c r="I369" s="12">
        <f t="shared" si="93"/>
        <v>83.630490975811739</v>
      </c>
      <c r="J369" s="12">
        <f t="shared" si="94"/>
        <v>144.1805003422964</v>
      </c>
      <c r="K369" s="12">
        <f t="shared" si="95"/>
        <v>133.39329236210881</v>
      </c>
      <c r="L369" s="55">
        <v>19.500403083369001</v>
      </c>
      <c r="M369" s="55">
        <v>17.973820896152201</v>
      </c>
      <c r="P369" s="12"/>
      <c r="Q369" s="12"/>
      <c r="R369" s="12"/>
      <c r="S369" s="12"/>
      <c r="T369" s="55">
        <v>15.7541991732094</v>
      </c>
      <c r="U369" s="55">
        <v>14.3466307040765</v>
      </c>
      <c r="V369">
        <v>0.456639566395664</v>
      </c>
      <c r="W369" s="12"/>
      <c r="X369" s="12"/>
      <c r="Y369" t="str">
        <v>20170908</v>
      </c>
      <c r="Z369">
        <v>47.1</v>
      </c>
      <c r="AA369">
        <v>20.2</v>
      </c>
      <c r="AB369">
        <f t="shared" si="96"/>
        <v>2.331683168316832</v>
      </c>
      <c r="AY369" t="str">
        <v>24/03/2023</v>
      </c>
      <c r="AZ369">
        <v>40.799999999999997</v>
      </c>
      <c r="BA369">
        <v>26.8</v>
      </c>
      <c r="BB369">
        <f t="shared" si="97"/>
        <v>1.5223880597014925</v>
      </c>
    </row>
    <row r="370" spans="1:54" x14ac:dyDescent="0.3">
      <c r="A370" s="11">
        <v>44989</v>
      </c>
      <c r="B370">
        <v>0.42997542997542998</v>
      </c>
      <c r="C370">
        <v>4045.64</v>
      </c>
      <c r="D370">
        <v>101.89</v>
      </c>
      <c r="E370">
        <v>1855.22</v>
      </c>
      <c r="F370">
        <v>80.760000000000005</v>
      </c>
      <c r="G370">
        <v>48.54</v>
      </c>
      <c r="H370" s="12">
        <f t="shared" si="92"/>
        <v>138.33441750712245</v>
      </c>
      <c r="I370" s="12">
        <f t="shared" si="93"/>
        <v>83.199749810412115</v>
      </c>
      <c r="J370" s="12">
        <f t="shared" si="94"/>
        <v>144.0102148574066</v>
      </c>
      <c r="K370" s="12">
        <f t="shared" si="95"/>
        <v>133.00049777072903</v>
      </c>
      <c r="L370" s="55">
        <v>19.4958522473217</v>
      </c>
      <c r="M370" s="55">
        <v>17.9630142905425</v>
      </c>
      <c r="P370" s="12"/>
      <c r="Q370" s="12"/>
      <c r="R370" s="12"/>
      <c r="S370" s="12"/>
      <c r="T370" s="55">
        <v>15.723381739101301</v>
      </c>
      <c r="U370" s="55">
        <v>14.259884200832101</v>
      </c>
      <c r="V370">
        <v>0.45284280936454901</v>
      </c>
      <c r="W370" s="12"/>
      <c r="X370" s="12"/>
      <c r="Y370" t="str">
        <v>20170901</v>
      </c>
      <c r="Z370">
        <v>49.5</v>
      </c>
      <c r="AA370">
        <v>19.100000000000001</v>
      </c>
      <c r="AB370">
        <f t="shared" si="96"/>
        <v>2.5916230366492146</v>
      </c>
      <c r="AY370" t="str">
        <v>23/03/2023</v>
      </c>
      <c r="AZ370">
        <v>40.799999999999997</v>
      </c>
      <c r="BA370">
        <v>26.8</v>
      </c>
      <c r="BB370">
        <f t="shared" si="97"/>
        <v>1.5223880597014925</v>
      </c>
    </row>
    <row r="371" spans="1:54" x14ac:dyDescent="0.3">
      <c r="A371" s="11">
        <v>44988</v>
      </c>
      <c r="B371">
        <v>0.41387559808612401</v>
      </c>
      <c r="C371">
        <v>3981.35</v>
      </c>
      <c r="D371">
        <v>99.48</v>
      </c>
      <c r="E371">
        <v>1835.58</v>
      </c>
      <c r="F371">
        <v>80.709999999999994</v>
      </c>
      <c r="G371">
        <v>47.95</v>
      </c>
      <c r="H371" s="12">
        <f t="shared" si="92"/>
        <v>139.4610094820018</v>
      </c>
      <c r="I371" s="12">
        <f t="shared" si="93"/>
        <v>82.748919325589412</v>
      </c>
      <c r="J371" s="12">
        <f t="shared" si="94"/>
        <v>141.80817676887926</v>
      </c>
      <c r="K371" s="12">
        <f t="shared" si="95"/>
        <v>132.49129329040358</v>
      </c>
      <c r="L371" s="55">
        <v>19.562141296652001</v>
      </c>
      <c r="M371" s="55">
        <v>18.0578920170401</v>
      </c>
      <c r="P371" s="12"/>
      <c r="Q371" s="12"/>
      <c r="R371" s="12"/>
      <c r="S371" s="12"/>
      <c r="T371" s="55">
        <v>15.7762899754453</v>
      </c>
      <c r="U371" s="55">
        <v>14.2973592703799</v>
      </c>
      <c r="V371">
        <v>0.450928381962865</v>
      </c>
      <c r="W371" s="12"/>
      <c r="X371" s="12"/>
      <c r="Y371" t="str">
        <v>20170825</v>
      </c>
      <c r="Z371">
        <v>49.5</v>
      </c>
      <c r="AA371">
        <v>19.100000000000001</v>
      </c>
      <c r="AB371">
        <f t="shared" si="96"/>
        <v>2.5916230366492146</v>
      </c>
      <c r="AY371" t="str">
        <v>22/03/2023</v>
      </c>
      <c r="AZ371">
        <v>40.799999999999997</v>
      </c>
      <c r="BA371">
        <v>26.8</v>
      </c>
      <c r="BB371">
        <f t="shared" si="97"/>
        <v>1.5223880597014925</v>
      </c>
    </row>
    <row r="372" spans="1:54" x14ac:dyDescent="0.3">
      <c r="A372" s="11">
        <v>44987</v>
      </c>
      <c r="B372">
        <v>0.430260047281324</v>
      </c>
      <c r="C372">
        <v>3951.39</v>
      </c>
      <c r="D372">
        <v>100.37</v>
      </c>
      <c r="E372">
        <v>1836.88</v>
      </c>
      <c r="F372">
        <v>80.680000000000007</v>
      </c>
      <c r="G372">
        <v>47.81</v>
      </c>
      <c r="H372" s="12">
        <f t="shared" si="92"/>
        <v>137.20409360623313</v>
      </c>
      <c r="I372" s="12">
        <f t="shared" si="93"/>
        <v>82.068581961370512</v>
      </c>
      <c r="J372" s="12">
        <f t="shared" si="94"/>
        <v>140.79301651373331</v>
      </c>
      <c r="K372" s="12">
        <f t="shared" si="95"/>
        <v>131.87755042976153</v>
      </c>
      <c r="L372" s="55">
        <v>19.518350811415001</v>
      </c>
      <c r="M372" s="55">
        <v>17.958147728100801</v>
      </c>
      <c r="P372" s="12"/>
      <c r="Q372" s="12"/>
      <c r="R372" s="12"/>
      <c r="S372" s="12"/>
      <c r="T372" s="55">
        <v>15.815684679690699</v>
      </c>
      <c r="U372" s="55">
        <v>14.332347508521799</v>
      </c>
      <c r="V372">
        <v>0.44770153231179199</v>
      </c>
      <c r="W372" s="12"/>
      <c r="X372" s="12"/>
      <c r="Y372" t="str">
        <v>20170818</v>
      </c>
      <c r="Z372">
        <v>48.1</v>
      </c>
      <c r="AA372">
        <v>18.3</v>
      </c>
      <c r="AB372">
        <f t="shared" si="96"/>
        <v>2.6284153005464481</v>
      </c>
      <c r="AY372" t="str">
        <v>21/03/2023</v>
      </c>
      <c r="AZ372">
        <v>40.799999999999997</v>
      </c>
      <c r="BA372">
        <v>26.8</v>
      </c>
      <c r="BB372">
        <f t="shared" si="97"/>
        <v>1.5223880597014925</v>
      </c>
    </row>
    <row r="373" spans="1:54" x14ac:dyDescent="0.3">
      <c r="A373" s="11">
        <v>44985</v>
      </c>
      <c r="B373">
        <v>0.68181818181818199</v>
      </c>
      <c r="C373">
        <v>3970.15</v>
      </c>
      <c r="D373">
        <v>101.71</v>
      </c>
      <c r="E373">
        <v>1825.55</v>
      </c>
      <c r="F373">
        <v>80.989999999999995</v>
      </c>
      <c r="G373">
        <v>47.32</v>
      </c>
      <c r="H373" s="12">
        <f t="shared" si="92"/>
        <v>136.0545078249595</v>
      </c>
      <c r="I373" s="12">
        <f t="shared" si="93"/>
        <v>82.975639376941643</v>
      </c>
      <c r="J373" s="12">
        <f t="shared" si="94"/>
        <v>140.91950998477162</v>
      </c>
      <c r="K373" s="12">
        <f t="shared" si="95"/>
        <v>133.89675253651401</v>
      </c>
      <c r="L373" s="55">
        <v>19.372257420179899</v>
      </c>
      <c r="M373" s="55">
        <v>17.696576626919999</v>
      </c>
      <c r="P373" s="12"/>
      <c r="Q373" s="12"/>
      <c r="R373" s="12"/>
      <c r="S373" s="12"/>
      <c r="T373" s="55">
        <v>15.686800500905999</v>
      </c>
      <c r="U373" s="55">
        <v>14.055637390261699</v>
      </c>
      <c r="V373">
        <v>0.46568627450980399</v>
      </c>
      <c r="W373" s="12"/>
      <c r="X373" s="12"/>
      <c r="Y373" t="str">
        <v>20170811</v>
      </c>
      <c r="Z373">
        <v>50.5</v>
      </c>
      <c r="AA373">
        <v>18.100000000000001</v>
      </c>
      <c r="AB373">
        <f t="shared" si="96"/>
        <v>2.7900552486187844</v>
      </c>
      <c r="AY373" t="str">
        <v>20/03/2023</v>
      </c>
      <c r="AZ373">
        <v>40.799999999999997</v>
      </c>
      <c r="BA373">
        <v>26.8</v>
      </c>
      <c r="BB373">
        <f t="shared" si="97"/>
        <v>1.5223880597014925</v>
      </c>
    </row>
    <row r="374" spans="1:54" x14ac:dyDescent="0.3">
      <c r="A374" s="11">
        <v>44985</v>
      </c>
      <c r="B374">
        <v>0.68945868945868904</v>
      </c>
      <c r="C374">
        <v>3982.24</v>
      </c>
      <c r="D374">
        <v>101.25</v>
      </c>
      <c r="E374">
        <v>1817.28</v>
      </c>
      <c r="F374">
        <v>81.010000000000005</v>
      </c>
      <c r="G374">
        <v>47.71</v>
      </c>
      <c r="H374" s="12">
        <f t="shared" si="92"/>
        <v>137.09356595794617</v>
      </c>
      <c r="I374" s="12">
        <f t="shared" si="93"/>
        <v>83.609966194824196</v>
      </c>
      <c r="J374" s="12">
        <f t="shared" si="94"/>
        <v>141.31364740524126</v>
      </c>
      <c r="K374" s="12">
        <f t="shared" si="95"/>
        <v>133.21225373666303</v>
      </c>
      <c r="L374" s="55">
        <v>19.3930555290315</v>
      </c>
      <c r="M374" s="55">
        <v>17.717181996634299</v>
      </c>
      <c r="P374" s="12"/>
      <c r="Q374" s="12"/>
      <c r="R374" s="12"/>
      <c r="S374" s="12"/>
      <c r="T374" s="55">
        <v>15.7321004551667</v>
      </c>
      <c r="U374" s="55">
        <v>14.0907414155991</v>
      </c>
      <c r="V374">
        <v>0.451568894952251</v>
      </c>
      <c r="W374" s="12"/>
      <c r="X374" s="12"/>
      <c r="Y374" t="str">
        <v>20170804</v>
      </c>
      <c r="Z374">
        <v>57.5</v>
      </c>
      <c r="AA374">
        <v>17</v>
      </c>
      <c r="AB374">
        <f t="shared" si="96"/>
        <v>3.3823529411764706</v>
      </c>
      <c r="AY374" t="str">
        <v>17/03/2023</v>
      </c>
      <c r="AZ374">
        <v>39.700000000000003</v>
      </c>
      <c r="BA374">
        <v>28.8</v>
      </c>
      <c r="BB374">
        <f t="shared" si="97"/>
        <v>1.3784722222222223</v>
      </c>
    </row>
    <row r="375" spans="1:54" x14ac:dyDescent="0.3">
      <c r="A375" s="11">
        <v>44982</v>
      </c>
      <c r="B375">
        <v>0.68613138686131403</v>
      </c>
      <c r="C375">
        <v>3970.04</v>
      </c>
      <c r="D375">
        <v>100.97</v>
      </c>
      <c r="E375">
        <v>1811.04</v>
      </c>
      <c r="F375">
        <v>80.94</v>
      </c>
      <c r="G375">
        <v>47.23</v>
      </c>
      <c r="H375" s="12">
        <f t="shared" si="92"/>
        <v>137.05246173519163</v>
      </c>
      <c r="I375" s="12">
        <f t="shared" si="93"/>
        <v>83.641123948879212</v>
      </c>
      <c r="J375" s="12">
        <f t="shared" si="94"/>
        <v>141.00228914737255</v>
      </c>
      <c r="K375" s="12">
        <f t="shared" si="95"/>
        <v>134.16347479543001</v>
      </c>
      <c r="L375" s="55">
        <v>19.481926518474999</v>
      </c>
      <c r="M375" s="55">
        <v>17.878038531458799</v>
      </c>
      <c r="P375" s="12"/>
      <c r="Q375" s="12"/>
      <c r="R375" s="12"/>
      <c r="S375" s="12"/>
      <c r="T375" s="55">
        <v>15.8252973792908</v>
      </c>
      <c r="U375" s="55">
        <v>14.2273262685285</v>
      </c>
      <c r="V375">
        <v>0.44028871391076102</v>
      </c>
      <c r="W375" s="12"/>
      <c r="X375" s="12"/>
      <c r="Y375" t="str">
        <v>20170728</v>
      </c>
      <c r="Z375">
        <v>60</v>
      </c>
      <c r="AA375">
        <v>16.2</v>
      </c>
      <c r="AB375">
        <f t="shared" si="96"/>
        <v>3.7037037037037037</v>
      </c>
      <c r="AY375" t="str">
        <v>16/03/2023</v>
      </c>
      <c r="AZ375">
        <v>39.700000000000003</v>
      </c>
      <c r="BA375">
        <v>28.8</v>
      </c>
      <c r="BB375">
        <f t="shared" si="97"/>
        <v>1.3784722222222223</v>
      </c>
    </row>
    <row r="376" spans="1:54" x14ac:dyDescent="0.3">
      <c r="A376" s="11">
        <v>44981</v>
      </c>
      <c r="B376">
        <v>0.68408551068883605</v>
      </c>
      <c r="C376">
        <v>4012.32</v>
      </c>
      <c r="D376">
        <v>102.3</v>
      </c>
      <c r="E376">
        <v>1822.44</v>
      </c>
      <c r="F376">
        <v>81.11</v>
      </c>
      <c r="G376">
        <v>48.08</v>
      </c>
      <c r="H376" s="12">
        <f t="shared" si="92"/>
        <v>136.715671816602</v>
      </c>
      <c r="I376" s="12">
        <f t="shared" si="93"/>
        <v>84.000831839991037</v>
      </c>
      <c r="J376" s="12">
        <f t="shared" si="94"/>
        <v>142.20271114312271</v>
      </c>
      <c r="K376" s="12">
        <f t="shared" si="95"/>
        <v>133.21216354959734</v>
      </c>
      <c r="L376" s="55">
        <v>19.487417391142198</v>
      </c>
      <c r="M376" s="55">
        <v>17.873936295501998</v>
      </c>
      <c r="P376" s="12"/>
      <c r="Q376" s="12"/>
      <c r="R376" s="12"/>
      <c r="S376" s="12"/>
      <c r="T376" s="55">
        <v>15.8482897861195</v>
      </c>
      <c r="U376" s="55">
        <v>14.2230843656916</v>
      </c>
      <c r="V376">
        <v>0.44137022397892001</v>
      </c>
      <c r="W376" s="12"/>
      <c r="X376" s="12"/>
      <c r="Y376" t="str">
        <v>20170721</v>
      </c>
      <c r="Z376">
        <v>60.2</v>
      </c>
      <c r="AA376">
        <v>16.5</v>
      </c>
      <c r="AB376">
        <f t="shared" si="96"/>
        <v>3.6484848484848484</v>
      </c>
      <c r="AY376" t="str">
        <v>15/03/2023</v>
      </c>
      <c r="AZ376">
        <v>39.700000000000003</v>
      </c>
      <c r="BA376">
        <v>28.8</v>
      </c>
      <c r="BB376">
        <f t="shared" si="97"/>
        <v>1.3784722222222223</v>
      </c>
    </row>
    <row r="377" spans="1:54" x14ac:dyDescent="0.3">
      <c r="A377" s="11">
        <v>44980</v>
      </c>
      <c r="B377">
        <v>0.67548076923076905</v>
      </c>
      <c r="C377">
        <v>3991.05</v>
      </c>
      <c r="D377">
        <v>101.31</v>
      </c>
      <c r="E377">
        <v>1825.26</v>
      </c>
      <c r="F377">
        <v>81.06</v>
      </c>
      <c r="G377">
        <v>47.84</v>
      </c>
      <c r="H377" s="12">
        <f t="shared" si="92"/>
        <v>137.32575002791654</v>
      </c>
      <c r="I377" s="12">
        <f t="shared" si="93"/>
        <v>83.427318252504833</v>
      </c>
      <c r="J377" s="12">
        <f t="shared" si="94"/>
        <v>141.53571030210753</v>
      </c>
      <c r="K377" s="12">
        <f t="shared" si="95"/>
        <v>133.17052083748791</v>
      </c>
      <c r="L377" s="55">
        <v>19.508213065579199</v>
      </c>
      <c r="M377" s="55">
        <v>17.905104712027399</v>
      </c>
      <c r="P377" s="12"/>
      <c r="Q377" s="12"/>
      <c r="R377" s="12"/>
      <c r="S377" s="12"/>
      <c r="T377" s="55">
        <v>15.9186740004911</v>
      </c>
      <c r="U377" s="55">
        <v>14.318832301272</v>
      </c>
      <c r="V377">
        <v>0.43758300132802103</v>
      </c>
      <c r="W377" s="12"/>
      <c r="X377" s="12"/>
      <c r="Y377" t="str">
        <v>20170714</v>
      </c>
      <c r="Z377">
        <v>57.8</v>
      </c>
      <c r="AA377">
        <v>16.7</v>
      </c>
      <c r="AB377">
        <f t="shared" si="96"/>
        <v>3.4610778443113772</v>
      </c>
      <c r="AY377" t="str">
        <v>14/03/2023</v>
      </c>
      <c r="AZ377">
        <v>39.700000000000003</v>
      </c>
      <c r="BA377">
        <v>28.8</v>
      </c>
      <c r="BB377">
        <f t="shared" si="97"/>
        <v>1.3784722222222223</v>
      </c>
    </row>
    <row r="378" spans="1:54" x14ac:dyDescent="0.3">
      <c r="A378" s="11">
        <v>44979</v>
      </c>
      <c r="B378">
        <v>0.67156862745098</v>
      </c>
      <c r="C378">
        <v>3997.34</v>
      </c>
      <c r="D378">
        <v>100.39</v>
      </c>
      <c r="E378">
        <v>1834.9</v>
      </c>
      <c r="F378">
        <v>81.02</v>
      </c>
      <c r="G378">
        <v>48.12</v>
      </c>
      <c r="H378" s="12">
        <f t="shared" si="92"/>
        <v>138.81633285149246</v>
      </c>
      <c r="I378" s="12">
        <f t="shared" si="93"/>
        <v>83.121419302807979</v>
      </c>
      <c r="J378" s="12">
        <f t="shared" si="94"/>
        <v>141.82890634508212</v>
      </c>
      <c r="K378" s="12">
        <f t="shared" si="95"/>
        <v>132.6075698829479</v>
      </c>
      <c r="L378" s="55">
        <v>19.5616792338603</v>
      </c>
      <c r="M378" s="55">
        <v>18.010048493999101</v>
      </c>
      <c r="P378" s="12"/>
      <c r="Q378" s="12"/>
      <c r="R378" s="12"/>
      <c r="S378" s="12"/>
      <c r="T378" s="55">
        <v>15.9954190370873</v>
      </c>
      <c r="U378" s="55">
        <v>14.433933682173601</v>
      </c>
      <c r="V378">
        <v>0.43536503683858002</v>
      </c>
      <c r="W378" s="12"/>
      <c r="X378" s="12"/>
      <c r="Y378" t="str">
        <v>20170707</v>
      </c>
      <c r="Z378">
        <v>50</v>
      </c>
      <c r="AA378">
        <v>18.600000000000001</v>
      </c>
      <c r="AB378">
        <f t="shared" si="96"/>
        <v>2.6881720430107525</v>
      </c>
      <c r="AY378" t="str">
        <v>13/03/2023</v>
      </c>
      <c r="AZ378">
        <v>39.700000000000003</v>
      </c>
      <c r="BA378">
        <v>28.8</v>
      </c>
      <c r="BB378">
        <f t="shared" si="97"/>
        <v>1.3784722222222223</v>
      </c>
    </row>
    <row r="379" spans="1:54" x14ac:dyDescent="0.3">
      <c r="A379" s="11">
        <v>44975</v>
      </c>
      <c r="B379">
        <v>0.65094339622641495</v>
      </c>
      <c r="C379">
        <v>4079.09</v>
      </c>
      <c r="D379">
        <v>102.38</v>
      </c>
      <c r="E379">
        <v>1841.46</v>
      </c>
      <c r="F379">
        <v>81.180000000000007</v>
      </c>
      <c r="G379">
        <v>48.69</v>
      </c>
      <c r="H379" s="12">
        <f t="shared" si="92"/>
        <v>138.9002069875165</v>
      </c>
      <c r="I379" s="12">
        <f t="shared" si="93"/>
        <v>84.514114204505745</v>
      </c>
      <c r="J379" s="12">
        <f t="shared" si="94"/>
        <v>144.43896258091311</v>
      </c>
      <c r="K379" s="12">
        <f t="shared" si="95"/>
        <v>133.72207905532147</v>
      </c>
      <c r="L379" s="55">
        <v>19.508949107182399</v>
      </c>
      <c r="M379" s="55">
        <v>17.863734128105499</v>
      </c>
      <c r="P379" s="12"/>
      <c r="Q379" s="12"/>
      <c r="R379" s="12"/>
      <c r="S379" s="12"/>
      <c r="T379" s="55">
        <v>15.985136888199101</v>
      </c>
      <c r="U379" s="55">
        <v>14.350372152410401</v>
      </c>
      <c r="V379">
        <v>0.43552631578947398</v>
      </c>
      <c r="W379" s="12"/>
      <c r="X379" s="12"/>
      <c r="Y379" t="str">
        <v>20170630</v>
      </c>
      <c r="Z379">
        <v>52.5</v>
      </c>
      <c r="AA379">
        <v>18.8</v>
      </c>
      <c r="AB379">
        <f t="shared" si="96"/>
        <v>2.7925531914893615</v>
      </c>
      <c r="AY379" t="str">
        <v>10/03/2023</v>
      </c>
      <c r="AZ379">
        <v>40.299999999999997</v>
      </c>
      <c r="BA379">
        <v>27.8</v>
      </c>
      <c r="BB379">
        <f t="shared" si="97"/>
        <v>1.449640287769784</v>
      </c>
    </row>
    <row r="380" spans="1:54" x14ac:dyDescent="0.3">
      <c r="A380" s="11">
        <v>44974</v>
      </c>
      <c r="B380">
        <v>0.63443396226415105</v>
      </c>
      <c r="C380">
        <v>4090.41</v>
      </c>
      <c r="D380">
        <v>101.59</v>
      </c>
      <c r="E380">
        <v>1836.57</v>
      </c>
      <c r="F380">
        <v>81.11</v>
      </c>
      <c r="G380">
        <v>48.77</v>
      </c>
      <c r="H380" s="12">
        <f t="shared" si="92"/>
        <v>140.38034997865802</v>
      </c>
      <c r="I380" s="12">
        <f t="shared" si="93"/>
        <v>84.975533118286776</v>
      </c>
      <c r="J380" s="12">
        <f t="shared" si="94"/>
        <v>144.96525520865191</v>
      </c>
      <c r="K380" s="12">
        <f t="shared" si="95"/>
        <v>133.87296674922482</v>
      </c>
      <c r="L380" s="55">
        <v>19.421939197933298</v>
      </c>
      <c r="M380" s="55">
        <v>17.6096933862549</v>
      </c>
      <c r="P380" s="12"/>
      <c r="Q380" s="12"/>
      <c r="R380" s="12"/>
      <c r="S380" s="12"/>
      <c r="T380" s="55">
        <v>15.996232456264799</v>
      </c>
      <c r="U380" s="55">
        <v>14.3078078389093</v>
      </c>
      <c r="V380">
        <v>0.43093192333113001</v>
      </c>
      <c r="W380" s="12"/>
      <c r="X380" s="12"/>
      <c r="Y380" t="str">
        <v>20170623</v>
      </c>
      <c r="Z380">
        <v>54.9</v>
      </c>
      <c r="AA380">
        <v>18.600000000000001</v>
      </c>
      <c r="AB380">
        <f t="shared" si="96"/>
        <v>2.9516129032258061</v>
      </c>
      <c r="AY380" t="str">
        <v>09/03/2023</v>
      </c>
      <c r="AZ380">
        <v>40.299999999999997</v>
      </c>
      <c r="BA380">
        <v>27.8</v>
      </c>
      <c r="BB380">
        <f t="shared" si="97"/>
        <v>1.449640287769784</v>
      </c>
    </row>
    <row r="381" spans="1:54" x14ac:dyDescent="0.3">
      <c r="A381" s="11">
        <v>44973</v>
      </c>
      <c r="B381">
        <v>0.61111111111111105</v>
      </c>
      <c r="C381">
        <v>4147.6000000000004</v>
      </c>
      <c r="D381">
        <v>103.05</v>
      </c>
      <c r="E381">
        <v>1836.1</v>
      </c>
      <c r="F381">
        <v>81.099999999999994</v>
      </c>
      <c r="G381">
        <v>48.98</v>
      </c>
      <c r="H381" s="12">
        <f t="shared" si="92"/>
        <v>140.3271403698117</v>
      </c>
      <c r="I381" s="12">
        <f t="shared" si="93"/>
        <v>86.185987248858964</v>
      </c>
      <c r="J381" s="12">
        <f t="shared" si="94"/>
        <v>147.01046503939136</v>
      </c>
      <c r="K381" s="12">
        <f t="shared" si="95"/>
        <v>135.15712606949523</v>
      </c>
      <c r="L381" s="55">
        <v>19.4808279561963</v>
      </c>
      <c r="M381" s="55">
        <v>17.711659111736001</v>
      </c>
      <c r="P381" s="12"/>
      <c r="Q381" s="12"/>
      <c r="R381" s="12"/>
      <c r="S381" s="12"/>
      <c r="T381" s="55">
        <v>16.056109471024701</v>
      </c>
      <c r="U381" s="55">
        <v>14.394606817052599</v>
      </c>
      <c r="V381">
        <v>0.42894736842105302</v>
      </c>
      <c r="W381" s="12"/>
      <c r="X381" s="12"/>
      <c r="Y381" t="str">
        <v>20170616</v>
      </c>
      <c r="Z381">
        <v>51.5</v>
      </c>
      <c r="AA381">
        <v>19.399999999999999</v>
      </c>
      <c r="AB381">
        <f t="shared" si="96"/>
        <v>2.6546391752577323</v>
      </c>
      <c r="AY381" t="str">
        <v>08/03/2023</v>
      </c>
      <c r="AZ381">
        <v>40.299999999999997</v>
      </c>
      <c r="BA381">
        <v>27.8</v>
      </c>
      <c r="BB381">
        <f t="shared" si="97"/>
        <v>1.449640287769784</v>
      </c>
    </row>
    <row r="382" spans="1:54" x14ac:dyDescent="0.3">
      <c r="A382" s="11">
        <v>44972</v>
      </c>
      <c r="B382">
        <v>0.60774818401937003</v>
      </c>
      <c r="C382">
        <v>4136.13</v>
      </c>
      <c r="D382">
        <v>104.02</v>
      </c>
      <c r="E382">
        <v>1854.34</v>
      </c>
      <c r="F382">
        <v>81.09</v>
      </c>
      <c r="G382">
        <v>49.23</v>
      </c>
      <c r="H382" s="12">
        <f t="shared" si="92"/>
        <v>138.64972090532248</v>
      </c>
      <c r="I382" s="12">
        <f t="shared" si="93"/>
        <v>85.112757297084329</v>
      </c>
      <c r="J382" s="12">
        <f t="shared" si="94"/>
        <v>146.62194563593391</v>
      </c>
      <c r="K382" s="12">
        <f t="shared" si="95"/>
        <v>134.10422977325439</v>
      </c>
      <c r="L382" s="55">
        <v>19.530140891622001</v>
      </c>
      <c r="M382" s="55">
        <v>17.797068188866099</v>
      </c>
      <c r="P382" s="12"/>
      <c r="Q382" s="12"/>
      <c r="R382" s="12"/>
      <c r="S382" s="12"/>
      <c r="T382" s="55">
        <v>16.046813280200301</v>
      </c>
      <c r="U382" s="55">
        <v>14.2874602941241</v>
      </c>
      <c r="V382">
        <v>0.42904730179880102</v>
      </c>
      <c r="W382" s="12"/>
      <c r="X382" s="12"/>
      <c r="Y382" t="str">
        <v>20170609</v>
      </c>
      <c r="Z382">
        <v>50</v>
      </c>
      <c r="AA382">
        <v>18.600000000000001</v>
      </c>
      <c r="AB382">
        <f t="shared" si="96"/>
        <v>2.6881720430107525</v>
      </c>
      <c r="AY382" t="str">
        <v>07/03/2023</v>
      </c>
      <c r="AZ382">
        <v>40.299999999999997</v>
      </c>
      <c r="BA382">
        <v>27.8</v>
      </c>
      <c r="BB382">
        <f t="shared" si="97"/>
        <v>1.449640287769784</v>
      </c>
    </row>
    <row r="383" spans="1:54" x14ac:dyDescent="0.3">
      <c r="A383" s="11">
        <v>44971</v>
      </c>
      <c r="B383">
        <v>0.59902200488997603</v>
      </c>
      <c r="C383">
        <v>4137.29</v>
      </c>
      <c r="D383">
        <v>104.26</v>
      </c>
      <c r="E383">
        <v>1854.07</v>
      </c>
      <c r="F383">
        <v>81.260000000000005</v>
      </c>
      <c r="G383">
        <v>49.2</v>
      </c>
      <c r="H383" s="12">
        <f t="shared" si="92"/>
        <v>138.36999755680245</v>
      </c>
      <c r="I383" s="12">
        <f t="shared" si="93"/>
        <v>85.149030983366799</v>
      </c>
      <c r="J383" s="12">
        <f t="shared" si="94"/>
        <v>146.35679491769545</v>
      </c>
      <c r="K383" s="12">
        <f t="shared" si="95"/>
        <v>134.22370670598013</v>
      </c>
      <c r="L383" s="55">
        <v>19.519502184463899</v>
      </c>
      <c r="M383" s="55">
        <v>17.706113724529999</v>
      </c>
      <c r="P383" s="12"/>
      <c r="Q383" s="12"/>
      <c r="R383" s="12"/>
      <c r="S383" s="12"/>
      <c r="T383" s="55">
        <v>16.035745864271899</v>
      </c>
      <c r="U383" s="55">
        <v>14.161596114559901</v>
      </c>
      <c r="V383">
        <v>0.42809139784946199</v>
      </c>
      <c r="W383" s="12"/>
      <c r="X383" s="12"/>
      <c r="Y383" t="str">
        <v>20170602</v>
      </c>
      <c r="Z383">
        <v>55.8</v>
      </c>
      <c r="AA383">
        <v>18.3</v>
      </c>
      <c r="AB383">
        <f t="shared" si="96"/>
        <v>3.0491803278688523</v>
      </c>
      <c r="AY383" t="str">
        <v>06/03/2023</v>
      </c>
      <c r="AZ383">
        <v>40.299999999999997</v>
      </c>
      <c r="BA383">
        <v>27.8</v>
      </c>
      <c r="BB383">
        <f t="shared" si="97"/>
        <v>1.449640287769784</v>
      </c>
    </row>
    <row r="384" spans="1:54" x14ac:dyDescent="0.3">
      <c r="A384" s="11">
        <v>44968</v>
      </c>
      <c r="B384">
        <v>0.59859154929577496</v>
      </c>
      <c r="C384">
        <v>4090.46</v>
      </c>
      <c r="D384">
        <v>103.39</v>
      </c>
      <c r="E384">
        <v>1864.82</v>
      </c>
      <c r="F384">
        <v>81.239999999999995</v>
      </c>
      <c r="G384">
        <v>48.76</v>
      </c>
      <c r="H384" s="12">
        <f t="shared" si="92"/>
        <v>137.9514735023123</v>
      </c>
      <c r="I384" s="12">
        <f t="shared" si="93"/>
        <v>83.708144150630986</v>
      </c>
      <c r="J384" s="12">
        <f t="shared" si="94"/>
        <v>144.73541009294024</v>
      </c>
      <c r="K384" s="12">
        <f t="shared" si="95"/>
        <v>133.89902832304585</v>
      </c>
      <c r="L384" s="55">
        <v>19.4866158161059</v>
      </c>
      <c r="M384" s="55">
        <v>17.5203014156093</v>
      </c>
      <c r="P384" s="12"/>
      <c r="Q384" s="12"/>
      <c r="R384" s="12"/>
      <c r="S384" s="12"/>
      <c r="T384" s="55">
        <v>15.9915656993102</v>
      </c>
      <c r="U384" s="55">
        <v>13.9107917213787</v>
      </c>
      <c r="V384">
        <v>0.42</v>
      </c>
      <c r="W384" s="12"/>
      <c r="X384" s="12"/>
      <c r="Y384" t="str">
        <v>20170526</v>
      </c>
      <c r="Z384">
        <v>50</v>
      </c>
      <c r="AA384">
        <v>19.2</v>
      </c>
      <c r="AB384">
        <f t="shared" si="96"/>
        <v>2.604166666666667</v>
      </c>
      <c r="AY384" t="str">
        <v>03/03/2023</v>
      </c>
      <c r="AZ384">
        <v>45.2</v>
      </c>
      <c r="BA384">
        <v>24.7</v>
      </c>
      <c r="BB384">
        <f t="shared" si="97"/>
        <v>1.8299595141700407</v>
      </c>
    </row>
    <row r="385" spans="1:54" x14ac:dyDescent="0.3">
      <c r="A385" s="11">
        <v>44967</v>
      </c>
      <c r="B385">
        <v>0.59241706161137397</v>
      </c>
      <c r="C385">
        <v>4081.5</v>
      </c>
      <c r="D385">
        <v>104.56</v>
      </c>
      <c r="E385">
        <v>1861.71</v>
      </c>
      <c r="F385">
        <v>81.28</v>
      </c>
      <c r="G385">
        <v>48.99</v>
      </c>
      <c r="H385" s="12">
        <f t="shared" si="92"/>
        <v>136.12937919443445</v>
      </c>
      <c r="I385" s="12">
        <f t="shared" si="93"/>
        <v>83.664240158895083</v>
      </c>
      <c r="J385" s="12">
        <f t="shared" si="94"/>
        <v>144.34749103086929</v>
      </c>
      <c r="K385" s="12">
        <f t="shared" si="95"/>
        <v>132.98276285422477</v>
      </c>
      <c r="L385" s="55">
        <v>19.489562388597701</v>
      </c>
      <c r="M385" s="55">
        <v>17.422911889495801</v>
      </c>
      <c r="P385" s="12"/>
      <c r="Q385" s="12"/>
      <c r="R385" s="12"/>
      <c r="S385" s="12"/>
      <c r="T385" s="55">
        <v>16.055686105641801</v>
      </c>
      <c r="U385" s="55">
        <v>13.9777519243905</v>
      </c>
      <c r="V385">
        <v>0.42210386151797602</v>
      </c>
      <c r="W385" s="12"/>
      <c r="X385" s="12"/>
      <c r="Y385" t="str">
        <v>20170519</v>
      </c>
      <c r="Z385">
        <v>51.9</v>
      </c>
      <c r="AA385">
        <v>18.3</v>
      </c>
      <c r="AB385">
        <f t="shared" si="96"/>
        <v>2.8360655737704916</v>
      </c>
      <c r="AY385" t="str">
        <v>02/03/2023</v>
      </c>
      <c r="AZ385">
        <v>45.2</v>
      </c>
      <c r="BA385">
        <v>24.7</v>
      </c>
      <c r="BB385">
        <f t="shared" si="97"/>
        <v>1.8299595141700407</v>
      </c>
    </row>
    <row r="386" spans="1:54" x14ac:dyDescent="0.3">
      <c r="A386" s="11">
        <v>44966</v>
      </c>
      <c r="B386">
        <v>0.57729468599033795</v>
      </c>
      <c r="C386">
        <v>4117.8599999999997</v>
      </c>
      <c r="D386">
        <v>105.56</v>
      </c>
      <c r="E386">
        <v>1875.77</v>
      </c>
      <c r="F386">
        <v>81.34</v>
      </c>
      <c r="G386">
        <v>48.88</v>
      </c>
      <c r="H386" s="12">
        <f t="shared" ref="H386:H449" si="98">H387*(1+((C386/C387)-(D386/D387)))</f>
        <v>136.04184222088125</v>
      </c>
      <c r="I386" s="12">
        <f t="shared" ref="I386:I449" si="99">I387*(1+((C386/C387)-(E386/E387)))</f>
        <v>83.776017523422027</v>
      </c>
      <c r="J386" s="12">
        <f t="shared" si="94"/>
        <v>145.52510706563353</v>
      </c>
      <c r="K386" s="12">
        <f t="shared" si="95"/>
        <v>134.47275299572351</v>
      </c>
      <c r="L386" s="55">
        <v>19.578143288737198</v>
      </c>
      <c r="M386" s="55">
        <v>17.651978499841299</v>
      </c>
      <c r="P386" s="12"/>
      <c r="Q386" s="12"/>
      <c r="R386" s="12"/>
      <c r="S386" s="12"/>
      <c r="T386" s="55">
        <v>16.119129535858701</v>
      </c>
      <c r="U386" s="55">
        <v>14.088475505602201</v>
      </c>
      <c r="V386">
        <v>0.42105263157894701</v>
      </c>
      <c r="W386" s="12"/>
      <c r="X386" s="12"/>
      <c r="Y386" t="str">
        <v>20170512</v>
      </c>
      <c r="Z386">
        <v>58.1</v>
      </c>
      <c r="AA386">
        <v>17.100000000000001</v>
      </c>
      <c r="AB386">
        <f t="shared" si="96"/>
        <v>3.39766081871345</v>
      </c>
      <c r="AY386" t="str">
        <v>01/03/2023</v>
      </c>
      <c r="AZ386">
        <v>45.2</v>
      </c>
      <c r="BA386">
        <v>24.7</v>
      </c>
      <c r="BB386">
        <f t="shared" si="97"/>
        <v>1.8299595141700407</v>
      </c>
    </row>
    <row r="387" spans="1:54" x14ac:dyDescent="0.3">
      <c r="A387" s="11">
        <v>44965</v>
      </c>
      <c r="B387">
        <v>0.55802469135802502</v>
      </c>
      <c r="C387">
        <v>4164</v>
      </c>
      <c r="D387">
        <v>105.06</v>
      </c>
      <c r="E387">
        <v>1873.79</v>
      </c>
      <c r="F387">
        <v>81.31</v>
      </c>
      <c r="G387">
        <v>49.13</v>
      </c>
      <c r="H387" s="12">
        <f t="shared" si="98"/>
        <v>138.23141074669471</v>
      </c>
      <c r="I387" s="12">
        <f t="shared" si="99"/>
        <v>84.805331511407161</v>
      </c>
      <c r="J387" s="12">
        <f t="shared" ref="J387:J450" si="100">J388*(1+((C387/C388)-(F387/F388)))</f>
        <v>147.2106171004101</v>
      </c>
      <c r="K387" s="12">
        <f t="shared" ref="K387:K450" si="101">K388*(1+((C387/C388)-(G387/G388)))</f>
        <v>135.2833915103289</v>
      </c>
      <c r="L387" s="55">
        <v>19.627941845177901</v>
      </c>
      <c r="M387" s="55">
        <v>17.7385561748935</v>
      </c>
      <c r="P387" s="12"/>
      <c r="Q387" s="12"/>
      <c r="R387" s="12"/>
      <c r="S387" s="12"/>
      <c r="T387" s="55">
        <v>16.164446309206401</v>
      </c>
      <c r="U387" s="55">
        <v>14.116686767513301</v>
      </c>
      <c r="V387">
        <v>0.41537424140256202</v>
      </c>
      <c r="W387" s="12"/>
      <c r="X387" s="12"/>
      <c r="Y387" t="str">
        <v>20170505</v>
      </c>
      <c r="Z387">
        <v>58.7</v>
      </c>
      <c r="AA387">
        <v>17.3</v>
      </c>
      <c r="AB387">
        <f t="shared" si="96"/>
        <v>3.3930635838150289</v>
      </c>
      <c r="AY387" t="str">
        <v>28/02/2023</v>
      </c>
      <c r="AZ387">
        <v>45.2</v>
      </c>
      <c r="BA387">
        <v>24.7</v>
      </c>
      <c r="BB387">
        <f t="shared" si="97"/>
        <v>1.8299595141700407</v>
      </c>
    </row>
    <row r="388" spans="1:54" x14ac:dyDescent="0.3">
      <c r="A388" s="11">
        <v>44964</v>
      </c>
      <c r="B388">
        <v>0.54613466334164595</v>
      </c>
      <c r="C388">
        <v>4111.08</v>
      </c>
      <c r="D388">
        <v>105.91</v>
      </c>
      <c r="E388">
        <v>1867.84</v>
      </c>
      <c r="F388">
        <v>81.27</v>
      </c>
      <c r="G388">
        <v>48.75</v>
      </c>
      <c r="H388" s="12">
        <f t="shared" si="98"/>
        <v>135.40175613780659</v>
      </c>
      <c r="I388" s="12">
        <f t="shared" si="99"/>
        <v>83.991701200785727</v>
      </c>
      <c r="J388" s="12">
        <f t="shared" si="100"/>
        <v>145.41038659390509</v>
      </c>
      <c r="K388" s="12">
        <f t="shared" si="101"/>
        <v>134.59993904612685</v>
      </c>
      <c r="L388" s="55">
        <v>19.631296760254902</v>
      </c>
      <c r="M388" s="55">
        <v>17.633958120007399</v>
      </c>
      <c r="P388" s="12"/>
      <c r="Q388" s="12"/>
      <c r="R388" s="12"/>
      <c r="S388" s="12"/>
      <c r="T388" s="55">
        <v>16.214987170799098</v>
      </c>
      <c r="U388" s="55">
        <v>14.1711442441316</v>
      </c>
      <c r="V388">
        <v>0.41756756756756802</v>
      </c>
      <c r="W388" s="12"/>
      <c r="X388" s="12"/>
      <c r="Y388" t="str">
        <v>20170428</v>
      </c>
      <c r="Z388">
        <v>58.5</v>
      </c>
      <c r="AA388">
        <v>17.899999999999999</v>
      </c>
      <c r="AB388">
        <f t="shared" si="96"/>
        <v>3.2681564245810057</v>
      </c>
      <c r="AY388" t="str">
        <v>27/02/2023</v>
      </c>
      <c r="AZ388">
        <v>45.2</v>
      </c>
      <c r="BA388">
        <v>24.7</v>
      </c>
      <c r="BB388">
        <f t="shared" si="97"/>
        <v>1.8299595141700407</v>
      </c>
    </row>
    <row r="389" spans="1:54" x14ac:dyDescent="0.3">
      <c r="A389" s="11">
        <v>44961</v>
      </c>
      <c r="B389">
        <v>0.53562653562653595</v>
      </c>
      <c r="C389">
        <v>4136.4799999999996</v>
      </c>
      <c r="D389">
        <v>106.7</v>
      </c>
      <c r="E389">
        <v>1865.75</v>
      </c>
      <c r="F389">
        <v>81.5</v>
      </c>
      <c r="G389">
        <v>49.29</v>
      </c>
      <c r="H389" s="12">
        <f t="shared" si="98"/>
        <v>135.23089870311259</v>
      </c>
      <c r="I389" s="12">
        <f t="shared" si="99"/>
        <v>84.605998241960449</v>
      </c>
      <c r="J389" s="12">
        <f t="shared" si="100"/>
        <v>145.89452308255611</v>
      </c>
      <c r="K389" s="12">
        <f t="shared" si="101"/>
        <v>133.95493498508176</v>
      </c>
      <c r="L389" s="55">
        <v>19.727050758491401</v>
      </c>
      <c r="M389" s="55">
        <v>17.936860096415501</v>
      </c>
      <c r="P389" s="12"/>
      <c r="Q389" s="12"/>
      <c r="R389" s="12"/>
      <c r="S389" s="12"/>
      <c r="T389" s="55">
        <v>16.276249430369301</v>
      </c>
      <c r="U389" s="55">
        <v>14.2808846791685</v>
      </c>
      <c r="V389">
        <v>0.409479921000658</v>
      </c>
      <c r="W389" s="12"/>
      <c r="X389" s="12"/>
      <c r="Y389" t="str">
        <v>20170421</v>
      </c>
      <c r="Z389">
        <v>54.7</v>
      </c>
      <c r="AA389">
        <v>17.899999999999999</v>
      </c>
      <c r="AB389">
        <f t="shared" si="96"/>
        <v>3.05586592178771</v>
      </c>
      <c r="AY389" t="str">
        <v>24/02/2023</v>
      </c>
      <c r="AZ389">
        <v>38.4</v>
      </c>
      <c r="BA389">
        <v>28.8</v>
      </c>
      <c r="BB389">
        <f t="shared" si="97"/>
        <v>1.3333333333333333</v>
      </c>
    </row>
    <row r="390" spans="1:54" x14ac:dyDescent="0.3">
      <c r="A390" s="11">
        <v>44960</v>
      </c>
      <c r="B390">
        <v>0.52811735941320304</v>
      </c>
      <c r="C390">
        <v>4179.76</v>
      </c>
      <c r="D390">
        <v>108.32</v>
      </c>
      <c r="E390">
        <v>1913.06</v>
      </c>
      <c r="F390">
        <v>81.8</v>
      </c>
      <c r="G390">
        <v>49.88</v>
      </c>
      <c r="H390" s="12">
        <f t="shared" si="98"/>
        <v>134.61154756144299</v>
      </c>
      <c r="I390" s="12">
        <f t="shared" si="99"/>
        <v>83.406993338143579</v>
      </c>
      <c r="J390" s="12">
        <f t="shared" si="100"/>
        <v>146.87671408528547</v>
      </c>
      <c r="K390" s="12">
        <f t="shared" si="101"/>
        <v>133.75781253613437</v>
      </c>
      <c r="L390" s="55">
        <v>19.750705049218499</v>
      </c>
      <c r="M390" s="55">
        <v>17.922687855830102</v>
      </c>
      <c r="P390" s="12"/>
      <c r="Q390" s="12"/>
      <c r="R390" s="12"/>
      <c r="S390" s="12"/>
      <c r="T390" s="55">
        <v>16.28938199149</v>
      </c>
      <c r="U390" s="55">
        <v>14.153966975802801</v>
      </c>
      <c r="V390">
        <v>0.40782493368700301</v>
      </c>
      <c r="W390" s="12"/>
      <c r="X390" s="12"/>
      <c r="Y390" t="str">
        <v>20170414</v>
      </c>
      <c r="Z390">
        <v>51.9</v>
      </c>
      <c r="AA390">
        <v>18.3</v>
      </c>
      <c r="AB390">
        <f t="shared" si="96"/>
        <v>2.8360655737704916</v>
      </c>
      <c r="AY390" t="str">
        <v>23/02/2023</v>
      </c>
      <c r="AZ390">
        <v>38.4</v>
      </c>
      <c r="BA390">
        <v>28.8</v>
      </c>
      <c r="BB390">
        <f t="shared" si="97"/>
        <v>1.3333333333333333</v>
      </c>
    </row>
    <row r="391" spans="1:54" x14ac:dyDescent="0.3">
      <c r="A391" s="11">
        <v>44959</v>
      </c>
      <c r="B391">
        <v>0.51249999999999996</v>
      </c>
      <c r="C391">
        <v>4119.21</v>
      </c>
      <c r="D391">
        <v>108.18</v>
      </c>
      <c r="E391">
        <v>1950.36</v>
      </c>
      <c r="F391">
        <v>81.790000000000006</v>
      </c>
      <c r="G391">
        <v>50.01</v>
      </c>
      <c r="H391" s="12">
        <f t="shared" si="98"/>
        <v>132.83091184636407</v>
      </c>
      <c r="I391" s="12">
        <f t="shared" si="99"/>
        <v>80.678128655012685</v>
      </c>
      <c r="J391" s="12">
        <f t="shared" si="100"/>
        <v>144.76643120730949</v>
      </c>
      <c r="K391" s="12">
        <f t="shared" si="101"/>
        <v>131.48329606381913</v>
      </c>
      <c r="L391" s="55">
        <v>19.795480664790599</v>
      </c>
      <c r="M391" s="55">
        <v>18.021679639565999</v>
      </c>
      <c r="P391" s="12"/>
      <c r="Q391" s="12"/>
      <c r="R391" s="12"/>
      <c r="S391" s="12"/>
      <c r="T391" s="55">
        <v>16.334370860375302</v>
      </c>
      <c r="U391" s="55">
        <v>14.1797051015185</v>
      </c>
      <c r="V391">
        <v>0.396931287525017</v>
      </c>
      <c r="W391" s="12"/>
      <c r="X391" s="12"/>
      <c r="Y391" t="str">
        <v>20170407</v>
      </c>
      <c r="Z391">
        <v>56.3</v>
      </c>
      <c r="AA391">
        <v>17.5</v>
      </c>
      <c r="AB391">
        <f t="shared" si="96"/>
        <v>3.2171428571428571</v>
      </c>
      <c r="AY391" t="str">
        <v>22/02/2023</v>
      </c>
      <c r="AZ391">
        <v>38.4</v>
      </c>
      <c r="BA391">
        <v>28.8</v>
      </c>
      <c r="BB391">
        <f t="shared" si="97"/>
        <v>1.3333333333333333</v>
      </c>
    </row>
    <row r="392" spans="1:54" x14ac:dyDescent="0.3">
      <c r="A392" s="11">
        <v>44957</v>
      </c>
      <c r="B392">
        <v>0.50890585241730302</v>
      </c>
      <c r="C392">
        <v>4076.6</v>
      </c>
      <c r="D392">
        <v>107.17</v>
      </c>
      <c r="E392">
        <v>1928.07</v>
      </c>
      <c r="F392">
        <v>81.8</v>
      </c>
      <c r="G392">
        <v>49.56</v>
      </c>
      <c r="H392" s="12">
        <f t="shared" si="98"/>
        <v>132.69449413715273</v>
      </c>
      <c r="I392" s="12">
        <f t="shared" si="99"/>
        <v>80.767655227189579</v>
      </c>
      <c r="J392" s="12">
        <f t="shared" si="100"/>
        <v>143.25160463386032</v>
      </c>
      <c r="K392" s="12">
        <f t="shared" si="101"/>
        <v>131.30309116042932</v>
      </c>
      <c r="L392" s="55">
        <v>19.834643200085502</v>
      </c>
      <c r="M392" s="55">
        <v>17.935864365920999</v>
      </c>
      <c r="P392" s="12"/>
      <c r="Q392" s="12"/>
      <c r="R392" s="12"/>
      <c r="S392" s="12"/>
      <c r="T392" s="55">
        <v>16.420200258348501</v>
      </c>
      <c r="U392" s="55">
        <v>14.105608572165901</v>
      </c>
      <c r="V392">
        <v>0.40162271805273803</v>
      </c>
      <c r="W392" s="12"/>
      <c r="X392" s="12"/>
      <c r="Y392" t="str">
        <v>20170331</v>
      </c>
      <c r="Z392">
        <v>55.8</v>
      </c>
      <c r="AA392">
        <v>18.3</v>
      </c>
      <c r="AB392">
        <f t="shared" ref="AB392:AB455" si="102">IFERROR(Z392/AA392,"")</f>
        <v>3.0491803278688523</v>
      </c>
      <c r="AY392" t="str">
        <v>21/02/2023</v>
      </c>
      <c r="AZ392">
        <v>38.4</v>
      </c>
      <c r="BA392">
        <v>28.8</v>
      </c>
      <c r="BB392">
        <f t="shared" ref="BB392:BB455" si="103">IFERROR(AZ392/BA392,"")</f>
        <v>1.3333333333333333</v>
      </c>
    </row>
    <row r="393" spans="1:54" x14ac:dyDescent="0.3">
      <c r="A393" s="11">
        <v>44957</v>
      </c>
      <c r="B393">
        <v>0.478835978835979</v>
      </c>
      <c r="C393">
        <v>4017.77</v>
      </c>
      <c r="D393">
        <v>106.32</v>
      </c>
      <c r="E393">
        <v>1923.33</v>
      </c>
      <c r="F393">
        <v>81.650000000000006</v>
      </c>
      <c r="G393">
        <v>49.35</v>
      </c>
      <c r="H393" s="12">
        <f t="shared" si="98"/>
        <v>131.81820388649976</v>
      </c>
      <c r="I393" s="12">
        <f t="shared" si="99"/>
        <v>79.795902700107732</v>
      </c>
      <c r="J393" s="12">
        <f t="shared" si="100"/>
        <v>141.44041188637968</v>
      </c>
      <c r="K393" s="12">
        <f t="shared" si="101"/>
        <v>129.95324963347099</v>
      </c>
      <c r="L393" s="55">
        <v>19.730613702712599</v>
      </c>
      <c r="M393" s="55">
        <v>17.832635248220299</v>
      </c>
      <c r="P393" s="12"/>
      <c r="Q393" s="12"/>
      <c r="R393" s="12"/>
      <c r="S393" s="12"/>
      <c r="T393" s="55">
        <v>16.3327075257153</v>
      </c>
      <c r="U393" s="55">
        <v>14.205571256715601</v>
      </c>
      <c r="V393">
        <v>0.39490006891798801</v>
      </c>
      <c r="W393" s="12"/>
      <c r="X393" s="12"/>
      <c r="Y393" t="str">
        <v>20170324</v>
      </c>
      <c r="Z393">
        <v>49.5</v>
      </c>
      <c r="AA393">
        <v>18.100000000000001</v>
      </c>
      <c r="AB393">
        <f t="shared" si="102"/>
        <v>2.7348066298342539</v>
      </c>
      <c r="AY393" t="str">
        <v>20/02/2023</v>
      </c>
      <c r="AZ393">
        <v>38.4</v>
      </c>
      <c r="BA393">
        <v>28.8</v>
      </c>
      <c r="BB393">
        <f t="shared" si="103"/>
        <v>1.3333333333333333</v>
      </c>
    </row>
    <row r="394" spans="1:54" x14ac:dyDescent="0.3">
      <c r="A394" s="11">
        <v>44954</v>
      </c>
      <c r="B394">
        <v>0.48936170212766</v>
      </c>
      <c r="C394">
        <v>4070.56</v>
      </c>
      <c r="D394">
        <v>106.71</v>
      </c>
      <c r="E394">
        <v>1928.08</v>
      </c>
      <c r="F394">
        <v>81.73</v>
      </c>
      <c r="G394">
        <v>49.9</v>
      </c>
      <c r="H394" s="12">
        <f t="shared" si="98"/>
        <v>133.05749693200033</v>
      </c>
      <c r="I394" s="12">
        <f t="shared" si="99"/>
        <v>80.643069504036873</v>
      </c>
      <c r="J394" s="12">
        <f t="shared" si="100"/>
        <v>143.15684801129507</v>
      </c>
      <c r="K394" s="12">
        <f t="shared" si="101"/>
        <v>130.20672142877891</v>
      </c>
      <c r="L394" s="55">
        <v>19.434341015474502</v>
      </c>
      <c r="M394" s="55">
        <v>17.583273241678601</v>
      </c>
      <c r="P394" s="12"/>
      <c r="Q394" s="12"/>
      <c r="R394" s="12"/>
      <c r="S394" s="12"/>
      <c r="T394" s="55">
        <v>16.240241469576802</v>
      </c>
      <c r="U394" s="55">
        <v>14.1552192721115</v>
      </c>
      <c r="V394">
        <v>0.389118457300275</v>
      </c>
      <c r="W394" s="12"/>
      <c r="X394" s="12"/>
      <c r="Y394" t="str">
        <v>20170317</v>
      </c>
      <c r="Z394">
        <v>56.7</v>
      </c>
      <c r="AA394">
        <v>17.3</v>
      </c>
      <c r="AB394">
        <f t="shared" si="102"/>
        <v>3.2774566473988438</v>
      </c>
      <c r="AY394" t="str">
        <v>17/02/2023</v>
      </c>
      <c r="AZ394">
        <v>44.4</v>
      </c>
      <c r="BA394">
        <v>26.4</v>
      </c>
      <c r="BB394">
        <f t="shared" si="103"/>
        <v>1.6818181818181819</v>
      </c>
    </row>
    <row r="395" spans="1:54" x14ac:dyDescent="0.3">
      <c r="A395" s="11">
        <v>44953</v>
      </c>
      <c r="B395">
        <v>0.49329758713136701</v>
      </c>
      <c r="C395">
        <v>4060.43</v>
      </c>
      <c r="D395">
        <v>106.98</v>
      </c>
      <c r="E395">
        <v>1929.45</v>
      </c>
      <c r="F395">
        <v>81.73</v>
      </c>
      <c r="G395">
        <v>50.03</v>
      </c>
      <c r="H395" s="12">
        <f t="shared" si="98"/>
        <v>132.3930630298201</v>
      </c>
      <c r="I395" s="12">
        <f t="shared" si="99"/>
        <v>80.385445680510287</v>
      </c>
      <c r="J395" s="12">
        <f t="shared" si="100"/>
        <v>142.800587725154</v>
      </c>
      <c r="K395" s="12">
        <f t="shared" si="101"/>
        <v>129.54690656936651</v>
      </c>
      <c r="L395" s="55">
        <v>19.280713677696099</v>
      </c>
      <c r="M395" s="55">
        <v>17.414469838550801</v>
      </c>
      <c r="P395" s="12"/>
      <c r="Q395" s="12"/>
      <c r="R395" s="12"/>
      <c r="S395" s="12"/>
      <c r="T395" s="55">
        <v>16.085025064406899</v>
      </c>
      <c r="U395" s="55">
        <v>14.051505827815699</v>
      </c>
      <c r="V395">
        <v>0.39385474860335201</v>
      </c>
      <c r="W395" s="12"/>
      <c r="X395" s="12"/>
      <c r="Y395" t="str">
        <v>20170310</v>
      </c>
      <c r="Z395">
        <v>53.4</v>
      </c>
      <c r="AA395">
        <v>17.5</v>
      </c>
      <c r="AB395">
        <f t="shared" si="102"/>
        <v>3.0514285714285712</v>
      </c>
      <c r="AY395" t="str">
        <v>16/02/2023</v>
      </c>
      <c r="AZ395">
        <v>44.4</v>
      </c>
      <c r="BA395">
        <v>26.4</v>
      </c>
      <c r="BB395">
        <f t="shared" si="103"/>
        <v>1.6818181818181819</v>
      </c>
    </row>
    <row r="396" spans="1:54" x14ac:dyDescent="0.3">
      <c r="A396" s="11">
        <v>44952</v>
      </c>
      <c r="B396">
        <v>0.47237569060773499</v>
      </c>
      <c r="C396">
        <v>4016.22</v>
      </c>
      <c r="D396">
        <v>107.48</v>
      </c>
      <c r="E396">
        <v>1946.42</v>
      </c>
      <c r="F396">
        <v>81.78</v>
      </c>
      <c r="G396">
        <v>49.82</v>
      </c>
      <c r="H396" s="12">
        <f t="shared" si="98"/>
        <v>130.35176849152307</v>
      </c>
      <c r="I396" s="12">
        <f t="shared" si="99"/>
        <v>78.83040296919016</v>
      </c>
      <c r="J396" s="12">
        <f t="shared" si="100"/>
        <v>141.16040830366424</v>
      </c>
      <c r="K396" s="12">
        <f t="shared" si="101"/>
        <v>128.67287183434465</v>
      </c>
      <c r="L396" s="55">
        <v>19.329522800590102</v>
      </c>
      <c r="M396" s="55">
        <v>17.402323951117101</v>
      </c>
      <c r="P396" s="12"/>
      <c r="Q396" s="12"/>
      <c r="R396" s="12"/>
      <c r="S396" s="12"/>
      <c r="T396" s="55">
        <v>16.294026270060201</v>
      </c>
      <c r="U396" s="55">
        <v>14.204795108989501</v>
      </c>
      <c r="V396">
        <v>0.40563380281690098</v>
      </c>
      <c r="W396" s="12"/>
      <c r="X396" s="12"/>
      <c r="Y396" t="str">
        <v>20170303</v>
      </c>
      <c r="Z396">
        <v>57.7</v>
      </c>
      <c r="AA396">
        <v>17.3</v>
      </c>
      <c r="AB396">
        <f t="shared" si="102"/>
        <v>3.3352601156069364</v>
      </c>
      <c r="AY396" t="str">
        <v>15/02/2023</v>
      </c>
      <c r="AZ396">
        <v>44.4</v>
      </c>
      <c r="BA396">
        <v>26.4</v>
      </c>
      <c r="BB396">
        <f t="shared" si="103"/>
        <v>1.6818181818181819</v>
      </c>
    </row>
    <row r="397" spans="1:54" x14ac:dyDescent="0.3">
      <c r="A397" s="11">
        <v>44951</v>
      </c>
      <c r="B397">
        <v>0.472067039106145</v>
      </c>
      <c r="C397">
        <v>4016.95</v>
      </c>
      <c r="D397">
        <v>107.22</v>
      </c>
      <c r="E397">
        <v>1937.41</v>
      </c>
      <c r="F397">
        <v>81.73</v>
      </c>
      <c r="G397">
        <v>49.62</v>
      </c>
      <c r="H397" s="12">
        <f t="shared" si="98"/>
        <v>130.69243801914863</v>
      </c>
      <c r="I397" s="12">
        <f t="shared" si="99"/>
        <v>79.213182336972551</v>
      </c>
      <c r="J397" s="12">
        <f t="shared" si="100"/>
        <v>141.27250809296999</v>
      </c>
      <c r="K397" s="12">
        <f t="shared" si="101"/>
        <v>129.21718147350649</v>
      </c>
      <c r="L397" s="55">
        <v>19.155609452856002</v>
      </c>
      <c r="M397" s="55">
        <v>17.1226080870609</v>
      </c>
      <c r="P397" s="12"/>
      <c r="Q397" s="12"/>
      <c r="R397" s="12"/>
      <c r="S397" s="12"/>
      <c r="T397" s="55">
        <v>16.143801843615101</v>
      </c>
      <c r="U397" s="55">
        <v>14.094037308786501</v>
      </c>
      <c r="V397">
        <v>0.409836065573771</v>
      </c>
      <c r="W397" s="12"/>
      <c r="X397" s="12"/>
      <c r="Y397" t="str">
        <v>20170224</v>
      </c>
      <c r="Z397">
        <v>63.1</v>
      </c>
      <c r="AA397">
        <v>16.5</v>
      </c>
      <c r="AB397">
        <f t="shared" si="102"/>
        <v>3.8242424242424242</v>
      </c>
      <c r="AY397" t="str">
        <v>14/02/2023</v>
      </c>
      <c r="AZ397">
        <v>44.4</v>
      </c>
      <c r="BA397">
        <v>26.4</v>
      </c>
      <c r="BB397">
        <f t="shared" si="103"/>
        <v>1.6818181818181819</v>
      </c>
    </row>
    <row r="398" spans="1:54" x14ac:dyDescent="0.3">
      <c r="A398" s="11">
        <v>44950</v>
      </c>
      <c r="B398">
        <v>0.46666666666666701</v>
      </c>
      <c r="C398">
        <v>4019.81</v>
      </c>
      <c r="D398">
        <v>105.7</v>
      </c>
      <c r="E398">
        <v>1931.36</v>
      </c>
      <c r="F398">
        <v>81.7</v>
      </c>
      <c r="G398">
        <v>49.65</v>
      </c>
      <c r="H398" s="12">
        <f t="shared" si="98"/>
        <v>132.69504484187379</v>
      </c>
      <c r="I398" s="12">
        <f t="shared" si="99"/>
        <v>79.518851536023476</v>
      </c>
      <c r="J398" s="12">
        <f t="shared" si="100"/>
        <v>141.4250595534796</v>
      </c>
      <c r="K398" s="12">
        <f t="shared" si="101"/>
        <v>129.23104108987533</v>
      </c>
      <c r="L398" s="55">
        <v>19.222680183386402</v>
      </c>
      <c r="M398" s="55">
        <v>17.173167870380201</v>
      </c>
      <c r="P398" s="12"/>
      <c r="Q398" s="12"/>
      <c r="R398" s="12"/>
      <c r="S398" s="12"/>
      <c r="T398" s="55">
        <v>16.284687839100499</v>
      </c>
      <c r="U398" s="55">
        <v>14.236032605503601</v>
      </c>
      <c r="V398">
        <v>0.41020114942528701</v>
      </c>
      <c r="W398" s="12"/>
      <c r="X398" s="12"/>
      <c r="Y398" t="str">
        <v>20170217</v>
      </c>
      <c r="Z398">
        <v>61.2</v>
      </c>
      <c r="AA398">
        <v>17.5</v>
      </c>
      <c r="AB398">
        <f t="shared" si="102"/>
        <v>3.4971428571428573</v>
      </c>
      <c r="AY398" t="str">
        <v>13/02/2023</v>
      </c>
      <c r="AZ398">
        <v>44.4</v>
      </c>
      <c r="BA398">
        <v>26.4</v>
      </c>
      <c r="BB398">
        <f t="shared" si="103"/>
        <v>1.6818181818181819</v>
      </c>
    </row>
    <row r="399" spans="1:54" x14ac:dyDescent="0.3">
      <c r="A399" s="11">
        <v>44947</v>
      </c>
      <c r="B399">
        <v>0.46910112359550599</v>
      </c>
      <c r="C399">
        <v>3972.61</v>
      </c>
      <c r="D399">
        <v>106.2</v>
      </c>
      <c r="E399">
        <v>1926.96</v>
      </c>
      <c r="F399">
        <v>81.78</v>
      </c>
      <c r="G399">
        <v>49.39</v>
      </c>
      <c r="H399" s="12">
        <f t="shared" si="98"/>
        <v>130.52962936095085</v>
      </c>
      <c r="I399" s="12">
        <f t="shared" si="99"/>
        <v>78.762887841918257</v>
      </c>
      <c r="J399" s="12">
        <f t="shared" si="100"/>
        <v>139.62948140770644</v>
      </c>
      <c r="K399" s="12">
        <f t="shared" si="101"/>
        <v>128.38152333795153</v>
      </c>
      <c r="L399" s="55">
        <v>19.2875936309946</v>
      </c>
      <c r="M399" s="55">
        <v>17.2244829661451</v>
      </c>
      <c r="P399" s="12"/>
      <c r="Q399" s="12"/>
      <c r="R399" s="12"/>
      <c r="S399" s="12"/>
      <c r="T399" s="55">
        <v>16.258472154945</v>
      </c>
      <c r="U399" s="55">
        <v>14.207429922835001</v>
      </c>
      <c r="V399">
        <v>0.41067615658362999</v>
      </c>
      <c r="W399" s="12"/>
      <c r="X399" s="12"/>
      <c r="Y399" t="str">
        <v>20170210</v>
      </c>
      <c r="Z399">
        <v>61.8</v>
      </c>
      <c r="AA399">
        <v>17.600000000000001</v>
      </c>
      <c r="AB399">
        <f t="shared" si="102"/>
        <v>3.5113636363636358</v>
      </c>
      <c r="AY399" t="str">
        <v>10/02/2023</v>
      </c>
      <c r="AZ399">
        <v>45.1</v>
      </c>
      <c r="BA399">
        <v>26.8</v>
      </c>
      <c r="BB399">
        <f t="shared" si="103"/>
        <v>1.6828358208955223</v>
      </c>
    </row>
    <row r="400" spans="1:54" x14ac:dyDescent="0.3">
      <c r="A400" s="11">
        <v>44946</v>
      </c>
      <c r="B400">
        <v>0.45114942528735602</v>
      </c>
      <c r="C400">
        <v>3898.85</v>
      </c>
      <c r="D400">
        <v>107.95</v>
      </c>
      <c r="E400">
        <v>1932.39</v>
      </c>
      <c r="F400">
        <v>81.849999999999994</v>
      </c>
      <c r="G400">
        <v>48.89</v>
      </c>
      <c r="H400" s="12">
        <f t="shared" si="98"/>
        <v>126.09979307300365</v>
      </c>
      <c r="I400" s="12">
        <f t="shared" si="99"/>
        <v>77.087891999609198</v>
      </c>
      <c r="J400" s="12">
        <f t="shared" si="100"/>
        <v>136.92203681054366</v>
      </c>
      <c r="K400" s="12">
        <f t="shared" si="101"/>
        <v>127.27532780769853</v>
      </c>
      <c r="L400" s="55">
        <v>18.994468177884201</v>
      </c>
      <c r="M400" s="55">
        <v>16.9851142207877</v>
      </c>
      <c r="P400" s="12"/>
      <c r="Q400" s="12"/>
      <c r="R400" s="12"/>
      <c r="S400" s="12"/>
      <c r="T400" s="55">
        <v>16.031425873014001</v>
      </c>
      <c r="U400" s="55">
        <v>14.048064331566501</v>
      </c>
      <c r="V400">
        <v>0.416905444126074</v>
      </c>
      <c r="W400" s="12"/>
      <c r="X400" s="12"/>
      <c r="Y400" t="str">
        <v>20170203</v>
      </c>
      <c r="Z400">
        <v>62.7</v>
      </c>
      <c r="AA400">
        <v>16.7</v>
      </c>
      <c r="AB400">
        <f t="shared" si="102"/>
        <v>3.7544910179640723</v>
      </c>
      <c r="AY400" t="str">
        <v>09/02/2023</v>
      </c>
      <c r="AZ400">
        <v>45.1</v>
      </c>
      <c r="BA400">
        <v>26.8</v>
      </c>
      <c r="BB400">
        <f t="shared" si="103"/>
        <v>1.6828358208955223</v>
      </c>
    </row>
    <row r="401" spans="1:54" x14ac:dyDescent="0.3">
      <c r="A401" s="11">
        <v>44945</v>
      </c>
      <c r="B401">
        <v>0.45058139534883701</v>
      </c>
      <c r="C401">
        <v>3928.86</v>
      </c>
      <c r="D401">
        <v>108.63</v>
      </c>
      <c r="E401">
        <v>1904.27</v>
      </c>
      <c r="F401">
        <v>81.87</v>
      </c>
      <c r="G401">
        <v>48.82</v>
      </c>
      <c r="H401" s="12">
        <f t="shared" si="98"/>
        <v>126.2738700773795</v>
      </c>
      <c r="I401" s="12">
        <f t="shared" si="99"/>
        <v>78.854643015264486</v>
      </c>
      <c r="J401" s="12">
        <f t="shared" si="100"/>
        <v>137.94198791005257</v>
      </c>
      <c r="K401" s="12">
        <f t="shared" si="101"/>
        <v>128.44056457787732</v>
      </c>
      <c r="L401" s="55">
        <v>19.155943655940501</v>
      </c>
      <c r="M401" s="55">
        <v>17.217708092398301</v>
      </c>
      <c r="P401" s="12"/>
      <c r="Q401" s="12"/>
      <c r="R401" s="12"/>
      <c r="S401" s="12"/>
      <c r="T401" s="55">
        <v>15.936627143003699</v>
      </c>
      <c r="U401" s="55">
        <v>14.0229464620286</v>
      </c>
      <c r="V401">
        <v>0.41341991341991302</v>
      </c>
      <c r="W401" s="12"/>
      <c r="X401" s="12"/>
      <c r="Y401" t="str">
        <v>20170127</v>
      </c>
      <c r="Z401">
        <v>61.8</v>
      </c>
      <c r="AA401">
        <v>17.600000000000001</v>
      </c>
      <c r="AB401">
        <f t="shared" si="102"/>
        <v>3.5113636363636358</v>
      </c>
      <c r="AY401" t="str">
        <v>08/02/2023</v>
      </c>
      <c r="AZ401">
        <v>45.1</v>
      </c>
      <c r="BA401">
        <v>26.8</v>
      </c>
      <c r="BB401">
        <f t="shared" si="103"/>
        <v>1.6828358208955223</v>
      </c>
    </row>
    <row r="402" spans="1:54" x14ac:dyDescent="0.3">
      <c r="A402" s="11">
        <v>44944</v>
      </c>
      <c r="B402">
        <v>0.43072289156626498</v>
      </c>
      <c r="C402">
        <v>3990.97</v>
      </c>
      <c r="D402">
        <v>106.06</v>
      </c>
      <c r="E402">
        <v>1908.87</v>
      </c>
      <c r="F402">
        <v>81.69</v>
      </c>
      <c r="G402">
        <v>49.05</v>
      </c>
      <c r="H402" s="12">
        <f t="shared" si="98"/>
        <v>131.50708945456446</v>
      </c>
      <c r="I402" s="12">
        <f t="shared" si="99"/>
        <v>79.905628157267643</v>
      </c>
      <c r="J402" s="12">
        <f t="shared" si="100"/>
        <v>140.437003613813</v>
      </c>
      <c r="K402" s="12">
        <f t="shared" si="101"/>
        <v>129.85252114515927</v>
      </c>
      <c r="L402" s="55">
        <v>19.063452042036602</v>
      </c>
      <c r="M402" s="55">
        <v>17.2209308935184</v>
      </c>
      <c r="P402" s="12"/>
      <c r="Q402" s="12"/>
      <c r="R402" s="12"/>
      <c r="S402" s="12"/>
      <c r="T402" s="55">
        <v>15.8515448755905</v>
      </c>
      <c r="U402" s="55">
        <v>14.1108668403522</v>
      </c>
      <c r="V402">
        <v>0.41397058823529398</v>
      </c>
      <c r="W402" s="12"/>
      <c r="X402" s="12"/>
      <c r="Y402" t="str">
        <v>20170120</v>
      </c>
      <c r="Z402">
        <v>58.2</v>
      </c>
      <c r="AA402">
        <v>17.5</v>
      </c>
      <c r="AB402">
        <f t="shared" si="102"/>
        <v>3.3257142857142861</v>
      </c>
      <c r="AY402" t="str">
        <v>07/02/2023</v>
      </c>
      <c r="AZ402">
        <v>45.1</v>
      </c>
      <c r="BA402">
        <v>26.8</v>
      </c>
      <c r="BB402">
        <f t="shared" si="103"/>
        <v>1.6828358208955223</v>
      </c>
    </row>
    <row r="403" spans="1:54" x14ac:dyDescent="0.3">
      <c r="A403" s="11">
        <v>44940</v>
      </c>
      <c r="B403">
        <v>0.42812499999999998</v>
      </c>
      <c r="C403">
        <v>3999.09</v>
      </c>
      <c r="D403">
        <v>106.75</v>
      </c>
      <c r="E403">
        <v>1920.44</v>
      </c>
      <c r="F403">
        <v>81.64</v>
      </c>
      <c r="G403">
        <v>49.04</v>
      </c>
      <c r="H403" s="12">
        <f t="shared" si="98"/>
        <v>130.9266603687893</v>
      </c>
      <c r="I403" s="12">
        <f t="shared" si="99"/>
        <v>79.587738883434653</v>
      </c>
      <c r="J403" s="12">
        <f t="shared" si="100"/>
        <v>140.80914907281488</v>
      </c>
      <c r="K403" s="12">
        <f t="shared" si="101"/>
        <v>130.14331037776486</v>
      </c>
      <c r="L403" s="55">
        <v>19.002997683375799</v>
      </c>
      <c r="M403" s="55">
        <v>17.260312182013799</v>
      </c>
      <c r="P403" s="12"/>
      <c r="Q403" s="12"/>
      <c r="R403" s="12"/>
      <c r="S403" s="12"/>
      <c r="T403" s="55">
        <v>15.798834196620399</v>
      </c>
      <c r="U403" s="55">
        <v>14.1550923251044</v>
      </c>
      <c r="V403">
        <v>0.416727272727273</v>
      </c>
      <c r="W403" s="12"/>
      <c r="X403" s="12"/>
      <c r="Y403" t="str">
        <v>20170113</v>
      </c>
      <c r="Z403">
        <v>60.6</v>
      </c>
      <c r="AA403">
        <v>17.3</v>
      </c>
      <c r="AB403">
        <f t="shared" si="102"/>
        <v>3.5028901734104045</v>
      </c>
      <c r="AY403" t="str">
        <v>06/02/2023</v>
      </c>
      <c r="AZ403">
        <v>45.1</v>
      </c>
      <c r="BA403">
        <v>26.8</v>
      </c>
      <c r="BB403">
        <f t="shared" si="103"/>
        <v>1.6828358208955223</v>
      </c>
    </row>
    <row r="404" spans="1:54" x14ac:dyDescent="0.3">
      <c r="A404" s="11">
        <v>44939</v>
      </c>
      <c r="B404">
        <v>0.43312101910827999</v>
      </c>
      <c r="C404">
        <v>3983.17</v>
      </c>
      <c r="D404">
        <v>107.76</v>
      </c>
      <c r="E404">
        <v>1897.03</v>
      </c>
      <c r="F404">
        <v>81.78</v>
      </c>
      <c r="G404">
        <v>48.72</v>
      </c>
      <c r="H404" s="12">
        <f t="shared" si="98"/>
        <v>129.19933035627383</v>
      </c>
      <c r="I404" s="12">
        <f t="shared" si="99"/>
        <v>80.257368317026632</v>
      </c>
      <c r="J404" s="12">
        <f t="shared" si="100"/>
        <v>140.00987099682854</v>
      </c>
      <c r="K404" s="12">
        <f t="shared" si="101"/>
        <v>130.47881419218319</v>
      </c>
      <c r="L404" s="55">
        <v>18.4149072659208</v>
      </c>
      <c r="M404" s="55">
        <v>16.779608667330098</v>
      </c>
      <c r="P404" s="12"/>
      <c r="Q404" s="12"/>
      <c r="R404" s="12"/>
      <c r="S404" s="12"/>
      <c r="T404" s="55">
        <v>15.3050698210573</v>
      </c>
      <c r="U404" s="55">
        <v>13.7720066055115</v>
      </c>
      <c r="V404">
        <v>0.41964285714285698</v>
      </c>
      <c r="W404" s="12"/>
      <c r="X404" s="12"/>
      <c r="Y404" t="str">
        <v>20170106</v>
      </c>
      <c r="Z404">
        <v>58.6</v>
      </c>
      <c r="AA404">
        <v>18.3</v>
      </c>
      <c r="AB404">
        <f t="shared" si="102"/>
        <v>3.2021857923497268</v>
      </c>
      <c r="AY404" t="str">
        <v>03/02/2023</v>
      </c>
      <c r="AZ404">
        <v>48.6</v>
      </c>
      <c r="BA404">
        <v>25.7</v>
      </c>
      <c r="BB404">
        <f t="shared" si="103"/>
        <v>1.8910505836575877</v>
      </c>
    </row>
    <row r="405" spans="1:54" x14ac:dyDescent="0.3">
      <c r="A405" s="11">
        <v>44938</v>
      </c>
      <c r="B405">
        <v>0.43492063492063499</v>
      </c>
      <c r="C405">
        <v>3969.61</v>
      </c>
      <c r="D405">
        <v>105.68</v>
      </c>
      <c r="E405">
        <v>1875.84</v>
      </c>
      <c r="F405">
        <v>81.599999999999994</v>
      </c>
      <c r="G405">
        <v>48.16</v>
      </c>
      <c r="H405" s="12">
        <f t="shared" si="98"/>
        <v>131.33565000623506</v>
      </c>
      <c r="I405" s="12">
        <f t="shared" si="99"/>
        <v>80.894845578654937</v>
      </c>
      <c r="J405" s="12">
        <f t="shared" si="100"/>
        <v>139.84065396805852</v>
      </c>
      <c r="K405" s="12">
        <f t="shared" si="101"/>
        <v>131.55917209805412</v>
      </c>
      <c r="L405" s="55">
        <v>18.5638404938021</v>
      </c>
      <c r="M405" s="55">
        <v>17.012964447506999</v>
      </c>
      <c r="P405" s="12"/>
      <c r="Q405" s="12"/>
      <c r="R405" s="12"/>
      <c r="S405" s="12"/>
      <c r="T405" s="55">
        <v>15.3717886880154</v>
      </c>
      <c r="U405" s="55">
        <v>13.8786156104019</v>
      </c>
      <c r="V405">
        <v>0.43736100815418799</v>
      </c>
      <c r="W405" s="12"/>
      <c r="X405" s="12"/>
      <c r="Y405" t="str">
        <v>20161230</v>
      </c>
      <c r="Z405">
        <v>60.2</v>
      </c>
      <c r="AA405">
        <v>18.399999999999999</v>
      </c>
      <c r="AB405">
        <f t="shared" si="102"/>
        <v>3.2717391304347831</v>
      </c>
      <c r="AY405" t="str">
        <v>02/02/2023</v>
      </c>
      <c r="AZ405">
        <v>48.6</v>
      </c>
      <c r="BA405">
        <v>25.7</v>
      </c>
      <c r="BB405">
        <f t="shared" si="103"/>
        <v>1.8910505836575877</v>
      </c>
    </row>
    <row r="406" spans="1:54" x14ac:dyDescent="0.3">
      <c r="A406" s="11">
        <v>44937</v>
      </c>
      <c r="B406">
        <v>0.428104575163399</v>
      </c>
      <c r="C406">
        <v>3919.25</v>
      </c>
      <c r="D406">
        <v>103.99</v>
      </c>
      <c r="E406">
        <v>1876.93</v>
      </c>
      <c r="F406">
        <v>81.53</v>
      </c>
      <c r="G406">
        <v>47.84</v>
      </c>
      <c r="H406" s="12">
        <f t="shared" si="98"/>
        <v>131.7840009804635</v>
      </c>
      <c r="I406" s="12">
        <f t="shared" si="99"/>
        <v>79.822814580842234</v>
      </c>
      <c r="J406" s="12">
        <f t="shared" si="100"/>
        <v>138.18371821563608</v>
      </c>
      <c r="K406" s="12">
        <f t="shared" si="101"/>
        <v>130.75367272756037</v>
      </c>
      <c r="L406" s="55">
        <v>18.281521150966501</v>
      </c>
      <c r="M406" s="55">
        <v>16.808317267581401</v>
      </c>
      <c r="P406" s="12"/>
      <c r="Q406" s="12"/>
      <c r="R406" s="12"/>
      <c r="S406" s="12"/>
      <c r="T406" s="55">
        <v>15.146381994928401</v>
      </c>
      <c r="U406" s="55">
        <v>13.726357212023601</v>
      </c>
      <c r="V406">
        <v>0.440754716981132</v>
      </c>
      <c r="W406" s="12"/>
      <c r="X406" s="12"/>
      <c r="Y406" t="str">
        <v>20161223</v>
      </c>
      <c r="Z406" t="e">
        <v>#N/A</v>
      </c>
      <c r="AA406" t="e">
        <v>#N/A</v>
      </c>
      <c r="AB406" t="str">
        <f t="shared" si="102"/>
        <v/>
      </c>
      <c r="AY406" t="str">
        <v>01/02/2023</v>
      </c>
      <c r="AZ406">
        <v>48.6</v>
      </c>
      <c r="BA406">
        <v>25.7</v>
      </c>
      <c r="BB406">
        <f t="shared" si="103"/>
        <v>1.8910505836575877</v>
      </c>
    </row>
    <row r="407" spans="1:54" x14ac:dyDescent="0.3">
      <c r="A407" s="11">
        <v>44936</v>
      </c>
      <c r="B407">
        <v>0.44333333333333302</v>
      </c>
      <c r="C407">
        <v>3892.09</v>
      </c>
      <c r="D407">
        <v>105.74</v>
      </c>
      <c r="E407">
        <v>1871.8</v>
      </c>
      <c r="F407">
        <v>81.599999999999994</v>
      </c>
      <c r="G407">
        <v>47.62</v>
      </c>
      <c r="H407" s="12">
        <f t="shared" si="98"/>
        <v>128.75462554946108</v>
      </c>
      <c r="I407" s="12">
        <f t="shared" si="99"/>
        <v>79.485986475434132</v>
      </c>
      <c r="J407" s="12">
        <f t="shared" si="100"/>
        <v>137.1093160364496</v>
      </c>
      <c r="K407" s="12">
        <f t="shared" si="101"/>
        <v>130.44603554183504</v>
      </c>
      <c r="L407" s="55">
        <v>18.114928539266899</v>
      </c>
      <c r="M407" s="55">
        <v>16.703772491764902</v>
      </c>
      <c r="P407" s="12"/>
      <c r="Q407" s="12"/>
      <c r="R407" s="12"/>
      <c r="S407" s="12"/>
      <c r="T407" s="55">
        <v>15.069008710238201</v>
      </c>
      <c r="U407" s="55">
        <v>13.6921168735024</v>
      </c>
      <c r="V407">
        <v>0.44513618677042799</v>
      </c>
      <c r="W407" s="12"/>
      <c r="X407" s="12"/>
      <c r="Y407" t="str">
        <v>20161216</v>
      </c>
      <c r="Z407">
        <v>59.8</v>
      </c>
      <c r="AA407">
        <v>19.600000000000001</v>
      </c>
      <c r="AB407">
        <f t="shared" si="102"/>
        <v>3.0510204081632648</v>
      </c>
      <c r="AY407" t="str">
        <v>31/01/2023</v>
      </c>
      <c r="AZ407">
        <v>48.6</v>
      </c>
      <c r="BA407">
        <v>25.7</v>
      </c>
      <c r="BB407">
        <f t="shared" si="103"/>
        <v>1.8910505836575877</v>
      </c>
    </row>
    <row r="408" spans="1:54" x14ac:dyDescent="0.3">
      <c r="A408" s="11">
        <v>44933</v>
      </c>
      <c r="B408">
        <v>0.46666666666666701</v>
      </c>
      <c r="C408">
        <v>3895.08</v>
      </c>
      <c r="D408">
        <v>105.18</v>
      </c>
      <c r="E408">
        <v>1866.07</v>
      </c>
      <c r="F408">
        <v>81.52</v>
      </c>
      <c r="G408">
        <v>47.39</v>
      </c>
      <c r="H408" s="12">
        <f t="shared" si="98"/>
        <v>129.54378571930073</v>
      </c>
      <c r="I408" s="12">
        <f t="shared" si="99"/>
        <v>79.792249830637147</v>
      </c>
      <c r="J408" s="12">
        <f t="shared" si="100"/>
        <v>137.34953891541608</v>
      </c>
      <c r="K408" s="12">
        <f t="shared" si="101"/>
        <v>131.18341484780666</v>
      </c>
      <c r="L408" s="55">
        <v>17.527231445232701</v>
      </c>
      <c r="M408" s="55">
        <v>16.131229964492999</v>
      </c>
      <c r="P408" s="12"/>
      <c r="Q408" s="12"/>
      <c r="R408" s="12"/>
      <c r="S408" s="12"/>
      <c r="T408" s="55">
        <v>14.9049832979622</v>
      </c>
      <c r="U408" s="55">
        <v>13.567872817074999</v>
      </c>
      <c r="V408">
        <v>0.43126888217522702</v>
      </c>
      <c r="W408" s="12"/>
      <c r="X408" s="12"/>
      <c r="Y408" t="str">
        <v>20161209</v>
      </c>
      <c r="Z408">
        <v>59.6</v>
      </c>
      <c r="AA408">
        <v>19.2</v>
      </c>
      <c r="AB408">
        <f t="shared" si="102"/>
        <v>3.104166666666667</v>
      </c>
      <c r="AY408" t="str">
        <v>30/01/2023</v>
      </c>
      <c r="AZ408">
        <v>48.6</v>
      </c>
      <c r="BA408">
        <v>25.7</v>
      </c>
      <c r="BB408">
        <f t="shared" si="103"/>
        <v>1.8910505836575877</v>
      </c>
    </row>
    <row r="409" spans="1:54" x14ac:dyDescent="0.3">
      <c r="A409" s="11">
        <v>44932</v>
      </c>
      <c r="B409">
        <v>0.46843853820598003</v>
      </c>
      <c r="C409">
        <v>3808.1</v>
      </c>
      <c r="D409">
        <v>103.28</v>
      </c>
      <c r="E409">
        <v>1833.02</v>
      </c>
      <c r="F409">
        <v>81.209999999999994</v>
      </c>
      <c r="G409">
        <v>46.3</v>
      </c>
      <c r="H409" s="12">
        <f t="shared" si="98"/>
        <v>128.97061516208831</v>
      </c>
      <c r="I409" s="12">
        <f t="shared" si="99"/>
        <v>79.410252175493341</v>
      </c>
      <c r="J409" s="12">
        <f t="shared" si="100"/>
        <v>134.78544492269515</v>
      </c>
      <c r="K409" s="12">
        <f t="shared" si="101"/>
        <v>131.27548226690141</v>
      </c>
      <c r="L409" s="55">
        <v>17.7899174585258</v>
      </c>
      <c r="M409" s="55">
        <v>16.4437534785901</v>
      </c>
      <c r="P409" s="12"/>
      <c r="Q409" s="12"/>
      <c r="R409" s="12"/>
      <c r="S409" s="12"/>
      <c r="T409" s="55">
        <v>15.307394776126699</v>
      </c>
      <c r="U409" s="55">
        <v>14.029059694501701</v>
      </c>
      <c r="V409">
        <v>0.44119907763258998</v>
      </c>
      <c r="W409" s="12"/>
      <c r="X409" s="12"/>
      <c r="Y409" t="str">
        <v>20161202</v>
      </c>
      <c r="Z409">
        <v>58.8</v>
      </c>
      <c r="AA409">
        <v>19.600000000000001</v>
      </c>
      <c r="AB409">
        <f t="shared" si="102"/>
        <v>2.9999999999999996</v>
      </c>
      <c r="AY409" t="str">
        <v>27/01/2023</v>
      </c>
      <c r="AZ409">
        <v>47.1</v>
      </c>
      <c r="BA409">
        <v>27.2</v>
      </c>
      <c r="BB409">
        <f t="shared" si="103"/>
        <v>1.7316176470588236</v>
      </c>
    </row>
    <row r="410" spans="1:54" x14ac:dyDescent="0.3">
      <c r="A410" s="11">
        <v>44931</v>
      </c>
      <c r="B410">
        <v>0.48504983388704298</v>
      </c>
      <c r="C410">
        <v>3852.97</v>
      </c>
      <c r="D410">
        <v>102.85</v>
      </c>
      <c r="E410">
        <v>1854.69</v>
      </c>
      <c r="F410">
        <v>81.319999999999993</v>
      </c>
      <c r="G410">
        <v>46.7</v>
      </c>
      <c r="H410" s="12">
        <f t="shared" si="98"/>
        <v>131.04458010420092</v>
      </c>
      <c r="I410" s="12">
        <f t="shared" si="99"/>
        <v>79.407208375727933</v>
      </c>
      <c r="J410" s="12">
        <f t="shared" si="100"/>
        <v>136.18720359872248</v>
      </c>
      <c r="K410" s="12">
        <f t="shared" si="101"/>
        <v>131.68109311765494</v>
      </c>
      <c r="L410" s="55">
        <v>17.873395199182202</v>
      </c>
      <c r="M410" s="55">
        <v>16.545480566940501</v>
      </c>
      <c r="P410" s="12"/>
      <c r="Q410" s="12"/>
      <c r="R410" s="12"/>
      <c r="S410" s="12"/>
      <c r="T410" s="55">
        <v>15.3381721312388</v>
      </c>
      <c r="U410" s="55">
        <v>14.1237473550961</v>
      </c>
      <c r="V410">
        <v>0.44513137557959798</v>
      </c>
      <c r="W410" s="12"/>
      <c r="X410" s="12"/>
      <c r="Y410" t="str">
        <v>20161125</v>
      </c>
      <c r="Z410">
        <v>56.3</v>
      </c>
      <c r="AA410">
        <v>22.3</v>
      </c>
      <c r="AB410">
        <f t="shared" si="102"/>
        <v>2.5246636771300448</v>
      </c>
      <c r="AY410" t="str">
        <v>26/01/2023</v>
      </c>
      <c r="AZ410">
        <v>47.1</v>
      </c>
      <c r="BA410">
        <v>27.2</v>
      </c>
      <c r="BB410">
        <f t="shared" si="103"/>
        <v>1.7316176470588236</v>
      </c>
    </row>
    <row r="411" spans="1:54" x14ac:dyDescent="0.3">
      <c r="A411" s="11">
        <v>44930</v>
      </c>
      <c r="B411">
        <v>0.48322147651006703</v>
      </c>
      <c r="C411">
        <v>3824.14</v>
      </c>
      <c r="D411">
        <v>101.46</v>
      </c>
      <c r="E411">
        <v>1839.79</v>
      </c>
      <c r="F411">
        <v>81.239999999999995</v>
      </c>
      <c r="G411">
        <v>45.8</v>
      </c>
      <c r="H411" s="12">
        <f t="shared" si="98"/>
        <v>131.85695480513567</v>
      </c>
      <c r="I411" s="12">
        <f t="shared" si="99"/>
        <v>79.451685466357489</v>
      </c>
      <c r="J411" s="12">
        <f t="shared" si="100"/>
        <v>135.30041580706057</v>
      </c>
      <c r="K411" s="12">
        <f t="shared" si="101"/>
        <v>133.29552925757056</v>
      </c>
      <c r="L411" s="55">
        <v>17.8456133534802</v>
      </c>
      <c r="M411" s="55">
        <v>16.551877026458499</v>
      </c>
      <c r="P411" s="12"/>
      <c r="Q411" s="12"/>
      <c r="R411" s="12"/>
      <c r="S411" s="12"/>
      <c r="T411" s="55">
        <v>15.1667558860297</v>
      </c>
      <c r="U411" s="55">
        <v>13.9990727517756</v>
      </c>
      <c r="V411">
        <v>0.44479745830023798</v>
      </c>
      <c r="W411" s="12"/>
      <c r="X411" s="12"/>
      <c r="Y411" t="str">
        <v>20161118</v>
      </c>
      <c r="Z411">
        <v>55.9</v>
      </c>
      <c r="AA411">
        <v>21.6</v>
      </c>
      <c r="AB411">
        <f t="shared" si="102"/>
        <v>2.5879629629629628</v>
      </c>
      <c r="AY411" t="str">
        <v>25/01/2023</v>
      </c>
      <c r="AZ411">
        <v>47.1</v>
      </c>
      <c r="BA411">
        <v>27.2</v>
      </c>
      <c r="BB411">
        <f t="shared" si="103"/>
        <v>1.7316176470588236</v>
      </c>
    </row>
    <row r="412" spans="1:54" x14ac:dyDescent="0.3">
      <c r="A412" s="11">
        <v>44926</v>
      </c>
      <c r="B412">
        <v>0.47038327526132401</v>
      </c>
      <c r="C412">
        <v>3839.5</v>
      </c>
      <c r="D412">
        <v>99.56</v>
      </c>
      <c r="E412">
        <v>1824.56</v>
      </c>
      <c r="F412">
        <v>81.17</v>
      </c>
      <c r="G412">
        <v>45.5</v>
      </c>
      <c r="H412" s="12">
        <f t="shared" si="98"/>
        <v>134.97273152582534</v>
      </c>
      <c r="I412" s="12">
        <f t="shared" si="99"/>
        <v>80.444999310481023</v>
      </c>
      <c r="J412" s="12">
        <f t="shared" si="100"/>
        <v>135.96158454990018</v>
      </c>
      <c r="K412" s="12">
        <f t="shared" si="101"/>
        <v>134.72277254174466</v>
      </c>
      <c r="L412" s="55">
        <v>17.944620226647501</v>
      </c>
      <c r="M412" s="55">
        <v>16.727197588686501</v>
      </c>
      <c r="P412" s="12"/>
      <c r="Q412" s="12"/>
      <c r="R412" s="12"/>
      <c r="S412" s="12"/>
      <c r="T412" s="55">
        <v>15.192546393288399</v>
      </c>
      <c r="U412" s="55">
        <v>14.1012959948005</v>
      </c>
      <c r="V412">
        <v>0.44031007751938001</v>
      </c>
      <c r="W412" s="12"/>
      <c r="X412" s="12"/>
      <c r="Y412" t="str">
        <v>20161111</v>
      </c>
      <c r="Z412">
        <v>51</v>
      </c>
      <c r="AA412">
        <v>23.5</v>
      </c>
      <c r="AB412">
        <f t="shared" si="102"/>
        <v>2.1702127659574466</v>
      </c>
      <c r="AY412" t="str">
        <v>24/01/2023</v>
      </c>
      <c r="AZ412">
        <v>47.1</v>
      </c>
      <c r="BA412">
        <v>27.2</v>
      </c>
      <c r="BB412">
        <f t="shared" si="103"/>
        <v>1.7316176470588236</v>
      </c>
    </row>
    <row r="413" spans="1:54" x14ac:dyDescent="0.3">
      <c r="A413" s="11">
        <v>44925</v>
      </c>
      <c r="B413">
        <v>0.47038327526132401</v>
      </c>
      <c r="C413">
        <v>3849.28</v>
      </c>
      <c r="D413">
        <v>100.68</v>
      </c>
      <c r="E413">
        <v>1813.76</v>
      </c>
      <c r="F413">
        <v>81.27</v>
      </c>
      <c r="G413">
        <v>46.01</v>
      </c>
      <c r="H413" s="12">
        <f t="shared" si="98"/>
        <v>133.82403691308093</v>
      </c>
      <c r="I413" s="12">
        <f t="shared" si="99"/>
        <v>81.134252324325175</v>
      </c>
      <c r="J413" s="12">
        <f t="shared" si="100"/>
        <v>136.13996446290841</v>
      </c>
      <c r="K413" s="12">
        <f t="shared" si="101"/>
        <v>133.58147751823142</v>
      </c>
      <c r="L413" s="55">
        <v>18.010645713980502</v>
      </c>
      <c r="M413" s="55">
        <v>16.8802513507834</v>
      </c>
      <c r="P413" s="12"/>
      <c r="Q413" s="12"/>
      <c r="R413" s="12"/>
      <c r="S413" s="12"/>
      <c r="T413" s="55">
        <v>15.1112862144687</v>
      </c>
      <c r="U413" s="55">
        <v>14.077136801036</v>
      </c>
      <c r="V413">
        <v>0.44809160305343498</v>
      </c>
      <c r="W413" s="12"/>
      <c r="X413" s="12"/>
      <c r="Y413" t="str">
        <v>20161104</v>
      </c>
      <c r="Z413">
        <v>42.9</v>
      </c>
      <c r="AA413">
        <v>25.7</v>
      </c>
      <c r="AB413">
        <f t="shared" si="102"/>
        <v>1.6692607003891051</v>
      </c>
      <c r="AY413" t="str">
        <v>23/01/2023</v>
      </c>
      <c r="AZ413">
        <v>47.1</v>
      </c>
      <c r="BA413">
        <v>27.2</v>
      </c>
      <c r="BB413">
        <f t="shared" si="103"/>
        <v>1.7316176470588236</v>
      </c>
    </row>
    <row r="414" spans="1:54" x14ac:dyDescent="0.3">
      <c r="A414" s="11">
        <v>44924</v>
      </c>
      <c r="B414">
        <v>0.48275862068965503</v>
      </c>
      <c r="C414">
        <v>3783.22</v>
      </c>
      <c r="D414">
        <v>99.55</v>
      </c>
      <c r="E414">
        <v>1804.36</v>
      </c>
      <c r="F414">
        <v>81.209999999999994</v>
      </c>
      <c r="G414">
        <v>45.32</v>
      </c>
      <c r="H414" s="12">
        <f t="shared" si="98"/>
        <v>133.01130641858944</v>
      </c>
      <c r="I414" s="12">
        <f t="shared" si="99"/>
        <v>80.152249991841941</v>
      </c>
      <c r="J414" s="12">
        <f t="shared" si="100"/>
        <v>133.9008094155075</v>
      </c>
      <c r="K414" s="12">
        <f t="shared" si="101"/>
        <v>133.28342248790261</v>
      </c>
      <c r="L414" s="55">
        <v>17.943094299971602</v>
      </c>
      <c r="M414" s="55">
        <v>16.8782759387806</v>
      </c>
      <c r="P414" s="12"/>
      <c r="Q414" s="12"/>
      <c r="R414" s="12"/>
      <c r="S414" s="12"/>
      <c r="T414" s="55">
        <v>15.1980684634598</v>
      </c>
      <c r="U414" s="55">
        <v>14.258534712677401</v>
      </c>
      <c r="V414">
        <v>0.45059880239521</v>
      </c>
      <c r="W414" s="12"/>
      <c r="X414" s="12"/>
      <c r="Y414" t="str">
        <v>20161028</v>
      </c>
      <c r="Z414">
        <v>41.7</v>
      </c>
      <c r="AA414">
        <v>24.3</v>
      </c>
      <c r="AB414">
        <f t="shared" si="102"/>
        <v>1.7160493827160495</v>
      </c>
      <c r="AY414" t="str">
        <v>20/01/2023</v>
      </c>
      <c r="AZ414">
        <v>45.1</v>
      </c>
      <c r="BA414">
        <v>28.2</v>
      </c>
      <c r="BB414">
        <f t="shared" si="103"/>
        <v>1.5992907801418441</v>
      </c>
    </row>
    <row r="415" spans="1:54" x14ac:dyDescent="0.3">
      <c r="A415" s="11">
        <v>44923</v>
      </c>
      <c r="B415">
        <v>0.47945205479452102</v>
      </c>
      <c r="C415">
        <v>3829.25</v>
      </c>
      <c r="D415">
        <v>100.14</v>
      </c>
      <c r="E415">
        <v>1813.5</v>
      </c>
      <c r="F415">
        <v>81.209999999999994</v>
      </c>
      <c r="G415">
        <v>45.88</v>
      </c>
      <c r="H415" s="12">
        <f t="shared" si="98"/>
        <v>133.83154377335055</v>
      </c>
      <c r="I415" s="12">
        <f t="shared" si="99"/>
        <v>80.71569825107909</v>
      </c>
      <c r="J415" s="12">
        <f t="shared" si="100"/>
        <v>135.52996507058327</v>
      </c>
      <c r="K415" s="12">
        <f t="shared" si="101"/>
        <v>133.25875316518403</v>
      </c>
      <c r="L415" s="55">
        <v>17.747645435706399</v>
      </c>
      <c r="M415" s="55">
        <v>16.715353740303499</v>
      </c>
      <c r="P415" s="12"/>
      <c r="Q415" s="12"/>
      <c r="R415" s="12"/>
      <c r="S415" s="12"/>
      <c r="T415" s="55">
        <v>14.9024364926524</v>
      </c>
      <c r="U415" s="55">
        <v>13.924666643499499</v>
      </c>
      <c r="V415">
        <v>0.45555555555555599</v>
      </c>
      <c r="W415" s="12"/>
      <c r="X415" s="12"/>
      <c r="Y415" t="str">
        <v>20161021</v>
      </c>
      <c r="Z415">
        <v>47.1</v>
      </c>
      <c r="AA415">
        <v>23.1</v>
      </c>
      <c r="AB415">
        <f t="shared" si="102"/>
        <v>2.0389610389610389</v>
      </c>
      <c r="AY415" t="str">
        <v>19/01/2023</v>
      </c>
      <c r="AZ415">
        <v>45.1</v>
      </c>
      <c r="BA415">
        <v>28.2</v>
      </c>
      <c r="BB415">
        <f t="shared" si="103"/>
        <v>1.5992907801418441</v>
      </c>
    </row>
    <row r="416" spans="1:54" x14ac:dyDescent="0.3">
      <c r="A416" s="11">
        <v>44919</v>
      </c>
      <c r="B416">
        <v>0.49158249158249201</v>
      </c>
      <c r="C416">
        <v>3844.82</v>
      </c>
      <c r="D416">
        <v>102.16</v>
      </c>
      <c r="E416">
        <v>1798.16</v>
      </c>
      <c r="F416">
        <v>81.319999999999993</v>
      </c>
      <c r="G416">
        <v>45.59</v>
      </c>
      <c r="H416" s="12">
        <f t="shared" si="98"/>
        <v>131.75984410534153</v>
      </c>
      <c r="I416" s="12">
        <f t="shared" si="99"/>
        <v>81.744083547919317</v>
      </c>
      <c r="J416" s="12">
        <f t="shared" si="100"/>
        <v>135.89646746566805</v>
      </c>
      <c r="K416" s="12">
        <f t="shared" si="101"/>
        <v>134.66065794062763</v>
      </c>
      <c r="L416" s="55">
        <v>17.644104581998899</v>
      </c>
      <c r="M416" s="55">
        <v>16.6601053341784</v>
      </c>
      <c r="P416" s="12"/>
      <c r="Q416" s="12"/>
      <c r="R416" s="12"/>
      <c r="S416" s="12"/>
      <c r="T416" s="55">
        <v>15.114803741012301</v>
      </c>
      <c r="U416" s="55">
        <v>14.2627424060334</v>
      </c>
      <c r="V416">
        <v>0.45144927536231899</v>
      </c>
      <c r="W416" s="12"/>
      <c r="X416" s="12"/>
      <c r="Y416" t="str">
        <v>20161014</v>
      </c>
      <c r="Z416">
        <v>42.9</v>
      </c>
      <c r="AA416">
        <v>23.8</v>
      </c>
      <c r="AB416">
        <f t="shared" si="102"/>
        <v>1.8025210084033612</v>
      </c>
      <c r="AY416" t="str">
        <v>18/01/2023</v>
      </c>
      <c r="AZ416">
        <v>45.1</v>
      </c>
      <c r="BA416">
        <v>28.2</v>
      </c>
      <c r="BB416">
        <f t="shared" si="103"/>
        <v>1.5992907801418441</v>
      </c>
    </row>
    <row r="417" spans="1:54" x14ac:dyDescent="0.3">
      <c r="A417" s="11">
        <v>44918</v>
      </c>
      <c r="B417">
        <v>0.49158249158249201</v>
      </c>
      <c r="C417">
        <v>3822.39</v>
      </c>
      <c r="D417">
        <v>103.68</v>
      </c>
      <c r="E417">
        <v>1791.61</v>
      </c>
      <c r="F417">
        <v>81.36</v>
      </c>
      <c r="G417">
        <v>45.46</v>
      </c>
      <c r="H417" s="12">
        <f t="shared" si="98"/>
        <v>129.10941499822331</v>
      </c>
      <c r="I417" s="12">
        <f t="shared" si="99"/>
        <v>81.563654402906579</v>
      </c>
      <c r="J417" s="12">
        <f t="shared" si="100"/>
        <v>135.03766861286351</v>
      </c>
      <c r="K417" s="12">
        <f t="shared" si="101"/>
        <v>134.25675996678541</v>
      </c>
      <c r="L417" s="55">
        <v>17.934496449186899</v>
      </c>
      <c r="M417" s="55">
        <v>17.1317912320809</v>
      </c>
      <c r="P417" s="12"/>
      <c r="Q417" s="12"/>
      <c r="R417" s="12"/>
      <c r="S417" s="12"/>
      <c r="T417" s="55">
        <v>15.137668082546501</v>
      </c>
      <c r="U417" s="55">
        <v>14.357410096023001</v>
      </c>
      <c r="V417">
        <v>0.46181299072091397</v>
      </c>
      <c r="W417" s="12"/>
      <c r="X417" s="12"/>
      <c r="Y417" t="str">
        <v>20161007</v>
      </c>
      <c r="Z417">
        <v>46.1</v>
      </c>
      <c r="AA417">
        <v>23.1</v>
      </c>
      <c r="AB417">
        <f t="shared" si="102"/>
        <v>1.9956709956709957</v>
      </c>
      <c r="AY417" t="str">
        <v>17/01/2023</v>
      </c>
      <c r="AZ417">
        <v>45.1</v>
      </c>
      <c r="BA417">
        <v>28.2</v>
      </c>
      <c r="BB417">
        <f t="shared" si="103"/>
        <v>1.5992907801418441</v>
      </c>
    </row>
    <row r="418" spans="1:54" x14ac:dyDescent="0.3">
      <c r="A418" s="11">
        <v>44917</v>
      </c>
      <c r="B418">
        <v>0.49668874172185401</v>
      </c>
      <c r="C418">
        <v>3878.44</v>
      </c>
      <c r="D418">
        <v>103.7</v>
      </c>
      <c r="E418">
        <v>1814.3</v>
      </c>
      <c r="F418">
        <v>81.41</v>
      </c>
      <c r="G418">
        <v>45.88</v>
      </c>
      <c r="H418" s="12">
        <f t="shared" si="98"/>
        <v>130.97699271908687</v>
      </c>
      <c r="I418" s="12">
        <f t="shared" si="99"/>
        <v>81.72264466579125</v>
      </c>
      <c r="J418" s="12">
        <f t="shared" si="100"/>
        <v>136.93247330028535</v>
      </c>
      <c r="K418" s="12">
        <f t="shared" si="101"/>
        <v>134.97175545081353</v>
      </c>
      <c r="L418" s="55">
        <v>17.821641304980201</v>
      </c>
      <c r="M418" s="55">
        <v>17.068578613358401</v>
      </c>
      <c r="P418" s="12"/>
      <c r="Q418" s="12"/>
      <c r="R418" s="12"/>
      <c r="S418" s="12"/>
      <c r="T418" s="55">
        <v>14.967576740277201</v>
      </c>
      <c r="U418" s="55">
        <v>14.1938200691792</v>
      </c>
      <c r="V418">
        <v>0.45924875974486201</v>
      </c>
      <c r="W418" s="12"/>
      <c r="X418" s="12"/>
      <c r="Y418" t="str">
        <v>20160930</v>
      </c>
      <c r="Z418">
        <v>46.7</v>
      </c>
      <c r="AA418">
        <v>22.8</v>
      </c>
      <c r="AB418">
        <f t="shared" si="102"/>
        <v>2.0482456140350878</v>
      </c>
      <c r="AY418" t="str">
        <v>16/01/2023</v>
      </c>
      <c r="AZ418">
        <v>45.1</v>
      </c>
      <c r="BA418">
        <v>28.2</v>
      </c>
      <c r="BB418">
        <f t="shared" si="103"/>
        <v>1.5992907801418441</v>
      </c>
    </row>
    <row r="419" spans="1:54" x14ac:dyDescent="0.3">
      <c r="A419" s="11">
        <v>44916</v>
      </c>
      <c r="B419">
        <v>0.48701298701298701</v>
      </c>
      <c r="C419">
        <v>3821.62</v>
      </c>
      <c r="D419">
        <v>103.44</v>
      </c>
      <c r="E419">
        <v>1818</v>
      </c>
      <c r="F419">
        <v>81.33</v>
      </c>
      <c r="G419">
        <v>45.4</v>
      </c>
      <c r="H419" s="12">
        <f t="shared" si="98"/>
        <v>129.37858424458358</v>
      </c>
      <c r="I419" s="12">
        <f t="shared" si="99"/>
        <v>80.364228520280406</v>
      </c>
      <c r="J419" s="12">
        <f t="shared" si="100"/>
        <v>135.05728482829943</v>
      </c>
      <c r="K419" s="12">
        <f t="shared" si="101"/>
        <v>134.39448369797759</v>
      </c>
      <c r="L419" s="55">
        <v>17.8559176706977</v>
      </c>
      <c r="M419" s="55">
        <v>17.2116220547172</v>
      </c>
      <c r="P419" s="12"/>
      <c r="Q419" s="12"/>
      <c r="R419" s="12"/>
      <c r="S419" s="12"/>
      <c r="T419" s="55">
        <v>14.9681485359148</v>
      </c>
      <c r="U419" s="55">
        <v>14.2500900712014</v>
      </c>
      <c r="V419">
        <v>0.46885934219734099</v>
      </c>
      <c r="W419" s="12"/>
      <c r="X419" s="12"/>
      <c r="Y419" t="str">
        <v>20160923</v>
      </c>
      <c r="Z419">
        <v>45.2</v>
      </c>
      <c r="AA419">
        <v>23.1</v>
      </c>
      <c r="AB419">
        <f t="shared" si="102"/>
        <v>1.9567099567099566</v>
      </c>
      <c r="AY419" t="str">
        <v>13/01/2023</v>
      </c>
      <c r="AZ419">
        <v>46.5</v>
      </c>
      <c r="BA419">
        <v>29.6</v>
      </c>
      <c r="BB419">
        <f t="shared" si="103"/>
        <v>1.5709459459459458</v>
      </c>
    </row>
    <row r="420" spans="1:54" x14ac:dyDescent="0.3">
      <c r="A420" s="11">
        <v>44915</v>
      </c>
      <c r="B420">
        <v>0.49174917491749198</v>
      </c>
      <c r="C420">
        <v>3817.66</v>
      </c>
      <c r="D420">
        <v>105.31</v>
      </c>
      <c r="E420">
        <v>1787.54</v>
      </c>
      <c r="F420">
        <v>81.33</v>
      </c>
      <c r="G420">
        <v>45.27</v>
      </c>
      <c r="H420" s="12">
        <f t="shared" si="98"/>
        <v>126.99185079951438</v>
      </c>
      <c r="I420" s="12">
        <f t="shared" si="99"/>
        <v>81.671204101742688</v>
      </c>
      <c r="J420" s="12">
        <f t="shared" si="100"/>
        <v>134.91733714958724</v>
      </c>
      <c r="K420" s="12">
        <f t="shared" si="101"/>
        <v>134.64146654606517</v>
      </c>
      <c r="L420" s="55">
        <v>17.830988420009302</v>
      </c>
      <c r="M420" s="55">
        <v>17.276301559083301</v>
      </c>
      <c r="P420" s="12"/>
      <c r="Q420" s="12"/>
      <c r="R420" s="12"/>
      <c r="S420" s="12"/>
      <c r="T420" s="55">
        <v>15.0249837305879</v>
      </c>
      <c r="U420" s="55">
        <v>14.401613024582501</v>
      </c>
      <c r="V420">
        <v>0.46769662921348298</v>
      </c>
      <c r="W420" s="12"/>
      <c r="X420" s="12"/>
      <c r="Y420" t="str">
        <v>20160916</v>
      </c>
      <c r="Z420">
        <v>44.6</v>
      </c>
      <c r="AA420">
        <v>24.3</v>
      </c>
      <c r="AB420">
        <f t="shared" si="102"/>
        <v>1.8353909465020577</v>
      </c>
      <c r="AY420" t="str">
        <v>12/01/2023</v>
      </c>
      <c r="AZ420">
        <v>46.5</v>
      </c>
      <c r="BA420">
        <v>29.6</v>
      </c>
      <c r="BB420">
        <f t="shared" si="103"/>
        <v>1.5709459459459458</v>
      </c>
    </row>
    <row r="421" spans="1:54" x14ac:dyDescent="0.3">
      <c r="A421" s="11">
        <v>44912</v>
      </c>
      <c r="B421">
        <v>0.5</v>
      </c>
      <c r="C421">
        <v>3852.36</v>
      </c>
      <c r="D421">
        <v>107.11</v>
      </c>
      <c r="E421">
        <v>1792.41</v>
      </c>
      <c r="F421">
        <v>81.430000000000007</v>
      </c>
      <c r="G421">
        <v>45.35</v>
      </c>
      <c r="H421" s="12">
        <f t="shared" si="98"/>
        <v>126.00926982492862</v>
      </c>
      <c r="I421" s="12">
        <f t="shared" si="99"/>
        <v>82.188205165092711</v>
      </c>
      <c r="J421" s="12">
        <f t="shared" si="100"/>
        <v>135.97514448971847</v>
      </c>
      <c r="K421" s="12">
        <f t="shared" si="101"/>
        <v>135.62384542306381</v>
      </c>
      <c r="L421" s="55">
        <v>17.787028864202</v>
      </c>
      <c r="M421" s="55">
        <v>17.303564896622301</v>
      </c>
      <c r="P421" s="12"/>
      <c r="Q421" s="12"/>
      <c r="R421" s="12"/>
      <c r="S421" s="12"/>
      <c r="T421" s="55">
        <v>14.799202740144301</v>
      </c>
      <c r="U421" s="55">
        <v>14.112719238288401</v>
      </c>
      <c r="V421">
        <v>0.47386759581881499</v>
      </c>
      <c r="W421" s="12"/>
      <c r="X421" s="12"/>
      <c r="Y421" t="str">
        <v>20160909</v>
      </c>
      <c r="Z421">
        <v>49</v>
      </c>
      <c r="AA421">
        <v>22.6</v>
      </c>
      <c r="AB421">
        <f t="shared" si="102"/>
        <v>2.168141592920354</v>
      </c>
      <c r="AY421" t="str">
        <v>11/01/2023</v>
      </c>
      <c r="AZ421">
        <v>46.5</v>
      </c>
      <c r="BA421">
        <v>29.6</v>
      </c>
      <c r="BB421">
        <f t="shared" si="103"/>
        <v>1.5709459459459458</v>
      </c>
    </row>
    <row r="422" spans="1:54" x14ac:dyDescent="0.3">
      <c r="A422" s="11">
        <v>44911</v>
      </c>
      <c r="B422">
        <v>0.50641025641025605</v>
      </c>
      <c r="C422">
        <v>3895.75</v>
      </c>
      <c r="D422">
        <v>108.32</v>
      </c>
      <c r="E422">
        <v>1776.69</v>
      </c>
      <c r="F422">
        <v>81.349999999999994</v>
      </c>
      <c r="G422">
        <v>45.62</v>
      </c>
      <c r="H422" s="12">
        <f t="shared" si="98"/>
        <v>126.00513342104784</v>
      </c>
      <c r="I422" s="12">
        <f t="shared" si="99"/>
        <v>83.864291070094751</v>
      </c>
      <c r="J422" s="12">
        <f t="shared" si="100"/>
        <v>137.64354716712683</v>
      </c>
      <c r="K422" s="12">
        <f t="shared" si="101"/>
        <v>136.33542383613172</v>
      </c>
      <c r="L422" s="55">
        <v>17.6936061118871</v>
      </c>
      <c r="M422" s="55">
        <v>17.2582755992612</v>
      </c>
      <c r="P422" s="12"/>
      <c r="Q422" s="12"/>
      <c r="R422" s="12"/>
      <c r="S422" s="12"/>
      <c r="T422" s="55">
        <v>14.8211058527429</v>
      </c>
      <c r="U422" s="55">
        <v>14.2083417910666</v>
      </c>
      <c r="V422">
        <v>0.480609418282548</v>
      </c>
      <c r="W422" s="12"/>
      <c r="X422" s="12"/>
      <c r="Y422" t="str">
        <v>20160902</v>
      </c>
      <c r="Z422">
        <v>52.5</v>
      </c>
      <c r="AA422">
        <v>22.8</v>
      </c>
      <c r="AB422">
        <f t="shared" si="102"/>
        <v>2.3026315789473681</v>
      </c>
      <c r="AY422" t="str">
        <v>10/01/2023</v>
      </c>
      <c r="AZ422">
        <v>46.5</v>
      </c>
      <c r="BA422">
        <v>29.6</v>
      </c>
      <c r="BB422">
        <f t="shared" si="103"/>
        <v>1.5709459459459458</v>
      </c>
    </row>
    <row r="423" spans="1:54" x14ac:dyDescent="0.3">
      <c r="A423" s="11">
        <v>44910</v>
      </c>
      <c r="B423">
        <v>0.51602564102564097</v>
      </c>
      <c r="C423">
        <v>3995.32</v>
      </c>
      <c r="D423">
        <v>108.16</v>
      </c>
      <c r="E423">
        <v>1807.12</v>
      </c>
      <c r="F423">
        <v>81.52</v>
      </c>
      <c r="G423">
        <v>46.75</v>
      </c>
      <c r="H423" s="12">
        <f t="shared" si="98"/>
        <v>129.42199686676219</v>
      </c>
      <c r="I423" s="12">
        <f t="shared" si="99"/>
        <v>84.547665345447967</v>
      </c>
      <c r="J423" s="12">
        <f t="shared" si="100"/>
        <v>140.86027184903492</v>
      </c>
      <c r="K423" s="12">
        <f t="shared" si="101"/>
        <v>136.43782524645675</v>
      </c>
      <c r="L423" s="55">
        <v>17.6414535672988</v>
      </c>
      <c r="M423" s="55">
        <v>17.282544907529701</v>
      </c>
      <c r="P423" s="12"/>
      <c r="Q423" s="12"/>
      <c r="R423" s="12"/>
      <c r="S423" s="12"/>
      <c r="T423" s="55">
        <v>14.821213638074299</v>
      </c>
      <c r="U423" s="55">
        <v>14.250188588129699</v>
      </c>
      <c r="V423">
        <v>0.47835051546391799</v>
      </c>
      <c r="W423" s="12"/>
      <c r="X423" s="12"/>
      <c r="Y423" t="str">
        <v>20160826</v>
      </c>
      <c r="Z423">
        <v>55.9</v>
      </c>
      <c r="AA423">
        <v>20.6</v>
      </c>
      <c r="AB423">
        <f t="shared" si="102"/>
        <v>2.7135922330097086</v>
      </c>
      <c r="AY423" t="str">
        <v>09/01/2023</v>
      </c>
      <c r="AZ423">
        <v>46.5</v>
      </c>
      <c r="BA423">
        <v>29.6</v>
      </c>
      <c r="BB423">
        <f t="shared" si="103"/>
        <v>1.5709459459459458</v>
      </c>
    </row>
    <row r="424" spans="1:54" x14ac:dyDescent="0.3">
      <c r="A424" s="11">
        <v>44909</v>
      </c>
      <c r="B424">
        <v>0.51249999999999996</v>
      </c>
      <c r="C424">
        <v>4019.65</v>
      </c>
      <c r="D424">
        <v>107.7</v>
      </c>
      <c r="E424">
        <v>1810.55</v>
      </c>
      <c r="F424">
        <v>81.510000000000005</v>
      </c>
      <c r="G424">
        <v>46.76</v>
      </c>
      <c r="H424" s="12">
        <f t="shared" si="98"/>
        <v>130.77207327204007</v>
      </c>
      <c r="I424" s="12">
        <f t="shared" si="99"/>
        <v>84.900709138090278</v>
      </c>
      <c r="J424" s="12">
        <f t="shared" si="100"/>
        <v>141.73555268505305</v>
      </c>
      <c r="K424" s="12">
        <f t="shared" si="101"/>
        <v>137.23915200013272</v>
      </c>
      <c r="L424" s="55">
        <v>17.536041613199998</v>
      </c>
      <c r="M424" s="55">
        <v>17.2169945203926</v>
      </c>
      <c r="P424" s="12"/>
      <c r="Q424" s="12"/>
      <c r="R424" s="12"/>
      <c r="S424" s="12"/>
      <c r="T424" s="55">
        <v>14.764845036036601</v>
      </c>
      <c r="U424" s="55">
        <v>14.218117817386499</v>
      </c>
      <c r="V424">
        <v>0.47964721845318897</v>
      </c>
      <c r="W424" s="12"/>
      <c r="X424" s="12"/>
      <c r="Y424" t="str">
        <v>20160819</v>
      </c>
      <c r="Z424">
        <v>56.7</v>
      </c>
      <c r="AA424">
        <v>20.2</v>
      </c>
      <c r="AB424">
        <f t="shared" si="102"/>
        <v>2.8069306930693072</v>
      </c>
      <c r="AY424" t="str">
        <v>06/01/2023</v>
      </c>
      <c r="AZ424">
        <v>41.4</v>
      </c>
      <c r="BA424">
        <v>32.9</v>
      </c>
      <c r="BB424">
        <f t="shared" si="103"/>
        <v>1.2583586626139818</v>
      </c>
    </row>
    <row r="425" spans="1:54" x14ac:dyDescent="0.3">
      <c r="A425" s="11">
        <v>44908</v>
      </c>
      <c r="B425">
        <v>0.515923566878981</v>
      </c>
      <c r="C425">
        <v>3990.56</v>
      </c>
      <c r="D425">
        <v>106.67</v>
      </c>
      <c r="E425">
        <v>1781.21</v>
      </c>
      <c r="F425">
        <v>81.27</v>
      </c>
      <c r="G425">
        <v>46.68</v>
      </c>
      <c r="H425" s="12">
        <f t="shared" si="98"/>
        <v>131.08224592217098</v>
      </c>
      <c r="I425" s="12">
        <f t="shared" si="99"/>
        <v>85.687512887116299</v>
      </c>
      <c r="J425" s="12">
        <f t="shared" si="100"/>
        <v>141.12355845331865</v>
      </c>
      <c r="K425" s="12">
        <f t="shared" si="101"/>
        <v>136.47816237153572</v>
      </c>
      <c r="L425" s="55">
        <v>17.362236079249101</v>
      </c>
      <c r="M425" s="55">
        <v>16.9978866623206</v>
      </c>
      <c r="P425" s="12"/>
      <c r="Q425" s="12"/>
      <c r="R425" s="12"/>
      <c r="S425" s="12"/>
      <c r="T425" s="55">
        <v>14.419727164339999</v>
      </c>
      <c r="U425" s="55">
        <v>13.654100802373801</v>
      </c>
      <c r="V425">
        <v>0.47713310580204799</v>
      </c>
      <c r="W425" s="12"/>
      <c r="X425" s="12"/>
      <c r="Y425" t="str">
        <v>20160812</v>
      </c>
      <c r="Z425">
        <v>56.2</v>
      </c>
      <c r="AA425">
        <v>20</v>
      </c>
      <c r="AB425">
        <f t="shared" si="102"/>
        <v>2.81</v>
      </c>
      <c r="AY425" t="str">
        <v>05/01/2023</v>
      </c>
      <c r="AZ425">
        <v>41.4</v>
      </c>
      <c r="BA425">
        <v>32.9</v>
      </c>
      <c r="BB425">
        <f t="shared" si="103"/>
        <v>1.2583586626139818</v>
      </c>
    </row>
    <row r="426" spans="1:54" x14ac:dyDescent="0.3">
      <c r="A426" s="11">
        <v>44905</v>
      </c>
      <c r="B426">
        <v>0.518987341772152</v>
      </c>
      <c r="C426">
        <v>3934.38</v>
      </c>
      <c r="D426">
        <v>106.33</v>
      </c>
      <c r="E426">
        <v>1796.85</v>
      </c>
      <c r="F426">
        <v>81.319999999999993</v>
      </c>
      <c r="G426">
        <v>46.56</v>
      </c>
      <c r="H426" s="12">
        <f t="shared" si="98"/>
        <v>129.64555809365351</v>
      </c>
      <c r="I426" s="12">
        <f t="shared" si="99"/>
        <v>83.762371133710019</v>
      </c>
      <c r="J426" s="12">
        <f t="shared" si="100"/>
        <v>139.05249583949984</v>
      </c>
      <c r="K426" s="12">
        <f t="shared" si="101"/>
        <v>134.8995767612669</v>
      </c>
      <c r="L426" s="55">
        <v>17.1986222096766</v>
      </c>
      <c r="M426" s="55">
        <v>16.774375418892699</v>
      </c>
      <c r="P426" s="12"/>
      <c r="Q426" s="12"/>
      <c r="R426" s="12"/>
      <c r="S426" s="12"/>
      <c r="T426" s="55">
        <v>14.489466725789701</v>
      </c>
      <c r="U426" s="55">
        <v>13.825013975555599</v>
      </c>
      <c r="V426">
        <v>0.47877984084880598</v>
      </c>
      <c r="W426" s="12"/>
      <c r="X426" s="12"/>
      <c r="Y426" t="str">
        <v>20160805</v>
      </c>
      <c r="Z426">
        <v>54.3</v>
      </c>
      <c r="AA426">
        <v>20.9</v>
      </c>
      <c r="AB426">
        <f t="shared" si="102"/>
        <v>2.598086124401914</v>
      </c>
      <c r="AY426" t="str">
        <v>04/01/2023</v>
      </c>
      <c r="AZ426">
        <v>41.4</v>
      </c>
      <c r="BA426">
        <v>32.9</v>
      </c>
      <c r="BB426">
        <f t="shared" si="103"/>
        <v>1.2583586626139818</v>
      </c>
    </row>
    <row r="427" spans="1:54" x14ac:dyDescent="0.3">
      <c r="A427" s="11">
        <v>44904</v>
      </c>
      <c r="B427">
        <v>0.51829268292682895</v>
      </c>
      <c r="C427">
        <v>3963.51</v>
      </c>
      <c r="D427">
        <v>109.17</v>
      </c>
      <c r="E427">
        <v>1789.29</v>
      </c>
      <c r="F427">
        <v>81.36</v>
      </c>
      <c r="G427">
        <v>46.64</v>
      </c>
      <c r="H427" s="12">
        <f t="shared" si="98"/>
        <v>127.27007154917627</v>
      </c>
      <c r="I427" s="12">
        <f t="shared" si="99"/>
        <v>84.743247599707317</v>
      </c>
      <c r="J427" s="12">
        <f t="shared" si="100"/>
        <v>140.01268944362388</v>
      </c>
      <c r="K427" s="12">
        <f t="shared" si="101"/>
        <v>135.66394546603127</v>
      </c>
      <c r="L427" s="55">
        <v>16.890239739752001</v>
      </c>
      <c r="M427" s="55">
        <v>16.245415108102598</v>
      </c>
      <c r="P427" s="12"/>
      <c r="Q427" s="12"/>
      <c r="R427" s="12"/>
      <c r="S427" s="12"/>
      <c r="T427" s="55">
        <v>14.216859167851</v>
      </c>
      <c r="U427" s="55">
        <v>13.3404069216351</v>
      </c>
      <c r="V427">
        <v>0.48738379814076999</v>
      </c>
      <c r="W427" s="12"/>
      <c r="X427" s="12"/>
      <c r="Y427" t="str">
        <v>20160729</v>
      </c>
      <c r="Z427">
        <v>52.9</v>
      </c>
      <c r="AA427">
        <v>21.2</v>
      </c>
      <c r="AB427">
        <f t="shared" si="102"/>
        <v>2.4952830188679247</v>
      </c>
      <c r="AY427" t="str">
        <v>03/01/2023</v>
      </c>
      <c r="AZ427">
        <v>41.4</v>
      </c>
      <c r="BA427">
        <v>32.9</v>
      </c>
      <c r="BB427">
        <f t="shared" si="103"/>
        <v>1.2583586626139818</v>
      </c>
    </row>
    <row r="428" spans="1:54" x14ac:dyDescent="0.3">
      <c r="A428" s="11">
        <v>44903</v>
      </c>
      <c r="B428">
        <v>0.51384615384615395</v>
      </c>
      <c r="C428">
        <v>3933.92</v>
      </c>
      <c r="D428">
        <v>109.47</v>
      </c>
      <c r="E428">
        <v>1786.04</v>
      </c>
      <c r="F428">
        <v>81.44</v>
      </c>
      <c r="G428">
        <v>46.3</v>
      </c>
      <c r="H428" s="12">
        <f t="shared" si="98"/>
        <v>125.97726310558095</v>
      </c>
      <c r="I428" s="12">
        <f t="shared" si="99"/>
        <v>84.262773565423672</v>
      </c>
      <c r="J428" s="12">
        <f t="shared" si="100"/>
        <v>138.83205089039475</v>
      </c>
      <c r="K428" s="12">
        <f t="shared" si="101"/>
        <v>135.63975453095151</v>
      </c>
      <c r="L428" s="55">
        <v>17.004241983246001</v>
      </c>
      <c r="M428" s="55">
        <v>16.543514174923601</v>
      </c>
      <c r="P428" s="12"/>
      <c r="Q428" s="12"/>
      <c r="R428" s="12"/>
      <c r="S428" s="12"/>
      <c r="T428" s="55">
        <v>14.2693564794249</v>
      </c>
      <c r="U428" s="55">
        <v>13.4754866574545</v>
      </c>
      <c r="V428">
        <v>0.47843397478434002</v>
      </c>
      <c r="W428" s="12"/>
      <c r="X428" s="12"/>
      <c r="Y428" t="str">
        <v>20160722</v>
      </c>
      <c r="Z428">
        <v>53.9</v>
      </c>
      <c r="AA428">
        <v>21.6</v>
      </c>
      <c r="AB428">
        <f t="shared" si="102"/>
        <v>2.4953703703703702</v>
      </c>
      <c r="AY428" t="str">
        <v>02/01/2023</v>
      </c>
      <c r="AZ428">
        <v>41.4</v>
      </c>
      <c r="BA428">
        <v>32.9</v>
      </c>
      <c r="BB428">
        <f t="shared" si="103"/>
        <v>1.2583586626139818</v>
      </c>
    </row>
    <row r="429" spans="1:54" x14ac:dyDescent="0.3">
      <c r="A429" s="11">
        <v>44902</v>
      </c>
      <c r="B429">
        <v>0.52664576802507801</v>
      </c>
      <c r="C429">
        <v>3941.26</v>
      </c>
      <c r="D429">
        <v>106.95</v>
      </c>
      <c r="E429">
        <v>1771.01</v>
      </c>
      <c r="F429">
        <v>81.27</v>
      </c>
      <c r="G429">
        <v>46.38</v>
      </c>
      <c r="H429" s="12">
        <f t="shared" si="98"/>
        <v>129.26376338676252</v>
      </c>
      <c r="I429" s="12">
        <f t="shared" si="99"/>
        <v>85.143930772495381</v>
      </c>
      <c r="J429" s="12">
        <f t="shared" si="100"/>
        <v>139.38319173630629</v>
      </c>
      <c r="K429" s="12">
        <f t="shared" si="101"/>
        <v>135.65840310834122</v>
      </c>
      <c r="L429" s="55">
        <v>17.069712162380899</v>
      </c>
      <c r="M429" s="55">
        <v>16.766881064965101</v>
      </c>
      <c r="P429" s="12"/>
      <c r="Q429" s="12"/>
      <c r="R429" s="12"/>
      <c r="S429" s="12"/>
      <c r="T429" s="55">
        <v>14.4531906486237</v>
      </c>
      <c r="U429" s="55">
        <v>13.889165973917599</v>
      </c>
      <c r="V429">
        <v>0.48538011695906402</v>
      </c>
      <c r="W429" s="12"/>
      <c r="X429" s="12"/>
      <c r="Y429" t="str">
        <v>20160715</v>
      </c>
      <c r="Z429">
        <v>54.4</v>
      </c>
      <c r="AA429">
        <v>23.3</v>
      </c>
      <c r="AB429">
        <f t="shared" si="102"/>
        <v>2.3347639484978537</v>
      </c>
      <c r="AY429" t="str">
        <v>30/12/2022</v>
      </c>
      <c r="AZ429">
        <v>36.6</v>
      </c>
      <c r="BA429">
        <v>33.799999999999997</v>
      </c>
      <c r="BB429">
        <f t="shared" si="103"/>
        <v>1.0828402366863907</v>
      </c>
    </row>
    <row r="430" spans="1:54" x14ac:dyDescent="0.3">
      <c r="A430" s="11">
        <v>44901</v>
      </c>
      <c r="B430">
        <v>0.52500000000000002</v>
      </c>
      <c r="C430">
        <v>3998.84</v>
      </c>
      <c r="D430">
        <v>105.59</v>
      </c>
      <c r="E430">
        <v>1768.44</v>
      </c>
      <c r="F430">
        <v>81.180000000000007</v>
      </c>
      <c r="G430">
        <v>46.57</v>
      </c>
      <c r="H430" s="12">
        <f t="shared" si="98"/>
        <v>132.88886304527941</v>
      </c>
      <c r="I430" s="12">
        <f t="shared" si="99"/>
        <v>86.515410609148603</v>
      </c>
      <c r="J430" s="12">
        <f t="shared" si="100"/>
        <v>141.57877027619179</v>
      </c>
      <c r="K430" s="12">
        <f t="shared" si="101"/>
        <v>137.07289892732911</v>
      </c>
      <c r="L430" s="55">
        <v>17.054570789604501</v>
      </c>
      <c r="M430" s="55">
        <v>16.823313629007298</v>
      </c>
      <c r="P430" s="12"/>
      <c r="Q430" s="12"/>
      <c r="R430" s="12"/>
      <c r="S430" s="12"/>
      <c r="T430" s="55">
        <v>14.5204413902323</v>
      </c>
      <c r="U430" s="55">
        <v>14.088237058457601</v>
      </c>
      <c r="V430">
        <v>0.48530372305682601</v>
      </c>
      <c r="W430" s="12"/>
      <c r="X430" s="12"/>
      <c r="Y430" t="str">
        <v>20160708</v>
      </c>
      <c r="Z430">
        <v>52.5</v>
      </c>
      <c r="AA430">
        <v>24.7</v>
      </c>
      <c r="AB430">
        <f t="shared" si="102"/>
        <v>2.1255060728744941</v>
      </c>
      <c r="AY430" t="str">
        <v>29/12/2022</v>
      </c>
      <c r="AZ430">
        <v>36.6</v>
      </c>
      <c r="BA430">
        <v>33.799999999999997</v>
      </c>
      <c r="BB430">
        <f t="shared" si="103"/>
        <v>1.0828402366863907</v>
      </c>
    </row>
    <row r="431" spans="1:54" x14ac:dyDescent="0.3">
      <c r="A431" s="11">
        <v>44898</v>
      </c>
      <c r="B431">
        <v>0.51289398280802301</v>
      </c>
      <c r="C431">
        <v>4071.7</v>
      </c>
      <c r="D431">
        <v>107.09</v>
      </c>
      <c r="E431">
        <v>1797.95</v>
      </c>
      <c r="F431">
        <v>81.41</v>
      </c>
      <c r="G431">
        <v>47.22</v>
      </c>
      <c r="H431" s="12">
        <f t="shared" si="98"/>
        <v>133.40746262017888</v>
      </c>
      <c r="I431" s="12">
        <f t="shared" si="99"/>
        <v>86.643739384797129</v>
      </c>
      <c r="J431" s="12">
        <f t="shared" si="100"/>
        <v>143.74486741846806</v>
      </c>
      <c r="K431" s="12">
        <f t="shared" si="101"/>
        <v>137.64120459351668</v>
      </c>
      <c r="L431" s="55">
        <v>17.0331652321536</v>
      </c>
      <c r="M431" s="55">
        <v>16.867648376943102</v>
      </c>
      <c r="P431" s="12"/>
      <c r="Q431" s="12"/>
      <c r="R431" s="12"/>
      <c r="S431" s="12"/>
      <c r="T431" s="55">
        <v>14.487045904037601</v>
      </c>
      <c r="U431" s="55">
        <v>14.0840753371687</v>
      </c>
      <c r="V431">
        <v>0.49119373776907999</v>
      </c>
      <c r="W431" s="12"/>
      <c r="X431" s="12"/>
      <c r="Y431" t="str">
        <v>20160701</v>
      </c>
      <c r="Z431">
        <v>47.1</v>
      </c>
      <c r="AA431">
        <v>24.5</v>
      </c>
      <c r="AB431">
        <f t="shared" si="102"/>
        <v>1.9224489795918367</v>
      </c>
      <c r="AY431" t="str">
        <v>28/12/2022</v>
      </c>
      <c r="AZ431">
        <v>36.6</v>
      </c>
      <c r="BA431">
        <v>33.799999999999997</v>
      </c>
      <c r="BB431">
        <f t="shared" si="103"/>
        <v>1.0828402366863907</v>
      </c>
    </row>
    <row r="432" spans="1:54" x14ac:dyDescent="0.3">
      <c r="A432" s="11">
        <v>44897</v>
      </c>
      <c r="B432">
        <v>0.51540616246498605</v>
      </c>
      <c r="C432">
        <v>4076.57</v>
      </c>
      <c r="D432">
        <v>105.76</v>
      </c>
      <c r="E432">
        <v>1803.09</v>
      </c>
      <c r="F432">
        <v>81.430000000000007</v>
      </c>
      <c r="G432">
        <v>47.23</v>
      </c>
      <c r="H432" s="12">
        <f t="shared" si="98"/>
        <v>135.27017002373444</v>
      </c>
      <c r="I432" s="12">
        <f t="shared" si="99"/>
        <v>86.500491961448304</v>
      </c>
      <c r="J432" s="12">
        <f t="shared" si="100"/>
        <v>143.88141405088112</v>
      </c>
      <c r="K432" s="12">
        <f t="shared" si="101"/>
        <v>137.7766255044647</v>
      </c>
      <c r="L432" s="55">
        <v>16.858630308729602</v>
      </c>
      <c r="M432" s="55">
        <v>16.533604310596498</v>
      </c>
      <c r="P432" s="12"/>
      <c r="Q432" s="12"/>
      <c r="R432" s="12"/>
      <c r="S432" s="12"/>
      <c r="T432" s="55">
        <v>14.337904541855099</v>
      </c>
      <c r="U432" s="55">
        <v>13.773739668698701</v>
      </c>
      <c r="V432">
        <v>0.49804941482444698</v>
      </c>
      <c r="W432" s="12"/>
      <c r="X432" s="12"/>
      <c r="Y432" t="str">
        <v>20160624</v>
      </c>
      <c r="Z432">
        <v>41.6</v>
      </c>
      <c r="AA432">
        <v>23.8</v>
      </c>
      <c r="AB432">
        <f t="shared" si="102"/>
        <v>1.7478991596638656</v>
      </c>
      <c r="AY432" t="str">
        <v>27/12/2022</v>
      </c>
      <c r="AZ432">
        <v>36.6</v>
      </c>
      <c r="BA432">
        <v>33.799999999999997</v>
      </c>
      <c r="BB432">
        <f t="shared" si="103"/>
        <v>1.0828402366863907</v>
      </c>
    </row>
    <row r="433" spans="1:54" x14ac:dyDescent="0.3">
      <c r="A433" s="11">
        <v>44895</v>
      </c>
      <c r="B433">
        <v>0.49864498644986399</v>
      </c>
      <c r="C433">
        <v>4080.11</v>
      </c>
      <c r="D433">
        <v>102.73</v>
      </c>
      <c r="E433">
        <v>1768.43</v>
      </c>
      <c r="F433">
        <v>81.42</v>
      </c>
      <c r="G433">
        <v>46.96</v>
      </c>
      <c r="H433" s="12">
        <f t="shared" si="98"/>
        <v>139.50590636501843</v>
      </c>
      <c r="I433" s="12">
        <f t="shared" si="99"/>
        <v>88.307883159686639</v>
      </c>
      <c r="J433" s="12">
        <f t="shared" si="100"/>
        <v>144.02406176296799</v>
      </c>
      <c r="K433" s="12">
        <f t="shared" si="101"/>
        <v>138.69439373778272</v>
      </c>
      <c r="L433" s="55">
        <v>16.818447167085498</v>
      </c>
      <c r="M433" s="55">
        <v>16.499898611966401</v>
      </c>
      <c r="P433" s="12"/>
      <c r="Q433" s="12"/>
      <c r="R433" s="12"/>
      <c r="S433" s="12"/>
      <c r="T433" s="55">
        <v>14.2949677411472</v>
      </c>
      <c r="U433" s="55">
        <v>13.7014892564912</v>
      </c>
      <c r="V433">
        <v>0.5</v>
      </c>
      <c r="W433" s="12"/>
      <c r="X433" s="12"/>
      <c r="Y433" t="str">
        <v>20160617</v>
      </c>
      <c r="Z433">
        <v>47.5</v>
      </c>
      <c r="AA433">
        <v>23.2</v>
      </c>
      <c r="AB433">
        <f t="shared" si="102"/>
        <v>2.0474137931034484</v>
      </c>
      <c r="AY433" t="str">
        <v>26/12/2022</v>
      </c>
      <c r="AZ433">
        <v>36.6</v>
      </c>
      <c r="BA433">
        <v>33.799999999999997</v>
      </c>
      <c r="BB433">
        <f t="shared" si="103"/>
        <v>1.0828402366863907</v>
      </c>
    </row>
    <row r="434" spans="1:54" x14ac:dyDescent="0.3">
      <c r="A434" s="11">
        <v>44895</v>
      </c>
      <c r="B434">
        <v>0.504</v>
      </c>
      <c r="C434">
        <v>3957.63</v>
      </c>
      <c r="D434">
        <v>101.98</v>
      </c>
      <c r="E434">
        <v>1749.73</v>
      </c>
      <c r="F434">
        <v>81.180000000000007</v>
      </c>
      <c r="G434">
        <v>45.99</v>
      </c>
      <c r="H434" s="12">
        <f t="shared" si="98"/>
        <v>136.29034934165614</v>
      </c>
      <c r="I434" s="12">
        <f t="shared" si="99"/>
        <v>86.554254873728055</v>
      </c>
      <c r="J434" s="12">
        <f t="shared" si="100"/>
        <v>140.10239652486871</v>
      </c>
      <c r="K434" s="12">
        <f t="shared" si="101"/>
        <v>137.34072603586705</v>
      </c>
      <c r="L434" s="55">
        <v>16.825026551003301</v>
      </c>
      <c r="M434" s="55">
        <v>16.602725919115599</v>
      </c>
      <c r="P434" s="12"/>
      <c r="Q434" s="12"/>
      <c r="R434" s="12"/>
      <c r="S434" s="12"/>
      <c r="T434" s="55">
        <v>14.2479566376958</v>
      </c>
      <c r="U434" s="55">
        <v>13.6137862503981</v>
      </c>
      <c r="V434">
        <v>0.49640287769784203</v>
      </c>
      <c r="W434" s="12"/>
      <c r="X434" s="12"/>
      <c r="Y434" t="str">
        <v>20160610</v>
      </c>
      <c r="Z434">
        <v>45.9</v>
      </c>
      <c r="AA434">
        <v>23.5</v>
      </c>
      <c r="AB434">
        <f t="shared" si="102"/>
        <v>1.9531914893617022</v>
      </c>
      <c r="AY434" t="str">
        <v>23/12/2022</v>
      </c>
      <c r="AZ434" t="e">
        <v>#N/A</v>
      </c>
      <c r="BA434" t="e">
        <v>#N/A</v>
      </c>
      <c r="BB434" t="str">
        <f t="shared" si="103"/>
        <v/>
      </c>
    </row>
    <row r="435" spans="1:54" x14ac:dyDescent="0.3">
      <c r="A435" s="11">
        <v>44894</v>
      </c>
      <c r="B435">
        <v>0.510695187165775</v>
      </c>
      <c r="C435">
        <v>3963.94</v>
      </c>
      <c r="D435">
        <v>103.19</v>
      </c>
      <c r="E435">
        <v>1741.62</v>
      </c>
      <c r="F435">
        <v>81.209999999999994</v>
      </c>
      <c r="G435">
        <v>45.66</v>
      </c>
      <c r="H435" s="12">
        <f t="shared" si="98"/>
        <v>134.92302698624783</v>
      </c>
      <c r="I435" s="12">
        <f t="shared" si="99"/>
        <v>87.098484057946322</v>
      </c>
      <c r="J435" s="12">
        <f t="shared" si="100"/>
        <v>140.27387262295187</v>
      </c>
      <c r="K435" s="12">
        <f t="shared" si="101"/>
        <v>138.56273616165012</v>
      </c>
      <c r="L435" s="55">
        <v>16.820725854920401</v>
      </c>
      <c r="M435" s="55">
        <v>16.674108209149299</v>
      </c>
      <c r="P435" s="12"/>
      <c r="Q435" s="12"/>
      <c r="R435" s="12"/>
      <c r="S435" s="12"/>
      <c r="T435" s="55">
        <v>14.3798451281993</v>
      </c>
      <c r="U435" s="55">
        <v>14.025911133998701</v>
      </c>
      <c r="V435">
        <v>0.49704142011834301</v>
      </c>
      <c r="W435" s="12"/>
      <c r="X435" s="12"/>
      <c r="Y435" t="str">
        <v>20160603</v>
      </c>
      <c r="Z435">
        <v>47.3</v>
      </c>
      <c r="AA435">
        <v>23.8</v>
      </c>
      <c r="AB435">
        <f t="shared" si="102"/>
        <v>1.9873949579831931</v>
      </c>
      <c r="AY435" t="str">
        <v>22/12/2022</v>
      </c>
      <c r="AZ435" t="e">
        <v>#N/A</v>
      </c>
      <c r="BA435" t="e">
        <v>#N/A</v>
      </c>
      <c r="BB435" t="str">
        <f t="shared" si="103"/>
        <v/>
      </c>
    </row>
    <row r="436" spans="1:54" x14ac:dyDescent="0.3">
      <c r="A436" s="11">
        <v>44891</v>
      </c>
      <c r="B436">
        <v>0.52102803738317804</v>
      </c>
      <c r="C436">
        <v>4026.12</v>
      </c>
      <c r="D436">
        <v>102.9</v>
      </c>
      <c r="E436">
        <v>1754.58</v>
      </c>
      <c r="F436">
        <v>81.19</v>
      </c>
      <c r="G436">
        <v>46.15</v>
      </c>
      <c r="H436" s="12">
        <f t="shared" si="98"/>
        <v>137.43288401780325</v>
      </c>
      <c r="I436" s="12">
        <f t="shared" si="99"/>
        <v>87.806004350276467</v>
      </c>
      <c r="J436" s="12">
        <f t="shared" si="100"/>
        <v>142.50992248940366</v>
      </c>
      <c r="K436" s="12">
        <f t="shared" si="101"/>
        <v>139.23476644027264</v>
      </c>
      <c r="L436" s="55">
        <v>16.8619116115308</v>
      </c>
      <c r="M436" s="55">
        <v>16.8821448896127</v>
      </c>
      <c r="P436" s="12"/>
      <c r="Q436" s="12"/>
      <c r="R436" s="12"/>
      <c r="S436" s="12"/>
      <c r="T436" s="55">
        <v>14.4670188648014</v>
      </c>
      <c r="U436" s="55">
        <v>14.346281195564501</v>
      </c>
      <c r="V436">
        <v>0.49360613810741699</v>
      </c>
      <c r="W436" s="12"/>
      <c r="X436" s="12"/>
      <c r="Y436" t="str">
        <v>20160527</v>
      </c>
      <c r="Z436">
        <v>45.4</v>
      </c>
      <c r="AA436">
        <v>23.7</v>
      </c>
      <c r="AB436">
        <f t="shared" si="102"/>
        <v>1.9156118143459915</v>
      </c>
      <c r="AY436" t="str">
        <v>21/12/2022</v>
      </c>
      <c r="AZ436" t="e">
        <v>#N/A</v>
      </c>
      <c r="BA436" t="e">
        <v>#N/A</v>
      </c>
      <c r="BB436" t="str">
        <f t="shared" si="103"/>
        <v/>
      </c>
    </row>
    <row r="437" spans="1:54" x14ac:dyDescent="0.3">
      <c r="A437" s="11">
        <v>44889</v>
      </c>
      <c r="B437">
        <v>0.52193995381062397</v>
      </c>
      <c r="C437">
        <v>4027.26</v>
      </c>
      <c r="D437">
        <v>103.25</v>
      </c>
      <c r="E437">
        <v>1749.62</v>
      </c>
      <c r="F437">
        <v>81.180000000000007</v>
      </c>
      <c r="G437">
        <v>46.04</v>
      </c>
      <c r="H437" s="12">
        <f t="shared" si="98"/>
        <v>137.00723546874499</v>
      </c>
      <c r="I437" s="12">
        <f t="shared" si="99"/>
        <v>88.080637325721156</v>
      </c>
      <c r="J437" s="12">
        <f t="shared" si="100"/>
        <v>142.56784123405885</v>
      </c>
      <c r="K437" s="12">
        <f t="shared" si="101"/>
        <v>139.60784014079837</v>
      </c>
      <c r="L437" s="55">
        <v>16.8140088092191</v>
      </c>
      <c r="M437" s="55">
        <v>16.827365198235601</v>
      </c>
      <c r="P437" s="12"/>
      <c r="Q437" s="12"/>
      <c r="R437" s="12"/>
      <c r="S437" s="12"/>
      <c r="T437" s="55">
        <v>14.3872966268657</v>
      </c>
      <c r="U437" s="55">
        <v>14.1514000600709</v>
      </c>
      <c r="V437">
        <v>0.481835564053537</v>
      </c>
      <c r="W437" s="12"/>
      <c r="X437" s="12"/>
      <c r="Y437" t="str">
        <v>20160520</v>
      </c>
      <c r="Z437">
        <v>35.4</v>
      </c>
      <c r="AA437">
        <v>24</v>
      </c>
      <c r="AB437">
        <f t="shared" si="102"/>
        <v>1.4749999999999999</v>
      </c>
      <c r="AY437" t="str">
        <v>20/12/2022</v>
      </c>
      <c r="AZ437" t="e">
        <v>#N/A</v>
      </c>
      <c r="BA437" t="e">
        <v>#N/A</v>
      </c>
      <c r="BB437" t="str">
        <f t="shared" si="103"/>
        <v/>
      </c>
    </row>
    <row r="438" spans="1:54" x14ac:dyDescent="0.3">
      <c r="A438" s="11">
        <v>44888</v>
      </c>
      <c r="B438">
        <v>0.51972157772621796</v>
      </c>
      <c r="C438">
        <v>4003.58</v>
      </c>
      <c r="D438">
        <v>101.48</v>
      </c>
      <c r="E438">
        <v>1739.84</v>
      </c>
      <c r="F438">
        <v>81.11</v>
      </c>
      <c r="G438">
        <v>45.6</v>
      </c>
      <c r="H438" s="12">
        <f t="shared" si="98"/>
        <v>138.60495616122148</v>
      </c>
      <c r="I438" s="12">
        <f t="shared" si="99"/>
        <v>88.054793262381423</v>
      </c>
      <c r="J438" s="12">
        <f t="shared" si="100"/>
        <v>141.85125397549336</v>
      </c>
      <c r="K438" s="12">
        <f t="shared" si="101"/>
        <v>140.1311482085147</v>
      </c>
      <c r="L438" s="55">
        <v>16.7144242296323</v>
      </c>
      <c r="M438" s="55">
        <v>16.5694579425782</v>
      </c>
      <c r="P438" s="12"/>
      <c r="Q438" s="12"/>
      <c r="R438" s="12"/>
      <c r="S438" s="12"/>
      <c r="T438" s="55">
        <v>14.231331065532</v>
      </c>
      <c r="U438" s="55">
        <v>13.646032066536501</v>
      </c>
      <c r="V438">
        <v>0.48036059240180301</v>
      </c>
      <c r="W438" s="12"/>
      <c r="X438" s="12"/>
      <c r="Y438" t="str">
        <v>20160513</v>
      </c>
      <c r="Z438">
        <v>40.200000000000003</v>
      </c>
      <c r="AA438">
        <v>21.7</v>
      </c>
      <c r="AB438">
        <f t="shared" si="102"/>
        <v>1.8525345622119818</v>
      </c>
      <c r="AY438" t="str">
        <v>19/12/2022</v>
      </c>
      <c r="AZ438" t="e">
        <v>#N/A</v>
      </c>
      <c r="BA438" t="e">
        <v>#N/A</v>
      </c>
      <c r="BB438" t="str">
        <f t="shared" si="103"/>
        <v/>
      </c>
    </row>
    <row r="439" spans="1:54" x14ac:dyDescent="0.3">
      <c r="A439" s="11">
        <v>44887</v>
      </c>
      <c r="B439">
        <v>0.51748251748251795</v>
      </c>
      <c r="C439">
        <v>3949.94</v>
      </c>
      <c r="D439">
        <v>100.06</v>
      </c>
      <c r="E439">
        <v>1738.03</v>
      </c>
      <c r="F439">
        <v>81.05</v>
      </c>
      <c r="G439">
        <v>45.11</v>
      </c>
      <c r="H439" s="12">
        <f t="shared" si="98"/>
        <v>138.68976939268452</v>
      </c>
      <c r="I439" s="12">
        <f t="shared" si="99"/>
        <v>86.964386462229797</v>
      </c>
      <c r="J439" s="12">
        <f t="shared" si="100"/>
        <v>140.05301951516319</v>
      </c>
      <c r="K439" s="12">
        <f t="shared" si="101"/>
        <v>139.75135759888761</v>
      </c>
      <c r="L439" s="55">
        <v>16.744482435229902</v>
      </c>
      <c r="M439" s="55">
        <v>16.768402828255599</v>
      </c>
      <c r="P439" s="12"/>
      <c r="Q439" s="12"/>
      <c r="R439" s="12"/>
      <c r="S439" s="12"/>
      <c r="T439" s="55">
        <v>14.246022475372801</v>
      </c>
      <c r="U439" s="55">
        <v>13.712971126034899</v>
      </c>
      <c r="V439">
        <v>0.48193548387096802</v>
      </c>
      <c r="W439" s="12"/>
      <c r="X439" s="12"/>
      <c r="Y439" t="str">
        <v>20160506</v>
      </c>
      <c r="Z439">
        <v>39.200000000000003</v>
      </c>
      <c r="AA439">
        <v>21.6</v>
      </c>
      <c r="AB439">
        <f t="shared" si="102"/>
        <v>1.8148148148148149</v>
      </c>
      <c r="AY439" t="str">
        <v>16/12/2022</v>
      </c>
      <c r="AZ439">
        <v>37.5</v>
      </c>
      <c r="BA439">
        <v>33.299999999999997</v>
      </c>
      <c r="BB439">
        <f t="shared" si="103"/>
        <v>1.1261261261261262</v>
      </c>
    </row>
    <row r="440" spans="1:54" x14ac:dyDescent="0.3">
      <c r="A440" s="11">
        <v>44884</v>
      </c>
      <c r="B440">
        <v>0.51991150442477896</v>
      </c>
      <c r="C440">
        <v>3965.34</v>
      </c>
      <c r="D440">
        <v>99.64</v>
      </c>
      <c r="E440">
        <v>1749.97</v>
      </c>
      <c r="F440">
        <v>81.069999999999993</v>
      </c>
      <c r="G440">
        <v>45.45</v>
      </c>
      <c r="H440" s="12">
        <f t="shared" si="98"/>
        <v>139.82216484266857</v>
      </c>
      <c r="I440" s="12">
        <f t="shared" si="99"/>
        <v>86.709519241743251</v>
      </c>
      <c r="J440" s="12">
        <f t="shared" si="100"/>
        <v>140.56424485081467</v>
      </c>
      <c r="K440" s="12">
        <f t="shared" si="101"/>
        <v>139.25046029292133</v>
      </c>
      <c r="L440" s="55">
        <v>16.644032358040501</v>
      </c>
      <c r="M440" s="55">
        <v>16.455271624745102</v>
      </c>
      <c r="P440" s="12"/>
      <c r="Q440" s="12"/>
      <c r="R440" s="12"/>
      <c r="S440" s="12"/>
      <c r="T440" s="55">
        <v>14.2649455112581</v>
      </c>
      <c r="U440" s="55">
        <v>13.813815467006</v>
      </c>
      <c r="V440">
        <v>0.47634271099744202</v>
      </c>
      <c r="W440" s="12"/>
      <c r="X440" s="12"/>
      <c r="Y440" t="str">
        <v>20160429</v>
      </c>
      <c r="Z440">
        <v>40.200000000000003</v>
      </c>
      <c r="AA440">
        <v>21.7</v>
      </c>
      <c r="AB440">
        <f t="shared" si="102"/>
        <v>1.8525345622119818</v>
      </c>
      <c r="AY440" t="str">
        <v>15/12/2022</v>
      </c>
      <c r="AZ440">
        <v>37.5</v>
      </c>
      <c r="BA440">
        <v>33.299999999999997</v>
      </c>
      <c r="BB440">
        <f t="shared" si="103"/>
        <v>1.1261261261261262</v>
      </c>
    </row>
    <row r="441" spans="1:54" x14ac:dyDescent="0.3">
      <c r="A441" s="11">
        <v>44883</v>
      </c>
      <c r="B441">
        <v>0.50450450450450401</v>
      </c>
      <c r="C441">
        <v>3946.56</v>
      </c>
      <c r="D441">
        <v>100.33</v>
      </c>
      <c r="E441">
        <v>1760.5</v>
      </c>
      <c r="F441">
        <v>81.16</v>
      </c>
      <c r="G441">
        <v>45.51</v>
      </c>
      <c r="H441" s="12">
        <f t="shared" si="98"/>
        <v>138.21392428142954</v>
      </c>
      <c r="I441" s="12">
        <f t="shared" si="99"/>
        <v>85.788168901911845</v>
      </c>
      <c r="J441" s="12">
        <f t="shared" si="100"/>
        <v>139.74429586467397</v>
      </c>
      <c r="K441" s="12">
        <f t="shared" si="101"/>
        <v>138.40935135427679</v>
      </c>
      <c r="L441" s="55">
        <v>16.6555109697969</v>
      </c>
      <c r="M441" s="55">
        <v>16.568610966889601</v>
      </c>
      <c r="P441" s="12"/>
      <c r="Q441" s="12"/>
      <c r="R441" s="12"/>
      <c r="S441" s="12"/>
      <c r="T441" s="55">
        <v>14.299786278525101</v>
      </c>
      <c r="U441" s="55">
        <v>13.993286873442299</v>
      </c>
      <c r="V441">
        <v>0.47579617834394899</v>
      </c>
      <c r="W441" s="12"/>
      <c r="X441" s="12"/>
      <c r="Y441" t="str">
        <v>20160422</v>
      </c>
      <c r="Z441">
        <v>44.3</v>
      </c>
      <c r="AA441">
        <v>20.6</v>
      </c>
      <c r="AB441">
        <f t="shared" si="102"/>
        <v>2.1504854368932036</v>
      </c>
      <c r="AY441" t="str">
        <v>14/12/2022</v>
      </c>
      <c r="AZ441">
        <v>37.5</v>
      </c>
      <c r="BA441">
        <v>33.299999999999997</v>
      </c>
      <c r="BB441">
        <f t="shared" si="103"/>
        <v>1.1261261261261262</v>
      </c>
    </row>
    <row r="442" spans="1:54" x14ac:dyDescent="0.3">
      <c r="A442" s="11">
        <v>44882</v>
      </c>
      <c r="B442">
        <v>0.49551569506726501</v>
      </c>
      <c r="C442">
        <v>3958.79</v>
      </c>
      <c r="D442">
        <v>101.4</v>
      </c>
      <c r="E442">
        <v>1773.12</v>
      </c>
      <c r="F442">
        <v>81.260000000000005</v>
      </c>
      <c r="G442">
        <v>45.49</v>
      </c>
      <c r="H442" s="12">
        <f t="shared" si="98"/>
        <v>137.19008286338644</v>
      </c>
      <c r="I442" s="12">
        <f t="shared" si="99"/>
        <v>85.443994529493551</v>
      </c>
      <c r="J442" s="12">
        <f t="shared" si="100"/>
        <v>140.00452367701274</v>
      </c>
      <c r="K442" s="12">
        <f t="shared" si="101"/>
        <v>138.89952567844941</v>
      </c>
      <c r="L442" s="55">
        <v>16.596436430053799</v>
      </c>
      <c r="M442" s="55">
        <v>16.352895089661899</v>
      </c>
      <c r="P442" s="12"/>
      <c r="Q442" s="12"/>
      <c r="R442" s="12"/>
      <c r="S442" s="12"/>
      <c r="T442" s="55">
        <v>14.2773515238868</v>
      </c>
      <c r="U442" s="55">
        <v>13.916958731109499</v>
      </c>
      <c r="V442">
        <v>0.46551724137931</v>
      </c>
      <c r="W442" s="12"/>
      <c r="X442" s="12"/>
      <c r="Y442" t="str">
        <v>20160415</v>
      </c>
      <c r="Z442">
        <v>47.4</v>
      </c>
      <c r="AA442">
        <v>21.7</v>
      </c>
      <c r="AB442">
        <f t="shared" si="102"/>
        <v>2.1843317972350231</v>
      </c>
      <c r="AY442" t="str">
        <v>13/12/2022</v>
      </c>
      <c r="AZ442">
        <v>37.5</v>
      </c>
      <c r="BA442">
        <v>33.299999999999997</v>
      </c>
      <c r="BB442">
        <f t="shared" si="103"/>
        <v>1.1261261261261262</v>
      </c>
    </row>
    <row r="443" spans="1:54" x14ac:dyDescent="0.3">
      <c r="A443" s="11">
        <v>44881</v>
      </c>
      <c r="B443">
        <v>0.49095022624434398</v>
      </c>
      <c r="C443">
        <v>3991.73</v>
      </c>
      <c r="D443">
        <v>99.23</v>
      </c>
      <c r="E443">
        <v>1778.97</v>
      </c>
      <c r="F443">
        <v>81.25</v>
      </c>
      <c r="G443">
        <v>45.78</v>
      </c>
      <c r="H443" s="12">
        <f t="shared" si="98"/>
        <v>141.45063945300677</v>
      </c>
      <c r="I443" s="12">
        <f t="shared" si="99"/>
        <v>85.870223528850573</v>
      </c>
      <c r="J443" s="12">
        <f t="shared" si="100"/>
        <v>141.18698416156698</v>
      </c>
      <c r="K443" s="12">
        <f t="shared" si="101"/>
        <v>139.16636565982856</v>
      </c>
      <c r="L443" s="55">
        <v>16.557935132455299</v>
      </c>
      <c r="M443" s="55">
        <v>16.194101372909799</v>
      </c>
      <c r="P443" s="12"/>
      <c r="Q443" s="12"/>
      <c r="R443" s="12"/>
      <c r="S443" s="12"/>
      <c r="T443" s="55">
        <v>14.2604674906657</v>
      </c>
      <c r="U443" s="55">
        <v>13.844352546322099</v>
      </c>
      <c r="V443">
        <v>0.46975546975547</v>
      </c>
      <c r="W443" s="12"/>
      <c r="X443" s="12"/>
      <c r="Y443" t="str">
        <v>20160408</v>
      </c>
      <c r="Z443">
        <v>41.2</v>
      </c>
      <c r="AA443">
        <v>27.8</v>
      </c>
      <c r="AB443">
        <f t="shared" si="102"/>
        <v>1.4820143884892087</v>
      </c>
      <c r="AY443" t="str">
        <v>12/12/2022</v>
      </c>
      <c r="AZ443">
        <v>37.5</v>
      </c>
      <c r="BA443">
        <v>33.299999999999997</v>
      </c>
      <c r="BB443">
        <f t="shared" si="103"/>
        <v>1.1261261261261262</v>
      </c>
    </row>
    <row r="444" spans="1:54" x14ac:dyDescent="0.3">
      <c r="A444" s="11">
        <v>44880</v>
      </c>
      <c r="B444">
        <v>0.48974943052391801</v>
      </c>
      <c r="C444">
        <v>3957.25</v>
      </c>
      <c r="D444">
        <v>97.65</v>
      </c>
      <c r="E444">
        <v>1770.94</v>
      </c>
      <c r="F444">
        <v>81.17</v>
      </c>
      <c r="G444">
        <v>45.31</v>
      </c>
      <c r="H444" s="12">
        <f t="shared" si="98"/>
        <v>142.51481382151161</v>
      </c>
      <c r="I444" s="12">
        <f t="shared" si="99"/>
        <v>85.512881753316279</v>
      </c>
      <c r="J444" s="12">
        <f t="shared" si="100"/>
        <v>140.10432300684525</v>
      </c>
      <c r="K444" s="12">
        <f t="shared" si="101"/>
        <v>139.397747046852</v>
      </c>
      <c r="L444" s="55">
        <v>16.5876422042688</v>
      </c>
      <c r="M444" s="55">
        <v>15.7675348495092</v>
      </c>
      <c r="P444" s="12"/>
      <c r="Q444" s="12"/>
      <c r="R444" s="12"/>
      <c r="S444" s="12"/>
      <c r="T444" s="55">
        <v>14.169277111919101</v>
      </c>
      <c r="U444" s="55">
        <v>13.277705351202799</v>
      </c>
      <c r="V444">
        <v>0.464889466840052</v>
      </c>
      <c r="W444" s="12"/>
      <c r="X444" s="12"/>
      <c r="Y444" t="str">
        <v>20160401</v>
      </c>
      <c r="Z444">
        <v>45.4</v>
      </c>
      <c r="AA444">
        <v>27.8</v>
      </c>
      <c r="AB444">
        <f t="shared" si="102"/>
        <v>1.633093525179856</v>
      </c>
      <c r="AY444" t="str">
        <v>09/12/2022</v>
      </c>
      <c r="AZ444">
        <v>42.9</v>
      </c>
      <c r="BA444">
        <v>31.4</v>
      </c>
      <c r="BB444">
        <f t="shared" si="103"/>
        <v>1.3662420382165605</v>
      </c>
    </row>
    <row r="445" spans="1:54" x14ac:dyDescent="0.3">
      <c r="A445" s="11">
        <v>44877</v>
      </c>
      <c r="B445">
        <v>0.48089887640449402</v>
      </c>
      <c r="C445">
        <v>3992.93</v>
      </c>
      <c r="D445">
        <v>97.89</v>
      </c>
      <c r="E445">
        <v>1770.7</v>
      </c>
      <c r="F445">
        <v>81.239999999999995</v>
      </c>
      <c r="G445">
        <v>45.71</v>
      </c>
      <c r="H445" s="12">
        <f t="shared" si="98"/>
        <v>143.44491964299084</v>
      </c>
      <c r="I445" s="12">
        <f t="shared" si="99"/>
        <v>86.29569882848439</v>
      </c>
      <c r="J445" s="12">
        <f t="shared" si="100"/>
        <v>141.24475426973325</v>
      </c>
      <c r="K445" s="12">
        <f t="shared" si="101"/>
        <v>139.42353672406094</v>
      </c>
      <c r="L445" s="55">
        <v>16.336714597937299</v>
      </c>
      <c r="M445" s="55">
        <v>15.5089335792987</v>
      </c>
      <c r="P445" s="12"/>
      <c r="Q445" s="12"/>
      <c r="R445" s="12"/>
      <c r="S445" s="12"/>
      <c r="T445" s="55">
        <v>13.960906382206201</v>
      </c>
      <c r="U445" s="55">
        <v>13.083531638846299</v>
      </c>
      <c r="V445">
        <v>0.462686567164179</v>
      </c>
      <c r="W445" s="12"/>
      <c r="X445" s="12"/>
      <c r="Y445" t="str">
        <v>20160325</v>
      </c>
      <c r="Z445">
        <v>43.3</v>
      </c>
      <c r="AA445">
        <v>28.9</v>
      </c>
      <c r="AB445">
        <f t="shared" si="102"/>
        <v>1.4982698961937717</v>
      </c>
      <c r="AY445" t="str">
        <v>08/12/2022</v>
      </c>
      <c r="AZ445">
        <v>42.9</v>
      </c>
      <c r="BA445">
        <v>31.4</v>
      </c>
      <c r="BB445">
        <f t="shared" si="103"/>
        <v>1.3662420382165605</v>
      </c>
    </row>
    <row r="446" spans="1:54" x14ac:dyDescent="0.3">
      <c r="A446" s="11">
        <v>44876</v>
      </c>
      <c r="B446">
        <v>0.47544642857142899</v>
      </c>
      <c r="C446">
        <v>3956.37</v>
      </c>
      <c r="D446">
        <v>98.25</v>
      </c>
      <c r="E446">
        <v>1755.62</v>
      </c>
      <c r="F446">
        <v>81.260000000000005</v>
      </c>
      <c r="G446">
        <v>44.81</v>
      </c>
      <c r="H446" s="12">
        <f t="shared" si="98"/>
        <v>141.61735950068157</v>
      </c>
      <c r="I446" s="12">
        <f t="shared" si="99"/>
        <v>86.239536550139277</v>
      </c>
      <c r="J446" s="12">
        <f t="shared" si="100"/>
        <v>139.91736972436223</v>
      </c>
      <c r="K446" s="12">
        <f t="shared" si="101"/>
        <v>140.95202165047337</v>
      </c>
      <c r="L446" s="55">
        <v>15.888283854804</v>
      </c>
      <c r="M446" s="55">
        <v>15.0787681713265</v>
      </c>
      <c r="P446" s="12"/>
      <c r="Q446" s="12"/>
      <c r="R446" s="12"/>
      <c r="S446" s="12"/>
      <c r="T446" s="55">
        <v>13.28918585207</v>
      </c>
      <c r="U446" s="55">
        <v>12.4765929268736</v>
      </c>
      <c r="V446">
        <v>0.45792563600782799</v>
      </c>
      <c r="W446" s="12"/>
      <c r="X446" s="12"/>
      <c r="Y446" t="str">
        <v>20160318</v>
      </c>
      <c r="Z446">
        <v>47.4</v>
      </c>
      <c r="AA446">
        <v>27.8</v>
      </c>
      <c r="AB446">
        <f t="shared" si="102"/>
        <v>1.7050359712230214</v>
      </c>
      <c r="AY446" t="str">
        <v>07/12/2022</v>
      </c>
      <c r="AZ446">
        <v>42.9</v>
      </c>
      <c r="BA446">
        <v>31.4</v>
      </c>
      <c r="BB446">
        <f t="shared" si="103"/>
        <v>1.3662420382165605</v>
      </c>
    </row>
    <row r="447" spans="1:54" x14ac:dyDescent="0.3">
      <c r="A447" s="11">
        <v>44875</v>
      </c>
      <c r="B447">
        <v>0.456375838926175</v>
      </c>
      <c r="C447">
        <v>3748.57</v>
      </c>
      <c r="D447">
        <v>94.61</v>
      </c>
      <c r="E447">
        <v>1706.92</v>
      </c>
      <c r="F447">
        <v>80.819999999999993</v>
      </c>
      <c r="G447">
        <v>42.64</v>
      </c>
      <c r="H447" s="12">
        <f t="shared" si="98"/>
        <v>139.25548371684235</v>
      </c>
      <c r="I447" s="12">
        <f t="shared" si="99"/>
        <v>83.980171704752976</v>
      </c>
      <c r="J447" s="12">
        <f t="shared" si="100"/>
        <v>133.25587198966133</v>
      </c>
      <c r="K447" s="12">
        <f t="shared" si="101"/>
        <v>140.31453199037503</v>
      </c>
      <c r="L447" s="55">
        <v>16.002905714809</v>
      </c>
      <c r="M447" s="55">
        <v>15.181494494657199</v>
      </c>
      <c r="P447" s="12"/>
      <c r="Q447" s="12"/>
      <c r="R447" s="12"/>
      <c r="S447" s="12"/>
      <c r="T447" s="55">
        <v>13.960262914457401</v>
      </c>
      <c r="U447" s="55">
        <v>13.125668239858101</v>
      </c>
      <c r="V447">
        <v>0.45958279009126501</v>
      </c>
      <c r="W447" s="12"/>
      <c r="X447" s="12"/>
      <c r="Y447" t="str">
        <v>20160311</v>
      </c>
      <c r="Z447">
        <v>44.4</v>
      </c>
      <c r="AA447">
        <v>30.3</v>
      </c>
      <c r="AB447">
        <f t="shared" si="102"/>
        <v>1.4653465346534653</v>
      </c>
      <c r="AY447" t="str">
        <v>06/12/2022</v>
      </c>
      <c r="AZ447">
        <v>42.9</v>
      </c>
      <c r="BA447">
        <v>31.4</v>
      </c>
      <c r="BB447">
        <f t="shared" si="103"/>
        <v>1.3662420382165605</v>
      </c>
    </row>
    <row r="448" spans="1:54" x14ac:dyDescent="0.3">
      <c r="A448" s="11">
        <v>44874</v>
      </c>
      <c r="B448">
        <v>0.457399103139013</v>
      </c>
      <c r="C448">
        <v>3828.11</v>
      </c>
      <c r="D448">
        <v>94.3</v>
      </c>
      <c r="E448">
        <v>1712.41</v>
      </c>
      <c r="F448">
        <v>80.69</v>
      </c>
      <c r="G448">
        <v>43.33</v>
      </c>
      <c r="H448" s="12">
        <f t="shared" si="98"/>
        <v>142.68933949032339</v>
      </c>
      <c r="I448" s="12">
        <f t="shared" si="99"/>
        <v>85.482254723049607</v>
      </c>
      <c r="J448" s="12">
        <f t="shared" si="100"/>
        <v>136.30766171423724</v>
      </c>
      <c r="K448" s="12">
        <f t="shared" si="101"/>
        <v>140.99888069823263</v>
      </c>
      <c r="L448" s="55">
        <v>16.577763657153099</v>
      </c>
      <c r="M448" s="55">
        <v>15.653022285311501</v>
      </c>
      <c r="P448" s="12"/>
      <c r="Q448" s="12"/>
      <c r="R448" s="12"/>
      <c r="S448" s="12"/>
      <c r="T448" s="55">
        <v>14.2930656958917</v>
      </c>
      <c r="U448" s="55">
        <v>13.4288777054993</v>
      </c>
      <c r="V448">
        <v>0.45718050065876198</v>
      </c>
      <c r="W448" s="12"/>
      <c r="X448" s="12"/>
      <c r="Y448" t="str">
        <v>20160304</v>
      </c>
      <c r="Z448">
        <v>39.4</v>
      </c>
      <c r="AA448">
        <v>35.4</v>
      </c>
      <c r="AB448">
        <f t="shared" si="102"/>
        <v>1.1129943502824859</v>
      </c>
      <c r="AY448" t="str">
        <v>05/12/2022</v>
      </c>
      <c r="AZ448">
        <v>42.9</v>
      </c>
      <c r="BA448">
        <v>31.4</v>
      </c>
      <c r="BB448">
        <f t="shared" si="103"/>
        <v>1.3662420382165605</v>
      </c>
    </row>
    <row r="449" spans="1:54" x14ac:dyDescent="0.3">
      <c r="A449" s="11">
        <v>44873</v>
      </c>
      <c r="B449">
        <v>0.45393258426966299</v>
      </c>
      <c r="C449">
        <v>3806.8</v>
      </c>
      <c r="D449">
        <v>93.28</v>
      </c>
      <c r="E449">
        <v>1675.39</v>
      </c>
      <c r="F449">
        <v>80.61</v>
      </c>
      <c r="G449">
        <v>42.89</v>
      </c>
      <c r="H449" s="12">
        <f t="shared" si="98"/>
        <v>143.45495029917143</v>
      </c>
      <c r="I449" s="12">
        <f t="shared" si="99"/>
        <v>86.91623971683903</v>
      </c>
      <c r="J449" s="12">
        <f t="shared" si="100"/>
        <v>135.68278215319748</v>
      </c>
      <c r="K449" s="12">
        <f t="shared" si="101"/>
        <v>141.65914321325283</v>
      </c>
      <c r="L449" s="55">
        <v>16.260655478361699</v>
      </c>
      <c r="M449" s="55">
        <v>15.2646709671459</v>
      </c>
      <c r="P449" s="12"/>
      <c r="Q449" s="12"/>
      <c r="R449" s="12"/>
      <c r="S449" s="12"/>
      <c r="T449" s="55">
        <v>13.868710003671399</v>
      </c>
      <c r="U449" s="55">
        <v>12.9899711316184</v>
      </c>
      <c r="V449">
        <v>0.456536164565362</v>
      </c>
      <c r="W449" s="12"/>
      <c r="X449" s="12"/>
      <c r="Y449" t="str">
        <v>20160226</v>
      </c>
      <c r="Z449">
        <v>36.4</v>
      </c>
      <c r="AA449">
        <v>34.299999999999997</v>
      </c>
      <c r="AB449">
        <f t="shared" si="102"/>
        <v>1.0612244897959184</v>
      </c>
      <c r="AY449" t="str">
        <v>02/12/2022</v>
      </c>
      <c r="AZ449">
        <v>43.3</v>
      </c>
      <c r="BA449">
        <v>32.4</v>
      </c>
      <c r="BB449">
        <f t="shared" si="103"/>
        <v>1.3364197530864197</v>
      </c>
    </row>
    <row r="450" spans="1:54" x14ac:dyDescent="0.3">
      <c r="A450" s="11">
        <v>44870</v>
      </c>
      <c r="B450">
        <v>0.44273127753303998</v>
      </c>
      <c r="C450">
        <v>3770.55</v>
      </c>
      <c r="D450">
        <v>94.22</v>
      </c>
      <c r="E450">
        <v>1681.27</v>
      </c>
      <c r="F450">
        <v>80.680000000000007</v>
      </c>
      <c r="G450">
        <v>42.79</v>
      </c>
      <c r="H450" s="12">
        <f t="shared" ref="H450:H513" si="104">H451*(1+((C450/C451)-(D450/D451)))</f>
        <v>140.69857620816148</v>
      </c>
      <c r="I450" s="12">
        <f t="shared" ref="I450:I513" si="105">I451*(1+((C450/C451)-(E450/E451)))</f>
        <v>85.791399660353719</v>
      </c>
      <c r="J450" s="12">
        <f t="shared" si="100"/>
        <v>134.27536056297816</v>
      </c>
      <c r="K450" s="12">
        <f t="shared" si="101"/>
        <v>140.63573871182373</v>
      </c>
      <c r="L450" s="55">
        <v>16.025907404828502</v>
      </c>
      <c r="M450" s="55">
        <v>14.976524572107399</v>
      </c>
      <c r="P450" s="12"/>
      <c r="Q450" s="12"/>
      <c r="R450" s="12"/>
      <c r="S450" s="12"/>
      <c r="T450" s="55">
        <v>13.7018793908184</v>
      </c>
      <c r="U450" s="55">
        <v>12.7930584875538</v>
      </c>
      <c r="V450">
        <v>0.45430637738329999</v>
      </c>
      <c r="W450" s="12"/>
      <c r="X450" s="12"/>
      <c r="Y450" t="str">
        <v>20160219</v>
      </c>
      <c r="Z450">
        <v>34.700000000000003</v>
      </c>
      <c r="AA450">
        <v>35.700000000000003</v>
      </c>
      <c r="AB450">
        <f t="shared" si="102"/>
        <v>0.97198879551820727</v>
      </c>
      <c r="AY450" t="str">
        <v>01/12/2022</v>
      </c>
      <c r="AZ450">
        <v>43.3</v>
      </c>
      <c r="BA450">
        <v>32.4</v>
      </c>
      <c r="BB450">
        <f t="shared" si="103"/>
        <v>1.3364197530864197</v>
      </c>
    </row>
    <row r="451" spans="1:54" x14ac:dyDescent="0.3">
      <c r="A451" s="11">
        <v>44869</v>
      </c>
      <c r="B451">
        <v>0.42152466367712998</v>
      </c>
      <c r="C451">
        <v>3719.89</v>
      </c>
      <c r="D451">
        <v>95.83</v>
      </c>
      <c r="E451">
        <v>1629.41</v>
      </c>
      <c r="F451">
        <v>80.59</v>
      </c>
      <c r="G451">
        <v>41.15</v>
      </c>
      <c r="H451" s="12">
        <f t="shared" si="104"/>
        <v>136.54497811052588</v>
      </c>
      <c r="I451" s="12">
        <f t="shared" si="105"/>
        <v>87.382529707875634</v>
      </c>
      <c r="J451" s="12">
        <f t="shared" ref="J451:J514" si="106">J452*(1+((C451/C452)-(F451/F452)))</f>
        <v>132.61738878907025</v>
      </c>
      <c r="K451" s="12">
        <f t="shared" ref="K451:K514" si="107">K452*(1+((C451/C452)-(G451/G452)))</f>
        <v>144.42479687219623</v>
      </c>
      <c r="L451" s="55">
        <v>16.382050278884499</v>
      </c>
      <c r="M451" s="55">
        <v>15.195466016931</v>
      </c>
      <c r="P451" s="12"/>
      <c r="Q451" s="12"/>
      <c r="R451" s="12"/>
      <c r="S451" s="12"/>
      <c r="T451" s="55">
        <v>14.0595072219849</v>
      </c>
      <c r="U451" s="55">
        <v>13.037283076251301</v>
      </c>
      <c r="V451">
        <v>0.45814106789716502</v>
      </c>
      <c r="W451" s="12"/>
      <c r="X451" s="12"/>
      <c r="Y451" t="str">
        <v>20160212</v>
      </c>
      <c r="Z451">
        <v>26.5</v>
      </c>
      <c r="AA451">
        <v>39.799999999999997</v>
      </c>
      <c r="AB451">
        <f t="shared" si="102"/>
        <v>0.66582914572864327</v>
      </c>
      <c r="AY451" t="str">
        <v>30/11/2022</v>
      </c>
      <c r="AZ451">
        <v>43.3</v>
      </c>
      <c r="BA451">
        <v>32.4</v>
      </c>
      <c r="BB451">
        <f t="shared" si="103"/>
        <v>1.3364197530864197</v>
      </c>
    </row>
    <row r="452" spans="1:54" x14ac:dyDescent="0.3">
      <c r="A452" s="11">
        <v>44868</v>
      </c>
      <c r="B452">
        <v>0.40990990990991</v>
      </c>
      <c r="C452">
        <v>3759.69</v>
      </c>
      <c r="D452">
        <v>96.35</v>
      </c>
      <c r="E452">
        <v>1635.16</v>
      </c>
      <c r="F452">
        <v>80.739999999999995</v>
      </c>
      <c r="G452">
        <v>41.31</v>
      </c>
      <c r="H452" s="12">
        <f t="shared" si="104"/>
        <v>137.25720423664595</v>
      </c>
      <c r="I452" s="12">
        <f t="shared" si="105"/>
        <v>88.00467911347414</v>
      </c>
      <c r="J452" s="12">
        <f t="shared" si="106"/>
        <v>133.78508696266204</v>
      </c>
      <c r="K452" s="12">
        <f t="shared" si="107"/>
        <v>145.40084730969065</v>
      </c>
      <c r="L452" s="55">
        <v>17.424141935172599</v>
      </c>
      <c r="M452" s="55">
        <v>16.138133575081799</v>
      </c>
      <c r="P452" s="12"/>
      <c r="Q452" s="12"/>
      <c r="R452" s="12"/>
      <c r="S452" s="12"/>
      <c r="T452" s="55">
        <v>14.9596442715394</v>
      </c>
      <c r="U452" s="55">
        <v>13.871062635417999</v>
      </c>
      <c r="V452">
        <v>0.46457219251336901</v>
      </c>
      <c r="W452" s="12"/>
      <c r="X452" s="12"/>
      <c r="Y452" t="str">
        <v>20160205</v>
      </c>
      <c r="Z452">
        <v>24.7</v>
      </c>
      <c r="AA452">
        <v>39.200000000000003</v>
      </c>
      <c r="AB452">
        <f t="shared" si="102"/>
        <v>0.63010204081632648</v>
      </c>
      <c r="AY452" t="str">
        <v>29/11/2022</v>
      </c>
      <c r="AZ452">
        <v>43.3</v>
      </c>
      <c r="BA452">
        <v>32.4</v>
      </c>
      <c r="BB452">
        <f t="shared" si="103"/>
        <v>1.3364197530864197</v>
      </c>
    </row>
    <row r="453" spans="1:54" x14ac:dyDescent="0.3">
      <c r="A453" s="11">
        <v>44867</v>
      </c>
      <c r="B453">
        <v>0.39497716894977197</v>
      </c>
      <c r="C453">
        <v>3856.1</v>
      </c>
      <c r="D453">
        <v>96.77</v>
      </c>
      <c r="E453">
        <v>1647.39</v>
      </c>
      <c r="F453">
        <v>80.78</v>
      </c>
      <c r="G453">
        <v>41.87</v>
      </c>
      <c r="H453" s="12">
        <f t="shared" si="104"/>
        <v>140.15301169240522</v>
      </c>
      <c r="I453" s="12">
        <f t="shared" si="105"/>
        <v>89.57931146644556</v>
      </c>
      <c r="J453" s="12">
        <f t="shared" si="106"/>
        <v>137.14609517086345</v>
      </c>
      <c r="K453" s="12">
        <f t="shared" si="107"/>
        <v>147.11134231850571</v>
      </c>
      <c r="L453" s="55">
        <v>17.5627348238148</v>
      </c>
      <c r="M453" s="55">
        <v>16.273763471973002</v>
      </c>
      <c r="P453" s="12"/>
      <c r="Q453" s="12"/>
      <c r="R453" s="12"/>
      <c r="S453" s="12"/>
      <c r="T453" s="55">
        <v>14.832046375593199</v>
      </c>
      <c r="U453" s="55">
        <v>13.737417181721501</v>
      </c>
      <c r="V453">
        <v>0.46257585974376297</v>
      </c>
      <c r="W453" s="12"/>
      <c r="X453" s="12"/>
      <c r="Y453" t="str">
        <v>20160129</v>
      </c>
      <c r="Z453">
        <v>34</v>
      </c>
      <c r="AA453">
        <v>38.1</v>
      </c>
      <c r="AB453">
        <f t="shared" si="102"/>
        <v>0.89238845144356949</v>
      </c>
      <c r="AY453" t="str">
        <v>28/11/2022</v>
      </c>
      <c r="AZ453">
        <v>43.3</v>
      </c>
      <c r="BA453">
        <v>32.4</v>
      </c>
      <c r="BB453">
        <f t="shared" si="103"/>
        <v>1.3364197530864197</v>
      </c>
    </row>
    <row r="454" spans="1:54" x14ac:dyDescent="0.3">
      <c r="A454" s="11">
        <v>44865</v>
      </c>
      <c r="B454">
        <v>0.37962962962962998</v>
      </c>
      <c r="C454">
        <v>3871.98</v>
      </c>
      <c r="D454">
        <v>96.11</v>
      </c>
      <c r="E454">
        <v>1633.56</v>
      </c>
      <c r="F454">
        <v>81</v>
      </c>
      <c r="G454">
        <v>41.42</v>
      </c>
      <c r="H454" s="12">
        <f t="shared" si="104"/>
        <v>141.70731308926452</v>
      </c>
      <c r="I454" s="12">
        <f t="shared" si="105"/>
        <v>90.719421711077388</v>
      </c>
      <c r="J454" s="12">
        <f t="shared" si="106"/>
        <v>137.33633503752935</v>
      </c>
      <c r="K454" s="12">
        <f t="shared" si="107"/>
        <v>149.34639741968633</v>
      </c>
      <c r="L454" s="55">
        <v>17.119250983001798</v>
      </c>
      <c r="M454" s="55">
        <v>15.856188321028799</v>
      </c>
      <c r="P454" s="12"/>
      <c r="Q454" s="12"/>
      <c r="R454" s="12"/>
      <c r="S454" s="12"/>
      <c r="T454" s="55">
        <v>14.676159281524599</v>
      </c>
      <c r="U454" s="55">
        <v>13.5366712662466</v>
      </c>
      <c r="V454">
        <v>0.46085772634445199</v>
      </c>
      <c r="W454" s="12"/>
      <c r="X454" s="12"/>
      <c r="Y454" t="str">
        <v>20160122</v>
      </c>
      <c r="Z454">
        <v>29.2</v>
      </c>
      <c r="AA454">
        <v>35.4</v>
      </c>
      <c r="AB454">
        <f t="shared" si="102"/>
        <v>0.82485875706214695</v>
      </c>
      <c r="AY454" t="str">
        <v>25/11/2022</v>
      </c>
      <c r="AZ454">
        <v>38.4</v>
      </c>
      <c r="BA454">
        <v>31.5</v>
      </c>
      <c r="BB454">
        <f t="shared" si="103"/>
        <v>1.2190476190476189</v>
      </c>
    </row>
    <row r="455" spans="1:54" x14ac:dyDescent="0.3">
      <c r="A455" s="11">
        <v>44863</v>
      </c>
      <c r="B455">
        <v>0.36489607390300199</v>
      </c>
      <c r="C455">
        <v>3901.06</v>
      </c>
      <c r="D455">
        <v>96.8</v>
      </c>
      <c r="E455">
        <v>1642.76</v>
      </c>
      <c r="F455">
        <v>81.12</v>
      </c>
      <c r="G455">
        <v>41.76</v>
      </c>
      <c r="H455" s="12">
        <f t="shared" si="104"/>
        <v>141.75356515402939</v>
      </c>
      <c r="I455" s="12">
        <f t="shared" si="105"/>
        <v>90.887932759381741</v>
      </c>
      <c r="J455" s="12">
        <f t="shared" si="106"/>
        <v>138.16186520418211</v>
      </c>
      <c r="K455" s="12">
        <f t="shared" si="107"/>
        <v>149.24381046906569</v>
      </c>
      <c r="L455" s="55">
        <v>17.145114751576099</v>
      </c>
      <c r="M455" s="55">
        <v>15.881100877554699</v>
      </c>
      <c r="P455" s="12"/>
      <c r="Q455" s="12"/>
      <c r="R455" s="12"/>
      <c r="S455" s="12"/>
      <c r="T455" s="55">
        <v>14.446019731995699</v>
      </c>
      <c r="U455" s="55">
        <v>13.307993293744101</v>
      </c>
      <c r="V455">
        <v>0.46580907244414399</v>
      </c>
      <c r="W455" s="12"/>
      <c r="X455" s="12"/>
      <c r="Y455" t="str">
        <v>20160115</v>
      </c>
      <c r="Z455">
        <v>26.8</v>
      </c>
      <c r="AA455">
        <v>36.1</v>
      </c>
      <c r="AB455">
        <f t="shared" si="102"/>
        <v>0.74238227146814406</v>
      </c>
      <c r="AY455" t="str">
        <v>24/11/2022</v>
      </c>
      <c r="AZ455">
        <v>38.4</v>
      </c>
      <c r="BA455">
        <v>31.5</v>
      </c>
      <c r="BB455">
        <f t="shared" si="103"/>
        <v>1.2190476190476189</v>
      </c>
    </row>
    <row r="456" spans="1:54" x14ac:dyDescent="0.3">
      <c r="A456" s="11">
        <v>44862</v>
      </c>
      <c r="B456">
        <v>0.36104513064132998</v>
      </c>
      <c r="C456">
        <v>3807.3</v>
      </c>
      <c r="D456">
        <v>97.47</v>
      </c>
      <c r="E456">
        <v>1663.32</v>
      </c>
      <c r="F456">
        <v>81.239999999999995</v>
      </c>
      <c r="G456">
        <v>41.52</v>
      </c>
      <c r="H456" s="12">
        <f t="shared" si="104"/>
        <v>137.42464945223134</v>
      </c>
      <c r="I456" s="12">
        <f t="shared" si="105"/>
        <v>87.646147507587898</v>
      </c>
      <c r="J456" s="12">
        <f t="shared" si="106"/>
        <v>134.647107067603</v>
      </c>
      <c r="K456" s="12">
        <f t="shared" si="107"/>
        <v>146.48318415790527</v>
      </c>
      <c r="L456" s="55">
        <v>17.7789759296878</v>
      </c>
      <c r="M456" s="55">
        <v>16.4985354576297</v>
      </c>
      <c r="P456" s="12"/>
      <c r="Q456" s="12"/>
      <c r="R456" s="12"/>
      <c r="S456" s="12"/>
      <c r="T456" s="55">
        <v>14.9764577104912</v>
      </c>
      <c r="U456" s="55">
        <v>13.6903193924622</v>
      </c>
      <c r="V456">
        <v>0.46064339493497602</v>
      </c>
      <c r="W456" s="12"/>
      <c r="X456" s="12"/>
      <c r="Y456" t="str">
        <v>20160108</v>
      </c>
      <c r="Z456">
        <v>28.6</v>
      </c>
      <c r="AA456">
        <v>35.700000000000003</v>
      </c>
      <c r="AB456">
        <f t="shared" ref="AB456:AB519" si="108">IFERROR(Z456/AA456,"")</f>
        <v>0.80112044817927164</v>
      </c>
      <c r="AY456" t="str">
        <v>23/11/2022</v>
      </c>
      <c r="AZ456">
        <v>38.4</v>
      </c>
      <c r="BA456">
        <v>31.5</v>
      </c>
      <c r="BB456">
        <f t="shared" ref="BB456:BB519" si="109">IFERROR(AZ456/BA456,"")</f>
        <v>1.2190476190476189</v>
      </c>
    </row>
    <row r="457" spans="1:54" x14ac:dyDescent="0.3">
      <c r="A457" s="11">
        <v>44861</v>
      </c>
      <c r="B457">
        <v>0.33975903614457797</v>
      </c>
      <c r="C457">
        <v>3830.6</v>
      </c>
      <c r="D457">
        <v>96.46</v>
      </c>
      <c r="E457">
        <v>1664.83</v>
      </c>
      <c r="F457">
        <v>81.069999999999993</v>
      </c>
      <c r="G457">
        <v>41.86</v>
      </c>
      <c r="H457" s="12">
        <f t="shared" si="104"/>
        <v>139.73776492872889</v>
      </c>
      <c r="I457" s="12">
        <f t="shared" si="105"/>
        <v>88.10212875415607</v>
      </c>
      <c r="J457" s="12">
        <f t="shared" si="106"/>
        <v>135.75754285054734</v>
      </c>
      <c r="K457" s="12">
        <f t="shared" si="107"/>
        <v>146.18500848464387</v>
      </c>
      <c r="L457" s="55">
        <v>17.759232519346501</v>
      </c>
      <c r="M457" s="55">
        <v>16.4961895267794</v>
      </c>
      <c r="P457" s="12"/>
      <c r="Q457" s="12"/>
      <c r="R457" s="12"/>
      <c r="S457" s="12"/>
      <c r="T457" s="55">
        <v>15.296691534249801</v>
      </c>
      <c r="U457" s="55">
        <v>14.1593428902843</v>
      </c>
      <c r="V457">
        <v>0.45535714285714302</v>
      </c>
      <c r="W457" s="12"/>
      <c r="X457" s="12"/>
      <c r="Y457" t="str">
        <v>20160101</v>
      </c>
      <c r="Z457">
        <v>34.700000000000003</v>
      </c>
      <c r="AA457">
        <v>31.6</v>
      </c>
      <c r="AB457">
        <f t="shared" si="108"/>
        <v>1.0981012658227849</v>
      </c>
      <c r="AY457" t="str">
        <v>22/11/2022</v>
      </c>
      <c r="AZ457">
        <v>38.4</v>
      </c>
      <c r="BA457">
        <v>31.5</v>
      </c>
      <c r="BB457">
        <f t="shared" si="109"/>
        <v>1.2190476190476189</v>
      </c>
    </row>
    <row r="458" spans="1:54" x14ac:dyDescent="0.3">
      <c r="A458" s="11">
        <v>44860</v>
      </c>
      <c r="B458">
        <v>0.30864197530864201</v>
      </c>
      <c r="C458">
        <v>3859.11</v>
      </c>
      <c r="D458">
        <v>95.09</v>
      </c>
      <c r="E458">
        <v>1653.06</v>
      </c>
      <c r="F458">
        <v>81</v>
      </c>
      <c r="G458">
        <v>41.38</v>
      </c>
      <c r="H458" s="12">
        <f t="shared" si="104"/>
        <v>142.85122410890736</v>
      </c>
      <c r="I458" s="12">
        <f t="shared" si="105"/>
        <v>89.399117062205249</v>
      </c>
      <c r="J458" s="12">
        <f t="shared" si="106"/>
        <v>136.88712324672576</v>
      </c>
      <c r="K458" s="12">
        <f t="shared" si="107"/>
        <v>149.01442288158904</v>
      </c>
      <c r="L458" s="55">
        <v>17.748474288405799</v>
      </c>
      <c r="M458" s="55">
        <v>16.509560297817899</v>
      </c>
      <c r="P458" s="12"/>
      <c r="Q458" s="12"/>
      <c r="R458" s="12"/>
      <c r="S458" s="12"/>
      <c r="T458" s="55">
        <v>15.337789206468001</v>
      </c>
      <c r="U458" s="55">
        <v>14.2131007856299</v>
      </c>
      <c r="V458">
        <v>0.455106237148732</v>
      </c>
      <c r="W458" s="12"/>
      <c r="X458" s="12"/>
      <c r="Y458" t="str">
        <v>20151225</v>
      </c>
      <c r="Z458" t="e">
        <v>#N/A</v>
      </c>
      <c r="AA458" t="e">
        <v>#N/A</v>
      </c>
      <c r="AB458" t="str">
        <f t="shared" si="108"/>
        <v/>
      </c>
      <c r="AY458" t="str">
        <v>21/11/2022</v>
      </c>
      <c r="AZ458">
        <v>38.4</v>
      </c>
      <c r="BA458">
        <v>31.5</v>
      </c>
      <c r="BB458">
        <f t="shared" si="109"/>
        <v>1.2190476190476189</v>
      </c>
    </row>
    <row r="459" spans="1:54" x14ac:dyDescent="0.3">
      <c r="A459" s="11">
        <v>44859</v>
      </c>
      <c r="B459">
        <v>0.28358208955223901</v>
      </c>
      <c r="C459">
        <v>3797.34</v>
      </c>
      <c r="D459">
        <v>92.4</v>
      </c>
      <c r="E459">
        <v>1649.72</v>
      </c>
      <c r="F459">
        <v>80.92</v>
      </c>
      <c r="G459">
        <v>40.61</v>
      </c>
      <c r="H459" s="12">
        <f t="shared" si="104"/>
        <v>144.71015693611636</v>
      </c>
      <c r="I459" s="12">
        <f t="shared" si="105"/>
        <v>88.143767894306507</v>
      </c>
      <c r="J459" s="12">
        <f t="shared" si="106"/>
        <v>134.82723025226878</v>
      </c>
      <c r="K459" s="12">
        <f t="shared" si="107"/>
        <v>149.41698170567793</v>
      </c>
      <c r="L459" s="55">
        <v>17.255053546889101</v>
      </c>
      <c r="M459" s="55">
        <v>15.9916965184968</v>
      </c>
      <c r="P459" s="12"/>
      <c r="Q459" s="12"/>
      <c r="R459" s="12"/>
      <c r="S459" s="12"/>
      <c r="T459" s="55">
        <v>15.0148265034479</v>
      </c>
      <c r="U459" s="55">
        <v>13.8697642365085</v>
      </c>
      <c r="V459">
        <v>0.45580110497237603</v>
      </c>
      <c r="W459" s="12"/>
      <c r="X459" s="12"/>
      <c r="Y459" t="str">
        <v>20151218</v>
      </c>
      <c r="Z459">
        <v>36.700000000000003</v>
      </c>
      <c r="AA459">
        <v>29.6</v>
      </c>
      <c r="AB459">
        <f t="shared" si="108"/>
        <v>1.2398648648648649</v>
      </c>
      <c r="AY459" t="str">
        <v>18/11/2022</v>
      </c>
      <c r="AZ459">
        <v>41.7</v>
      </c>
      <c r="BA459">
        <v>30.5</v>
      </c>
      <c r="BB459">
        <f t="shared" si="109"/>
        <v>1.3672131147540985</v>
      </c>
    </row>
    <row r="460" spans="1:54" x14ac:dyDescent="0.3">
      <c r="A460" s="11">
        <v>44856</v>
      </c>
      <c r="B460">
        <v>0.29207920792079201</v>
      </c>
      <c r="C460">
        <v>3752.75</v>
      </c>
      <c r="D460">
        <v>93.17</v>
      </c>
      <c r="E460">
        <v>1657.66</v>
      </c>
      <c r="F460">
        <v>80.94</v>
      </c>
      <c r="G460">
        <v>41.1</v>
      </c>
      <c r="H460" s="12">
        <f t="shared" si="104"/>
        <v>141.85234066424908</v>
      </c>
      <c r="I460" s="12">
        <f t="shared" si="105"/>
        <v>86.698347116229172</v>
      </c>
      <c r="J460" s="12">
        <f t="shared" si="106"/>
        <v>133.2115013123813</v>
      </c>
      <c r="K460" s="12">
        <f t="shared" si="107"/>
        <v>145.94294214073022</v>
      </c>
      <c r="L460" s="55">
        <v>17.811303153194402</v>
      </c>
      <c r="M460" s="55">
        <v>16.606520481490001</v>
      </c>
      <c r="P460" s="12"/>
      <c r="Q460" s="12"/>
      <c r="R460" s="12"/>
      <c r="S460" s="12"/>
      <c r="T460" s="55">
        <v>15.2714109364201</v>
      </c>
      <c r="U460" s="55">
        <v>14.158696042858301</v>
      </c>
      <c r="V460">
        <v>0.465457083042568</v>
      </c>
      <c r="W460" s="12"/>
      <c r="X460" s="12"/>
      <c r="Y460" t="str">
        <v>20151211</v>
      </c>
      <c r="Z460">
        <v>37.799999999999997</v>
      </c>
      <c r="AA460">
        <v>29.6</v>
      </c>
      <c r="AB460">
        <f t="shared" si="108"/>
        <v>1.277027027027027</v>
      </c>
      <c r="AY460" t="str">
        <v>17/11/2022</v>
      </c>
      <c r="AZ460">
        <v>41.7</v>
      </c>
      <c r="BA460">
        <v>30.5</v>
      </c>
      <c r="BB460">
        <f t="shared" si="109"/>
        <v>1.3672131147540985</v>
      </c>
    </row>
    <row r="461" spans="1:54" x14ac:dyDescent="0.3">
      <c r="A461" s="11">
        <v>44855</v>
      </c>
      <c r="B461">
        <v>0.28030303030303</v>
      </c>
      <c r="C461">
        <v>3665.78</v>
      </c>
      <c r="D461">
        <v>94.88</v>
      </c>
      <c r="E461">
        <v>1628.08</v>
      </c>
      <c r="F461">
        <v>80.73</v>
      </c>
      <c r="G461">
        <v>40.39</v>
      </c>
      <c r="H461" s="12">
        <f t="shared" si="104"/>
        <v>136.16766819081695</v>
      </c>
      <c r="I461" s="12">
        <f t="shared" si="105"/>
        <v>86.219296526349453</v>
      </c>
      <c r="J461" s="12">
        <f t="shared" si="106"/>
        <v>130.45580959959506</v>
      </c>
      <c r="K461" s="12">
        <f t="shared" si="107"/>
        <v>145.05142425753806</v>
      </c>
      <c r="L461" s="55">
        <v>17.591773724924899</v>
      </c>
      <c r="M461" s="55">
        <v>16.3779131513678</v>
      </c>
      <c r="P461" s="12"/>
      <c r="Q461" s="12"/>
      <c r="R461" s="12"/>
      <c r="S461" s="12"/>
      <c r="T461" s="55">
        <v>15.169638248261601</v>
      </c>
      <c r="U461" s="55">
        <v>14.028441132800999</v>
      </c>
      <c r="V461">
        <v>0.467741935483871</v>
      </c>
      <c r="W461" s="12"/>
      <c r="X461" s="12"/>
      <c r="Y461" t="str">
        <v>20151204</v>
      </c>
      <c r="Z461">
        <v>44.9</v>
      </c>
      <c r="AA461">
        <v>27.6</v>
      </c>
      <c r="AB461">
        <f t="shared" si="108"/>
        <v>1.6268115942028984</v>
      </c>
      <c r="AY461" t="str">
        <v>16/11/2022</v>
      </c>
      <c r="AZ461">
        <v>41.7</v>
      </c>
      <c r="BA461">
        <v>30.5</v>
      </c>
      <c r="BB461">
        <f t="shared" si="109"/>
        <v>1.3672131147540985</v>
      </c>
    </row>
    <row r="462" spans="1:54" x14ac:dyDescent="0.3">
      <c r="A462" s="11">
        <v>44854</v>
      </c>
      <c r="B462">
        <v>0.27131782945736399</v>
      </c>
      <c r="C462">
        <v>3695.16</v>
      </c>
      <c r="D462">
        <v>96.53</v>
      </c>
      <c r="E462">
        <v>1629.22</v>
      </c>
      <c r="F462">
        <v>80.819999999999993</v>
      </c>
      <c r="G462">
        <v>40.33</v>
      </c>
      <c r="H462" s="12">
        <f t="shared" si="104"/>
        <v>134.93407517899843</v>
      </c>
      <c r="I462" s="12">
        <f t="shared" si="105"/>
        <v>86.849058144383662</v>
      </c>
      <c r="J462" s="12">
        <f t="shared" si="106"/>
        <v>131.35392306596344</v>
      </c>
      <c r="K462" s="12">
        <f t="shared" si="107"/>
        <v>146.43356195817915</v>
      </c>
      <c r="L462" s="55">
        <v>17.6558824927207</v>
      </c>
      <c r="M462" s="55">
        <v>16.408459248457198</v>
      </c>
      <c r="P462" s="12"/>
      <c r="Q462" s="12"/>
      <c r="R462" s="12"/>
      <c r="S462" s="12"/>
      <c r="T462" s="55">
        <v>15.2561861808715</v>
      </c>
      <c r="U462" s="55">
        <v>14.1133401562772</v>
      </c>
      <c r="V462">
        <v>0.47320169252468303</v>
      </c>
      <c r="W462" s="12"/>
      <c r="X462" s="12"/>
      <c r="Y462" t="str">
        <v>20151127</v>
      </c>
      <c r="Z462">
        <v>41.2</v>
      </c>
      <c r="AA462">
        <v>26.8</v>
      </c>
      <c r="AB462">
        <f t="shared" si="108"/>
        <v>1.5373134328358209</v>
      </c>
      <c r="AY462" t="str">
        <v>15/11/2022</v>
      </c>
      <c r="AZ462">
        <v>41.7</v>
      </c>
      <c r="BA462">
        <v>30.5</v>
      </c>
      <c r="BB462">
        <f t="shared" si="109"/>
        <v>1.3672131147540985</v>
      </c>
    </row>
    <row r="463" spans="1:54" x14ac:dyDescent="0.3">
      <c r="A463" s="11">
        <v>44853</v>
      </c>
      <c r="B463">
        <v>0.26598465473145799</v>
      </c>
      <c r="C463">
        <v>3719.98</v>
      </c>
      <c r="D463">
        <v>98.32</v>
      </c>
      <c r="E463">
        <v>1652.35</v>
      </c>
      <c r="F463">
        <v>80.97</v>
      </c>
      <c r="G463">
        <v>40.94</v>
      </c>
      <c r="H463" s="12">
        <f t="shared" si="104"/>
        <v>133.39552065226027</v>
      </c>
      <c r="I463" s="12">
        <f t="shared" si="105"/>
        <v>86.217415046065568</v>
      </c>
      <c r="J463" s="12">
        <f t="shared" si="106"/>
        <v>131.99005453285304</v>
      </c>
      <c r="K463" s="12">
        <f t="shared" si="107"/>
        <v>145.2385717322708</v>
      </c>
      <c r="L463" s="55">
        <v>17.373015035237401</v>
      </c>
      <c r="M463" s="55">
        <v>16.056968908856899</v>
      </c>
      <c r="P463" s="12"/>
      <c r="Q463" s="12"/>
      <c r="R463" s="12"/>
      <c r="S463" s="12"/>
      <c r="T463" s="55">
        <v>15.018208164925699</v>
      </c>
      <c r="U463" s="55">
        <v>13.823694226977899</v>
      </c>
      <c r="V463">
        <v>0.47353563867325299</v>
      </c>
      <c r="W463" s="12"/>
      <c r="X463" s="12"/>
      <c r="Y463" t="str">
        <v>20151120</v>
      </c>
      <c r="Z463">
        <v>45.4</v>
      </c>
      <c r="AA463">
        <v>26.8</v>
      </c>
      <c r="AB463">
        <f t="shared" si="108"/>
        <v>1.6940298507462686</v>
      </c>
      <c r="AY463" t="str">
        <v>14/11/2022</v>
      </c>
      <c r="AZ463">
        <v>41.7</v>
      </c>
      <c r="BA463">
        <v>30.5</v>
      </c>
      <c r="BB463">
        <f t="shared" si="109"/>
        <v>1.3672131147540985</v>
      </c>
    </row>
    <row r="464" spans="1:54" x14ac:dyDescent="0.3">
      <c r="A464" s="11">
        <v>44852</v>
      </c>
      <c r="B464">
        <v>0.264397905759162</v>
      </c>
      <c r="C464">
        <v>3677.95</v>
      </c>
      <c r="D464">
        <v>98.09</v>
      </c>
      <c r="E464">
        <v>1650.41</v>
      </c>
      <c r="F464">
        <v>80.930000000000007</v>
      </c>
      <c r="G464">
        <v>40.729999999999997</v>
      </c>
      <c r="H464" s="12">
        <f t="shared" si="104"/>
        <v>132.19482465201258</v>
      </c>
      <c r="I464" s="12">
        <f t="shared" si="105"/>
        <v>85.342475786404165</v>
      </c>
      <c r="J464" s="12">
        <f t="shared" si="106"/>
        <v>130.56257379746964</v>
      </c>
      <c r="K464" s="12">
        <f t="shared" si="107"/>
        <v>144.33336241685632</v>
      </c>
      <c r="L464" s="55">
        <v>17.274410831949201</v>
      </c>
      <c r="M464" s="55">
        <v>15.8847531764858</v>
      </c>
      <c r="P464" s="12"/>
      <c r="Q464" s="12"/>
      <c r="R464" s="12"/>
      <c r="S464" s="12"/>
      <c r="T464" s="55">
        <v>15.0172187528814</v>
      </c>
      <c r="U464" s="55">
        <v>13.813566067618099</v>
      </c>
      <c r="V464">
        <v>0.47997138769670999</v>
      </c>
      <c r="W464" s="12"/>
      <c r="X464" s="12"/>
      <c r="Y464" t="str">
        <v>20151113</v>
      </c>
      <c r="Z464">
        <v>43.3</v>
      </c>
      <c r="AA464">
        <v>26.8</v>
      </c>
      <c r="AB464">
        <f t="shared" si="108"/>
        <v>1.6156716417910446</v>
      </c>
      <c r="AY464" t="str">
        <v>11/11/2022</v>
      </c>
      <c r="AZ464">
        <v>38.6</v>
      </c>
      <c r="BA464">
        <v>32.799999999999997</v>
      </c>
      <c r="BB464">
        <f t="shared" si="109"/>
        <v>1.1768292682926831</v>
      </c>
    </row>
    <row r="465" spans="1:54" x14ac:dyDescent="0.3">
      <c r="A465" s="11">
        <v>44849</v>
      </c>
      <c r="B465">
        <v>0.25773195876288701</v>
      </c>
      <c r="C465">
        <v>3583.07</v>
      </c>
      <c r="D465">
        <v>98.57</v>
      </c>
      <c r="E465">
        <v>1644.45</v>
      </c>
      <c r="F465">
        <v>80.84</v>
      </c>
      <c r="G465">
        <v>39.72</v>
      </c>
      <c r="H465" s="12">
        <f t="shared" si="104"/>
        <v>128.17652627542427</v>
      </c>
      <c r="I465" s="12">
        <f t="shared" si="105"/>
        <v>83.435493060718201</v>
      </c>
      <c r="J465" s="12">
        <f t="shared" si="106"/>
        <v>127.33255742852322</v>
      </c>
      <c r="K465" s="12">
        <f t="shared" si="107"/>
        <v>144.18167038936969</v>
      </c>
      <c r="L465" s="55">
        <v>16.843626068238098</v>
      </c>
      <c r="M465" s="55">
        <v>15.3643710727992</v>
      </c>
      <c r="P465" s="12"/>
      <c r="Q465" s="12"/>
      <c r="R465" s="12"/>
      <c r="S465" s="12"/>
      <c r="T465" s="55">
        <v>14.5116411477831</v>
      </c>
      <c r="U465" s="55">
        <v>13.141899652764099</v>
      </c>
      <c r="V465">
        <v>0.49059334298118701</v>
      </c>
      <c r="W465" s="12"/>
      <c r="X465" s="12"/>
      <c r="Y465" t="str">
        <v>20151106</v>
      </c>
      <c r="Z465">
        <v>45.3</v>
      </c>
      <c r="AA465">
        <v>28.9</v>
      </c>
      <c r="AB465">
        <f t="shared" si="108"/>
        <v>1.5674740484429066</v>
      </c>
      <c r="AY465" t="str">
        <v>10/11/2022</v>
      </c>
      <c r="AZ465">
        <v>38.6</v>
      </c>
      <c r="BA465">
        <v>32.799999999999997</v>
      </c>
      <c r="BB465">
        <f t="shared" si="109"/>
        <v>1.1768292682926831</v>
      </c>
    </row>
    <row r="466" spans="1:54" x14ac:dyDescent="0.3">
      <c r="A466" s="11">
        <v>44848</v>
      </c>
      <c r="B466">
        <v>0.24668435013262599</v>
      </c>
      <c r="C466">
        <v>3669.91</v>
      </c>
      <c r="D466">
        <v>99.39</v>
      </c>
      <c r="E466">
        <v>1666.37</v>
      </c>
      <c r="F466">
        <v>80.88</v>
      </c>
      <c r="G466">
        <v>40.380000000000003</v>
      </c>
      <c r="H466" s="12">
        <f t="shared" si="104"/>
        <v>130.18295527330338</v>
      </c>
      <c r="I466" s="12">
        <f t="shared" si="105"/>
        <v>84.321574875391718</v>
      </c>
      <c r="J466" s="12">
        <f t="shared" si="106"/>
        <v>130.35258512388953</v>
      </c>
      <c r="K466" s="12">
        <f t="shared" si="107"/>
        <v>145.24456730258055</v>
      </c>
      <c r="L466" s="55">
        <v>16.7394337452073</v>
      </c>
      <c r="M466" s="55">
        <v>15.216009639351901</v>
      </c>
      <c r="P466" s="12"/>
      <c r="Q466" s="12"/>
      <c r="R466" s="12"/>
      <c r="S466" s="12"/>
      <c r="T466" s="55">
        <v>14.4986827907895</v>
      </c>
      <c r="U466" s="55">
        <v>13.093211836701601</v>
      </c>
      <c r="V466">
        <v>0.49342105263157898</v>
      </c>
      <c r="W466" s="12"/>
      <c r="X466" s="12"/>
      <c r="Y466" t="str">
        <v>20151030</v>
      </c>
      <c r="Z466">
        <v>46.9</v>
      </c>
      <c r="AA466">
        <v>28.1</v>
      </c>
      <c r="AB466">
        <f t="shared" si="108"/>
        <v>1.6690391459074732</v>
      </c>
      <c r="AY466" t="str">
        <v>09/11/2022</v>
      </c>
      <c r="AZ466">
        <v>38.6</v>
      </c>
      <c r="BA466">
        <v>32.799999999999997</v>
      </c>
      <c r="BB466">
        <f t="shared" si="109"/>
        <v>1.1768292682926831</v>
      </c>
    </row>
    <row r="467" spans="1:54" x14ac:dyDescent="0.3">
      <c r="A467" s="11">
        <v>44847</v>
      </c>
      <c r="B467">
        <v>0.255376344086022</v>
      </c>
      <c r="C467">
        <v>3577.03</v>
      </c>
      <c r="D467">
        <v>100.35</v>
      </c>
      <c r="E467">
        <v>1673.27</v>
      </c>
      <c r="F467">
        <v>81.12</v>
      </c>
      <c r="G467">
        <v>39.69</v>
      </c>
      <c r="H467" s="12">
        <f t="shared" si="104"/>
        <v>125.71599048346705</v>
      </c>
      <c r="I467" s="12">
        <f t="shared" si="105"/>
        <v>81.858506642944732</v>
      </c>
      <c r="J467" s="12">
        <f t="shared" si="106"/>
        <v>126.68822262705567</v>
      </c>
      <c r="K467" s="12">
        <f t="shared" si="107"/>
        <v>144.0088355828955</v>
      </c>
      <c r="L467" s="55">
        <v>16.8970455786408</v>
      </c>
      <c r="M467" s="55">
        <v>15.413825784934801</v>
      </c>
      <c r="P467" s="12"/>
      <c r="Q467" s="12"/>
      <c r="R467" s="12"/>
      <c r="S467" s="12"/>
      <c r="T467" s="55">
        <v>14.7311738960291</v>
      </c>
      <c r="U467" s="55">
        <v>13.3633162401339</v>
      </c>
      <c r="V467">
        <v>0.49342105263157898</v>
      </c>
      <c r="W467" s="12"/>
      <c r="X467" s="12"/>
      <c r="Y467" t="str">
        <v>20151023</v>
      </c>
      <c r="Z467">
        <v>43.7</v>
      </c>
      <c r="AA467">
        <v>29.2</v>
      </c>
      <c r="AB467">
        <f t="shared" si="108"/>
        <v>1.4965753424657535</v>
      </c>
      <c r="AY467" t="str">
        <v>08/11/2022</v>
      </c>
      <c r="AZ467">
        <v>38.6</v>
      </c>
      <c r="BA467">
        <v>32.799999999999997</v>
      </c>
      <c r="BB467">
        <f t="shared" si="109"/>
        <v>1.1768292682926831</v>
      </c>
    </row>
    <row r="468" spans="1:54" x14ac:dyDescent="0.3">
      <c r="A468" s="11">
        <v>44846</v>
      </c>
      <c r="B468">
        <v>0.27762803234501299</v>
      </c>
      <c r="C468">
        <v>3588.84</v>
      </c>
      <c r="D468">
        <v>99.86</v>
      </c>
      <c r="E468">
        <v>1666.1</v>
      </c>
      <c r="F468">
        <v>81.040000000000006</v>
      </c>
      <c r="G468">
        <v>39.82</v>
      </c>
      <c r="H468" s="12">
        <f t="shared" si="104"/>
        <v>126.75508129939772</v>
      </c>
      <c r="I468" s="12">
        <f t="shared" si="105"/>
        <v>82.484915242529794</v>
      </c>
      <c r="J468" s="12">
        <f t="shared" si="106"/>
        <v>127.23251361668432</v>
      </c>
      <c r="K468" s="12">
        <f t="shared" si="107"/>
        <v>144.01258938508954</v>
      </c>
      <c r="L468" s="55">
        <v>16.924203936330699</v>
      </c>
      <c r="M468" s="55">
        <v>15.4415010637933</v>
      </c>
      <c r="P468" s="12"/>
      <c r="Q468" s="12"/>
      <c r="R468" s="12"/>
      <c r="S468" s="12"/>
      <c r="T468" s="55">
        <v>14.714065731585601</v>
      </c>
      <c r="U468" s="55">
        <v>13.302387971596399</v>
      </c>
      <c r="V468">
        <v>0.49563318777292598</v>
      </c>
      <c r="W468" s="12"/>
      <c r="X468" s="12"/>
      <c r="Y468" t="str">
        <v>20151016</v>
      </c>
      <c r="Z468">
        <v>37.5</v>
      </c>
      <c r="AA468">
        <v>31.3</v>
      </c>
      <c r="AB468">
        <f t="shared" si="108"/>
        <v>1.1980830670926517</v>
      </c>
      <c r="AY468" t="str">
        <v>07/11/2022</v>
      </c>
      <c r="AZ468">
        <v>38.6</v>
      </c>
      <c r="BA468">
        <v>32.799999999999997</v>
      </c>
      <c r="BB468">
        <f t="shared" si="109"/>
        <v>1.1768292682926831</v>
      </c>
    </row>
    <row r="469" spans="1:54" x14ac:dyDescent="0.3">
      <c r="A469" s="11">
        <v>44845</v>
      </c>
      <c r="B469">
        <v>0.28961748633879802</v>
      </c>
      <c r="C469">
        <v>3612.39</v>
      </c>
      <c r="D469">
        <v>99.42</v>
      </c>
      <c r="E469">
        <v>1668.32</v>
      </c>
      <c r="F469">
        <v>81</v>
      </c>
      <c r="G469">
        <v>40.32</v>
      </c>
      <c r="H469" s="12">
        <f t="shared" si="104"/>
        <v>128.15775492296268</v>
      </c>
      <c r="I469" s="12">
        <f t="shared" si="105"/>
        <v>82.915124485628525</v>
      </c>
      <c r="J469" s="12">
        <f t="shared" si="106"/>
        <v>128.13110433071137</v>
      </c>
      <c r="K469" s="12">
        <f t="shared" si="107"/>
        <v>143.17052279244245</v>
      </c>
      <c r="L469" s="55">
        <v>16.690788663023199</v>
      </c>
      <c r="M469" s="55">
        <v>15.0939525346701</v>
      </c>
      <c r="P469" s="12"/>
      <c r="Q469" s="12"/>
      <c r="R469" s="12"/>
      <c r="S469" s="12"/>
      <c r="T469" s="55">
        <v>14.5789917647078</v>
      </c>
      <c r="U469" s="55">
        <v>13.050501129771501</v>
      </c>
      <c r="V469">
        <v>0.50879765395894405</v>
      </c>
      <c r="W469" s="12"/>
      <c r="X469" s="12"/>
      <c r="Y469" t="str">
        <v>20151009</v>
      </c>
      <c r="Z469">
        <v>36.5</v>
      </c>
      <c r="AA469">
        <v>31.2</v>
      </c>
      <c r="AB469">
        <f t="shared" si="108"/>
        <v>1.1698717948717949</v>
      </c>
      <c r="AY469" t="str">
        <v>04/11/2022</v>
      </c>
      <c r="AZ469">
        <v>35.200000000000003</v>
      </c>
      <c r="BA469">
        <v>36.6</v>
      </c>
      <c r="BB469">
        <f t="shared" si="109"/>
        <v>0.96174863387978149</v>
      </c>
    </row>
    <row r="470" spans="1:54" x14ac:dyDescent="0.3">
      <c r="A470" s="11">
        <v>44842</v>
      </c>
      <c r="B470">
        <v>0.31073446327683601</v>
      </c>
      <c r="C470">
        <v>3639.66</v>
      </c>
      <c r="D470">
        <v>100.99</v>
      </c>
      <c r="E470">
        <v>1694.84</v>
      </c>
      <c r="F470">
        <v>81.03</v>
      </c>
      <c r="G470">
        <v>40.65</v>
      </c>
      <c r="H470" s="12">
        <f t="shared" si="104"/>
        <v>127.13386510279824</v>
      </c>
      <c r="I470" s="12">
        <f t="shared" si="105"/>
        <v>82.244418239637568</v>
      </c>
      <c r="J470" s="12">
        <f t="shared" si="106"/>
        <v>129.0502290778312</v>
      </c>
      <c r="K470" s="12">
        <f t="shared" si="107"/>
        <v>143.08100800950928</v>
      </c>
      <c r="L470" s="55">
        <v>17.081556106359301</v>
      </c>
      <c r="M470" s="55">
        <v>15.6209641901727</v>
      </c>
      <c r="P470" s="12"/>
      <c r="Q470" s="12"/>
      <c r="R470" s="12"/>
      <c r="S470" s="12"/>
      <c r="T470" s="55">
        <v>14.9539883114946</v>
      </c>
      <c r="U470" s="55">
        <v>13.5372757310806</v>
      </c>
      <c r="V470">
        <v>0.500741839762611</v>
      </c>
      <c r="W470" s="12"/>
      <c r="X470" s="12"/>
      <c r="Y470" t="str">
        <v>20151002</v>
      </c>
      <c r="Z470">
        <v>30.2</v>
      </c>
      <c r="AA470">
        <v>34.4</v>
      </c>
      <c r="AB470">
        <f t="shared" si="108"/>
        <v>0.87790697674418605</v>
      </c>
      <c r="AY470" t="str">
        <v>03/11/2022</v>
      </c>
      <c r="AZ470">
        <v>35.200000000000003</v>
      </c>
      <c r="BA470">
        <v>36.6</v>
      </c>
      <c r="BB470">
        <f t="shared" si="109"/>
        <v>0.96174863387978149</v>
      </c>
    </row>
    <row r="471" spans="1:54" x14ac:dyDescent="0.3">
      <c r="A471" s="11">
        <v>44841</v>
      </c>
      <c r="B471">
        <v>0.352238805970149</v>
      </c>
      <c r="C471">
        <v>3744.52</v>
      </c>
      <c r="D471">
        <v>101.98</v>
      </c>
      <c r="E471">
        <v>1710.64</v>
      </c>
      <c r="F471">
        <v>81.13</v>
      </c>
      <c r="G471">
        <v>41.39</v>
      </c>
      <c r="H471" s="12">
        <f t="shared" si="104"/>
        <v>129.50323075293028</v>
      </c>
      <c r="I471" s="12">
        <f t="shared" si="105"/>
        <v>83.81744367629824</v>
      </c>
      <c r="J471" s="12">
        <f t="shared" si="106"/>
        <v>132.60006537142658</v>
      </c>
      <c r="K471" s="12">
        <f t="shared" si="107"/>
        <v>144.54450297329979</v>
      </c>
      <c r="L471" s="55">
        <v>17.008237380175402</v>
      </c>
      <c r="M471" s="55">
        <v>15.503589997159899</v>
      </c>
      <c r="P471" s="12"/>
      <c r="Q471" s="12"/>
      <c r="R471" s="12"/>
      <c r="S471" s="12"/>
      <c r="T471" s="55">
        <v>14.929146335205999</v>
      </c>
      <c r="U471" s="55">
        <v>13.4722682081999</v>
      </c>
      <c r="V471">
        <v>0.49511645379413999</v>
      </c>
      <c r="W471" s="12"/>
      <c r="X471" s="12"/>
      <c r="Y471" t="str">
        <v>20150925</v>
      </c>
      <c r="Z471">
        <v>24.7</v>
      </c>
      <c r="AA471">
        <v>35.1</v>
      </c>
      <c r="AB471">
        <f t="shared" si="108"/>
        <v>0.70370370370370361</v>
      </c>
      <c r="AY471" t="str">
        <v>02/11/2022</v>
      </c>
      <c r="AZ471">
        <v>35.200000000000003</v>
      </c>
      <c r="BA471">
        <v>36.6</v>
      </c>
      <c r="BB471">
        <f t="shared" si="109"/>
        <v>0.96174863387978149</v>
      </c>
    </row>
    <row r="472" spans="1:54" x14ac:dyDescent="0.3">
      <c r="A472" s="11">
        <v>44840</v>
      </c>
      <c r="B472">
        <v>0.36280487804877998</v>
      </c>
      <c r="C472">
        <v>3783.28</v>
      </c>
      <c r="D472">
        <v>102.55</v>
      </c>
      <c r="E472">
        <v>1716.41</v>
      </c>
      <c r="F472">
        <v>81.23</v>
      </c>
      <c r="G472">
        <v>42.04</v>
      </c>
      <c r="H472" s="12">
        <f t="shared" si="104"/>
        <v>130.11304641128226</v>
      </c>
      <c r="I472" s="12">
        <f t="shared" si="105"/>
        <v>84.398392472239294</v>
      </c>
      <c r="J472" s="12">
        <f t="shared" si="106"/>
        <v>133.80619522886491</v>
      </c>
      <c r="K472" s="12">
        <f t="shared" si="107"/>
        <v>143.79441566333654</v>
      </c>
      <c r="L472" s="55">
        <v>17.6520539697778</v>
      </c>
      <c r="M472" s="55">
        <v>16.473374078778399</v>
      </c>
      <c r="P472" s="12"/>
      <c r="Q472" s="12"/>
      <c r="R472" s="12"/>
      <c r="S472" s="12"/>
      <c r="T472" s="55">
        <v>15.461607753960401</v>
      </c>
      <c r="U472" s="55">
        <v>14.255547728398801</v>
      </c>
      <c r="V472">
        <v>0.49319213313161903</v>
      </c>
      <c r="W472" s="12"/>
      <c r="X472" s="12"/>
      <c r="Y472" t="str">
        <v>20150918</v>
      </c>
      <c r="Z472">
        <v>26</v>
      </c>
      <c r="AA472">
        <v>30.2</v>
      </c>
      <c r="AB472">
        <f t="shared" si="108"/>
        <v>0.86092715231788086</v>
      </c>
      <c r="AY472" t="str">
        <v>01/11/2022</v>
      </c>
      <c r="AZ472">
        <v>35.200000000000003</v>
      </c>
      <c r="BA472">
        <v>36.6</v>
      </c>
      <c r="BB472">
        <f t="shared" si="109"/>
        <v>0.96174863387978149</v>
      </c>
    </row>
    <row r="473" spans="1:54" x14ac:dyDescent="0.3">
      <c r="A473" s="11">
        <v>44839</v>
      </c>
      <c r="B473">
        <v>0.36923076923076897</v>
      </c>
      <c r="C473">
        <v>3790.93</v>
      </c>
      <c r="D473">
        <v>103.54</v>
      </c>
      <c r="E473">
        <v>1726.12</v>
      </c>
      <c r="F473">
        <v>81.31</v>
      </c>
      <c r="G473">
        <v>42.38</v>
      </c>
      <c r="H473" s="12">
        <f t="shared" si="104"/>
        <v>129.13888110998735</v>
      </c>
      <c r="I473" s="12">
        <f t="shared" si="105"/>
        <v>84.0950315340028</v>
      </c>
      <c r="J473" s="12">
        <f t="shared" si="106"/>
        <v>133.94470552816924</v>
      </c>
      <c r="K473" s="12">
        <f t="shared" si="107"/>
        <v>142.9361302675031</v>
      </c>
      <c r="L473" s="55">
        <v>17.57418477541</v>
      </c>
      <c r="M473" s="55">
        <v>16.375290527400502</v>
      </c>
      <c r="P473" s="12"/>
      <c r="Q473" s="12"/>
      <c r="R473" s="12"/>
      <c r="S473" s="12"/>
      <c r="T473" s="55">
        <v>15.631647344827501</v>
      </c>
      <c r="U473" s="55">
        <v>14.5237034189235</v>
      </c>
      <c r="V473">
        <v>0.49698340874811497</v>
      </c>
      <c r="W473" s="12"/>
      <c r="X473" s="12"/>
      <c r="Y473" t="str">
        <v>20150911</v>
      </c>
      <c r="Z473">
        <v>26.8</v>
      </c>
      <c r="AA473">
        <v>26.8</v>
      </c>
      <c r="AB473">
        <f t="shared" si="108"/>
        <v>1</v>
      </c>
      <c r="AY473" t="str">
        <v>31/10/2022</v>
      </c>
      <c r="AZ473">
        <v>35.200000000000003</v>
      </c>
      <c r="BA473">
        <v>36.6</v>
      </c>
      <c r="BB473">
        <f t="shared" si="109"/>
        <v>0.96174863387978149</v>
      </c>
    </row>
    <row r="474" spans="1:54" x14ac:dyDescent="0.3">
      <c r="A474" s="11">
        <v>44838</v>
      </c>
      <c r="B474">
        <v>0.38124999999999998</v>
      </c>
      <c r="C474">
        <v>3678.43</v>
      </c>
      <c r="D474">
        <v>103.83</v>
      </c>
      <c r="E474">
        <v>1699.85</v>
      </c>
      <c r="F474">
        <v>81.28</v>
      </c>
      <c r="G474">
        <v>40.840000000000003</v>
      </c>
      <c r="H474" s="12">
        <f t="shared" si="104"/>
        <v>124.96786284617066</v>
      </c>
      <c r="I474" s="12">
        <f t="shared" si="105"/>
        <v>82.841686903892139</v>
      </c>
      <c r="J474" s="12">
        <f t="shared" si="106"/>
        <v>130.01631387973683</v>
      </c>
      <c r="K474" s="12">
        <f t="shared" si="107"/>
        <v>143.96177574251888</v>
      </c>
      <c r="L474" s="55">
        <v>17.690694265976401</v>
      </c>
      <c r="M474" s="55">
        <v>16.567702498423198</v>
      </c>
      <c r="P474" s="12"/>
      <c r="Q474" s="12"/>
      <c r="R474" s="12"/>
      <c r="S474" s="12"/>
      <c r="T474" s="55">
        <v>15.6718855076924</v>
      </c>
      <c r="U474" s="55">
        <v>14.578966786693099</v>
      </c>
      <c r="V474">
        <v>0.49466463414634099</v>
      </c>
      <c r="W474" s="12"/>
      <c r="X474" s="12"/>
      <c r="Y474" t="str">
        <v>20150904</v>
      </c>
      <c r="Z474">
        <v>25.7</v>
      </c>
      <c r="AA474">
        <v>27.9</v>
      </c>
      <c r="AB474">
        <f t="shared" si="108"/>
        <v>0.92114695340501795</v>
      </c>
      <c r="AY474" t="str">
        <v>28/10/2022</v>
      </c>
      <c r="AZ474">
        <v>35.799999999999997</v>
      </c>
      <c r="BA474">
        <v>37.299999999999997</v>
      </c>
      <c r="BB474">
        <f t="shared" si="109"/>
        <v>0.95978552278820373</v>
      </c>
    </row>
    <row r="475" spans="1:54" x14ac:dyDescent="0.3">
      <c r="A475" s="11">
        <v>44834</v>
      </c>
      <c r="B475">
        <v>0.39130434782608697</v>
      </c>
      <c r="C475">
        <v>3585.62</v>
      </c>
      <c r="D475">
        <v>102.45</v>
      </c>
      <c r="E475">
        <v>1660.67</v>
      </c>
      <c r="F475">
        <v>81.209999999999994</v>
      </c>
      <c r="G475">
        <v>40.01</v>
      </c>
      <c r="H475" s="12">
        <f t="shared" si="104"/>
        <v>123.43553873573384</v>
      </c>
      <c r="I475" s="12">
        <f t="shared" si="105"/>
        <v>82.652325439246709</v>
      </c>
      <c r="J475" s="12">
        <f t="shared" si="106"/>
        <v>126.84246368972421</v>
      </c>
      <c r="K475" s="12">
        <f t="shared" si="107"/>
        <v>143.22571961306181</v>
      </c>
      <c r="L475" s="55">
        <v>17.588598042048201</v>
      </c>
      <c r="M475" s="55">
        <v>16.396163055733702</v>
      </c>
      <c r="P475" s="12"/>
      <c r="Q475" s="12"/>
      <c r="R475" s="12"/>
      <c r="S475" s="12"/>
      <c r="T475" s="55">
        <v>15.585454148420901</v>
      </c>
      <c r="U475" s="55">
        <v>14.4637410269249</v>
      </c>
      <c r="V475">
        <v>0.484467455621302</v>
      </c>
      <c r="W475" s="12"/>
      <c r="X475" s="12"/>
      <c r="Y475" t="str">
        <v>20150828</v>
      </c>
      <c r="Z475">
        <v>27.8</v>
      </c>
      <c r="AA475">
        <v>26.8</v>
      </c>
      <c r="AB475">
        <f t="shared" si="108"/>
        <v>1.0373134328358209</v>
      </c>
      <c r="AY475" t="str">
        <v>27/10/2022</v>
      </c>
      <c r="AZ475">
        <v>35.799999999999997</v>
      </c>
      <c r="BA475">
        <v>37.299999999999997</v>
      </c>
      <c r="BB475">
        <f t="shared" si="109"/>
        <v>0.95978552278820373</v>
      </c>
    </row>
    <row r="476" spans="1:54" x14ac:dyDescent="0.3">
      <c r="A476" s="11">
        <v>44834</v>
      </c>
      <c r="B476">
        <v>0.44236760124610602</v>
      </c>
      <c r="C476">
        <v>3640.47</v>
      </c>
      <c r="D476">
        <v>103.79</v>
      </c>
      <c r="E476">
        <v>1660.8</v>
      </c>
      <c r="F476">
        <v>81.28</v>
      </c>
      <c r="G476">
        <v>40.11</v>
      </c>
      <c r="H476" s="12">
        <f t="shared" si="104"/>
        <v>123.70224707085151</v>
      </c>
      <c r="I476" s="12">
        <f t="shared" si="105"/>
        <v>83.91000725670645</v>
      </c>
      <c r="J476" s="12">
        <f t="shared" si="106"/>
        <v>128.67029149920469</v>
      </c>
      <c r="K476" s="12">
        <f t="shared" si="107"/>
        <v>145.04951301445001</v>
      </c>
      <c r="L476" s="55">
        <v>17.816596176386</v>
      </c>
      <c r="M476" s="55">
        <v>16.783343822216501</v>
      </c>
      <c r="P476" s="12"/>
      <c r="Q476" s="12"/>
      <c r="R476" s="12"/>
      <c r="S476" s="12"/>
      <c r="T476" s="55">
        <v>15.740695553112801</v>
      </c>
      <c r="U476" s="55">
        <v>14.7275504492415</v>
      </c>
      <c r="V476">
        <v>0.50766983199415605</v>
      </c>
      <c r="W476" s="12"/>
      <c r="X476" s="12"/>
      <c r="Y476" t="str">
        <v>20150821</v>
      </c>
      <c r="Z476">
        <v>31.6</v>
      </c>
      <c r="AA476">
        <v>22.5</v>
      </c>
      <c r="AB476">
        <f t="shared" si="108"/>
        <v>1.4044444444444446</v>
      </c>
      <c r="AY476" t="str">
        <v>26/10/2022</v>
      </c>
      <c r="AZ476">
        <v>35.799999999999997</v>
      </c>
      <c r="BA476">
        <v>37.299999999999997</v>
      </c>
      <c r="BB476">
        <f t="shared" si="109"/>
        <v>0.95978552278820373</v>
      </c>
    </row>
    <row r="477" spans="1:54" x14ac:dyDescent="0.3">
      <c r="A477" s="11">
        <v>44833</v>
      </c>
      <c r="B477">
        <v>0.43729903536977499</v>
      </c>
      <c r="C477">
        <v>3719.04</v>
      </c>
      <c r="D477">
        <v>104.33</v>
      </c>
      <c r="E477">
        <v>1659.83</v>
      </c>
      <c r="F477">
        <v>81.39</v>
      </c>
      <c r="G477">
        <v>40.79</v>
      </c>
      <c r="H477" s="12">
        <f t="shared" si="104"/>
        <v>125.70734656582408</v>
      </c>
      <c r="I477" s="12">
        <f t="shared" si="105"/>
        <v>85.772191605350599</v>
      </c>
      <c r="J477" s="12">
        <f t="shared" si="106"/>
        <v>131.26606511689477</v>
      </c>
      <c r="K477" s="12">
        <f t="shared" si="107"/>
        <v>145.69869790715427</v>
      </c>
      <c r="L477" s="55">
        <v>17.5462227469081</v>
      </c>
      <c r="M477" s="55">
        <v>16.3345250326757</v>
      </c>
      <c r="P477" s="12"/>
      <c r="Q477" s="12"/>
      <c r="R477" s="12"/>
      <c r="S477" s="12"/>
      <c r="T477" s="55">
        <v>15.524820226219999</v>
      </c>
      <c r="U477" s="55">
        <v>14.334489255622101</v>
      </c>
      <c r="V477">
        <v>0.50652173913043497</v>
      </c>
      <c r="W477" s="12"/>
      <c r="X477" s="12"/>
      <c r="Y477" t="str">
        <v>20150814</v>
      </c>
      <c r="Z477">
        <v>37.700000000000003</v>
      </c>
      <c r="AA477">
        <v>18.399999999999999</v>
      </c>
      <c r="AB477">
        <f t="shared" si="108"/>
        <v>2.0489130434782612</v>
      </c>
      <c r="AY477" t="str">
        <v>25/10/2022</v>
      </c>
      <c r="AZ477">
        <v>35.799999999999997</v>
      </c>
      <c r="BA477">
        <v>37.299999999999997</v>
      </c>
      <c r="BB477">
        <f t="shared" si="109"/>
        <v>0.95978552278820373</v>
      </c>
    </row>
    <row r="478" spans="1:54" x14ac:dyDescent="0.3">
      <c r="A478" s="11">
        <v>44832</v>
      </c>
      <c r="B478">
        <v>0.44186046511627902</v>
      </c>
      <c r="C478">
        <v>3647.29</v>
      </c>
      <c r="D478">
        <v>100.95</v>
      </c>
      <c r="E478">
        <v>1629.35</v>
      </c>
      <c r="F478">
        <v>81.040000000000006</v>
      </c>
      <c r="G478">
        <v>39.97</v>
      </c>
      <c r="H478" s="12">
        <f t="shared" si="104"/>
        <v>127.46764693184912</v>
      </c>
      <c r="I478" s="12">
        <f t="shared" si="105"/>
        <v>85.689476081205967</v>
      </c>
      <c r="J478" s="12">
        <f t="shared" si="106"/>
        <v>129.28117436929017</v>
      </c>
      <c r="K478" s="12">
        <f t="shared" si="107"/>
        <v>145.82166149868982</v>
      </c>
      <c r="L478" s="55">
        <v>17.5431404550115</v>
      </c>
      <c r="M478" s="55">
        <v>16.341575258233998</v>
      </c>
      <c r="P478" s="12"/>
      <c r="Q478" s="12"/>
      <c r="R478" s="12"/>
      <c r="S478" s="12"/>
      <c r="T478" s="55">
        <v>15.6129536534519</v>
      </c>
      <c r="U478" s="55">
        <v>14.4954159216307</v>
      </c>
      <c r="V478">
        <v>0.51099706744868001</v>
      </c>
      <c r="W478" s="12"/>
      <c r="X478" s="12"/>
      <c r="Y478" t="str">
        <v>20150807</v>
      </c>
      <c r="Z478">
        <v>40.200000000000003</v>
      </c>
      <c r="AA478">
        <v>18.600000000000001</v>
      </c>
      <c r="AB478">
        <f t="shared" si="108"/>
        <v>2.161290322580645</v>
      </c>
      <c r="AY478" t="str">
        <v>24/10/2022</v>
      </c>
      <c r="AZ478">
        <v>35.799999999999997</v>
      </c>
      <c r="BA478">
        <v>37.299999999999997</v>
      </c>
      <c r="BB478">
        <f t="shared" si="109"/>
        <v>0.95978552278820373</v>
      </c>
    </row>
    <row r="479" spans="1:54" x14ac:dyDescent="0.3">
      <c r="A479" s="11">
        <v>44831</v>
      </c>
      <c r="B479">
        <v>0.44673539518900302</v>
      </c>
      <c r="C479">
        <v>3655.04</v>
      </c>
      <c r="D479">
        <v>103.68</v>
      </c>
      <c r="E479">
        <v>1622.16</v>
      </c>
      <c r="F479">
        <v>81.040000000000006</v>
      </c>
      <c r="G479">
        <v>40.11</v>
      </c>
      <c r="H479" s="12">
        <f t="shared" si="104"/>
        <v>124.45452100186675</v>
      </c>
      <c r="I479" s="12">
        <f t="shared" si="105"/>
        <v>86.254678981088333</v>
      </c>
      <c r="J479" s="12">
        <f t="shared" si="106"/>
        <v>129.55587945206724</v>
      </c>
      <c r="K479" s="12">
        <f t="shared" si="107"/>
        <v>145.62215309627132</v>
      </c>
      <c r="L479" s="55">
        <v>17.631572689890099</v>
      </c>
      <c r="M479" s="55">
        <v>16.5087590272833</v>
      </c>
      <c r="P479" s="12"/>
      <c r="Q479" s="12"/>
      <c r="R479" s="12"/>
      <c r="S479" s="12"/>
      <c r="T479" s="55">
        <v>15.7491716683775</v>
      </c>
      <c r="U479" s="55">
        <v>14.7591543769009</v>
      </c>
      <c r="V479">
        <v>0.508955223880597</v>
      </c>
      <c r="W479" s="12"/>
      <c r="X479" s="12"/>
      <c r="Y479" t="str">
        <v>20150731</v>
      </c>
      <c r="Z479">
        <v>42.2</v>
      </c>
      <c r="AA479">
        <v>17.5</v>
      </c>
      <c r="AB479">
        <f t="shared" si="108"/>
        <v>2.4114285714285715</v>
      </c>
      <c r="AY479" t="str">
        <v>21/10/2022</v>
      </c>
      <c r="AZ479">
        <v>36.9</v>
      </c>
      <c r="BA479">
        <v>38.5</v>
      </c>
      <c r="BB479">
        <f t="shared" si="109"/>
        <v>0.95844155844155843</v>
      </c>
    </row>
    <row r="480" spans="1:54" x14ac:dyDescent="0.3">
      <c r="A480" s="11">
        <v>44828</v>
      </c>
      <c r="B480">
        <v>0.47491638795986602</v>
      </c>
      <c r="C480">
        <v>3693.23</v>
      </c>
      <c r="D480">
        <v>105.7</v>
      </c>
      <c r="E480">
        <v>1644.09</v>
      </c>
      <c r="F480">
        <v>81.22</v>
      </c>
      <c r="G480">
        <v>40.71</v>
      </c>
      <c r="H480" s="12">
        <f t="shared" si="104"/>
        <v>123.37252561718448</v>
      </c>
      <c r="I480" s="12">
        <f t="shared" si="105"/>
        <v>85.996848062565192</v>
      </c>
      <c r="J480" s="12">
        <f t="shared" si="106"/>
        <v>130.61705671477134</v>
      </c>
      <c r="K480" s="12">
        <f t="shared" si="107"/>
        <v>144.98453265240096</v>
      </c>
      <c r="L480" s="55">
        <v>17.6672124072823</v>
      </c>
      <c r="M480" s="55">
        <v>16.6018502342821</v>
      </c>
      <c r="P480" s="12"/>
      <c r="Q480" s="12"/>
      <c r="R480" s="12"/>
      <c r="S480" s="12"/>
      <c r="T480" s="55">
        <v>15.633921494979701</v>
      </c>
      <c r="U480" s="55">
        <v>14.542227601072501</v>
      </c>
      <c r="V480">
        <v>0.51013024602026003</v>
      </c>
      <c r="W480" s="12"/>
      <c r="X480" s="12"/>
      <c r="Y480" t="str">
        <v>20150724</v>
      </c>
      <c r="Z480">
        <v>43.3</v>
      </c>
      <c r="AA480">
        <v>17.5</v>
      </c>
      <c r="AB480">
        <f t="shared" si="108"/>
        <v>2.4742857142857142</v>
      </c>
      <c r="AY480" t="str">
        <v>20/10/2022</v>
      </c>
      <c r="AZ480">
        <v>36.9</v>
      </c>
      <c r="BA480">
        <v>38.5</v>
      </c>
      <c r="BB480">
        <f t="shared" si="109"/>
        <v>0.95844155844155843</v>
      </c>
    </row>
    <row r="481" spans="1:54" x14ac:dyDescent="0.3">
      <c r="A481" s="11">
        <v>44827</v>
      </c>
      <c r="B481">
        <v>0.481727574750831</v>
      </c>
      <c r="C481">
        <v>3757.99</v>
      </c>
      <c r="D481">
        <v>105.27</v>
      </c>
      <c r="E481">
        <v>1671.34</v>
      </c>
      <c r="F481">
        <v>81.319999999999993</v>
      </c>
      <c r="G481">
        <v>41.96</v>
      </c>
      <c r="H481" s="12">
        <f t="shared" si="104"/>
        <v>126.05978631187439</v>
      </c>
      <c r="I481" s="12">
        <f t="shared" si="105"/>
        <v>86.076756005708489</v>
      </c>
      <c r="J481" s="12">
        <f t="shared" si="106"/>
        <v>132.74130339274544</v>
      </c>
      <c r="K481" s="12">
        <f t="shared" si="107"/>
        <v>143.18644593602738</v>
      </c>
      <c r="L481" s="55">
        <v>17.609752839313</v>
      </c>
      <c r="M481" s="55">
        <v>16.489845674888901</v>
      </c>
      <c r="P481" s="12"/>
      <c r="Q481" s="12"/>
      <c r="R481" s="12"/>
      <c r="S481" s="12"/>
      <c r="T481" s="55">
        <v>15.716952371830899</v>
      </c>
      <c r="U481" s="55">
        <v>14.715674111889101</v>
      </c>
      <c r="V481">
        <v>0.511159107271418</v>
      </c>
      <c r="W481" s="12"/>
      <c r="X481" s="12"/>
      <c r="Y481" t="str">
        <v>20150717</v>
      </c>
      <c r="Z481">
        <v>49</v>
      </c>
      <c r="AA481">
        <v>15.6</v>
      </c>
      <c r="AB481">
        <f t="shared" si="108"/>
        <v>3.141025641025641</v>
      </c>
      <c r="AY481" t="str">
        <v>19/10/2022</v>
      </c>
      <c r="AZ481">
        <v>36.9</v>
      </c>
      <c r="BA481">
        <v>38.5</v>
      </c>
      <c r="BB481">
        <f t="shared" si="109"/>
        <v>0.95844155844155843</v>
      </c>
    </row>
    <row r="482" spans="1:54" x14ac:dyDescent="0.3">
      <c r="A482" s="11">
        <v>44826</v>
      </c>
      <c r="B482">
        <v>0.49337748344370902</v>
      </c>
      <c r="C482">
        <v>3789.93</v>
      </c>
      <c r="D482">
        <v>108.03</v>
      </c>
      <c r="E482">
        <v>1674.09</v>
      </c>
      <c r="F482">
        <v>81.47</v>
      </c>
      <c r="G482">
        <v>42.13</v>
      </c>
      <c r="H482" s="12">
        <f t="shared" si="104"/>
        <v>123.93786320076737</v>
      </c>
      <c r="I482" s="12">
        <f t="shared" si="105"/>
        <v>86.664768905592169</v>
      </c>
      <c r="J482" s="12">
        <f t="shared" si="106"/>
        <v>133.62139103193664</v>
      </c>
      <c r="K482" s="12">
        <f t="shared" si="107"/>
        <v>143.81816245806274</v>
      </c>
      <c r="L482" s="55">
        <v>17.6074077421077</v>
      </c>
      <c r="M482" s="55">
        <v>16.499858690021298</v>
      </c>
      <c r="P482" s="12"/>
      <c r="Q482" s="12"/>
      <c r="R482" s="12"/>
      <c r="S482" s="12"/>
      <c r="T482" s="55">
        <v>15.7338680953525</v>
      </c>
      <c r="U482" s="55">
        <v>14.775355207926101</v>
      </c>
      <c r="V482">
        <v>0.502853067047076</v>
      </c>
      <c r="W482" s="12"/>
      <c r="X482" s="12"/>
      <c r="Y482" t="str">
        <v>20150710</v>
      </c>
      <c r="Z482">
        <v>43.7</v>
      </c>
      <c r="AA482">
        <v>15.6</v>
      </c>
      <c r="AB482">
        <f t="shared" si="108"/>
        <v>2.8012820512820515</v>
      </c>
      <c r="AY482" t="str">
        <v>18/10/2022</v>
      </c>
      <c r="AZ482">
        <v>36.9</v>
      </c>
      <c r="BA482">
        <v>38.5</v>
      </c>
      <c r="BB482">
        <f t="shared" si="109"/>
        <v>0.95844155844155843</v>
      </c>
    </row>
    <row r="483" spans="1:54" x14ac:dyDescent="0.3">
      <c r="A483" s="11">
        <v>44825</v>
      </c>
      <c r="B483">
        <v>0.48986486486486502</v>
      </c>
      <c r="C483">
        <v>3855.93</v>
      </c>
      <c r="D483">
        <v>106.25</v>
      </c>
      <c r="E483">
        <v>1664.79</v>
      </c>
      <c r="F483">
        <v>81.540000000000006</v>
      </c>
      <c r="G483">
        <v>42.73</v>
      </c>
      <c r="H483" s="12">
        <f t="shared" si="104"/>
        <v>128.28272660358897</v>
      </c>
      <c r="I483" s="12">
        <f t="shared" si="105"/>
        <v>88.678006484479099</v>
      </c>
      <c r="J483" s="12">
        <f t="shared" si="106"/>
        <v>135.82971307827415</v>
      </c>
      <c r="K483" s="12">
        <f t="shared" si="107"/>
        <v>144.26174371614607</v>
      </c>
      <c r="L483" s="55">
        <v>17.661691461714799</v>
      </c>
      <c r="M483" s="55">
        <v>16.631551343022799</v>
      </c>
      <c r="P483" s="12"/>
      <c r="Q483" s="12"/>
      <c r="R483" s="12"/>
      <c r="S483" s="12"/>
      <c r="T483" s="55">
        <v>15.8551670060092</v>
      </c>
      <c r="U483" s="55">
        <v>15.0772071791448</v>
      </c>
      <c r="V483">
        <v>0.50251617541337201</v>
      </c>
      <c r="W483" s="12"/>
      <c r="X483" s="12"/>
      <c r="Y483" t="str">
        <v>20150703</v>
      </c>
      <c r="Z483">
        <v>44.8</v>
      </c>
      <c r="AA483">
        <v>15.6</v>
      </c>
      <c r="AB483">
        <f t="shared" si="108"/>
        <v>2.8717948717948718</v>
      </c>
      <c r="AY483" t="str">
        <v>17/10/2022</v>
      </c>
      <c r="AZ483">
        <v>36.9</v>
      </c>
      <c r="BA483">
        <v>38.5</v>
      </c>
      <c r="BB483">
        <f t="shared" si="109"/>
        <v>0.95844155844155843</v>
      </c>
    </row>
    <row r="484" spans="1:54" x14ac:dyDescent="0.3">
      <c r="A484" s="11">
        <v>44824</v>
      </c>
      <c r="B484">
        <v>0.48630136986301398</v>
      </c>
      <c r="C484">
        <v>3899.89</v>
      </c>
      <c r="D484">
        <v>107.32</v>
      </c>
      <c r="E484">
        <v>1675.85</v>
      </c>
      <c r="F484">
        <v>81.58</v>
      </c>
      <c r="G484">
        <v>43.35</v>
      </c>
      <c r="H484" s="12">
        <f t="shared" si="104"/>
        <v>128.44995948140416</v>
      </c>
      <c r="I484" s="12">
        <f t="shared" si="105"/>
        <v>89.09429752244877</v>
      </c>
      <c r="J484" s="12">
        <f t="shared" si="106"/>
        <v>137.31016332336378</v>
      </c>
      <c r="K484" s="12">
        <f t="shared" si="107"/>
        <v>143.82593980495281</v>
      </c>
      <c r="L484" s="55">
        <v>17.726436049015199</v>
      </c>
      <c r="M484" s="55">
        <v>16.803828261109199</v>
      </c>
      <c r="P484" s="12"/>
      <c r="Q484" s="12"/>
      <c r="R484" s="12"/>
      <c r="S484" s="12"/>
      <c r="T484" s="55">
        <v>15.920384190345199</v>
      </c>
      <c r="U484" s="55">
        <v>15.266688191936099</v>
      </c>
      <c r="V484">
        <v>0.49817651349379999</v>
      </c>
      <c r="W484" s="12"/>
      <c r="X484" s="12"/>
      <c r="Y484" t="str">
        <v>20150626</v>
      </c>
      <c r="Z484">
        <v>49.5</v>
      </c>
      <c r="AA484">
        <v>15.4</v>
      </c>
      <c r="AB484">
        <f t="shared" si="108"/>
        <v>3.2142857142857144</v>
      </c>
      <c r="AY484" t="str">
        <v>14/10/2022</v>
      </c>
      <c r="AZ484">
        <v>31.3</v>
      </c>
      <c r="BA484">
        <v>40.299999999999997</v>
      </c>
      <c r="BB484">
        <f t="shared" si="109"/>
        <v>0.77667493796526066</v>
      </c>
    </row>
    <row r="485" spans="1:54" x14ac:dyDescent="0.3">
      <c r="A485" s="11">
        <v>44821</v>
      </c>
      <c r="B485">
        <v>0.52103559870550198</v>
      </c>
      <c r="C485">
        <v>3873.33</v>
      </c>
      <c r="D485">
        <v>107.07</v>
      </c>
      <c r="E485">
        <v>1672.66</v>
      </c>
      <c r="F485">
        <v>81.67</v>
      </c>
      <c r="G485">
        <v>43.15</v>
      </c>
      <c r="H485" s="12">
        <f t="shared" si="104"/>
        <v>127.87169456492855</v>
      </c>
      <c r="I485" s="12">
        <f t="shared" si="105"/>
        <v>88.655452426477709</v>
      </c>
      <c r="J485" s="12">
        <f t="shared" si="106"/>
        <v>136.22592151639927</v>
      </c>
      <c r="K485" s="12">
        <f t="shared" si="107"/>
        <v>143.50704497171822</v>
      </c>
      <c r="L485" s="55">
        <v>17.7247801855879</v>
      </c>
      <c r="M485" s="55">
        <v>16.8180588055152</v>
      </c>
      <c r="P485" s="12"/>
      <c r="Q485" s="12"/>
      <c r="R485" s="12"/>
      <c r="S485" s="12"/>
      <c r="T485" s="55">
        <v>15.866228298866799</v>
      </c>
      <c r="U485" s="55">
        <v>15.164638106711299</v>
      </c>
      <c r="V485">
        <v>0.50311418685121101</v>
      </c>
      <c r="W485" s="12"/>
      <c r="X485" s="12"/>
      <c r="Y485" t="str">
        <v>20150619</v>
      </c>
      <c r="Z485">
        <v>51.6</v>
      </c>
      <c r="AA485">
        <v>15.4</v>
      </c>
      <c r="AB485">
        <f t="shared" si="108"/>
        <v>3.3506493506493507</v>
      </c>
      <c r="AY485" t="str">
        <v>13/10/2022</v>
      </c>
      <c r="AZ485">
        <v>31.3</v>
      </c>
      <c r="BA485">
        <v>40.299999999999997</v>
      </c>
      <c r="BB485">
        <f t="shared" si="109"/>
        <v>0.77667493796526066</v>
      </c>
    </row>
    <row r="486" spans="1:54" x14ac:dyDescent="0.3">
      <c r="A486" s="11">
        <v>44820</v>
      </c>
      <c r="B486">
        <v>0.53525641025641002</v>
      </c>
      <c r="C486">
        <v>3901.35</v>
      </c>
      <c r="D486">
        <v>107.97</v>
      </c>
      <c r="E486">
        <v>1664.51</v>
      </c>
      <c r="F486">
        <v>81.63</v>
      </c>
      <c r="G486">
        <v>43.49</v>
      </c>
      <c r="H486" s="12">
        <f t="shared" si="104"/>
        <v>127.72436201908921</v>
      </c>
      <c r="I486" s="12">
        <f t="shared" si="105"/>
        <v>89.739366231535186</v>
      </c>
      <c r="J486" s="12">
        <f t="shared" si="106"/>
        <v>137.27914706402311</v>
      </c>
      <c r="K486" s="12">
        <f t="shared" si="107"/>
        <v>143.41586691351029</v>
      </c>
      <c r="L486" s="55">
        <v>17.713801449356101</v>
      </c>
      <c r="M486" s="55">
        <v>16.799474889141699</v>
      </c>
      <c r="P486" s="12"/>
      <c r="Q486" s="12"/>
      <c r="R486" s="12"/>
      <c r="S486" s="12"/>
      <c r="T486" s="55">
        <v>15.8624392991536</v>
      </c>
      <c r="U486" s="55">
        <v>15.187410485451</v>
      </c>
      <c r="V486">
        <v>0.50620689655172402</v>
      </c>
      <c r="W486" s="12"/>
      <c r="X486" s="12"/>
      <c r="Y486" t="str">
        <v>20150612</v>
      </c>
      <c r="Z486">
        <v>45.5</v>
      </c>
      <c r="AA486">
        <v>16.5</v>
      </c>
      <c r="AB486">
        <f t="shared" si="108"/>
        <v>2.7575757575757578</v>
      </c>
      <c r="AY486" t="str">
        <v>12/10/2022</v>
      </c>
      <c r="AZ486">
        <v>31.3</v>
      </c>
      <c r="BA486">
        <v>40.299999999999997</v>
      </c>
      <c r="BB486">
        <f t="shared" si="109"/>
        <v>0.77667493796526066</v>
      </c>
    </row>
    <row r="487" spans="1:54" x14ac:dyDescent="0.3">
      <c r="A487" s="11">
        <v>44819</v>
      </c>
      <c r="B487">
        <v>0.54662379421221896</v>
      </c>
      <c r="C487">
        <v>3946.01</v>
      </c>
      <c r="D487">
        <v>108.04</v>
      </c>
      <c r="E487">
        <v>1697.61</v>
      </c>
      <c r="F487">
        <v>81.72</v>
      </c>
      <c r="G487">
        <v>43.89</v>
      </c>
      <c r="H487" s="12">
        <f t="shared" si="104"/>
        <v>129.10185992570521</v>
      </c>
      <c r="I487" s="12">
        <f t="shared" si="105"/>
        <v>89.011233102763086</v>
      </c>
      <c r="J487" s="12">
        <f t="shared" si="106"/>
        <v>138.6961277171736</v>
      </c>
      <c r="K487" s="12">
        <f t="shared" si="107"/>
        <v>143.73266350089057</v>
      </c>
      <c r="L487" s="55">
        <v>17.696953325714301</v>
      </c>
      <c r="M487" s="55">
        <v>16.756676218243101</v>
      </c>
      <c r="P487" s="12"/>
      <c r="Q487" s="12"/>
      <c r="R487" s="12"/>
      <c r="S487" s="12"/>
      <c r="T487" s="55">
        <v>15.861331605614501</v>
      </c>
      <c r="U487" s="55">
        <v>15.2113086891802</v>
      </c>
      <c r="V487">
        <v>0.50829875518672196</v>
      </c>
      <c r="W487" s="12"/>
      <c r="X487" s="12"/>
      <c r="Y487" t="str">
        <v>20150605</v>
      </c>
      <c r="Z487">
        <v>47.4</v>
      </c>
      <c r="AA487">
        <v>16.5</v>
      </c>
      <c r="AB487">
        <f t="shared" si="108"/>
        <v>2.8727272727272726</v>
      </c>
      <c r="AY487" t="str">
        <v>11/10/2022</v>
      </c>
      <c r="AZ487">
        <v>31.3</v>
      </c>
      <c r="BA487">
        <v>40.299999999999997</v>
      </c>
      <c r="BB487">
        <f t="shared" si="109"/>
        <v>0.77667493796526066</v>
      </c>
    </row>
    <row r="488" spans="1:54" x14ac:dyDescent="0.3">
      <c r="A488" s="11">
        <v>44818</v>
      </c>
      <c r="B488">
        <v>0.53921568627451</v>
      </c>
      <c r="C488">
        <v>3932.69</v>
      </c>
      <c r="D488">
        <v>107.67</v>
      </c>
      <c r="E488">
        <v>1702.27</v>
      </c>
      <c r="F488">
        <v>81.790000000000006</v>
      </c>
      <c r="G488">
        <v>43.7</v>
      </c>
      <c r="H488" s="12">
        <f t="shared" si="104"/>
        <v>129.10824193516027</v>
      </c>
      <c r="I488" s="12">
        <f t="shared" si="105"/>
        <v>88.46940086577446</v>
      </c>
      <c r="J488" s="12">
        <f t="shared" si="106"/>
        <v>138.11014776713674</v>
      </c>
      <c r="K488" s="12">
        <f t="shared" si="107"/>
        <v>143.87089918332723</v>
      </c>
      <c r="L488" s="55">
        <v>17.756631999294701</v>
      </c>
      <c r="M488" s="55">
        <v>16.932656926141</v>
      </c>
      <c r="P488" s="12"/>
      <c r="Q488" s="12"/>
      <c r="R488" s="12"/>
      <c r="S488" s="12"/>
      <c r="T488" s="55">
        <v>15.938084609163701</v>
      </c>
      <c r="U488" s="55">
        <v>15.4725549192923</v>
      </c>
      <c r="V488">
        <v>0.50593990216631701</v>
      </c>
      <c r="W488" s="12"/>
      <c r="X488" s="12"/>
      <c r="Y488" t="str">
        <v>20150529</v>
      </c>
      <c r="Z488">
        <v>51.5</v>
      </c>
      <c r="AA488">
        <v>15.8</v>
      </c>
      <c r="AB488">
        <f t="shared" si="108"/>
        <v>3.259493670886076</v>
      </c>
      <c r="AY488" t="str">
        <v>10/10/2022</v>
      </c>
      <c r="AZ488">
        <v>31.3</v>
      </c>
      <c r="BA488">
        <v>40.299999999999997</v>
      </c>
      <c r="BB488">
        <f t="shared" si="109"/>
        <v>0.77667493796526066</v>
      </c>
    </row>
    <row r="489" spans="1:54" x14ac:dyDescent="0.3">
      <c r="A489" s="11">
        <v>44817</v>
      </c>
      <c r="B489">
        <v>0.53488372093023295</v>
      </c>
      <c r="C489">
        <v>4110.41</v>
      </c>
      <c r="D489">
        <v>107.42</v>
      </c>
      <c r="E489">
        <v>1724.52</v>
      </c>
      <c r="F489">
        <v>82.07</v>
      </c>
      <c r="G489">
        <v>45.24</v>
      </c>
      <c r="H489" s="12">
        <f t="shared" si="104"/>
        <v>135.27174706154511</v>
      </c>
      <c r="I489" s="12">
        <f t="shared" si="105"/>
        <v>91.237023220158648</v>
      </c>
      <c r="J489" s="12">
        <f t="shared" si="106"/>
        <v>143.83849288682035</v>
      </c>
      <c r="K489" s="12">
        <f t="shared" si="107"/>
        <v>145.20619953838519</v>
      </c>
      <c r="L489" s="55">
        <v>17.6640653010565</v>
      </c>
      <c r="M489" s="55">
        <v>16.639775011348</v>
      </c>
      <c r="P489" s="12"/>
      <c r="Q489" s="12"/>
      <c r="R489" s="12"/>
      <c r="S489" s="12"/>
      <c r="T489" s="55">
        <v>15.8634997737528</v>
      </c>
      <c r="U489" s="55">
        <v>15.266174441010699</v>
      </c>
      <c r="V489">
        <v>0.50492957746478895</v>
      </c>
      <c r="W489" s="12"/>
      <c r="X489" s="12"/>
      <c r="Y489" t="str">
        <v>20150522</v>
      </c>
      <c r="Z489">
        <v>48.5</v>
      </c>
      <c r="AA489">
        <v>14.9</v>
      </c>
      <c r="AB489">
        <f t="shared" si="108"/>
        <v>3.2550335570469797</v>
      </c>
      <c r="AY489" t="str">
        <v>07/10/2022</v>
      </c>
      <c r="AZ489">
        <v>25</v>
      </c>
      <c r="BA489">
        <v>44.1</v>
      </c>
      <c r="BB489">
        <f t="shared" si="109"/>
        <v>0.56689342403628118</v>
      </c>
    </row>
    <row r="490" spans="1:54" x14ac:dyDescent="0.3">
      <c r="A490" s="11">
        <v>44814</v>
      </c>
      <c r="B490">
        <v>0.560606060606061</v>
      </c>
      <c r="C490">
        <v>4067.36</v>
      </c>
      <c r="D490">
        <v>108.31</v>
      </c>
      <c r="E490">
        <v>1717.05</v>
      </c>
      <c r="F490">
        <v>82.08</v>
      </c>
      <c r="G490">
        <v>44.61</v>
      </c>
      <c r="H490" s="12">
        <f t="shared" si="104"/>
        <v>132.77538193651571</v>
      </c>
      <c r="I490" s="12">
        <f t="shared" si="105"/>
        <v>90.671795539041014</v>
      </c>
      <c r="J490" s="12">
        <f t="shared" si="106"/>
        <v>142.31485673799253</v>
      </c>
      <c r="K490" s="12">
        <f t="shared" si="107"/>
        <v>145.72178259173305</v>
      </c>
      <c r="L490" s="55">
        <v>17.710106744702799</v>
      </c>
      <c r="M490" s="55">
        <v>16.792284166285299</v>
      </c>
      <c r="P490" s="12"/>
      <c r="Q490" s="12"/>
      <c r="R490" s="12"/>
      <c r="S490" s="12"/>
      <c r="T490" s="55">
        <v>15.894998864685901</v>
      </c>
      <c r="U490" s="55">
        <v>15.398586395268801</v>
      </c>
      <c r="V490">
        <v>0.50639730639730596</v>
      </c>
      <c r="W490" s="12"/>
      <c r="X490" s="12"/>
      <c r="Y490" t="str">
        <v>20150515</v>
      </c>
      <c r="Z490">
        <v>50.6</v>
      </c>
      <c r="AA490">
        <v>15.8</v>
      </c>
      <c r="AB490">
        <f t="shared" si="108"/>
        <v>3.20253164556962</v>
      </c>
      <c r="AY490" t="str">
        <v>06/10/2022</v>
      </c>
      <c r="AZ490">
        <v>25</v>
      </c>
      <c r="BA490">
        <v>44.1</v>
      </c>
      <c r="BB490">
        <f t="shared" si="109"/>
        <v>0.56689342403628118</v>
      </c>
    </row>
    <row r="491" spans="1:54" x14ac:dyDescent="0.3">
      <c r="A491" s="11">
        <v>44813</v>
      </c>
      <c r="B491">
        <v>0.57401812688821796</v>
      </c>
      <c r="C491">
        <v>4006.18</v>
      </c>
      <c r="D491">
        <v>108.07</v>
      </c>
      <c r="E491">
        <v>1709.02</v>
      </c>
      <c r="F491">
        <v>82.15</v>
      </c>
      <c r="G491">
        <v>43.64</v>
      </c>
      <c r="H491" s="12">
        <f t="shared" si="104"/>
        <v>131.06490331419153</v>
      </c>
      <c r="I491" s="12">
        <f t="shared" si="105"/>
        <v>89.723169827589615</v>
      </c>
      <c r="J491" s="12">
        <f t="shared" si="106"/>
        <v>140.05665253120546</v>
      </c>
      <c r="K491" s="12">
        <f t="shared" si="107"/>
        <v>146.74251009616697</v>
      </c>
      <c r="L491" s="55">
        <v>17.640411109957899</v>
      </c>
      <c r="M491" s="55">
        <v>16.515822040643101</v>
      </c>
      <c r="P491" s="12"/>
      <c r="Q491" s="12"/>
      <c r="R491" s="12"/>
      <c r="S491" s="12"/>
      <c r="T491" s="55">
        <v>15.775439475829801</v>
      </c>
      <c r="U491" s="55">
        <v>14.9738859255195</v>
      </c>
      <c r="V491">
        <v>0.50201884253028295</v>
      </c>
      <c r="W491" s="12"/>
      <c r="X491" s="12"/>
      <c r="Y491" t="str">
        <v>20150508</v>
      </c>
      <c r="Z491">
        <v>47.5</v>
      </c>
      <c r="AA491">
        <v>15.8</v>
      </c>
      <c r="AB491">
        <f t="shared" si="108"/>
        <v>3.0063291139240507</v>
      </c>
      <c r="AY491" t="str">
        <v>05/10/2022</v>
      </c>
      <c r="AZ491">
        <v>25</v>
      </c>
      <c r="BA491">
        <v>44.1</v>
      </c>
      <c r="BB491">
        <f t="shared" si="109"/>
        <v>0.56689342403628118</v>
      </c>
    </row>
    <row r="492" spans="1:54" x14ac:dyDescent="0.3">
      <c r="A492" s="11">
        <v>44812</v>
      </c>
      <c r="B492">
        <v>0.58630952380952395</v>
      </c>
      <c r="C492">
        <v>3979.87</v>
      </c>
      <c r="D492">
        <v>109.19</v>
      </c>
      <c r="E492">
        <v>1718.62</v>
      </c>
      <c r="F492">
        <v>82.25</v>
      </c>
      <c r="G492">
        <v>43.62</v>
      </c>
      <c r="H492" s="12">
        <f t="shared" si="104"/>
        <v>128.89075875196443</v>
      </c>
      <c r="I492" s="12">
        <f t="shared" si="105"/>
        <v>88.642034337603448</v>
      </c>
      <c r="J492" s="12">
        <f t="shared" si="106"/>
        <v>138.96900133567499</v>
      </c>
      <c r="K492" s="12">
        <f t="shared" si="107"/>
        <v>145.84523181141896</v>
      </c>
      <c r="L492" s="55">
        <v>17.638520354028898</v>
      </c>
      <c r="M492" s="55">
        <v>16.484126976570799</v>
      </c>
      <c r="P492" s="12"/>
      <c r="Q492" s="12"/>
      <c r="R492" s="12"/>
      <c r="S492" s="12"/>
      <c r="T492" s="55">
        <v>15.7482046694463</v>
      </c>
      <c r="U492" s="55">
        <v>14.856200159828999</v>
      </c>
      <c r="V492">
        <v>0.49800531914893598</v>
      </c>
      <c r="W492" s="12"/>
      <c r="X492" s="12"/>
      <c r="Y492" t="str">
        <v>20150501</v>
      </c>
      <c r="Z492">
        <v>52.5</v>
      </c>
      <c r="AA492">
        <v>13.9</v>
      </c>
      <c r="AB492">
        <f t="shared" si="108"/>
        <v>3.7769784172661871</v>
      </c>
      <c r="AY492" t="str">
        <v>04/10/2022</v>
      </c>
      <c r="AZ492">
        <v>25</v>
      </c>
      <c r="BA492">
        <v>44.1</v>
      </c>
      <c r="BB492">
        <f t="shared" si="109"/>
        <v>0.56689342403628118</v>
      </c>
    </row>
    <row r="493" spans="1:54" x14ac:dyDescent="0.3">
      <c r="A493" s="11">
        <v>44811</v>
      </c>
      <c r="B493">
        <v>0.57657657657657702</v>
      </c>
      <c r="C493">
        <v>3908.19</v>
      </c>
      <c r="D493">
        <v>107.49</v>
      </c>
      <c r="E493">
        <v>1702.11</v>
      </c>
      <c r="F493">
        <v>82.13</v>
      </c>
      <c r="G493">
        <v>43.25</v>
      </c>
      <c r="H493" s="12">
        <f t="shared" si="104"/>
        <v>128.56605919764138</v>
      </c>
      <c r="I493" s="12">
        <f t="shared" si="105"/>
        <v>87.882619050725111</v>
      </c>
      <c r="J493" s="12">
        <f t="shared" si="106"/>
        <v>136.66216142317691</v>
      </c>
      <c r="K493" s="12">
        <f t="shared" si="107"/>
        <v>144.43181372757994</v>
      </c>
      <c r="L493" s="55">
        <v>17.734286638472501</v>
      </c>
      <c r="M493" s="55">
        <v>16.875524188302101</v>
      </c>
      <c r="P493" s="12"/>
      <c r="Q493" s="12"/>
      <c r="R493" s="12"/>
      <c r="S493" s="12"/>
      <c r="T493" s="55">
        <v>15.800993616872701</v>
      </c>
      <c r="U493" s="55">
        <v>15.067298736518101</v>
      </c>
      <c r="V493">
        <v>0.49832775919732403</v>
      </c>
      <c r="W493" s="12"/>
      <c r="X493" s="12"/>
      <c r="Y493" t="str">
        <v>20150424</v>
      </c>
      <c r="Z493">
        <v>57.4</v>
      </c>
      <c r="AA493">
        <v>13.9</v>
      </c>
      <c r="AB493">
        <f t="shared" si="108"/>
        <v>4.1294964028776979</v>
      </c>
      <c r="AY493" t="str">
        <v>03/10/2022</v>
      </c>
      <c r="AZ493">
        <v>25</v>
      </c>
      <c r="BA493">
        <v>44.1</v>
      </c>
      <c r="BB493">
        <f t="shared" si="109"/>
        <v>0.56689342403628118</v>
      </c>
    </row>
    <row r="494" spans="1:54" x14ac:dyDescent="0.3">
      <c r="A494" s="11">
        <v>44807</v>
      </c>
      <c r="B494">
        <v>0.59090909090909105</v>
      </c>
      <c r="C494">
        <v>3924.26</v>
      </c>
      <c r="D494">
        <v>110.22</v>
      </c>
      <c r="E494">
        <v>1712.44</v>
      </c>
      <c r="F494">
        <v>82.31</v>
      </c>
      <c r="G494">
        <v>43.5</v>
      </c>
      <c r="H494" s="12">
        <f t="shared" si="104"/>
        <v>125.96197116642095</v>
      </c>
      <c r="I494" s="12">
        <f t="shared" si="105"/>
        <v>87.712694251092401</v>
      </c>
      <c r="J494" s="12">
        <f t="shared" si="106"/>
        <v>136.92343667120454</v>
      </c>
      <c r="K494" s="12">
        <f t="shared" si="107"/>
        <v>144.1935933862982</v>
      </c>
      <c r="L494" s="55">
        <v>17.649188294295801</v>
      </c>
      <c r="M494" s="55">
        <v>16.439700742453301</v>
      </c>
      <c r="P494" s="12"/>
      <c r="Q494" s="12"/>
      <c r="R494" s="12"/>
      <c r="S494" s="12"/>
      <c r="T494" s="55">
        <v>15.7270198157363</v>
      </c>
      <c r="U494" s="55">
        <v>14.692301118013299</v>
      </c>
      <c r="V494">
        <v>0.50358306188925095</v>
      </c>
      <c r="W494" s="12"/>
      <c r="X494" s="12"/>
      <c r="Y494" t="str">
        <v>20150417</v>
      </c>
      <c r="Z494">
        <v>52.5</v>
      </c>
      <c r="AA494">
        <v>15.2</v>
      </c>
      <c r="AB494">
        <f t="shared" si="108"/>
        <v>3.4539473684210527</v>
      </c>
      <c r="AY494" t="str">
        <v>30/09/2022</v>
      </c>
      <c r="AZ494">
        <v>25.4</v>
      </c>
      <c r="BA494">
        <v>41.8</v>
      </c>
      <c r="BB494">
        <f t="shared" si="109"/>
        <v>0.60765550239234456</v>
      </c>
    </row>
    <row r="495" spans="1:54" x14ac:dyDescent="0.3">
      <c r="A495" s="11">
        <v>44806</v>
      </c>
      <c r="B495">
        <v>0.57512953367875697</v>
      </c>
      <c r="C495">
        <v>3966.85</v>
      </c>
      <c r="D495">
        <v>109.6</v>
      </c>
      <c r="E495">
        <v>1697.3</v>
      </c>
      <c r="F495">
        <v>82.13</v>
      </c>
      <c r="G495">
        <v>43.79</v>
      </c>
      <c r="H495" s="12">
        <f t="shared" si="104"/>
        <v>128.06133347917174</v>
      </c>
      <c r="I495" s="12">
        <f t="shared" si="105"/>
        <v>89.471391161715289</v>
      </c>
      <c r="J495" s="12">
        <f t="shared" si="106"/>
        <v>138.71678473626486</v>
      </c>
      <c r="K495" s="12">
        <f t="shared" si="107"/>
        <v>144.78925086378285</v>
      </c>
      <c r="L495" s="55">
        <v>17.685998657230499</v>
      </c>
      <c r="M495" s="55">
        <v>16.5703140072374</v>
      </c>
      <c r="P495" s="12"/>
      <c r="Q495" s="12"/>
      <c r="R495" s="12"/>
      <c r="S495" s="12"/>
      <c r="T495" s="55">
        <v>15.7573679780083</v>
      </c>
      <c r="U495" s="55">
        <v>14.7956013245085</v>
      </c>
      <c r="V495">
        <v>0.51063829787234005</v>
      </c>
      <c r="W495" s="12"/>
      <c r="X495" s="12"/>
      <c r="Y495" t="str">
        <v>20150410</v>
      </c>
      <c r="Z495">
        <v>50.5</v>
      </c>
      <c r="AA495">
        <v>13.9</v>
      </c>
      <c r="AB495">
        <f t="shared" si="108"/>
        <v>3.6330935251798562</v>
      </c>
      <c r="AY495" t="str">
        <v>29/09/2022</v>
      </c>
      <c r="AZ495">
        <v>25.4</v>
      </c>
      <c r="BA495">
        <v>41.8</v>
      </c>
      <c r="BB495">
        <f t="shared" si="109"/>
        <v>0.60765550239234456</v>
      </c>
    </row>
    <row r="496" spans="1:54" x14ac:dyDescent="0.3">
      <c r="A496" s="11">
        <v>44804</v>
      </c>
      <c r="B496">
        <v>0.58928571428571397</v>
      </c>
      <c r="C496">
        <v>3955</v>
      </c>
      <c r="D496">
        <v>111.88</v>
      </c>
      <c r="E496">
        <v>1711.21</v>
      </c>
      <c r="F496">
        <v>82.29</v>
      </c>
      <c r="G496">
        <v>44.27</v>
      </c>
      <c r="H496" s="12">
        <f t="shared" si="104"/>
        <v>125.13625049756619</v>
      </c>
      <c r="I496" s="12">
        <f t="shared" si="105"/>
        <v>88.486977227029826</v>
      </c>
      <c r="J496" s="12">
        <f t="shared" si="106"/>
        <v>138.0348167520921</v>
      </c>
      <c r="K496" s="12">
        <f t="shared" si="107"/>
        <v>142.81289683564037</v>
      </c>
      <c r="L496" s="55">
        <v>17.743899717567398</v>
      </c>
      <c r="M496" s="55">
        <v>16.854607951699698</v>
      </c>
      <c r="P496" s="12"/>
      <c r="Q496" s="12"/>
      <c r="R496" s="12"/>
      <c r="S496" s="12"/>
      <c r="T496" s="55">
        <v>15.7823775771023</v>
      </c>
      <c r="U496" s="55">
        <v>14.8849533805124</v>
      </c>
      <c r="V496">
        <v>0.52258064516128999</v>
      </c>
      <c r="W496" s="12"/>
      <c r="X496" s="12"/>
      <c r="Y496" t="str">
        <v>20150403</v>
      </c>
      <c r="Z496">
        <v>50.4</v>
      </c>
      <c r="AA496">
        <v>14.2</v>
      </c>
      <c r="AB496">
        <f t="shared" si="108"/>
        <v>3.5492957746478875</v>
      </c>
      <c r="AY496" t="str">
        <v>28/09/2022</v>
      </c>
      <c r="AZ496">
        <v>25.4</v>
      </c>
      <c r="BA496">
        <v>41.8</v>
      </c>
      <c r="BB496">
        <f t="shared" si="109"/>
        <v>0.60765550239234456</v>
      </c>
    </row>
    <row r="497" spans="1:54" x14ac:dyDescent="0.3">
      <c r="A497" s="11">
        <v>44804</v>
      </c>
      <c r="B497">
        <v>0.58974358974358998</v>
      </c>
      <c r="C497">
        <v>3986.16</v>
      </c>
      <c r="D497">
        <v>112.96</v>
      </c>
      <c r="E497">
        <v>1724.1</v>
      </c>
      <c r="F497">
        <v>82.3</v>
      </c>
      <c r="G497">
        <v>44.46</v>
      </c>
      <c r="H497" s="12">
        <f t="shared" si="104"/>
        <v>124.91841033685044</v>
      </c>
      <c r="I497" s="12">
        <f t="shared" si="105"/>
        <v>88.517133465576634</v>
      </c>
      <c r="J497" s="12">
        <f t="shared" si="106"/>
        <v>139.10530724993504</v>
      </c>
      <c r="K497" s="12">
        <f t="shared" si="107"/>
        <v>143.32076007004284</v>
      </c>
      <c r="L497" s="55">
        <v>17.7886060965502</v>
      </c>
      <c r="M497" s="55">
        <v>16.904967949542399</v>
      </c>
      <c r="P497" s="12"/>
      <c r="Q497" s="12"/>
      <c r="R497" s="12"/>
      <c r="S497" s="12"/>
      <c r="T497" s="55">
        <v>15.540999046145</v>
      </c>
      <c r="U497" s="55">
        <v>14.675924289578401</v>
      </c>
      <c r="V497">
        <v>0.52018229166666696</v>
      </c>
      <c r="W497" s="12"/>
      <c r="X497" s="12"/>
      <c r="Y497" t="str">
        <v>20150327</v>
      </c>
      <c r="Z497">
        <v>54.5</v>
      </c>
      <c r="AA497">
        <v>14.2</v>
      </c>
      <c r="AB497">
        <f t="shared" si="108"/>
        <v>3.8380281690140845</v>
      </c>
      <c r="AY497" t="str">
        <v>27/09/2022</v>
      </c>
      <c r="AZ497">
        <v>25.4</v>
      </c>
      <c r="BA497">
        <v>41.8</v>
      </c>
      <c r="BB497">
        <f t="shared" si="109"/>
        <v>0.60765550239234456</v>
      </c>
    </row>
    <row r="498" spans="1:54" x14ac:dyDescent="0.3">
      <c r="A498" s="11">
        <v>44803</v>
      </c>
      <c r="B498">
        <v>0.5859375</v>
      </c>
      <c r="C498">
        <v>4030.61</v>
      </c>
      <c r="D498">
        <v>112.68</v>
      </c>
      <c r="E498">
        <v>1737.58</v>
      </c>
      <c r="F498">
        <v>82.34</v>
      </c>
      <c r="G498">
        <v>44.87</v>
      </c>
      <c r="H498" s="12">
        <f t="shared" si="104"/>
        <v>126.62955814386328</v>
      </c>
      <c r="I498" s="12">
        <f t="shared" si="105"/>
        <v>88.807551140098298</v>
      </c>
      <c r="J498" s="12">
        <f t="shared" si="106"/>
        <v>140.58742441392786</v>
      </c>
      <c r="K498" s="12">
        <f t="shared" si="107"/>
        <v>143.59223541398759</v>
      </c>
      <c r="L498" s="55">
        <v>17.6873197365117</v>
      </c>
      <c r="M498" s="55">
        <v>16.803387245679801</v>
      </c>
      <c r="P498" s="12"/>
      <c r="Q498" s="12"/>
      <c r="R498" s="12"/>
      <c r="S498" s="12"/>
      <c r="T498" s="55">
        <v>15.375060121728101</v>
      </c>
      <c r="U498" s="55">
        <v>14.521403827893399</v>
      </c>
      <c r="V498">
        <v>0.51976284584980204</v>
      </c>
      <c r="W498" s="12"/>
      <c r="X498" s="12"/>
      <c r="Y498" t="str">
        <v>20150320</v>
      </c>
      <c r="Z498">
        <v>56.6</v>
      </c>
      <c r="AA498">
        <v>14.1</v>
      </c>
      <c r="AB498">
        <f t="shared" si="108"/>
        <v>4.0141843971631204</v>
      </c>
      <c r="AY498" t="str">
        <v>26/09/2022</v>
      </c>
      <c r="AZ498">
        <v>25.4</v>
      </c>
      <c r="BA498">
        <v>41.8</v>
      </c>
      <c r="BB498">
        <f t="shared" si="109"/>
        <v>0.60765550239234456</v>
      </c>
    </row>
    <row r="499" spans="1:54" x14ac:dyDescent="0.3">
      <c r="A499" s="11">
        <v>44800</v>
      </c>
      <c r="B499">
        <v>0.57611241217798603</v>
      </c>
      <c r="C499">
        <v>4057.66</v>
      </c>
      <c r="D499">
        <v>113.62</v>
      </c>
      <c r="E499">
        <v>1737.86</v>
      </c>
      <c r="F499">
        <v>82.4</v>
      </c>
      <c r="G499">
        <v>45.04</v>
      </c>
      <c r="H499" s="12">
        <f t="shared" si="104"/>
        <v>126.42641774980943</v>
      </c>
      <c r="I499" s="12">
        <f t="shared" si="105"/>
        <v>89.389052500185159</v>
      </c>
      <c r="J499" s="12">
        <f t="shared" si="106"/>
        <v>141.42725458921927</v>
      </c>
      <c r="K499" s="12">
        <f t="shared" si="107"/>
        <v>144.00870586295861</v>
      </c>
      <c r="L499" s="55">
        <v>17.348826443236099</v>
      </c>
      <c r="M499" s="55">
        <v>16.477813315475501</v>
      </c>
      <c r="P499" s="12"/>
      <c r="Q499" s="12"/>
      <c r="R499" s="12"/>
      <c r="S499" s="12"/>
      <c r="T499" s="55">
        <v>15.1323956508636</v>
      </c>
      <c r="U499" s="55">
        <v>14.3164163818511</v>
      </c>
      <c r="V499">
        <v>0.52359693877550995</v>
      </c>
      <c r="W499" s="12"/>
      <c r="X499" s="12"/>
      <c r="Y499" t="str">
        <v>20150313</v>
      </c>
      <c r="Z499">
        <v>52</v>
      </c>
      <c r="AA499">
        <v>14.3</v>
      </c>
      <c r="AB499">
        <f t="shared" si="108"/>
        <v>3.6363636363636362</v>
      </c>
      <c r="AY499" t="str">
        <v>23/09/2022</v>
      </c>
      <c r="AZ499">
        <v>25.4</v>
      </c>
      <c r="BA499">
        <v>34.299999999999997</v>
      </c>
      <c r="BB499">
        <f t="shared" si="109"/>
        <v>0.74052478134110788</v>
      </c>
    </row>
    <row r="500" spans="1:54" x14ac:dyDescent="0.3">
      <c r="A500" s="11">
        <v>44799</v>
      </c>
      <c r="B500">
        <v>0.57011494252873596</v>
      </c>
      <c r="C500">
        <v>4199.12</v>
      </c>
      <c r="D500">
        <v>112.77</v>
      </c>
      <c r="E500">
        <v>1758.55</v>
      </c>
      <c r="F500">
        <v>82.42</v>
      </c>
      <c r="G500">
        <v>46.09</v>
      </c>
      <c r="H500" s="12">
        <f t="shared" si="104"/>
        <v>131.86251266140135</v>
      </c>
      <c r="I500" s="12">
        <f t="shared" si="105"/>
        <v>91.392619627759402</v>
      </c>
      <c r="J500" s="12">
        <f t="shared" si="106"/>
        <v>146.32101224223217</v>
      </c>
      <c r="K500" s="12">
        <f t="shared" si="107"/>
        <v>145.59665525837016</v>
      </c>
      <c r="L500" s="55">
        <v>16.878318465406402</v>
      </c>
      <c r="M500" s="55">
        <v>16.015491419099</v>
      </c>
      <c r="P500" s="12"/>
      <c r="Q500" s="12"/>
      <c r="R500" s="12"/>
      <c r="S500" s="12"/>
      <c r="T500" s="55">
        <v>14.834675027971301</v>
      </c>
      <c r="U500" s="55">
        <v>14.039237315911</v>
      </c>
      <c r="V500">
        <v>0.525239616613419</v>
      </c>
      <c r="W500" s="12"/>
      <c r="X500" s="12"/>
      <c r="Y500" t="str">
        <v>20150306</v>
      </c>
      <c r="Z500">
        <v>53.6</v>
      </c>
      <c r="AA500">
        <v>14.1</v>
      </c>
      <c r="AB500">
        <f t="shared" si="108"/>
        <v>3.8014184397163122</v>
      </c>
      <c r="AY500" t="str">
        <v>22/09/2022</v>
      </c>
      <c r="AZ500">
        <v>25.4</v>
      </c>
      <c r="BA500">
        <v>34.299999999999997</v>
      </c>
      <c r="BB500">
        <f t="shared" si="109"/>
        <v>0.74052478134110788</v>
      </c>
    </row>
    <row r="501" spans="1:54" x14ac:dyDescent="0.3">
      <c r="A501" s="11">
        <v>44798</v>
      </c>
      <c r="B501">
        <v>0.56221198156681995</v>
      </c>
      <c r="C501">
        <v>4140.7700000000004</v>
      </c>
      <c r="D501">
        <v>111.22</v>
      </c>
      <c r="E501">
        <v>1751.39</v>
      </c>
      <c r="F501">
        <v>82.37</v>
      </c>
      <c r="G501">
        <v>45.46</v>
      </c>
      <c r="H501" s="12">
        <f t="shared" si="104"/>
        <v>131.84204555287894</v>
      </c>
      <c r="I501" s="12">
        <f t="shared" si="105"/>
        <v>90.487437539598474</v>
      </c>
      <c r="J501" s="12">
        <f t="shared" si="106"/>
        <v>144.37418912165333</v>
      </c>
      <c r="K501" s="12">
        <f t="shared" si="107"/>
        <v>145.5627034854663</v>
      </c>
      <c r="L501" s="55">
        <v>17.405378345950702</v>
      </c>
      <c r="M501" s="55">
        <v>16.375215161256001</v>
      </c>
      <c r="P501" s="12"/>
      <c r="Q501" s="12"/>
      <c r="R501" s="12"/>
      <c r="S501" s="12"/>
      <c r="T501" s="55">
        <v>14.9284159412547</v>
      </c>
      <c r="U501" s="55">
        <v>14.057507509169101</v>
      </c>
      <c r="V501">
        <v>0.51962025316455696</v>
      </c>
      <c r="W501" s="12"/>
      <c r="X501" s="12"/>
      <c r="Y501" t="str">
        <v>20150227</v>
      </c>
      <c r="Z501">
        <v>58.7</v>
      </c>
      <c r="AA501">
        <v>14.1</v>
      </c>
      <c r="AB501">
        <f t="shared" si="108"/>
        <v>4.1631205673758869</v>
      </c>
      <c r="AY501" t="str">
        <v>21/09/2022</v>
      </c>
      <c r="AZ501">
        <v>25.4</v>
      </c>
      <c r="BA501">
        <v>34.299999999999997</v>
      </c>
      <c r="BB501">
        <f t="shared" si="109"/>
        <v>0.74052478134110788</v>
      </c>
    </row>
    <row r="502" spans="1:54" x14ac:dyDescent="0.3">
      <c r="A502" s="11">
        <v>44797</v>
      </c>
      <c r="B502">
        <v>0.56091954022988499</v>
      </c>
      <c r="C502">
        <v>4128.7299999999996</v>
      </c>
      <c r="D502">
        <v>112.04</v>
      </c>
      <c r="E502">
        <v>1747.52</v>
      </c>
      <c r="F502">
        <v>82.46</v>
      </c>
      <c r="G502">
        <v>45.42</v>
      </c>
      <c r="H502" s="12">
        <f t="shared" si="104"/>
        <v>130.50631786842072</v>
      </c>
      <c r="I502" s="12">
        <f t="shared" si="105"/>
        <v>90.423997505913661</v>
      </c>
      <c r="J502" s="12">
        <f t="shared" si="106"/>
        <v>143.79790617947171</v>
      </c>
      <c r="K502" s="12">
        <f t="shared" si="107"/>
        <v>145.26701513995525</v>
      </c>
      <c r="L502" s="55">
        <v>17.090096879896599</v>
      </c>
      <c r="M502" s="55">
        <v>15.9233761374603</v>
      </c>
      <c r="P502" s="12"/>
      <c r="Q502" s="12"/>
      <c r="R502" s="12"/>
      <c r="S502" s="12"/>
      <c r="T502" s="55">
        <v>14.369857424945501</v>
      </c>
      <c r="U502" s="55">
        <v>13.4613470590003</v>
      </c>
      <c r="V502">
        <v>0.51977040816326503</v>
      </c>
      <c r="W502" s="12"/>
      <c r="X502" s="12"/>
      <c r="Y502" t="str">
        <v>20150220</v>
      </c>
      <c r="Z502">
        <v>59.5</v>
      </c>
      <c r="AA502">
        <v>14.1</v>
      </c>
      <c r="AB502">
        <f t="shared" si="108"/>
        <v>4.2198581560283692</v>
      </c>
      <c r="AY502" t="str">
        <v>20/09/2022</v>
      </c>
      <c r="AZ502">
        <v>25.4</v>
      </c>
      <c r="BA502">
        <v>34.299999999999997</v>
      </c>
      <c r="BB502">
        <f t="shared" si="109"/>
        <v>0.74052478134110788</v>
      </c>
    </row>
    <row r="503" spans="1:54" x14ac:dyDescent="0.3">
      <c r="A503" s="11">
        <v>44796</v>
      </c>
      <c r="B503">
        <v>0.555035128805621</v>
      </c>
      <c r="C503">
        <v>4137.99</v>
      </c>
      <c r="D503">
        <v>112.66</v>
      </c>
      <c r="E503">
        <v>1735.73</v>
      </c>
      <c r="F503">
        <v>82.42</v>
      </c>
      <c r="G503">
        <v>45.29</v>
      </c>
      <c r="H503" s="12">
        <f t="shared" si="104"/>
        <v>130.08153884419571</v>
      </c>
      <c r="I503" s="12">
        <f t="shared" si="105"/>
        <v>91.247997264924322</v>
      </c>
      <c r="J503" s="12">
        <f t="shared" si="106"/>
        <v>144.19055444022581</v>
      </c>
      <c r="K503" s="12">
        <f t="shared" si="107"/>
        <v>146.01287698795966</v>
      </c>
      <c r="L503" s="55">
        <v>17.308632199866999</v>
      </c>
      <c r="M503" s="55">
        <v>16.0134425249971</v>
      </c>
      <c r="P503" s="12"/>
      <c r="Q503" s="12"/>
      <c r="R503" s="12"/>
      <c r="S503" s="12"/>
      <c r="T503" s="55">
        <v>14.303970779853501</v>
      </c>
      <c r="U503" s="55">
        <v>13.2641052597517</v>
      </c>
      <c r="V503">
        <v>0.51380860629415503</v>
      </c>
      <c r="W503" s="12"/>
      <c r="X503" s="12"/>
      <c r="Y503" t="str">
        <v>20150213</v>
      </c>
      <c r="Z503">
        <v>56.6</v>
      </c>
      <c r="AA503">
        <v>14.1</v>
      </c>
      <c r="AB503">
        <f t="shared" si="108"/>
        <v>4.0141843971631204</v>
      </c>
      <c r="AY503" t="str">
        <v>19/09/2022</v>
      </c>
      <c r="AZ503">
        <v>25.4</v>
      </c>
      <c r="BA503">
        <v>34.299999999999997</v>
      </c>
      <c r="BB503">
        <f t="shared" si="109"/>
        <v>0.74052478134110788</v>
      </c>
    </row>
    <row r="504" spans="1:54" x14ac:dyDescent="0.3">
      <c r="A504" s="11">
        <v>44793</v>
      </c>
      <c r="B504">
        <v>0.548098434004474</v>
      </c>
      <c r="C504">
        <v>4228.4799999999996</v>
      </c>
      <c r="D504">
        <v>113.04</v>
      </c>
      <c r="E504">
        <v>1747.4</v>
      </c>
      <c r="F504">
        <v>82.53</v>
      </c>
      <c r="G504">
        <v>45.93</v>
      </c>
      <c r="H504" s="12">
        <f t="shared" si="104"/>
        <v>132.47111682925512</v>
      </c>
      <c r="I504" s="12">
        <f t="shared" si="105"/>
        <v>92.611387954550651</v>
      </c>
      <c r="J504" s="12">
        <f t="shared" si="106"/>
        <v>147.14332008633559</v>
      </c>
      <c r="K504" s="12">
        <f t="shared" si="107"/>
        <v>147.11119106033624</v>
      </c>
      <c r="L504" s="55">
        <v>17.3934251145179</v>
      </c>
      <c r="M504" s="55">
        <v>15.9505394020144</v>
      </c>
      <c r="P504" s="12"/>
      <c r="Q504" s="12"/>
      <c r="R504" s="12"/>
      <c r="S504" s="12"/>
      <c r="T504" s="55">
        <v>14.515141176195399</v>
      </c>
      <c r="U504" s="55">
        <v>13.376670971614001</v>
      </c>
      <c r="V504">
        <v>0.50283196979232203</v>
      </c>
      <c r="W504" s="12"/>
      <c r="X504" s="12"/>
      <c r="Y504" t="str">
        <v>20150206</v>
      </c>
      <c r="Z504">
        <v>52.5</v>
      </c>
      <c r="AA504">
        <v>15.2</v>
      </c>
      <c r="AB504">
        <f t="shared" si="108"/>
        <v>3.4539473684210527</v>
      </c>
      <c r="AY504" t="str">
        <v>16/09/2022</v>
      </c>
      <c r="AZ504">
        <v>30</v>
      </c>
      <c r="BA504">
        <v>31.4</v>
      </c>
      <c r="BB504">
        <f t="shared" si="109"/>
        <v>0.95541401273885351</v>
      </c>
    </row>
    <row r="505" spans="1:54" x14ac:dyDescent="0.3">
      <c r="A505" s="11">
        <v>44792</v>
      </c>
      <c r="B505">
        <v>0.53215077605321504</v>
      </c>
      <c r="C505">
        <v>4283.74</v>
      </c>
      <c r="D505">
        <v>114.89</v>
      </c>
      <c r="E505">
        <v>1758.84</v>
      </c>
      <c r="F505">
        <v>82.59</v>
      </c>
      <c r="G505">
        <v>46.59</v>
      </c>
      <c r="H505" s="12">
        <f t="shared" si="104"/>
        <v>132.04824339484284</v>
      </c>
      <c r="I505" s="12">
        <f t="shared" si="105"/>
        <v>93.207511100209345</v>
      </c>
      <c r="J505" s="12">
        <f t="shared" si="106"/>
        <v>148.95663811521237</v>
      </c>
      <c r="K505" s="12">
        <f t="shared" si="107"/>
        <v>146.92515626443756</v>
      </c>
      <c r="L505" s="55">
        <v>17.638489149205899</v>
      </c>
      <c r="M505" s="55">
        <v>16.2084668570498</v>
      </c>
      <c r="P505" s="12"/>
      <c r="Q505" s="12"/>
      <c r="R505" s="12"/>
      <c r="S505" s="12"/>
      <c r="T505" s="55">
        <v>14.636846997779401</v>
      </c>
      <c r="U505" s="55">
        <v>13.473907630266901</v>
      </c>
      <c r="V505">
        <v>0.50534927627438597</v>
      </c>
      <c r="W505" s="12"/>
      <c r="X505" s="12"/>
      <c r="Y505" t="str">
        <v>20150130</v>
      </c>
      <c r="Z505">
        <v>49</v>
      </c>
      <c r="AA505">
        <v>16.3</v>
      </c>
      <c r="AB505">
        <f t="shared" si="108"/>
        <v>3.0061349693251533</v>
      </c>
      <c r="AY505" t="str">
        <v>15/09/2022</v>
      </c>
      <c r="AZ505">
        <v>30</v>
      </c>
      <c r="BA505">
        <v>31.4</v>
      </c>
      <c r="BB505">
        <f t="shared" si="109"/>
        <v>0.95541401273885351</v>
      </c>
    </row>
    <row r="506" spans="1:54" x14ac:dyDescent="0.3">
      <c r="A506" s="11">
        <v>44791</v>
      </c>
      <c r="B506">
        <v>0.51973684210526305</v>
      </c>
      <c r="C506">
        <v>4274.04</v>
      </c>
      <c r="D506">
        <v>114.72</v>
      </c>
      <c r="E506">
        <v>1761.62</v>
      </c>
      <c r="F506">
        <v>82.47</v>
      </c>
      <c r="G506">
        <v>46.75</v>
      </c>
      <c r="H506" s="12">
        <f t="shared" si="104"/>
        <v>131.94431790207139</v>
      </c>
      <c r="I506" s="12">
        <f t="shared" si="105"/>
        <v>92.850259662553697</v>
      </c>
      <c r="J506" s="12">
        <f t="shared" si="106"/>
        <v>148.83542045830197</v>
      </c>
      <c r="K506" s="12">
        <f t="shared" si="107"/>
        <v>146.09359511689436</v>
      </c>
      <c r="L506" s="55">
        <v>17.459433452707302</v>
      </c>
      <c r="M506" s="55">
        <v>16.080848846321398</v>
      </c>
      <c r="P506" s="12"/>
      <c r="Q506" s="12"/>
      <c r="R506" s="12"/>
      <c r="S506" s="12"/>
      <c r="T506" s="55">
        <v>14.5014456275221</v>
      </c>
      <c r="U506" s="55">
        <v>13.362103916502701</v>
      </c>
      <c r="V506">
        <v>0.49905956112852701</v>
      </c>
      <c r="W506" s="12"/>
      <c r="X506" s="12"/>
      <c r="Y506" t="str">
        <v>20150123</v>
      </c>
      <c r="Z506">
        <v>53.1</v>
      </c>
      <c r="AA506">
        <v>16.3</v>
      </c>
      <c r="AB506">
        <f t="shared" si="108"/>
        <v>3.2576687116564416</v>
      </c>
      <c r="AY506" t="str">
        <v>14/09/2022</v>
      </c>
      <c r="AZ506">
        <v>30</v>
      </c>
      <c r="BA506">
        <v>31.4</v>
      </c>
      <c r="BB506">
        <f t="shared" si="109"/>
        <v>0.95541401273885351</v>
      </c>
    </row>
    <row r="507" spans="1:54" x14ac:dyDescent="0.3">
      <c r="A507" s="11">
        <v>44790</v>
      </c>
      <c r="B507">
        <v>0.51208791208791204</v>
      </c>
      <c r="C507">
        <v>4305.2</v>
      </c>
      <c r="D507">
        <v>115.93</v>
      </c>
      <c r="E507">
        <v>1775.32</v>
      </c>
      <c r="F507">
        <v>82.54</v>
      </c>
      <c r="G507">
        <v>47.1</v>
      </c>
      <c r="H507" s="12">
        <f t="shared" si="104"/>
        <v>131.52349875031703</v>
      </c>
      <c r="I507" s="12">
        <f t="shared" si="105"/>
        <v>92.805790872198742</v>
      </c>
      <c r="J507" s="12">
        <f t="shared" si="106"/>
        <v>149.79254770258203</v>
      </c>
      <c r="K507" s="12">
        <f t="shared" si="107"/>
        <v>146.06536960733581</v>
      </c>
      <c r="L507" s="55">
        <v>16.799080569494802</v>
      </c>
      <c r="M507" s="55">
        <v>15.489392036437501</v>
      </c>
      <c r="P507" s="12"/>
      <c r="Q507" s="12"/>
      <c r="R507" s="12"/>
      <c r="S507" s="12"/>
      <c r="T507" s="55">
        <v>14.230920825542</v>
      </c>
      <c r="U507" s="55">
        <v>13.1102105877805</v>
      </c>
      <c r="V507">
        <v>0.49591451917033302</v>
      </c>
      <c r="W507" s="12"/>
      <c r="X507" s="12"/>
      <c r="Y507" t="str">
        <v>20150116</v>
      </c>
      <c r="Z507">
        <v>49</v>
      </c>
      <c r="AA507">
        <v>17.399999999999999</v>
      </c>
      <c r="AB507">
        <f t="shared" si="108"/>
        <v>2.8160919540229887</v>
      </c>
      <c r="AY507" t="str">
        <v>13/09/2022</v>
      </c>
      <c r="AZ507">
        <v>30</v>
      </c>
      <c r="BA507">
        <v>31.4</v>
      </c>
      <c r="BB507">
        <f t="shared" si="109"/>
        <v>0.95541401273885351</v>
      </c>
    </row>
    <row r="508" spans="1:54" x14ac:dyDescent="0.3">
      <c r="A508" s="11">
        <v>44789</v>
      </c>
      <c r="B508">
        <v>0.50993377483443703</v>
      </c>
      <c r="C508">
        <v>4297.1400000000003</v>
      </c>
      <c r="D508">
        <v>115.45</v>
      </c>
      <c r="E508">
        <v>1779.56</v>
      </c>
      <c r="F508">
        <v>82.61</v>
      </c>
      <c r="G508">
        <v>47.08</v>
      </c>
      <c r="H508" s="12">
        <f t="shared" si="104"/>
        <v>131.82431892765095</v>
      </c>
      <c r="I508" s="12">
        <f t="shared" si="105"/>
        <v>92.41227375939998</v>
      </c>
      <c r="J508" s="12">
        <f t="shared" si="106"/>
        <v>149.38576709442026</v>
      </c>
      <c r="K508" s="12">
        <f t="shared" si="107"/>
        <v>145.85375661912536</v>
      </c>
      <c r="L508" s="55">
        <v>17.302258395600099</v>
      </c>
      <c r="M508" s="55">
        <v>15.961702158005201</v>
      </c>
      <c r="P508" s="12"/>
      <c r="Q508" s="12"/>
      <c r="R508" s="12"/>
      <c r="S508" s="12"/>
      <c r="T508" s="55">
        <v>14.8286415350148</v>
      </c>
      <c r="U508" s="55">
        <v>13.6124464856678</v>
      </c>
      <c r="V508">
        <v>0.49557522123893799</v>
      </c>
      <c r="W508" s="12"/>
      <c r="X508" s="12"/>
      <c r="Y508" t="str">
        <v>20150109</v>
      </c>
      <c r="Z508">
        <v>48</v>
      </c>
      <c r="AA508">
        <v>16.3</v>
      </c>
      <c r="AB508">
        <f t="shared" si="108"/>
        <v>2.9447852760736195</v>
      </c>
      <c r="AY508" t="str">
        <v>12/09/2022</v>
      </c>
      <c r="AZ508">
        <v>30</v>
      </c>
      <c r="BA508">
        <v>31.4</v>
      </c>
      <c r="BB508">
        <f t="shared" si="109"/>
        <v>0.95541401273885351</v>
      </c>
    </row>
    <row r="509" spans="1:54" x14ac:dyDescent="0.3">
      <c r="A509" s="11">
        <v>44786</v>
      </c>
      <c r="B509">
        <v>0.48583877995642699</v>
      </c>
      <c r="C509">
        <v>4280.1499999999996</v>
      </c>
      <c r="D509">
        <v>115.55</v>
      </c>
      <c r="E509">
        <v>1802.35</v>
      </c>
      <c r="F509">
        <v>82.54</v>
      </c>
      <c r="G509">
        <v>47.36</v>
      </c>
      <c r="H509" s="12">
        <f t="shared" si="104"/>
        <v>131.19002652709645</v>
      </c>
      <c r="I509" s="12">
        <f t="shared" si="105"/>
        <v>90.902019433686334</v>
      </c>
      <c r="J509" s="12">
        <f t="shared" si="106"/>
        <v>148.92092333037019</v>
      </c>
      <c r="K509" s="12">
        <f t="shared" si="107"/>
        <v>144.42658378118941</v>
      </c>
      <c r="L509" s="55">
        <v>17.218360296302102</v>
      </c>
      <c r="M509" s="55">
        <v>15.889357165775699</v>
      </c>
      <c r="P509" s="12"/>
      <c r="Q509" s="12"/>
      <c r="R509" s="12"/>
      <c r="S509" s="12"/>
      <c r="T509" s="55">
        <v>14.773003686526801</v>
      </c>
      <c r="U509" s="55">
        <v>13.543434095455</v>
      </c>
      <c r="V509">
        <v>0.48393194706994302</v>
      </c>
      <c r="W509" s="12"/>
      <c r="X509" s="12"/>
      <c r="Y509" t="str">
        <v>20150102</v>
      </c>
      <c r="Z509">
        <v>50.5</v>
      </c>
      <c r="AA509">
        <v>15.2</v>
      </c>
      <c r="AB509">
        <f t="shared" si="108"/>
        <v>3.3223684210526319</v>
      </c>
      <c r="AY509" t="str">
        <v>09/09/2022</v>
      </c>
      <c r="AZ509">
        <v>32.4</v>
      </c>
      <c r="BA509">
        <v>28.2</v>
      </c>
      <c r="BB509">
        <f t="shared" si="109"/>
        <v>1.1489361702127658</v>
      </c>
    </row>
    <row r="510" spans="1:54" x14ac:dyDescent="0.3">
      <c r="A510" s="11">
        <v>44785</v>
      </c>
      <c r="B510">
        <v>0.48695652173913001</v>
      </c>
      <c r="C510">
        <v>4207.2700000000004</v>
      </c>
      <c r="D510">
        <v>114.39</v>
      </c>
      <c r="E510">
        <v>1789.71</v>
      </c>
      <c r="F510">
        <v>82.52</v>
      </c>
      <c r="G510">
        <v>46.96</v>
      </c>
      <c r="H510" s="12">
        <f t="shared" si="104"/>
        <v>130.25458367801585</v>
      </c>
      <c r="I510" s="12">
        <f t="shared" si="105"/>
        <v>89.978854385708829</v>
      </c>
      <c r="J510" s="12">
        <f t="shared" si="106"/>
        <v>146.42006406470571</v>
      </c>
      <c r="K510" s="12">
        <f t="shared" si="107"/>
        <v>143.16607674924413</v>
      </c>
      <c r="L510" s="55">
        <v>17.150626992496701</v>
      </c>
      <c r="M510" s="55">
        <v>15.8341143176972</v>
      </c>
      <c r="P510" s="12"/>
      <c r="Q510" s="12"/>
      <c r="R510" s="12"/>
      <c r="S510" s="12"/>
      <c r="T510" s="55">
        <v>14.7668141004453</v>
      </c>
      <c r="U510" s="55">
        <v>13.493992226228499</v>
      </c>
      <c r="V510">
        <v>0.48571428571428599</v>
      </c>
      <c r="W510" s="12"/>
      <c r="X510" s="12"/>
      <c r="Y510" t="str">
        <v>20141226</v>
      </c>
      <c r="Z510">
        <v>56.4</v>
      </c>
      <c r="AA510">
        <v>14.9</v>
      </c>
      <c r="AB510">
        <f t="shared" si="108"/>
        <v>3.7852348993288589</v>
      </c>
      <c r="AY510" t="str">
        <v>08/09/2022</v>
      </c>
      <c r="AZ510">
        <v>32.4</v>
      </c>
      <c r="BA510">
        <v>28.2</v>
      </c>
      <c r="BB510">
        <f t="shared" si="109"/>
        <v>1.1489361702127658</v>
      </c>
    </row>
    <row r="511" spans="1:54" x14ac:dyDescent="0.3">
      <c r="A511" s="11">
        <v>44784</v>
      </c>
      <c r="B511">
        <v>0.46895074946466803</v>
      </c>
      <c r="C511">
        <v>4210.24</v>
      </c>
      <c r="D511">
        <v>117.12</v>
      </c>
      <c r="E511">
        <v>1792.43</v>
      </c>
      <c r="F511">
        <v>82.55</v>
      </c>
      <c r="G511">
        <v>46.91</v>
      </c>
      <c r="H511" s="12">
        <f t="shared" si="104"/>
        <v>127.37538994828591</v>
      </c>
      <c r="I511" s="12">
        <f t="shared" si="105"/>
        <v>89.90584454261861</v>
      </c>
      <c r="J511" s="12">
        <f t="shared" si="106"/>
        <v>146.47015786308677</v>
      </c>
      <c r="K511" s="12">
        <f t="shared" si="107"/>
        <v>143.42011590922951</v>
      </c>
      <c r="L511" s="55">
        <v>16.9918727644332</v>
      </c>
      <c r="M511" s="55">
        <v>15.6817203738547</v>
      </c>
      <c r="P511" s="12"/>
      <c r="Q511" s="12"/>
      <c r="R511" s="12"/>
      <c r="S511" s="12"/>
      <c r="T511" s="55">
        <v>14.5189792952054</v>
      </c>
      <c r="U511" s="55">
        <v>13.2975443467883</v>
      </c>
      <c r="V511">
        <v>0.48573240329739997</v>
      </c>
      <c r="W511" s="12"/>
      <c r="X511" s="12"/>
      <c r="Y511" t="str">
        <v>20141219</v>
      </c>
      <c r="Z511">
        <v>52.5</v>
      </c>
      <c r="AA511">
        <v>15.8</v>
      </c>
      <c r="AB511">
        <f t="shared" si="108"/>
        <v>3.3227848101265822</v>
      </c>
      <c r="AY511" t="str">
        <v>07/09/2022</v>
      </c>
      <c r="AZ511">
        <v>32.4</v>
      </c>
      <c r="BA511">
        <v>28.2</v>
      </c>
      <c r="BB511">
        <f t="shared" si="109"/>
        <v>1.1489361702127658</v>
      </c>
    </row>
    <row r="512" spans="1:54" x14ac:dyDescent="0.3">
      <c r="A512" s="11">
        <v>44783</v>
      </c>
      <c r="B512">
        <v>0.46881720430107499</v>
      </c>
      <c r="C512">
        <v>4122.47</v>
      </c>
      <c r="D512">
        <v>117.89</v>
      </c>
      <c r="E512">
        <v>1794.3</v>
      </c>
      <c r="F512">
        <v>82.47</v>
      </c>
      <c r="G512">
        <v>45.99</v>
      </c>
      <c r="H512" s="12">
        <f t="shared" si="104"/>
        <v>123.92746195387484</v>
      </c>
      <c r="I512" s="12">
        <f t="shared" si="105"/>
        <v>87.941854653604608</v>
      </c>
      <c r="J512" s="12">
        <f t="shared" si="106"/>
        <v>143.55307549132021</v>
      </c>
      <c r="K512" s="12">
        <f t="shared" si="107"/>
        <v>143.23587371879279</v>
      </c>
      <c r="L512" s="55">
        <v>16.9152572686159</v>
      </c>
      <c r="M512" s="55">
        <v>15.6116287034314</v>
      </c>
      <c r="P512" s="12"/>
      <c r="Q512" s="12"/>
      <c r="R512" s="12"/>
      <c r="S512" s="12"/>
      <c r="T512" s="55">
        <v>14.4143440347887</v>
      </c>
      <c r="U512" s="55">
        <v>13.193889692342101</v>
      </c>
      <c r="V512">
        <v>0.48556767158434899</v>
      </c>
      <c r="W512" s="12"/>
      <c r="X512" s="12"/>
      <c r="Y512" t="str">
        <v>20141212</v>
      </c>
      <c r="Z512">
        <v>49.5</v>
      </c>
      <c r="AA512">
        <v>14.9</v>
      </c>
      <c r="AB512">
        <f t="shared" si="108"/>
        <v>3.3221476510067114</v>
      </c>
      <c r="AY512" t="str">
        <v>06/09/2022</v>
      </c>
      <c r="AZ512">
        <v>32.4</v>
      </c>
      <c r="BA512">
        <v>28.2</v>
      </c>
      <c r="BB512">
        <f t="shared" si="109"/>
        <v>1.1489361702127658</v>
      </c>
    </row>
    <row r="513" spans="1:54" x14ac:dyDescent="0.3">
      <c r="A513" s="11">
        <v>44782</v>
      </c>
      <c r="B513">
        <v>0.46320346320346301</v>
      </c>
      <c r="C513">
        <v>4140.0600000000004</v>
      </c>
      <c r="D513">
        <v>118.35</v>
      </c>
      <c r="E513">
        <v>1789.5</v>
      </c>
      <c r="F513">
        <v>82.55</v>
      </c>
      <c r="G513">
        <v>46.2</v>
      </c>
      <c r="H513" s="12">
        <f t="shared" si="104"/>
        <v>123.97233425900646</v>
      </c>
      <c r="I513" s="12">
        <f t="shared" si="105"/>
        <v>88.555637691729714</v>
      </c>
      <c r="J513" s="12">
        <f t="shared" si="106"/>
        <v>144.02542430665628</v>
      </c>
      <c r="K513" s="12">
        <f t="shared" si="107"/>
        <v>143.19338482624806</v>
      </c>
      <c r="L513" s="55">
        <v>16.8103021442959</v>
      </c>
      <c r="M513" s="55">
        <v>15.5213975435408</v>
      </c>
      <c r="P513" s="12"/>
      <c r="Q513" s="12"/>
      <c r="R513" s="12"/>
      <c r="S513" s="12"/>
      <c r="T513" s="55">
        <v>14.425486261316699</v>
      </c>
      <c r="U513" s="55">
        <v>13.1812547529948</v>
      </c>
      <c r="V513">
        <v>0.48062015503875999</v>
      </c>
      <c r="W513" s="12"/>
      <c r="X513" s="12"/>
      <c r="Y513" t="str">
        <v>20141205</v>
      </c>
      <c r="Z513">
        <v>51.5</v>
      </c>
      <c r="AA513">
        <v>14.8</v>
      </c>
      <c r="AB513">
        <f t="shared" si="108"/>
        <v>3.4797297297297294</v>
      </c>
      <c r="AY513" t="str">
        <v>05/09/2022</v>
      </c>
      <c r="AZ513">
        <v>32.4</v>
      </c>
      <c r="BA513">
        <v>28.2</v>
      </c>
      <c r="BB513">
        <f t="shared" si="109"/>
        <v>1.1489361702127658</v>
      </c>
    </row>
    <row r="514" spans="1:54" x14ac:dyDescent="0.3">
      <c r="A514" s="11">
        <v>44779</v>
      </c>
      <c r="B514">
        <v>0.45021645021645001</v>
      </c>
      <c r="C514">
        <v>4145.1899999999996</v>
      </c>
      <c r="D514">
        <v>116.47</v>
      </c>
      <c r="E514">
        <v>1775.1</v>
      </c>
      <c r="F514">
        <v>82.47</v>
      </c>
      <c r="G514">
        <v>46.09</v>
      </c>
      <c r="H514" s="12">
        <f t="shared" ref="H514:H577" si="110">H515*(1+((C514/C515)-(D514/D515)))</f>
        <v>126.16496459582143</v>
      </c>
      <c r="I514" s="12">
        <f t="shared" ref="I514:I577" si="111">I515*(1+((C514/C515)-(E514/E515)))</f>
        <v>89.391429501121564</v>
      </c>
      <c r="J514" s="12">
        <f t="shared" si="106"/>
        <v>144.34408244459971</v>
      </c>
      <c r="K514" s="12">
        <f t="shared" si="107"/>
        <v>143.71423594657634</v>
      </c>
      <c r="L514" s="55">
        <v>16.459498254074699</v>
      </c>
      <c r="M514" s="55">
        <v>15.1037127885016</v>
      </c>
      <c r="P514" s="12"/>
      <c r="Q514" s="12"/>
      <c r="R514" s="12"/>
      <c r="S514" s="12"/>
      <c r="T514" s="55">
        <v>14.062135307032699</v>
      </c>
      <c r="U514" s="55">
        <v>12.7482069490529</v>
      </c>
      <c r="V514">
        <v>0.48374760994263899</v>
      </c>
      <c r="W514" s="12"/>
      <c r="X514" s="12"/>
      <c r="Y514" t="str">
        <v>20141128</v>
      </c>
      <c r="Z514">
        <v>53.4</v>
      </c>
      <c r="AA514">
        <v>13.9</v>
      </c>
      <c r="AB514">
        <f t="shared" si="108"/>
        <v>3.8417266187050356</v>
      </c>
      <c r="AY514" t="str">
        <v>02/09/2022</v>
      </c>
      <c r="AZ514">
        <v>29.7</v>
      </c>
      <c r="BA514">
        <v>29.7</v>
      </c>
      <c r="BB514">
        <f t="shared" si="109"/>
        <v>1</v>
      </c>
    </row>
    <row r="515" spans="1:54" x14ac:dyDescent="0.3">
      <c r="A515" s="11">
        <v>44778</v>
      </c>
      <c r="B515">
        <v>0.44541484716157198</v>
      </c>
      <c r="C515">
        <v>4151.9399999999996</v>
      </c>
      <c r="D515">
        <v>119.31</v>
      </c>
      <c r="E515">
        <v>1791.21</v>
      </c>
      <c r="F515">
        <v>82.81</v>
      </c>
      <c r="G515">
        <v>46.36</v>
      </c>
      <c r="H515" s="12">
        <f t="shared" si="110"/>
        <v>123.42761279951772</v>
      </c>
      <c r="I515" s="12">
        <f t="shared" si="111"/>
        <v>88.737595433308002</v>
      </c>
      <c r="J515" s="12">
        <f t="shared" ref="J515:J578" si="112">J516*(1+((C515/C516)-(F515/F516)))</f>
        <v>143.98698919830289</v>
      </c>
      <c r="K515" s="12">
        <f t="shared" ref="K515:K578" si="113">K516*(1+((C515/C516)-(G515/G516)))</f>
        <v>143.1134114753431</v>
      </c>
      <c r="L515" s="55">
        <v>15.925635780953</v>
      </c>
      <c r="M515" s="55">
        <v>14.4607267703123</v>
      </c>
      <c r="P515" s="12"/>
      <c r="Q515" s="12"/>
      <c r="R515" s="12"/>
      <c r="S515" s="12"/>
      <c r="T515" s="55">
        <v>13.811724241758901</v>
      </c>
      <c r="U515" s="55">
        <v>12.4177761630501</v>
      </c>
      <c r="V515">
        <v>0.48100450740502299</v>
      </c>
      <c r="W515" s="12"/>
      <c r="X515" s="12"/>
      <c r="Y515" t="str">
        <v>20141121</v>
      </c>
      <c r="Z515">
        <v>56.5</v>
      </c>
      <c r="AA515">
        <v>13.8</v>
      </c>
      <c r="AB515">
        <f t="shared" si="108"/>
        <v>4.0942028985507246</v>
      </c>
      <c r="AY515" t="str">
        <v>01/09/2022</v>
      </c>
      <c r="AZ515">
        <v>29.7</v>
      </c>
      <c r="BA515">
        <v>29.7</v>
      </c>
      <c r="BB515">
        <f t="shared" si="109"/>
        <v>1</v>
      </c>
    </row>
    <row r="516" spans="1:54" x14ac:dyDescent="0.3">
      <c r="A516" s="11">
        <v>44777</v>
      </c>
      <c r="B516">
        <v>0.43624161073825501</v>
      </c>
      <c r="C516">
        <v>4155.17</v>
      </c>
      <c r="D516">
        <v>119.35</v>
      </c>
      <c r="E516">
        <v>1765.2850000000001</v>
      </c>
      <c r="F516">
        <v>82.7</v>
      </c>
      <c r="G516">
        <v>46.11</v>
      </c>
      <c r="H516" s="12">
        <f t="shared" si="110"/>
        <v>123.48221615733793</v>
      </c>
      <c r="I516" s="12">
        <f t="shared" si="111"/>
        <v>90.131328498056163</v>
      </c>
      <c r="J516" s="12">
        <f t="shared" si="112"/>
        <v>144.29107595688592</v>
      </c>
      <c r="K516" s="12">
        <f t="shared" si="113"/>
        <v>144.00612883197329</v>
      </c>
      <c r="L516" s="55">
        <v>16.045140551808501</v>
      </c>
      <c r="M516" s="55">
        <v>14.5584537909304</v>
      </c>
      <c r="P516" s="12"/>
      <c r="Q516" s="12"/>
      <c r="R516" s="12"/>
      <c r="S516" s="12"/>
      <c r="T516" s="55">
        <v>13.9410094167811</v>
      </c>
      <c r="U516" s="55">
        <v>12.5657807069133</v>
      </c>
      <c r="V516">
        <v>0.47138263665594898</v>
      </c>
      <c r="W516" s="12"/>
      <c r="X516" s="12"/>
      <c r="Y516" t="str">
        <v>20141114</v>
      </c>
      <c r="Z516">
        <v>56.4</v>
      </c>
      <c r="AA516">
        <v>14.9</v>
      </c>
      <c r="AB516">
        <f t="shared" si="108"/>
        <v>3.7852348993288589</v>
      </c>
      <c r="AY516" t="str">
        <v>31/08/2022</v>
      </c>
      <c r="AZ516">
        <v>29.7</v>
      </c>
      <c r="BA516">
        <v>29.7</v>
      </c>
      <c r="BB516">
        <f t="shared" si="109"/>
        <v>1</v>
      </c>
    </row>
    <row r="517" spans="1:54" x14ac:dyDescent="0.3">
      <c r="A517" s="11">
        <v>44776</v>
      </c>
      <c r="B517">
        <v>0.41666666666666702</v>
      </c>
      <c r="C517">
        <v>4091.19</v>
      </c>
      <c r="D517">
        <v>117.5</v>
      </c>
      <c r="E517">
        <v>1760.7</v>
      </c>
      <c r="F517">
        <v>82.67</v>
      </c>
      <c r="G517">
        <v>45.79</v>
      </c>
      <c r="H517" s="12">
        <f t="shared" si="110"/>
        <v>123.49533125505427</v>
      </c>
      <c r="I517" s="12">
        <f t="shared" si="111"/>
        <v>88.971636265155482</v>
      </c>
      <c r="J517" s="12">
        <f t="shared" si="112"/>
        <v>142.12010702776706</v>
      </c>
      <c r="K517" s="12">
        <f t="shared" si="113"/>
        <v>142.77115034451302</v>
      </c>
      <c r="L517" s="55">
        <v>16.4204493594779</v>
      </c>
      <c r="M517" s="55">
        <v>15.0163765130093</v>
      </c>
      <c r="P517" s="12"/>
      <c r="Q517" s="12"/>
      <c r="R517" s="12"/>
      <c r="S517" s="12"/>
      <c r="T517" s="55">
        <v>14.2280618922498</v>
      </c>
      <c r="U517" s="55">
        <v>12.9374354102629</v>
      </c>
      <c r="V517">
        <v>0.46324007807417</v>
      </c>
      <c r="W517" s="12"/>
      <c r="X517" s="12"/>
      <c r="Y517" t="str">
        <v>20141107</v>
      </c>
      <c r="Z517">
        <v>55.5</v>
      </c>
      <c r="AA517">
        <v>14.8</v>
      </c>
      <c r="AB517">
        <f t="shared" si="108"/>
        <v>3.75</v>
      </c>
      <c r="AY517" t="str">
        <v>30/08/2022</v>
      </c>
      <c r="AZ517">
        <v>29.7</v>
      </c>
      <c r="BA517">
        <v>29.7</v>
      </c>
      <c r="BB517">
        <f t="shared" si="109"/>
        <v>1</v>
      </c>
    </row>
    <row r="518" spans="1:54" x14ac:dyDescent="0.3">
      <c r="A518" s="11">
        <v>44775</v>
      </c>
      <c r="B518">
        <v>0.39909297052154202</v>
      </c>
      <c r="C518">
        <v>4118.63</v>
      </c>
      <c r="D518">
        <v>120.04</v>
      </c>
      <c r="E518">
        <v>1772.24</v>
      </c>
      <c r="F518">
        <v>82.96</v>
      </c>
      <c r="G518">
        <v>46.36</v>
      </c>
      <c r="H518" s="12">
        <f t="shared" si="110"/>
        <v>121.73057824448018</v>
      </c>
      <c r="I518" s="12">
        <f t="shared" si="111"/>
        <v>88.985061989697527</v>
      </c>
      <c r="J518" s="12">
        <f t="shared" si="112"/>
        <v>142.57159548925276</v>
      </c>
      <c r="K518" s="12">
        <f t="shared" si="113"/>
        <v>141.97147155798302</v>
      </c>
      <c r="L518" s="55">
        <v>16.490285528979701</v>
      </c>
      <c r="M518" s="55">
        <v>15.113307795063101</v>
      </c>
      <c r="P518" s="12"/>
      <c r="Q518" s="12"/>
      <c r="R518" s="12"/>
      <c r="S518" s="12"/>
      <c r="T518" s="55">
        <v>14.462849412393</v>
      </c>
      <c r="U518" s="55">
        <v>13.240641885432799</v>
      </c>
      <c r="V518">
        <v>0.46421536441234401</v>
      </c>
      <c r="W518" s="12"/>
      <c r="X518" s="12"/>
      <c r="Y518" t="str">
        <v>20141031</v>
      </c>
      <c r="Z518">
        <v>54.6</v>
      </c>
      <c r="AA518">
        <v>15.1</v>
      </c>
      <c r="AB518">
        <f t="shared" si="108"/>
        <v>3.6158940397350996</v>
      </c>
      <c r="AY518" t="str">
        <v>29/08/2022</v>
      </c>
      <c r="AZ518">
        <v>29.7</v>
      </c>
      <c r="BA518">
        <v>29.7</v>
      </c>
      <c r="BB518">
        <f t="shared" si="109"/>
        <v>1</v>
      </c>
    </row>
    <row r="519" spans="1:54" x14ac:dyDescent="0.3">
      <c r="A519" s="11">
        <v>44772</v>
      </c>
      <c r="B519">
        <v>0.38009049773755699</v>
      </c>
      <c r="C519">
        <v>4130.29</v>
      </c>
      <c r="D519">
        <v>117.43</v>
      </c>
      <c r="E519">
        <v>1766.25</v>
      </c>
      <c r="F519">
        <v>83.05</v>
      </c>
      <c r="G519">
        <v>46.52</v>
      </c>
      <c r="H519" s="12">
        <f t="shared" si="110"/>
        <v>124.85815687171194</v>
      </c>
      <c r="I519" s="12">
        <f t="shared" si="111"/>
        <v>89.541509841922633</v>
      </c>
      <c r="J519" s="12">
        <f t="shared" si="112"/>
        <v>142.82001116040237</v>
      </c>
      <c r="K519" s="12">
        <f t="shared" si="113"/>
        <v>141.88402352682547</v>
      </c>
      <c r="L519" s="55">
        <v>16.6661147509237</v>
      </c>
      <c r="M519" s="55">
        <v>15.3573819583362</v>
      </c>
      <c r="P519" s="12"/>
      <c r="Q519" s="12"/>
      <c r="R519" s="12"/>
      <c r="S519" s="12"/>
      <c r="T519" s="55">
        <v>14.644676030054301</v>
      </c>
      <c r="U519" s="55">
        <v>13.489283295256699</v>
      </c>
      <c r="V519">
        <v>0.46048334421946402</v>
      </c>
      <c r="W519" s="12"/>
      <c r="X519" s="12"/>
      <c r="Y519" t="str">
        <v>20141024</v>
      </c>
      <c r="Z519">
        <v>47</v>
      </c>
      <c r="AA519">
        <v>16.3</v>
      </c>
      <c r="AB519">
        <f t="shared" si="108"/>
        <v>2.8834355828220857</v>
      </c>
      <c r="AY519" t="str">
        <v>26/08/2022</v>
      </c>
      <c r="AZ519">
        <v>38.4</v>
      </c>
      <c r="BA519">
        <v>30.1</v>
      </c>
      <c r="BB519">
        <f t="shared" si="109"/>
        <v>1.2757475083056478</v>
      </c>
    </row>
    <row r="520" spans="1:54" x14ac:dyDescent="0.3">
      <c r="A520" s="11">
        <v>44771</v>
      </c>
      <c r="B520">
        <v>0.36902050113895202</v>
      </c>
      <c r="C520">
        <v>4072.43</v>
      </c>
      <c r="D520">
        <v>117.75</v>
      </c>
      <c r="E520">
        <v>1755.85</v>
      </c>
      <c r="F520">
        <v>83.06</v>
      </c>
      <c r="G520">
        <v>46.1</v>
      </c>
      <c r="H520" s="12">
        <f t="shared" si="110"/>
        <v>122.78006069045129</v>
      </c>
      <c r="I520" s="12">
        <f t="shared" si="111"/>
        <v>88.805782682603322</v>
      </c>
      <c r="J520" s="12">
        <f t="shared" si="112"/>
        <v>140.8025738092318</v>
      </c>
      <c r="K520" s="12">
        <f t="shared" si="113"/>
        <v>141.16449336670138</v>
      </c>
      <c r="L520" s="55">
        <v>16.515683280653299</v>
      </c>
      <c r="M520" s="55">
        <v>15.190877138229601</v>
      </c>
      <c r="P520" s="12"/>
      <c r="Q520" s="12"/>
      <c r="R520" s="12"/>
      <c r="S520" s="12"/>
      <c r="T520" s="55">
        <v>14.5905360710056</v>
      </c>
      <c r="U520" s="55">
        <v>13.426586023934</v>
      </c>
      <c r="V520">
        <v>0.45032679738562098</v>
      </c>
      <c r="W520" s="12"/>
      <c r="X520" s="12"/>
      <c r="Y520" t="str">
        <v>20141017</v>
      </c>
      <c r="Z520">
        <v>35.299999999999997</v>
      </c>
      <c r="AA520">
        <v>18.2</v>
      </c>
      <c r="AB520">
        <f t="shared" ref="AB520:AB583" si="114">IFERROR(Z520/AA520,"")</f>
        <v>1.9395604395604396</v>
      </c>
      <c r="AY520" t="str">
        <v>25/08/2022</v>
      </c>
      <c r="AZ520">
        <v>38.4</v>
      </c>
      <c r="BA520">
        <v>30.1</v>
      </c>
      <c r="BB520">
        <f t="shared" ref="BB520:BB583" si="115">IFERROR(AZ520/BA520,"")</f>
        <v>1.2757475083056478</v>
      </c>
    </row>
    <row r="521" spans="1:54" x14ac:dyDescent="0.3">
      <c r="A521" s="11">
        <v>44770</v>
      </c>
      <c r="B521">
        <v>0.35280373831775702</v>
      </c>
      <c r="C521">
        <v>4023.61</v>
      </c>
      <c r="D521">
        <v>116.82</v>
      </c>
      <c r="E521">
        <v>1734.44</v>
      </c>
      <c r="F521">
        <v>82.88</v>
      </c>
      <c r="G521">
        <v>45.87</v>
      </c>
      <c r="H521" s="12">
        <f t="shared" si="110"/>
        <v>122.26989966775838</v>
      </c>
      <c r="I521" s="12">
        <f t="shared" si="111"/>
        <v>88.824494377076775</v>
      </c>
      <c r="J521" s="12">
        <f t="shared" si="112"/>
        <v>139.413793816864</v>
      </c>
      <c r="K521" s="12">
        <f t="shared" si="113"/>
        <v>140.16661746982575</v>
      </c>
      <c r="L521" s="55">
        <v>16.601632154230401</v>
      </c>
      <c r="M521" s="55">
        <v>15.3767308004161</v>
      </c>
      <c r="P521" s="12"/>
      <c r="Q521" s="12"/>
      <c r="R521" s="12"/>
      <c r="S521" s="12"/>
      <c r="T521" s="55">
        <v>14.687917924587699</v>
      </c>
      <c r="U521" s="55">
        <v>13.575704182136</v>
      </c>
      <c r="V521">
        <v>0.44224422442244199</v>
      </c>
      <c r="W521" s="12"/>
      <c r="X521" s="12"/>
      <c r="Y521" t="str">
        <v>20141010</v>
      </c>
      <c r="Z521">
        <v>37.799999999999997</v>
      </c>
      <c r="AA521">
        <v>17.3</v>
      </c>
      <c r="AB521">
        <f t="shared" si="114"/>
        <v>2.1849710982658959</v>
      </c>
      <c r="AY521" t="str">
        <v>24/08/2022</v>
      </c>
      <c r="AZ521">
        <v>38.4</v>
      </c>
      <c r="BA521">
        <v>30.1</v>
      </c>
      <c r="BB521">
        <f t="shared" si="115"/>
        <v>1.2757475083056478</v>
      </c>
    </row>
    <row r="522" spans="1:54" x14ac:dyDescent="0.3">
      <c r="A522" s="11">
        <v>44769</v>
      </c>
      <c r="B522">
        <v>0.32227488151658801</v>
      </c>
      <c r="C522">
        <v>3921.05</v>
      </c>
      <c r="D522">
        <v>117.48</v>
      </c>
      <c r="E522">
        <v>1717.46</v>
      </c>
      <c r="F522">
        <v>82.75</v>
      </c>
      <c r="G522">
        <v>44.89</v>
      </c>
      <c r="H522" s="12">
        <f t="shared" si="110"/>
        <v>118.50450933879642</v>
      </c>
      <c r="I522" s="12">
        <f t="shared" si="111"/>
        <v>87.402493734478597</v>
      </c>
      <c r="J522" s="12">
        <f t="shared" si="112"/>
        <v>136.06851373145923</v>
      </c>
      <c r="K522" s="12">
        <f t="shared" si="113"/>
        <v>139.56299129129724</v>
      </c>
      <c r="L522" s="55">
        <v>16.574958968068</v>
      </c>
      <c r="M522" s="55">
        <v>15.365434082022899</v>
      </c>
      <c r="P522" s="12"/>
      <c r="Q522" s="12"/>
      <c r="R522" s="12"/>
      <c r="S522" s="12"/>
      <c r="T522" s="55">
        <v>14.593464349178401</v>
      </c>
      <c r="U522" s="55">
        <v>13.454588417326001</v>
      </c>
      <c r="V522">
        <v>0.441001977587343</v>
      </c>
      <c r="W522" s="12"/>
      <c r="X522" s="12"/>
      <c r="Y522" t="str">
        <v>20141003</v>
      </c>
      <c r="Z522">
        <v>45.5</v>
      </c>
      <c r="AA522">
        <v>14.1</v>
      </c>
      <c r="AB522">
        <f t="shared" si="114"/>
        <v>3.226950354609929</v>
      </c>
      <c r="AY522" t="str">
        <v>23/08/2022</v>
      </c>
      <c r="AZ522">
        <v>38.4</v>
      </c>
      <c r="BA522">
        <v>30.1</v>
      </c>
      <c r="BB522">
        <f t="shared" si="115"/>
        <v>1.2757475083056478</v>
      </c>
    </row>
    <row r="523" spans="1:54" x14ac:dyDescent="0.3">
      <c r="A523" s="11">
        <v>44768</v>
      </c>
      <c r="B523">
        <v>0.30215827338129497</v>
      </c>
      <c r="C523">
        <v>3966.84</v>
      </c>
      <c r="D523">
        <v>117.39</v>
      </c>
      <c r="E523">
        <v>1719.8</v>
      </c>
      <c r="F523">
        <v>82.79</v>
      </c>
      <c r="G523">
        <v>45.43</v>
      </c>
      <c r="H523" s="12">
        <f t="shared" si="110"/>
        <v>119.98146537065115</v>
      </c>
      <c r="I523" s="12">
        <f t="shared" si="111"/>
        <v>88.301631253068379</v>
      </c>
      <c r="J523" s="12">
        <f t="shared" si="112"/>
        <v>137.59026800254449</v>
      </c>
      <c r="K523" s="12">
        <f t="shared" si="113"/>
        <v>139.51510613590901</v>
      </c>
      <c r="L523" s="55">
        <v>16.505469379050801</v>
      </c>
      <c r="M523" s="55">
        <v>15.2887126188665</v>
      </c>
      <c r="P523" s="12"/>
      <c r="Q523" s="12"/>
      <c r="R523" s="12"/>
      <c r="S523" s="12"/>
      <c r="T523" s="55">
        <v>14.5484520828052</v>
      </c>
      <c r="U523" s="55">
        <v>13.405338065049101</v>
      </c>
      <c r="V523">
        <v>0.439121756487026</v>
      </c>
      <c r="W523" s="12"/>
      <c r="X523" s="12"/>
      <c r="Y523" t="str">
        <v>20140926</v>
      </c>
      <c r="Z523">
        <v>47.5</v>
      </c>
      <c r="AA523">
        <v>15.1</v>
      </c>
      <c r="AB523">
        <f t="shared" si="114"/>
        <v>3.1456953642384105</v>
      </c>
      <c r="AY523" t="str">
        <v>22/08/2022</v>
      </c>
      <c r="AZ523">
        <v>38.4</v>
      </c>
      <c r="BA523">
        <v>30.1</v>
      </c>
      <c r="BB523">
        <f t="shared" si="115"/>
        <v>1.2757475083056478</v>
      </c>
    </row>
    <row r="524" spans="1:54" x14ac:dyDescent="0.3">
      <c r="A524" s="11">
        <v>44765</v>
      </c>
      <c r="B524">
        <v>0.30641330166270803</v>
      </c>
      <c r="C524">
        <v>3961.63</v>
      </c>
      <c r="D524">
        <v>118.55</v>
      </c>
      <c r="E524">
        <v>1727.4</v>
      </c>
      <c r="F524">
        <v>82.86</v>
      </c>
      <c r="G524">
        <v>45.11</v>
      </c>
      <c r="H524" s="12">
        <f t="shared" si="110"/>
        <v>118.6642898395351</v>
      </c>
      <c r="I524" s="12">
        <f t="shared" si="111"/>
        <v>87.799873322259458</v>
      </c>
      <c r="J524" s="12">
        <f t="shared" si="112"/>
        <v>137.29372540436754</v>
      </c>
      <c r="K524" s="12">
        <f t="shared" si="113"/>
        <v>140.32600176334353</v>
      </c>
      <c r="P524" s="12"/>
      <c r="Q524" s="12"/>
      <c r="R524" s="12"/>
      <c r="S524" s="12"/>
      <c r="V524">
        <v>0.436591809775429</v>
      </c>
      <c r="W524" s="12"/>
      <c r="X524" s="12"/>
      <c r="Y524" t="str">
        <v>20140919</v>
      </c>
      <c r="Z524">
        <v>48</v>
      </c>
      <c r="AA524">
        <v>15.3</v>
      </c>
      <c r="AB524">
        <f t="shared" si="114"/>
        <v>3.1372549019607843</v>
      </c>
      <c r="AY524" t="str">
        <v>19/08/2022</v>
      </c>
      <c r="AZ524">
        <v>45.1</v>
      </c>
      <c r="BA524">
        <v>29.6</v>
      </c>
      <c r="BB524">
        <f t="shared" si="115"/>
        <v>1.5236486486486487</v>
      </c>
    </row>
    <row r="525" spans="1:54" x14ac:dyDescent="0.3">
      <c r="A525" s="11">
        <v>44764</v>
      </c>
      <c r="B525">
        <v>0.301435406698565</v>
      </c>
      <c r="C525">
        <v>3998.95</v>
      </c>
      <c r="D525">
        <v>116.59</v>
      </c>
      <c r="E525">
        <v>1718.93</v>
      </c>
      <c r="F525">
        <v>82.65</v>
      </c>
      <c r="G525">
        <v>45.4</v>
      </c>
      <c r="H525" s="12">
        <f t="shared" si="110"/>
        <v>121.84987159541443</v>
      </c>
      <c r="I525" s="12">
        <f t="shared" si="111"/>
        <v>89.070005700533102</v>
      </c>
      <c r="J525" s="12">
        <f t="shared" si="112"/>
        <v>138.94344041766692</v>
      </c>
      <c r="K525" s="12">
        <f t="shared" si="113"/>
        <v>140.74045207496425</v>
      </c>
      <c r="P525" s="12"/>
      <c r="Q525" s="12"/>
      <c r="R525" s="12"/>
      <c r="S525" s="12"/>
      <c r="V525">
        <v>0.44262295081967201</v>
      </c>
      <c r="W525" s="12"/>
      <c r="X525" s="12"/>
      <c r="Y525" t="str">
        <v>20140912</v>
      </c>
      <c r="Z525">
        <v>52.5</v>
      </c>
      <c r="AA525">
        <v>15.2</v>
      </c>
      <c r="AB525">
        <f t="shared" si="114"/>
        <v>3.4539473684210527</v>
      </c>
      <c r="AY525" t="str">
        <v>18/08/2022</v>
      </c>
      <c r="AZ525">
        <v>45.1</v>
      </c>
      <c r="BA525">
        <v>29.6</v>
      </c>
      <c r="BB525">
        <f t="shared" si="115"/>
        <v>1.5236486486486487</v>
      </c>
    </row>
    <row r="526" spans="1:54" x14ac:dyDescent="0.3">
      <c r="A526" s="11">
        <v>44763</v>
      </c>
      <c r="B526">
        <v>0.28985507246376802</v>
      </c>
      <c r="C526">
        <v>3959.9</v>
      </c>
      <c r="D526">
        <v>114.61</v>
      </c>
      <c r="E526">
        <v>1696.7</v>
      </c>
      <c r="F526">
        <v>82.42</v>
      </c>
      <c r="G526">
        <v>44.88</v>
      </c>
      <c r="H526" s="12">
        <f t="shared" si="110"/>
        <v>122.76009093159988</v>
      </c>
      <c r="I526" s="12">
        <f t="shared" si="111"/>
        <v>89.359579309794398</v>
      </c>
      <c r="J526" s="12">
        <f t="shared" si="112"/>
        <v>137.96790039181784</v>
      </c>
      <c r="K526" s="12">
        <f t="shared" si="113"/>
        <v>140.98366195080288</v>
      </c>
      <c r="P526" s="12"/>
      <c r="Q526" s="12"/>
      <c r="R526" s="12"/>
      <c r="S526" s="12"/>
      <c r="V526">
        <v>0.44444444444444398</v>
      </c>
      <c r="W526" s="12"/>
      <c r="X526" s="12"/>
      <c r="Y526" t="str">
        <v>20140905</v>
      </c>
      <c r="Z526">
        <v>57.6</v>
      </c>
      <c r="AA526">
        <v>14.1</v>
      </c>
      <c r="AB526">
        <f t="shared" si="114"/>
        <v>4.085106382978724</v>
      </c>
      <c r="AY526" t="str">
        <v>17/08/2022</v>
      </c>
      <c r="AZ526">
        <v>45.1</v>
      </c>
      <c r="BA526">
        <v>29.6</v>
      </c>
      <c r="BB526">
        <f t="shared" si="115"/>
        <v>1.5236486486486487</v>
      </c>
    </row>
    <row r="527" spans="1:54" x14ac:dyDescent="0.3">
      <c r="A527" s="11">
        <v>44762</v>
      </c>
      <c r="B527">
        <v>0.30992736077481797</v>
      </c>
      <c r="C527">
        <v>3936.69</v>
      </c>
      <c r="D527">
        <v>114.31</v>
      </c>
      <c r="E527">
        <v>1711.4</v>
      </c>
      <c r="F527">
        <v>82.43</v>
      </c>
      <c r="G527">
        <v>45.13</v>
      </c>
      <c r="H527" s="12">
        <f t="shared" si="110"/>
        <v>122.35980627669574</v>
      </c>
      <c r="I527" s="12">
        <f t="shared" si="111"/>
        <v>88.08366322925329</v>
      </c>
      <c r="J527" s="12">
        <f t="shared" si="112"/>
        <v>137.14269481995754</v>
      </c>
      <c r="K527" s="12">
        <f t="shared" si="113"/>
        <v>139.38968949574789</v>
      </c>
      <c r="P527" s="12"/>
      <c r="Q527" s="12"/>
      <c r="R527" s="12"/>
      <c r="S527" s="12"/>
      <c r="V527">
        <v>0.44555112881806103</v>
      </c>
      <c r="W527" s="12"/>
      <c r="X527" s="12"/>
      <c r="Y527" t="str">
        <v>20140829</v>
      </c>
      <c r="Z527">
        <v>56.1</v>
      </c>
      <c r="AA527">
        <v>13.3</v>
      </c>
      <c r="AB527">
        <f t="shared" si="114"/>
        <v>4.2180451127819545</v>
      </c>
      <c r="AY527" t="str">
        <v>16/08/2022</v>
      </c>
      <c r="AZ527">
        <v>45.1</v>
      </c>
      <c r="BA527">
        <v>29.6</v>
      </c>
      <c r="BB527">
        <f t="shared" si="115"/>
        <v>1.5236486486486487</v>
      </c>
    </row>
    <row r="528" spans="1:54" x14ac:dyDescent="0.3">
      <c r="A528" s="11">
        <v>44761</v>
      </c>
      <c r="B528">
        <v>0.29899497487437199</v>
      </c>
      <c r="C528">
        <v>3830.85</v>
      </c>
      <c r="D528">
        <v>114.93</v>
      </c>
      <c r="E528">
        <v>1709.22</v>
      </c>
      <c r="F528">
        <v>82.52</v>
      </c>
      <c r="G528">
        <v>44.1</v>
      </c>
      <c r="H528" s="12">
        <f t="shared" si="110"/>
        <v>118.44829748865479</v>
      </c>
      <c r="I528" s="12">
        <f t="shared" si="111"/>
        <v>85.822004730308706</v>
      </c>
      <c r="J528" s="12">
        <f t="shared" si="112"/>
        <v>133.31405152968244</v>
      </c>
      <c r="K528" s="12">
        <f t="shared" si="113"/>
        <v>138.79670499255189</v>
      </c>
      <c r="P528" s="12"/>
      <c r="Q528" s="12"/>
      <c r="R528" s="12"/>
      <c r="S528" s="12"/>
      <c r="V528">
        <v>0.44489247311828001</v>
      </c>
      <c r="W528" s="12"/>
      <c r="X528" s="12"/>
      <c r="Y528" t="str">
        <v>20140822</v>
      </c>
      <c r="Z528">
        <v>52.5</v>
      </c>
      <c r="AA528">
        <v>15.1</v>
      </c>
      <c r="AB528">
        <f t="shared" si="114"/>
        <v>3.4768211920529803</v>
      </c>
      <c r="AY528" t="str">
        <v>15/08/2022</v>
      </c>
      <c r="AZ528">
        <v>45.1</v>
      </c>
      <c r="BA528">
        <v>29.6</v>
      </c>
      <c r="BB528">
        <f t="shared" si="115"/>
        <v>1.5236486486486487</v>
      </c>
    </row>
    <row r="529" spans="1:54" x14ac:dyDescent="0.3">
      <c r="A529" s="11">
        <v>44758</v>
      </c>
      <c r="B529">
        <v>0.29323308270676701</v>
      </c>
      <c r="C529">
        <v>3863.16</v>
      </c>
      <c r="D529">
        <v>116.14</v>
      </c>
      <c r="E529">
        <v>1707.7</v>
      </c>
      <c r="F529">
        <v>82.57</v>
      </c>
      <c r="G529">
        <v>43.87</v>
      </c>
      <c r="H529" s="12">
        <f t="shared" si="110"/>
        <v>118.2054041708443</v>
      </c>
      <c r="I529" s="12">
        <f t="shared" si="111"/>
        <v>86.62359395824204</v>
      </c>
      <c r="J529" s="12">
        <f t="shared" si="112"/>
        <v>134.35639822292933</v>
      </c>
      <c r="K529" s="12">
        <f t="shared" si="113"/>
        <v>140.71127638886981</v>
      </c>
      <c r="P529" s="12"/>
      <c r="Q529" s="12"/>
      <c r="R529" s="12"/>
      <c r="S529" s="12"/>
      <c r="V529">
        <v>0.441610738255034</v>
      </c>
      <c r="W529" s="12"/>
      <c r="X529" s="12"/>
      <c r="Y529" t="str">
        <v>20140815</v>
      </c>
      <c r="Z529">
        <v>49.5</v>
      </c>
      <c r="AA529">
        <v>16.2</v>
      </c>
      <c r="AB529">
        <f t="shared" si="114"/>
        <v>3.0555555555555558</v>
      </c>
      <c r="AY529" t="str">
        <v>12/08/2022</v>
      </c>
      <c r="AZ529">
        <v>45</v>
      </c>
      <c r="BA529">
        <v>27.5</v>
      </c>
      <c r="BB529">
        <f t="shared" si="115"/>
        <v>1.6363636363636365</v>
      </c>
    </row>
    <row r="530" spans="1:54" x14ac:dyDescent="0.3">
      <c r="A530" s="11">
        <v>44757</v>
      </c>
      <c r="B530">
        <v>0.31202046035805597</v>
      </c>
      <c r="C530">
        <v>3790.38</v>
      </c>
      <c r="D530">
        <v>115.49</v>
      </c>
      <c r="E530">
        <v>1709.96</v>
      </c>
      <c r="F530">
        <v>82.51</v>
      </c>
      <c r="G530">
        <v>43.31</v>
      </c>
      <c r="H530" s="12">
        <f t="shared" si="110"/>
        <v>116.62248161606756</v>
      </c>
      <c r="I530" s="12">
        <f t="shared" si="111"/>
        <v>84.881577044555868</v>
      </c>
      <c r="J530" s="12">
        <f t="shared" si="112"/>
        <v>131.91931338032242</v>
      </c>
      <c r="K530" s="12">
        <f t="shared" si="113"/>
        <v>139.83434698252267</v>
      </c>
      <c r="P530" s="12"/>
      <c r="Q530" s="12"/>
      <c r="R530" s="12"/>
      <c r="S530" s="12"/>
      <c r="V530">
        <v>0.44738628649015599</v>
      </c>
      <c r="W530" s="12"/>
      <c r="X530" s="12"/>
      <c r="Y530" t="str">
        <v>20140808</v>
      </c>
      <c r="Z530">
        <v>46.4</v>
      </c>
      <c r="AA530">
        <v>16.2</v>
      </c>
      <c r="AB530">
        <f t="shared" si="114"/>
        <v>2.8641975308641974</v>
      </c>
      <c r="AY530" t="str">
        <v>11/08/2022</v>
      </c>
      <c r="AZ530">
        <v>45</v>
      </c>
      <c r="BA530">
        <v>27.5</v>
      </c>
      <c r="BB530">
        <f t="shared" si="115"/>
        <v>1.6363636363636365</v>
      </c>
    </row>
    <row r="531" spans="1:54" x14ac:dyDescent="0.3">
      <c r="A531" s="11">
        <v>44756</v>
      </c>
      <c r="B531">
        <v>0.29770992366412202</v>
      </c>
      <c r="C531">
        <v>3801.78</v>
      </c>
      <c r="D531">
        <v>116.44</v>
      </c>
      <c r="E531">
        <v>1735.38</v>
      </c>
      <c r="F531">
        <v>82.54</v>
      </c>
      <c r="G531">
        <v>43.89</v>
      </c>
      <c r="H531" s="12">
        <f t="shared" si="110"/>
        <v>116.02378577624391</v>
      </c>
      <c r="I531" s="12">
        <f t="shared" si="111"/>
        <v>83.904136377677204</v>
      </c>
      <c r="J531" s="12">
        <f t="shared" si="112"/>
        <v>132.26785707350101</v>
      </c>
      <c r="K531" s="12">
        <f t="shared" si="113"/>
        <v>138.4202101368459</v>
      </c>
      <c r="P531" s="12"/>
      <c r="Q531" s="12"/>
      <c r="R531" s="12"/>
      <c r="S531" s="12"/>
      <c r="V531">
        <v>0.44860449285227999</v>
      </c>
      <c r="W531" s="12"/>
      <c r="X531" s="12"/>
      <c r="Y531" t="str">
        <v>20140801</v>
      </c>
      <c r="Z531">
        <v>50.5</v>
      </c>
      <c r="AA531">
        <v>17.100000000000001</v>
      </c>
      <c r="AB531">
        <f t="shared" si="114"/>
        <v>2.9532163742690054</v>
      </c>
      <c r="AY531" t="str">
        <v>10/08/2022</v>
      </c>
      <c r="AZ531">
        <v>45</v>
      </c>
      <c r="BA531">
        <v>27.5</v>
      </c>
      <c r="BB531">
        <f t="shared" si="115"/>
        <v>1.6363636363636365</v>
      </c>
    </row>
    <row r="532" spans="1:54" x14ac:dyDescent="0.3">
      <c r="A532" s="11">
        <v>44755</v>
      </c>
      <c r="B532">
        <v>0.30526315789473701</v>
      </c>
      <c r="C532">
        <v>3818.8</v>
      </c>
      <c r="D532">
        <v>115.12</v>
      </c>
      <c r="E532">
        <v>1725.92</v>
      </c>
      <c r="F532">
        <v>82.63</v>
      </c>
      <c r="G532">
        <v>43.95</v>
      </c>
      <c r="H532" s="12">
        <f t="shared" si="110"/>
        <v>117.90114857817345</v>
      </c>
      <c r="I532" s="12">
        <f t="shared" si="111"/>
        <v>84.746348312126415</v>
      </c>
      <c r="J532" s="12">
        <f t="shared" si="112"/>
        <v>132.71480132939425</v>
      </c>
      <c r="K532" s="12">
        <f t="shared" si="113"/>
        <v>138.84949246528748</v>
      </c>
      <c r="P532" s="12"/>
      <c r="Q532" s="12"/>
      <c r="R532" s="12"/>
      <c r="S532" s="12"/>
      <c r="V532">
        <v>0.45207341944255602</v>
      </c>
      <c r="W532" s="12"/>
      <c r="X532" s="12"/>
      <c r="Y532" t="str">
        <v>20140725</v>
      </c>
      <c r="Z532">
        <v>55.6</v>
      </c>
      <c r="AA532">
        <v>16.2</v>
      </c>
      <c r="AB532">
        <f t="shared" si="114"/>
        <v>3.4320987654320989</v>
      </c>
      <c r="AY532" t="str">
        <v>09/08/2022</v>
      </c>
      <c r="AZ532">
        <v>45</v>
      </c>
      <c r="BA532">
        <v>27.5</v>
      </c>
      <c r="BB532">
        <f t="shared" si="115"/>
        <v>1.6363636363636365</v>
      </c>
    </row>
    <row r="533" spans="1:54" x14ac:dyDescent="0.3">
      <c r="A533" s="11">
        <v>44754</v>
      </c>
      <c r="B533">
        <v>0.30053191489361702</v>
      </c>
      <c r="C533">
        <v>3854.43</v>
      </c>
      <c r="D533">
        <v>114.44</v>
      </c>
      <c r="E533">
        <v>1734.0350000000001</v>
      </c>
      <c r="F533">
        <v>82.59</v>
      </c>
      <c r="G533">
        <v>44.03</v>
      </c>
      <c r="H533" s="12">
        <f t="shared" si="110"/>
        <v>119.71919071432788</v>
      </c>
      <c r="I533" s="12">
        <f t="shared" si="111"/>
        <v>85.134910224994627</v>
      </c>
      <c r="J533" s="12">
        <f t="shared" si="112"/>
        <v>134.0185646287259</v>
      </c>
      <c r="K533" s="12">
        <f t="shared" si="113"/>
        <v>139.88843914144925</v>
      </c>
      <c r="P533" s="12"/>
      <c r="Q533" s="12"/>
      <c r="R533" s="12"/>
      <c r="S533" s="12"/>
      <c r="V533">
        <v>0.45467032967033</v>
      </c>
      <c r="W533" s="12"/>
      <c r="X533" s="12"/>
      <c r="Y533" t="str">
        <v>20140718</v>
      </c>
      <c r="Z533">
        <v>56.5</v>
      </c>
      <c r="AA533">
        <v>17.2</v>
      </c>
      <c r="AB533">
        <f t="shared" si="114"/>
        <v>3.2848837209302326</v>
      </c>
      <c r="AY533" t="str">
        <v>08/08/2022</v>
      </c>
      <c r="AZ533">
        <v>45</v>
      </c>
      <c r="BA533">
        <v>27.5</v>
      </c>
      <c r="BB533">
        <f t="shared" si="115"/>
        <v>1.6363636363636365</v>
      </c>
    </row>
    <row r="534" spans="1:54" x14ac:dyDescent="0.3">
      <c r="A534" s="11">
        <v>44751</v>
      </c>
      <c r="B534">
        <v>0.30939226519336999</v>
      </c>
      <c r="C534">
        <v>3899.38</v>
      </c>
      <c r="D534">
        <v>112.5</v>
      </c>
      <c r="E534">
        <v>1742.8</v>
      </c>
      <c r="F534">
        <v>82.56</v>
      </c>
      <c r="G534">
        <v>44.91</v>
      </c>
      <c r="H534" s="12">
        <f t="shared" si="110"/>
        <v>123.26578374162483</v>
      </c>
      <c r="I534" s="12">
        <f t="shared" si="111"/>
        <v>85.691753262425806</v>
      </c>
      <c r="J534" s="12">
        <f t="shared" si="112"/>
        <v>135.63133591500838</v>
      </c>
      <c r="K534" s="12">
        <f t="shared" si="113"/>
        <v>138.76895233451211</v>
      </c>
      <c r="P534" s="12"/>
      <c r="Q534" s="12"/>
      <c r="R534" s="12"/>
      <c r="S534" s="12"/>
      <c r="V534">
        <v>0.454358270418668</v>
      </c>
      <c r="W534" s="12"/>
      <c r="X534" s="12"/>
      <c r="Y534" t="str">
        <v>20140711</v>
      </c>
      <c r="Z534">
        <v>56.6</v>
      </c>
      <c r="AA534">
        <v>15.1</v>
      </c>
      <c r="AB534">
        <f t="shared" si="114"/>
        <v>3.7483443708609272</v>
      </c>
      <c r="AY534" t="str">
        <v>05/08/2022</v>
      </c>
      <c r="AZ534">
        <v>44.4</v>
      </c>
      <c r="BA534">
        <v>27.8</v>
      </c>
      <c r="BB534">
        <f t="shared" si="115"/>
        <v>1.5971223021582732</v>
      </c>
    </row>
    <row r="535" spans="1:54" x14ac:dyDescent="0.3">
      <c r="A535" s="11">
        <v>44750</v>
      </c>
      <c r="B535">
        <v>0.32861189801699697</v>
      </c>
      <c r="C535">
        <v>3902.62</v>
      </c>
      <c r="D535">
        <v>113.76</v>
      </c>
      <c r="E535">
        <v>1740.18</v>
      </c>
      <c r="F535">
        <v>82.66</v>
      </c>
      <c r="G535">
        <v>44.88</v>
      </c>
      <c r="H535" s="12">
        <f t="shared" si="110"/>
        <v>122.01564344309362</v>
      </c>
      <c r="I535" s="12">
        <f t="shared" si="111"/>
        <v>85.892380932710068</v>
      </c>
      <c r="J535" s="12">
        <f t="shared" si="112"/>
        <v>135.57987474553724</v>
      </c>
      <c r="K535" s="12">
        <f t="shared" si="113"/>
        <v>138.97723204993574</v>
      </c>
      <c r="P535" s="12"/>
      <c r="Q535" s="12"/>
      <c r="R535" s="12"/>
      <c r="S535" s="12"/>
      <c r="V535">
        <v>0.45588235294117602</v>
      </c>
      <c r="W535" s="12"/>
      <c r="X535" s="12"/>
      <c r="Y535" t="str">
        <v>20140704</v>
      </c>
      <c r="Z535">
        <v>60.6</v>
      </c>
      <c r="AA535">
        <v>15.2</v>
      </c>
      <c r="AB535">
        <f t="shared" si="114"/>
        <v>3.986842105263158</v>
      </c>
      <c r="AY535" t="str">
        <v>04/08/2022</v>
      </c>
      <c r="AZ535">
        <v>44.4</v>
      </c>
      <c r="BA535">
        <v>27.8</v>
      </c>
      <c r="BB535">
        <f t="shared" si="115"/>
        <v>1.5971223021582732</v>
      </c>
    </row>
    <row r="536" spans="1:54" x14ac:dyDescent="0.3">
      <c r="A536" s="11">
        <v>44749</v>
      </c>
      <c r="B536">
        <v>0.34593023255813998</v>
      </c>
      <c r="C536">
        <v>3845.08</v>
      </c>
      <c r="D536">
        <v>114.77</v>
      </c>
      <c r="E536">
        <v>1739.2</v>
      </c>
      <c r="F536">
        <v>82.72</v>
      </c>
      <c r="G536">
        <v>44.11</v>
      </c>
      <c r="H536" s="12">
        <f t="shared" si="110"/>
        <v>119.18327819609412</v>
      </c>
      <c r="I536" s="12">
        <f t="shared" si="111"/>
        <v>84.672996586588198</v>
      </c>
      <c r="J536" s="12">
        <f t="shared" si="112"/>
        <v>133.48549840800538</v>
      </c>
      <c r="K536" s="12">
        <f t="shared" si="113"/>
        <v>139.32439793644065</v>
      </c>
      <c r="P536" s="12"/>
      <c r="Q536" s="12"/>
      <c r="R536" s="12"/>
      <c r="S536" s="12"/>
      <c r="V536">
        <v>0.45109078114004197</v>
      </c>
      <c r="W536" s="12"/>
      <c r="X536" s="12"/>
      <c r="Y536" t="str">
        <v>20140627</v>
      </c>
      <c r="Z536">
        <v>57.6</v>
      </c>
      <c r="AA536">
        <v>16.100000000000001</v>
      </c>
      <c r="AB536">
        <f t="shared" si="114"/>
        <v>3.5776397515527947</v>
      </c>
      <c r="AY536" t="str">
        <v>03/08/2022</v>
      </c>
      <c r="AZ536">
        <v>44.4</v>
      </c>
      <c r="BA536">
        <v>27.8</v>
      </c>
      <c r="BB536">
        <f t="shared" si="115"/>
        <v>1.5971223021582732</v>
      </c>
    </row>
    <row r="537" spans="1:54" x14ac:dyDescent="0.3">
      <c r="A537" s="11">
        <v>44748</v>
      </c>
      <c r="B537">
        <v>0.36036036036036001</v>
      </c>
      <c r="C537">
        <v>3831.39</v>
      </c>
      <c r="D537">
        <v>116.73</v>
      </c>
      <c r="E537">
        <v>1764.8</v>
      </c>
      <c r="F537">
        <v>82.95</v>
      </c>
      <c r="G537">
        <v>44.2</v>
      </c>
      <c r="H537" s="12">
        <f t="shared" si="110"/>
        <v>116.80466785688598</v>
      </c>
      <c r="I537" s="12">
        <f t="shared" si="111"/>
        <v>83.169376694992209</v>
      </c>
      <c r="J537" s="12">
        <f t="shared" si="112"/>
        <v>132.64375830397552</v>
      </c>
      <c r="K537" s="12">
        <f t="shared" si="113"/>
        <v>138.54724282881864</v>
      </c>
      <c r="P537" s="12"/>
      <c r="Q537" s="12"/>
      <c r="R537" s="12"/>
      <c r="S537" s="12"/>
      <c r="V537">
        <v>0.454481792717087</v>
      </c>
      <c r="W537" s="12"/>
      <c r="X537" s="12"/>
      <c r="Y537" t="str">
        <v>20140620</v>
      </c>
      <c r="Z537">
        <v>60.2</v>
      </c>
      <c r="AA537">
        <v>16.3</v>
      </c>
      <c r="AB537">
        <f t="shared" si="114"/>
        <v>3.6932515337423313</v>
      </c>
      <c r="AY537" t="str">
        <v>02/08/2022</v>
      </c>
      <c r="AZ537">
        <v>44.4</v>
      </c>
      <c r="BA537">
        <v>27.8</v>
      </c>
      <c r="BB537">
        <f t="shared" si="115"/>
        <v>1.5971223021582732</v>
      </c>
    </row>
    <row r="538" spans="1:54" x14ac:dyDescent="0.3">
      <c r="A538" s="11">
        <v>44744</v>
      </c>
      <c r="B538">
        <v>0.391812865497076</v>
      </c>
      <c r="C538">
        <v>3825.33</v>
      </c>
      <c r="D538">
        <v>115.82</v>
      </c>
      <c r="E538">
        <v>1811.1</v>
      </c>
      <c r="F538">
        <v>82.96</v>
      </c>
      <c r="G538">
        <v>44.97</v>
      </c>
      <c r="H538" s="12">
        <f t="shared" si="110"/>
        <v>117.54199024431692</v>
      </c>
      <c r="I538" s="12">
        <f t="shared" si="111"/>
        <v>80.971112128190981</v>
      </c>
      <c r="J538" s="12">
        <f t="shared" si="112"/>
        <v>132.41802303963445</v>
      </c>
      <c r="K538" s="12">
        <f t="shared" si="113"/>
        <v>136.0030736976006</v>
      </c>
      <c r="P538" s="12"/>
      <c r="Q538" s="12"/>
      <c r="R538" s="12"/>
      <c r="S538" s="12"/>
      <c r="V538">
        <v>0.47383309759547398</v>
      </c>
      <c r="W538" s="12"/>
      <c r="X538" s="12"/>
      <c r="Y538" t="str">
        <v>20140613</v>
      </c>
      <c r="Z538">
        <v>61.4</v>
      </c>
      <c r="AA538">
        <v>16.3</v>
      </c>
      <c r="AB538">
        <f t="shared" si="114"/>
        <v>3.7668711656441713</v>
      </c>
      <c r="AY538" t="str">
        <v>01/08/2022</v>
      </c>
      <c r="AZ538">
        <v>44.4</v>
      </c>
      <c r="BA538">
        <v>27.8</v>
      </c>
      <c r="BB538">
        <f t="shared" si="115"/>
        <v>1.5971223021582732</v>
      </c>
    </row>
    <row r="539" spans="1:54" x14ac:dyDescent="0.3">
      <c r="A539" s="11">
        <v>44742</v>
      </c>
      <c r="B539">
        <v>0.42074927953890501</v>
      </c>
      <c r="C539">
        <v>3785.38</v>
      </c>
      <c r="D539">
        <v>114.87</v>
      </c>
      <c r="E539">
        <v>1807.05</v>
      </c>
      <c r="F539">
        <v>82.79</v>
      </c>
      <c r="G539">
        <v>45</v>
      </c>
      <c r="H539" s="12">
        <f t="shared" si="110"/>
        <v>117.27418951963956</v>
      </c>
      <c r="I539" s="12">
        <f t="shared" si="111"/>
        <v>80.303585344814977</v>
      </c>
      <c r="J539" s="12">
        <f t="shared" si="112"/>
        <v>131.30190771511556</v>
      </c>
      <c r="K539" s="12">
        <f t="shared" si="113"/>
        <v>134.49399342406321</v>
      </c>
      <c r="P539" s="12"/>
      <c r="Q539" s="12"/>
      <c r="R539" s="12"/>
      <c r="S539" s="12"/>
      <c r="V539">
        <v>0.46928571428571397</v>
      </c>
      <c r="W539" s="12"/>
      <c r="X539" s="12"/>
      <c r="Y539" t="str">
        <v>20140606</v>
      </c>
      <c r="Z539">
        <v>62.6</v>
      </c>
      <c r="AA539">
        <v>17.2</v>
      </c>
      <c r="AB539">
        <f t="shared" si="114"/>
        <v>3.6395348837209305</v>
      </c>
      <c r="AY539" t="str">
        <v>29/07/2022</v>
      </c>
      <c r="AZ539">
        <v>41.1</v>
      </c>
      <c r="BA539">
        <v>30.1</v>
      </c>
      <c r="BB539">
        <f t="shared" si="115"/>
        <v>1.3654485049833887</v>
      </c>
    </row>
    <row r="540" spans="1:54" x14ac:dyDescent="0.3">
      <c r="A540" s="11">
        <v>44742</v>
      </c>
      <c r="B540">
        <v>0.42816091954023</v>
      </c>
      <c r="C540">
        <v>3818.83</v>
      </c>
      <c r="D540">
        <v>113.87</v>
      </c>
      <c r="E540">
        <v>1817.8</v>
      </c>
      <c r="F540">
        <v>82.63</v>
      </c>
      <c r="G540">
        <v>45.2</v>
      </c>
      <c r="H540" s="12">
        <f t="shared" si="110"/>
        <v>119.36804488145496</v>
      </c>
      <c r="I540" s="12">
        <f t="shared" si="111"/>
        <v>80.532740082294666</v>
      </c>
      <c r="J540" s="12">
        <f t="shared" si="112"/>
        <v>132.72143916286339</v>
      </c>
      <c r="K540" s="12">
        <f t="shared" si="113"/>
        <v>135.07948851605374</v>
      </c>
      <c r="P540" s="12"/>
      <c r="Q540" s="12"/>
      <c r="R540" s="12"/>
      <c r="S540" s="12"/>
      <c r="V540">
        <v>0.47997189037245303</v>
      </c>
      <c r="W540" s="12"/>
      <c r="X540" s="12"/>
      <c r="Y540" t="str">
        <v>20140530</v>
      </c>
      <c r="Z540">
        <v>62.2</v>
      </c>
      <c r="AA540">
        <v>17.399999999999999</v>
      </c>
      <c r="AB540">
        <f t="shared" si="114"/>
        <v>3.5747126436781613</v>
      </c>
      <c r="AY540" t="str">
        <v>28/07/2022</v>
      </c>
      <c r="AZ540">
        <v>41.1</v>
      </c>
      <c r="BA540">
        <v>30.1</v>
      </c>
      <c r="BB540">
        <f t="shared" si="115"/>
        <v>1.3654485049833887</v>
      </c>
    </row>
    <row r="541" spans="1:54" x14ac:dyDescent="0.3">
      <c r="A541" s="11">
        <v>44741</v>
      </c>
      <c r="B541">
        <v>0.45132743362831901</v>
      </c>
      <c r="C541">
        <v>3821.55</v>
      </c>
      <c r="D541">
        <v>112.12</v>
      </c>
      <c r="E541">
        <v>1819.73</v>
      </c>
      <c r="F541">
        <v>82.53</v>
      </c>
      <c r="G541">
        <v>45.42</v>
      </c>
      <c r="H541" s="12">
        <f t="shared" si="110"/>
        <v>121.34845530406363</v>
      </c>
      <c r="I541" s="12">
        <f t="shared" si="111"/>
        <v>80.504656530603583</v>
      </c>
      <c r="J541" s="12">
        <f t="shared" si="112"/>
        <v>132.97721201184751</v>
      </c>
      <c r="K541" s="12">
        <f t="shared" si="113"/>
        <v>134.52364647927197</v>
      </c>
      <c r="P541" s="12"/>
      <c r="Q541" s="12"/>
      <c r="R541" s="12"/>
      <c r="S541" s="12"/>
      <c r="V541">
        <v>0.48121899362154502</v>
      </c>
      <c r="W541" s="12"/>
      <c r="X541" s="12"/>
      <c r="Y541" t="str">
        <v>20140523</v>
      </c>
      <c r="Z541">
        <v>58.3</v>
      </c>
      <c r="AA541">
        <v>17.3</v>
      </c>
      <c r="AB541">
        <f t="shared" si="114"/>
        <v>3.3699421965317917</v>
      </c>
      <c r="AY541" t="str">
        <v>27/07/2022</v>
      </c>
      <c r="AZ541">
        <v>41.1</v>
      </c>
      <c r="BA541">
        <v>30.1</v>
      </c>
      <c r="BB541">
        <f t="shared" si="115"/>
        <v>1.3654485049833887</v>
      </c>
    </row>
    <row r="542" spans="1:54" x14ac:dyDescent="0.3">
      <c r="A542" s="11">
        <v>44740</v>
      </c>
      <c r="B542">
        <v>0.46246246246246198</v>
      </c>
      <c r="C542">
        <v>3900.11</v>
      </c>
      <c r="D542">
        <v>111.6</v>
      </c>
      <c r="E542">
        <v>1822.77</v>
      </c>
      <c r="F542">
        <v>82.55</v>
      </c>
      <c r="G542">
        <v>45.69</v>
      </c>
      <c r="H542" s="12">
        <f t="shared" si="110"/>
        <v>124.43475067330901</v>
      </c>
      <c r="I542" s="12">
        <f t="shared" si="111"/>
        <v>82.019994822388639</v>
      </c>
      <c r="J542" s="12">
        <f t="shared" si="112"/>
        <v>135.67729107520972</v>
      </c>
      <c r="K542" s="12">
        <f t="shared" si="113"/>
        <v>136.46605410722177</v>
      </c>
      <c r="P542" s="12"/>
      <c r="Q542" s="12"/>
      <c r="R542" s="12"/>
      <c r="S542" s="12"/>
      <c r="V542">
        <v>0.47673586256263401</v>
      </c>
      <c r="W542" s="12"/>
      <c r="X542" s="12"/>
      <c r="Y542" t="str">
        <v>20140516</v>
      </c>
      <c r="Z542">
        <v>57.2</v>
      </c>
      <c r="AA542">
        <v>18.3</v>
      </c>
      <c r="AB542">
        <f t="shared" si="114"/>
        <v>3.1256830601092895</v>
      </c>
      <c r="AY542" t="str">
        <v>26/07/2022</v>
      </c>
      <c r="AZ542">
        <v>41.1</v>
      </c>
      <c r="BA542">
        <v>30.1</v>
      </c>
      <c r="BB542">
        <f t="shared" si="115"/>
        <v>1.3654485049833887</v>
      </c>
    </row>
    <row r="543" spans="1:54" x14ac:dyDescent="0.3">
      <c r="A543" s="11">
        <v>44737</v>
      </c>
      <c r="B543">
        <v>0.488165680473373</v>
      </c>
      <c r="C543">
        <v>3911.74</v>
      </c>
      <c r="D543">
        <v>112.56</v>
      </c>
      <c r="E543">
        <v>1827.1</v>
      </c>
      <c r="F543">
        <v>82.64</v>
      </c>
      <c r="G543">
        <v>45.76</v>
      </c>
      <c r="H543" s="12">
        <f t="shared" si="110"/>
        <v>123.74725015901696</v>
      </c>
      <c r="I543" s="12">
        <f t="shared" si="111"/>
        <v>82.069501256772327</v>
      </c>
      <c r="J543" s="12">
        <f t="shared" si="112"/>
        <v>135.93339509644363</v>
      </c>
      <c r="K543" s="12">
        <f t="shared" si="113"/>
        <v>136.66331136219071</v>
      </c>
      <c r="P543" s="12"/>
      <c r="Q543" s="12"/>
      <c r="R543" s="12"/>
      <c r="S543" s="12"/>
      <c r="V543">
        <v>0.47160664819944598</v>
      </c>
      <c r="W543" s="12"/>
      <c r="X543" s="12"/>
      <c r="Y543" t="str">
        <v>20140509</v>
      </c>
      <c r="Z543">
        <v>55.1</v>
      </c>
      <c r="AA543">
        <v>19.399999999999999</v>
      </c>
      <c r="AB543">
        <f t="shared" si="114"/>
        <v>2.8402061855670104</v>
      </c>
      <c r="AY543" t="str">
        <v>25/07/2022</v>
      </c>
      <c r="AZ543">
        <v>41.1</v>
      </c>
      <c r="BA543">
        <v>30.1</v>
      </c>
      <c r="BB543">
        <f t="shared" si="115"/>
        <v>1.3654485049833887</v>
      </c>
    </row>
    <row r="544" spans="1:54" x14ac:dyDescent="0.3">
      <c r="A544" s="11">
        <v>44736</v>
      </c>
      <c r="B544">
        <v>0.49240121580547103</v>
      </c>
      <c r="C544">
        <v>3795.73</v>
      </c>
      <c r="D544">
        <v>114.14</v>
      </c>
      <c r="E544">
        <v>1822.3</v>
      </c>
      <c r="F544">
        <v>82.66</v>
      </c>
      <c r="G544">
        <v>44.54</v>
      </c>
      <c r="H544" s="12">
        <f t="shared" si="110"/>
        <v>118.48577779184478</v>
      </c>
      <c r="I544" s="12">
        <f t="shared" si="111"/>
        <v>79.839639452305079</v>
      </c>
      <c r="J544" s="12">
        <f t="shared" si="112"/>
        <v>131.87107423388204</v>
      </c>
      <c r="K544" s="12">
        <f t="shared" si="113"/>
        <v>136.23116135965546</v>
      </c>
      <c r="P544" s="12"/>
      <c r="Q544" s="12"/>
      <c r="R544" s="12"/>
      <c r="S544" s="12"/>
      <c r="V544">
        <v>0.47390396659707701</v>
      </c>
      <c r="W544" s="12"/>
      <c r="X544" s="12"/>
      <c r="Y544" t="str">
        <v>20140502</v>
      </c>
      <c r="Z544">
        <v>55.8</v>
      </c>
      <c r="AA544">
        <v>19.7</v>
      </c>
      <c r="AB544">
        <f t="shared" si="114"/>
        <v>2.8324873096446699</v>
      </c>
      <c r="AY544" t="str">
        <v>22/07/2022</v>
      </c>
      <c r="AZ544">
        <v>38.9</v>
      </c>
      <c r="BA544">
        <v>33.299999999999997</v>
      </c>
      <c r="BB544">
        <f t="shared" si="115"/>
        <v>1.1681681681681682</v>
      </c>
    </row>
    <row r="545" spans="1:54" x14ac:dyDescent="0.3">
      <c r="A545" s="11">
        <v>44735</v>
      </c>
      <c r="B545">
        <v>0.48942598187311198</v>
      </c>
      <c r="C545">
        <v>3759.89</v>
      </c>
      <c r="D545">
        <v>113.21</v>
      </c>
      <c r="E545">
        <v>1837.69</v>
      </c>
      <c r="F545">
        <v>82.59</v>
      </c>
      <c r="G545">
        <v>44.6</v>
      </c>
      <c r="H545" s="12">
        <f t="shared" si="110"/>
        <v>118.32989333332918</v>
      </c>
      <c r="I545" s="12">
        <f t="shared" si="111"/>
        <v>78.435114561134839</v>
      </c>
      <c r="J545" s="12">
        <f t="shared" si="112"/>
        <v>130.73568274081117</v>
      </c>
      <c r="K545" s="12">
        <f t="shared" si="113"/>
        <v>134.76525429508686</v>
      </c>
      <c r="P545" s="12"/>
      <c r="Q545" s="12"/>
      <c r="R545" s="12"/>
      <c r="S545" s="12"/>
      <c r="V545">
        <v>0.47310344827586198</v>
      </c>
      <c r="W545" s="12"/>
      <c r="X545" s="12"/>
      <c r="Y545" t="str">
        <v>20140425</v>
      </c>
      <c r="Z545">
        <v>54.7</v>
      </c>
      <c r="AA545">
        <v>20.6</v>
      </c>
      <c r="AB545">
        <f t="shared" si="114"/>
        <v>2.6553398058252426</v>
      </c>
      <c r="AY545" t="str">
        <v>21/07/2022</v>
      </c>
      <c r="AZ545">
        <v>38.9</v>
      </c>
      <c r="BA545">
        <v>33.299999999999997</v>
      </c>
      <c r="BB545">
        <f t="shared" si="115"/>
        <v>1.1681681681681682</v>
      </c>
    </row>
    <row r="546" spans="1:54" x14ac:dyDescent="0.3">
      <c r="A546" s="11">
        <v>44734</v>
      </c>
      <c r="B546">
        <v>0.49845201238390102</v>
      </c>
      <c r="C546">
        <v>3764.79</v>
      </c>
      <c r="D546">
        <v>110.18</v>
      </c>
      <c r="E546">
        <v>1833.09</v>
      </c>
      <c r="F546">
        <v>82.35</v>
      </c>
      <c r="G546">
        <v>45.1</v>
      </c>
      <c r="H546" s="12">
        <f t="shared" si="110"/>
        <v>121.83910158014773</v>
      </c>
      <c r="I546" s="12">
        <f t="shared" si="111"/>
        <v>78.735170943241457</v>
      </c>
      <c r="J546" s="12">
        <f t="shared" si="112"/>
        <v>131.28918787631676</v>
      </c>
      <c r="K546" s="12">
        <f t="shared" si="113"/>
        <v>133.4593622981256</v>
      </c>
      <c r="P546" s="12"/>
      <c r="Q546" s="12"/>
      <c r="R546" s="12"/>
      <c r="S546" s="12"/>
      <c r="V546">
        <v>0.47018030513176101</v>
      </c>
      <c r="W546" s="12"/>
      <c r="X546" s="12"/>
      <c r="Y546" t="str">
        <v>20140418</v>
      </c>
      <c r="Z546">
        <v>51.6</v>
      </c>
      <c r="AA546">
        <v>21.7</v>
      </c>
      <c r="AB546">
        <f t="shared" si="114"/>
        <v>2.3778801843317976</v>
      </c>
      <c r="AY546" t="str">
        <v>20/07/2022</v>
      </c>
      <c r="AZ546">
        <v>38.9</v>
      </c>
      <c r="BA546">
        <v>33.299999999999997</v>
      </c>
      <c r="BB546">
        <f t="shared" si="115"/>
        <v>1.1681681681681682</v>
      </c>
    </row>
    <row r="547" spans="1:54" x14ac:dyDescent="0.3">
      <c r="A547" s="11">
        <v>44730</v>
      </c>
      <c r="B547">
        <v>0.51829268292682895</v>
      </c>
      <c r="C547">
        <v>3674.84</v>
      </c>
      <c r="D547">
        <v>112.08</v>
      </c>
      <c r="E547">
        <v>1839.5</v>
      </c>
      <c r="F547">
        <v>82.38</v>
      </c>
      <c r="G547">
        <v>44.36</v>
      </c>
      <c r="H547" s="12">
        <f t="shared" si="110"/>
        <v>116.99218180284366</v>
      </c>
      <c r="I547" s="12">
        <f t="shared" si="111"/>
        <v>76.59347203567674</v>
      </c>
      <c r="J547" s="12">
        <f t="shared" si="112"/>
        <v>128.10683197493793</v>
      </c>
      <c r="K547" s="12">
        <f t="shared" si="113"/>
        <v>132.42701939939042</v>
      </c>
      <c r="P547" s="12"/>
      <c r="Q547" s="12"/>
      <c r="R547" s="12"/>
      <c r="S547" s="12"/>
      <c r="V547">
        <v>0.46917808219178098</v>
      </c>
      <c r="W547" s="12"/>
      <c r="X547" s="12"/>
      <c r="Y547" t="str">
        <v>20140411</v>
      </c>
      <c r="Z547">
        <v>50.5</v>
      </c>
      <c r="AA547">
        <v>20.6</v>
      </c>
      <c r="AB547">
        <f t="shared" si="114"/>
        <v>2.4514563106796117</v>
      </c>
      <c r="AY547" t="str">
        <v>19/07/2022</v>
      </c>
      <c r="AZ547">
        <v>38.9</v>
      </c>
      <c r="BA547">
        <v>33.299999999999997</v>
      </c>
      <c r="BB547">
        <f t="shared" si="115"/>
        <v>1.1681681681681682</v>
      </c>
    </row>
    <row r="548" spans="1:54" x14ac:dyDescent="0.3">
      <c r="A548" s="11">
        <v>44729</v>
      </c>
      <c r="B548">
        <v>0.51057401812688796</v>
      </c>
      <c r="C548">
        <v>3666.77</v>
      </c>
      <c r="D548">
        <v>111.72</v>
      </c>
      <c r="E548">
        <v>1857.5</v>
      </c>
      <c r="F548">
        <v>82.4</v>
      </c>
      <c r="G548">
        <v>44.47</v>
      </c>
      <c r="H548" s="12">
        <f t="shared" si="110"/>
        <v>117.11181087367306</v>
      </c>
      <c r="I548" s="12">
        <f t="shared" si="111"/>
        <v>75.693380011114186</v>
      </c>
      <c r="J548" s="12">
        <f t="shared" si="112"/>
        <v>127.79455760115297</v>
      </c>
      <c r="K548" s="12">
        <f t="shared" si="113"/>
        <v>131.81087936128461</v>
      </c>
      <c r="P548" s="12"/>
      <c r="Q548" s="12"/>
      <c r="R548" s="12"/>
      <c r="S548" s="12"/>
      <c r="V548">
        <v>0.47602739726027399</v>
      </c>
      <c r="W548" s="12"/>
      <c r="X548" s="12"/>
      <c r="Y548" t="str">
        <v>20140404</v>
      </c>
      <c r="Z548">
        <v>54.6</v>
      </c>
      <c r="AA548">
        <v>18.600000000000001</v>
      </c>
      <c r="AB548">
        <f t="shared" si="114"/>
        <v>2.935483870967742</v>
      </c>
      <c r="AY548" t="str">
        <v>18/07/2022</v>
      </c>
      <c r="AZ548">
        <v>38.9</v>
      </c>
      <c r="BA548">
        <v>33.299999999999997</v>
      </c>
      <c r="BB548">
        <f t="shared" si="115"/>
        <v>1.1681681681681682</v>
      </c>
    </row>
    <row r="549" spans="1:54" x14ac:dyDescent="0.3">
      <c r="A549" s="11">
        <v>44728</v>
      </c>
      <c r="B549">
        <v>0.51057401812688796</v>
      </c>
      <c r="C549">
        <v>3789.99</v>
      </c>
      <c r="D549">
        <v>110.84</v>
      </c>
      <c r="E549">
        <v>1833.99</v>
      </c>
      <c r="F549">
        <v>82.29</v>
      </c>
      <c r="G549">
        <v>45.63</v>
      </c>
      <c r="H549" s="12">
        <f t="shared" si="110"/>
        <v>122.04884929954902</v>
      </c>
      <c r="I549" s="12">
        <f t="shared" si="111"/>
        <v>79.287564930091676</v>
      </c>
      <c r="J549" s="12">
        <f t="shared" si="112"/>
        <v>132.27178491488311</v>
      </c>
      <c r="K549" s="12">
        <f t="shared" si="113"/>
        <v>132.75210339798306</v>
      </c>
      <c r="P549" s="12"/>
      <c r="Q549" s="12"/>
      <c r="R549" s="12"/>
      <c r="S549" s="12"/>
      <c r="V549">
        <v>0.48950575490859799</v>
      </c>
      <c r="W549" s="12"/>
      <c r="X549" s="12"/>
      <c r="Y549" t="str">
        <v>20140328</v>
      </c>
      <c r="Z549">
        <v>50.5</v>
      </c>
      <c r="AA549">
        <v>18.600000000000001</v>
      </c>
      <c r="AB549">
        <f t="shared" si="114"/>
        <v>2.71505376344086</v>
      </c>
      <c r="AY549" t="str">
        <v>15/07/2022</v>
      </c>
      <c r="AZ549">
        <v>35.200000000000003</v>
      </c>
      <c r="BA549">
        <v>35.200000000000003</v>
      </c>
      <c r="BB549">
        <f t="shared" si="115"/>
        <v>1</v>
      </c>
    </row>
    <row r="550" spans="1:54" x14ac:dyDescent="0.3">
      <c r="A550" s="11">
        <v>44727</v>
      </c>
      <c r="B550">
        <v>0.50931677018633503</v>
      </c>
      <c r="C550">
        <v>3735.48</v>
      </c>
      <c r="D550">
        <v>108.81</v>
      </c>
      <c r="E550">
        <v>1808.44</v>
      </c>
      <c r="F550">
        <v>81.97</v>
      </c>
      <c r="G550">
        <v>44.88</v>
      </c>
      <c r="H550" s="12">
        <f t="shared" si="110"/>
        <v>122.54686398627828</v>
      </c>
      <c r="I550" s="12">
        <f t="shared" si="111"/>
        <v>79.25076853841621</v>
      </c>
      <c r="J550" s="12">
        <f t="shared" si="112"/>
        <v>130.87293192723567</v>
      </c>
      <c r="K550" s="12">
        <f t="shared" si="113"/>
        <v>133.03396615751555</v>
      </c>
      <c r="P550" s="12"/>
      <c r="Q550" s="12"/>
      <c r="R550" s="12"/>
      <c r="S550" s="12"/>
      <c r="V550">
        <v>0.48805460750853202</v>
      </c>
      <c r="W550" s="12"/>
      <c r="X550" s="12"/>
      <c r="Y550" t="str">
        <v>20140321</v>
      </c>
      <c r="Z550">
        <v>54.7</v>
      </c>
      <c r="AA550">
        <v>17.5</v>
      </c>
      <c r="AB550">
        <f t="shared" si="114"/>
        <v>3.1257142857142859</v>
      </c>
      <c r="AY550" t="str">
        <v>14/07/2022</v>
      </c>
      <c r="AZ550">
        <v>35.200000000000003</v>
      </c>
      <c r="BA550">
        <v>35.200000000000003</v>
      </c>
      <c r="BB550">
        <f t="shared" si="115"/>
        <v>1</v>
      </c>
    </row>
    <row r="551" spans="1:54" x14ac:dyDescent="0.3">
      <c r="A551" s="11">
        <v>44726</v>
      </c>
      <c r="B551">
        <v>0.50621118012422395</v>
      </c>
      <c r="C551">
        <v>3749.63</v>
      </c>
      <c r="D551">
        <v>110.2</v>
      </c>
      <c r="E551">
        <v>1819.03</v>
      </c>
      <c r="F551">
        <v>82.13</v>
      </c>
      <c r="G551">
        <v>44.93</v>
      </c>
      <c r="H551" s="12">
        <f t="shared" si="110"/>
        <v>121.47307547044862</v>
      </c>
      <c r="I551" s="12">
        <f t="shared" si="111"/>
        <v>79.088788493846863</v>
      </c>
      <c r="J551" s="12">
        <f t="shared" si="112"/>
        <v>131.11228719641937</v>
      </c>
      <c r="K551" s="12">
        <f t="shared" si="113"/>
        <v>133.38889579809077</v>
      </c>
      <c r="P551" s="12"/>
      <c r="Q551" s="12"/>
      <c r="R551" s="12"/>
      <c r="S551" s="12"/>
      <c r="V551">
        <v>0.49245541838134399</v>
      </c>
      <c r="W551" s="12"/>
      <c r="X551" s="12"/>
      <c r="Y551" t="str">
        <v>20140314</v>
      </c>
      <c r="Z551">
        <v>52</v>
      </c>
      <c r="AA551">
        <v>17.399999999999999</v>
      </c>
      <c r="AB551">
        <f t="shared" si="114"/>
        <v>2.9885057471264371</v>
      </c>
      <c r="AY551" t="str">
        <v>13/07/2022</v>
      </c>
      <c r="AZ551">
        <v>35.200000000000003</v>
      </c>
      <c r="BA551">
        <v>35.200000000000003</v>
      </c>
      <c r="BB551">
        <f t="shared" si="115"/>
        <v>1</v>
      </c>
    </row>
    <row r="552" spans="1:54" x14ac:dyDescent="0.3">
      <c r="A552" s="11">
        <v>44723</v>
      </c>
      <c r="B552">
        <v>0.505714285714286</v>
      </c>
      <c r="C552">
        <v>3900.86</v>
      </c>
      <c r="D552">
        <v>113.77</v>
      </c>
      <c r="E552">
        <v>1871.4</v>
      </c>
      <c r="F552">
        <v>82.55</v>
      </c>
      <c r="G552">
        <v>46.54</v>
      </c>
      <c r="H552" s="12">
        <f t="shared" si="110"/>
        <v>122.37735552323767</v>
      </c>
      <c r="I552" s="12">
        <f t="shared" si="111"/>
        <v>79.950978037714876</v>
      </c>
      <c r="J552" s="12">
        <f t="shared" si="112"/>
        <v>135.68213597018212</v>
      </c>
      <c r="K552" s="12">
        <f t="shared" si="113"/>
        <v>133.94805881258245</v>
      </c>
      <c r="P552" s="12"/>
      <c r="Q552" s="12"/>
      <c r="R552" s="12"/>
      <c r="S552" s="12"/>
      <c r="V552">
        <v>0.49766199064796302</v>
      </c>
      <c r="W552" s="12"/>
      <c r="X552" s="12"/>
      <c r="Y552" t="str">
        <v>20140307</v>
      </c>
      <c r="Z552">
        <v>55.1</v>
      </c>
      <c r="AA552">
        <v>17.399999999999999</v>
      </c>
      <c r="AB552">
        <f t="shared" si="114"/>
        <v>3.166666666666667</v>
      </c>
      <c r="AY552" t="str">
        <v>12/07/2022</v>
      </c>
      <c r="AZ552">
        <v>35.200000000000003</v>
      </c>
      <c r="BA552">
        <v>35.200000000000003</v>
      </c>
      <c r="BB552">
        <f t="shared" si="115"/>
        <v>1</v>
      </c>
    </row>
    <row r="553" spans="1:54" x14ac:dyDescent="0.3">
      <c r="A553" s="11">
        <v>44722</v>
      </c>
      <c r="B553">
        <v>0.51558073654390901</v>
      </c>
      <c r="C553">
        <v>4017.82</v>
      </c>
      <c r="D553">
        <v>114.48</v>
      </c>
      <c r="E553">
        <v>1847.94</v>
      </c>
      <c r="F553">
        <v>82.9</v>
      </c>
      <c r="G553">
        <v>47.51</v>
      </c>
      <c r="H553" s="12">
        <f t="shared" si="110"/>
        <v>125.24654814608951</v>
      </c>
      <c r="I553" s="12">
        <f t="shared" si="111"/>
        <v>83.439198010962286</v>
      </c>
      <c r="J553" s="12">
        <f t="shared" si="112"/>
        <v>139.14523252487223</v>
      </c>
      <c r="K553" s="12">
        <f t="shared" si="113"/>
        <v>135.12275649348257</v>
      </c>
      <c r="P553" s="12"/>
      <c r="Q553" s="12"/>
      <c r="R553" s="12"/>
      <c r="S553" s="12"/>
      <c r="V553">
        <v>0.50703281982585402</v>
      </c>
      <c r="W553" s="12"/>
      <c r="X553" s="12"/>
      <c r="Y553" t="str">
        <v>20140228</v>
      </c>
      <c r="Z553">
        <v>54.6</v>
      </c>
      <c r="AA553">
        <v>15.1</v>
      </c>
      <c r="AB553">
        <f t="shared" si="114"/>
        <v>3.6158940397350996</v>
      </c>
      <c r="AY553" t="str">
        <v>11/07/2022</v>
      </c>
      <c r="AZ553">
        <v>35.200000000000003</v>
      </c>
      <c r="BA553">
        <v>35.200000000000003</v>
      </c>
      <c r="BB553">
        <f t="shared" si="115"/>
        <v>1</v>
      </c>
    </row>
    <row r="554" spans="1:54" x14ac:dyDescent="0.3">
      <c r="A554" s="11">
        <v>44721</v>
      </c>
      <c r="B554">
        <v>0.539106145251397</v>
      </c>
      <c r="C554">
        <v>4115.7700000000004</v>
      </c>
      <c r="D554">
        <v>114.1</v>
      </c>
      <c r="E554">
        <v>1853.365</v>
      </c>
      <c r="F554">
        <v>82.96</v>
      </c>
      <c r="G554">
        <v>49.42</v>
      </c>
      <c r="H554" s="12">
        <f t="shared" si="110"/>
        <v>128.73912709996478</v>
      </c>
      <c r="I554" s="12">
        <f t="shared" si="111"/>
        <v>85.217830280864717</v>
      </c>
      <c r="J554" s="12">
        <f t="shared" si="112"/>
        <v>142.43191532099428</v>
      </c>
      <c r="K554" s="12">
        <f t="shared" si="113"/>
        <v>133.14559571606472</v>
      </c>
      <c r="P554" s="12"/>
      <c r="Q554" s="12"/>
      <c r="R554" s="12"/>
      <c r="S554" s="12"/>
      <c r="V554">
        <v>0.50873655913978499</v>
      </c>
      <c r="W554" s="12"/>
      <c r="X554" s="12"/>
      <c r="Y554" t="str">
        <v>20140221</v>
      </c>
      <c r="Z554">
        <v>53.5</v>
      </c>
      <c r="AA554">
        <v>17.2</v>
      </c>
      <c r="AB554">
        <f t="shared" si="114"/>
        <v>3.11046511627907</v>
      </c>
      <c r="AY554" t="str">
        <v>08/07/2022</v>
      </c>
      <c r="AZ554">
        <v>32.4</v>
      </c>
      <c r="BA554">
        <v>36.6</v>
      </c>
      <c r="BB554">
        <f t="shared" si="115"/>
        <v>0.88524590163934413</v>
      </c>
    </row>
    <row r="555" spans="1:54" x14ac:dyDescent="0.3">
      <c r="A555" s="11">
        <v>44720</v>
      </c>
      <c r="B555">
        <v>0.53561253561253597</v>
      </c>
      <c r="C555">
        <v>4160.68</v>
      </c>
      <c r="D555">
        <v>115.12</v>
      </c>
      <c r="E555">
        <v>1852.43</v>
      </c>
      <c r="F555">
        <v>83.02</v>
      </c>
      <c r="G555">
        <v>49.82</v>
      </c>
      <c r="H555" s="12">
        <f t="shared" si="110"/>
        <v>128.98853792079652</v>
      </c>
      <c r="I555" s="12">
        <f t="shared" si="111"/>
        <v>86.191680001564748</v>
      </c>
      <c r="J555" s="12">
        <f t="shared" si="112"/>
        <v>143.8809680706201</v>
      </c>
      <c r="K555" s="12">
        <f t="shared" si="113"/>
        <v>133.51476465897494</v>
      </c>
      <c r="P555" s="12"/>
      <c r="Q555" s="12"/>
      <c r="R555" s="12"/>
      <c r="S555" s="12"/>
      <c r="V555">
        <v>0.50839489590329101</v>
      </c>
      <c r="W555" s="12"/>
      <c r="X555" s="12"/>
      <c r="Y555" t="str">
        <v>20140214</v>
      </c>
      <c r="Z555">
        <v>46.5</v>
      </c>
      <c r="AA555">
        <v>17.2</v>
      </c>
      <c r="AB555">
        <f t="shared" si="114"/>
        <v>2.7034883720930232</v>
      </c>
      <c r="AY555" t="str">
        <v>07/07/2022</v>
      </c>
      <c r="AZ555">
        <v>32.4</v>
      </c>
      <c r="BA555">
        <v>36.6</v>
      </c>
      <c r="BB555">
        <f t="shared" si="115"/>
        <v>0.88524590163934413</v>
      </c>
    </row>
    <row r="556" spans="1:54" x14ac:dyDescent="0.3">
      <c r="A556" s="11">
        <v>44719</v>
      </c>
      <c r="B556">
        <v>0.53468208092485503</v>
      </c>
      <c r="C556">
        <v>4121.43</v>
      </c>
      <c r="D556">
        <v>113.89</v>
      </c>
      <c r="E556">
        <v>1841.4</v>
      </c>
      <c r="F556">
        <v>83.01</v>
      </c>
      <c r="G556">
        <v>49.61</v>
      </c>
      <c r="H556" s="12">
        <f t="shared" si="110"/>
        <v>129.15340237528375</v>
      </c>
      <c r="I556" s="12">
        <f t="shared" si="111"/>
        <v>85.888203826616831</v>
      </c>
      <c r="J556" s="12">
        <f t="shared" si="112"/>
        <v>142.54066868732252</v>
      </c>
      <c r="K556" s="12">
        <f t="shared" si="113"/>
        <v>132.81213850326733</v>
      </c>
      <c r="P556" s="12"/>
      <c r="Q556" s="12"/>
      <c r="R556" s="12"/>
      <c r="S556" s="12"/>
      <c r="V556">
        <v>0.51081081081081103</v>
      </c>
      <c r="W556" s="12"/>
      <c r="X556" s="12"/>
      <c r="Y556" t="str">
        <v>20140207</v>
      </c>
      <c r="Z556">
        <v>41.8</v>
      </c>
      <c r="AA556">
        <v>17.399999999999999</v>
      </c>
      <c r="AB556">
        <f t="shared" si="114"/>
        <v>2.4022988505747125</v>
      </c>
      <c r="AY556" t="str">
        <v>06/07/2022</v>
      </c>
      <c r="AZ556">
        <v>32.4</v>
      </c>
      <c r="BA556">
        <v>36.6</v>
      </c>
      <c r="BB556">
        <f t="shared" si="115"/>
        <v>0.88524590163934413</v>
      </c>
    </row>
    <row r="557" spans="1:54" x14ac:dyDescent="0.3">
      <c r="A557" s="11">
        <v>44716</v>
      </c>
      <c r="B557">
        <v>0.55440414507771996</v>
      </c>
      <c r="C557">
        <v>4108.54</v>
      </c>
      <c r="D557">
        <v>116.03</v>
      </c>
      <c r="E557">
        <v>1851.2</v>
      </c>
      <c r="F557">
        <v>83.12</v>
      </c>
      <c r="G557">
        <v>49.42</v>
      </c>
      <c r="H557" s="12">
        <f t="shared" si="110"/>
        <v>126.42503958598387</v>
      </c>
      <c r="I557" s="12">
        <f t="shared" si="111"/>
        <v>85.170114915853773</v>
      </c>
      <c r="J557" s="12">
        <f t="shared" si="112"/>
        <v>141.90765335560937</v>
      </c>
      <c r="K557" s="12">
        <f t="shared" si="113"/>
        <v>132.90613368121046</v>
      </c>
      <c r="P557" s="12"/>
      <c r="Q557" s="12"/>
      <c r="R557" s="12"/>
      <c r="S557" s="12"/>
      <c r="V557">
        <v>0.50854139290407396</v>
      </c>
      <c r="W557" s="12"/>
      <c r="X557" s="12"/>
      <c r="Y557" t="str">
        <v>20140131</v>
      </c>
      <c r="Z557">
        <v>45.9</v>
      </c>
      <c r="AA557">
        <v>17.399999999999999</v>
      </c>
      <c r="AB557">
        <f t="shared" si="114"/>
        <v>2.6379310344827589</v>
      </c>
      <c r="AY557" t="str">
        <v>05/07/2022</v>
      </c>
      <c r="AZ557">
        <v>32.4</v>
      </c>
      <c r="BA557">
        <v>36.6</v>
      </c>
      <c r="BB557">
        <f t="shared" si="115"/>
        <v>0.88524590163934413</v>
      </c>
    </row>
    <row r="558" spans="1:54" x14ac:dyDescent="0.3">
      <c r="A558" s="11">
        <v>44715</v>
      </c>
      <c r="B558">
        <v>0.57178841309823702</v>
      </c>
      <c r="C558">
        <v>4176.82</v>
      </c>
      <c r="D558">
        <v>116.28</v>
      </c>
      <c r="E558">
        <v>1868.61</v>
      </c>
      <c r="F558">
        <v>83.15</v>
      </c>
      <c r="G558">
        <v>50.17</v>
      </c>
      <c r="H558" s="12">
        <f t="shared" si="110"/>
        <v>128.24579410731121</v>
      </c>
      <c r="I558" s="12">
        <f t="shared" si="111"/>
        <v>85.77312388856221</v>
      </c>
      <c r="J558" s="12">
        <f t="shared" si="112"/>
        <v>144.21312674477699</v>
      </c>
      <c r="K558" s="12">
        <f t="shared" si="113"/>
        <v>133.09222215205742</v>
      </c>
      <c r="P558" s="12"/>
      <c r="Q558" s="12"/>
      <c r="R558" s="12"/>
      <c r="S558" s="12"/>
      <c r="V558">
        <v>0.51703800786369603</v>
      </c>
      <c r="W558" s="12"/>
      <c r="X558" s="12"/>
      <c r="Y558" t="str">
        <v>20140124</v>
      </c>
      <c r="Z558">
        <v>53.1</v>
      </c>
      <c r="AA558">
        <v>15.3</v>
      </c>
      <c r="AB558">
        <f t="shared" si="114"/>
        <v>3.4705882352941178</v>
      </c>
      <c r="AY558" t="str">
        <v>04/07/2022</v>
      </c>
      <c r="AZ558">
        <v>32.4</v>
      </c>
      <c r="BA558">
        <v>36.6</v>
      </c>
      <c r="BB558">
        <f t="shared" si="115"/>
        <v>0.88524590163934413</v>
      </c>
    </row>
    <row r="559" spans="1:54" x14ac:dyDescent="0.3">
      <c r="A559" s="11">
        <v>44714</v>
      </c>
      <c r="B559">
        <v>0.56435643564356397</v>
      </c>
      <c r="C559">
        <v>4101.2299999999996</v>
      </c>
      <c r="D559">
        <v>116.22</v>
      </c>
      <c r="E559">
        <v>1846.5</v>
      </c>
      <c r="F559">
        <v>83.13</v>
      </c>
      <c r="G559">
        <v>49.21</v>
      </c>
      <c r="H559" s="12">
        <f t="shared" si="110"/>
        <v>125.98873195475407</v>
      </c>
      <c r="I559" s="12">
        <f t="shared" si="111"/>
        <v>85.222835677319139</v>
      </c>
      <c r="J559" s="12">
        <f t="shared" si="112"/>
        <v>141.63668894293539</v>
      </c>
      <c r="K559" s="12">
        <f t="shared" si="113"/>
        <v>133.23574022536795</v>
      </c>
      <c r="P559" s="12"/>
      <c r="Q559" s="12"/>
      <c r="R559" s="12"/>
      <c r="S559" s="12"/>
      <c r="V559">
        <v>0.51842275371687097</v>
      </c>
      <c r="W559" s="12"/>
      <c r="X559" s="12"/>
      <c r="Y559" t="str">
        <v>20140117</v>
      </c>
      <c r="Z559">
        <v>57.6</v>
      </c>
      <c r="AA559">
        <v>15.1</v>
      </c>
      <c r="AB559">
        <f t="shared" si="114"/>
        <v>3.8145695364238414</v>
      </c>
      <c r="AY559" t="str">
        <v>01/07/2022</v>
      </c>
      <c r="AZ559">
        <v>30.5</v>
      </c>
      <c r="BA559">
        <v>40.299999999999997</v>
      </c>
      <c r="BB559">
        <f t="shared" si="115"/>
        <v>0.75682382133995041</v>
      </c>
    </row>
    <row r="560" spans="1:54" x14ac:dyDescent="0.3">
      <c r="A560" s="11">
        <v>44712</v>
      </c>
      <c r="B560">
        <v>0.5625</v>
      </c>
      <c r="C560">
        <v>4132.1499999999996</v>
      </c>
      <c r="D560">
        <v>116.56</v>
      </c>
      <c r="E560">
        <v>1838.02</v>
      </c>
      <c r="F560">
        <v>83.35</v>
      </c>
      <c r="G560">
        <v>49.65</v>
      </c>
      <c r="H560" s="12">
        <f t="shared" si="110"/>
        <v>126.56661420241026</v>
      </c>
      <c r="I560" s="12">
        <f t="shared" si="111"/>
        <v>86.266352099175208</v>
      </c>
      <c r="J560" s="12">
        <f t="shared" si="112"/>
        <v>142.32601872778682</v>
      </c>
      <c r="K560" s="12">
        <f t="shared" si="113"/>
        <v>133.05222836134035</v>
      </c>
      <c r="P560" s="12"/>
      <c r="Q560" s="12"/>
      <c r="R560" s="12"/>
      <c r="S560" s="12"/>
      <c r="V560">
        <v>0.51247600767754298</v>
      </c>
      <c r="W560" s="12"/>
      <c r="X560" s="12"/>
      <c r="Y560" t="str">
        <v>20140110</v>
      </c>
      <c r="Z560">
        <v>56.1</v>
      </c>
      <c r="AA560">
        <v>15.3</v>
      </c>
      <c r="AB560">
        <f t="shared" si="114"/>
        <v>3.6666666666666665</v>
      </c>
      <c r="AY560" t="str">
        <v>30/06/2022</v>
      </c>
      <c r="AZ560">
        <v>30.5</v>
      </c>
      <c r="BA560">
        <v>40.299999999999997</v>
      </c>
      <c r="BB560">
        <f t="shared" si="115"/>
        <v>0.75682382133995041</v>
      </c>
    </row>
    <row r="561" spans="1:54" x14ac:dyDescent="0.3">
      <c r="A561" s="11">
        <v>44709</v>
      </c>
      <c r="B561">
        <v>0.61520190023752996</v>
      </c>
      <c r="C561">
        <v>4158.24</v>
      </c>
      <c r="D561">
        <v>119.08</v>
      </c>
      <c r="E561">
        <v>1853.65</v>
      </c>
      <c r="F561">
        <v>83.48</v>
      </c>
      <c r="G561">
        <v>49.63</v>
      </c>
      <c r="H561" s="12">
        <f t="shared" si="110"/>
        <v>124.70993828468353</v>
      </c>
      <c r="I561" s="12">
        <f t="shared" si="111"/>
        <v>86.08061394473755</v>
      </c>
      <c r="J561" s="12">
        <f t="shared" si="112"/>
        <v>143.00055662891538</v>
      </c>
      <c r="K561" s="12">
        <f t="shared" si="113"/>
        <v>133.94662631014776</v>
      </c>
      <c r="P561" s="12"/>
      <c r="Q561" s="12"/>
      <c r="R561" s="12"/>
      <c r="S561" s="12"/>
      <c r="V561">
        <v>0.51875000000000004</v>
      </c>
      <c r="W561" s="12"/>
      <c r="X561" s="12"/>
      <c r="Y561" t="str">
        <v>20140103</v>
      </c>
      <c r="Z561">
        <v>60.6</v>
      </c>
      <c r="AA561">
        <v>15.2</v>
      </c>
      <c r="AB561">
        <f t="shared" si="114"/>
        <v>3.986842105263158</v>
      </c>
      <c r="AY561" t="str">
        <v>29/06/2022</v>
      </c>
      <c r="AZ561">
        <v>30.5</v>
      </c>
      <c r="BA561">
        <v>40.299999999999997</v>
      </c>
      <c r="BB561">
        <f t="shared" si="115"/>
        <v>0.75682382133995041</v>
      </c>
    </row>
    <row r="562" spans="1:54" x14ac:dyDescent="0.3">
      <c r="A562" s="11">
        <v>44708</v>
      </c>
      <c r="B562">
        <v>0.63573085846867705</v>
      </c>
      <c r="C562">
        <v>4057.84</v>
      </c>
      <c r="D562">
        <v>118.79</v>
      </c>
      <c r="E562">
        <v>1850.58</v>
      </c>
      <c r="F562">
        <v>83.46</v>
      </c>
      <c r="G562">
        <v>49.02</v>
      </c>
      <c r="H562" s="12">
        <f t="shared" si="110"/>
        <v>121.98945815421295</v>
      </c>
      <c r="I562" s="12">
        <f t="shared" si="111"/>
        <v>84.138422503500792</v>
      </c>
      <c r="J562" s="12">
        <f t="shared" si="112"/>
        <v>139.58047329118659</v>
      </c>
      <c r="K562" s="12">
        <f t="shared" si="113"/>
        <v>132.31932005126643</v>
      </c>
      <c r="P562" s="12"/>
      <c r="Q562" s="12"/>
      <c r="R562" s="12"/>
      <c r="S562" s="12"/>
      <c r="V562">
        <v>0.51500000000000001</v>
      </c>
      <c r="W562" s="12"/>
      <c r="X562" s="12"/>
      <c r="Y562" t="str">
        <v>20131227</v>
      </c>
      <c r="Z562">
        <v>61.6</v>
      </c>
      <c r="AA562">
        <v>15.2</v>
      </c>
      <c r="AB562">
        <f t="shared" si="114"/>
        <v>4.052631578947369</v>
      </c>
      <c r="AY562" t="str">
        <v>28/06/2022</v>
      </c>
      <c r="AZ562">
        <v>30.5</v>
      </c>
      <c r="BA562">
        <v>40.299999999999997</v>
      </c>
      <c r="BB562">
        <f t="shared" si="115"/>
        <v>0.75682382133995041</v>
      </c>
    </row>
    <row r="563" spans="1:54" x14ac:dyDescent="0.3">
      <c r="A563" s="11">
        <v>44707</v>
      </c>
      <c r="B563">
        <v>0.62895927601809998</v>
      </c>
      <c r="C563">
        <v>3978.73</v>
      </c>
      <c r="D563">
        <v>119.33</v>
      </c>
      <c r="E563">
        <v>1853.6</v>
      </c>
      <c r="F563">
        <v>83.44</v>
      </c>
      <c r="G563">
        <v>48.4</v>
      </c>
      <c r="H563" s="12">
        <f t="shared" si="110"/>
        <v>119.08282558473392</v>
      </c>
      <c r="I563" s="12">
        <f t="shared" si="111"/>
        <v>82.366513616725584</v>
      </c>
      <c r="J563" s="12">
        <f t="shared" si="112"/>
        <v>136.89144135162272</v>
      </c>
      <c r="K563" s="12">
        <f t="shared" si="113"/>
        <v>131.38995792263123</v>
      </c>
      <c r="P563" s="12"/>
      <c r="Q563" s="12"/>
      <c r="R563" s="12"/>
      <c r="S563" s="12"/>
      <c r="V563">
        <v>0.50845335003130898</v>
      </c>
      <c r="W563" s="12"/>
      <c r="X563" s="12"/>
      <c r="Y563" t="str">
        <v>20131220</v>
      </c>
      <c r="Z563">
        <v>59.6</v>
      </c>
      <c r="AA563">
        <v>14.1</v>
      </c>
      <c r="AB563">
        <f t="shared" si="114"/>
        <v>4.2269503546099294</v>
      </c>
      <c r="AY563" t="str">
        <v>27/06/2022</v>
      </c>
      <c r="AZ563">
        <v>30.5</v>
      </c>
      <c r="BA563">
        <v>40.299999999999997</v>
      </c>
      <c r="BB563">
        <f t="shared" si="115"/>
        <v>0.75682382133995041</v>
      </c>
    </row>
    <row r="564" spans="1:54" x14ac:dyDescent="0.3">
      <c r="A564" s="11">
        <v>44706</v>
      </c>
      <c r="B564">
        <v>0.63431151241535</v>
      </c>
      <c r="C564">
        <v>3941.48</v>
      </c>
      <c r="D564">
        <v>118.86</v>
      </c>
      <c r="E564">
        <v>1866.5</v>
      </c>
      <c r="F564">
        <v>83.38</v>
      </c>
      <c r="G564">
        <v>48.35</v>
      </c>
      <c r="H564" s="12">
        <f t="shared" si="110"/>
        <v>118.43186097419833</v>
      </c>
      <c r="I564" s="12">
        <f t="shared" si="111"/>
        <v>81.040520830449367</v>
      </c>
      <c r="J564" s="12">
        <f t="shared" si="112"/>
        <v>135.70656458344988</v>
      </c>
      <c r="K564" s="12">
        <f t="shared" si="113"/>
        <v>130.29332609480366</v>
      </c>
      <c r="P564" s="12"/>
      <c r="Q564" s="12"/>
      <c r="R564" s="12"/>
      <c r="S564" s="12"/>
      <c r="V564">
        <v>0.50816582914572905</v>
      </c>
      <c r="W564" s="12"/>
      <c r="X564" s="12"/>
      <c r="Y564" t="str">
        <v>20131213</v>
      </c>
      <c r="Z564">
        <v>58.2</v>
      </c>
      <c r="AA564">
        <v>14.3</v>
      </c>
      <c r="AB564">
        <f t="shared" si="114"/>
        <v>4.06993006993007</v>
      </c>
      <c r="AY564" t="str">
        <v>24/06/2022</v>
      </c>
      <c r="AZ564">
        <v>32.9</v>
      </c>
      <c r="BA564">
        <v>40</v>
      </c>
      <c r="BB564">
        <f t="shared" si="115"/>
        <v>0.82250000000000001</v>
      </c>
    </row>
    <row r="565" spans="1:54" x14ac:dyDescent="0.3">
      <c r="A565" s="11">
        <v>44705</v>
      </c>
      <c r="B565">
        <v>0.63553530751708398</v>
      </c>
      <c r="C565">
        <v>3973.75</v>
      </c>
      <c r="D565">
        <v>116.56</v>
      </c>
      <c r="E565">
        <v>1853.45</v>
      </c>
      <c r="F565">
        <v>83.19</v>
      </c>
      <c r="G565">
        <v>48.65</v>
      </c>
      <c r="H565" s="12">
        <f t="shared" si="110"/>
        <v>121.8250691718531</v>
      </c>
      <c r="I565" s="12">
        <f t="shared" si="111"/>
        <v>82.288150429099048</v>
      </c>
      <c r="J565" s="12">
        <f t="shared" si="112"/>
        <v>137.13339935155901</v>
      </c>
      <c r="K565" s="12">
        <f t="shared" si="113"/>
        <v>130.54845659456768</v>
      </c>
      <c r="P565" s="12"/>
      <c r="Q565" s="12"/>
      <c r="R565" s="12"/>
      <c r="S565" s="12"/>
      <c r="V565">
        <v>0.50663297536323404</v>
      </c>
      <c r="W565" s="12"/>
      <c r="X565" s="12"/>
      <c r="Y565" t="str">
        <v>20131206</v>
      </c>
      <c r="Z565">
        <v>58.2</v>
      </c>
      <c r="AA565">
        <v>14.3</v>
      </c>
      <c r="AB565">
        <f t="shared" si="114"/>
        <v>4.06993006993007</v>
      </c>
      <c r="AY565" t="str">
        <v>23/06/2022</v>
      </c>
      <c r="AZ565">
        <v>32.9</v>
      </c>
      <c r="BA565">
        <v>40</v>
      </c>
      <c r="BB565">
        <f t="shared" si="115"/>
        <v>0.82250000000000001</v>
      </c>
    </row>
    <row r="566" spans="1:54" x14ac:dyDescent="0.3">
      <c r="A566" s="11">
        <v>44702</v>
      </c>
      <c r="B566">
        <v>0.64</v>
      </c>
      <c r="C566">
        <v>3901.36</v>
      </c>
      <c r="D566">
        <v>118.51</v>
      </c>
      <c r="E566">
        <v>1846.6</v>
      </c>
      <c r="F566">
        <v>83.23</v>
      </c>
      <c r="G566">
        <v>47.97</v>
      </c>
      <c r="H566" s="12">
        <f t="shared" si="110"/>
        <v>117.70431460849292</v>
      </c>
      <c r="I566" s="12">
        <f t="shared" si="111"/>
        <v>81.084407976513134</v>
      </c>
      <c r="J566" s="12">
        <f t="shared" si="112"/>
        <v>134.57173699365507</v>
      </c>
      <c r="K566" s="12">
        <f t="shared" si="113"/>
        <v>129.97920724855362</v>
      </c>
      <c r="P566" s="12"/>
      <c r="Q566" s="12"/>
      <c r="R566" s="12"/>
      <c r="S566" s="12"/>
      <c r="V566">
        <v>0.50375939849624096</v>
      </c>
      <c r="W566" s="12"/>
      <c r="X566" s="12"/>
      <c r="Y566" t="str">
        <v>20131129</v>
      </c>
      <c r="Z566">
        <v>57.1</v>
      </c>
      <c r="AA566">
        <v>14.3</v>
      </c>
      <c r="AB566">
        <f t="shared" si="114"/>
        <v>3.9930069930069929</v>
      </c>
      <c r="AY566" t="str">
        <v>22/06/2022</v>
      </c>
      <c r="AZ566">
        <v>32.9</v>
      </c>
      <c r="BA566">
        <v>40</v>
      </c>
      <c r="BB566">
        <f t="shared" si="115"/>
        <v>0.82250000000000001</v>
      </c>
    </row>
    <row r="567" spans="1:54" x14ac:dyDescent="0.3">
      <c r="A567" s="11">
        <v>44701</v>
      </c>
      <c r="B567">
        <v>0.63004484304932695</v>
      </c>
      <c r="C567">
        <v>3900.79</v>
      </c>
      <c r="D567">
        <v>117.18</v>
      </c>
      <c r="E567">
        <v>1842.08</v>
      </c>
      <c r="F567">
        <v>83.17</v>
      </c>
      <c r="G567">
        <v>47.68</v>
      </c>
      <c r="H567" s="12">
        <f t="shared" si="110"/>
        <v>119.0380087797827</v>
      </c>
      <c r="I567" s="12">
        <f t="shared" si="111"/>
        <v>81.271953060768354</v>
      </c>
      <c r="J567" s="12">
        <f t="shared" si="112"/>
        <v>134.64919929445594</v>
      </c>
      <c r="K567" s="12">
        <f t="shared" si="113"/>
        <v>130.75538303804515</v>
      </c>
      <c r="P567" s="12"/>
      <c r="Q567" s="12"/>
      <c r="R567" s="12"/>
      <c r="S567" s="12"/>
      <c r="V567">
        <v>0.50156152404747001</v>
      </c>
      <c r="W567" s="12"/>
      <c r="X567" s="12"/>
      <c r="Y567" t="str">
        <v>20131122</v>
      </c>
      <c r="Z567">
        <v>55.7</v>
      </c>
      <c r="AA567">
        <v>14.4</v>
      </c>
      <c r="AB567">
        <f t="shared" si="114"/>
        <v>3.8680555555555558</v>
      </c>
      <c r="AY567" t="str">
        <v>21/06/2022</v>
      </c>
      <c r="AZ567">
        <v>32.9</v>
      </c>
      <c r="BA567">
        <v>40</v>
      </c>
      <c r="BB567">
        <f t="shared" si="115"/>
        <v>0.82250000000000001</v>
      </c>
    </row>
    <row r="568" spans="1:54" x14ac:dyDescent="0.3">
      <c r="A568" s="11">
        <v>44700</v>
      </c>
      <c r="B568">
        <v>0.63636363636363602</v>
      </c>
      <c r="C568">
        <v>3923.68</v>
      </c>
      <c r="D568">
        <v>116.9</v>
      </c>
      <c r="E568">
        <v>1816.7</v>
      </c>
      <c r="F568">
        <v>83.05</v>
      </c>
      <c r="G568">
        <v>47.14</v>
      </c>
      <c r="H568" s="12">
        <f t="shared" si="110"/>
        <v>120.02570252530674</v>
      </c>
      <c r="I568" s="12">
        <f t="shared" si="111"/>
        <v>82.913998041373148</v>
      </c>
      <c r="J568" s="12">
        <f t="shared" si="112"/>
        <v>135.63645934530675</v>
      </c>
      <c r="K568" s="12">
        <f t="shared" si="113"/>
        <v>133.05579110202589</v>
      </c>
      <c r="P568" s="12"/>
      <c r="Q568" s="12"/>
      <c r="R568" s="12"/>
      <c r="S568" s="12"/>
      <c r="V568">
        <v>0.50344395742016301</v>
      </c>
      <c r="W568" s="12"/>
      <c r="X568" s="12"/>
      <c r="Y568" t="str">
        <v>20131115</v>
      </c>
      <c r="Z568">
        <v>53.6</v>
      </c>
      <c r="AA568">
        <v>15.5</v>
      </c>
      <c r="AB568">
        <f t="shared" si="114"/>
        <v>3.4580645161290322</v>
      </c>
      <c r="AY568" t="str">
        <v>20/06/2022</v>
      </c>
      <c r="AZ568">
        <v>32.9</v>
      </c>
      <c r="BA568">
        <v>40</v>
      </c>
      <c r="BB568">
        <f t="shared" si="115"/>
        <v>0.82250000000000001</v>
      </c>
    </row>
    <row r="569" spans="1:54" x14ac:dyDescent="0.3">
      <c r="A569" s="11">
        <v>44699</v>
      </c>
      <c r="B569">
        <v>0.63956043956043995</v>
      </c>
      <c r="C569">
        <v>4088.85</v>
      </c>
      <c r="D569">
        <v>114.46</v>
      </c>
      <c r="E569">
        <v>1814.92</v>
      </c>
      <c r="F569">
        <v>83.01</v>
      </c>
      <c r="G569">
        <v>48.28</v>
      </c>
      <c r="H569" s="12">
        <f t="shared" si="110"/>
        <v>127.91999215737542</v>
      </c>
      <c r="I569" s="12">
        <f t="shared" si="111"/>
        <v>86.492719112231498</v>
      </c>
      <c r="J569" s="12">
        <f t="shared" si="112"/>
        <v>141.41718234951884</v>
      </c>
      <c r="K569" s="12">
        <f t="shared" si="113"/>
        <v>135.32697827659791</v>
      </c>
      <c r="P569" s="12"/>
      <c r="Q569" s="12"/>
      <c r="R569" s="12"/>
      <c r="S569" s="12"/>
      <c r="V569">
        <v>0.50094043887147299</v>
      </c>
      <c r="W569" s="12"/>
      <c r="X569" s="12"/>
      <c r="Y569" t="str">
        <v>20131108</v>
      </c>
      <c r="Z569">
        <v>52.6</v>
      </c>
      <c r="AA569">
        <v>15.5</v>
      </c>
      <c r="AB569">
        <f t="shared" si="114"/>
        <v>3.3935483870967742</v>
      </c>
      <c r="AY569" t="str">
        <v>17/06/2022</v>
      </c>
      <c r="AZ569">
        <v>26.5</v>
      </c>
      <c r="BA569">
        <v>44.1</v>
      </c>
      <c r="BB569">
        <f t="shared" si="115"/>
        <v>0.60090702947845798</v>
      </c>
    </row>
    <row r="570" spans="1:54" x14ac:dyDescent="0.3">
      <c r="A570" s="11">
        <v>44698</v>
      </c>
      <c r="B570">
        <v>0.64238410596026496</v>
      </c>
      <c r="C570">
        <v>4008.01</v>
      </c>
      <c r="D570">
        <v>115.86</v>
      </c>
      <c r="E570">
        <v>1824.01</v>
      </c>
      <c r="F570">
        <v>83.19</v>
      </c>
      <c r="G570">
        <v>47.33</v>
      </c>
      <c r="H570" s="12">
        <f t="shared" si="110"/>
        <v>123.92308125607305</v>
      </c>
      <c r="I570" s="12">
        <f t="shared" si="111"/>
        <v>84.370535584554318</v>
      </c>
      <c r="J570" s="12">
        <f t="shared" si="112"/>
        <v>138.32786032603653</v>
      </c>
      <c r="K570" s="12">
        <f t="shared" si="113"/>
        <v>135.31374806818323</v>
      </c>
      <c r="P570" s="12"/>
      <c r="Q570" s="12"/>
      <c r="R570" s="12"/>
      <c r="S570" s="12"/>
      <c r="V570">
        <v>0.50253807106599002</v>
      </c>
      <c r="W570" s="12"/>
      <c r="X570" s="12"/>
      <c r="Y570" t="str">
        <v>20131101</v>
      </c>
      <c r="Z570">
        <v>55.2</v>
      </c>
      <c r="AA570">
        <v>15.6</v>
      </c>
      <c r="AB570">
        <f t="shared" si="114"/>
        <v>3.5384615384615388</v>
      </c>
      <c r="AY570" t="str">
        <v>16/06/2022</v>
      </c>
      <c r="AZ570">
        <v>26.5</v>
      </c>
      <c r="BA570">
        <v>44.1</v>
      </c>
      <c r="BB570">
        <f t="shared" si="115"/>
        <v>0.60090702947845798</v>
      </c>
    </row>
    <row r="571" spans="1:54" x14ac:dyDescent="0.3">
      <c r="A571" s="11">
        <v>44695</v>
      </c>
      <c r="B571">
        <v>0.63495575221238898</v>
      </c>
      <c r="C571">
        <v>4023.89</v>
      </c>
      <c r="D571">
        <v>115.98</v>
      </c>
      <c r="E571">
        <v>1811.9</v>
      </c>
      <c r="F571">
        <v>83.14</v>
      </c>
      <c r="G571">
        <v>47.29</v>
      </c>
      <c r="H571" s="12">
        <f t="shared" si="110"/>
        <v>124.28497035489563</v>
      </c>
      <c r="I571" s="12">
        <f t="shared" si="111"/>
        <v>85.277032293189947</v>
      </c>
      <c r="J571" s="12">
        <f t="shared" si="112"/>
        <v>138.95982531919998</v>
      </c>
      <c r="K571" s="12">
        <f t="shared" si="113"/>
        <v>135.96533129010933</v>
      </c>
      <c r="P571" s="12"/>
      <c r="Q571" s="12"/>
      <c r="R571" s="12"/>
      <c r="S571" s="12"/>
      <c r="V571">
        <v>0.49432534678436302</v>
      </c>
      <c r="W571" s="12"/>
      <c r="X571" s="12"/>
      <c r="Y571" t="str">
        <v>20131025</v>
      </c>
      <c r="Z571">
        <v>52.6</v>
      </c>
      <c r="AA571">
        <v>16.5</v>
      </c>
      <c r="AB571">
        <f t="shared" si="114"/>
        <v>3.187878787878788</v>
      </c>
      <c r="AY571" t="str">
        <v>15/06/2022</v>
      </c>
      <c r="AZ571">
        <v>26.5</v>
      </c>
      <c r="BA571">
        <v>44.1</v>
      </c>
      <c r="BB571">
        <f t="shared" si="115"/>
        <v>0.60090702947845798</v>
      </c>
    </row>
    <row r="572" spans="1:54" x14ac:dyDescent="0.3">
      <c r="A572" s="11">
        <v>44694</v>
      </c>
      <c r="B572">
        <v>0.62946428571428603</v>
      </c>
      <c r="C572">
        <v>3930.08</v>
      </c>
      <c r="D572">
        <v>117.72</v>
      </c>
      <c r="E572">
        <v>1821.8</v>
      </c>
      <c r="F572">
        <v>83.17</v>
      </c>
      <c r="G572">
        <v>46.02</v>
      </c>
      <c r="H572" s="12">
        <f t="shared" si="110"/>
        <v>119.66004050717011</v>
      </c>
      <c r="I572" s="12">
        <f t="shared" si="111"/>
        <v>82.849224494318946</v>
      </c>
      <c r="J572" s="12">
        <f t="shared" si="112"/>
        <v>135.67242148119848</v>
      </c>
      <c r="K572" s="12">
        <f t="shared" si="113"/>
        <v>136.47396347125306</v>
      </c>
      <c r="P572" s="12"/>
      <c r="Q572" s="12"/>
      <c r="R572" s="12"/>
      <c r="S572" s="12"/>
      <c r="V572">
        <v>0.48017902813299201</v>
      </c>
      <c r="W572" s="12"/>
      <c r="X572" s="12"/>
      <c r="Y572" t="str">
        <v>20131018</v>
      </c>
      <c r="Z572">
        <v>49.5</v>
      </c>
      <c r="AA572">
        <v>18.5</v>
      </c>
      <c r="AB572">
        <f t="shared" si="114"/>
        <v>2.6756756756756759</v>
      </c>
      <c r="AY572" t="str">
        <v>14/06/2022</v>
      </c>
      <c r="AZ572">
        <v>26.5</v>
      </c>
      <c r="BA572">
        <v>44.1</v>
      </c>
      <c r="BB572">
        <f t="shared" si="115"/>
        <v>0.60090702947845798</v>
      </c>
    </row>
    <row r="573" spans="1:54" x14ac:dyDescent="0.3">
      <c r="A573" s="11">
        <v>44693</v>
      </c>
      <c r="B573">
        <v>0.63087248322147604</v>
      </c>
      <c r="C573">
        <v>3935.18</v>
      </c>
      <c r="D573">
        <v>117.94</v>
      </c>
      <c r="E573">
        <v>1852.41</v>
      </c>
      <c r="F573">
        <v>83.05</v>
      </c>
      <c r="G573">
        <v>46.19</v>
      </c>
      <c r="H573" s="12">
        <f t="shared" si="110"/>
        <v>119.59195040473293</v>
      </c>
      <c r="I573" s="12">
        <f t="shared" si="111"/>
        <v>81.606486815271708</v>
      </c>
      <c r="J573" s="12">
        <f t="shared" si="112"/>
        <v>136.0453100319956</v>
      </c>
      <c r="K573" s="12">
        <f t="shared" si="113"/>
        <v>136.14932240919288</v>
      </c>
      <c r="P573" s="12"/>
      <c r="Q573" s="12"/>
      <c r="R573" s="12"/>
      <c r="S573" s="12"/>
      <c r="V573">
        <v>0.47992227979274599</v>
      </c>
      <c r="W573" s="12"/>
      <c r="X573" s="12"/>
      <c r="Y573" t="str">
        <v>20131011</v>
      </c>
      <c r="Z573">
        <v>42.3</v>
      </c>
      <c r="AA573">
        <v>21.6</v>
      </c>
      <c r="AB573">
        <f t="shared" si="114"/>
        <v>1.958333333333333</v>
      </c>
      <c r="AY573" t="str">
        <v>13/06/2022</v>
      </c>
      <c r="AZ573">
        <v>26.5</v>
      </c>
      <c r="BA573">
        <v>44.1</v>
      </c>
      <c r="BB573">
        <f t="shared" si="115"/>
        <v>0.60090702947845798</v>
      </c>
    </row>
    <row r="574" spans="1:54" x14ac:dyDescent="0.3">
      <c r="A574" s="11">
        <v>44692</v>
      </c>
      <c r="B574">
        <v>0.62444444444444402</v>
      </c>
      <c r="C574">
        <v>4001.05</v>
      </c>
      <c r="D574">
        <v>115.71</v>
      </c>
      <c r="E574">
        <v>1838.36</v>
      </c>
      <c r="F574">
        <v>83.04</v>
      </c>
      <c r="G574">
        <v>46.47</v>
      </c>
      <c r="H574" s="12">
        <f t="shared" si="110"/>
        <v>124.0240100620326</v>
      </c>
      <c r="I574" s="12">
        <f t="shared" si="111"/>
        <v>83.622273630962241</v>
      </c>
      <c r="J574" s="12">
        <f t="shared" si="112"/>
        <v>138.33947690037581</v>
      </c>
      <c r="K574" s="12">
        <f t="shared" si="113"/>
        <v>137.58540942674676</v>
      </c>
      <c r="P574" s="12"/>
      <c r="Q574" s="12"/>
      <c r="R574" s="12"/>
      <c r="S574" s="12"/>
      <c r="V574">
        <v>0.47238466536712098</v>
      </c>
      <c r="W574" s="12"/>
      <c r="X574" s="12"/>
      <c r="Y574" t="str">
        <v>20131004</v>
      </c>
      <c r="Z574">
        <v>45.4</v>
      </c>
      <c r="AA574">
        <v>20.6</v>
      </c>
      <c r="AB574">
        <f t="shared" si="114"/>
        <v>2.203883495145631</v>
      </c>
      <c r="AY574" t="str">
        <v>10/06/2022</v>
      </c>
      <c r="AZ574">
        <v>29.4</v>
      </c>
      <c r="BA574">
        <v>42.7</v>
      </c>
      <c r="BB574">
        <f t="shared" si="115"/>
        <v>0.6885245901639343</v>
      </c>
    </row>
    <row r="575" spans="1:54" x14ac:dyDescent="0.3">
      <c r="A575" s="11">
        <v>44691</v>
      </c>
      <c r="B575">
        <v>0.61883408071748902</v>
      </c>
      <c r="C575">
        <v>3991.24</v>
      </c>
      <c r="D575">
        <v>114.67</v>
      </c>
      <c r="E575">
        <v>1854.1</v>
      </c>
      <c r="F575">
        <v>83.09</v>
      </c>
      <c r="G575">
        <v>46.21</v>
      </c>
      <c r="H575" s="12">
        <f t="shared" si="110"/>
        <v>124.84946742648415</v>
      </c>
      <c r="I575" s="12">
        <f t="shared" si="111"/>
        <v>82.716758652946126</v>
      </c>
      <c r="J575" s="12">
        <f t="shared" si="112"/>
        <v>137.91749901828859</v>
      </c>
      <c r="K575" s="12">
        <f t="shared" si="113"/>
        <v>138.02274900071859</v>
      </c>
      <c r="P575" s="12"/>
      <c r="Q575" s="12"/>
      <c r="R575" s="12"/>
      <c r="S575" s="12"/>
      <c r="V575">
        <v>0.47709424083769603</v>
      </c>
      <c r="W575" s="12"/>
      <c r="X575" s="12"/>
      <c r="Y575" t="str">
        <v>20130927</v>
      </c>
      <c r="Z575">
        <v>46.4</v>
      </c>
      <c r="AA575">
        <v>18.600000000000001</v>
      </c>
      <c r="AB575">
        <f t="shared" si="114"/>
        <v>2.4946236559139781</v>
      </c>
      <c r="AY575" t="str">
        <v>09/06/2022</v>
      </c>
      <c r="AZ575">
        <v>29.4</v>
      </c>
      <c r="BA575">
        <v>42.7</v>
      </c>
      <c r="BB575">
        <f t="shared" si="115"/>
        <v>0.6885245901639343</v>
      </c>
    </row>
    <row r="576" spans="1:54" x14ac:dyDescent="0.3">
      <c r="A576" s="11">
        <v>44688</v>
      </c>
      <c r="B576">
        <v>0.60444444444444401</v>
      </c>
      <c r="C576">
        <v>4123.34</v>
      </c>
      <c r="D576">
        <v>113.67</v>
      </c>
      <c r="E576">
        <v>1884</v>
      </c>
      <c r="F576">
        <v>82.88</v>
      </c>
      <c r="G576">
        <v>47.66</v>
      </c>
      <c r="H576" s="12">
        <f t="shared" si="110"/>
        <v>130.16468112176523</v>
      </c>
      <c r="I576" s="12">
        <f t="shared" si="111"/>
        <v>84.075985398215323</v>
      </c>
      <c r="J576" s="12">
        <f t="shared" si="112"/>
        <v>142.85616799169227</v>
      </c>
      <c r="K576" s="12">
        <f t="shared" si="113"/>
        <v>138.24578084188337</v>
      </c>
      <c r="P576" s="12"/>
      <c r="Q576" s="12"/>
      <c r="R576" s="12"/>
      <c r="S576" s="12"/>
      <c r="V576">
        <v>0.465938303341902</v>
      </c>
      <c r="W576" s="12"/>
      <c r="X576" s="12"/>
      <c r="Y576" t="str">
        <v>20130920</v>
      </c>
      <c r="Z576">
        <v>44.3</v>
      </c>
      <c r="AA576">
        <v>20.6</v>
      </c>
      <c r="AB576">
        <f t="shared" si="114"/>
        <v>2.1504854368932036</v>
      </c>
      <c r="AY576" t="str">
        <v>08/06/2022</v>
      </c>
      <c r="AZ576">
        <v>29.4</v>
      </c>
      <c r="BA576">
        <v>42.7</v>
      </c>
      <c r="BB576">
        <f t="shared" si="115"/>
        <v>0.6885245901639343</v>
      </c>
    </row>
    <row r="577" spans="1:54" x14ac:dyDescent="0.3">
      <c r="A577" s="11">
        <v>44687</v>
      </c>
      <c r="B577">
        <v>0.59545454545454501</v>
      </c>
      <c r="C577">
        <v>4146.87</v>
      </c>
      <c r="D577">
        <v>115.37</v>
      </c>
      <c r="E577">
        <v>1877.2</v>
      </c>
      <c r="F577">
        <v>82.89</v>
      </c>
      <c r="G577">
        <v>48.19</v>
      </c>
      <c r="H577" s="12">
        <f t="shared" si="110"/>
        <v>128.99584452089266</v>
      </c>
      <c r="I577" s="12">
        <f t="shared" si="111"/>
        <v>84.864938702166839</v>
      </c>
      <c r="J577" s="12">
        <f t="shared" si="112"/>
        <v>143.65395269603394</v>
      </c>
      <c r="K577" s="12">
        <f t="shared" si="113"/>
        <v>137.51366177435213</v>
      </c>
      <c r="P577" s="12"/>
      <c r="Q577" s="12"/>
      <c r="R577" s="12"/>
      <c r="S577" s="12"/>
      <c r="V577">
        <v>0.46163765312701499</v>
      </c>
      <c r="W577" s="12"/>
      <c r="X577" s="12"/>
      <c r="Y577" t="str">
        <v>20130913</v>
      </c>
      <c r="Z577">
        <v>42.3</v>
      </c>
      <c r="AA577">
        <v>21.6</v>
      </c>
      <c r="AB577">
        <f t="shared" si="114"/>
        <v>1.958333333333333</v>
      </c>
      <c r="AY577" t="str">
        <v>07/06/2022</v>
      </c>
      <c r="AZ577">
        <v>29.4</v>
      </c>
      <c r="BA577">
        <v>42.7</v>
      </c>
      <c r="BB577">
        <f t="shared" si="115"/>
        <v>0.6885245901639343</v>
      </c>
    </row>
    <row r="578" spans="1:54" x14ac:dyDescent="0.3">
      <c r="A578" s="11">
        <v>44686</v>
      </c>
      <c r="B578">
        <v>0.59353348729792099</v>
      </c>
      <c r="C578">
        <v>4300.17</v>
      </c>
      <c r="D578">
        <v>118.62</v>
      </c>
      <c r="E578">
        <v>1881.5</v>
      </c>
      <c r="F578">
        <v>83.03</v>
      </c>
      <c r="G578">
        <v>49.82</v>
      </c>
      <c r="H578" s="12">
        <f t="shared" ref="H578:H641" si="116">H579*(1+((C578/C579)-(D578/D579)))</f>
        <v>130.06908856977398</v>
      </c>
      <c r="I578" s="12">
        <f t="shared" ref="I578:I641" si="117">I579*(1+((C578/C579)-(E578/E579)))</f>
        <v>87.794132226039324</v>
      </c>
      <c r="J578" s="12">
        <f t="shared" si="112"/>
        <v>148.70449503941143</v>
      </c>
      <c r="K578" s="12">
        <f t="shared" si="113"/>
        <v>137.91803322186212</v>
      </c>
      <c r="P578" s="12"/>
      <c r="Q578" s="12"/>
      <c r="R578" s="12"/>
      <c r="S578" s="12"/>
      <c r="V578">
        <v>0.45959922430510702</v>
      </c>
      <c r="W578" s="12"/>
      <c r="X578" s="12"/>
      <c r="Y578" t="str">
        <v>20130906</v>
      </c>
      <c r="Z578">
        <v>37.1</v>
      </c>
      <c r="AA578">
        <v>22.7</v>
      </c>
      <c r="AB578">
        <f t="shared" si="114"/>
        <v>1.6343612334801763</v>
      </c>
      <c r="AY578" t="str">
        <v>06/06/2022</v>
      </c>
      <c r="AZ578">
        <v>29.4</v>
      </c>
      <c r="BA578">
        <v>42.7</v>
      </c>
      <c r="BB578">
        <f t="shared" si="115"/>
        <v>0.6885245901639343</v>
      </c>
    </row>
    <row r="579" spans="1:54" x14ac:dyDescent="0.3">
      <c r="A579" s="11">
        <v>44685</v>
      </c>
      <c r="B579">
        <v>0.56074766355140204</v>
      </c>
      <c r="C579">
        <v>4175.4799999999996</v>
      </c>
      <c r="D579">
        <v>117.97</v>
      </c>
      <c r="E579">
        <v>1868.2</v>
      </c>
      <c r="F579">
        <v>82.81</v>
      </c>
      <c r="G579">
        <v>49.03</v>
      </c>
      <c r="H579" s="12">
        <f t="shared" si="116"/>
        <v>126.97687661600374</v>
      </c>
      <c r="I579" s="12">
        <f t="shared" si="117"/>
        <v>85.841807712660767</v>
      </c>
      <c r="J579" s="12">
        <f t="shared" ref="J579:J642" si="118">J580*(1+((C579/C580)-(F579/F580)))</f>
        <v>144.76602656705455</v>
      </c>
      <c r="K579" s="12">
        <f t="shared" ref="K579:K642" si="119">K580*(1+((C579/C580)-(G579/G580)))</f>
        <v>136.04740174003626</v>
      </c>
      <c r="P579" s="12"/>
      <c r="Q579" s="12"/>
      <c r="R579" s="12"/>
      <c r="S579" s="12"/>
      <c r="V579">
        <v>0.45924967658473498</v>
      </c>
      <c r="W579" s="12"/>
      <c r="X579" s="12"/>
      <c r="Y579" t="str">
        <v>20130830</v>
      </c>
      <c r="Z579">
        <v>37.1</v>
      </c>
      <c r="AA579">
        <v>23.7</v>
      </c>
      <c r="AB579">
        <f t="shared" si="114"/>
        <v>1.5654008438818567</v>
      </c>
      <c r="AY579" t="str">
        <v>03/06/2022</v>
      </c>
      <c r="AZ579">
        <v>35.700000000000003</v>
      </c>
      <c r="BA579">
        <v>40</v>
      </c>
      <c r="BB579">
        <f t="shared" si="115"/>
        <v>0.89250000000000007</v>
      </c>
    </row>
    <row r="580" spans="1:54" x14ac:dyDescent="0.3">
      <c r="A580" s="11">
        <v>44684</v>
      </c>
      <c r="B580">
        <v>0.55660377358490598</v>
      </c>
      <c r="C580">
        <v>4155.38</v>
      </c>
      <c r="D580">
        <v>117.18</v>
      </c>
      <c r="E580">
        <v>1862.3</v>
      </c>
      <c r="F580">
        <v>82.85</v>
      </c>
      <c r="G580">
        <v>48.64</v>
      </c>
      <c r="H580" s="12">
        <f t="shared" si="116"/>
        <v>127.2191861735138</v>
      </c>
      <c r="I580" s="12">
        <f t="shared" si="117"/>
        <v>85.698778396226373</v>
      </c>
      <c r="J580" s="12">
        <f t="shared" si="118"/>
        <v>143.99996074599707</v>
      </c>
      <c r="K580" s="12">
        <f t="shared" si="119"/>
        <v>136.48154809253933</v>
      </c>
      <c r="P580" s="12"/>
      <c r="Q580" s="12"/>
      <c r="R580" s="12"/>
      <c r="S580" s="12"/>
      <c r="V580">
        <v>0.45673389720234198</v>
      </c>
      <c r="W580" s="12"/>
      <c r="X580" s="12"/>
      <c r="Y580" t="str">
        <v>20130823</v>
      </c>
      <c r="Z580">
        <v>38.1</v>
      </c>
      <c r="AA580">
        <v>23.8</v>
      </c>
      <c r="AB580">
        <f t="shared" si="114"/>
        <v>1.6008403361344539</v>
      </c>
      <c r="AY580" t="str">
        <v>02/06/2022</v>
      </c>
      <c r="AZ580">
        <v>35.700000000000003</v>
      </c>
      <c r="BA580">
        <v>40</v>
      </c>
      <c r="BB580">
        <f t="shared" si="115"/>
        <v>0.89250000000000007</v>
      </c>
    </row>
    <row r="581" spans="1:54" x14ac:dyDescent="0.3">
      <c r="A581" s="11">
        <v>44681</v>
      </c>
      <c r="B581">
        <v>0.532407407407407</v>
      </c>
      <c r="C581">
        <v>4131.93</v>
      </c>
      <c r="D581">
        <v>119.45</v>
      </c>
      <c r="E581">
        <v>1896.7950000000001</v>
      </c>
      <c r="F581">
        <v>82.9</v>
      </c>
      <c r="G581">
        <v>48.77</v>
      </c>
      <c r="H581" s="12">
        <f t="shared" si="116"/>
        <v>124.15515111476961</v>
      </c>
      <c r="I581" s="12">
        <f t="shared" si="117"/>
        <v>83.70155435390781</v>
      </c>
      <c r="J581" s="12">
        <f t="shared" si="118"/>
        <v>143.10150506343706</v>
      </c>
      <c r="K581" s="12">
        <f t="shared" si="119"/>
        <v>135.35258744795058</v>
      </c>
      <c r="P581" s="12"/>
      <c r="Q581" s="12"/>
      <c r="R581" s="12"/>
      <c r="S581" s="12"/>
      <c r="V581">
        <v>0.45495207667731602</v>
      </c>
      <c r="W581" s="12"/>
      <c r="X581" s="12"/>
      <c r="Y581" t="str">
        <v>20130816</v>
      </c>
      <c r="Z581">
        <v>43.3</v>
      </c>
      <c r="AA581">
        <v>21.6</v>
      </c>
      <c r="AB581">
        <f t="shared" si="114"/>
        <v>2.0046296296296293</v>
      </c>
      <c r="AY581" t="str">
        <v>01/06/2022</v>
      </c>
      <c r="AZ581">
        <v>35.700000000000003</v>
      </c>
      <c r="BA581">
        <v>40</v>
      </c>
      <c r="BB581">
        <f t="shared" si="115"/>
        <v>0.89250000000000007</v>
      </c>
    </row>
    <row r="582" spans="1:54" x14ac:dyDescent="0.3">
      <c r="A582" s="11">
        <v>44680</v>
      </c>
      <c r="B582">
        <v>0.52</v>
      </c>
      <c r="C582">
        <v>4287.5</v>
      </c>
      <c r="D582">
        <v>121.02</v>
      </c>
      <c r="E582">
        <v>1894.65</v>
      </c>
      <c r="F582">
        <v>83.06</v>
      </c>
      <c r="G582">
        <v>49.2</v>
      </c>
      <c r="H582" s="12">
        <f t="shared" si="116"/>
        <v>127.11847155960213</v>
      </c>
      <c r="I582" s="12">
        <f t="shared" si="117"/>
        <v>86.955126797001711</v>
      </c>
      <c r="J582" s="12">
        <f t="shared" si="118"/>
        <v>148.19315969623082</v>
      </c>
      <c r="K582" s="12">
        <f t="shared" si="119"/>
        <v>139.1864376060901</v>
      </c>
      <c r="P582" s="12"/>
      <c r="Q582" s="12"/>
      <c r="R582" s="12"/>
      <c r="S582" s="12"/>
      <c r="V582">
        <v>0.45233525271913</v>
      </c>
      <c r="W582" s="12"/>
      <c r="X582" s="12"/>
      <c r="Y582" t="str">
        <v>20130809</v>
      </c>
      <c r="Z582">
        <v>47.4</v>
      </c>
      <c r="AA582">
        <v>20.6</v>
      </c>
      <c r="AB582">
        <f t="shared" si="114"/>
        <v>2.3009708737864076</v>
      </c>
      <c r="AY582" t="str">
        <v>31/05/2022</v>
      </c>
      <c r="AZ582">
        <v>35.700000000000003</v>
      </c>
      <c r="BA582">
        <v>40</v>
      </c>
      <c r="BB582">
        <f t="shared" si="115"/>
        <v>0.89250000000000007</v>
      </c>
    </row>
    <row r="583" spans="1:54" x14ac:dyDescent="0.3">
      <c r="A583" s="11">
        <v>44679</v>
      </c>
      <c r="B583">
        <v>0.47342995169082103</v>
      </c>
      <c r="C583">
        <v>4183.96</v>
      </c>
      <c r="D583">
        <v>120.84</v>
      </c>
      <c r="E583">
        <v>1885.6</v>
      </c>
      <c r="F583">
        <v>83.12</v>
      </c>
      <c r="G583">
        <v>48.46</v>
      </c>
      <c r="H583" s="12">
        <f t="shared" si="116"/>
        <v>124.22923284645242</v>
      </c>
      <c r="I583" s="12">
        <f t="shared" si="117"/>
        <v>85.254524346887393</v>
      </c>
      <c r="J583" s="12">
        <f t="shared" si="118"/>
        <v>144.51260593491932</v>
      </c>
      <c r="K583" s="12">
        <f t="shared" si="119"/>
        <v>137.8798106918469</v>
      </c>
      <c r="P583" s="12"/>
      <c r="Q583" s="12"/>
      <c r="R583" s="12"/>
      <c r="S583" s="12"/>
      <c r="V583">
        <v>0.446075303126994</v>
      </c>
      <c r="W583" s="12"/>
      <c r="X583" s="12"/>
      <c r="Y583" t="str">
        <v>20130802</v>
      </c>
      <c r="Z583">
        <v>51.6</v>
      </c>
      <c r="AA583">
        <v>18.5</v>
      </c>
      <c r="AB583">
        <f t="shared" si="114"/>
        <v>2.7891891891891891</v>
      </c>
      <c r="AY583" t="str">
        <v>30/05/2022</v>
      </c>
      <c r="AZ583">
        <v>35.700000000000003</v>
      </c>
      <c r="BA583">
        <v>40</v>
      </c>
      <c r="BB583">
        <f t="shared" si="115"/>
        <v>0.89250000000000007</v>
      </c>
    </row>
    <row r="584" spans="1:54" x14ac:dyDescent="0.3">
      <c r="A584" s="11">
        <v>44678</v>
      </c>
      <c r="B584">
        <v>0.44471744471744501</v>
      </c>
      <c r="C584">
        <v>4175.2</v>
      </c>
      <c r="D584">
        <v>122.41</v>
      </c>
      <c r="E584">
        <v>1904.6</v>
      </c>
      <c r="F584">
        <v>83.16</v>
      </c>
      <c r="G584">
        <v>48.14</v>
      </c>
      <c r="H584" s="12">
        <f t="shared" si="116"/>
        <v>122.40251574179834</v>
      </c>
      <c r="I584" s="12">
        <f t="shared" si="117"/>
        <v>84.237445554208676</v>
      </c>
      <c r="J584" s="12">
        <f t="shared" si="118"/>
        <v>144.1408517501811</v>
      </c>
      <c r="K584" s="12">
        <f t="shared" si="119"/>
        <v>138.5099166367938</v>
      </c>
      <c r="P584" s="12"/>
      <c r="Q584" s="12"/>
      <c r="R584" s="12"/>
      <c r="S584" s="12"/>
      <c r="V584">
        <v>0.43489416292495198</v>
      </c>
      <c r="W584" s="12"/>
      <c r="X584" s="12"/>
      <c r="Y584" t="str">
        <v>20130726</v>
      </c>
      <c r="Z584">
        <v>48.4</v>
      </c>
      <c r="AA584">
        <v>19.600000000000001</v>
      </c>
      <c r="AB584">
        <f t="shared" ref="AB584:AB647" si="120">IFERROR(Z584/AA584,"")</f>
        <v>2.4693877551020407</v>
      </c>
      <c r="AY584" t="str">
        <v>27/05/2022</v>
      </c>
      <c r="AZ584">
        <v>35.200000000000003</v>
      </c>
      <c r="BA584">
        <v>38</v>
      </c>
      <c r="BB584">
        <f t="shared" ref="BB584:BB647" si="121">IFERROR(AZ584/BA584,"")</f>
        <v>0.92631578947368431</v>
      </c>
    </row>
    <row r="585" spans="1:54" x14ac:dyDescent="0.3">
      <c r="A585" s="11">
        <v>44677</v>
      </c>
      <c r="B585">
        <v>0.4325</v>
      </c>
      <c r="C585">
        <v>4296.12</v>
      </c>
      <c r="D585">
        <v>121.19</v>
      </c>
      <c r="E585">
        <v>1898</v>
      </c>
      <c r="F585">
        <v>83.01</v>
      </c>
      <c r="G585">
        <v>49.41</v>
      </c>
      <c r="H585" s="12">
        <f t="shared" si="116"/>
        <v>127.26574250576658</v>
      </c>
      <c r="I585" s="12">
        <f t="shared" si="117"/>
        <v>86.988336161052246</v>
      </c>
      <c r="J585" s="12">
        <f t="shared" si="118"/>
        <v>148.5916683020773</v>
      </c>
      <c r="K585" s="12">
        <f t="shared" si="119"/>
        <v>138.84912901011691</v>
      </c>
      <c r="P585" s="12"/>
      <c r="Q585" s="12"/>
      <c r="R585" s="12"/>
      <c r="S585" s="12"/>
      <c r="V585">
        <v>0.43441558441558398</v>
      </c>
      <c r="W585" s="12"/>
      <c r="X585" s="12"/>
      <c r="Y585" t="str">
        <v>20130719</v>
      </c>
      <c r="Z585">
        <v>51.5</v>
      </c>
      <c r="AA585">
        <v>19.600000000000001</v>
      </c>
      <c r="AB585">
        <f t="shared" si="120"/>
        <v>2.6275510204081631</v>
      </c>
      <c r="AY585" t="str">
        <v>26/05/2022</v>
      </c>
      <c r="AZ585">
        <v>35.200000000000003</v>
      </c>
      <c r="BA585">
        <v>38</v>
      </c>
      <c r="BB585">
        <f t="shared" si="121"/>
        <v>0.92631578947368431</v>
      </c>
    </row>
    <row r="586" spans="1:54" x14ac:dyDescent="0.3">
      <c r="A586" s="11">
        <v>44674</v>
      </c>
      <c r="B586">
        <v>0.41396508728179499</v>
      </c>
      <c r="C586">
        <v>4271.78</v>
      </c>
      <c r="D586">
        <v>119.99</v>
      </c>
      <c r="E586">
        <v>1930.7</v>
      </c>
      <c r="F586">
        <v>82.88</v>
      </c>
      <c r="G586">
        <v>49.72</v>
      </c>
      <c r="H586" s="12">
        <f t="shared" si="116"/>
        <v>127.81573032519016</v>
      </c>
      <c r="I586" s="12">
        <f t="shared" si="117"/>
        <v>85.062959777776484</v>
      </c>
      <c r="J586" s="12">
        <f t="shared" si="118"/>
        <v>147.9806081067955</v>
      </c>
      <c r="K586" s="12">
        <f t="shared" si="119"/>
        <v>137.21181140599759</v>
      </c>
      <c r="P586" s="12"/>
      <c r="Q586" s="12"/>
      <c r="R586" s="12"/>
      <c r="S586" s="12"/>
      <c r="V586">
        <v>0.42720915448188201</v>
      </c>
      <c r="W586" s="12"/>
      <c r="X586" s="12"/>
      <c r="Y586" t="str">
        <v>20130712</v>
      </c>
      <c r="Z586">
        <v>52.1</v>
      </c>
      <c r="AA586">
        <v>19.8</v>
      </c>
      <c r="AB586">
        <f t="shared" si="120"/>
        <v>2.6313131313131315</v>
      </c>
      <c r="AY586" t="str">
        <v>25/05/2022</v>
      </c>
      <c r="AZ586">
        <v>35.200000000000003</v>
      </c>
      <c r="BA586">
        <v>38</v>
      </c>
      <c r="BB586">
        <f t="shared" si="121"/>
        <v>0.92631578947368431</v>
      </c>
    </row>
    <row r="587" spans="1:54" x14ac:dyDescent="0.3">
      <c r="A587" s="11">
        <v>44673</v>
      </c>
      <c r="B587">
        <v>0.442786069651741</v>
      </c>
      <c r="C587">
        <v>4393.66</v>
      </c>
      <c r="D587">
        <v>120.75</v>
      </c>
      <c r="E587">
        <v>1952</v>
      </c>
      <c r="F587">
        <v>82.9</v>
      </c>
      <c r="G587">
        <v>50.49</v>
      </c>
      <c r="H587" s="12">
        <f t="shared" si="116"/>
        <v>130.61693789909106</v>
      </c>
      <c r="I587" s="12">
        <f t="shared" si="117"/>
        <v>86.518907350650181</v>
      </c>
      <c r="J587" s="12">
        <f t="shared" si="118"/>
        <v>152.16494885905448</v>
      </c>
      <c r="K587" s="12">
        <f t="shared" si="119"/>
        <v>138.94718196891398</v>
      </c>
      <c r="P587" s="12"/>
      <c r="Q587" s="12"/>
      <c r="R587" s="12"/>
      <c r="S587" s="12"/>
      <c r="V587">
        <v>0.42511153601019802</v>
      </c>
      <c r="W587" s="12"/>
      <c r="X587" s="12"/>
      <c r="Y587" t="str">
        <v>20130705</v>
      </c>
      <c r="Z587">
        <v>46.9</v>
      </c>
      <c r="AA587">
        <v>22.9</v>
      </c>
      <c r="AB587">
        <f t="shared" si="120"/>
        <v>2.0480349344978168</v>
      </c>
      <c r="AY587" t="str">
        <v>24/05/2022</v>
      </c>
      <c r="AZ587">
        <v>35.200000000000003</v>
      </c>
      <c r="BA587">
        <v>38</v>
      </c>
      <c r="BB587">
        <f t="shared" si="121"/>
        <v>0.92631578947368431</v>
      </c>
    </row>
    <row r="588" spans="1:54" x14ac:dyDescent="0.3">
      <c r="A588" s="11">
        <v>44672</v>
      </c>
      <c r="B588">
        <v>0.42857142857142899</v>
      </c>
      <c r="C588">
        <v>4459.45</v>
      </c>
      <c r="D588">
        <v>121.65</v>
      </c>
      <c r="E588">
        <v>1957.8</v>
      </c>
      <c r="F588">
        <v>83.04</v>
      </c>
      <c r="G588">
        <v>51.19</v>
      </c>
      <c r="H588" s="12">
        <f t="shared" si="116"/>
        <v>131.58469950000887</v>
      </c>
      <c r="I588" s="12">
        <f t="shared" si="117"/>
        <v>87.551173459376642</v>
      </c>
      <c r="J588" s="12">
        <f t="shared" si="118"/>
        <v>154.17961479455977</v>
      </c>
      <c r="K588" s="12">
        <f t="shared" si="119"/>
        <v>139.09718361716577</v>
      </c>
      <c r="P588" s="12"/>
      <c r="Q588" s="12"/>
      <c r="R588" s="12"/>
      <c r="S588" s="12"/>
      <c r="V588">
        <v>0.43074968233799199</v>
      </c>
      <c r="W588" s="12"/>
      <c r="X588" s="12"/>
      <c r="Y588" t="str">
        <v>20130628</v>
      </c>
      <c r="Z588">
        <v>43.8</v>
      </c>
      <c r="AA588">
        <v>20.8</v>
      </c>
      <c r="AB588">
        <f t="shared" si="120"/>
        <v>2.1057692307692304</v>
      </c>
      <c r="AY588" t="str">
        <v>23/05/2022</v>
      </c>
      <c r="AZ588">
        <v>35.200000000000003</v>
      </c>
      <c r="BA588">
        <v>38</v>
      </c>
      <c r="BB588">
        <f t="shared" si="121"/>
        <v>0.92631578947368431</v>
      </c>
    </row>
    <row r="589" spans="1:54" x14ac:dyDescent="0.3">
      <c r="A589" s="11">
        <v>44671</v>
      </c>
      <c r="B589">
        <v>0.42493638676844803</v>
      </c>
      <c r="C589">
        <v>4462.21</v>
      </c>
      <c r="D589">
        <v>119.25</v>
      </c>
      <c r="E589">
        <v>1949.84</v>
      </c>
      <c r="F589">
        <v>82.99</v>
      </c>
      <c r="G589">
        <v>51.02</v>
      </c>
      <c r="H589" s="12">
        <f t="shared" si="116"/>
        <v>134.37215769913658</v>
      </c>
      <c r="I589" s="12">
        <f t="shared" si="117"/>
        <v>87.964687877847524</v>
      </c>
      <c r="J589" s="12">
        <f t="shared" si="118"/>
        <v>154.36809975985423</v>
      </c>
      <c r="K589" s="12">
        <f t="shared" si="119"/>
        <v>139.64887406968282</v>
      </c>
      <c r="P589" s="12"/>
      <c r="Q589" s="12"/>
      <c r="R589" s="12"/>
      <c r="S589" s="12"/>
      <c r="V589">
        <v>0.43159922928709099</v>
      </c>
      <c r="W589" s="12"/>
      <c r="X589" s="12"/>
      <c r="Y589" t="str">
        <v>20130621</v>
      </c>
      <c r="Z589">
        <v>41.7</v>
      </c>
      <c r="AA589">
        <v>25</v>
      </c>
      <c r="AB589">
        <f t="shared" si="120"/>
        <v>1.6680000000000001</v>
      </c>
      <c r="AY589" t="str">
        <v>20/05/2022</v>
      </c>
      <c r="AZ589">
        <v>28.2</v>
      </c>
      <c r="BA589">
        <v>40.799999999999997</v>
      </c>
      <c r="BB589">
        <f t="shared" si="121"/>
        <v>0.69117647058823528</v>
      </c>
    </row>
    <row r="590" spans="1:54" x14ac:dyDescent="0.3">
      <c r="A590" s="11">
        <v>44670</v>
      </c>
      <c r="B590">
        <v>0.42118863049095601</v>
      </c>
      <c r="C590">
        <v>4391.6899999999996</v>
      </c>
      <c r="D590">
        <v>120.15</v>
      </c>
      <c r="E590">
        <v>1973.9</v>
      </c>
      <c r="F590">
        <v>83.18</v>
      </c>
      <c r="G590">
        <v>50.96</v>
      </c>
      <c r="H590" s="12">
        <f t="shared" si="116"/>
        <v>131.28072807980041</v>
      </c>
      <c r="I590" s="12">
        <f t="shared" si="117"/>
        <v>85.54823535928233</v>
      </c>
      <c r="J590" s="12">
        <f t="shared" si="118"/>
        <v>151.58770794008257</v>
      </c>
      <c r="K590" s="12">
        <f t="shared" si="119"/>
        <v>137.60133786326463</v>
      </c>
      <c r="P590" s="12"/>
      <c r="Q590" s="12"/>
      <c r="R590" s="12"/>
      <c r="S590" s="12"/>
      <c r="V590">
        <v>0.43060959792477299</v>
      </c>
      <c r="W590" s="12"/>
      <c r="X590" s="12"/>
      <c r="Y590" t="str">
        <v>20130614</v>
      </c>
      <c r="Z590">
        <v>46.8</v>
      </c>
      <c r="AA590">
        <v>21.9</v>
      </c>
      <c r="AB590">
        <f t="shared" si="120"/>
        <v>2.1369863013698631</v>
      </c>
      <c r="AY590" t="str">
        <v>19/05/2022</v>
      </c>
      <c r="AZ590">
        <v>28.2</v>
      </c>
      <c r="BA590">
        <v>40.799999999999997</v>
      </c>
      <c r="BB590">
        <f t="shared" si="121"/>
        <v>0.69117647058823528</v>
      </c>
    </row>
    <row r="591" spans="1:54" x14ac:dyDescent="0.3">
      <c r="A591" s="11">
        <v>44666</v>
      </c>
      <c r="B591">
        <v>0.39480519480519499</v>
      </c>
      <c r="C591">
        <v>4392.59</v>
      </c>
      <c r="D591">
        <v>120.75</v>
      </c>
      <c r="E591">
        <v>1973.9</v>
      </c>
      <c r="F591">
        <v>83.18</v>
      </c>
      <c r="G591">
        <v>51.19</v>
      </c>
      <c r="H591" s="12">
        <f t="shared" si="116"/>
        <v>130.65826510279717</v>
      </c>
      <c r="I591" s="12">
        <f t="shared" si="117"/>
        <v>85.565766972812298</v>
      </c>
      <c r="J591" s="12">
        <f t="shared" si="118"/>
        <v>151.61877318766292</v>
      </c>
      <c r="K591" s="12">
        <f t="shared" si="119"/>
        <v>137.01379877930236</v>
      </c>
      <c r="P591" s="12"/>
      <c r="Q591" s="12"/>
      <c r="R591" s="12"/>
      <c r="S591" s="12"/>
      <c r="V591">
        <v>0.428934010152284</v>
      </c>
      <c r="W591" s="12"/>
      <c r="X591" s="12"/>
      <c r="Y591" t="str">
        <v>20130607</v>
      </c>
      <c r="Z591">
        <v>43.8</v>
      </c>
      <c r="AA591">
        <v>22.9</v>
      </c>
      <c r="AB591">
        <f t="shared" si="120"/>
        <v>1.9126637554585153</v>
      </c>
      <c r="AY591" t="str">
        <v>18/05/2022</v>
      </c>
      <c r="AZ591">
        <v>28.2</v>
      </c>
      <c r="BA591">
        <v>40.799999999999997</v>
      </c>
      <c r="BB591">
        <f t="shared" si="121"/>
        <v>0.69117647058823528</v>
      </c>
    </row>
    <row r="592" spans="1:54" x14ac:dyDescent="0.3">
      <c r="A592" s="11">
        <v>44665</v>
      </c>
      <c r="B592">
        <v>0.39005235602094201</v>
      </c>
      <c r="C592">
        <v>4446.59</v>
      </c>
      <c r="D592">
        <v>123.22</v>
      </c>
      <c r="E592">
        <v>1978.47</v>
      </c>
      <c r="F592">
        <v>83.33</v>
      </c>
      <c r="G592">
        <v>51.53</v>
      </c>
      <c r="H592" s="12">
        <f t="shared" si="116"/>
        <v>129.63398681881353</v>
      </c>
      <c r="I592" s="12">
        <f t="shared" si="117"/>
        <v>86.415601478020136</v>
      </c>
      <c r="J592" s="12">
        <f t="shared" si="118"/>
        <v>153.20352042471097</v>
      </c>
      <c r="K592" s="12">
        <f t="shared" si="119"/>
        <v>137.7779205305504</v>
      </c>
      <c r="P592" s="12"/>
      <c r="Q592" s="12"/>
      <c r="R592" s="12"/>
      <c r="S592" s="12"/>
      <c r="V592">
        <v>0.42866161616161602</v>
      </c>
      <c r="W592" s="12"/>
      <c r="X592" s="12"/>
      <c r="Y592" t="str">
        <v>20130531</v>
      </c>
      <c r="Z592">
        <v>45.8</v>
      </c>
      <c r="AA592">
        <v>20.8</v>
      </c>
      <c r="AB592">
        <f t="shared" si="120"/>
        <v>2.2019230769230766</v>
      </c>
      <c r="AY592" t="str">
        <v>17/05/2022</v>
      </c>
      <c r="AZ592">
        <v>28.2</v>
      </c>
      <c r="BA592">
        <v>40.799999999999997</v>
      </c>
      <c r="BB592">
        <f t="shared" si="121"/>
        <v>0.69117647058823528</v>
      </c>
    </row>
    <row r="593" spans="1:54" x14ac:dyDescent="0.3">
      <c r="A593" s="11">
        <v>44664</v>
      </c>
      <c r="B593">
        <v>0.39304812834224601</v>
      </c>
      <c r="C593">
        <v>4397.45</v>
      </c>
      <c r="D593">
        <v>122.97</v>
      </c>
      <c r="E593">
        <v>1966.76</v>
      </c>
      <c r="F593">
        <v>83.29</v>
      </c>
      <c r="G593">
        <v>50.89</v>
      </c>
      <c r="H593" s="12">
        <f t="shared" si="116"/>
        <v>128.45965466272992</v>
      </c>
      <c r="I593" s="12">
        <f t="shared" si="117"/>
        <v>85.966794349959372</v>
      </c>
      <c r="J593" s="12">
        <f t="shared" si="118"/>
        <v>151.58243596182052</v>
      </c>
      <c r="K593" s="12">
        <f t="shared" si="119"/>
        <v>137.97128543623316</v>
      </c>
      <c r="P593" s="12"/>
      <c r="Q593" s="12"/>
      <c r="R593" s="12"/>
      <c r="S593" s="12"/>
      <c r="V593">
        <v>0.42938931297709898</v>
      </c>
      <c r="W593" s="12"/>
      <c r="X593" s="12"/>
      <c r="Y593" t="str">
        <v>20130524</v>
      </c>
      <c r="Z593">
        <v>52.1</v>
      </c>
      <c r="AA593">
        <v>19.8</v>
      </c>
      <c r="AB593">
        <f t="shared" si="120"/>
        <v>2.6313131313131315</v>
      </c>
      <c r="AY593" t="str">
        <v>16/05/2022</v>
      </c>
      <c r="AZ593">
        <v>28.2</v>
      </c>
      <c r="BA593">
        <v>40.799999999999997</v>
      </c>
      <c r="BB593">
        <f t="shared" si="121"/>
        <v>0.69117647058823528</v>
      </c>
    </row>
    <row r="594" spans="1:54" x14ac:dyDescent="0.3">
      <c r="A594" s="11">
        <v>44663</v>
      </c>
      <c r="B594">
        <v>0.39285714285714302</v>
      </c>
      <c r="C594">
        <v>4412.53</v>
      </c>
      <c r="D594">
        <v>123.14</v>
      </c>
      <c r="E594">
        <v>1954.4</v>
      </c>
      <c r="F594">
        <v>83.08</v>
      </c>
      <c r="G594">
        <v>51.28</v>
      </c>
      <c r="H594" s="12">
        <f t="shared" si="116"/>
        <v>128.72186083993506</v>
      </c>
      <c r="I594" s="12">
        <f t="shared" si="117"/>
        <v>86.812498450339049</v>
      </c>
      <c r="J594" s="12">
        <f t="shared" si="118"/>
        <v>152.48901742920228</v>
      </c>
      <c r="K594" s="12">
        <f t="shared" si="119"/>
        <v>137.39590385640869</v>
      </c>
      <c r="P594" s="12"/>
      <c r="Q594" s="12"/>
      <c r="R594" s="12"/>
      <c r="S594" s="12"/>
      <c r="V594">
        <v>0.42710340398201702</v>
      </c>
      <c r="W594" s="12"/>
      <c r="X594" s="12"/>
      <c r="Y594" t="str">
        <v>20130517</v>
      </c>
      <c r="Z594">
        <v>55.2</v>
      </c>
      <c r="AA594">
        <v>18.8</v>
      </c>
      <c r="AB594">
        <f t="shared" si="120"/>
        <v>2.9361702127659575</v>
      </c>
      <c r="AY594" t="str">
        <v>13/05/2022</v>
      </c>
      <c r="AZ594">
        <v>27.8</v>
      </c>
      <c r="BA594">
        <v>43</v>
      </c>
      <c r="BB594">
        <f t="shared" si="121"/>
        <v>0.6465116279069768</v>
      </c>
    </row>
    <row r="595" spans="1:54" x14ac:dyDescent="0.3">
      <c r="A595" s="11">
        <v>44660</v>
      </c>
      <c r="B595">
        <v>0.39736842105263198</v>
      </c>
      <c r="C595">
        <v>4488.28</v>
      </c>
      <c r="D595">
        <v>125.12</v>
      </c>
      <c r="E595">
        <v>1946.8</v>
      </c>
      <c r="F595">
        <v>83.06</v>
      </c>
      <c r="G595">
        <v>51.83</v>
      </c>
      <c r="H595" s="12">
        <f t="shared" si="116"/>
        <v>128.85748090466703</v>
      </c>
      <c r="I595" s="12">
        <f t="shared" si="117"/>
        <v>88.654846472849911</v>
      </c>
      <c r="J595" s="12">
        <f t="shared" si="118"/>
        <v>155.14479835729335</v>
      </c>
      <c r="K595" s="12">
        <f t="shared" si="119"/>
        <v>138.26220984523795</v>
      </c>
      <c r="P595" s="12"/>
      <c r="Q595" s="12"/>
      <c r="R595" s="12"/>
      <c r="S595" s="12"/>
      <c r="V595">
        <v>0.42928348909657299</v>
      </c>
      <c r="W595" s="12"/>
      <c r="X595" s="12"/>
      <c r="Y595" t="str">
        <v>20130510</v>
      </c>
      <c r="Z595">
        <v>54.2</v>
      </c>
      <c r="AA595">
        <v>19.8</v>
      </c>
      <c r="AB595">
        <f t="shared" si="120"/>
        <v>2.7373737373737375</v>
      </c>
      <c r="AY595" t="str">
        <v>12/05/2022</v>
      </c>
      <c r="AZ595">
        <v>27.8</v>
      </c>
      <c r="BA595">
        <v>43</v>
      </c>
      <c r="BB595">
        <f t="shared" si="121"/>
        <v>0.6465116279069768</v>
      </c>
    </row>
    <row r="596" spans="1:54" x14ac:dyDescent="0.3">
      <c r="A596" s="11">
        <v>44659</v>
      </c>
      <c r="B596">
        <v>0.41351351351351401</v>
      </c>
      <c r="C596">
        <v>4500.21</v>
      </c>
      <c r="D596">
        <v>126.49</v>
      </c>
      <c r="E596">
        <v>1931</v>
      </c>
      <c r="F596">
        <v>83.16</v>
      </c>
      <c r="G596">
        <v>51.79</v>
      </c>
      <c r="H596" s="12">
        <f t="shared" si="116"/>
        <v>127.81199053926909</v>
      </c>
      <c r="I596" s="12">
        <f t="shared" si="117"/>
        <v>89.625787397408772</v>
      </c>
      <c r="J596" s="12">
        <f t="shared" si="118"/>
        <v>155.36984943946001</v>
      </c>
      <c r="K596" s="12">
        <f t="shared" si="119"/>
        <v>138.7371539153668</v>
      </c>
      <c r="P596" s="12"/>
      <c r="Q596" s="12"/>
      <c r="R596" s="12"/>
      <c r="S596" s="12"/>
      <c r="V596">
        <v>0.423919849718222</v>
      </c>
      <c r="W596" s="12"/>
      <c r="X596" s="12"/>
      <c r="Y596" t="str">
        <v>20130503</v>
      </c>
      <c r="Z596">
        <v>52.1</v>
      </c>
      <c r="AA596">
        <v>19.8</v>
      </c>
      <c r="AB596">
        <f t="shared" si="120"/>
        <v>2.6313131313131315</v>
      </c>
      <c r="AY596" t="str">
        <v>11/05/2022</v>
      </c>
      <c r="AZ596">
        <v>27.8</v>
      </c>
      <c r="BA596">
        <v>43</v>
      </c>
      <c r="BB596">
        <f t="shared" si="121"/>
        <v>0.6465116279069768</v>
      </c>
    </row>
    <row r="597" spans="1:54" x14ac:dyDescent="0.3">
      <c r="A597" s="11">
        <v>44658</v>
      </c>
      <c r="B597">
        <v>0.422343324250681</v>
      </c>
      <c r="C597">
        <v>4481.1499999999996</v>
      </c>
      <c r="D597">
        <v>127.45</v>
      </c>
      <c r="E597">
        <v>1926.2</v>
      </c>
      <c r="F597">
        <v>83.1</v>
      </c>
      <c r="G597">
        <v>51.8</v>
      </c>
      <c r="H597" s="12">
        <f t="shared" si="116"/>
        <v>126.3231786406372</v>
      </c>
      <c r="I597" s="12">
        <f t="shared" si="117"/>
        <v>89.468196381337449</v>
      </c>
      <c r="J597" s="12">
        <f t="shared" si="118"/>
        <v>154.82311470954247</v>
      </c>
      <c r="K597" s="12">
        <f t="shared" si="119"/>
        <v>138.12300067622593</v>
      </c>
      <c r="P597" s="12"/>
      <c r="Q597" s="12"/>
      <c r="R597" s="12"/>
      <c r="S597" s="12"/>
      <c r="V597">
        <v>0.42749999999999999</v>
      </c>
      <c r="W597" s="12"/>
      <c r="X597" s="12"/>
      <c r="Y597" t="str">
        <v>20130426</v>
      </c>
      <c r="Z597">
        <v>47.9</v>
      </c>
      <c r="AA597">
        <v>18.8</v>
      </c>
      <c r="AB597">
        <f t="shared" si="120"/>
        <v>2.5478723404255317</v>
      </c>
      <c r="AY597" t="str">
        <v>10/05/2022</v>
      </c>
      <c r="AZ597">
        <v>27.8</v>
      </c>
      <c r="BA597">
        <v>43</v>
      </c>
      <c r="BB597">
        <f t="shared" si="121"/>
        <v>0.6465116279069768</v>
      </c>
    </row>
    <row r="598" spans="1:54" x14ac:dyDescent="0.3">
      <c r="A598" s="11">
        <v>44657</v>
      </c>
      <c r="B598">
        <v>0.41828254847645402</v>
      </c>
      <c r="C598">
        <v>4525.12</v>
      </c>
      <c r="D598">
        <v>128.49</v>
      </c>
      <c r="E598">
        <v>1923.61</v>
      </c>
      <c r="F598">
        <v>83.04</v>
      </c>
      <c r="G598">
        <v>52.46</v>
      </c>
      <c r="H598" s="12">
        <f t="shared" si="116"/>
        <v>126.5285159854138</v>
      </c>
      <c r="I598" s="12">
        <f t="shared" si="117"/>
        <v>90.469082635622584</v>
      </c>
      <c r="J598" s="12">
        <f t="shared" si="118"/>
        <v>156.45642793651808</v>
      </c>
      <c r="K598" s="12">
        <f t="shared" si="119"/>
        <v>137.72852624511205</v>
      </c>
      <c r="P598" s="12"/>
      <c r="Q598" s="12"/>
      <c r="R598" s="12"/>
      <c r="S598" s="12"/>
      <c r="V598">
        <v>0.42632241813602001</v>
      </c>
      <c r="W598" s="12"/>
      <c r="X598" s="12"/>
      <c r="Y598" t="str">
        <v>20130419</v>
      </c>
      <c r="Z598">
        <v>44.3</v>
      </c>
      <c r="AA598">
        <v>19.600000000000001</v>
      </c>
      <c r="AB598">
        <f t="shared" si="120"/>
        <v>2.260204081632653</v>
      </c>
      <c r="AY598" t="str">
        <v>09/05/2022</v>
      </c>
      <c r="AZ598">
        <v>27.8</v>
      </c>
      <c r="BA598">
        <v>43</v>
      </c>
      <c r="BB598">
        <f t="shared" si="121"/>
        <v>0.6465116279069768</v>
      </c>
    </row>
    <row r="599" spans="1:54" x14ac:dyDescent="0.3">
      <c r="A599" s="11">
        <v>44656</v>
      </c>
      <c r="B599">
        <v>0.42120343839541502</v>
      </c>
      <c r="C599">
        <v>4582.6400000000003</v>
      </c>
      <c r="D599">
        <v>131.46</v>
      </c>
      <c r="E599">
        <v>1933.7</v>
      </c>
      <c r="F599">
        <v>83.19</v>
      </c>
      <c r="G599">
        <v>53.2</v>
      </c>
      <c r="H599" s="12">
        <f t="shared" si="116"/>
        <v>125.2707095407536</v>
      </c>
      <c r="I599" s="12">
        <f t="shared" si="117"/>
        <v>91.137461172456995</v>
      </c>
      <c r="J599" s="12">
        <f t="shared" si="118"/>
        <v>158.15639017603652</v>
      </c>
      <c r="K599" s="12">
        <f t="shared" si="119"/>
        <v>137.54173665508307</v>
      </c>
      <c r="P599" s="12"/>
      <c r="Q599" s="12"/>
      <c r="R599" s="12"/>
      <c r="S599" s="12"/>
      <c r="V599">
        <v>0.42319949012109598</v>
      </c>
      <c r="W599" s="12"/>
      <c r="X599" s="12"/>
      <c r="Y599" t="str">
        <v>20130412</v>
      </c>
      <c r="Z599">
        <v>47.4</v>
      </c>
      <c r="AA599">
        <v>20.6</v>
      </c>
      <c r="AB599">
        <f t="shared" si="120"/>
        <v>2.3009708737864076</v>
      </c>
      <c r="AY599" t="str">
        <v>06/05/2022</v>
      </c>
      <c r="AZ599">
        <v>27.6</v>
      </c>
      <c r="BA599">
        <v>40.799999999999997</v>
      </c>
      <c r="BB599">
        <f t="shared" si="121"/>
        <v>0.67647058823529416</v>
      </c>
    </row>
    <row r="600" spans="1:54" x14ac:dyDescent="0.3">
      <c r="A600" s="11">
        <v>44653</v>
      </c>
      <c r="B600">
        <v>0.41803278688524598</v>
      </c>
      <c r="C600">
        <v>4545.8599999999997</v>
      </c>
      <c r="D600">
        <v>132.38</v>
      </c>
      <c r="E600">
        <v>1925.3</v>
      </c>
      <c r="F600">
        <v>83.14</v>
      </c>
      <c r="G600">
        <v>52.78</v>
      </c>
      <c r="H600" s="12">
        <f t="shared" si="116"/>
        <v>123.414485507807</v>
      </c>
      <c r="I600" s="12">
        <f t="shared" si="117"/>
        <v>90.798969707395045</v>
      </c>
      <c r="J600" s="12">
        <f t="shared" si="118"/>
        <v>156.98068598809846</v>
      </c>
      <c r="K600" s="12">
        <f t="shared" si="119"/>
        <v>137.52340222598644</v>
      </c>
      <c r="P600" s="12"/>
      <c r="Q600" s="12"/>
      <c r="R600" s="12"/>
      <c r="S600" s="12"/>
      <c r="V600">
        <v>0.42016280525986199</v>
      </c>
      <c r="W600" s="12"/>
      <c r="X600" s="12"/>
      <c r="Y600" t="str">
        <v>20130405</v>
      </c>
      <c r="Z600">
        <v>50.5</v>
      </c>
      <c r="AA600">
        <v>20.6</v>
      </c>
      <c r="AB600">
        <f t="shared" si="120"/>
        <v>2.4514563106796117</v>
      </c>
      <c r="AY600" t="str">
        <v>05/05/2022</v>
      </c>
      <c r="AZ600">
        <v>27.6</v>
      </c>
      <c r="BA600">
        <v>40.799999999999997</v>
      </c>
      <c r="BB600">
        <f t="shared" si="121"/>
        <v>0.67647058823529416</v>
      </c>
    </row>
    <row r="601" spans="1:54" x14ac:dyDescent="0.3">
      <c r="A601" s="11">
        <v>44651</v>
      </c>
      <c r="B601">
        <v>0.43396226415094302</v>
      </c>
      <c r="C601">
        <v>4530.41</v>
      </c>
      <c r="D601">
        <v>132.08000000000001</v>
      </c>
      <c r="E601">
        <v>1936.9</v>
      </c>
      <c r="F601">
        <v>83.35</v>
      </c>
      <c r="G601">
        <v>52.27</v>
      </c>
      <c r="H601" s="12">
        <f t="shared" si="116"/>
        <v>123.27408413260881</v>
      </c>
      <c r="I601" s="12">
        <f t="shared" si="117"/>
        <v>89.953475511401521</v>
      </c>
      <c r="J601" s="12">
        <f t="shared" si="118"/>
        <v>156.05531177991364</v>
      </c>
      <c r="K601" s="12">
        <f t="shared" si="119"/>
        <v>138.40180295996498</v>
      </c>
      <c r="P601" s="12"/>
      <c r="Q601" s="12"/>
      <c r="R601" s="12"/>
      <c r="S601" s="12"/>
      <c r="V601">
        <v>0.43360604153555699</v>
      </c>
      <c r="W601" s="12"/>
      <c r="X601" s="12"/>
      <c r="Y601" t="str">
        <v>20130329</v>
      </c>
      <c r="Z601">
        <v>52</v>
      </c>
      <c r="AA601">
        <v>19.399999999999999</v>
      </c>
      <c r="AB601">
        <f t="shared" si="120"/>
        <v>2.6804123711340209</v>
      </c>
      <c r="AY601" t="str">
        <v>04/05/2022</v>
      </c>
      <c r="AZ601">
        <v>27.6</v>
      </c>
      <c r="BA601">
        <v>40.799999999999997</v>
      </c>
      <c r="BB601">
        <f t="shared" si="121"/>
        <v>0.67647058823529416</v>
      </c>
    </row>
    <row r="602" spans="1:54" x14ac:dyDescent="0.3">
      <c r="A602" s="11">
        <v>44651</v>
      </c>
      <c r="B602">
        <v>0.445983379501385</v>
      </c>
      <c r="C602">
        <v>4602.45</v>
      </c>
      <c r="D602">
        <v>131.76</v>
      </c>
      <c r="E602">
        <v>1932.905</v>
      </c>
      <c r="F602">
        <v>83.35</v>
      </c>
      <c r="G602">
        <v>53.08</v>
      </c>
      <c r="H602" s="12">
        <f t="shared" si="116"/>
        <v>125.54407045653845</v>
      </c>
      <c r="I602" s="12">
        <f t="shared" si="117"/>
        <v>91.576147156274928</v>
      </c>
      <c r="J602" s="12">
        <f t="shared" si="118"/>
        <v>158.53681448289748</v>
      </c>
      <c r="K602" s="12">
        <f t="shared" si="119"/>
        <v>138.45615364085893</v>
      </c>
      <c r="P602" s="12"/>
      <c r="Q602" s="12"/>
      <c r="R602" s="12"/>
      <c r="S602" s="12"/>
      <c r="V602">
        <v>0.43527918781725899</v>
      </c>
      <c r="W602" s="12"/>
      <c r="X602" s="12"/>
      <c r="Y602" t="str">
        <v>20130322</v>
      </c>
      <c r="Z602">
        <v>49.5</v>
      </c>
      <c r="AA602">
        <v>19.600000000000001</v>
      </c>
      <c r="AB602">
        <f t="shared" si="120"/>
        <v>2.5255102040816326</v>
      </c>
      <c r="AY602" t="str">
        <v>03/05/2022</v>
      </c>
      <c r="AZ602">
        <v>27.6</v>
      </c>
      <c r="BA602">
        <v>40.799999999999997</v>
      </c>
      <c r="BB602">
        <f t="shared" si="121"/>
        <v>0.67647058823529416</v>
      </c>
    </row>
    <row r="603" spans="1:54" x14ac:dyDescent="0.3">
      <c r="A603" s="11">
        <v>44650</v>
      </c>
      <c r="B603">
        <v>0.43589743589743601</v>
      </c>
      <c r="C603">
        <v>4631.6000000000004</v>
      </c>
      <c r="D603">
        <v>130.74</v>
      </c>
      <c r="E603">
        <v>1919.5350000000001</v>
      </c>
      <c r="F603">
        <v>83.29</v>
      </c>
      <c r="G603">
        <v>53.27</v>
      </c>
      <c r="H603" s="12">
        <f t="shared" si="116"/>
        <v>127.3389725265767</v>
      </c>
      <c r="I603" s="12">
        <f t="shared" si="117"/>
        <v>92.806666097095075</v>
      </c>
      <c r="J603" s="12">
        <f t="shared" si="118"/>
        <v>159.65666163254653</v>
      </c>
      <c r="K603" s="12">
        <f t="shared" si="119"/>
        <v>138.83475405673684</v>
      </c>
      <c r="P603" s="12"/>
      <c r="Q603" s="12"/>
      <c r="R603" s="12"/>
      <c r="S603" s="12"/>
      <c r="V603">
        <v>0.440590879897238</v>
      </c>
      <c r="W603" s="12"/>
      <c r="X603" s="12"/>
      <c r="Y603" t="str">
        <v>20130315</v>
      </c>
      <c r="Z603">
        <v>47.4</v>
      </c>
      <c r="AA603">
        <v>18.600000000000001</v>
      </c>
      <c r="AB603">
        <f t="shared" si="120"/>
        <v>2.5483870967741931</v>
      </c>
      <c r="AY603" t="str">
        <v>02/05/2022</v>
      </c>
      <c r="AZ603">
        <v>27.6</v>
      </c>
      <c r="BA603">
        <v>40.799999999999997</v>
      </c>
      <c r="BB603">
        <f t="shared" si="121"/>
        <v>0.67647058823529416</v>
      </c>
    </row>
    <row r="604" spans="1:54" x14ac:dyDescent="0.3">
      <c r="A604" s="11">
        <v>44649</v>
      </c>
      <c r="B604">
        <v>0.424068767908309</v>
      </c>
      <c r="C604">
        <v>4575.5200000000004</v>
      </c>
      <c r="D604">
        <v>129.76</v>
      </c>
      <c r="E604">
        <v>1922.7</v>
      </c>
      <c r="F604">
        <v>83.25</v>
      </c>
      <c r="G604">
        <v>52.28</v>
      </c>
      <c r="H604" s="12">
        <f t="shared" si="116"/>
        <v>126.7427586246869</v>
      </c>
      <c r="I604" s="12">
        <f t="shared" si="117"/>
        <v>91.534099273085062</v>
      </c>
      <c r="J604" s="12">
        <f t="shared" si="118"/>
        <v>157.79841956568541</v>
      </c>
      <c r="K604" s="12">
        <f t="shared" si="119"/>
        <v>139.76840214520757</v>
      </c>
      <c r="P604" s="12"/>
      <c r="Q604" s="12"/>
      <c r="R604" s="12"/>
      <c r="S604" s="12"/>
      <c r="V604">
        <v>0.44306282722513102</v>
      </c>
      <c r="W604" s="12"/>
      <c r="X604" s="12"/>
      <c r="Y604" t="str">
        <v>20130308</v>
      </c>
      <c r="Z604">
        <v>50</v>
      </c>
      <c r="AA604">
        <v>18.8</v>
      </c>
      <c r="AB604">
        <f t="shared" si="120"/>
        <v>2.6595744680851063</v>
      </c>
      <c r="AY604" t="str">
        <v>29/04/2022</v>
      </c>
      <c r="AZ604">
        <v>30.9</v>
      </c>
      <c r="BA604">
        <v>39.299999999999997</v>
      </c>
      <c r="BB604">
        <f t="shared" si="121"/>
        <v>0.7862595419847328</v>
      </c>
    </row>
    <row r="605" spans="1:54" x14ac:dyDescent="0.3">
      <c r="A605" s="11">
        <v>44646</v>
      </c>
      <c r="B605">
        <v>0.43059490084985802</v>
      </c>
      <c r="C605">
        <v>4543.0600000000004</v>
      </c>
      <c r="D605">
        <v>128.66</v>
      </c>
      <c r="E605">
        <v>1958.2049999999999</v>
      </c>
      <c r="F605">
        <v>83.33</v>
      </c>
      <c r="G605">
        <v>52.35</v>
      </c>
      <c r="H605" s="12">
        <f t="shared" si="116"/>
        <v>126.92104484722451</v>
      </c>
      <c r="I605" s="12">
        <f t="shared" si="117"/>
        <v>89.277488885028731</v>
      </c>
      <c r="J605" s="12">
        <f t="shared" si="118"/>
        <v>156.52974560679323</v>
      </c>
      <c r="K605" s="12">
        <f t="shared" si="119"/>
        <v>138.59284134702233</v>
      </c>
      <c r="P605" s="12"/>
      <c r="Q605" s="12"/>
      <c r="R605" s="12"/>
      <c r="S605" s="12"/>
      <c r="V605">
        <v>0.44868421052631602</v>
      </c>
      <c r="W605" s="12"/>
      <c r="X605" s="12"/>
      <c r="Y605" t="str">
        <v>20130301</v>
      </c>
      <c r="Z605">
        <v>44.2</v>
      </c>
      <c r="AA605">
        <v>21.1</v>
      </c>
      <c r="AB605">
        <f t="shared" si="120"/>
        <v>2.09478672985782</v>
      </c>
      <c r="AY605" t="str">
        <v>28/04/2022</v>
      </c>
      <c r="AZ605">
        <v>30.9</v>
      </c>
      <c r="BA605">
        <v>39.299999999999997</v>
      </c>
      <c r="BB605">
        <f t="shared" si="121"/>
        <v>0.7862595419847328</v>
      </c>
    </row>
    <row r="606" spans="1:54" x14ac:dyDescent="0.3">
      <c r="A606" s="11">
        <v>44645</v>
      </c>
      <c r="B606">
        <v>0.43465909090909099</v>
      </c>
      <c r="C606">
        <v>4520.16</v>
      </c>
      <c r="D606">
        <v>130.47</v>
      </c>
      <c r="E606">
        <v>1957.57</v>
      </c>
      <c r="F606">
        <v>83.555000000000007</v>
      </c>
      <c r="G606">
        <v>52.39</v>
      </c>
      <c r="H606" s="12">
        <f t="shared" si="116"/>
        <v>124.56195192373571</v>
      </c>
      <c r="I606" s="12">
        <f t="shared" si="117"/>
        <v>88.856149852833767</v>
      </c>
      <c r="J606" s="12">
        <f t="shared" si="118"/>
        <v>155.32457764222957</v>
      </c>
      <c r="K606" s="12">
        <f t="shared" si="119"/>
        <v>137.78956992762753</v>
      </c>
      <c r="P606" s="12"/>
      <c r="Q606" s="12"/>
      <c r="R606" s="12"/>
      <c r="S606" s="12"/>
      <c r="V606">
        <v>0.45184696569920801</v>
      </c>
      <c r="W606" s="12"/>
      <c r="X606" s="12"/>
      <c r="Y606" t="str">
        <v>20130222</v>
      </c>
      <c r="Z606">
        <v>46.3</v>
      </c>
      <c r="AA606">
        <v>21.1</v>
      </c>
      <c r="AB606">
        <f t="shared" si="120"/>
        <v>2.1943127962085307</v>
      </c>
      <c r="AY606" t="str">
        <v>27/04/2022</v>
      </c>
      <c r="AZ606">
        <v>30.9</v>
      </c>
      <c r="BA606">
        <v>39.299999999999997</v>
      </c>
      <c r="BB606">
        <f t="shared" si="121"/>
        <v>0.7862595419847328</v>
      </c>
    </row>
    <row r="607" spans="1:54" x14ac:dyDescent="0.3">
      <c r="A607" s="11">
        <v>44644</v>
      </c>
      <c r="B607">
        <v>0.46478873239436602</v>
      </c>
      <c r="C607">
        <v>4456.24</v>
      </c>
      <c r="D607">
        <v>131.5</v>
      </c>
      <c r="E607">
        <v>1944.5</v>
      </c>
      <c r="F607">
        <v>83.58</v>
      </c>
      <c r="G607">
        <v>52.05</v>
      </c>
      <c r="H607" s="12">
        <f t="shared" si="116"/>
        <v>121.85951837212041</v>
      </c>
      <c r="I607" s="12">
        <f t="shared" si="117"/>
        <v>88.183975527262191</v>
      </c>
      <c r="J607" s="12">
        <f t="shared" si="118"/>
        <v>153.08297660048905</v>
      </c>
      <c r="K607" s="12">
        <f t="shared" si="119"/>
        <v>136.72153539000823</v>
      </c>
      <c r="P607" s="12"/>
      <c r="Q607" s="12"/>
      <c r="R607" s="12"/>
      <c r="S607" s="12"/>
      <c r="V607">
        <v>0.45603674540682398</v>
      </c>
      <c r="W607" s="12"/>
      <c r="X607" s="12"/>
      <c r="Y607" t="str">
        <v>20130215</v>
      </c>
      <c r="Z607">
        <v>48.4</v>
      </c>
      <c r="AA607">
        <v>22.1</v>
      </c>
      <c r="AB607">
        <f t="shared" si="120"/>
        <v>2.190045248868778</v>
      </c>
      <c r="AY607" t="str">
        <v>26/04/2022</v>
      </c>
      <c r="AZ607">
        <v>30.9</v>
      </c>
      <c r="BA607">
        <v>39.299999999999997</v>
      </c>
      <c r="BB607">
        <f t="shared" si="121"/>
        <v>0.7862595419847328</v>
      </c>
    </row>
    <row r="608" spans="1:54" x14ac:dyDescent="0.3">
      <c r="A608" s="11">
        <v>44643</v>
      </c>
      <c r="B608">
        <v>0.472067039106145</v>
      </c>
      <c r="C608">
        <v>4511.6099999999997</v>
      </c>
      <c r="D608">
        <v>128.68</v>
      </c>
      <c r="E608">
        <v>1921.7</v>
      </c>
      <c r="F608">
        <v>83.51</v>
      </c>
      <c r="G608">
        <v>52.6</v>
      </c>
      <c r="H608" s="12">
        <f t="shared" si="116"/>
        <v>126.17307398449924</v>
      </c>
      <c r="I608" s="12">
        <f t="shared" si="117"/>
        <v>90.365143914974141</v>
      </c>
      <c r="J608" s="12">
        <f t="shared" si="118"/>
        <v>155.11671238076963</v>
      </c>
      <c r="K608" s="12">
        <f t="shared" si="119"/>
        <v>136.97034296392712</v>
      </c>
      <c r="P608" s="12"/>
      <c r="Q608" s="12"/>
      <c r="R608" s="12"/>
      <c r="S608" s="12"/>
      <c r="V608">
        <v>0.45827900912646702</v>
      </c>
      <c r="W608" s="12"/>
      <c r="X608" s="12"/>
      <c r="Y608" t="str">
        <v>20130208</v>
      </c>
      <c r="Z608">
        <v>52.6</v>
      </c>
      <c r="AA608">
        <v>21.1</v>
      </c>
      <c r="AB608">
        <f t="shared" si="120"/>
        <v>2.4928909952606633</v>
      </c>
      <c r="AY608" t="str">
        <v>25/04/2022</v>
      </c>
      <c r="AZ608">
        <v>30.9</v>
      </c>
      <c r="BA608">
        <v>39.299999999999997</v>
      </c>
      <c r="BB608">
        <f t="shared" si="121"/>
        <v>0.7862595419847328</v>
      </c>
    </row>
    <row r="609" spans="1:54" x14ac:dyDescent="0.3">
      <c r="A609" s="11">
        <v>44642</v>
      </c>
      <c r="B609">
        <v>0.48169014084507</v>
      </c>
      <c r="C609">
        <v>4461.18</v>
      </c>
      <c r="D609">
        <v>130.35</v>
      </c>
      <c r="E609">
        <v>1936.03</v>
      </c>
      <c r="F609">
        <v>83.57</v>
      </c>
      <c r="G609">
        <v>51.99</v>
      </c>
      <c r="H609" s="12">
        <f t="shared" si="116"/>
        <v>123.20195473935705</v>
      </c>
      <c r="I609" s="12">
        <f t="shared" si="117"/>
        <v>88.705819168375641</v>
      </c>
      <c r="J609" s="12">
        <f t="shared" si="118"/>
        <v>153.2740297571778</v>
      </c>
      <c r="K609" s="12">
        <f t="shared" si="119"/>
        <v>137.02910672982651</v>
      </c>
      <c r="P609" s="12"/>
      <c r="Q609" s="12"/>
      <c r="R609" s="12"/>
      <c r="S609" s="12"/>
      <c r="V609">
        <v>0.45830597504924497</v>
      </c>
      <c r="W609" s="12"/>
      <c r="X609" s="12"/>
      <c r="Y609" t="str">
        <v>20130201</v>
      </c>
      <c r="Z609">
        <v>54.7</v>
      </c>
      <c r="AA609">
        <v>21.1</v>
      </c>
      <c r="AB609">
        <f t="shared" si="120"/>
        <v>2.5924170616113744</v>
      </c>
      <c r="AY609" t="str">
        <v>22/04/2022</v>
      </c>
      <c r="AZ609">
        <v>34.200000000000003</v>
      </c>
      <c r="BA609">
        <v>32.9</v>
      </c>
      <c r="BB609">
        <f t="shared" si="121"/>
        <v>1.0395136778115504</v>
      </c>
    </row>
    <row r="610" spans="1:54" x14ac:dyDescent="0.3">
      <c r="A610" s="11">
        <v>44639</v>
      </c>
      <c r="B610">
        <v>0.48414985590778098</v>
      </c>
      <c r="C610">
        <v>4463.12</v>
      </c>
      <c r="D610">
        <v>133.44</v>
      </c>
      <c r="E610">
        <v>1921.9</v>
      </c>
      <c r="F610">
        <v>83.85</v>
      </c>
      <c r="G610">
        <v>52.39</v>
      </c>
      <c r="H610" s="12">
        <f t="shared" si="116"/>
        <v>120.46477798807113</v>
      </c>
      <c r="I610" s="12">
        <f t="shared" si="117"/>
        <v>89.401972029141433</v>
      </c>
      <c r="J610" s="12">
        <f t="shared" si="118"/>
        <v>152.83011590872002</v>
      </c>
      <c r="K610" s="12">
        <f t="shared" si="119"/>
        <v>136.04949980868568</v>
      </c>
      <c r="P610" s="12"/>
      <c r="Q610" s="12"/>
      <c r="R610" s="12"/>
      <c r="S610" s="12"/>
      <c r="V610">
        <v>0.45140247879973899</v>
      </c>
      <c r="W610" s="12"/>
      <c r="X610" s="12"/>
      <c r="Y610" t="str">
        <v>20130125</v>
      </c>
      <c r="Z610">
        <v>54.3</v>
      </c>
      <c r="AA610">
        <v>22.3</v>
      </c>
      <c r="AB610">
        <f t="shared" si="120"/>
        <v>2.434977578475336</v>
      </c>
      <c r="AY610" t="str">
        <v>21/04/2022</v>
      </c>
      <c r="AZ610">
        <v>34.200000000000003</v>
      </c>
      <c r="BA610">
        <v>32.9</v>
      </c>
      <c r="BB610">
        <f t="shared" si="121"/>
        <v>1.0395136778115504</v>
      </c>
    </row>
    <row r="611" spans="1:54" x14ac:dyDescent="0.3">
      <c r="A611" s="11">
        <v>44638</v>
      </c>
      <c r="B611">
        <v>0.50287356321839105</v>
      </c>
      <c r="C611">
        <v>4411.67</v>
      </c>
      <c r="D611">
        <v>131.83000000000001</v>
      </c>
      <c r="E611">
        <v>1942.92</v>
      </c>
      <c r="F611">
        <v>83.87</v>
      </c>
      <c r="G611">
        <v>51.82</v>
      </c>
      <c r="H611" s="12">
        <f t="shared" si="116"/>
        <v>120.53112408283553</v>
      </c>
      <c r="I611" s="12">
        <f t="shared" si="117"/>
        <v>87.436314667200165</v>
      </c>
      <c r="J611" s="12">
        <f t="shared" si="118"/>
        <v>151.03271862314097</v>
      </c>
      <c r="K611" s="12">
        <f t="shared" si="119"/>
        <v>135.95940816936869</v>
      </c>
      <c r="P611" s="12"/>
      <c r="Q611" s="12"/>
      <c r="R611" s="12"/>
      <c r="S611" s="12"/>
      <c r="V611">
        <v>0.46062210456651198</v>
      </c>
      <c r="W611" s="12"/>
      <c r="X611" s="12"/>
      <c r="Y611" t="str">
        <v>20130118</v>
      </c>
      <c r="Z611">
        <v>53.2</v>
      </c>
      <c r="AA611">
        <v>22.3</v>
      </c>
      <c r="AB611">
        <f t="shared" si="120"/>
        <v>2.3856502242152469</v>
      </c>
      <c r="AY611" t="str">
        <v>20/04/2022</v>
      </c>
      <c r="AZ611">
        <v>34.200000000000003</v>
      </c>
      <c r="BA611">
        <v>32.9</v>
      </c>
      <c r="BB611">
        <f t="shared" si="121"/>
        <v>1.0395136778115504</v>
      </c>
    </row>
    <row r="612" spans="1:54" x14ac:dyDescent="0.3">
      <c r="A612" s="11">
        <v>44637</v>
      </c>
      <c r="B612">
        <v>0.48611111111111099</v>
      </c>
      <c r="C612">
        <v>4357.8599999999997</v>
      </c>
      <c r="D612">
        <v>132.82</v>
      </c>
      <c r="E612">
        <v>1927.22</v>
      </c>
      <c r="F612">
        <v>83.9</v>
      </c>
      <c r="G612">
        <v>51.51</v>
      </c>
      <c r="H612" s="12">
        <f t="shared" si="116"/>
        <v>118.19076950482359</v>
      </c>
      <c r="I612" s="12">
        <f t="shared" si="117"/>
        <v>87.070500632003515</v>
      </c>
      <c r="J612" s="12">
        <f t="shared" si="118"/>
        <v>149.1378665092148</v>
      </c>
      <c r="K612" s="12">
        <f t="shared" si="119"/>
        <v>135.10425835499095</v>
      </c>
      <c r="P612" s="12"/>
      <c r="Q612" s="12"/>
      <c r="R612" s="12"/>
      <c r="S612" s="12"/>
      <c r="V612">
        <v>0.45940594059405898</v>
      </c>
      <c r="W612" s="12"/>
      <c r="X612" s="12"/>
      <c r="Y612" t="str">
        <v>20130111</v>
      </c>
      <c r="Z612">
        <v>53.2</v>
      </c>
      <c r="AA612">
        <v>22.3</v>
      </c>
      <c r="AB612">
        <f t="shared" si="120"/>
        <v>2.3856502242152469</v>
      </c>
      <c r="AY612" t="str">
        <v>19/04/2022</v>
      </c>
      <c r="AZ612">
        <v>34.200000000000003</v>
      </c>
      <c r="BA612">
        <v>32.9</v>
      </c>
      <c r="BB612">
        <f t="shared" si="121"/>
        <v>1.0395136778115504</v>
      </c>
    </row>
    <row r="613" spans="1:54" x14ac:dyDescent="0.3">
      <c r="A613" s="11">
        <v>44636</v>
      </c>
      <c r="B613">
        <v>0.50276243093922701</v>
      </c>
      <c r="C613">
        <v>4262.45</v>
      </c>
      <c r="D613">
        <v>131.53</v>
      </c>
      <c r="E613">
        <v>1918.06</v>
      </c>
      <c r="F613">
        <v>83.98</v>
      </c>
      <c r="G613">
        <v>49.28</v>
      </c>
      <c r="H613" s="12">
        <f t="shared" si="116"/>
        <v>116.72284066910932</v>
      </c>
      <c r="I613" s="12">
        <f t="shared" si="117"/>
        <v>85.563876363629561</v>
      </c>
      <c r="J613" s="12">
        <f t="shared" si="118"/>
        <v>145.73688525837511</v>
      </c>
      <c r="K613" s="12">
        <f t="shared" si="119"/>
        <v>138.26609748187118</v>
      </c>
      <c r="P613" s="12"/>
      <c r="Q613" s="12"/>
      <c r="R613" s="12"/>
      <c r="S613" s="12"/>
      <c r="V613">
        <v>0.45484508899143</v>
      </c>
      <c r="W613" s="12"/>
      <c r="X613" s="12"/>
      <c r="Y613" t="str">
        <v>20130104</v>
      </c>
      <c r="Z613">
        <v>51.1</v>
      </c>
      <c r="AA613">
        <v>23.4</v>
      </c>
      <c r="AB613">
        <f t="shared" si="120"/>
        <v>2.183760683760684</v>
      </c>
      <c r="AY613" t="str">
        <v>18/04/2022</v>
      </c>
      <c r="AZ613">
        <v>34.200000000000003</v>
      </c>
      <c r="BA613">
        <v>32.9</v>
      </c>
      <c r="BB613">
        <f t="shared" si="121"/>
        <v>1.0395136778115504</v>
      </c>
    </row>
    <row r="614" spans="1:54" x14ac:dyDescent="0.3">
      <c r="A614" s="11">
        <v>44635</v>
      </c>
      <c r="B614">
        <v>0.50819672131147497</v>
      </c>
      <c r="C614">
        <v>4173.1099999999997</v>
      </c>
      <c r="D614">
        <v>131.76</v>
      </c>
      <c r="E614">
        <v>1950.4</v>
      </c>
      <c r="F614">
        <v>83.95</v>
      </c>
      <c r="G614">
        <v>48.85</v>
      </c>
      <c r="H614" s="12">
        <f t="shared" si="116"/>
        <v>114.08138968126528</v>
      </c>
      <c r="I614" s="12">
        <f t="shared" si="117"/>
        <v>82.432297452410836</v>
      </c>
      <c r="J614" s="12">
        <f t="shared" si="118"/>
        <v>142.73220976556379</v>
      </c>
      <c r="K614" s="12">
        <f t="shared" si="119"/>
        <v>136.54480851815936</v>
      </c>
      <c r="P614" s="12"/>
      <c r="Q614" s="12"/>
      <c r="R614" s="12"/>
      <c r="S614" s="12"/>
      <c r="V614">
        <v>0.46006600660065999</v>
      </c>
      <c r="W614" s="12"/>
      <c r="X614" s="12"/>
      <c r="Y614" t="str">
        <v>20121228</v>
      </c>
      <c r="Z614">
        <v>47.8</v>
      </c>
      <c r="AA614">
        <v>24.5</v>
      </c>
      <c r="AB614">
        <f t="shared" si="120"/>
        <v>1.9510204081632652</v>
      </c>
      <c r="AY614" t="str">
        <v>15/04/2022</v>
      </c>
      <c r="AZ614">
        <v>32.1</v>
      </c>
      <c r="BA614">
        <v>33.299999999999997</v>
      </c>
      <c r="BB614">
        <f t="shared" si="121"/>
        <v>0.96396396396396411</v>
      </c>
    </row>
    <row r="615" spans="1:54" x14ac:dyDescent="0.3">
      <c r="A615" s="11">
        <v>44632</v>
      </c>
      <c r="B615">
        <v>0.51780821917808195</v>
      </c>
      <c r="C615">
        <v>4204.3100000000004</v>
      </c>
      <c r="D615">
        <v>134.91</v>
      </c>
      <c r="E615">
        <v>1988.4</v>
      </c>
      <c r="F615">
        <v>84.17</v>
      </c>
      <c r="G615">
        <v>48.97</v>
      </c>
      <c r="H615" s="12">
        <f t="shared" si="116"/>
        <v>112.29279640375655</v>
      </c>
      <c r="I615" s="12">
        <f t="shared" si="117"/>
        <v>81.479807725675684</v>
      </c>
      <c r="J615" s="12">
        <f t="shared" si="118"/>
        <v>143.42166614708967</v>
      </c>
      <c r="K615" s="12">
        <f t="shared" si="119"/>
        <v>137.22689152036389</v>
      </c>
      <c r="P615" s="12"/>
      <c r="Q615" s="12"/>
      <c r="R615" s="12"/>
      <c r="S615" s="12"/>
      <c r="V615">
        <v>0.46754098360655699</v>
      </c>
      <c r="W615" s="12"/>
      <c r="X615" s="12"/>
      <c r="Y615" t="str">
        <v>20121221</v>
      </c>
      <c r="Z615">
        <v>48.9</v>
      </c>
      <c r="AA615">
        <v>24.5</v>
      </c>
      <c r="AB615">
        <f t="shared" si="120"/>
        <v>1.9959183673469387</v>
      </c>
      <c r="AY615" t="str">
        <v>14/04/2022</v>
      </c>
      <c r="AZ615">
        <v>32.1</v>
      </c>
      <c r="BA615">
        <v>33.299999999999997</v>
      </c>
      <c r="BB615">
        <f t="shared" si="121"/>
        <v>0.96396396396396411</v>
      </c>
    </row>
    <row r="616" spans="1:54" x14ac:dyDescent="0.3">
      <c r="A616" s="11">
        <v>44631</v>
      </c>
      <c r="B616">
        <v>0.53989361702127703</v>
      </c>
      <c r="C616">
        <v>4259.5200000000004</v>
      </c>
      <c r="D616">
        <v>134.46</v>
      </c>
      <c r="E616">
        <v>1996.7</v>
      </c>
      <c r="F616">
        <v>84.2</v>
      </c>
      <c r="G616">
        <v>49.62</v>
      </c>
      <c r="H616" s="12">
        <f t="shared" si="116"/>
        <v>114.15445865869334</v>
      </c>
      <c r="I616" s="12">
        <f t="shared" si="117"/>
        <v>82.203585265950608</v>
      </c>
      <c r="J616" s="12">
        <f t="shared" si="118"/>
        <v>145.25261307394499</v>
      </c>
      <c r="K616" s="12">
        <f t="shared" si="119"/>
        <v>137.20795650996376</v>
      </c>
      <c r="P616" s="12"/>
      <c r="Q616" s="12"/>
      <c r="R616" s="12"/>
      <c r="S616" s="12"/>
      <c r="V616">
        <v>0.47874427730542801</v>
      </c>
      <c r="W616" s="12"/>
      <c r="X616" s="12"/>
      <c r="Y616" t="str">
        <v>20121214</v>
      </c>
      <c r="Z616">
        <v>46.8</v>
      </c>
      <c r="AA616">
        <v>24.5</v>
      </c>
      <c r="AB616">
        <f t="shared" si="120"/>
        <v>1.9102040816326529</v>
      </c>
      <c r="AY616" t="str">
        <v>13/04/2022</v>
      </c>
      <c r="AZ616">
        <v>32.1</v>
      </c>
      <c r="BA616">
        <v>33.299999999999997</v>
      </c>
      <c r="BB616">
        <f t="shared" si="121"/>
        <v>0.96396396396396411</v>
      </c>
    </row>
    <row r="617" spans="1:54" x14ac:dyDescent="0.3">
      <c r="A617" s="11">
        <v>44630</v>
      </c>
      <c r="B617">
        <v>0.54353562005277001</v>
      </c>
      <c r="C617">
        <v>4277.88</v>
      </c>
      <c r="D617">
        <v>136.41999999999999</v>
      </c>
      <c r="E617">
        <v>1991.7</v>
      </c>
      <c r="F617">
        <v>84.27</v>
      </c>
      <c r="G617">
        <v>50.32</v>
      </c>
      <c r="H617" s="12">
        <f t="shared" si="116"/>
        <v>113.01576276737937</v>
      </c>
      <c r="I617" s="12">
        <f t="shared" si="117"/>
        <v>82.766585407863587</v>
      </c>
      <c r="J617" s="12">
        <f t="shared" si="118"/>
        <v>145.75710496381569</v>
      </c>
      <c r="K617" s="12">
        <f t="shared" si="119"/>
        <v>135.90071068149268</v>
      </c>
      <c r="P617" s="12"/>
      <c r="Q617" s="12"/>
      <c r="R617" s="12"/>
      <c r="S617" s="12"/>
      <c r="V617">
        <v>0.48504551365409598</v>
      </c>
      <c r="W617" s="12"/>
      <c r="X617" s="12"/>
      <c r="Y617" t="str">
        <v>20121207</v>
      </c>
      <c r="Z617">
        <v>45.7</v>
      </c>
      <c r="AA617">
        <v>23.4</v>
      </c>
      <c r="AB617">
        <f t="shared" si="120"/>
        <v>1.9529914529914532</v>
      </c>
      <c r="AY617" t="str">
        <v>12/04/2022</v>
      </c>
      <c r="AZ617">
        <v>32.1</v>
      </c>
      <c r="BA617">
        <v>33.299999999999997</v>
      </c>
      <c r="BB617">
        <f t="shared" si="121"/>
        <v>0.96396396396396411</v>
      </c>
    </row>
    <row r="618" spans="1:54" x14ac:dyDescent="0.3">
      <c r="A618" s="11">
        <v>44629</v>
      </c>
      <c r="B618">
        <v>0.541333333333333</v>
      </c>
      <c r="C618">
        <v>4170.7</v>
      </c>
      <c r="D618">
        <v>137.77000000000001</v>
      </c>
      <c r="E618">
        <v>2049.8000000000002</v>
      </c>
      <c r="F618">
        <v>84.32</v>
      </c>
      <c r="G618">
        <v>48.58</v>
      </c>
      <c r="H618" s="12">
        <f t="shared" si="116"/>
        <v>109.14153679141226</v>
      </c>
      <c r="I618" s="12">
        <f t="shared" si="117"/>
        <v>78.523001935439268</v>
      </c>
      <c r="J618" s="12">
        <f t="shared" si="118"/>
        <v>142.02313175266761</v>
      </c>
      <c r="K618" s="12">
        <f t="shared" si="119"/>
        <v>137.28993167130403</v>
      </c>
      <c r="P618" s="12"/>
      <c r="Q618" s="12"/>
      <c r="R618" s="12"/>
      <c r="S618" s="12"/>
      <c r="V618">
        <v>0.48246753246753199</v>
      </c>
      <c r="W618" s="12"/>
      <c r="X618" s="12"/>
      <c r="Y618" t="str">
        <v>20121130</v>
      </c>
      <c r="Z618">
        <v>43.6</v>
      </c>
      <c r="AA618">
        <v>25.5</v>
      </c>
      <c r="AB618">
        <f t="shared" si="120"/>
        <v>1.7098039215686276</v>
      </c>
      <c r="AY618" t="str">
        <v>11/04/2022</v>
      </c>
      <c r="AZ618">
        <v>32.1</v>
      </c>
      <c r="BA618">
        <v>33.299999999999997</v>
      </c>
      <c r="BB618">
        <f t="shared" si="121"/>
        <v>0.96396396396396411</v>
      </c>
    </row>
    <row r="619" spans="1:54" x14ac:dyDescent="0.3">
      <c r="A619" s="11">
        <v>44628</v>
      </c>
      <c r="B619">
        <v>0.54210526315789498</v>
      </c>
      <c r="C619">
        <v>4201.09</v>
      </c>
      <c r="D619">
        <v>139.16999999999999</v>
      </c>
      <c r="E619">
        <v>1998.11</v>
      </c>
      <c r="F619">
        <v>84.43</v>
      </c>
      <c r="G619">
        <v>48.26</v>
      </c>
      <c r="H619" s="12">
        <f t="shared" si="116"/>
        <v>108.83399343620796</v>
      </c>
      <c r="I619" s="12">
        <f t="shared" si="117"/>
        <v>81.211364771762049</v>
      </c>
      <c r="J619" s="12">
        <f t="shared" si="118"/>
        <v>142.87049415285003</v>
      </c>
      <c r="K619" s="12">
        <f t="shared" si="119"/>
        <v>139.22016172070263</v>
      </c>
      <c r="P619" s="12"/>
      <c r="Q619" s="12"/>
      <c r="R619" s="12"/>
      <c r="S619" s="12"/>
      <c r="V619">
        <v>0.483116883116883</v>
      </c>
      <c r="W619" s="12"/>
      <c r="X619" s="12"/>
      <c r="Y619" t="str">
        <v>20121123</v>
      </c>
      <c r="Z619">
        <v>39.299999999999997</v>
      </c>
      <c r="AA619">
        <v>27.7</v>
      </c>
      <c r="AB619">
        <f t="shared" si="120"/>
        <v>1.4187725631768953</v>
      </c>
      <c r="AY619" t="str">
        <v>08/04/2022</v>
      </c>
      <c r="AZ619">
        <v>35.799999999999997</v>
      </c>
      <c r="BA619">
        <v>32.1</v>
      </c>
      <c r="BB619">
        <f t="shared" si="121"/>
        <v>1.1152647975077881</v>
      </c>
    </row>
    <row r="620" spans="1:54" x14ac:dyDescent="0.3">
      <c r="A620" s="11">
        <v>44625</v>
      </c>
      <c r="B620">
        <v>0.54188481675392697</v>
      </c>
      <c r="C620">
        <v>4328.87</v>
      </c>
      <c r="D620">
        <v>140.24</v>
      </c>
      <c r="E620">
        <v>1974.5</v>
      </c>
      <c r="F620">
        <v>84.54</v>
      </c>
      <c r="G620">
        <v>49.86</v>
      </c>
      <c r="H620" s="12">
        <f t="shared" si="116"/>
        <v>111.26949558628627</v>
      </c>
      <c r="I620" s="12">
        <f t="shared" si="117"/>
        <v>84.725397532533819</v>
      </c>
      <c r="J620" s="12">
        <f t="shared" si="118"/>
        <v>147.0189176505958</v>
      </c>
      <c r="K620" s="12">
        <f t="shared" si="119"/>
        <v>138.86303991490286</v>
      </c>
      <c r="P620" s="12"/>
      <c r="Q620" s="12"/>
      <c r="R620" s="12"/>
      <c r="S620" s="12"/>
      <c r="V620">
        <v>0.49156939040207498</v>
      </c>
      <c r="W620" s="12"/>
      <c r="X620" s="12"/>
      <c r="Y620" t="str">
        <v>20121116</v>
      </c>
      <c r="Z620">
        <v>37.200000000000003</v>
      </c>
      <c r="AA620">
        <v>27.7</v>
      </c>
      <c r="AB620">
        <f t="shared" si="120"/>
        <v>1.3429602888086645</v>
      </c>
      <c r="AY620" t="str">
        <v>07/04/2022</v>
      </c>
      <c r="AZ620">
        <v>35.799999999999997</v>
      </c>
      <c r="BA620">
        <v>32.1</v>
      </c>
      <c r="BB620">
        <f t="shared" si="121"/>
        <v>1.1152647975077881</v>
      </c>
    </row>
    <row r="621" spans="1:54" x14ac:dyDescent="0.3">
      <c r="A621" s="11">
        <v>44624</v>
      </c>
      <c r="B621">
        <v>0.56632653061224503</v>
      </c>
      <c r="C621">
        <v>4363.49</v>
      </c>
      <c r="D621">
        <v>137.86000000000001</v>
      </c>
      <c r="E621">
        <v>1935.94</v>
      </c>
      <c r="F621">
        <v>84.45</v>
      </c>
      <c r="G621">
        <v>51.08</v>
      </c>
      <c r="H621" s="12">
        <f t="shared" si="116"/>
        <v>114.1457290541731</v>
      </c>
      <c r="I621" s="12">
        <f t="shared" si="117"/>
        <v>87.152775662839019</v>
      </c>
      <c r="J621" s="12">
        <f t="shared" si="118"/>
        <v>148.3540649930184</v>
      </c>
      <c r="K621" s="12">
        <f t="shared" si="119"/>
        <v>136.68293517368696</v>
      </c>
      <c r="P621" s="12"/>
      <c r="Q621" s="12"/>
      <c r="R621" s="12"/>
      <c r="S621" s="12"/>
      <c r="V621">
        <v>0.49903412749517101</v>
      </c>
      <c r="W621" s="12"/>
      <c r="X621" s="12"/>
      <c r="Y621" t="str">
        <v>20121109</v>
      </c>
      <c r="Z621">
        <v>38.299999999999997</v>
      </c>
      <c r="AA621">
        <v>28.7</v>
      </c>
      <c r="AB621">
        <f t="shared" si="120"/>
        <v>1.3344947735191637</v>
      </c>
      <c r="AY621" t="str">
        <v>06/04/2022</v>
      </c>
      <c r="AZ621">
        <v>35.799999999999997</v>
      </c>
      <c r="BA621">
        <v>32.1</v>
      </c>
      <c r="BB621">
        <f t="shared" si="121"/>
        <v>1.1152647975077881</v>
      </c>
    </row>
    <row r="622" spans="1:54" x14ac:dyDescent="0.3">
      <c r="A622" s="11">
        <v>44623</v>
      </c>
      <c r="B622">
        <v>0.57920792079207895</v>
      </c>
      <c r="C622">
        <v>4386.54</v>
      </c>
      <c r="D622">
        <v>136.47</v>
      </c>
      <c r="E622">
        <v>1928.7950000000001</v>
      </c>
      <c r="F622">
        <v>84.45</v>
      </c>
      <c r="G622">
        <v>51.93</v>
      </c>
      <c r="H622" s="12">
        <f t="shared" si="116"/>
        <v>115.93578920200864</v>
      </c>
      <c r="I622" s="12">
        <f t="shared" si="117"/>
        <v>87.940644371731167</v>
      </c>
      <c r="J622" s="12">
        <f t="shared" si="118"/>
        <v>149.13774072003716</v>
      </c>
      <c r="K622" s="12">
        <f t="shared" si="119"/>
        <v>135.1806085969022</v>
      </c>
      <c r="P622" s="12"/>
      <c r="Q622" s="12"/>
      <c r="R622" s="12"/>
      <c r="S622" s="12"/>
      <c r="V622">
        <v>0.50257400257400298</v>
      </c>
      <c r="W622" s="12"/>
      <c r="X622" s="12"/>
      <c r="Y622" t="str">
        <v>20121102</v>
      </c>
      <c r="Z622">
        <v>43.6</v>
      </c>
      <c r="AA622">
        <v>27.7</v>
      </c>
      <c r="AB622">
        <f t="shared" si="120"/>
        <v>1.5740072202166067</v>
      </c>
      <c r="AY622" t="str">
        <v>05/04/2022</v>
      </c>
      <c r="AZ622">
        <v>35.799999999999997</v>
      </c>
      <c r="BA622">
        <v>32.1</v>
      </c>
      <c r="BB622">
        <f t="shared" si="121"/>
        <v>1.1152647975077881</v>
      </c>
    </row>
    <row r="623" spans="1:54" x14ac:dyDescent="0.3">
      <c r="A623" s="11">
        <v>44622</v>
      </c>
      <c r="B623">
        <v>0.57971014492753603</v>
      </c>
      <c r="C623">
        <v>4306.26</v>
      </c>
      <c r="D623">
        <v>141.30000000000001</v>
      </c>
      <c r="E623">
        <v>1945.21</v>
      </c>
      <c r="F623">
        <v>84.73</v>
      </c>
      <c r="G623">
        <v>51.38</v>
      </c>
      <c r="H623" s="12">
        <f t="shared" si="116"/>
        <v>110.11874267190272</v>
      </c>
      <c r="I623" s="12">
        <f t="shared" si="117"/>
        <v>85.621891820330205</v>
      </c>
      <c r="J623" s="12">
        <f t="shared" si="118"/>
        <v>145.93487276532719</v>
      </c>
      <c r="K623" s="12">
        <f t="shared" si="119"/>
        <v>134.11598611619519</v>
      </c>
      <c r="P623" s="12"/>
      <c r="Q623" s="12"/>
      <c r="R623" s="12"/>
      <c r="S623" s="12"/>
      <c r="V623">
        <v>0.50518806744487699</v>
      </c>
      <c r="W623" s="12"/>
      <c r="X623" s="12"/>
      <c r="Y623" t="str">
        <v>20121026</v>
      </c>
      <c r="Z623">
        <v>41.5</v>
      </c>
      <c r="AA623">
        <v>27.7</v>
      </c>
      <c r="AB623">
        <f t="shared" si="120"/>
        <v>1.4981949458483754</v>
      </c>
      <c r="AY623" t="str">
        <v>04/04/2022</v>
      </c>
      <c r="AZ623">
        <v>35.799999999999997</v>
      </c>
      <c r="BA623">
        <v>32.1</v>
      </c>
      <c r="BB623">
        <f t="shared" si="121"/>
        <v>1.1152647975077881</v>
      </c>
    </row>
    <row r="624" spans="1:54" x14ac:dyDescent="0.3">
      <c r="A624" s="11">
        <v>44620</v>
      </c>
      <c r="B624">
        <v>0.75454545454545496</v>
      </c>
      <c r="C624">
        <v>4373.9399999999996</v>
      </c>
      <c r="D624">
        <v>139.87</v>
      </c>
      <c r="E624">
        <v>1909.02</v>
      </c>
      <c r="F624">
        <v>84.56</v>
      </c>
      <c r="G624">
        <v>52.37</v>
      </c>
      <c r="H624" s="12">
        <f t="shared" si="116"/>
        <v>113.02312533263076</v>
      </c>
      <c r="I624" s="12">
        <f t="shared" si="117"/>
        <v>88.675047674044194</v>
      </c>
      <c r="J624" s="12">
        <f t="shared" si="118"/>
        <v>148.53178316743555</v>
      </c>
      <c r="K624" s="12">
        <f t="shared" si="119"/>
        <v>133.65747556839671</v>
      </c>
      <c r="P624" s="12"/>
      <c r="Q624" s="12"/>
      <c r="R624" s="12"/>
      <c r="S624" s="12"/>
      <c r="V624">
        <v>0.540428472702142</v>
      </c>
      <c r="W624" s="12"/>
      <c r="X624" s="12"/>
      <c r="Y624" t="str">
        <v>20121019</v>
      </c>
      <c r="Z624">
        <v>41.5</v>
      </c>
      <c r="AA624">
        <v>27.7</v>
      </c>
      <c r="AB624">
        <f t="shared" si="120"/>
        <v>1.4981949458483754</v>
      </c>
      <c r="AY624" t="str">
        <v>01/04/2022</v>
      </c>
      <c r="AZ624">
        <v>39.1</v>
      </c>
      <c r="BA624">
        <v>31</v>
      </c>
      <c r="BB624">
        <f t="shared" si="121"/>
        <v>1.2612903225806451</v>
      </c>
    </row>
    <row r="625" spans="1:54" x14ac:dyDescent="0.3">
      <c r="A625" s="11">
        <v>44618</v>
      </c>
      <c r="B625">
        <v>0.75311720698254403</v>
      </c>
      <c r="C625">
        <v>4384.6499999999996</v>
      </c>
      <c r="D625">
        <v>136.87</v>
      </c>
      <c r="E625">
        <v>1889.2</v>
      </c>
      <c r="F625">
        <v>84.41</v>
      </c>
      <c r="G625">
        <v>53.24</v>
      </c>
      <c r="H625" s="12">
        <f t="shared" si="116"/>
        <v>115.845257269257</v>
      </c>
      <c r="I625" s="12">
        <f t="shared" si="117"/>
        <v>89.836983543277839</v>
      </c>
      <c r="J625" s="12">
        <f t="shared" si="118"/>
        <v>149.16119162674983</v>
      </c>
      <c r="K625" s="12">
        <f t="shared" si="119"/>
        <v>131.82530361301858</v>
      </c>
      <c r="P625" s="12"/>
      <c r="Q625" s="12"/>
      <c r="R625" s="12"/>
      <c r="S625" s="12"/>
      <c r="V625">
        <v>0.53199741435035597</v>
      </c>
      <c r="W625" s="12"/>
      <c r="X625" s="12"/>
      <c r="Y625" t="str">
        <v>20121012</v>
      </c>
      <c r="Z625">
        <v>42.6</v>
      </c>
      <c r="AA625">
        <v>26.6</v>
      </c>
      <c r="AB625">
        <f t="shared" si="120"/>
        <v>1.6015037593984962</v>
      </c>
      <c r="AY625" t="str">
        <v>31/03/2022</v>
      </c>
      <c r="AZ625">
        <v>39.1</v>
      </c>
      <c r="BA625">
        <v>31</v>
      </c>
      <c r="BB625">
        <f t="shared" si="121"/>
        <v>1.2612903225806451</v>
      </c>
    </row>
    <row r="626" spans="1:54" x14ac:dyDescent="0.3">
      <c r="A626" s="11">
        <v>44617</v>
      </c>
      <c r="B626">
        <v>0.75615763546797998</v>
      </c>
      <c r="C626">
        <v>4288.7</v>
      </c>
      <c r="D626">
        <v>136.77000000000001</v>
      </c>
      <c r="E626">
        <v>1903.91</v>
      </c>
      <c r="F626">
        <v>84.41</v>
      </c>
      <c r="G626">
        <v>52</v>
      </c>
      <c r="H626" s="12">
        <f t="shared" si="116"/>
        <v>113.39128919618084</v>
      </c>
      <c r="I626" s="12">
        <f t="shared" si="117"/>
        <v>87.211993879309901</v>
      </c>
      <c r="J626" s="12">
        <f t="shared" si="118"/>
        <v>145.89707331933951</v>
      </c>
      <c r="K626" s="12">
        <f t="shared" si="119"/>
        <v>132.01982252516831</v>
      </c>
      <c r="P626" s="12"/>
      <c r="Q626" s="12"/>
      <c r="R626" s="12"/>
      <c r="S626" s="12"/>
      <c r="V626">
        <v>0.529754204398448</v>
      </c>
      <c r="W626" s="12"/>
      <c r="X626" s="12"/>
      <c r="Y626" t="str">
        <v>20121005</v>
      </c>
      <c r="Z626">
        <v>45.7</v>
      </c>
      <c r="AA626">
        <v>25.5</v>
      </c>
      <c r="AB626">
        <f t="shared" si="120"/>
        <v>1.7921568627450981</v>
      </c>
      <c r="AY626" t="str">
        <v>30/03/2022</v>
      </c>
      <c r="AZ626">
        <v>39.1</v>
      </c>
      <c r="BA626">
        <v>31</v>
      </c>
      <c r="BB626">
        <f t="shared" si="121"/>
        <v>1.2612903225806451</v>
      </c>
    </row>
    <row r="627" spans="1:54" x14ac:dyDescent="0.3">
      <c r="A627" s="11">
        <v>44616</v>
      </c>
      <c r="B627">
        <v>0.75318066157760799</v>
      </c>
      <c r="C627">
        <v>4225.5</v>
      </c>
      <c r="D627">
        <v>136.68</v>
      </c>
      <c r="E627">
        <v>1908.61</v>
      </c>
      <c r="F627">
        <v>84.34</v>
      </c>
      <c r="G627">
        <v>52.75</v>
      </c>
      <c r="H627" s="12">
        <f t="shared" si="116"/>
        <v>111.79283747577705</v>
      </c>
      <c r="I627" s="12">
        <f t="shared" si="117"/>
        <v>85.7188288891941</v>
      </c>
      <c r="J627" s="12">
        <f t="shared" si="118"/>
        <v>143.86472002346935</v>
      </c>
      <c r="K627" s="12">
        <f t="shared" si="119"/>
        <v>128.27735390176684</v>
      </c>
      <c r="P627" s="12"/>
      <c r="Q627" s="12"/>
      <c r="R627" s="12"/>
      <c r="S627" s="12"/>
      <c r="V627">
        <v>0.53203883495145599</v>
      </c>
      <c r="W627" s="12"/>
      <c r="X627" s="12"/>
      <c r="Y627" t="str">
        <v>20120928</v>
      </c>
      <c r="Z627">
        <v>46.8</v>
      </c>
      <c r="AA627">
        <v>25.5</v>
      </c>
      <c r="AB627">
        <f t="shared" si="120"/>
        <v>1.8352941176470587</v>
      </c>
      <c r="AY627" t="str">
        <v>29/03/2022</v>
      </c>
      <c r="AZ627">
        <v>39.1</v>
      </c>
      <c r="BA627">
        <v>31</v>
      </c>
      <c r="BB627">
        <f t="shared" si="121"/>
        <v>1.2612903225806451</v>
      </c>
    </row>
    <row r="628" spans="1:54" x14ac:dyDescent="0.3">
      <c r="A628" s="11">
        <v>44615</v>
      </c>
      <c r="B628">
        <v>0.74805194805194797</v>
      </c>
      <c r="C628">
        <v>4304.76</v>
      </c>
      <c r="D628">
        <v>138.59</v>
      </c>
      <c r="E628">
        <v>1898.5</v>
      </c>
      <c r="F628">
        <v>84.39</v>
      </c>
      <c r="G628">
        <v>53.25</v>
      </c>
      <c r="H628" s="12">
        <f t="shared" si="116"/>
        <v>112.3129044193247</v>
      </c>
      <c r="I628" s="12">
        <f t="shared" si="117"/>
        <v>87.803047861161801</v>
      </c>
      <c r="J628" s="12">
        <f t="shared" si="118"/>
        <v>146.47485641506762</v>
      </c>
      <c r="K628" s="12">
        <f t="shared" si="119"/>
        <v>129.44527452899075</v>
      </c>
      <c r="P628" s="12"/>
      <c r="Q628" s="12"/>
      <c r="R628" s="12"/>
      <c r="S628" s="12"/>
      <c r="V628">
        <v>0.52910398953564397</v>
      </c>
      <c r="W628" s="12"/>
      <c r="X628" s="12"/>
      <c r="Y628" t="str">
        <v>20120921</v>
      </c>
      <c r="Z628">
        <v>51</v>
      </c>
      <c r="AA628">
        <v>24.5</v>
      </c>
      <c r="AB628">
        <f t="shared" si="120"/>
        <v>2.0816326530612246</v>
      </c>
      <c r="AY628" t="str">
        <v>28/03/2022</v>
      </c>
      <c r="AZ628">
        <v>39.1</v>
      </c>
      <c r="BA628">
        <v>31</v>
      </c>
      <c r="BB628">
        <f t="shared" si="121"/>
        <v>1.2612903225806451</v>
      </c>
    </row>
    <row r="629" spans="1:54" x14ac:dyDescent="0.3">
      <c r="A629" s="11">
        <v>44611</v>
      </c>
      <c r="B629">
        <v>0.74879227053140096</v>
      </c>
      <c r="C629">
        <v>4348.87</v>
      </c>
      <c r="D629">
        <v>138.22999999999999</v>
      </c>
      <c r="E629">
        <v>1898.2</v>
      </c>
      <c r="F629">
        <v>84.47</v>
      </c>
      <c r="G629">
        <v>53.92</v>
      </c>
      <c r="H629" s="12">
        <f t="shared" si="116"/>
        <v>113.76306723781668</v>
      </c>
      <c r="I629" s="12">
        <f t="shared" si="117"/>
        <v>88.716912720168708</v>
      </c>
      <c r="J629" s="12">
        <f t="shared" si="118"/>
        <v>147.83430862143419</v>
      </c>
      <c r="K629" s="12">
        <f t="shared" si="119"/>
        <v>129.15043038275269</v>
      </c>
      <c r="P629" s="12"/>
      <c r="Q629" s="12"/>
      <c r="R629" s="12"/>
      <c r="S629" s="12"/>
      <c r="V629">
        <v>0.52872821174951601</v>
      </c>
      <c r="W629" s="12"/>
      <c r="X629" s="12"/>
      <c r="Y629" t="str">
        <v>20120914</v>
      </c>
      <c r="Z629">
        <v>54.2</v>
      </c>
      <c r="AA629">
        <v>24.5</v>
      </c>
      <c r="AB629">
        <f t="shared" si="120"/>
        <v>2.212244897959184</v>
      </c>
      <c r="AY629" t="str">
        <v>25/03/2022</v>
      </c>
      <c r="AZ629">
        <v>37.700000000000003</v>
      </c>
      <c r="BA629">
        <v>34.1</v>
      </c>
      <c r="BB629">
        <f t="shared" si="121"/>
        <v>1.1055718475073315</v>
      </c>
    </row>
    <row r="630" spans="1:54" x14ac:dyDescent="0.3">
      <c r="A630" s="11">
        <v>44610</v>
      </c>
      <c r="B630">
        <v>0.74278846153846201</v>
      </c>
      <c r="C630">
        <v>4380.26</v>
      </c>
      <c r="D630">
        <v>136.79</v>
      </c>
      <c r="E630">
        <v>1898.2</v>
      </c>
      <c r="F630">
        <v>84.46</v>
      </c>
      <c r="G630">
        <v>54.26</v>
      </c>
      <c r="H630" s="12">
        <f t="shared" si="116"/>
        <v>115.81216978044523</v>
      </c>
      <c r="I630" s="12">
        <f t="shared" si="117"/>
        <v>89.357268465520065</v>
      </c>
      <c r="J630" s="12">
        <f t="shared" si="118"/>
        <v>148.91913095634584</v>
      </c>
      <c r="K630" s="12">
        <f t="shared" si="119"/>
        <v>129.26678538289374</v>
      </c>
      <c r="P630" s="12"/>
      <c r="Q630" s="12"/>
      <c r="R630" s="12"/>
      <c r="S630" s="12"/>
      <c r="V630">
        <v>0.52815533980582496</v>
      </c>
      <c r="W630" s="12"/>
      <c r="X630" s="12"/>
      <c r="Y630" t="str">
        <v>20120907</v>
      </c>
      <c r="Z630">
        <v>51.1</v>
      </c>
      <c r="AA630">
        <v>25.5</v>
      </c>
      <c r="AB630">
        <f t="shared" si="120"/>
        <v>2.003921568627451</v>
      </c>
      <c r="AY630" t="str">
        <v>24/03/2022</v>
      </c>
      <c r="AZ630">
        <v>37.700000000000003</v>
      </c>
      <c r="BA630">
        <v>34.1</v>
      </c>
      <c r="BB630">
        <f t="shared" si="121"/>
        <v>1.1055718475073315</v>
      </c>
    </row>
    <row r="631" spans="1:54" x14ac:dyDescent="0.3">
      <c r="A631" s="11">
        <v>44609</v>
      </c>
      <c r="B631">
        <v>0.72817955112219501</v>
      </c>
      <c r="C631">
        <v>4475.01</v>
      </c>
      <c r="D631">
        <v>135.78</v>
      </c>
      <c r="E631">
        <v>1869.7</v>
      </c>
      <c r="F631">
        <v>84.41</v>
      </c>
      <c r="G631">
        <v>55.04</v>
      </c>
      <c r="H631" s="12">
        <f t="shared" si="116"/>
        <v>119.22334527523401</v>
      </c>
      <c r="I631" s="12">
        <f t="shared" si="117"/>
        <v>92.734301580066045</v>
      </c>
      <c r="J631" s="12">
        <f t="shared" si="118"/>
        <v>152.23254598840077</v>
      </c>
      <c r="K631" s="12">
        <f t="shared" si="119"/>
        <v>130.17824468943854</v>
      </c>
      <c r="P631" s="12"/>
      <c r="Q631" s="12"/>
      <c r="R631" s="12"/>
      <c r="S631" s="12"/>
      <c r="V631">
        <v>0.532988357050453</v>
      </c>
      <c r="W631" s="12"/>
      <c r="X631" s="12"/>
      <c r="Y631" t="str">
        <v>20120831</v>
      </c>
      <c r="Z631">
        <v>51</v>
      </c>
      <c r="AA631">
        <v>24.5</v>
      </c>
      <c r="AB631">
        <f t="shared" si="120"/>
        <v>2.0816326530612246</v>
      </c>
      <c r="AY631" t="str">
        <v>23/03/2022</v>
      </c>
      <c r="AZ631">
        <v>37.700000000000003</v>
      </c>
      <c r="BA631">
        <v>34.1</v>
      </c>
      <c r="BB631">
        <f t="shared" si="121"/>
        <v>1.1055718475073315</v>
      </c>
    </row>
    <row r="632" spans="1:54" x14ac:dyDescent="0.3">
      <c r="A632" s="11">
        <v>44608</v>
      </c>
      <c r="B632">
        <v>0.72519083969465603</v>
      </c>
      <c r="C632">
        <v>4471.07</v>
      </c>
      <c r="D632">
        <v>134.97999999999999</v>
      </c>
      <c r="E632">
        <v>1853.7</v>
      </c>
      <c r="F632">
        <v>84.3</v>
      </c>
      <c r="G632">
        <v>54.79</v>
      </c>
      <c r="H632" s="12">
        <f t="shared" si="116"/>
        <v>119.8279471456068</v>
      </c>
      <c r="I632" s="12">
        <f t="shared" si="117"/>
        <v>93.45862132069928</v>
      </c>
      <c r="J632" s="12">
        <f t="shared" si="118"/>
        <v>152.29706553699219</v>
      </c>
      <c r="K632" s="12">
        <f t="shared" si="119"/>
        <v>130.65928718723694</v>
      </c>
      <c r="P632" s="12"/>
      <c r="Q632" s="12"/>
      <c r="R632" s="12"/>
      <c r="S632" s="12"/>
      <c r="V632">
        <v>0.52964169381107495</v>
      </c>
      <c r="W632" s="12"/>
      <c r="X632" s="12"/>
      <c r="Y632" t="str">
        <v>20120824</v>
      </c>
      <c r="Z632">
        <v>48.9</v>
      </c>
      <c r="AA632">
        <v>24.5</v>
      </c>
      <c r="AB632">
        <f t="shared" si="120"/>
        <v>1.9959183673469387</v>
      </c>
      <c r="AY632" t="str">
        <v>22/03/2022</v>
      </c>
      <c r="AZ632">
        <v>37.700000000000003</v>
      </c>
      <c r="BA632">
        <v>34.1</v>
      </c>
      <c r="BB632">
        <f t="shared" si="121"/>
        <v>1.1055718475073315</v>
      </c>
    </row>
    <row r="633" spans="1:54" x14ac:dyDescent="0.3">
      <c r="A633" s="11">
        <v>44607</v>
      </c>
      <c r="B633">
        <v>0.71761658031088105</v>
      </c>
      <c r="C633">
        <v>4401.67</v>
      </c>
      <c r="D633">
        <v>136.53</v>
      </c>
      <c r="E633">
        <v>1871.49</v>
      </c>
      <c r="F633">
        <v>84.27</v>
      </c>
      <c r="G633">
        <v>53.82</v>
      </c>
      <c r="H633" s="12">
        <f t="shared" si="116"/>
        <v>116.66406900706588</v>
      </c>
      <c r="I633" s="12">
        <f t="shared" si="117"/>
        <v>91.154905514044458</v>
      </c>
      <c r="J633" s="12">
        <f t="shared" si="118"/>
        <v>149.98567462650496</v>
      </c>
      <c r="K633" s="12">
        <f t="shared" si="119"/>
        <v>130.95475997807495</v>
      </c>
      <c r="P633" s="12"/>
      <c r="Q633" s="12"/>
      <c r="R633" s="12"/>
      <c r="S633" s="12"/>
      <c r="V633">
        <v>0.52941176470588203</v>
      </c>
      <c r="W633" s="12"/>
      <c r="X633" s="12"/>
      <c r="Y633" t="str">
        <v>20120817</v>
      </c>
      <c r="Z633">
        <v>47.3</v>
      </c>
      <c r="AA633">
        <v>24.7</v>
      </c>
      <c r="AB633">
        <f t="shared" si="120"/>
        <v>1.9149797570850202</v>
      </c>
      <c r="AY633" t="str">
        <v>21/03/2022</v>
      </c>
      <c r="AZ633">
        <v>37.700000000000003</v>
      </c>
      <c r="BA633">
        <v>34.1</v>
      </c>
      <c r="BB633">
        <f t="shared" si="121"/>
        <v>1.1055718475073315</v>
      </c>
    </row>
    <row r="634" spans="1:54" x14ac:dyDescent="0.3">
      <c r="A634" s="11">
        <v>44604</v>
      </c>
      <c r="B634">
        <v>0.71859296482412105</v>
      </c>
      <c r="C634">
        <v>4418.6400000000003</v>
      </c>
      <c r="D634">
        <v>138.25</v>
      </c>
      <c r="E634">
        <v>1858.4649999999999</v>
      </c>
      <c r="F634">
        <v>84.45</v>
      </c>
      <c r="G634">
        <v>54.16</v>
      </c>
      <c r="H634" s="12">
        <f t="shared" si="116"/>
        <v>115.66923476718392</v>
      </c>
      <c r="I634" s="12">
        <f t="shared" si="117"/>
        <v>92.154693653323193</v>
      </c>
      <c r="J634" s="12">
        <f t="shared" si="118"/>
        <v>150.24245543466901</v>
      </c>
      <c r="K634" s="12">
        <f t="shared" si="119"/>
        <v>130.6363798523692</v>
      </c>
      <c r="P634" s="12"/>
      <c r="Q634" s="12"/>
      <c r="R634" s="12"/>
      <c r="S634" s="12"/>
      <c r="V634">
        <v>0.53393085787451999</v>
      </c>
      <c r="W634" s="12"/>
      <c r="X634" s="12"/>
      <c r="Y634" t="str">
        <v>20120810</v>
      </c>
      <c r="Z634">
        <v>43.6</v>
      </c>
      <c r="AA634">
        <v>26.6</v>
      </c>
      <c r="AB634">
        <f t="shared" si="120"/>
        <v>1.6390977443609023</v>
      </c>
      <c r="AY634" t="str">
        <v>18/03/2022</v>
      </c>
      <c r="AZ634">
        <v>35.299999999999997</v>
      </c>
      <c r="BA634">
        <v>35.299999999999997</v>
      </c>
      <c r="BB634">
        <f t="shared" si="121"/>
        <v>1</v>
      </c>
    </row>
    <row r="635" spans="1:54" x14ac:dyDescent="0.3">
      <c r="A635" s="11">
        <v>44603</v>
      </c>
      <c r="B635">
        <v>0.703324808184143</v>
      </c>
      <c r="C635">
        <v>4504.08</v>
      </c>
      <c r="D635">
        <v>136.22999999999999</v>
      </c>
      <c r="E635">
        <v>1826.93</v>
      </c>
      <c r="F635">
        <v>84.19</v>
      </c>
      <c r="G635">
        <v>54.95</v>
      </c>
      <c r="H635" s="12">
        <f t="shared" si="116"/>
        <v>119.71529228471323</v>
      </c>
      <c r="I635" s="12">
        <f t="shared" si="117"/>
        <v>95.61903491607589</v>
      </c>
      <c r="J635" s="12">
        <f t="shared" si="118"/>
        <v>153.63120970996255</v>
      </c>
      <c r="K635" s="12">
        <f t="shared" si="119"/>
        <v>131.23912988671697</v>
      </c>
      <c r="P635" s="12"/>
      <c r="Q635" s="12"/>
      <c r="R635" s="12"/>
      <c r="S635" s="12"/>
      <c r="V635">
        <v>0.53585147247119103</v>
      </c>
      <c r="W635" s="12"/>
      <c r="X635" s="12"/>
      <c r="Y635" t="str">
        <v>20120803</v>
      </c>
      <c r="Z635">
        <v>43.6</v>
      </c>
      <c r="AA635">
        <v>25.5</v>
      </c>
      <c r="AB635">
        <f t="shared" si="120"/>
        <v>1.7098039215686276</v>
      </c>
      <c r="AY635" t="str">
        <v>17/03/2022</v>
      </c>
      <c r="AZ635">
        <v>35.299999999999997</v>
      </c>
      <c r="BA635">
        <v>35.299999999999997</v>
      </c>
      <c r="BB635">
        <f t="shared" si="121"/>
        <v>1</v>
      </c>
    </row>
    <row r="636" spans="1:54" x14ac:dyDescent="0.3">
      <c r="A636" s="11">
        <v>44602</v>
      </c>
      <c r="B636">
        <v>0.68814432989690699</v>
      </c>
      <c r="C636">
        <v>4587.18</v>
      </c>
      <c r="D636">
        <v>138.43</v>
      </c>
      <c r="E636">
        <v>1833.2</v>
      </c>
      <c r="F636">
        <v>84.62</v>
      </c>
      <c r="G636">
        <v>55.54</v>
      </c>
      <c r="H636" s="12">
        <f t="shared" si="116"/>
        <v>119.98203589391652</v>
      </c>
      <c r="I636" s="12">
        <f t="shared" si="117"/>
        <v>97.045157794319394</v>
      </c>
      <c r="J636" s="12">
        <f t="shared" si="118"/>
        <v>155.66010911077638</v>
      </c>
      <c r="K636" s="12">
        <f t="shared" si="119"/>
        <v>132.22989285656155</v>
      </c>
      <c r="P636" s="12"/>
      <c r="Q636" s="12"/>
      <c r="R636" s="12"/>
      <c r="S636" s="12"/>
      <c r="V636">
        <v>0.53195610071013599</v>
      </c>
      <c r="W636" s="12"/>
      <c r="X636" s="12"/>
      <c r="Y636" t="str">
        <v>20120727</v>
      </c>
      <c r="Z636">
        <v>39.4</v>
      </c>
      <c r="AA636">
        <v>27.7</v>
      </c>
      <c r="AB636">
        <f t="shared" si="120"/>
        <v>1.4223826714801444</v>
      </c>
      <c r="AY636" t="str">
        <v>16/03/2022</v>
      </c>
      <c r="AZ636">
        <v>35.299999999999997</v>
      </c>
      <c r="BA636">
        <v>35.299999999999997</v>
      </c>
      <c r="BB636">
        <f t="shared" si="121"/>
        <v>1</v>
      </c>
    </row>
    <row r="637" spans="1:54" x14ac:dyDescent="0.3">
      <c r="A637" s="11">
        <v>44601</v>
      </c>
      <c r="B637">
        <v>0.67708333333333304</v>
      </c>
      <c r="C637">
        <v>4521.54</v>
      </c>
      <c r="D637">
        <v>138.16999999999999</v>
      </c>
      <c r="E637">
        <v>1825.95</v>
      </c>
      <c r="F637">
        <v>84.63</v>
      </c>
      <c r="G637">
        <v>54.65</v>
      </c>
      <c r="H637" s="12">
        <f t="shared" si="116"/>
        <v>118.48492695842442</v>
      </c>
      <c r="I637" s="12">
        <f t="shared" si="117"/>
        <v>96.032339103904178</v>
      </c>
      <c r="J637" s="12">
        <f t="shared" si="118"/>
        <v>153.41483102287035</v>
      </c>
      <c r="K637" s="12">
        <f t="shared" si="119"/>
        <v>132.46412587281529</v>
      </c>
      <c r="P637" s="12"/>
      <c r="Q637" s="12"/>
      <c r="R637" s="12"/>
      <c r="S637" s="12"/>
      <c r="V637">
        <v>0.52806788511749303</v>
      </c>
      <c r="W637" s="12"/>
      <c r="X637" s="12"/>
      <c r="Y637" t="str">
        <v>20120720</v>
      </c>
      <c r="Z637">
        <v>40.4</v>
      </c>
      <c r="AA637">
        <v>26.6</v>
      </c>
      <c r="AB637">
        <f t="shared" si="120"/>
        <v>1.5187969924812028</v>
      </c>
      <c r="AY637" t="str">
        <v>15/03/2022</v>
      </c>
      <c r="AZ637">
        <v>35.299999999999997</v>
      </c>
      <c r="BA637">
        <v>35.299999999999997</v>
      </c>
      <c r="BB637">
        <f t="shared" si="121"/>
        <v>1</v>
      </c>
    </row>
    <row r="638" spans="1:54" x14ac:dyDescent="0.3">
      <c r="A638" s="11">
        <v>44600</v>
      </c>
      <c r="B638">
        <v>0.66843501326259902</v>
      </c>
      <c r="C638">
        <v>4483.87</v>
      </c>
      <c r="D638">
        <v>139.1</v>
      </c>
      <c r="E638">
        <v>1820.53</v>
      </c>
      <c r="F638">
        <v>84.72</v>
      </c>
      <c r="G638">
        <v>54.31</v>
      </c>
      <c r="H638" s="12">
        <f t="shared" si="116"/>
        <v>116.72390610786732</v>
      </c>
      <c r="I638" s="12">
        <f t="shared" si="117"/>
        <v>95.514263071198727</v>
      </c>
      <c r="J638" s="12">
        <f t="shared" si="118"/>
        <v>151.97659327086214</v>
      </c>
      <c r="K638" s="12">
        <f t="shared" si="119"/>
        <v>132.1811435418152</v>
      </c>
      <c r="P638" s="12"/>
      <c r="Q638" s="12"/>
      <c r="R638" s="12"/>
      <c r="S638" s="12"/>
      <c r="V638">
        <v>0.52642007926023804</v>
      </c>
      <c r="W638" s="12"/>
      <c r="X638" s="12"/>
      <c r="Y638" t="str">
        <v>20120713</v>
      </c>
      <c r="Z638">
        <v>43.6</v>
      </c>
      <c r="AA638">
        <v>24.5</v>
      </c>
      <c r="AB638">
        <f t="shared" si="120"/>
        <v>1.7795918367346939</v>
      </c>
      <c r="AY638" t="str">
        <v>14/03/2022</v>
      </c>
      <c r="AZ638">
        <v>35.299999999999997</v>
      </c>
      <c r="BA638">
        <v>35.299999999999997</v>
      </c>
      <c r="BB638">
        <f t="shared" si="121"/>
        <v>1</v>
      </c>
    </row>
    <row r="639" spans="1:54" x14ac:dyDescent="0.3">
      <c r="A639" s="11">
        <v>44597</v>
      </c>
      <c r="B639">
        <v>0.67352185089974304</v>
      </c>
      <c r="C639">
        <v>4500.53</v>
      </c>
      <c r="D639">
        <v>139.01</v>
      </c>
      <c r="E639">
        <v>1808.0250000000001</v>
      </c>
      <c r="F639">
        <v>84.7</v>
      </c>
      <c r="G639">
        <v>54.25</v>
      </c>
      <c r="H639" s="12">
        <f t="shared" si="116"/>
        <v>117.23378181222391</v>
      </c>
      <c r="I639" s="12">
        <f t="shared" si="117"/>
        <v>96.539334415584833</v>
      </c>
      <c r="J639" s="12">
        <f t="shared" si="118"/>
        <v>152.57743002943454</v>
      </c>
      <c r="K639" s="12">
        <f t="shared" si="119"/>
        <v>132.81971109629174</v>
      </c>
      <c r="P639" s="12"/>
      <c r="Q639" s="12"/>
      <c r="R639" s="12"/>
      <c r="S639" s="12"/>
      <c r="V639">
        <v>0.52490170380078605</v>
      </c>
      <c r="W639" s="12"/>
      <c r="X639" s="12"/>
      <c r="Y639" t="str">
        <v>20120706</v>
      </c>
      <c r="Z639">
        <v>44.7</v>
      </c>
      <c r="AA639">
        <v>24.5</v>
      </c>
      <c r="AB639">
        <f t="shared" si="120"/>
        <v>1.8244897959183675</v>
      </c>
      <c r="AY639" t="str">
        <v>11/03/2022</v>
      </c>
      <c r="AZ639">
        <v>30.6</v>
      </c>
      <c r="BA639">
        <v>36.5</v>
      </c>
      <c r="BB639">
        <f t="shared" si="121"/>
        <v>0.83835616438356164</v>
      </c>
    </row>
    <row r="640" spans="1:54" x14ac:dyDescent="0.3">
      <c r="A640" s="11">
        <v>44596</v>
      </c>
      <c r="B640">
        <v>0.67346938775510201</v>
      </c>
      <c r="C640">
        <v>4477.4399999999996</v>
      </c>
      <c r="D640">
        <v>141.09</v>
      </c>
      <c r="E640">
        <v>1804.85</v>
      </c>
      <c r="F640">
        <v>84.87</v>
      </c>
      <c r="G640">
        <v>54.09</v>
      </c>
      <c r="H640" s="12">
        <f t="shared" si="116"/>
        <v>114.94642522586021</v>
      </c>
      <c r="I640" s="12">
        <f t="shared" si="117"/>
        <v>96.212422333140069</v>
      </c>
      <c r="J640" s="12">
        <f t="shared" si="118"/>
        <v>151.49273775456115</v>
      </c>
      <c r="K640" s="12">
        <f t="shared" si="119"/>
        <v>132.52829042593058</v>
      </c>
      <c r="P640" s="12"/>
      <c r="Q640" s="12"/>
      <c r="R640" s="12"/>
      <c r="S640" s="12"/>
      <c r="V640">
        <v>0.52013201320131996</v>
      </c>
      <c r="W640" s="12"/>
      <c r="X640" s="12"/>
      <c r="Y640" t="str">
        <v>20120629</v>
      </c>
      <c r="Z640">
        <v>42.5</v>
      </c>
      <c r="AA640">
        <v>24.5</v>
      </c>
      <c r="AB640">
        <f t="shared" si="120"/>
        <v>1.7346938775510203</v>
      </c>
      <c r="AY640" t="str">
        <v>10/03/2022</v>
      </c>
      <c r="AZ640">
        <v>30.6</v>
      </c>
      <c r="BA640">
        <v>36.5</v>
      </c>
      <c r="BB640">
        <f t="shared" si="121"/>
        <v>0.83835616438356164</v>
      </c>
    </row>
    <row r="641" spans="1:54" x14ac:dyDescent="0.3">
      <c r="A641" s="11">
        <v>44595</v>
      </c>
      <c r="B641">
        <v>0.63779527559055105</v>
      </c>
      <c r="C641">
        <v>4589.38</v>
      </c>
      <c r="D641">
        <v>142.19999999999999</v>
      </c>
      <c r="E641">
        <v>1806.9</v>
      </c>
      <c r="F641">
        <v>84.94</v>
      </c>
      <c r="G641">
        <v>54.89</v>
      </c>
      <c r="H641" s="12">
        <f t="shared" si="116"/>
        <v>116.88498455795964</v>
      </c>
      <c r="I641" s="12">
        <f t="shared" si="117"/>
        <v>98.503268966667463</v>
      </c>
      <c r="J641" s="12">
        <f t="shared" si="118"/>
        <v>155.14913478974199</v>
      </c>
      <c r="K641" s="12">
        <f t="shared" si="119"/>
        <v>133.84215062184933</v>
      </c>
      <c r="P641" s="12"/>
      <c r="Q641" s="12"/>
      <c r="R641" s="12"/>
      <c r="S641" s="12"/>
      <c r="V641">
        <v>0.52729693741677797</v>
      </c>
      <c r="W641" s="12"/>
      <c r="X641" s="12"/>
      <c r="Y641" t="str">
        <v>20120622</v>
      </c>
      <c r="Z641">
        <v>38.700000000000003</v>
      </c>
      <c r="AA641">
        <v>24.7</v>
      </c>
      <c r="AB641">
        <f t="shared" si="120"/>
        <v>1.5668016194331986</v>
      </c>
      <c r="AY641" t="str">
        <v>09/03/2022</v>
      </c>
      <c r="AZ641">
        <v>30.6</v>
      </c>
      <c r="BA641">
        <v>36.5</v>
      </c>
      <c r="BB641">
        <f t="shared" si="121"/>
        <v>0.83835616438356164</v>
      </c>
    </row>
    <row r="642" spans="1:54" x14ac:dyDescent="0.3">
      <c r="A642" s="11">
        <v>44594</v>
      </c>
      <c r="B642">
        <v>0.63586956521739102</v>
      </c>
      <c r="C642">
        <v>4546.54</v>
      </c>
      <c r="D642">
        <v>141.72</v>
      </c>
      <c r="E642">
        <v>1801.01</v>
      </c>
      <c r="F642">
        <v>84.92</v>
      </c>
      <c r="G642">
        <v>54.61</v>
      </c>
      <c r="H642" s="12">
        <f t="shared" ref="H642:H705" si="122">H643*(1+((C642/C643)-(D642/D643)))</f>
        <v>116.18374713141075</v>
      </c>
      <c r="I642" s="12">
        <f t="shared" ref="I642:I705" si="123">I643*(1+((C642/C643)-(E642/E643)))</f>
        <v>97.900966291261369</v>
      </c>
      <c r="J642" s="12">
        <f t="shared" si="118"/>
        <v>153.73675002247515</v>
      </c>
      <c r="K642" s="12">
        <f t="shared" si="119"/>
        <v>133.26971935174234</v>
      </c>
      <c r="P642" s="12"/>
      <c r="Q642" s="12"/>
      <c r="R642" s="12"/>
      <c r="S642" s="12"/>
      <c r="V642">
        <v>0.52173913043478304</v>
      </c>
      <c r="W642" s="12"/>
      <c r="X642" s="12"/>
      <c r="Y642" t="str">
        <v>20120615</v>
      </c>
      <c r="Z642">
        <v>37.200000000000003</v>
      </c>
      <c r="AA642">
        <v>25.6</v>
      </c>
      <c r="AB642">
        <f t="shared" si="120"/>
        <v>1.453125</v>
      </c>
      <c r="AY642" t="str">
        <v>08/03/2022</v>
      </c>
      <c r="AZ642">
        <v>30.6</v>
      </c>
      <c r="BA642">
        <v>36.5</v>
      </c>
      <c r="BB642">
        <f t="shared" si="121"/>
        <v>0.83835616438356164</v>
      </c>
    </row>
    <row r="643" spans="1:54" x14ac:dyDescent="0.3">
      <c r="A643" s="11">
        <v>44592</v>
      </c>
      <c r="B643">
        <v>0.63259668508287303</v>
      </c>
      <c r="C643">
        <v>4515.55</v>
      </c>
      <c r="D643">
        <v>142.38999999999999</v>
      </c>
      <c r="E643">
        <v>1797.08</v>
      </c>
      <c r="F643">
        <v>84.95</v>
      </c>
      <c r="G643">
        <v>54.18</v>
      </c>
      <c r="H643" s="12">
        <f t="shared" si="122"/>
        <v>114.85506492268037</v>
      </c>
      <c r="I643" s="12">
        <f t="shared" si="123"/>
        <v>97.445305182443093</v>
      </c>
      <c r="J643" s="12">
        <f t="shared" ref="J643:J706" si="124">J644*(1+((C643/C644)-(F643/F644)))</f>
        <v>152.63531826144691</v>
      </c>
      <c r="K643" s="12">
        <f t="shared" ref="K643:K706" si="125">K644*(1+((C643/C644)-(G643/G644)))</f>
        <v>133.41294569739028</v>
      </c>
      <c r="P643" s="12"/>
      <c r="Q643" s="12"/>
      <c r="R643" s="12"/>
      <c r="S643" s="12"/>
      <c r="V643">
        <v>0.52674339878131304</v>
      </c>
      <c r="W643" s="12"/>
      <c r="X643" s="12"/>
      <c r="Y643" t="str">
        <v>20120608</v>
      </c>
      <c r="Z643">
        <v>37.200000000000003</v>
      </c>
      <c r="AA643">
        <v>26.6</v>
      </c>
      <c r="AB643">
        <f t="shared" si="120"/>
        <v>1.3984962406015038</v>
      </c>
      <c r="AY643" t="str">
        <v>07/03/2022</v>
      </c>
      <c r="AZ643">
        <v>30.6</v>
      </c>
      <c r="BA643">
        <v>36.5</v>
      </c>
      <c r="BB643">
        <f t="shared" si="121"/>
        <v>0.83835616438356164</v>
      </c>
    </row>
    <row r="644" spans="1:54" x14ac:dyDescent="0.3">
      <c r="A644" s="11">
        <v>44590</v>
      </c>
      <c r="B644">
        <v>0.63764044943820197</v>
      </c>
      <c r="C644">
        <v>4431.8500000000004</v>
      </c>
      <c r="D644">
        <v>143.13</v>
      </c>
      <c r="E644">
        <v>1791.9</v>
      </c>
      <c r="F644">
        <v>84.95</v>
      </c>
      <c r="G644">
        <v>53.1</v>
      </c>
      <c r="H644" s="12">
        <f t="shared" si="122"/>
        <v>112.15700005552371</v>
      </c>
      <c r="I644" s="12">
        <f t="shared" si="123"/>
        <v>95.911183556013953</v>
      </c>
      <c r="J644" s="12">
        <f t="shared" si="124"/>
        <v>149.8060779388986</v>
      </c>
      <c r="K644" s="12">
        <f t="shared" si="125"/>
        <v>133.60707206968695</v>
      </c>
      <c r="P644" s="12"/>
      <c r="Q644" s="12"/>
      <c r="R644" s="12"/>
      <c r="S644" s="12"/>
      <c r="V644">
        <v>0.52695417789757404</v>
      </c>
      <c r="W644" s="12"/>
      <c r="X644" s="12"/>
      <c r="Y644" t="str">
        <v>20120601</v>
      </c>
      <c r="Z644">
        <v>34</v>
      </c>
      <c r="AA644">
        <v>26.6</v>
      </c>
      <c r="AB644">
        <f t="shared" si="120"/>
        <v>1.2781954887218046</v>
      </c>
      <c r="AY644" t="str">
        <v>04/03/2022</v>
      </c>
      <c r="AZ644">
        <v>32.200000000000003</v>
      </c>
      <c r="BA644">
        <v>35.6</v>
      </c>
      <c r="BB644">
        <f t="shared" si="121"/>
        <v>0.9044943820224719</v>
      </c>
    </row>
    <row r="645" spans="1:54" x14ac:dyDescent="0.3">
      <c r="A645" s="11">
        <v>44589</v>
      </c>
      <c r="B645">
        <v>0.63505747126436796</v>
      </c>
      <c r="C645">
        <v>4326.51</v>
      </c>
      <c r="D645">
        <v>143.08000000000001</v>
      </c>
      <c r="E645">
        <v>1797.42</v>
      </c>
      <c r="F645">
        <v>84.92</v>
      </c>
      <c r="G645">
        <v>52.87</v>
      </c>
      <c r="H645" s="12">
        <f t="shared" si="122"/>
        <v>109.52852209865955</v>
      </c>
      <c r="I645" s="12">
        <f t="shared" si="123"/>
        <v>93.351609624991326</v>
      </c>
      <c r="J645" s="12">
        <f t="shared" si="124"/>
        <v>146.29581302113198</v>
      </c>
      <c r="K645" s="12">
        <f t="shared" si="125"/>
        <v>130.98767541712667</v>
      </c>
      <c r="P645" s="12"/>
      <c r="Q645" s="12"/>
      <c r="R645" s="12"/>
      <c r="S645" s="12"/>
      <c r="V645">
        <v>0.52889191026512605</v>
      </c>
      <c r="W645" s="12"/>
      <c r="X645" s="12"/>
      <c r="Y645" t="str">
        <v>20120525</v>
      </c>
      <c r="Z645">
        <v>39.299999999999997</v>
      </c>
      <c r="AA645">
        <v>24.5</v>
      </c>
      <c r="AB645">
        <f t="shared" si="120"/>
        <v>1.6040816326530611</v>
      </c>
      <c r="AY645" t="str">
        <v>03/03/2022</v>
      </c>
      <c r="AZ645">
        <v>32.200000000000003</v>
      </c>
      <c r="BA645">
        <v>35.6</v>
      </c>
      <c r="BB645">
        <f t="shared" si="121"/>
        <v>0.9044943820224719</v>
      </c>
    </row>
    <row r="646" spans="1:54" x14ac:dyDescent="0.3">
      <c r="A646" s="11">
        <v>44588</v>
      </c>
      <c r="B646">
        <v>0.62463343108504399</v>
      </c>
      <c r="C646">
        <v>4349.93</v>
      </c>
      <c r="D646">
        <v>140.5</v>
      </c>
      <c r="E646">
        <v>1819.77</v>
      </c>
      <c r="F646">
        <v>84.99</v>
      </c>
      <c r="G646">
        <v>53.2</v>
      </c>
      <c r="H646" s="12">
        <f t="shared" si="122"/>
        <v>112.19276181949186</v>
      </c>
      <c r="I646" s="12">
        <f t="shared" si="123"/>
        <v>92.712102201439833</v>
      </c>
      <c r="J646" s="12">
        <f t="shared" si="124"/>
        <v>146.96603226702791</v>
      </c>
      <c r="K646" s="12">
        <f t="shared" si="125"/>
        <v>130.88048262216191</v>
      </c>
      <c r="P646" s="12"/>
      <c r="Q646" s="12"/>
      <c r="R646" s="12"/>
      <c r="S646" s="12"/>
      <c r="V646">
        <v>0.53756830601092898</v>
      </c>
      <c r="W646" s="12"/>
      <c r="X646" s="12"/>
      <c r="Y646" t="str">
        <v>20120518</v>
      </c>
      <c r="Z646">
        <v>38.299999999999997</v>
      </c>
      <c r="AA646">
        <v>26.6</v>
      </c>
      <c r="AB646">
        <f t="shared" si="120"/>
        <v>1.4398496240601502</v>
      </c>
      <c r="AY646" t="str">
        <v>02/03/2022</v>
      </c>
      <c r="AZ646">
        <v>32.200000000000003</v>
      </c>
      <c r="BA646">
        <v>35.6</v>
      </c>
      <c r="BB646">
        <f t="shared" si="121"/>
        <v>0.9044943820224719</v>
      </c>
    </row>
    <row r="647" spans="1:54" x14ac:dyDescent="0.3">
      <c r="A647" s="11">
        <v>44587</v>
      </c>
      <c r="B647">
        <v>0.6</v>
      </c>
      <c r="C647">
        <v>4356.45</v>
      </c>
      <c r="D647">
        <v>142.22</v>
      </c>
      <c r="E647">
        <v>1848.15</v>
      </c>
      <c r="F647">
        <v>85.14</v>
      </c>
      <c r="G647">
        <v>53.6</v>
      </c>
      <c r="H647" s="12">
        <f t="shared" si="122"/>
        <v>111.01628807324775</v>
      </c>
      <c r="I647" s="12">
        <f t="shared" si="123"/>
        <v>91.444745243753346</v>
      </c>
      <c r="J647" s="12">
        <f t="shared" si="124"/>
        <v>146.92707122533773</v>
      </c>
      <c r="K647" s="12">
        <f t="shared" si="125"/>
        <v>130.10427335395389</v>
      </c>
      <c r="P647" s="12"/>
      <c r="Q647" s="12"/>
      <c r="R647" s="12"/>
      <c r="S647" s="12"/>
      <c r="V647">
        <v>0.53278122843340203</v>
      </c>
      <c r="W647" s="12"/>
      <c r="X647" s="12"/>
      <c r="Y647" t="str">
        <v>20120511</v>
      </c>
      <c r="Z647">
        <v>39.4</v>
      </c>
      <c r="AA647">
        <v>22.3</v>
      </c>
      <c r="AB647">
        <f t="shared" si="120"/>
        <v>1.7668161434977576</v>
      </c>
      <c r="AY647" t="str">
        <v>01/03/2022</v>
      </c>
      <c r="AZ647">
        <v>32.200000000000003</v>
      </c>
      <c r="BA647">
        <v>35.6</v>
      </c>
      <c r="BB647">
        <f t="shared" si="121"/>
        <v>0.9044943820224719</v>
      </c>
    </row>
    <row r="648" spans="1:54" x14ac:dyDescent="0.3">
      <c r="A648" s="11">
        <v>44586</v>
      </c>
      <c r="B648">
        <v>0.57926829268292701</v>
      </c>
      <c r="C648">
        <v>4410.13</v>
      </c>
      <c r="D648">
        <v>142.44999999999999</v>
      </c>
      <c r="E648">
        <v>1843.8</v>
      </c>
      <c r="F648">
        <v>85.18</v>
      </c>
      <c r="G648">
        <v>53.78</v>
      </c>
      <c r="H648" s="12">
        <f t="shared" si="122"/>
        <v>112.20083437673321</v>
      </c>
      <c r="I648" s="12">
        <f t="shared" si="123"/>
        <v>92.793144214226629</v>
      </c>
      <c r="J648" s="12">
        <f t="shared" si="124"/>
        <v>148.66682737697914</v>
      </c>
      <c r="K648" s="12">
        <f t="shared" si="125"/>
        <v>131.26266739873316</v>
      </c>
      <c r="P648" s="12"/>
      <c r="Q648" s="12"/>
      <c r="R648" s="12"/>
      <c r="S648" s="12"/>
      <c r="V648">
        <v>0.53467406380027704</v>
      </c>
      <c r="W648" s="12"/>
      <c r="X648" s="12"/>
      <c r="Y648" t="str">
        <v>20120504</v>
      </c>
      <c r="Z648">
        <v>38.700000000000003</v>
      </c>
      <c r="AA648">
        <v>20.399999999999999</v>
      </c>
      <c r="AB648">
        <f t="shared" ref="AB648:AB711" si="126">IFERROR(Z648/AA648,"")</f>
        <v>1.8970588235294121</v>
      </c>
      <c r="AY648" t="str">
        <v>28/02/2022</v>
      </c>
      <c r="AZ648">
        <v>32.200000000000003</v>
      </c>
      <c r="BA648">
        <v>35.6</v>
      </c>
      <c r="BB648">
        <f t="shared" ref="BB648:BB711" si="127">IFERROR(AZ648/BA648,"")</f>
        <v>0.9044943820224719</v>
      </c>
    </row>
    <row r="649" spans="1:54" x14ac:dyDescent="0.3">
      <c r="A649" s="11">
        <v>44583</v>
      </c>
      <c r="B649">
        <v>0.58409785932721703</v>
      </c>
      <c r="C649">
        <v>4397.9399999999996</v>
      </c>
      <c r="D649">
        <v>143.63</v>
      </c>
      <c r="E649">
        <v>1833.6</v>
      </c>
      <c r="F649">
        <v>85.13</v>
      </c>
      <c r="G649">
        <v>54.38</v>
      </c>
      <c r="H649" s="12">
        <f t="shared" si="122"/>
        <v>110.98144724629226</v>
      </c>
      <c r="I649" s="12">
        <f t="shared" si="123"/>
        <v>93.052861729877165</v>
      </c>
      <c r="J649" s="12">
        <f t="shared" si="124"/>
        <v>148.34278514001349</v>
      </c>
      <c r="K649" s="12">
        <f t="shared" si="125"/>
        <v>129.47523326505893</v>
      </c>
      <c r="P649" s="12"/>
      <c r="Q649" s="12"/>
      <c r="R649" s="12"/>
      <c r="S649" s="12"/>
      <c r="V649">
        <v>0.53071083505866101</v>
      </c>
      <c r="W649" s="12"/>
      <c r="X649" s="12"/>
      <c r="Y649" t="str">
        <v>20120427</v>
      </c>
      <c r="Z649">
        <v>43</v>
      </c>
      <c r="AA649">
        <v>20.399999999999999</v>
      </c>
      <c r="AB649">
        <f t="shared" si="126"/>
        <v>2.107843137254902</v>
      </c>
      <c r="AY649" t="str">
        <v>25/02/2022</v>
      </c>
      <c r="AZ649">
        <v>29.9</v>
      </c>
      <c r="BA649">
        <v>34.5</v>
      </c>
      <c r="BB649">
        <f t="shared" si="127"/>
        <v>0.86666666666666659</v>
      </c>
    </row>
    <row r="650" spans="1:54" x14ac:dyDescent="0.3">
      <c r="A650" s="11">
        <v>44582</v>
      </c>
      <c r="B650">
        <v>0.58307210031348</v>
      </c>
      <c r="C650">
        <v>4482.7299999999996</v>
      </c>
      <c r="D650">
        <v>141.94</v>
      </c>
      <c r="E650">
        <v>1839.4</v>
      </c>
      <c r="F650">
        <v>85.06</v>
      </c>
      <c r="G650">
        <v>55.15</v>
      </c>
      <c r="H650" s="12">
        <f t="shared" si="122"/>
        <v>114.51081394685944</v>
      </c>
      <c r="I650" s="12">
        <f t="shared" si="123"/>
        <v>94.543011900584858</v>
      </c>
      <c r="J650" s="12">
        <f t="shared" si="124"/>
        <v>151.32969457119717</v>
      </c>
      <c r="K650" s="12">
        <f t="shared" si="125"/>
        <v>130.11970197116707</v>
      </c>
      <c r="P650" s="12"/>
      <c r="Q650" s="12"/>
      <c r="R650" s="12"/>
      <c r="S650" s="12"/>
      <c r="V650">
        <v>0.53088133240805002</v>
      </c>
      <c r="W650" s="12"/>
      <c r="X650" s="12"/>
      <c r="Y650" t="str">
        <v>20120420</v>
      </c>
      <c r="Z650">
        <v>41.9</v>
      </c>
      <c r="AA650">
        <v>23.7</v>
      </c>
      <c r="AB650">
        <f t="shared" si="126"/>
        <v>1.7679324894514767</v>
      </c>
      <c r="AY650" t="str">
        <v>24/02/2022</v>
      </c>
      <c r="AZ650">
        <v>29.9</v>
      </c>
      <c r="BA650">
        <v>34.5</v>
      </c>
      <c r="BB650">
        <f t="shared" si="127"/>
        <v>0.86666666666666659</v>
      </c>
    </row>
    <row r="651" spans="1:54" x14ac:dyDescent="0.3">
      <c r="A651" s="11">
        <v>44581</v>
      </c>
      <c r="B651">
        <v>0.57419354838709702</v>
      </c>
      <c r="C651">
        <v>4532.76</v>
      </c>
      <c r="D651">
        <v>141.07</v>
      </c>
      <c r="E651">
        <v>1840.25</v>
      </c>
      <c r="F651">
        <v>85.08</v>
      </c>
      <c r="G651">
        <v>55.34</v>
      </c>
      <c r="H651" s="12">
        <f t="shared" si="122"/>
        <v>116.51541225661485</v>
      </c>
      <c r="I651" s="12">
        <f t="shared" si="123"/>
        <v>95.553541392969663</v>
      </c>
      <c r="J651" s="12">
        <f t="shared" si="124"/>
        <v>152.98226289339382</v>
      </c>
      <c r="K651" s="12">
        <f t="shared" si="125"/>
        <v>131.11672720554654</v>
      </c>
      <c r="P651" s="12"/>
      <c r="Q651" s="12"/>
      <c r="R651" s="12"/>
      <c r="S651" s="12"/>
      <c r="V651">
        <v>0.52982456140350898</v>
      </c>
      <c r="W651" s="12"/>
      <c r="X651" s="12"/>
      <c r="Y651" t="str">
        <v>20120413</v>
      </c>
      <c r="Z651">
        <v>44.1</v>
      </c>
      <c r="AA651">
        <v>23.7</v>
      </c>
      <c r="AB651">
        <f t="shared" si="126"/>
        <v>1.8607594936708862</v>
      </c>
      <c r="AY651" t="str">
        <v>23/02/2022</v>
      </c>
      <c r="AZ651">
        <v>29.9</v>
      </c>
      <c r="BA651">
        <v>34.5</v>
      </c>
      <c r="BB651">
        <f t="shared" si="127"/>
        <v>0.86666666666666659</v>
      </c>
    </row>
    <row r="652" spans="1:54" x14ac:dyDescent="0.3">
      <c r="A652" s="11">
        <v>44580</v>
      </c>
      <c r="B652">
        <v>0.58333333333333304</v>
      </c>
      <c r="C652">
        <v>4577.1099999999997</v>
      </c>
      <c r="D652">
        <v>140.1</v>
      </c>
      <c r="E652">
        <v>1813.81</v>
      </c>
      <c r="F652">
        <v>85.04</v>
      </c>
      <c r="G652">
        <v>55.28</v>
      </c>
      <c r="H652" s="12">
        <f t="shared" si="122"/>
        <v>118.48380096732727</v>
      </c>
      <c r="I652" s="12">
        <f t="shared" si="123"/>
        <v>97.929965838624085</v>
      </c>
      <c r="J652" s="12">
        <f t="shared" si="124"/>
        <v>154.55249883712938</v>
      </c>
      <c r="K652" s="12">
        <f t="shared" si="125"/>
        <v>132.54488558970658</v>
      </c>
      <c r="P652" s="12"/>
      <c r="Q652" s="12"/>
      <c r="R652" s="12"/>
      <c r="S652" s="12"/>
      <c r="V652">
        <v>0.52861230329041498</v>
      </c>
      <c r="W652" s="12"/>
      <c r="X652" s="12"/>
      <c r="Y652" t="str">
        <v>20120406</v>
      </c>
      <c r="Z652">
        <v>48.4</v>
      </c>
      <c r="AA652">
        <v>21.5</v>
      </c>
      <c r="AB652">
        <f t="shared" si="126"/>
        <v>2.2511627906976743</v>
      </c>
      <c r="AY652" t="str">
        <v>22/02/2022</v>
      </c>
      <c r="AZ652">
        <v>29.9</v>
      </c>
      <c r="BA652">
        <v>34.5</v>
      </c>
      <c r="BB652">
        <f t="shared" si="127"/>
        <v>0.86666666666666659</v>
      </c>
    </row>
    <row r="653" spans="1:54" x14ac:dyDescent="0.3">
      <c r="A653" s="11">
        <v>44576</v>
      </c>
      <c r="B653">
        <v>0.56493506493506496</v>
      </c>
      <c r="C653">
        <v>4662.8500000000004</v>
      </c>
      <c r="D653">
        <v>142.1</v>
      </c>
      <c r="E653">
        <v>1817.7</v>
      </c>
      <c r="F653">
        <v>85.17</v>
      </c>
      <c r="G653">
        <v>56.13</v>
      </c>
      <c r="H653" s="12">
        <f t="shared" si="122"/>
        <v>118.99707108872245</v>
      </c>
      <c r="I653" s="12">
        <f t="shared" si="123"/>
        <v>99.547394857501914</v>
      </c>
      <c r="J653" s="12">
        <f t="shared" si="124"/>
        <v>157.20318614030907</v>
      </c>
      <c r="K653" s="12">
        <f t="shared" si="125"/>
        <v>132.97632444826903</v>
      </c>
      <c r="P653" s="12"/>
      <c r="Q653" s="12"/>
      <c r="R653" s="12"/>
      <c r="S653" s="12"/>
      <c r="V653">
        <v>0.52028469750889705</v>
      </c>
      <c r="W653" s="12"/>
      <c r="X653" s="12"/>
      <c r="Y653" t="str">
        <v>20120330</v>
      </c>
      <c r="Z653">
        <v>52.7</v>
      </c>
      <c r="AA653">
        <v>21.5</v>
      </c>
      <c r="AB653">
        <f t="shared" si="126"/>
        <v>2.4511627906976745</v>
      </c>
      <c r="AY653" t="str">
        <v>21/02/2022</v>
      </c>
      <c r="AZ653">
        <v>29.9</v>
      </c>
      <c r="BA653">
        <v>34.5</v>
      </c>
      <c r="BB653">
        <f t="shared" si="127"/>
        <v>0.86666666666666659</v>
      </c>
    </row>
    <row r="654" spans="1:54" x14ac:dyDescent="0.3">
      <c r="A654" s="11">
        <v>44575</v>
      </c>
      <c r="B654">
        <v>0.55987055016181198</v>
      </c>
      <c r="C654">
        <v>4659.03</v>
      </c>
      <c r="D654">
        <v>144.28</v>
      </c>
      <c r="E654">
        <v>1822.8</v>
      </c>
      <c r="F654">
        <v>85.28</v>
      </c>
      <c r="G654">
        <v>56.17</v>
      </c>
      <c r="H654" s="12">
        <f t="shared" si="122"/>
        <v>117.13123811523383</v>
      </c>
      <c r="I654" s="12">
        <f t="shared" si="123"/>
        <v>99.188549876163705</v>
      </c>
      <c r="J654" s="12">
        <f t="shared" si="124"/>
        <v>156.87221998161792</v>
      </c>
      <c r="K654" s="12">
        <f t="shared" si="125"/>
        <v>132.77291142641059</v>
      </c>
      <c r="P654" s="12"/>
      <c r="Q654" s="12"/>
      <c r="R654" s="12"/>
      <c r="S654" s="12"/>
      <c r="V654">
        <v>0.52608695652173898</v>
      </c>
      <c r="W654" s="12"/>
      <c r="X654" s="12"/>
      <c r="Y654" t="str">
        <v>20120323</v>
      </c>
      <c r="Z654">
        <v>50.5</v>
      </c>
      <c r="AA654">
        <v>22.6</v>
      </c>
      <c r="AB654">
        <f t="shared" si="126"/>
        <v>2.2345132743362832</v>
      </c>
      <c r="AY654" t="str">
        <v>18/02/2022</v>
      </c>
      <c r="AZ654">
        <v>32.200000000000003</v>
      </c>
      <c r="BA654">
        <v>31</v>
      </c>
      <c r="BB654">
        <f t="shared" si="127"/>
        <v>1.0387096774193549</v>
      </c>
    </row>
    <row r="655" spans="1:54" x14ac:dyDescent="0.3">
      <c r="A655" s="11">
        <v>44574</v>
      </c>
      <c r="B655">
        <v>0.57467532467532501</v>
      </c>
      <c r="C655">
        <v>4726.3500000000004</v>
      </c>
      <c r="D655">
        <v>143.01</v>
      </c>
      <c r="E655">
        <v>1826.3</v>
      </c>
      <c r="F655">
        <v>85.24</v>
      </c>
      <c r="G655">
        <v>56.7</v>
      </c>
      <c r="H655" s="12">
        <f t="shared" si="122"/>
        <v>119.9039016110606</v>
      </c>
      <c r="I655" s="12">
        <f t="shared" si="123"/>
        <v>100.42651825004704</v>
      </c>
      <c r="J655" s="12">
        <f t="shared" si="124"/>
        <v>159.21471628437823</v>
      </c>
      <c r="K655" s="12">
        <f t="shared" si="125"/>
        <v>133.42618025234472</v>
      </c>
      <c r="P655" s="12"/>
      <c r="Q655" s="12"/>
      <c r="R655" s="12"/>
      <c r="S655" s="12"/>
      <c r="V655">
        <v>0.52325581395348797</v>
      </c>
      <c r="W655" s="12"/>
      <c r="X655" s="12"/>
      <c r="Y655" t="str">
        <v>20120316</v>
      </c>
      <c r="Z655">
        <v>48.4</v>
      </c>
      <c r="AA655">
        <v>23.6</v>
      </c>
      <c r="AB655">
        <f t="shared" si="126"/>
        <v>2.0508474576271185</v>
      </c>
      <c r="AY655" t="str">
        <v>17/02/2022</v>
      </c>
      <c r="AZ655">
        <v>32.200000000000003</v>
      </c>
      <c r="BA655">
        <v>31</v>
      </c>
      <c r="BB655">
        <f t="shared" si="127"/>
        <v>1.0387096774193549</v>
      </c>
    </row>
    <row r="656" spans="1:54" x14ac:dyDescent="0.3">
      <c r="A656" s="11">
        <v>44573</v>
      </c>
      <c r="B656">
        <v>0.59</v>
      </c>
      <c r="C656">
        <v>4713.07</v>
      </c>
      <c r="D656">
        <v>143.56</v>
      </c>
      <c r="E656">
        <v>1821.65</v>
      </c>
      <c r="F656">
        <v>85.27</v>
      </c>
      <c r="G656">
        <v>56.06</v>
      </c>
      <c r="H656" s="12">
        <f t="shared" si="122"/>
        <v>119.11194450906625</v>
      </c>
      <c r="I656" s="12">
        <f t="shared" si="123"/>
        <v>100.3999057024122</v>
      </c>
      <c r="J656" s="12">
        <f t="shared" si="124"/>
        <v>158.71167646109629</v>
      </c>
      <c r="K656" s="12">
        <f t="shared" si="125"/>
        <v>134.58341503434266</v>
      </c>
      <c r="P656" s="12"/>
      <c r="Q656" s="12"/>
      <c r="R656" s="12"/>
      <c r="S656" s="12"/>
      <c r="V656">
        <v>0.51973194341027595</v>
      </c>
      <c r="W656" s="12"/>
      <c r="X656" s="12"/>
      <c r="Y656" t="str">
        <v>20120309</v>
      </c>
      <c r="Z656">
        <v>43.6</v>
      </c>
      <c r="AA656">
        <v>26.6</v>
      </c>
      <c r="AB656">
        <f t="shared" si="126"/>
        <v>1.6390977443609023</v>
      </c>
      <c r="AY656" t="str">
        <v>16/02/2022</v>
      </c>
      <c r="AZ656">
        <v>32.200000000000003</v>
      </c>
      <c r="BA656">
        <v>31</v>
      </c>
      <c r="BB656">
        <f t="shared" si="127"/>
        <v>1.0387096774193549</v>
      </c>
    </row>
    <row r="657" spans="1:54" x14ac:dyDescent="0.3">
      <c r="A657" s="11">
        <v>44572</v>
      </c>
      <c r="B657">
        <v>0.58762886597938102</v>
      </c>
      <c r="C657">
        <v>4670.29</v>
      </c>
      <c r="D657">
        <v>142.61000000000001</v>
      </c>
      <c r="E657">
        <v>1801.7349999999999</v>
      </c>
      <c r="F657">
        <v>85.24</v>
      </c>
      <c r="G657">
        <v>55.22</v>
      </c>
      <c r="H657" s="12">
        <f t="shared" si="122"/>
        <v>118.81508427125819</v>
      </c>
      <c r="I657" s="12">
        <f t="shared" si="123"/>
        <v>100.5903437487013</v>
      </c>
      <c r="J657" s="12">
        <f t="shared" si="124"/>
        <v>157.32593650630534</v>
      </c>
      <c r="K657" s="12">
        <f t="shared" si="125"/>
        <v>135.40285265360524</v>
      </c>
      <c r="P657" s="12"/>
      <c r="Q657" s="12"/>
      <c r="R657" s="12"/>
      <c r="S657" s="12"/>
      <c r="V657">
        <v>0.51482059282371295</v>
      </c>
      <c r="W657" s="12"/>
      <c r="X657" s="12"/>
      <c r="Y657" t="str">
        <v>20120302</v>
      </c>
      <c r="Z657">
        <v>47.9</v>
      </c>
      <c r="AA657">
        <v>26.6</v>
      </c>
      <c r="AB657">
        <f t="shared" si="126"/>
        <v>1.8007518796992479</v>
      </c>
      <c r="AY657" t="str">
        <v>15/02/2022</v>
      </c>
      <c r="AZ657">
        <v>32.200000000000003</v>
      </c>
      <c r="BA657">
        <v>31</v>
      </c>
      <c r="BB657">
        <f t="shared" si="127"/>
        <v>1.0387096774193549</v>
      </c>
    </row>
    <row r="658" spans="1:54" x14ac:dyDescent="0.3">
      <c r="A658" s="11">
        <v>44569</v>
      </c>
      <c r="B658">
        <v>0.57543859649122797</v>
      </c>
      <c r="C658">
        <v>4677.03</v>
      </c>
      <c r="D658">
        <v>142.26</v>
      </c>
      <c r="E658">
        <v>1796.425</v>
      </c>
      <c r="F658">
        <v>85.29</v>
      </c>
      <c r="G658">
        <v>55.6</v>
      </c>
      <c r="H658" s="12">
        <f t="shared" si="122"/>
        <v>119.28044134255573</v>
      </c>
      <c r="I658" s="12">
        <f t="shared" si="123"/>
        <v>101.0345884048439</v>
      </c>
      <c r="J658" s="12">
        <f t="shared" si="124"/>
        <v>157.46054169408714</v>
      </c>
      <c r="K658" s="12">
        <f t="shared" si="125"/>
        <v>134.67648219833561</v>
      </c>
      <c r="P658" s="12"/>
      <c r="Q658" s="12"/>
      <c r="R658" s="12"/>
      <c r="S658" s="12"/>
      <c r="V658">
        <v>0.51157580283793902</v>
      </c>
      <c r="W658" s="12"/>
      <c r="X658" s="12"/>
      <c r="Y658" t="str">
        <v>20120224</v>
      </c>
      <c r="Z658">
        <v>51.1</v>
      </c>
      <c r="AA658">
        <v>25.5</v>
      </c>
      <c r="AB658">
        <f t="shared" si="126"/>
        <v>2.003921568627451</v>
      </c>
      <c r="AY658" t="str">
        <v>14/02/2022</v>
      </c>
      <c r="AZ658">
        <v>32.200000000000003</v>
      </c>
      <c r="BA658">
        <v>31</v>
      </c>
      <c r="BB658">
        <f t="shared" si="127"/>
        <v>1.0387096774193549</v>
      </c>
    </row>
    <row r="659" spans="1:54" x14ac:dyDescent="0.3">
      <c r="A659" s="11">
        <v>44568</v>
      </c>
      <c r="B659">
        <v>0.55017301038062305</v>
      </c>
      <c r="C659">
        <v>4696.05</v>
      </c>
      <c r="D659">
        <v>143.29</v>
      </c>
      <c r="E659">
        <v>1791.375</v>
      </c>
      <c r="F659">
        <v>85.31</v>
      </c>
      <c r="G659">
        <v>55.35</v>
      </c>
      <c r="H659" s="12">
        <f t="shared" si="122"/>
        <v>118.90730933999157</v>
      </c>
      <c r="I659" s="12">
        <f t="shared" si="123"/>
        <v>101.73342336644475</v>
      </c>
      <c r="J659" s="12">
        <f t="shared" si="124"/>
        <v>158.06367685320643</v>
      </c>
      <c r="K659" s="12">
        <f t="shared" si="125"/>
        <v>135.84021503010567</v>
      </c>
      <c r="P659" s="12"/>
      <c r="Q659" s="12"/>
      <c r="R659" s="12"/>
      <c r="S659" s="12"/>
      <c r="V659">
        <v>0.50950570342205304</v>
      </c>
      <c r="W659" s="12"/>
      <c r="X659" s="12"/>
      <c r="Y659" t="str">
        <v>20120217</v>
      </c>
      <c r="Z659">
        <v>51.1</v>
      </c>
      <c r="AA659">
        <v>26.6</v>
      </c>
      <c r="AB659">
        <f t="shared" si="126"/>
        <v>1.9210526315789473</v>
      </c>
      <c r="AY659" t="str">
        <v>11/02/2022</v>
      </c>
      <c r="AZ659">
        <v>33.700000000000003</v>
      </c>
      <c r="BA659">
        <v>27.9</v>
      </c>
      <c r="BB659">
        <f t="shared" si="127"/>
        <v>1.2078853046594984</v>
      </c>
    </row>
    <row r="660" spans="1:54" x14ac:dyDescent="0.3">
      <c r="A660" s="11">
        <v>44567</v>
      </c>
      <c r="B660">
        <v>0.561594202898551</v>
      </c>
      <c r="C660">
        <v>4700.58</v>
      </c>
      <c r="D660">
        <v>142.91999999999999</v>
      </c>
      <c r="E660">
        <v>1810.27</v>
      </c>
      <c r="F660">
        <v>85.38</v>
      </c>
      <c r="G660">
        <v>55.41</v>
      </c>
      <c r="H660" s="12">
        <f t="shared" si="122"/>
        <v>119.33124214119644</v>
      </c>
      <c r="I660" s="12">
        <f t="shared" si="123"/>
        <v>100.77865059710906</v>
      </c>
      <c r="J660" s="12">
        <f t="shared" si="124"/>
        <v>158.08641706647558</v>
      </c>
      <c r="K660" s="12">
        <f t="shared" si="125"/>
        <v>135.82403483279575</v>
      </c>
      <c r="P660" s="12"/>
      <c r="Q660" s="12"/>
      <c r="R660" s="12"/>
      <c r="S660" s="12"/>
      <c r="V660">
        <v>0.51239669421487599</v>
      </c>
      <c r="W660" s="12"/>
      <c r="X660" s="12"/>
      <c r="Y660" t="str">
        <v>20120210</v>
      </c>
      <c r="Z660">
        <v>54.8</v>
      </c>
      <c r="AA660">
        <v>25.8</v>
      </c>
      <c r="AB660">
        <f t="shared" si="126"/>
        <v>2.1240310077519378</v>
      </c>
      <c r="AY660" t="str">
        <v>10/02/2022</v>
      </c>
      <c r="AZ660">
        <v>33.700000000000003</v>
      </c>
      <c r="BA660">
        <v>27.9</v>
      </c>
      <c r="BB660">
        <f t="shared" si="127"/>
        <v>1.2078853046594984</v>
      </c>
    </row>
    <row r="661" spans="1:54" x14ac:dyDescent="0.3">
      <c r="A661" s="11">
        <v>44566</v>
      </c>
      <c r="B661">
        <v>0.54651162790697705</v>
      </c>
      <c r="C661">
        <v>4793.54</v>
      </c>
      <c r="D661">
        <v>143.69999999999999</v>
      </c>
      <c r="E661">
        <v>1814.5</v>
      </c>
      <c r="F661">
        <v>85.49</v>
      </c>
      <c r="G661">
        <v>56.02</v>
      </c>
      <c r="H661" s="12">
        <f t="shared" si="122"/>
        <v>121.02127902750921</v>
      </c>
      <c r="I661" s="12">
        <f t="shared" si="123"/>
        <v>102.52793562302267</v>
      </c>
      <c r="J661" s="12">
        <f t="shared" si="124"/>
        <v>161.00152121949122</v>
      </c>
      <c r="K661" s="12">
        <f t="shared" si="125"/>
        <v>136.98896127014223</v>
      </c>
      <c r="P661" s="12"/>
      <c r="Q661" s="12"/>
      <c r="R661" s="12"/>
      <c r="S661" s="12"/>
      <c r="V661">
        <v>0.51321928460342103</v>
      </c>
      <c r="W661" s="12"/>
      <c r="X661" s="12"/>
      <c r="Y661" t="str">
        <v>20120203</v>
      </c>
      <c r="Z661">
        <v>52.1</v>
      </c>
      <c r="AA661">
        <v>28.7</v>
      </c>
      <c r="AB661">
        <f t="shared" si="126"/>
        <v>1.8153310104529619</v>
      </c>
      <c r="AY661" t="str">
        <v>09/02/2022</v>
      </c>
      <c r="AZ661">
        <v>33.700000000000003</v>
      </c>
      <c r="BA661">
        <v>27.9</v>
      </c>
      <c r="BB661">
        <f t="shared" si="127"/>
        <v>1.2078853046594984</v>
      </c>
    </row>
    <row r="662" spans="1:54" x14ac:dyDescent="0.3">
      <c r="A662" s="11">
        <v>44565</v>
      </c>
      <c r="B662">
        <v>0.54545454545454497</v>
      </c>
      <c r="C662">
        <v>4796.5600000000004</v>
      </c>
      <c r="D662">
        <v>144.30000000000001</v>
      </c>
      <c r="E662">
        <v>1801.4</v>
      </c>
      <c r="F662">
        <v>85.44</v>
      </c>
      <c r="G662">
        <v>55.92</v>
      </c>
      <c r="H662" s="12">
        <f t="shared" si="122"/>
        <v>120.59577056700169</v>
      </c>
      <c r="I662" s="12">
        <f t="shared" si="123"/>
        <v>103.34453724291413</v>
      </c>
      <c r="J662" s="12">
        <f t="shared" si="124"/>
        <v>161.19734760761722</v>
      </c>
      <c r="K662" s="12">
        <f t="shared" si="125"/>
        <v>137.32098788075859</v>
      </c>
      <c r="P662" s="12"/>
      <c r="Q662" s="12"/>
      <c r="R662" s="12"/>
      <c r="S662" s="12"/>
      <c r="V662">
        <v>0.51151707704527405</v>
      </c>
      <c r="W662" s="12"/>
      <c r="X662" s="12"/>
      <c r="Y662" t="str">
        <v>20120127</v>
      </c>
      <c r="Z662">
        <v>48.9</v>
      </c>
      <c r="AA662">
        <v>29.8</v>
      </c>
      <c r="AB662">
        <f t="shared" si="126"/>
        <v>1.6409395973154361</v>
      </c>
      <c r="AY662" t="str">
        <v>08/02/2022</v>
      </c>
      <c r="AZ662">
        <v>33.700000000000003</v>
      </c>
      <c r="BA662">
        <v>27.9</v>
      </c>
      <c r="BB662">
        <f t="shared" si="127"/>
        <v>1.2078853046594984</v>
      </c>
    </row>
    <row r="663" spans="1:54" x14ac:dyDescent="0.3">
      <c r="A663" s="11">
        <v>44561</v>
      </c>
      <c r="B663">
        <v>0.61172161172161199</v>
      </c>
      <c r="C663">
        <v>4766.18</v>
      </c>
      <c r="D663">
        <v>148.19</v>
      </c>
      <c r="E663">
        <v>1821.9</v>
      </c>
      <c r="F663">
        <v>85.54</v>
      </c>
      <c r="G663">
        <v>55.6</v>
      </c>
      <c r="H663" s="12">
        <f t="shared" si="122"/>
        <v>116.78573389948356</v>
      </c>
      <c r="I663" s="12">
        <f t="shared" si="123"/>
        <v>101.55453028446757</v>
      </c>
      <c r="J663" s="12">
        <f t="shared" si="124"/>
        <v>159.99051974622526</v>
      </c>
      <c r="K663" s="12">
        <f t="shared" si="125"/>
        <v>137.2360824321091</v>
      </c>
      <c r="P663" s="12"/>
      <c r="Q663" s="12"/>
      <c r="R663" s="12"/>
      <c r="S663" s="12"/>
      <c r="V663">
        <v>0.51331360946745597</v>
      </c>
      <c r="W663" s="12"/>
      <c r="X663" s="12"/>
      <c r="Y663" t="str">
        <v>20120120</v>
      </c>
      <c r="Z663">
        <v>50</v>
      </c>
      <c r="AA663">
        <v>28.7</v>
      </c>
      <c r="AB663">
        <f t="shared" si="126"/>
        <v>1.7421602787456447</v>
      </c>
      <c r="AY663" t="str">
        <v>07/02/2022</v>
      </c>
      <c r="AZ663">
        <v>33.700000000000003</v>
      </c>
      <c r="BA663">
        <v>27.9</v>
      </c>
      <c r="BB663">
        <f t="shared" si="127"/>
        <v>1.2078853046594984</v>
      </c>
    </row>
    <row r="664" spans="1:54" x14ac:dyDescent="0.3">
      <c r="A664" s="11">
        <v>44561</v>
      </c>
      <c r="B664">
        <v>0.60606060606060597</v>
      </c>
      <c r="C664">
        <v>4778.7299999999996</v>
      </c>
      <c r="D664">
        <v>147.9</v>
      </c>
      <c r="E664">
        <v>1802.27</v>
      </c>
      <c r="F664">
        <v>85.55</v>
      </c>
      <c r="G664">
        <v>55.69</v>
      </c>
      <c r="H664" s="12">
        <f t="shared" si="122"/>
        <v>117.32389922214358</v>
      </c>
      <c r="I664" s="12">
        <f t="shared" si="123"/>
        <v>102.94616065713001</v>
      </c>
      <c r="J664" s="12">
        <f t="shared" si="124"/>
        <v>160.39299872044271</v>
      </c>
      <c r="K664" s="12">
        <f t="shared" si="125"/>
        <v>137.37484912332033</v>
      </c>
      <c r="P664" s="12"/>
      <c r="Q664" s="12"/>
      <c r="R664" s="12"/>
      <c r="S664" s="12"/>
      <c r="V664">
        <v>0.510479041916168</v>
      </c>
      <c r="W664" s="12"/>
      <c r="X664" s="12"/>
      <c r="Y664" t="str">
        <v>20120113</v>
      </c>
      <c r="Z664">
        <v>60</v>
      </c>
      <c r="AA664">
        <v>29.8</v>
      </c>
      <c r="AB664">
        <f t="shared" si="126"/>
        <v>2.0134228187919461</v>
      </c>
      <c r="AY664" t="str">
        <v>04/02/2022</v>
      </c>
      <c r="AZ664">
        <v>34.1</v>
      </c>
      <c r="BA664">
        <v>25.9</v>
      </c>
      <c r="BB664">
        <f t="shared" si="127"/>
        <v>1.3166023166023166</v>
      </c>
    </row>
    <row r="665" spans="1:54" x14ac:dyDescent="0.3">
      <c r="A665" s="11">
        <v>44560</v>
      </c>
      <c r="B665">
        <v>0.61216730038022804</v>
      </c>
      <c r="C665">
        <v>4793.0600000000004</v>
      </c>
      <c r="D665">
        <v>146.66999999999999</v>
      </c>
      <c r="E665">
        <v>1804.47</v>
      </c>
      <c r="F665">
        <v>85.5</v>
      </c>
      <c r="G665">
        <v>55.66</v>
      </c>
      <c r="H665" s="12">
        <f t="shared" si="122"/>
        <v>118.67392337541916</v>
      </c>
      <c r="I665" s="12">
        <f t="shared" si="123"/>
        <v>103.12875473505143</v>
      </c>
      <c r="J665" s="12">
        <f t="shared" si="124"/>
        <v>160.96838579351319</v>
      </c>
      <c r="K665" s="12">
        <f t="shared" si="125"/>
        <v>137.86132396662009</v>
      </c>
      <c r="P665" s="12"/>
      <c r="Q665" s="12"/>
      <c r="R665" s="12"/>
      <c r="S665" s="12"/>
      <c r="V665">
        <v>0.50892857142857095</v>
      </c>
      <c r="W665" s="12"/>
      <c r="X665" s="12"/>
      <c r="Y665" t="str">
        <v>20120106</v>
      </c>
      <c r="Z665">
        <v>51.1</v>
      </c>
      <c r="AA665">
        <v>29.8</v>
      </c>
      <c r="AB665">
        <f t="shared" si="126"/>
        <v>1.7147651006711409</v>
      </c>
      <c r="AY665" t="str">
        <v>03/02/2022</v>
      </c>
      <c r="AZ665">
        <v>34.1</v>
      </c>
      <c r="BA665">
        <v>25.9</v>
      </c>
      <c r="BB665">
        <f t="shared" si="127"/>
        <v>1.3166023166023166</v>
      </c>
    </row>
    <row r="666" spans="1:54" x14ac:dyDescent="0.3">
      <c r="A666" s="11">
        <v>44559</v>
      </c>
      <c r="B666">
        <v>0.60583941605839398</v>
      </c>
      <c r="C666">
        <v>4786.3500000000004</v>
      </c>
      <c r="D666">
        <v>148.29</v>
      </c>
      <c r="E666">
        <v>1806.2850000000001</v>
      </c>
      <c r="F666">
        <v>85.51</v>
      </c>
      <c r="G666">
        <v>55.81</v>
      </c>
      <c r="H666" s="12">
        <f t="shared" si="122"/>
        <v>117.22890791439514</v>
      </c>
      <c r="I666" s="12">
        <f t="shared" si="123"/>
        <v>102.88114778065925</v>
      </c>
      <c r="J666" s="12">
        <f t="shared" si="124"/>
        <v>160.72426994251893</v>
      </c>
      <c r="K666" s="12">
        <f t="shared" si="125"/>
        <v>137.29982347252962</v>
      </c>
      <c r="P666" s="12"/>
      <c r="Q666" s="12"/>
      <c r="R666" s="12"/>
      <c r="S666" s="12"/>
      <c r="V666">
        <v>0.51194786386676305</v>
      </c>
      <c r="W666" s="12"/>
      <c r="X666" s="12"/>
      <c r="Y666" t="str">
        <v>20111230</v>
      </c>
      <c r="Z666">
        <v>49.5</v>
      </c>
      <c r="AA666">
        <v>30.5</v>
      </c>
      <c r="AB666">
        <f t="shared" si="126"/>
        <v>1.6229508196721312</v>
      </c>
      <c r="AY666" t="str">
        <v>02/02/2022</v>
      </c>
      <c r="AZ666">
        <v>34.1</v>
      </c>
      <c r="BA666">
        <v>25.9</v>
      </c>
      <c r="BB666">
        <f t="shared" si="127"/>
        <v>1.3166023166023166</v>
      </c>
    </row>
    <row r="667" spans="1:54" x14ac:dyDescent="0.3">
      <c r="A667" s="11">
        <v>44558</v>
      </c>
      <c r="B667">
        <v>0.60805860805860801</v>
      </c>
      <c r="C667">
        <v>4791.1899999999996</v>
      </c>
      <c r="D667">
        <v>148.88</v>
      </c>
      <c r="E667">
        <v>1812.1</v>
      </c>
      <c r="F667">
        <v>85.51</v>
      </c>
      <c r="G667">
        <v>55.8</v>
      </c>
      <c r="H667" s="12">
        <f t="shared" si="122"/>
        <v>116.88378100015493</v>
      </c>
      <c r="I667" s="12">
        <f t="shared" si="123"/>
        <v>102.65542937123305</v>
      </c>
      <c r="J667" s="12">
        <f t="shared" si="124"/>
        <v>160.88679576418298</v>
      </c>
      <c r="K667" s="12">
        <f t="shared" si="125"/>
        <v>137.46332219918312</v>
      </c>
      <c r="P667" s="12"/>
      <c r="Q667" s="12"/>
      <c r="R667" s="12"/>
      <c r="S667" s="12"/>
      <c r="V667">
        <v>0.51057622173595896</v>
      </c>
      <c r="W667" s="12"/>
      <c r="X667" s="12"/>
      <c r="Y667" t="str">
        <v>20111223</v>
      </c>
      <c r="Z667">
        <v>50.5</v>
      </c>
      <c r="AA667">
        <v>29.5</v>
      </c>
      <c r="AB667">
        <f t="shared" si="126"/>
        <v>1.7118644067796611</v>
      </c>
      <c r="AY667" t="str">
        <v>01/02/2022</v>
      </c>
      <c r="AZ667">
        <v>34.1</v>
      </c>
      <c r="BA667">
        <v>25.9</v>
      </c>
      <c r="BB667">
        <f t="shared" si="127"/>
        <v>1.3166023166023166</v>
      </c>
    </row>
    <row r="668" spans="1:54" x14ac:dyDescent="0.3">
      <c r="A668" s="11">
        <v>44554</v>
      </c>
      <c r="B668">
        <v>0.61347517730496504</v>
      </c>
      <c r="C668">
        <v>4725.79</v>
      </c>
      <c r="D668">
        <v>148.52000000000001</v>
      </c>
      <c r="E668">
        <v>1808.45</v>
      </c>
      <c r="F668">
        <v>85.54</v>
      </c>
      <c r="G668">
        <v>55.47</v>
      </c>
      <c r="H668" s="12">
        <f t="shared" si="122"/>
        <v>115.56460638922535</v>
      </c>
      <c r="I668" s="12">
        <f t="shared" si="123"/>
        <v>101.4561514046985</v>
      </c>
      <c r="J668" s="12">
        <f t="shared" si="124"/>
        <v>158.63580616052096</v>
      </c>
      <c r="K668" s="12">
        <f t="shared" si="125"/>
        <v>136.38725481121222</v>
      </c>
      <c r="P668" s="12"/>
      <c r="Q668" s="12"/>
      <c r="R668" s="12"/>
      <c r="S668" s="12"/>
      <c r="V668">
        <v>0.52036516853932602</v>
      </c>
      <c r="W668" s="12"/>
      <c r="X668" s="12"/>
      <c r="Y668" t="str">
        <v>20111216</v>
      </c>
      <c r="Z668">
        <v>48.4</v>
      </c>
      <c r="AA668">
        <v>30.5</v>
      </c>
      <c r="AB668">
        <f t="shared" si="126"/>
        <v>1.5868852459016394</v>
      </c>
      <c r="AY668" t="str">
        <v>31/01/2022</v>
      </c>
      <c r="AZ668">
        <v>34.1</v>
      </c>
      <c r="BA668">
        <v>25.9</v>
      </c>
      <c r="BB668">
        <f t="shared" si="127"/>
        <v>1.3166023166023166</v>
      </c>
    </row>
    <row r="669" spans="1:54" x14ac:dyDescent="0.3">
      <c r="A669" s="11">
        <v>44553</v>
      </c>
      <c r="B669">
        <v>0.61512027491408905</v>
      </c>
      <c r="C669">
        <v>4696.5600000000004</v>
      </c>
      <c r="D669">
        <v>149.82</v>
      </c>
      <c r="E669">
        <v>1803.61</v>
      </c>
      <c r="F669">
        <v>85.55</v>
      </c>
      <c r="G669">
        <v>55.15</v>
      </c>
      <c r="H669" s="12">
        <f t="shared" si="122"/>
        <v>113.86788569738792</v>
      </c>
      <c r="I669" s="12">
        <f t="shared" si="123"/>
        <v>101.09824368634938</v>
      </c>
      <c r="J669" s="12">
        <f t="shared" si="124"/>
        <v>157.63629825723376</v>
      </c>
      <c r="K669" s="12">
        <f t="shared" si="125"/>
        <v>136.32981266040989</v>
      </c>
      <c r="P669" s="12"/>
      <c r="Q669" s="12"/>
      <c r="R669" s="12"/>
      <c r="S669" s="12"/>
      <c r="V669">
        <v>0.52</v>
      </c>
      <c r="W669" s="12"/>
      <c r="X669" s="12"/>
      <c r="Y669" t="str">
        <v>20111209</v>
      </c>
      <c r="Z669">
        <v>45.3</v>
      </c>
      <c r="AA669">
        <v>30.5</v>
      </c>
      <c r="AB669">
        <f t="shared" si="126"/>
        <v>1.4852459016393442</v>
      </c>
      <c r="AY669" t="str">
        <v>28/01/2022</v>
      </c>
      <c r="AZ669">
        <v>35.700000000000003</v>
      </c>
      <c r="BA669">
        <v>25</v>
      </c>
      <c r="BB669">
        <f t="shared" si="127"/>
        <v>1.4280000000000002</v>
      </c>
    </row>
    <row r="670" spans="1:54" x14ac:dyDescent="0.3">
      <c r="A670" s="11">
        <v>44552</v>
      </c>
      <c r="B670">
        <v>0.608108108108108</v>
      </c>
      <c r="C670">
        <v>4649.2299999999996</v>
      </c>
      <c r="D670">
        <v>149.13</v>
      </c>
      <c r="E670">
        <v>1788.8</v>
      </c>
      <c r="F670">
        <v>85.56</v>
      </c>
      <c r="G670">
        <v>54.67</v>
      </c>
      <c r="H670" s="12">
        <f t="shared" si="122"/>
        <v>113.23903032541665</v>
      </c>
      <c r="I670" s="12">
        <f t="shared" si="123"/>
        <v>100.90643196233053</v>
      </c>
      <c r="J670" s="12">
        <f t="shared" si="124"/>
        <v>156.02965197176664</v>
      </c>
      <c r="K670" s="12">
        <f t="shared" si="125"/>
        <v>136.13918676845282</v>
      </c>
      <c r="P670" s="12"/>
      <c r="Q670" s="12"/>
      <c r="R670" s="12"/>
      <c r="S670" s="12"/>
      <c r="V670">
        <v>0.517501715854496</v>
      </c>
      <c r="W670" s="12"/>
      <c r="X670" s="12"/>
      <c r="Y670" t="str">
        <v>20111202</v>
      </c>
      <c r="Z670">
        <v>47.4</v>
      </c>
      <c r="AA670">
        <v>29.5</v>
      </c>
      <c r="AB670">
        <f t="shared" si="126"/>
        <v>1.6067796610169491</v>
      </c>
      <c r="AY670" t="str">
        <v>27/01/2022</v>
      </c>
      <c r="AZ670">
        <v>35.700000000000003</v>
      </c>
      <c r="BA670">
        <v>25</v>
      </c>
      <c r="BB670">
        <f t="shared" si="127"/>
        <v>1.4280000000000002</v>
      </c>
    </row>
    <row r="671" spans="1:54" x14ac:dyDescent="0.3">
      <c r="A671" s="11">
        <v>44551</v>
      </c>
      <c r="B671">
        <v>0.59797297297297303</v>
      </c>
      <c r="C671">
        <v>4568.0200000000004</v>
      </c>
      <c r="D671">
        <v>149.69999999999999</v>
      </c>
      <c r="E671">
        <v>1790.72</v>
      </c>
      <c r="F671">
        <v>85.61</v>
      </c>
      <c r="G671">
        <v>53.94</v>
      </c>
      <c r="H671" s="12">
        <f t="shared" si="122"/>
        <v>110.8463499638103</v>
      </c>
      <c r="I671" s="12">
        <f t="shared" si="123"/>
        <v>99.039523319574329</v>
      </c>
      <c r="J671" s="12">
        <f t="shared" si="124"/>
        <v>153.2162963154677</v>
      </c>
      <c r="K671" s="12">
        <f t="shared" si="125"/>
        <v>135.5638014807864</v>
      </c>
      <c r="P671" s="12"/>
      <c r="Q671" s="12"/>
      <c r="R671" s="12"/>
      <c r="S671" s="12"/>
      <c r="V671">
        <v>0.51994497936726303</v>
      </c>
      <c r="W671" s="12"/>
      <c r="X671" s="12"/>
      <c r="Y671" t="str">
        <v>20111125</v>
      </c>
      <c r="Z671">
        <v>44.2</v>
      </c>
      <c r="AA671">
        <v>30.5</v>
      </c>
      <c r="AB671">
        <f t="shared" si="126"/>
        <v>1.4491803278688526</v>
      </c>
      <c r="AY671" t="str">
        <v>26/01/2022</v>
      </c>
      <c r="AZ671">
        <v>35.700000000000003</v>
      </c>
      <c r="BA671">
        <v>25</v>
      </c>
      <c r="BB671">
        <f t="shared" si="127"/>
        <v>1.4280000000000002</v>
      </c>
    </row>
    <row r="672" spans="1:54" x14ac:dyDescent="0.3">
      <c r="A672" s="11">
        <v>44548</v>
      </c>
      <c r="B672">
        <v>0.612179487179487</v>
      </c>
      <c r="C672">
        <v>4620.6400000000003</v>
      </c>
      <c r="D672">
        <v>150.83000000000001</v>
      </c>
      <c r="E672">
        <v>1797.95</v>
      </c>
      <c r="F672">
        <v>85.59</v>
      </c>
      <c r="G672">
        <v>54.31</v>
      </c>
      <c r="H672" s="12">
        <f t="shared" si="122"/>
        <v>111.27991370626199</v>
      </c>
      <c r="I672" s="12">
        <f t="shared" si="123"/>
        <v>99.774541052372385</v>
      </c>
      <c r="J672" s="12">
        <f t="shared" si="124"/>
        <v>155.01786824758014</v>
      </c>
      <c r="K672" s="12">
        <f t="shared" si="125"/>
        <v>136.18689618278418</v>
      </c>
      <c r="P672" s="12"/>
      <c r="Q672" s="12"/>
      <c r="R672" s="12"/>
      <c r="S672" s="12"/>
      <c r="V672">
        <v>0.52462380300957601</v>
      </c>
      <c r="W672" s="12"/>
      <c r="X672" s="12"/>
      <c r="Y672" t="str">
        <v>20111118</v>
      </c>
      <c r="Z672">
        <v>47.4</v>
      </c>
      <c r="AA672">
        <v>32.6</v>
      </c>
      <c r="AB672">
        <f t="shared" si="126"/>
        <v>1.4539877300613495</v>
      </c>
      <c r="AY672" t="str">
        <v>25/01/2022</v>
      </c>
      <c r="AZ672">
        <v>35.700000000000003</v>
      </c>
      <c r="BA672">
        <v>25</v>
      </c>
      <c r="BB672">
        <f t="shared" si="127"/>
        <v>1.4280000000000002</v>
      </c>
    </row>
    <row r="673" spans="1:54" x14ac:dyDescent="0.3">
      <c r="A673" s="11">
        <v>44547</v>
      </c>
      <c r="B673">
        <v>0.61980830670926501</v>
      </c>
      <c r="C673">
        <v>4668.67</v>
      </c>
      <c r="D673">
        <v>149.13999999999999</v>
      </c>
      <c r="E673">
        <v>1799.2750000000001</v>
      </c>
      <c r="F673">
        <v>85.63</v>
      </c>
      <c r="G673">
        <v>54.89</v>
      </c>
      <c r="H673" s="12">
        <f t="shared" si="122"/>
        <v>113.73887553771725</v>
      </c>
      <c r="I673" s="12">
        <f t="shared" si="123"/>
        <v>100.73670947574674</v>
      </c>
      <c r="J673" s="12">
        <f t="shared" si="124"/>
        <v>156.55533565138134</v>
      </c>
      <c r="K673" s="12">
        <f t="shared" si="125"/>
        <v>136.14892952377676</v>
      </c>
      <c r="P673" s="12"/>
      <c r="Q673" s="12"/>
      <c r="R673" s="12"/>
      <c r="S673" s="12"/>
      <c r="V673">
        <v>0.52575250836120402</v>
      </c>
      <c r="W673" s="12"/>
      <c r="X673" s="12"/>
      <c r="Y673" t="str">
        <v>20111111</v>
      </c>
      <c r="Z673">
        <v>47.4</v>
      </c>
      <c r="AA673">
        <v>32.6</v>
      </c>
      <c r="AB673">
        <f t="shared" si="126"/>
        <v>1.4539877300613495</v>
      </c>
      <c r="AY673" t="str">
        <v>24/01/2022</v>
      </c>
      <c r="AZ673">
        <v>35.700000000000003</v>
      </c>
      <c r="BA673">
        <v>25</v>
      </c>
      <c r="BB673">
        <f t="shared" si="127"/>
        <v>1.4280000000000002</v>
      </c>
    </row>
    <row r="674" spans="1:54" x14ac:dyDescent="0.3">
      <c r="A674" s="11">
        <v>44546</v>
      </c>
      <c r="B674">
        <v>0.63897763578274802</v>
      </c>
      <c r="C674">
        <v>4709.8500000000004</v>
      </c>
      <c r="D674">
        <v>149.25</v>
      </c>
      <c r="E674">
        <v>1776.875</v>
      </c>
      <c r="F674">
        <v>85.58</v>
      </c>
      <c r="G674">
        <v>54.83</v>
      </c>
      <c r="H674" s="12">
        <f t="shared" si="122"/>
        <v>114.65685961087786</v>
      </c>
      <c r="I674" s="12">
        <f t="shared" si="123"/>
        <v>102.93433487226129</v>
      </c>
      <c r="J674" s="12">
        <f t="shared" si="124"/>
        <v>158.02937469707695</v>
      </c>
      <c r="K674" s="12">
        <f t="shared" si="125"/>
        <v>137.50162509265928</v>
      </c>
      <c r="P674" s="12"/>
      <c r="Q674" s="12"/>
      <c r="R674" s="12"/>
      <c r="S674" s="12"/>
      <c r="V674">
        <v>0.53195739014647103</v>
      </c>
      <c r="W674" s="12"/>
      <c r="X674" s="12"/>
      <c r="Y674" t="str">
        <v>20111104</v>
      </c>
      <c r="Z674">
        <v>44.2</v>
      </c>
      <c r="AA674">
        <v>34.700000000000003</v>
      </c>
      <c r="AB674">
        <f t="shared" si="126"/>
        <v>1.2737752161383284</v>
      </c>
      <c r="AY674" t="str">
        <v>21/01/2022</v>
      </c>
      <c r="AZ674">
        <v>34.9</v>
      </c>
      <c r="BA674">
        <v>26.7</v>
      </c>
      <c r="BB674">
        <f t="shared" si="127"/>
        <v>1.3071161048689139</v>
      </c>
    </row>
    <row r="675" spans="1:54" x14ac:dyDescent="0.3">
      <c r="A675" s="11">
        <v>44545</v>
      </c>
      <c r="B675">
        <v>0.65259740259740295</v>
      </c>
      <c r="C675">
        <v>4634.09</v>
      </c>
      <c r="D675">
        <v>150.69999999999999</v>
      </c>
      <c r="E675">
        <v>1770.5</v>
      </c>
      <c r="F675">
        <v>85.55</v>
      </c>
      <c r="G675">
        <v>54.35</v>
      </c>
      <c r="H675" s="12">
        <f t="shared" si="122"/>
        <v>111.7545738399582</v>
      </c>
      <c r="I675" s="12">
        <f t="shared" si="123"/>
        <v>101.63867236551492</v>
      </c>
      <c r="J675" s="12">
        <f t="shared" si="124"/>
        <v>155.54106954777924</v>
      </c>
      <c r="K675" s="12">
        <f t="shared" si="125"/>
        <v>136.4757691415895</v>
      </c>
      <c r="P675" s="12"/>
      <c r="Q675" s="12"/>
      <c r="R675" s="12"/>
      <c r="S675" s="12"/>
      <c r="V675">
        <v>0.53403833443489801</v>
      </c>
      <c r="W675" s="12"/>
      <c r="X675" s="12"/>
      <c r="Y675" t="str">
        <v>20111028</v>
      </c>
      <c r="Z675">
        <v>43.2</v>
      </c>
      <c r="AA675">
        <v>36.799999999999997</v>
      </c>
      <c r="AB675">
        <f t="shared" si="126"/>
        <v>1.173913043478261</v>
      </c>
      <c r="AY675" t="str">
        <v>20/01/2022</v>
      </c>
      <c r="AZ675">
        <v>34.9</v>
      </c>
      <c r="BA675">
        <v>26.7</v>
      </c>
      <c r="BB675">
        <f t="shared" si="127"/>
        <v>1.3071161048689139</v>
      </c>
    </row>
    <row r="676" spans="1:54" x14ac:dyDescent="0.3">
      <c r="A676" s="11">
        <v>44544</v>
      </c>
      <c r="B676">
        <v>0.66229508196721298</v>
      </c>
      <c r="C676">
        <v>4668.97</v>
      </c>
      <c r="D676">
        <v>151.06</v>
      </c>
      <c r="E676">
        <v>1786.6</v>
      </c>
      <c r="F676">
        <v>85.6</v>
      </c>
      <c r="G676">
        <v>54.6</v>
      </c>
      <c r="H676" s="12">
        <f t="shared" si="122"/>
        <v>112.32602569215561</v>
      </c>
      <c r="I676" s="12">
        <f t="shared" si="123"/>
        <v>101.48229506578691</v>
      </c>
      <c r="J676" s="12">
        <f t="shared" si="124"/>
        <v>156.61962847212405</v>
      </c>
      <c r="K676" s="12">
        <f t="shared" si="125"/>
        <v>136.87158038114038</v>
      </c>
      <c r="P676" s="12"/>
      <c r="Q676" s="12"/>
      <c r="R676" s="12"/>
      <c r="S676" s="12"/>
      <c r="V676">
        <v>0.537184594953519</v>
      </c>
      <c r="W676" s="12"/>
      <c r="X676" s="12"/>
      <c r="Y676" t="str">
        <v>20111021</v>
      </c>
      <c r="Z676">
        <v>40</v>
      </c>
      <c r="AA676">
        <v>37.9</v>
      </c>
      <c r="AB676">
        <f t="shared" si="126"/>
        <v>1.0554089709762533</v>
      </c>
      <c r="AY676" t="str">
        <v>19/01/2022</v>
      </c>
      <c r="AZ676">
        <v>34.9</v>
      </c>
      <c r="BA676">
        <v>26.7</v>
      </c>
      <c r="BB676">
        <f t="shared" si="127"/>
        <v>1.3071161048689139</v>
      </c>
    </row>
    <row r="677" spans="1:54" x14ac:dyDescent="0.3">
      <c r="A677" s="11">
        <v>44541</v>
      </c>
      <c r="B677">
        <v>0.653721682847896</v>
      </c>
      <c r="C677">
        <v>4712.0200000000004</v>
      </c>
      <c r="D677">
        <v>148.86000000000001</v>
      </c>
      <c r="E677">
        <v>1782.905</v>
      </c>
      <c r="F677">
        <v>85.55</v>
      </c>
      <c r="G677">
        <v>56.1</v>
      </c>
      <c r="H677" s="12">
        <f t="shared" si="122"/>
        <v>115.07814202161747</v>
      </c>
      <c r="I677" s="12">
        <f t="shared" si="123"/>
        <v>102.63267075152473</v>
      </c>
      <c r="J677" s="12">
        <f t="shared" si="124"/>
        <v>158.1570195020968</v>
      </c>
      <c r="K677" s="12">
        <f t="shared" si="125"/>
        <v>134.50407214361215</v>
      </c>
      <c r="P677" s="12"/>
      <c r="Q677" s="12"/>
      <c r="R677" s="12"/>
      <c r="S677" s="12"/>
      <c r="V677">
        <v>0.54325032765399695</v>
      </c>
      <c r="W677" s="12"/>
      <c r="X677" s="12"/>
      <c r="Y677" t="str">
        <v>20111014</v>
      </c>
      <c r="Z677">
        <v>35.799999999999997</v>
      </c>
      <c r="AA677">
        <v>41</v>
      </c>
      <c r="AB677">
        <f t="shared" si="126"/>
        <v>0.87317073170731696</v>
      </c>
      <c r="AY677" t="str">
        <v>18/01/2022</v>
      </c>
      <c r="AZ677">
        <v>34.9</v>
      </c>
      <c r="BA677">
        <v>26.7</v>
      </c>
      <c r="BB677">
        <f t="shared" si="127"/>
        <v>1.3071161048689139</v>
      </c>
    </row>
    <row r="678" spans="1:54" x14ac:dyDescent="0.3">
      <c r="A678" s="11">
        <v>44540</v>
      </c>
      <c r="B678">
        <v>0.66129032258064502</v>
      </c>
      <c r="C678">
        <v>4667.45</v>
      </c>
      <c r="D678">
        <v>149.22</v>
      </c>
      <c r="E678">
        <v>1775</v>
      </c>
      <c r="F678">
        <v>85.51</v>
      </c>
      <c r="G678">
        <v>56</v>
      </c>
      <c r="H678" s="12">
        <f t="shared" si="122"/>
        <v>113.71788769581303</v>
      </c>
      <c r="I678" s="12">
        <f t="shared" si="123"/>
        <v>102.11234806403793</v>
      </c>
      <c r="J678" s="12">
        <f t="shared" si="124"/>
        <v>156.7336693516217</v>
      </c>
      <c r="K678" s="12">
        <f t="shared" si="125"/>
        <v>133.46790777366468</v>
      </c>
      <c r="P678" s="12"/>
      <c r="Q678" s="12"/>
      <c r="R678" s="12"/>
      <c r="S678" s="12"/>
      <c r="V678">
        <v>0.54320987654320996</v>
      </c>
      <c r="W678" s="12"/>
      <c r="X678" s="12"/>
      <c r="Y678" t="str">
        <v>20111007</v>
      </c>
      <c r="Z678">
        <v>34.4</v>
      </c>
      <c r="AA678">
        <v>46.3</v>
      </c>
      <c r="AB678">
        <f t="shared" si="126"/>
        <v>0.74298056155507564</v>
      </c>
      <c r="AY678" t="str">
        <v>17/01/2022</v>
      </c>
      <c r="AZ678">
        <v>34.9</v>
      </c>
      <c r="BA678">
        <v>26.7</v>
      </c>
      <c r="BB678">
        <f t="shared" si="127"/>
        <v>1.3071161048689139</v>
      </c>
    </row>
    <row r="679" spans="1:54" x14ac:dyDescent="0.3">
      <c r="A679" s="11">
        <v>44539</v>
      </c>
      <c r="B679">
        <v>0.65064102564102599</v>
      </c>
      <c r="C679">
        <v>4701.21</v>
      </c>
      <c r="D679">
        <v>148.38999999999999</v>
      </c>
      <c r="E679">
        <v>1783.09</v>
      </c>
      <c r="F679">
        <v>85.54</v>
      </c>
      <c r="G679">
        <v>56.42</v>
      </c>
      <c r="H679" s="12">
        <f t="shared" si="122"/>
        <v>115.1893742173511</v>
      </c>
      <c r="I679" s="12">
        <f t="shared" si="123"/>
        <v>102.383055239507</v>
      </c>
      <c r="J679" s="12">
        <f t="shared" si="124"/>
        <v>157.81158828299897</v>
      </c>
      <c r="K679" s="12">
        <f t="shared" si="125"/>
        <v>133.43280977149433</v>
      </c>
      <c r="P679" s="12"/>
      <c r="Q679" s="12"/>
      <c r="R679" s="12"/>
      <c r="S679" s="12"/>
      <c r="V679">
        <v>0.54302477183833098</v>
      </c>
      <c r="W679" s="12"/>
      <c r="X679" s="12"/>
      <c r="Y679" t="str">
        <v>20110930</v>
      </c>
      <c r="Z679">
        <v>34.4</v>
      </c>
      <c r="AA679">
        <v>45.2</v>
      </c>
      <c r="AB679">
        <f t="shared" si="126"/>
        <v>0.76106194690265483</v>
      </c>
      <c r="AY679" t="str">
        <v>14/01/2022</v>
      </c>
      <c r="AZ679">
        <v>39.799999999999997</v>
      </c>
      <c r="BA679">
        <v>25</v>
      </c>
      <c r="BB679">
        <f t="shared" si="127"/>
        <v>1.5919999999999999</v>
      </c>
    </row>
    <row r="680" spans="1:54" x14ac:dyDescent="0.3">
      <c r="A680" s="11">
        <v>44538</v>
      </c>
      <c r="B680">
        <v>0.667721518987342</v>
      </c>
      <c r="C680">
        <v>4686.75</v>
      </c>
      <c r="D680">
        <v>151</v>
      </c>
      <c r="E680">
        <v>1784.15</v>
      </c>
      <c r="F680">
        <v>85.51</v>
      </c>
      <c r="G680">
        <v>56.305</v>
      </c>
      <c r="H680" s="12">
        <f t="shared" si="122"/>
        <v>112.88980196802302</v>
      </c>
      <c r="I680" s="12">
        <f t="shared" si="123"/>
        <v>102.00772657240483</v>
      </c>
      <c r="J680" s="12">
        <f t="shared" si="124"/>
        <v>157.38123598387554</v>
      </c>
      <c r="K680" s="12">
        <f t="shared" si="125"/>
        <v>133.29380482535723</v>
      </c>
      <c r="P680" s="12"/>
      <c r="Q680" s="12"/>
      <c r="R680" s="12"/>
      <c r="S680" s="12"/>
      <c r="V680">
        <v>0.54699738903394302</v>
      </c>
      <c r="W680" s="12"/>
      <c r="X680" s="12"/>
      <c r="Y680" t="str">
        <v>20110923</v>
      </c>
      <c r="Z680">
        <v>37.6</v>
      </c>
      <c r="AA680">
        <v>40.9</v>
      </c>
      <c r="AB680">
        <f t="shared" si="126"/>
        <v>0.9193154034229829</v>
      </c>
      <c r="AY680" t="str">
        <v>13/01/2022</v>
      </c>
      <c r="AZ680">
        <v>39.799999999999997</v>
      </c>
      <c r="BA680">
        <v>25</v>
      </c>
      <c r="BB680">
        <f t="shared" si="127"/>
        <v>1.5919999999999999</v>
      </c>
    </row>
    <row r="681" spans="1:54" x14ac:dyDescent="0.3">
      <c r="A681" s="11">
        <v>44537</v>
      </c>
      <c r="B681">
        <v>0.67197452229299404</v>
      </c>
      <c r="C681">
        <v>4591.67</v>
      </c>
      <c r="D681">
        <v>152.22999999999999</v>
      </c>
      <c r="E681">
        <v>1778.3</v>
      </c>
      <c r="F681">
        <v>85.62</v>
      </c>
      <c r="G681">
        <v>55.22</v>
      </c>
      <c r="H681" s="12">
        <f t="shared" si="122"/>
        <v>109.73098252339376</v>
      </c>
      <c r="I681" s="12">
        <f t="shared" si="123"/>
        <v>100.26143265958306</v>
      </c>
      <c r="J681" s="12">
        <f t="shared" si="124"/>
        <v>153.99461572133995</v>
      </c>
      <c r="K681" s="12">
        <f t="shared" si="125"/>
        <v>133.15287781778468</v>
      </c>
      <c r="P681" s="12"/>
      <c r="Q681" s="12"/>
      <c r="R681" s="12"/>
      <c r="S681" s="12"/>
      <c r="V681">
        <v>0.54944335297969904</v>
      </c>
      <c r="W681" s="12"/>
      <c r="X681" s="12"/>
      <c r="Y681" t="str">
        <v>20110916</v>
      </c>
      <c r="Z681">
        <v>37.6</v>
      </c>
      <c r="AA681">
        <v>39.799999999999997</v>
      </c>
      <c r="AB681">
        <f t="shared" si="126"/>
        <v>0.94472361809045236</v>
      </c>
      <c r="AY681" t="str">
        <v>12/01/2022</v>
      </c>
      <c r="AZ681">
        <v>39.799999999999997</v>
      </c>
      <c r="BA681">
        <v>25</v>
      </c>
      <c r="BB681">
        <f t="shared" si="127"/>
        <v>1.5919999999999999</v>
      </c>
    </row>
    <row r="682" spans="1:54" x14ac:dyDescent="0.3">
      <c r="A682" s="11">
        <v>44534</v>
      </c>
      <c r="B682">
        <v>0.699421965317919</v>
      </c>
      <c r="C682">
        <v>4538.43</v>
      </c>
      <c r="D682">
        <v>154.35</v>
      </c>
      <c r="E682">
        <v>1783.3</v>
      </c>
      <c r="F682">
        <v>85.69</v>
      </c>
      <c r="G682">
        <v>54.71</v>
      </c>
      <c r="H682" s="12">
        <f t="shared" si="122"/>
        <v>107.00597408078116</v>
      </c>
      <c r="I682" s="12">
        <f t="shared" si="123"/>
        <v>98.8250384264459</v>
      </c>
      <c r="J682" s="12">
        <f t="shared" si="124"/>
        <v>152.08626358181641</v>
      </c>
      <c r="K682" s="12">
        <f t="shared" si="125"/>
        <v>132.83287677873224</v>
      </c>
      <c r="P682" s="12"/>
      <c r="Q682" s="12"/>
      <c r="R682" s="12"/>
      <c r="S682" s="12"/>
      <c r="V682">
        <v>0.56142584341183999</v>
      </c>
      <c r="W682" s="12"/>
      <c r="X682" s="12"/>
      <c r="Y682" t="str">
        <v>20110909</v>
      </c>
      <c r="Z682">
        <v>35.5</v>
      </c>
      <c r="AA682">
        <v>40.9</v>
      </c>
      <c r="AB682">
        <f t="shared" si="126"/>
        <v>0.86797066014669932</v>
      </c>
      <c r="AY682" t="str">
        <v>11/01/2022</v>
      </c>
      <c r="AZ682">
        <v>39.799999999999997</v>
      </c>
      <c r="BA682">
        <v>25</v>
      </c>
      <c r="BB682">
        <f t="shared" si="127"/>
        <v>1.5919999999999999</v>
      </c>
    </row>
    <row r="683" spans="1:54" x14ac:dyDescent="0.3">
      <c r="A683" s="11">
        <v>44533</v>
      </c>
      <c r="B683">
        <v>0.71629213483146104</v>
      </c>
      <c r="C683">
        <v>4577.1000000000004</v>
      </c>
      <c r="D683">
        <v>152.53</v>
      </c>
      <c r="E683">
        <v>1767.7</v>
      </c>
      <c r="F683">
        <v>85.64</v>
      </c>
      <c r="G683">
        <v>55.1</v>
      </c>
      <c r="H683" s="12">
        <f t="shared" si="122"/>
        <v>109.23219836742234</v>
      </c>
      <c r="I683" s="12">
        <f t="shared" si="123"/>
        <v>100.5621088594836</v>
      </c>
      <c r="J683" s="12">
        <f t="shared" si="124"/>
        <v>153.47249163174155</v>
      </c>
      <c r="K683" s="12">
        <f t="shared" si="125"/>
        <v>133.01517954281059</v>
      </c>
      <c r="P683" s="12"/>
      <c r="Q683" s="12"/>
      <c r="R683" s="12"/>
      <c r="S683" s="12"/>
      <c r="V683">
        <v>0.57251908396946605</v>
      </c>
      <c r="W683" s="12"/>
      <c r="X683" s="12"/>
      <c r="Y683" t="str">
        <v>20110902</v>
      </c>
      <c r="Z683">
        <v>38.700000000000003</v>
      </c>
      <c r="AA683">
        <v>37.6</v>
      </c>
      <c r="AB683">
        <f t="shared" si="126"/>
        <v>1.0292553191489362</v>
      </c>
      <c r="AY683" t="str">
        <v>10/01/2022</v>
      </c>
      <c r="AZ683">
        <v>39.799999999999997</v>
      </c>
      <c r="BA683">
        <v>25</v>
      </c>
      <c r="BB683">
        <f t="shared" si="127"/>
        <v>1.5919999999999999</v>
      </c>
    </row>
    <row r="684" spans="1:54" x14ac:dyDescent="0.3">
      <c r="A684" s="11">
        <v>44532</v>
      </c>
      <c r="B684">
        <v>0.70136986301369897</v>
      </c>
      <c r="C684">
        <v>4513.04</v>
      </c>
      <c r="D684">
        <v>152.34</v>
      </c>
      <c r="E684">
        <v>1782.04</v>
      </c>
      <c r="F684">
        <v>85.75</v>
      </c>
      <c r="G684">
        <v>54.41</v>
      </c>
      <c r="H684" s="12">
        <f t="shared" si="122"/>
        <v>107.83602240723938</v>
      </c>
      <c r="I684" s="12">
        <f t="shared" si="123"/>
        <v>98.374132332155199</v>
      </c>
      <c r="J684" s="12">
        <f t="shared" si="124"/>
        <v>151.13336694406411</v>
      </c>
      <c r="K684" s="12">
        <f t="shared" si="125"/>
        <v>132.81424077418168</v>
      </c>
      <c r="P684" s="12"/>
      <c r="Q684" s="12"/>
      <c r="R684" s="12"/>
      <c r="S684" s="12"/>
      <c r="V684">
        <v>0.57197696737044101</v>
      </c>
      <c r="W684" s="12"/>
      <c r="X684" s="12"/>
      <c r="Y684" t="str">
        <v>20110826</v>
      </c>
      <c r="Z684">
        <v>40.9</v>
      </c>
      <c r="AA684">
        <v>36.6</v>
      </c>
      <c r="AB684">
        <f t="shared" si="126"/>
        <v>1.1174863387978142</v>
      </c>
      <c r="AY684" t="str">
        <v>07/01/2022</v>
      </c>
      <c r="AZ684">
        <v>43.7</v>
      </c>
      <c r="BA684">
        <v>23</v>
      </c>
      <c r="BB684">
        <f t="shared" si="127"/>
        <v>1.9000000000000001</v>
      </c>
    </row>
    <row r="685" spans="1:54" x14ac:dyDescent="0.3">
      <c r="A685" s="11">
        <v>44530</v>
      </c>
      <c r="B685">
        <v>0.71087533156498695</v>
      </c>
      <c r="C685">
        <v>4567</v>
      </c>
      <c r="D685">
        <v>151.59</v>
      </c>
      <c r="E685">
        <v>1774.88</v>
      </c>
      <c r="F685">
        <v>85.79</v>
      </c>
      <c r="G685">
        <v>54.68</v>
      </c>
      <c r="H685" s="12">
        <f t="shared" si="122"/>
        <v>109.67446830687156</v>
      </c>
      <c r="I685" s="12">
        <f t="shared" si="123"/>
        <v>99.958400156361648</v>
      </c>
      <c r="J685" s="12">
        <f t="shared" si="124"/>
        <v>152.86825983054737</v>
      </c>
      <c r="K685" s="12">
        <f t="shared" si="125"/>
        <v>133.73397962631304</v>
      </c>
      <c r="P685" s="12"/>
      <c r="Q685" s="12"/>
      <c r="R685" s="12"/>
      <c r="S685" s="12"/>
      <c r="V685">
        <v>0.56862745098039202</v>
      </c>
      <c r="W685" s="12"/>
      <c r="X685" s="12"/>
      <c r="Y685" t="str">
        <v>20110819</v>
      </c>
      <c r="Z685">
        <v>40.9</v>
      </c>
      <c r="AA685">
        <v>33.299999999999997</v>
      </c>
      <c r="AB685">
        <f t="shared" si="126"/>
        <v>1.2282282282282282</v>
      </c>
      <c r="AY685" t="str">
        <v>06/01/2022</v>
      </c>
      <c r="AZ685">
        <v>43.7</v>
      </c>
      <c r="BA685">
        <v>23</v>
      </c>
      <c r="BB685">
        <f t="shared" si="127"/>
        <v>1.9000000000000001</v>
      </c>
    </row>
    <row r="686" spans="1:54" x14ac:dyDescent="0.3">
      <c r="A686" s="11">
        <v>44530</v>
      </c>
      <c r="B686">
        <v>0.717741935483871</v>
      </c>
      <c r="C686">
        <v>4655.2700000000004</v>
      </c>
      <c r="D686">
        <v>149.32</v>
      </c>
      <c r="E686">
        <v>1784.66</v>
      </c>
      <c r="F686">
        <v>85.86</v>
      </c>
      <c r="G686">
        <v>55.05</v>
      </c>
      <c r="H686" s="12">
        <f t="shared" si="122"/>
        <v>113.55387243443286</v>
      </c>
      <c r="I686" s="12">
        <f t="shared" si="123"/>
        <v>101.32438158370519</v>
      </c>
      <c r="J686" s="12">
        <f t="shared" si="124"/>
        <v>155.69347765070353</v>
      </c>
      <c r="K686" s="12">
        <f t="shared" si="125"/>
        <v>135.39118720516862</v>
      </c>
      <c r="P686" s="12"/>
      <c r="Q686" s="12"/>
      <c r="R686" s="12"/>
      <c r="S686" s="12"/>
      <c r="V686">
        <v>0.57206918641896198</v>
      </c>
      <c r="W686" s="12"/>
      <c r="X686" s="12"/>
      <c r="Y686" t="str">
        <v>20110812</v>
      </c>
      <c r="Z686">
        <v>46.2</v>
      </c>
      <c r="AA686">
        <v>23.7</v>
      </c>
      <c r="AB686">
        <f t="shared" si="126"/>
        <v>1.9493670886075951</v>
      </c>
      <c r="AY686" t="str">
        <v>05/01/2022</v>
      </c>
      <c r="AZ686">
        <v>43.7</v>
      </c>
      <c r="BA686">
        <v>23</v>
      </c>
      <c r="BB686">
        <f t="shared" si="127"/>
        <v>1.9000000000000001</v>
      </c>
    </row>
    <row r="687" spans="1:54" x14ac:dyDescent="0.3">
      <c r="A687" s="11">
        <v>44527</v>
      </c>
      <c r="B687">
        <v>0.73210161662817597</v>
      </c>
      <c r="C687">
        <v>4594.62</v>
      </c>
      <c r="D687">
        <v>150.53</v>
      </c>
      <c r="E687">
        <v>1792.28</v>
      </c>
      <c r="F687">
        <v>85.82</v>
      </c>
      <c r="G687">
        <v>54.8</v>
      </c>
      <c r="H687" s="12">
        <f t="shared" si="122"/>
        <v>111.19231599608143</v>
      </c>
      <c r="I687" s="12">
        <f t="shared" si="123"/>
        <v>99.586420391396956</v>
      </c>
      <c r="J687" s="12">
        <f t="shared" si="124"/>
        <v>153.73578626907067</v>
      </c>
      <c r="K687" s="12">
        <f t="shared" si="125"/>
        <v>134.23167023404008</v>
      </c>
      <c r="P687" s="12"/>
      <c r="Q687" s="12"/>
      <c r="R687" s="12"/>
      <c r="S687" s="12"/>
      <c r="V687">
        <v>0.56462585034013602</v>
      </c>
      <c r="W687" s="12"/>
      <c r="X687" s="12"/>
      <c r="Y687" t="str">
        <v>20110805</v>
      </c>
      <c r="Z687">
        <v>47.3</v>
      </c>
      <c r="AA687">
        <v>23.7</v>
      </c>
      <c r="AB687">
        <f t="shared" si="126"/>
        <v>1.9957805907172994</v>
      </c>
      <c r="AY687" t="str">
        <v>04/01/2022</v>
      </c>
      <c r="AZ687">
        <v>43.7</v>
      </c>
      <c r="BA687">
        <v>23</v>
      </c>
      <c r="BB687">
        <f t="shared" si="127"/>
        <v>1.9000000000000001</v>
      </c>
    </row>
    <row r="688" spans="1:54" x14ac:dyDescent="0.3">
      <c r="A688" s="11">
        <v>44525</v>
      </c>
      <c r="B688">
        <v>0.736363636363636</v>
      </c>
      <c r="C688">
        <v>4701.46</v>
      </c>
      <c r="D688">
        <v>146.82</v>
      </c>
      <c r="E688">
        <v>1788.7</v>
      </c>
      <c r="F688">
        <v>85.65</v>
      </c>
      <c r="G688">
        <v>56.39</v>
      </c>
      <c r="H688" s="12">
        <f t="shared" si="122"/>
        <v>116.7979019584743</v>
      </c>
      <c r="I688" s="12">
        <f t="shared" si="123"/>
        <v>102.11125485718303</v>
      </c>
      <c r="J688" s="12">
        <f t="shared" si="124"/>
        <v>157.63079233263235</v>
      </c>
      <c r="K688" s="12">
        <f t="shared" si="125"/>
        <v>133.50120065153811</v>
      </c>
      <c r="P688" s="12"/>
      <c r="Q688" s="12"/>
      <c r="R688" s="12"/>
      <c r="S688" s="12"/>
      <c r="V688">
        <v>0.56207111665626996</v>
      </c>
      <c r="W688" s="12"/>
      <c r="X688" s="12"/>
      <c r="Y688" t="str">
        <v>20110729</v>
      </c>
      <c r="Z688">
        <v>46.3</v>
      </c>
      <c r="AA688">
        <v>24.7</v>
      </c>
      <c r="AB688">
        <f t="shared" si="126"/>
        <v>1.8744939271255061</v>
      </c>
      <c r="AY688" t="str">
        <v>03/01/2022</v>
      </c>
      <c r="AZ688">
        <v>43.7</v>
      </c>
      <c r="BA688">
        <v>23</v>
      </c>
      <c r="BB688">
        <f t="shared" si="127"/>
        <v>1.9000000000000001</v>
      </c>
    </row>
    <row r="689" spans="1:54" x14ac:dyDescent="0.3">
      <c r="A689" s="11">
        <v>44524</v>
      </c>
      <c r="B689">
        <v>0.73455377574370695</v>
      </c>
      <c r="C689">
        <v>4690.7</v>
      </c>
      <c r="D689">
        <v>144.5</v>
      </c>
      <c r="E689">
        <v>1789.16</v>
      </c>
      <c r="F689">
        <v>85.67</v>
      </c>
      <c r="G689">
        <v>56.62</v>
      </c>
      <c r="H689" s="12">
        <f t="shared" si="122"/>
        <v>118.42763949308691</v>
      </c>
      <c r="I689" s="12">
        <f t="shared" si="123"/>
        <v>101.85143138826915</v>
      </c>
      <c r="J689" s="12">
        <f t="shared" si="124"/>
        <v>157.23340774868561</v>
      </c>
      <c r="K689" s="12">
        <f t="shared" si="125"/>
        <v>132.65801706973178</v>
      </c>
      <c r="P689" s="12"/>
      <c r="Q689" s="12"/>
      <c r="R689" s="12"/>
      <c r="S689" s="12"/>
      <c r="V689">
        <v>0.56293049467751999</v>
      </c>
      <c r="W689" s="12"/>
      <c r="X689" s="12"/>
      <c r="Y689" t="str">
        <v>20110722</v>
      </c>
      <c r="Z689">
        <v>49.5</v>
      </c>
      <c r="AA689">
        <v>21.5</v>
      </c>
      <c r="AB689">
        <f t="shared" si="126"/>
        <v>2.3023255813953489</v>
      </c>
      <c r="AY689" t="str">
        <v>31/12/2021</v>
      </c>
      <c r="AZ689">
        <v>50.6</v>
      </c>
      <c r="BA689">
        <v>23.5</v>
      </c>
      <c r="BB689">
        <f t="shared" si="127"/>
        <v>2.1531914893617023</v>
      </c>
    </row>
    <row r="690" spans="1:54" x14ac:dyDescent="0.3">
      <c r="A690" s="11">
        <v>44523</v>
      </c>
      <c r="B690">
        <v>0.73041474654377903</v>
      </c>
      <c r="C690">
        <v>4682.9399999999996</v>
      </c>
      <c r="D690">
        <v>146.62</v>
      </c>
      <c r="E690">
        <v>1804.72</v>
      </c>
      <c r="F690">
        <v>85.67</v>
      </c>
      <c r="G690">
        <v>56.65</v>
      </c>
      <c r="H690" s="12">
        <f t="shared" si="122"/>
        <v>116.54930470233023</v>
      </c>
      <c r="I690" s="12">
        <f t="shared" si="123"/>
        <v>100.81516094371419</v>
      </c>
      <c r="J690" s="12">
        <f t="shared" si="124"/>
        <v>156.97329065653949</v>
      </c>
      <c r="K690" s="12">
        <f t="shared" si="125"/>
        <v>132.36857383173498</v>
      </c>
      <c r="P690" s="12"/>
      <c r="Q690" s="12"/>
      <c r="R690" s="12"/>
      <c r="S690" s="12"/>
      <c r="V690">
        <v>0.56273525721455497</v>
      </c>
      <c r="W690" s="12"/>
      <c r="X690" s="12"/>
      <c r="Y690" t="str">
        <v>20110715</v>
      </c>
      <c r="Z690">
        <v>46.2</v>
      </c>
      <c r="AA690">
        <v>21.5</v>
      </c>
      <c r="AB690">
        <f t="shared" si="126"/>
        <v>2.1488372093023256</v>
      </c>
      <c r="AY690" t="str">
        <v>30/12/2021</v>
      </c>
      <c r="AZ690">
        <v>50.6</v>
      </c>
      <c r="BA690">
        <v>23.5</v>
      </c>
      <c r="BB690">
        <f t="shared" si="127"/>
        <v>2.1531914893617023</v>
      </c>
    </row>
    <row r="691" spans="1:54" x14ac:dyDescent="0.3">
      <c r="A691" s="11">
        <v>44520</v>
      </c>
      <c r="B691">
        <v>0.741721854304636</v>
      </c>
      <c r="C691">
        <v>4697.96</v>
      </c>
      <c r="D691">
        <v>148.36000000000001</v>
      </c>
      <c r="E691">
        <v>1845.68</v>
      </c>
      <c r="F691">
        <v>85.77</v>
      </c>
      <c r="G691">
        <v>57.05</v>
      </c>
      <c r="H691" s="12">
        <f t="shared" si="122"/>
        <v>115.56342202481994</v>
      </c>
      <c r="I691" s="12">
        <f t="shared" si="123"/>
        <v>98.935851653262205</v>
      </c>
      <c r="J691" s="12">
        <f t="shared" si="124"/>
        <v>157.29278747013075</v>
      </c>
      <c r="K691" s="12">
        <f t="shared" si="125"/>
        <v>131.86560398248344</v>
      </c>
      <c r="P691" s="12"/>
      <c r="Q691" s="12"/>
      <c r="R691" s="12"/>
      <c r="S691" s="12"/>
      <c r="V691">
        <v>0.56054087277197295</v>
      </c>
      <c r="W691" s="12"/>
      <c r="X691" s="12"/>
      <c r="Y691" t="str">
        <v>20110708</v>
      </c>
      <c r="Z691">
        <v>44.1</v>
      </c>
      <c r="AA691">
        <v>22.6</v>
      </c>
      <c r="AB691">
        <f t="shared" si="126"/>
        <v>1.9513274336283186</v>
      </c>
      <c r="AY691" t="str">
        <v>29/12/2021</v>
      </c>
      <c r="AZ691">
        <v>50.6</v>
      </c>
      <c r="BA691">
        <v>23.5</v>
      </c>
      <c r="BB691">
        <f t="shared" si="127"/>
        <v>2.1531914893617023</v>
      </c>
    </row>
    <row r="692" spans="1:54" x14ac:dyDescent="0.3">
      <c r="A692" s="11">
        <v>44519</v>
      </c>
      <c r="B692">
        <v>0.734649122807018</v>
      </c>
      <c r="C692">
        <v>4704.54</v>
      </c>
      <c r="D692">
        <v>146.81</v>
      </c>
      <c r="E692">
        <v>1858.85</v>
      </c>
      <c r="F692">
        <v>85.79</v>
      </c>
      <c r="G692">
        <v>57.44</v>
      </c>
      <c r="H692" s="12">
        <f t="shared" si="122"/>
        <v>116.96187822718308</v>
      </c>
      <c r="I692" s="12">
        <f t="shared" si="123"/>
        <v>98.376446119924111</v>
      </c>
      <c r="J692" s="12">
        <f t="shared" si="124"/>
        <v>157.47632952746193</v>
      </c>
      <c r="K692" s="12">
        <f t="shared" si="125"/>
        <v>131.15852253406825</v>
      </c>
      <c r="P692" s="12"/>
      <c r="Q692" s="12"/>
      <c r="R692" s="12"/>
      <c r="S692" s="12"/>
      <c r="V692">
        <v>0.55384615384615399</v>
      </c>
      <c r="W692" s="12"/>
      <c r="X692" s="12"/>
      <c r="Y692" t="str">
        <v>20110701</v>
      </c>
      <c r="Z692">
        <v>40.9</v>
      </c>
      <c r="AA692">
        <v>24.7</v>
      </c>
      <c r="AB692">
        <f t="shared" si="126"/>
        <v>1.6558704453441295</v>
      </c>
      <c r="AY692" t="str">
        <v>28/12/2021</v>
      </c>
      <c r="AZ692">
        <v>50.6</v>
      </c>
      <c r="BA692">
        <v>23.5</v>
      </c>
      <c r="BB692">
        <f t="shared" si="127"/>
        <v>2.1531914893617023</v>
      </c>
    </row>
    <row r="693" spans="1:54" x14ac:dyDescent="0.3">
      <c r="A693" s="11">
        <v>44518</v>
      </c>
      <c r="B693">
        <v>0.73362445414847199</v>
      </c>
      <c r="C693">
        <v>4688.67</v>
      </c>
      <c r="D693">
        <v>146.26</v>
      </c>
      <c r="E693">
        <v>1867.63</v>
      </c>
      <c r="F693">
        <v>85.8</v>
      </c>
      <c r="G693">
        <v>57.58</v>
      </c>
      <c r="H693" s="12">
        <f t="shared" si="122"/>
        <v>117.0058339811123</v>
      </c>
      <c r="I693" s="12">
        <f t="shared" si="123"/>
        <v>97.587364404521054</v>
      </c>
      <c r="J693" s="12">
        <f t="shared" si="124"/>
        <v>156.92688061154217</v>
      </c>
      <c r="K693" s="12">
        <f t="shared" si="125"/>
        <v>130.40009537300972</v>
      </c>
      <c r="P693" s="12"/>
      <c r="Q693" s="12"/>
      <c r="R693" s="12"/>
      <c r="S693" s="12"/>
      <c r="V693">
        <v>0.55174525413349695</v>
      </c>
      <c r="W693" s="12"/>
      <c r="X693" s="12"/>
      <c r="Y693" t="str">
        <v>20110624</v>
      </c>
      <c r="Z693">
        <v>39.799999999999997</v>
      </c>
      <c r="AA693">
        <v>26.9</v>
      </c>
      <c r="AB693">
        <f t="shared" si="126"/>
        <v>1.4795539033457248</v>
      </c>
      <c r="AY693" t="str">
        <v>27/12/2021</v>
      </c>
      <c r="AZ693">
        <v>50.6</v>
      </c>
      <c r="BA693">
        <v>23.5</v>
      </c>
      <c r="BB693">
        <f t="shared" si="127"/>
        <v>2.1531914893617023</v>
      </c>
    </row>
    <row r="694" spans="1:54" x14ac:dyDescent="0.3">
      <c r="A694" s="11">
        <v>44517</v>
      </c>
      <c r="B694">
        <v>0.72925764192139697</v>
      </c>
      <c r="C694">
        <v>4700.8999999999996</v>
      </c>
      <c r="D694">
        <v>145.11000000000001</v>
      </c>
      <c r="E694">
        <v>1850.53</v>
      </c>
      <c r="F694">
        <v>85.77</v>
      </c>
      <c r="G694">
        <v>57.73</v>
      </c>
      <c r="H694" s="12">
        <f t="shared" si="122"/>
        <v>118.25061706055908</v>
      </c>
      <c r="I694" s="12">
        <f t="shared" si="123"/>
        <v>98.75686546641488</v>
      </c>
      <c r="J694" s="12">
        <f t="shared" si="124"/>
        <v>157.39140594117669</v>
      </c>
      <c r="K694" s="12">
        <f t="shared" si="125"/>
        <v>130.4005292198479</v>
      </c>
      <c r="P694" s="12"/>
      <c r="Q694" s="12"/>
      <c r="R694" s="12"/>
      <c r="S694" s="12"/>
      <c r="V694">
        <v>0.55074257425742601</v>
      </c>
      <c r="W694" s="12"/>
      <c r="X694" s="12"/>
      <c r="Y694" t="str">
        <v>20110617</v>
      </c>
      <c r="Z694">
        <v>37.6</v>
      </c>
      <c r="AA694">
        <v>28</v>
      </c>
      <c r="AB694">
        <f t="shared" si="126"/>
        <v>1.342857142857143</v>
      </c>
      <c r="AY694" t="str">
        <v>24/12/2021</v>
      </c>
      <c r="AZ694" t="e">
        <v>#N/A</v>
      </c>
      <c r="BA694" t="e">
        <v>#N/A</v>
      </c>
      <c r="BB694" t="str">
        <f t="shared" si="127"/>
        <v/>
      </c>
    </row>
    <row r="695" spans="1:54" x14ac:dyDescent="0.3">
      <c r="A695" s="11">
        <v>44516</v>
      </c>
      <c r="B695">
        <v>0.72807017543859698</v>
      </c>
      <c r="C695">
        <v>4682.8</v>
      </c>
      <c r="D695">
        <v>145.47999999999999</v>
      </c>
      <c r="E695">
        <v>1862.79</v>
      </c>
      <c r="F695">
        <v>85.77</v>
      </c>
      <c r="G695">
        <v>57.81</v>
      </c>
      <c r="H695" s="12">
        <f t="shared" si="122"/>
        <v>117.4976318686636</v>
      </c>
      <c r="I695" s="12">
        <f t="shared" si="123"/>
        <v>97.735845050780952</v>
      </c>
      <c r="J695" s="12">
        <f t="shared" si="124"/>
        <v>156.78539763478105</v>
      </c>
      <c r="K695" s="12">
        <f t="shared" si="125"/>
        <v>129.71962410586897</v>
      </c>
      <c r="P695" s="12"/>
      <c r="Q695" s="12"/>
      <c r="R695" s="12"/>
      <c r="S695" s="12"/>
      <c r="V695">
        <v>0.55090568394753303</v>
      </c>
      <c r="W695" s="12"/>
      <c r="X695" s="12"/>
      <c r="Y695" t="str">
        <v>20110610</v>
      </c>
      <c r="Z695">
        <v>37</v>
      </c>
      <c r="AA695">
        <v>26</v>
      </c>
      <c r="AB695">
        <f t="shared" si="126"/>
        <v>1.4230769230769231</v>
      </c>
      <c r="AY695" t="str">
        <v>23/12/2021</v>
      </c>
      <c r="AZ695" t="e">
        <v>#N/A</v>
      </c>
      <c r="BA695" t="e">
        <v>#N/A</v>
      </c>
      <c r="BB695" t="str">
        <f t="shared" si="127"/>
        <v/>
      </c>
    </row>
    <row r="696" spans="1:54" x14ac:dyDescent="0.3">
      <c r="A696" s="11">
        <v>44513</v>
      </c>
      <c r="B696">
        <v>0.71861471861471904</v>
      </c>
      <c r="C696">
        <v>4682.8500000000004</v>
      </c>
      <c r="D696">
        <v>147.33000000000001</v>
      </c>
      <c r="E696">
        <v>1864.855</v>
      </c>
      <c r="F696">
        <v>85.78</v>
      </c>
      <c r="G696">
        <v>57.92</v>
      </c>
      <c r="H696" s="12">
        <f t="shared" si="122"/>
        <v>116.04175255548904</v>
      </c>
      <c r="I696" s="12">
        <f t="shared" si="123"/>
        <v>97.628780698390969</v>
      </c>
      <c r="J696" s="12">
        <f t="shared" si="124"/>
        <v>156.76879581425061</v>
      </c>
      <c r="K696" s="12">
        <f t="shared" si="125"/>
        <v>129.47511113376248</v>
      </c>
      <c r="P696" s="12"/>
      <c r="Q696" s="12"/>
      <c r="R696" s="12"/>
      <c r="S696" s="12"/>
      <c r="V696">
        <v>0.54653341661461596</v>
      </c>
      <c r="W696" s="12"/>
      <c r="X696" s="12"/>
      <c r="Y696" t="str">
        <v>20110603</v>
      </c>
      <c r="Z696">
        <v>40.9</v>
      </c>
      <c r="AA696">
        <v>22.6</v>
      </c>
      <c r="AB696">
        <f t="shared" si="126"/>
        <v>1.8097345132743361</v>
      </c>
      <c r="AY696" t="str">
        <v>22/12/2021</v>
      </c>
      <c r="AZ696" t="e">
        <v>#N/A</v>
      </c>
      <c r="BA696" t="e">
        <v>#N/A</v>
      </c>
      <c r="BB696" t="str">
        <f t="shared" si="127"/>
        <v/>
      </c>
    </row>
    <row r="697" spans="1:54" x14ac:dyDescent="0.3">
      <c r="A697" s="11">
        <v>44512</v>
      </c>
      <c r="B697">
        <v>0.71149674620390502</v>
      </c>
      <c r="C697">
        <v>4649.2700000000004</v>
      </c>
      <c r="D697">
        <v>147.97999999999999</v>
      </c>
      <c r="E697">
        <v>1862.08</v>
      </c>
      <c r="F697">
        <v>85.71</v>
      </c>
      <c r="G697">
        <v>57.63</v>
      </c>
      <c r="H697" s="12">
        <f t="shared" si="122"/>
        <v>114.70938869873329</v>
      </c>
      <c r="I697" s="12">
        <f t="shared" si="123"/>
        <v>97.072326178225026</v>
      </c>
      <c r="J697" s="12">
        <f t="shared" si="124"/>
        <v>155.77093781780016</v>
      </c>
      <c r="K697" s="12">
        <f t="shared" si="125"/>
        <v>129.19211091623168</v>
      </c>
      <c r="P697" s="12"/>
      <c r="Q697" s="12"/>
      <c r="R697" s="12"/>
      <c r="S697" s="12"/>
      <c r="V697">
        <v>0.54574132492113603</v>
      </c>
      <c r="W697" s="12"/>
      <c r="X697" s="12"/>
      <c r="Y697" t="str">
        <v>20110527</v>
      </c>
      <c r="Z697">
        <v>45.2</v>
      </c>
      <c r="AA697">
        <v>20.399999999999999</v>
      </c>
      <c r="AB697">
        <f t="shared" si="126"/>
        <v>2.215686274509804</v>
      </c>
      <c r="AY697" t="str">
        <v>21/12/2021</v>
      </c>
      <c r="AZ697" t="e">
        <v>#N/A</v>
      </c>
      <c r="BA697" t="e">
        <v>#N/A</v>
      </c>
      <c r="BB697" t="str">
        <f t="shared" si="127"/>
        <v/>
      </c>
    </row>
    <row r="698" spans="1:54" x14ac:dyDescent="0.3">
      <c r="A698" s="11">
        <v>44511</v>
      </c>
      <c r="B698">
        <v>0.70652173913043503</v>
      </c>
      <c r="C698">
        <v>4646.71</v>
      </c>
      <c r="D698">
        <v>148.19999999999999</v>
      </c>
      <c r="E698">
        <v>1848.89</v>
      </c>
      <c r="F698">
        <v>85.77</v>
      </c>
      <c r="G698">
        <v>57.21</v>
      </c>
      <c r="H698" s="12">
        <f t="shared" si="122"/>
        <v>114.47638256961207</v>
      </c>
      <c r="I698" s="12">
        <f t="shared" si="123"/>
        <v>97.715596028491504</v>
      </c>
      <c r="J698" s="12">
        <f t="shared" si="124"/>
        <v>155.57639378057843</v>
      </c>
      <c r="K698" s="12">
        <f t="shared" si="125"/>
        <v>130.0753808248769</v>
      </c>
      <c r="P698" s="12"/>
      <c r="Q698" s="12"/>
      <c r="R698" s="12"/>
      <c r="S698" s="12"/>
      <c r="V698">
        <v>0.54424778761061898</v>
      </c>
      <c r="W698" s="12"/>
      <c r="X698" s="12"/>
      <c r="Y698" t="str">
        <v>20110520</v>
      </c>
      <c r="Z698">
        <v>43</v>
      </c>
      <c r="AA698">
        <v>19.399999999999999</v>
      </c>
      <c r="AB698">
        <f t="shared" si="126"/>
        <v>2.2164948453608249</v>
      </c>
      <c r="AY698" t="str">
        <v>20/12/2021</v>
      </c>
      <c r="AZ698" t="e">
        <v>#N/A</v>
      </c>
      <c r="BA698" t="e">
        <v>#N/A</v>
      </c>
      <c r="BB698" t="str">
        <f t="shared" si="127"/>
        <v/>
      </c>
    </row>
    <row r="699" spans="1:54" x14ac:dyDescent="0.3">
      <c r="A699" s="11">
        <v>44510</v>
      </c>
      <c r="B699">
        <v>0.70588235294117696</v>
      </c>
      <c r="C699">
        <v>4685.25</v>
      </c>
      <c r="D699">
        <v>150.96</v>
      </c>
      <c r="E699">
        <v>1831.91</v>
      </c>
      <c r="F699">
        <v>85.94</v>
      </c>
      <c r="G699">
        <v>57.75</v>
      </c>
      <c r="H699" s="12">
        <f t="shared" si="122"/>
        <v>113.33653731443982</v>
      </c>
      <c r="I699" s="12">
        <f t="shared" si="123"/>
        <v>99.455553974717105</v>
      </c>
      <c r="J699" s="12">
        <f t="shared" si="124"/>
        <v>156.55449787432099</v>
      </c>
      <c r="K699" s="12">
        <f t="shared" si="125"/>
        <v>129.92923196912673</v>
      </c>
      <c r="P699" s="12"/>
      <c r="Q699" s="12"/>
      <c r="R699" s="12"/>
      <c r="S699" s="12"/>
      <c r="V699">
        <v>0.53384418901660302</v>
      </c>
      <c r="W699" s="12"/>
      <c r="X699" s="12"/>
      <c r="Y699" t="str">
        <v>20110513</v>
      </c>
      <c r="Z699">
        <v>45.6</v>
      </c>
      <c r="AA699">
        <v>19.600000000000001</v>
      </c>
      <c r="AB699">
        <f t="shared" si="126"/>
        <v>2.3265306122448979</v>
      </c>
      <c r="AY699" t="str">
        <v>17/12/2021</v>
      </c>
      <c r="AZ699">
        <v>42.2</v>
      </c>
      <c r="BA699">
        <v>24.1</v>
      </c>
      <c r="BB699">
        <f t="shared" si="127"/>
        <v>1.7510373443983402</v>
      </c>
    </row>
    <row r="700" spans="1:54" x14ac:dyDescent="0.3">
      <c r="A700" s="11">
        <v>44509</v>
      </c>
      <c r="B700">
        <v>0.70240700218818397</v>
      </c>
      <c r="C700">
        <v>4701.7</v>
      </c>
      <c r="D700">
        <v>149.02000000000001</v>
      </c>
      <c r="E700">
        <v>1824</v>
      </c>
      <c r="F700">
        <v>85.89</v>
      </c>
      <c r="G700">
        <v>57.92</v>
      </c>
      <c r="H700" s="12">
        <f t="shared" si="122"/>
        <v>115.23996987477915</v>
      </c>
      <c r="I700" s="12">
        <f t="shared" si="123"/>
        <v>100.24097785302921</v>
      </c>
      <c r="J700" s="12">
        <f t="shared" si="124"/>
        <v>157.19599499341797</v>
      </c>
      <c r="K700" s="12">
        <f t="shared" si="125"/>
        <v>130.00250809437486</v>
      </c>
      <c r="P700" s="12"/>
      <c r="Q700" s="12"/>
      <c r="R700" s="12"/>
      <c r="S700" s="12"/>
      <c r="V700">
        <v>0.53062540296582805</v>
      </c>
      <c r="W700" s="12"/>
      <c r="X700" s="12"/>
      <c r="Y700" t="str">
        <v>20110506</v>
      </c>
      <c r="Z700">
        <v>51.1</v>
      </c>
      <c r="AA700">
        <v>18.5</v>
      </c>
      <c r="AB700">
        <f t="shared" si="126"/>
        <v>2.7621621621621624</v>
      </c>
      <c r="AY700" t="str">
        <v>16/12/2021</v>
      </c>
      <c r="AZ700">
        <v>42.2</v>
      </c>
      <c r="BA700">
        <v>24.1</v>
      </c>
      <c r="BB700">
        <f t="shared" si="127"/>
        <v>1.7510373443983402</v>
      </c>
    </row>
    <row r="701" spans="1:54" x14ac:dyDescent="0.3">
      <c r="A701" s="11">
        <v>44506</v>
      </c>
      <c r="B701">
        <v>0.69063180827886705</v>
      </c>
      <c r="C701">
        <v>4697.53</v>
      </c>
      <c r="D701">
        <v>149.30000000000001</v>
      </c>
      <c r="E701">
        <v>1817.7</v>
      </c>
      <c r="F701">
        <v>85.99</v>
      </c>
      <c r="G701">
        <v>57.75</v>
      </c>
      <c r="H701" s="12">
        <f t="shared" si="122"/>
        <v>114.92242551687939</v>
      </c>
      <c r="I701" s="12">
        <f t="shared" si="123"/>
        <v>100.5000889824876</v>
      </c>
      <c r="J701" s="12">
        <f t="shared" si="124"/>
        <v>156.87430439093637</v>
      </c>
      <c r="K701" s="12">
        <f t="shared" si="125"/>
        <v>130.27034684374311</v>
      </c>
      <c r="P701" s="12"/>
      <c r="Q701" s="12"/>
      <c r="R701" s="12"/>
      <c r="S701" s="12"/>
      <c r="V701">
        <v>0.52892030848329097</v>
      </c>
      <c r="W701" s="12"/>
      <c r="X701" s="12"/>
      <c r="Y701" t="str">
        <v>20110429</v>
      </c>
      <c r="Z701">
        <v>54.9</v>
      </c>
      <c r="AA701">
        <v>16.5</v>
      </c>
      <c r="AB701">
        <f t="shared" si="126"/>
        <v>3.3272727272727272</v>
      </c>
      <c r="AY701" t="str">
        <v>15/12/2021</v>
      </c>
      <c r="AZ701">
        <v>42.2</v>
      </c>
      <c r="BA701">
        <v>24.1</v>
      </c>
      <c r="BB701">
        <f t="shared" si="127"/>
        <v>1.7510373443983402</v>
      </c>
    </row>
    <row r="702" spans="1:54" x14ac:dyDescent="0.3">
      <c r="A702" s="11">
        <v>44505</v>
      </c>
      <c r="B702">
        <v>0.68693693693693703</v>
      </c>
      <c r="C702">
        <v>4680.0600000000004</v>
      </c>
      <c r="D702">
        <v>147.1</v>
      </c>
      <c r="E702">
        <v>1791.62</v>
      </c>
      <c r="F702">
        <v>85.95</v>
      </c>
      <c r="G702">
        <v>57.68</v>
      </c>
      <c r="H702" s="12">
        <f t="shared" si="122"/>
        <v>116.2268339566233</v>
      </c>
      <c r="I702" s="12">
        <f t="shared" si="123"/>
        <v>101.59978474214881</v>
      </c>
      <c r="J702" s="12">
        <f t="shared" si="124"/>
        <v>156.36339150106886</v>
      </c>
      <c r="K702" s="12">
        <f t="shared" si="125"/>
        <v>129.9429859113358</v>
      </c>
      <c r="P702" s="12"/>
      <c r="Q702" s="12"/>
      <c r="R702" s="12"/>
      <c r="S702" s="12"/>
      <c r="V702">
        <v>0.526791478373144</v>
      </c>
      <c r="W702" s="12"/>
      <c r="X702" s="12"/>
      <c r="Y702" t="str">
        <v>20110422</v>
      </c>
      <c r="Z702">
        <v>54.3</v>
      </c>
      <c r="AA702">
        <v>18.5</v>
      </c>
      <c r="AB702">
        <f t="shared" si="126"/>
        <v>2.9351351351351349</v>
      </c>
      <c r="AY702" t="str">
        <v>14/12/2021</v>
      </c>
      <c r="AZ702">
        <v>42.2</v>
      </c>
      <c r="BA702">
        <v>24.1</v>
      </c>
      <c r="BB702">
        <f t="shared" si="127"/>
        <v>1.7510373443983402</v>
      </c>
    </row>
    <row r="703" spans="1:54" x14ac:dyDescent="0.3">
      <c r="A703" s="11">
        <v>44504</v>
      </c>
      <c r="B703">
        <v>0.66512702078521901</v>
      </c>
      <c r="C703">
        <v>4660.57</v>
      </c>
      <c r="D703">
        <v>145.57</v>
      </c>
      <c r="E703">
        <v>1769.4</v>
      </c>
      <c r="F703">
        <v>85.87</v>
      </c>
      <c r="G703">
        <v>57.74</v>
      </c>
      <c r="H703" s="12">
        <f t="shared" si="122"/>
        <v>116.96706181441554</v>
      </c>
      <c r="I703" s="12">
        <f t="shared" si="123"/>
        <v>102.4579765784229</v>
      </c>
      <c r="J703" s="12">
        <f t="shared" si="124"/>
        <v>155.85681771376585</v>
      </c>
      <c r="K703" s="12">
        <f t="shared" si="125"/>
        <v>129.26807305014589</v>
      </c>
      <c r="P703" s="12"/>
      <c r="Q703" s="12"/>
      <c r="R703" s="12"/>
      <c r="S703" s="12"/>
      <c r="V703">
        <v>0.51631853785900805</v>
      </c>
      <c r="W703" s="12"/>
      <c r="X703" s="12"/>
      <c r="Y703" t="str">
        <v>20110415</v>
      </c>
      <c r="Z703">
        <v>54.2</v>
      </c>
      <c r="AA703">
        <v>19.2</v>
      </c>
      <c r="AB703">
        <f t="shared" si="126"/>
        <v>2.822916666666667</v>
      </c>
      <c r="AY703" t="str">
        <v>13/12/2021</v>
      </c>
      <c r="AZ703">
        <v>42.2</v>
      </c>
      <c r="BA703">
        <v>24.1</v>
      </c>
      <c r="BB703">
        <f t="shared" si="127"/>
        <v>1.7510373443983402</v>
      </c>
    </row>
    <row r="704" spans="1:54" x14ac:dyDescent="0.3">
      <c r="A704" s="11">
        <v>44503</v>
      </c>
      <c r="B704">
        <v>0.64858490566037696</v>
      </c>
      <c r="C704">
        <v>4630.6499999999996</v>
      </c>
      <c r="D704">
        <v>147.09</v>
      </c>
      <c r="E704">
        <v>1788.04</v>
      </c>
      <c r="F704">
        <v>85.89</v>
      </c>
      <c r="G704">
        <v>57.35</v>
      </c>
      <c r="H704" s="12">
        <f t="shared" si="122"/>
        <v>115.03503628263984</v>
      </c>
      <c r="I704" s="12">
        <f t="shared" si="123"/>
        <v>100.75658886495873</v>
      </c>
      <c r="J704" s="12">
        <f t="shared" si="124"/>
        <v>154.82042626176056</v>
      </c>
      <c r="K704" s="12">
        <f t="shared" si="125"/>
        <v>129.31191661825414</v>
      </c>
      <c r="P704" s="12"/>
      <c r="Q704" s="12"/>
      <c r="R704" s="12"/>
      <c r="S704" s="12"/>
      <c r="V704">
        <v>0.51413543721235999</v>
      </c>
      <c r="W704" s="12"/>
      <c r="X704" s="12"/>
      <c r="Y704" t="str">
        <v>20110408</v>
      </c>
      <c r="Z704">
        <v>55.4</v>
      </c>
      <c r="AA704">
        <v>16.3</v>
      </c>
      <c r="AB704">
        <f t="shared" si="126"/>
        <v>3.3987730061349692</v>
      </c>
      <c r="AY704" t="str">
        <v>10/12/2021</v>
      </c>
      <c r="AZ704">
        <v>43.9</v>
      </c>
      <c r="BA704">
        <v>24.4</v>
      </c>
      <c r="BB704">
        <f t="shared" si="127"/>
        <v>1.7991803278688525</v>
      </c>
    </row>
    <row r="705" spans="1:54" x14ac:dyDescent="0.3">
      <c r="A705" s="11">
        <v>44502</v>
      </c>
      <c r="B705">
        <v>0.63746958637469597</v>
      </c>
      <c r="C705">
        <v>4613.67</v>
      </c>
      <c r="D705">
        <v>146.44</v>
      </c>
      <c r="E705">
        <v>1793.27</v>
      </c>
      <c r="F705">
        <v>85.8</v>
      </c>
      <c r="G705">
        <v>57.6</v>
      </c>
      <c r="H705" s="12">
        <f t="shared" si="122"/>
        <v>115.12233478096005</v>
      </c>
      <c r="I705" s="12">
        <f t="shared" si="123"/>
        <v>100.09627106822263</v>
      </c>
      <c r="J705" s="12">
        <f t="shared" si="124"/>
        <v>154.41409850030274</v>
      </c>
      <c r="K705" s="12">
        <f t="shared" si="125"/>
        <v>128.28300417782134</v>
      </c>
      <c r="P705" s="12"/>
      <c r="Q705" s="12"/>
      <c r="R705" s="12"/>
      <c r="S705" s="12"/>
      <c r="V705">
        <v>0.51290536068828596</v>
      </c>
      <c r="W705" s="12"/>
      <c r="X705" s="12"/>
      <c r="Y705" t="str">
        <v>20110401</v>
      </c>
      <c r="Z705">
        <v>57.3</v>
      </c>
      <c r="AA705">
        <v>15.7</v>
      </c>
      <c r="AB705">
        <f t="shared" si="126"/>
        <v>3.6496815286624202</v>
      </c>
      <c r="AY705" t="str">
        <v>09/12/2021</v>
      </c>
      <c r="AZ705">
        <v>43.9</v>
      </c>
      <c r="BA705">
        <v>24.4</v>
      </c>
      <c r="BB705">
        <f t="shared" si="127"/>
        <v>1.7991803278688525</v>
      </c>
    </row>
    <row r="706" spans="1:54" x14ac:dyDescent="0.3">
      <c r="A706" s="11">
        <v>44499</v>
      </c>
      <c r="B706">
        <v>0.63106796116504904</v>
      </c>
      <c r="C706">
        <v>4605.38</v>
      </c>
      <c r="D706">
        <v>147.69</v>
      </c>
      <c r="E706">
        <v>1783.5050000000001</v>
      </c>
      <c r="F706">
        <v>85.85</v>
      </c>
      <c r="G706">
        <v>57.07</v>
      </c>
      <c r="H706" s="12">
        <f t="shared" ref="H706:H769" si="128">H707*(1+((C706/C707)-(D706/D707)))</f>
        <v>113.95275306327875</v>
      </c>
      <c r="I706" s="12">
        <f t="shared" ref="I706:I769" si="129">I707*(1+((C706/C707)-(E706/E707)))</f>
        <v>100.46549232850499</v>
      </c>
      <c r="J706" s="12">
        <f t="shared" si="124"/>
        <v>154.04708443374528</v>
      </c>
      <c r="K706" s="12">
        <f t="shared" si="125"/>
        <v>129.25067452258571</v>
      </c>
      <c r="P706" s="12"/>
      <c r="Q706" s="12"/>
      <c r="R706" s="12"/>
      <c r="S706" s="12"/>
      <c r="V706">
        <v>0.51543624161073798</v>
      </c>
      <c r="W706" s="12"/>
      <c r="X706" s="12"/>
      <c r="Y706" t="str">
        <v>20110325</v>
      </c>
      <c r="Z706">
        <v>51.6</v>
      </c>
      <c r="AA706">
        <v>23.1</v>
      </c>
      <c r="AB706">
        <f t="shared" si="126"/>
        <v>2.2337662337662336</v>
      </c>
      <c r="AY706" t="str">
        <v>08/12/2021</v>
      </c>
      <c r="AZ706">
        <v>43.9</v>
      </c>
      <c r="BA706">
        <v>24.4</v>
      </c>
      <c r="BB706">
        <f t="shared" si="127"/>
        <v>1.7991803278688525</v>
      </c>
    </row>
    <row r="707" spans="1:54" x14ac:dyDescent="0.3">
      <c r="A707" s="11">
        <v>44498</v>
      </c>
      <c r="B707">
        <v>0.60784313725490202</v>
      </c>
      <c r="C707">
        <v>4596.42</v>
      </c>
      <c r="D707">
        <v>147.24</v>
      </c>
      <c r="E707">
        <v>1798.78</v>
      </c>
      <c r="F707">
        <v>85.84</v>
      </c>
      <c r="G707">
        <v>57.58</v>
      </c>
      <c r="H707" s="12">
        <f t="shared" si="128"/>
        <v>114.07902617159475</v>
      </c>
      <c r="I707" s="12">
        <f t="shared" si="129"/>
        <v>99.427350492791817</v>
      </c>
      <c r="J707" s="12">
        <f t="shared" ref="J707:J770" si="130">J708*(1+((C707/C708)-(F707/F708)))</f>
        <v>153.76525618706495</v>
      </c>
      <c r="K707" s="12">
        <f t="shared" ref="K707:K770" si="131">K708*(1+((C707/C708)-(G707/G708)))</f>
        <v>127.86884890196063</v>
      </c>
      <c r="P707" s="12"/>
      <c r="Q707" s="12"/>
      <c r="R707" s="12"/>
      <c r="S707" s="12"/>
      <c r="V707">
        <v>0.52029769959404604</v>
      </c>
      <c r="W707" s="12"/>
      <c r="X707" s="12"/>
      <c r="Y707" t="str">
        <v>20110318</v>
      </c>
      <c r="Z707">
        <v>50.6</v>
      </c>
      <c r="AA707">
        <v>22.4</v>
      </c>
      <c r="AB707">
        <f t="shared" si="126"/>
        <v>2.2589285714285716</v>
      </c>
      <c r="AY707" t="str">
        <v>07/12/2021</v>
      </c>
      <c r="AZ707">
        <v>43.9</v>
      </c>
      <c r="BA707">
        <v>24.4</v>
      </c>
      <c r="BB707">
        <f t="shared" si="127"/>
        <v>1.7991803278688525</v>
      </c>
    </row>
    <row r="708" spans="1:54" x14ac:dyDescent="0.3">
      <c r="A708" s="11">
        <v>44497</v>
      </c>
      <c r="B708">
        <v>0.582278481012658</v>
      </c>
      <c r="C708">
        <v>4551.68</v>
      </c>
      <c r="D708">
        <v>147.74</v>
      </c>
      <c r="E708">
        <v>1796.93</v>
      </c>
      <c r="F708">
        <v>85.83</v>
      </c>
      <c r="G708">
        <v>57.14</v>
      </c>
      <c r="H708" s="12">
        <f t="shared" si="128"/>
        <v>112.59128306358451</v>
      </c>
      <c r="I708" s="12">
        <f t="shared" si="129"/>
        <v>98.560041442482998</v>
      </c>
      <c r="J708" s="12">
        <f t="shared" si="130"/>
        <v>152.28612717222776</v>
      </c>
      <c r="K708" s="12">
        <f t="shared" si="131"/>
        <v>127.59720049493043</v>
      </c>
      <c r="P708" s="12"/>
      <c r="Q708" s="12"/>
      <c r="R708" s="12"/>
      <c r="S708" s="12"/>
      <c r="V708">
        <v>0.51844262295082</v>
      </c>
      <c r="W708" s="12"/>
      <c r="X708" s="12"/>
      <c r="Y708" t="str">
        <v>20110311</v>
      </c>
      <c r="Z708">
        <v>52.2</v>
      </c>
      <c r="AA708">
        <v>22.3</v>
      </c>
      <c r="AB708">
        <f t="shared" si="126"/>
        <v>2.3408071748878925</v>
      </c>
      <c r="AY708" t="str">
        <v>06/12/2021</v>
      </c>
      <c r="AZ708">
        <v>43.9</v>
      </c>
      <c r="BA708">
        <v>24.4</v>
      </c>
      <c r="BB708">
        <f t="shared" si="127"/>
        <v>1.7991803278688525</v>
      </c>
    </row>
    <row r="709" spans="1:54" x14ac:dyDescent="0.3">
      <c r="A709" s="11">
        <v>44496</v>
      </c>
      <c r="B709">
        <v>0.56430446194225703</v>
      </c>
      <c r="C709">
        <v>4574.79</v>
      </c>
      <c r="D709">
        <v>145.1</v>
      </c>
      <c r="E709">
        <v>1792.845</v>
      </c>
      <c r="F709">
        <v>85.85</v>
      </c>
      <c r="G709">
        <v>57.45</v>
      </c>
      <c r="H709" s="12">
        <f t="shared" si="128"/>
        <v>115.2708634130681</v>
      </c>
      <c r="I709" s="12">
        <f t="shared" si="129"/>
        <v>99.28783112222969</v>
      </c>
      <c r="J709" s="12">
        <f t="shared" si="130"/>
        <v>153.02349129734193</v>
      </c>
      <c r="K709" s="12">
        <f t="shared" si="131"/>
        <v>127.5532713368231</v>
      </c>
      <c r="P709" s="12"/>
      <c r="Q709" s="12"/>
      <c r="R709" s="12"/>
      <c r="S709" s="12"/>
      <c r="V709">
        <v>0.50945945945945903</v>
      </c>
      <c r="W709" s="12"/>
      <c r="X709" s="12"/>
      <c r="Y709" t="str">
        <v>20110304</v>
      </c>
      <c r="Z709">
        <v>52.2</v>
      </c>
      <c r="AA709">
        <v>21.1</v>
      </c>
      <c r="AB709">
        <f t="shared" si="126"/>
        <v>2.4739336492890995</v>
      </c>
      <c r="AY709" t="str">
        <v>03/12/2021</v>
      </c>
      <c r="AZ709">
        <v>39.799999999999997</v>
      </c>
      <c r="BA709">
        <v>25.3</v>
      </c>
      <c r="BB709">
        <f t="shared" si="127"/>
        <v>1.5731225296442686</v>
      </c>
    </row>
    <row r="710" spans="1:54" x14ac:dyDescent="0.3">
      <c r="A710" s="11">
        <v>44495</v>
      </c>
      <c r="B710">
        <v>0.55882352941176505</v>
      </c>
      <c r="C710">
        <v>4566.4799999999996</v>
      </c>
      <c r="D710">
        <v>143.91</v>
      </c>
      <c r="E710">
        <v>1807.8</v>
      </c>
      <c r="F710">
        <v>85.87</v>
      </c>
      <c r="G710">
        <v>57.49</v>
      </c>
      <c r="H710" s="12">
        <f t="shared" si="128"/>
        <v>116.01910246779856</v>
      </c>
      <c r="I710" s="12">
        <f t="shared" si="129"/>
        <v>98.295803499670043</v>
      </c>
      <c r="J710" s="12">
        <f t="shared" si="130"/>
        <v>152.71002455577926</v>
      </c>
      <c r="K710" s="12">
        <f t="shared" si="131"/>
        <v>127.23320912606604</v>
      </c>
      <c r="P710" s="12"/>
      <c r="Q710" s="12"/>
      <c r="R710" s="12"/>
      <c r="S710" s="12"/>
      <c r="V710">
        <v>0.50819672131147497</v>
      </c>
      <c r="W710" s="12"/>
      <c r="X710" s="12"/>
      <c r="Y710" t="str">
        <v>20110225</v>
      </c>
      <c r="Z710">
        <v>50.6</v>
      </c>
      <c r="AA710">
        <v>19.5</v>
      </c>
      <c r="AB710">
        <f t="shared" si="126"/>
        <v>2.594871794871795</v>
      </c>
      <c r="AY710" t="str">
        <v>02/12/2021</v>
      </c>
      <c r="AZ710">
        <v>39.799999999999997</v>
      </c>
      <c r="BA710">
        <v>25.3</v>
      </c>
      <c r="BB710">
        <f t="shared" si="127"/>
        <v>1.5731225296442686</v>
      </c>
    </row>
    <row r="711" spans="1:54" x14ac:dyDescent="0.3">
      <c r="A711" s="11">
        <v>44492</v>
      </c>
      <c r="B711">
        <v>0.55613577023498695</v>
      </c>
      <c r="C711">
        <v>4544.8999999999996</v>
      </c>
      <c r="D711">
        <v>144.13</v>
      </c>
      <c r="E711">
        <v>1792.7</v>
      </c>
      <c r="F711">
        <v>85.83</v>
      </c>
      <c r="G711">
        <v>57.47</v>
      </c>
      <c r="H711" s="12">
        <f t="shared" si="128"/>
        <v>115.29567066739871</v>
      </c>
      <c r="I711" s="12">
        <f t="shared" si="129"/>
        <v>98.658360123297371</v>
      </c>
      <c r="J711" s="12">
        <f t="shared" si="130"/>
        <v>152.05888684615465</v>
      </c>
      <c r="K711" s="12">
        <f t="shared" si="131"/>
        <v>126.67581380500506</v>
      </c>
      <c r="P711" s="12"/>
      <c r="Q711" s="12"/>
      <c r="R711" s="12"/>
      <c r="S711" s="12"/>
      <c r="V711">
        <v>0.51712328767123295</v>
      </c>
      <c r="W711" s="12"/>
      <c r="X711" s="12"/>
      <c r="Y711" t="str">
        <v>20110218</v>
      </c>
      <c r="Z711">
        <v>53.3</v>
      </c>
      <c r="AA711">
        <v>18.899999999999999</v>
      </c>
      <c r="AB711">
        <f t="shared" si="126"/>
        <v>2.82010582010582</v>
      </c>
      <c r="AY711" t="str">
        <v>01/12/2021</v>
      </c>
      <c r="AZ711">
        <v>39.799999999999997</v>
      </c>
      <c r="BA711">
        <v>25.3</v>
      </c>
      <c r="BB711">
        <f t="shared" si="127"/>
        <v>1.5731225296442686</v>
      </c>
    </row>
    <row r="712" spans="1:54" x14ac:dyDescent="0.3">
      <c r="A712" s="11">
        <v>44491</v>
      </c>
      <c r="B712">
        <v>0.56396866840731097</v>
      </c>
      <c r="C712">
        <v>4549.78</v>
      </c>
      <c r="D712">
        <v>142.56</v>
      </c>
      <c r="E712">
        <v>1782.8</v>
      </c>
      <c r="F712">
        <v>85.85</v>
      </c>
      <c r="G712">
        <v>57.25</v>
      </c>
      <c r="H712" s="12">
        <f t="shared" si="128"/>
        <v>116.70612087836601</v>
      </c>
      <c r="I712" s="12">
        <f t="shared" si="129"/>
        <v>99.31639499447472</v>
      </c>
      <c r="J712" s="12">
        <f t="shared" si="130"/>
        <v>152.18666503169865</v>
      </c>
      <c r="K712" s="12">
        <f t="shared" si="131"/>
        <v>127.30154853873336</v>
      </c>
      <c r="P712" s="12"/>
      <c r="Q712" s="12"/>
      <c r="R712" s="12"/>
      <c r="S712" s="12"/>
      <c r="V712">
        <v>0.51174033149171305</v>
      </c>
      <c r="W712" s="12"/>
      <c r="X712" s="12"/>
      <c r="Y712" t="str">
        <v>20110211</v>
      </c>
      <c r="Z712">
        <v>52.2</v>
      </c>
      <c r="AA712">
        <v>19.600000000000001</v>
      </c>
      <c r="AB712">
        <f t="shared" ref="AB712:AB775" si="132">IFERROR(Z712/AA712,"")</f>
        <v>2.6632653061224487</v>
      </c>
      <c r="AY712" t="str">
        <v>30/11/2021</v>
      </c>
      <c r="AZ712">
        <v>39.799999999999997</v>
      </c>
      <c r="BA712">
        <v>25.3</v>
      </c>
      <c r="BB712">
        <f t="shared" ref="BB712:BB775" si="133">IFERROR(AZ712/BA712,"")</f>
        <v>1.5731225296442686</v>
      </c>
    </row>
    <row r="713" spans="1:54" x14ac:dyDescent="0.3">
      <c r="A713" s="11">
        <v>44490</v>
      </c>
      <c r="B713">
        <v>0.55645161290322598</v>
      </c>
      <c r="C713">
        <v>4536.1899999999996</v>
      </c>
      <c r="D713">
        <v>142.72999999999999</v>
      </c>
      <c r="E713">
        <v>1782.22</v>
      </c>
      <c r="F713">
        <v>85.95</v>
      </c>
      <c r="G713">
        <v>57.58</v>
      </c>
      <c r="H713" s="12">
        <f t="shared" si="128"/>
        <v>116.2195136911886</v>
      </c>
      <c r="I713" s="12">
        <f t="shared" si="129"/>
        <v>99.051879975888639</v>
      </c>
      <c r="J713" s="12">
        <f t="shared" si="130"/>
        <v>151.55628584952402</v>
      </c>
      <c r="K713" s="12">
        <f t="shared" si="131"/>
        <v>126.20019152829626</v>
      </c>
      <c r="P713" s="12"/>
      <c r="Q713" s="12"/>
      <c r="R713" s="12"/>
      <c r="S713" s="12"/>
      <c r="V713">
        <v>0.51534170153417003</v>
      </c>
      <c r="W713" s="12"/>
      <c r="X713" s="12"/>
      <c r="Y713" t="str">
        <v>20110204</v>
      </c>
      <c r="Z713">
        <v>53.4</v>
      </c>
      <c r="AA713">
        <v>23.3</v>
      </c>
      <c r="AB713">
        <f t="shared" si="132"/>
        <v>2.2918454935622314</v>
      </c>
      <c r="AY713" t="str">
        <v>29/11/2021</v>
      </c>
      <c r="AZ713">
        <v>39.799999999999997</v>
      </c>
      <c r="BA713">
        <v>25.3</v>
      </c>
      <c r="BB713">
        <f t="shared" si="133"/>
        <v>1.5731225296442686</v>
      </c>
    </row>
    <row r="714" spans="1:54" x14ac:dyDescent="0.3">
      <c r="A714" s="11">
        <v>44489</v>
      </c>
      <c r="B714">
        <v>0.53743315508021405</v>
      </c>
      <c r="C714">
        <v>4519.63</v>
      </c>
      <c r="D714">
        <v>143.69999999999999</v>
      </c>
      <c r="E714">
        <v>1769.15</v>
      </c>
      <c r="F714">
        <v>85.92</v>
      </c>
      <c r="G714">
        <v>57.4</v>
      </c>
      <c r="H714" s="12">
        <f t="shared" si="128"/>
        <v>115.02165622651216</v>
      </c>
      <c r="I714" s="12">
        <f t="shared" si="129"/>
        <v>99.422099222477797</v>
      </c>
      <c r="J714" s="12">
        <f t="shared" si="130"/>
        <v>151.05555861601513</v>
      </c>
      <c r="K714" s="12">
        <f t="shared" si="131"/>
        <v>126.13357682398599</v>
      </c>
      <c r="P714" s="12"/>
      <c r="Q714" s="12"/>
      <c r="R714" s="12"/>
      <c r="S714" s="12"/>
      <c r="V714">
        <v>0.52081863091037395</v>
      </c>
      <c r="W714" s="12"/>
      <c r="X714" s="12"/>
      <c r="Y714" t="str">
        <v>20110128</v>
      </c>
      <c r="Z714">
        <v>52.7</v>
      </c>
      <c r="AA714">
        <v>22</v>
      </c>
      <c r="AB714">
        <f t="shared" si="132"/>
        <v>2.3954545454545455</v>
      </c>
      <c r="AY714" t="str">
        <v>26/11/2021</v>
      </c>
      <c r="AZ714">
        <v>49.4</v>
      </c>
      <c r="BA714">
        <v>24.7</v>
      </c>
      <c r="BB714">
        <f t="shared" si="133"/>
        <v>2</v>
      </c>
    </row>
    <row r="715" spans="1:54" x14ac:dyDescent="0.3">
      <c r="A715" s="11">
        <v>44488</v>
      </c>
      <c r="B715">
        <v>0.51219512195121997</v>
      </c>
      <c r="C715">
        <v>4486.46</v>
      </c>
      <c r="D715">
        <v>145.71</v>
      </c>
      <c r="E715">
        <v>1764.91</v>
      </c>
      <c r="F715">
        <v>85.89</v>
      </c>
      <c r="G715">
        <v>56.94</v>
      </c>
      <c r="H715" s="12">
        <f t="shared" si="128"/>
        <v>112.63515602655544</v>
      </c>
      <c r="I715" s="12">
        <f t="shared" si="129"/>
        <v>98.928350977556377</v>
      </c>
      <c r="J715" s="12">
        <f t="shared" si="130"/>
        <v>149.99895503691013</v>
      </c>
      <c r="K715" s="12">
        <f t="shared" si="131"/>
        <v>126.22007827234616</v>
      </c>
      <c r="P715" s="12"/>
      <c r="Q715" s="12"/>
      <c r="R715" s="12"/>
      <c r="S715" s="12"/>
      <c r="V715">
        <v>0.51960085531004996</v>
      </c>
      <c r="W715" s="12"/>
      <c r="X715" s="12"/>
      <c r="Y715" t="str">
        <v>20110121</v>
      </c>
      <c r="Z715">
        <v>55.1</v>
      </c>
      <c r="AA715">
        <v>19.100000000000001</v>
      </c>
      <c r="AB715">
        <f t="shared" si="132"/>
        <v>2.8848167539267013</v>
      </c>
      <c r="AY715" t="str">
        <v>25/11/2021</v>
      </c>
      <c r="AZ715">
        <v>49.4</v>
      </c>
      <c r="BA715">
        <v>24.7</v>
      </c>
      <c r="BB715">
        <f t="shared" si="133"/>
        <v>2</v>
      </c>
    </row>
    <row r="716" spans="1:54" x14ac:dyDescent="0.3">
      <c r="A716" s="11">
        <v>44485</v>
      </c>
      <c r="B716">
        <v>0.50663129973474796</v>
      </c>
      <c r="C716">
        <v>4471.37</v>
      </c>
      <c r="D716">
        <v>145.03</v>
      </c>
      <c r="E716">
        <v>1767.61</v>
      </c>
      <c r="F716">
        <v>85.95</v>
      </c>
      <c r="G716">
        <v>57.11</v>
      </c>
      <c r="H716" s="12">
        <f t="shared" si="128"/>
        <v>112.78333985859676</v>
      </c>
      <c r="I716" s="12">
        <f t="shared" si="129"/>
        <v>98.445741319986695</v>
      </c>
      <c r="J716" s="12">
        <f t="shared" si="130"/>
        <v>149.39050471065337</v>
      </c>
      <c r="K716" s="12">
        <f t="shared" si="131"/>
        <v>125.42344920296554</v>
      </c>
      <c r="P716" s="12"/>
      <c r="Q716" s="12"/>
      <c r="R716" s="12"/>
      <c r="S716" s="12"/>
      <c r="V716">
        <v>0.51841155234656999</v>
      </c>
      <c r="W716" s="12"/>
      <c r="X716" s="12"/>
      <c r="Y716" t="str">
        <v>20110114</v>
      </c>
      <c r="Z716">
        <v>56</v>
      </c>
      <c r="AA716">
        <v>20.9</v>
      </c>
      <c r="AB716">
        <f t="shared" si="132"/>
        <v>2.6794258373205744</v>
      </c>
      <c r="AY716" t="str">
        <v>24/11/2021</v>
      </c>
      <c r="AZ716">
        <v>49.4</v>
      </c>
      <c r="BA716">
        <v>24.7</v>
      </c>
      <c r="BB716">
        <f t="shared" si="133"/>
        <v>2</v>
      </c>
    </row>
    <row r="717" spans="1:54" x14ac:dyDescent="0.3">
      <c r="A717" s="11">
        <v>44484</v>
      </c>
      <c r="B717">
        <v>0.50688705234159803</v>
      </c>
      <c r="C717">
        <v>4438.26</v>
      </c>
      <c r="D717">
        <v>145.88</v>
      </c>
      <c r="E717">
        <v>1795.82</v>
      </c>
      <c r="F717">
        <v>86</v>
      </c>
      <c r="G717">
        <v>56.64</v>
      </c>
      <c r="H717" s="12">
        <f t="shared" si="128"/>
        <v>111.30445562648319</v>
      </c>
      <c r="I717" s="12">
        <f t="shared" si="129"/>
        <v>96.21651699352968</v>
      </c>
      <c r="J717" s="12">
        <f t="shared" si="130"/>
        <v>148.1987605069655</v>
      </c>
      <c r="K717" s="12">
        <f t="shared" si="131"/>
        <v>125.52862861492407</v>
      </c>
      <c r="P717" s="12"/>
      <c r="Q717" s="12"/>
      <c r="R717" s="12"/>
      <c r="S717" s="12"/>
      <c r="V717">
        <v>0.52346570397111902</v>
      </c>
      <c r="W717" s="12"/>
      <c r="X717" s="12"/>
      <c r="Y717" t="str">
        <v>20110107</v>
      </c>
      <c r="Z717">
        <v>57.3</v>
      </c>
      <c r="AA717">
        <v>19.100000000000001</v>
      </c>
      <c r="AB717">
        <f t="shared" si="132"/>
        <v>2.9999999999999996</v>
      </c>
      <c r="AY717" t="str">
        <v>23/11/2021</v>
      </c>
      <c r="AZ717">
        <v>49.4</v>
      </c>
      <c r="BA717">
        <v>24.7</v>
      </c>
      <c r="BB717">
        <f t="shared" si="133"/>
        <v>2</v>
      </c>
    </row>
    <row r="718" spans="1:54" x14ac:dyDescent="0.3">
      <c r="A718" s="11">
        <v>44483</v>
      </c>
      <c r="B718">
        <v>0.51404494382022503</v>
      </c>
      <c r="C718">
        <v>4363.8</v>
      </c>
      <c r="D718">
        <v>145.34</v>
      </c>
      <c r="E718">
        <v>1793.125</v>
      </c>
      <c r="F718">
        <v>86</v>
      </c>
      <c r="G718">
        <v>56.16</v>
      </c>
      <c r="H718" s="12">
        <f t="shared" si="128"/>
        <v>109.83836777646295</v>
      </c>
      <c r="I718" s="12">
        <f t="shared" si="129"/>
        <v>94.742312641108015</v>
      </c>
      <c r="J718" s="12">
        <f t="shared" si="130"/>
        <v>145.7124528757432</v>
      </c>
      <c r="K718" s="12">
        <f t="shared" si="131"/>
        <v>124.46864102365031</v>
      </c>
      <c r="P718" s="12"/>
      <c r="Q718" s="12"/>
      <c r="R718" s="12"/>
      <c r="S718" s="12"/>
      <c r="V718">
        <v>0.52329749103942702</v>
      </c>
      <c r="W718" s="12"/>
      <c r="X718" s="12"/>
      <c r="Y718" t="str">
        <v>20101231</v>
      </c>
      <c r="Z718">
        <v>54.5</v>
      </c>
      <c r="AA718">
        <v>20.5</v>
      </c>
      <c r="AB718">
        <f t="shared" si="132"/>
        <v>2.6585365853658538</v>
      </c>
      <c r="AY718" t="str">
        <v>22/11/2021</v>
      </c>
      <c r="AZ718">
        <v>49.4</v>
      </c>
      <c r="BA718">
        <v>24.7</v>
      </c>
      <c r="BB718">
        <f t="shared" si="133"/>
        <v>2</v>
      </c>
    </row>
    <row r="719" spans="1:54" x14ac:dyDescent="0.3">
      <c r="A719" s="11">
        <v>44482</v>
      </c>
      <c r="B719">
        <v>0.51558073654390901</v>
      </c>
      <c r="C719">
        <v>4350.6499999999996</v>
      </c>
      <c r="D719">
        <v>143.94</v>
      </c>
      <c r="E719">
        <v>1759.9</v>
      </c>
      <c r="F719">
        <v>86.03</v>
      </c>
      <c r="G719">
        <v>55.54</v>
      </c>
      <c r="H719" s="12">
        <f t="shared" si="128"/>
        <v>110.57966487508574</v>
      </c>
      <c r="I719" s="12">
        <f t="shared" si="129"/>
        <v>96.26878679009036</v>
      </c>
      <c r="J719" s="12">
        <f t="shared" si="130"/>
        <v>145.22286992311041</v>
      </c>
      <c r="K719" s="12">
        <f t="shared" si="131"/>
        <v>125.4902051840981</v>
      </c>
      <c r="P719" s="12"/>
      <c r="Q719" s="12"/>
      <c r="R719" s="12"/>
      <c r="S719" s="12"/>
      <c r="V719">
        <v>0.52455516014234904</v>
      </c>
      <c r="W719" s="12"/>
      <c r="X719" s="12"/>
      <c r="Y719" t="str">
        <v>20101224</v>
      </c>
      <c r="Z719">
        <v>55.6</v>
      </c>
      <c r="AA719">
        <v>20</v>
      </c>
      <c r="AB719">
        <f t="shared" si="132"/>
        <v>2.7800000000000002</v>
      </c>
      <c r="AY719" t="str">
        <v>19/11/2021</v>
      </c>
      <c r="AZ719">
        <v>56.6</v>
      </c>
      <c r="BA719">
        <v>21.7</v>
      </c>
      <c r="BB719">
        <f t="shared" si="133"/>
        <v>2.6082949308755761</v>
      </c>
    </row>
    <row r="720" spans="1:54" x14ac:dyDescent="0.3">
      <c r="A720" s="11">
        <v>44481</v>
      </c>
      <c r="B720">
        <v>0.52352941176470602</v>
      </c>
      <c r="C720">
        <v>4361.1899999999996</v>
      </c>
      <c r="D720">
        <v>141.52000000000001</v>
      </c>
      <c r="E720">
        <v>1753.9</v>
      </c>
      <c r="F720">
        <v>85.99</v>
      </c>
      <c r="G720">
        <v>55.58</v>
      </c>
      <c r="H720" s="12">
        <f t="shared" si="128"/>
        <v>112.78078812981057</v>
      </c>
      <c r="I720" s="12">
        <f t="shared" si="129"/>
        <v>96.83407693750361</v>
      </c>
      <c r="J720" s="12">
        <f t="shared" si="130"/>
        <v>145.64260344993411</v>
      </c>
      <c r="K720" s="12">
        <f t="shared" si="131"/>
        <v>125.7035351740985</v>
      </c>
      <c r="P720" s="12"/>
      <c r="Q720" s="12"/>
      <c r="R720" s="12"/>
      <c r="S720" s="12"/>
      <c r="V720">
        <v>0.52707581227436795</v>
      </c>
      <c r="W720" s="12"/>
      <c r="X720" s="12"/>
      <c r="Y720" t="str">
        <v>20101217</v>
      </c>
      <c r="Z720">
        <v>58.8</v>
      </c>
      <c r="AA720">
        <v>20.6</v>
      </c>
      <c r="AB720">
        <f t="shared" si="132"/>
        <v>2.8543689320388346</v>
      </c>
      <c r="AY720" t="str">
        <v>18/11/2021</v>
      </c>
      <c r="AZ720">
        <v>56.6</v>
      </c>
      <c r="BA720">
        <v>21.7</v>
      </c>
      <c r="BB720">
        <f t="shared" si="133"/>
        <v>2.6082949308755761</v>
      </c>
    </row>
    <row r="721" spans="1:54" x14ac:dyDescent="0.3">
      <c r="A721" s="11">
        <v>44478</v>
      </c>
      <c r="B721">
        <v>0.54597701149425304</v>
      </c>
      <c r="C721">
        <v>4391.34</v>
      </c>
      <c r="D721">
        <v>141.88</v>
      </c>
      <c r="E721">
        <v>1757.2349999999999</v>
      </c>
      <c r="F721">
        <v>86.06</v>
      </c>
      <c r="G721">
        <v>55.71</v>
      </c>
      <c r="H721" s="12">
        <f t="shared" si="128"/>
        <v>113.27107408242989</v>
      </c>
      <c r="I721" s="12">
        <f t="shared" si="129"/>
        <v>97.317542497381552</v>
      </c>
      <c r="J721" s="12">
        <f t="shared" si="130"/>
        <v>146.52945831890131</v>
      </c>
      <c r="K721" s="12">
        <f t="shared" si="131"/>
        <v>126.27585180879024</v>
      </c>
      <c r="P721" s="12"/>
      <c r="Q721" s="12"/>
      <c r="R721" s="12"/>
      <c r="S721" s="12"/>
      <c r="V721">
        <v>0.53381294964028803</v>
      </c>
      <c r="W721" s="12"/>
      <c r="X721" s="12"/>
      <c r="Y721" t="str">
        <v>20101210</v>
      </c>
      <c r="Z721">
        <v>56.8</v>
      </c>
      <c r="AA721">
        <v>20.5</v>
      </c>
      <c r="AB721">
        <f t="shared" si="132"/>
        <v>2.770731707317073</v>
      </c>
      <c r="AY721" t="str">
        <v>17/11/2021</v>
      </c>
      <c r="AZ721">
        <v>56.6</v>
      </c>
      <c r="BA721">
        <v>21.7</v>
      </c>
      <c r="BB721">
        <f t="shared" si="133"/>
        <v>2.6082949308755761</v>
      </c>
    </row>
    <row r="722" spans="1:54" x14ac:dyDescent="0.3">
      <c r="A722" s="11">
        <v>44477</v>
      </c>
      <c r="B722">
        <v>0.557184750733138</v>
      </c>
      <c r="C722">
        <v>4399.76</v>
      </c>
      <c r="D722">
        <v>142.88</v>
      </c>
      <c r="E722">
        <v>1755.9849999999999</v>
      </c>
      <c r="F722">
        <v>86.09</v>
      </c>
      <c r="G722">
        <v>55.68</v>
      </c>
      <c r="H722" s="12">
        <f t="shared" si="128"/>
        <v>112.69798909444056</v>
      </c>
      <c r="I722" s="12">
        <f t="shared" si="129"/>
        <v>97.57373129912736</v>
      </c>
      <c r="J722" s="12">
        <f t="shared" si="130"/>
        <v>146.75917579287284</v>
      </c>
      <c r="K722" s="12">
        <f t="shared" si="131"/>
        <v>126.58630901697357</v>
      </c>
      <c r="P722" s="12"/>
      <c r="Q722" s="12"/>
      <c r="R722" s="12"/>
      <c r="S722" s="12"/>
      <c r="V722">
        <v>0.53444525018129097</v>
      </c>
      <c r="W722" s="12"/>
      <c r="X722" s="12"/>
      <c r="Y722" t="str">
        <v>20101203</v>
      </c>
      <c r="Z722">
        <v>56.2</v>
      </c>
      <c r="AA722">
        <v>21.3</v>
      </c>
      <c r="AB722">
        <f t="shared" si="132"/>
        <v>2.6384976525821595</v>
      </c>
      <c r="AY722" t="str">
        <v>16/11/2021</v>
      </c>
      <c r="AZ722">
        <v>56.6</v>
      </c>
      <c r="BA722">
        <v>21.7</v>
      </c>
      <c r="BB722">
        <f t="shared" si="133"/>
        <v>2.6082949308755761</v>
      </c>
    </row>
    <row r="723" spans="1:54" x14ac:dyDescent="0.3">
      <c r="A723" s="11">
        <v>44476</v>
      </c>
      <c r="B723">
        <v>0.54782608695652202</v>
      </c>
      <c r="C723">
        <v>4363.55</v>
      </c>
      <c r="D723">
        <v>144.38999999999999</v>
      </c>
      <c r="E723">
        <v>1762.7349999999999</v>
      </c>
      <c r="F723">
        <v>86.12</v>
      </c>
      <c r="G723">
        <v>55</v>
      </c>
      <c r="H723" s="12">
        <f t="shared" si="128"/>
        <v>110.62313307345912</v>
      </c>
      <c r="I723" s="12">
        <f t="shared" si="129"/>
        <v>96.404578421186059</v>
      </c>
      <c r="J723" s="12">
        <f t="shared" si="130"/>
        <v>145.50108027755024</v>
      </c>
      <c r="K723" s="12">
        <f t="shared" si="131"/>
        <v>127.10302694234365</v>
      </c>
      <c r="P723" s="12"/>
      <c r="Q723" s="12"/>
      <c r="R723" s="12"/>
      <c r="S723" s="12"/>
      <c r="V723">
        <v>0.54091238233164396</v>
      </c>
      <c r="W723" s="12"/>
      <c r="X723" s="12"/>
      <c r="Y723" t="str">
        <v>20101126</v>
      </c>
      <c r="Z723">
        <v>55.4</v>
      </c>
      <c r="AA723">
        <v>21.8</v>
      </c>
      <c r="AB723">
        <f t="shared" si="132"/>
        <v>2.5412844036697244</v>
      </c>
      <c r="AY723" t="str">
        <v>15/11/2021</v>
      </c>
      <c r="AZ723">
        <v>56.6</v>
      </c>
      <c r="BA723">
        <v>21.7</v>
      </c>
      <c r="BB723">
        <f t="shared" si="133"/>
        <v>2.6082949308755761</v>
      </c>
    </row>
    <row r="724" spans="1:54" x14ac:dyDescent="0.3">
      <c r="A724" s="11">
        <v>44475</v>
      </c>
      <c r="B724">
        <v>0.54437869822485196</v>
      </c>
      <c r="C724">
        <v>4345.72</v>
      </c>
      <c r="D724">
        <v>143.58000000000001</v>
      </c>
      <c r="E724">
        <v>1760</v>
      </c>
      <c r="F724">
        <v>86.13</v>
      </c>
      <c r="G724">
        <v>55.32</v>
      </c>
      <c r="H724" s="12">
        <f t="shared" si="128"/>
        <v>110.7935964228851</v>
      </c>
      <c r="I724" s="12">
        <f t="shared" si="129"/>
        <v>96.159476553845735</v>
      </c>
      <c r="J724" s="12">
        <f t="shared" si="130"/>
        <v>144.88979155056396</v>
      </c>
      <c r="K724" s="12">
        <f t="shared" si="131"/>
        <v>125.8586107734847</v>
      </c>
      <c r="P724" s="12"/>
      <c r="Q724" s="12"/>
      <c r="R724" s="12"/>
      <c r="S724" s="12"/>
      <c r="V724">
        <v>0.54910394265232998</v>
      </c>
      <c r="W724" s="12"/>
      <c r="X724" s="12"/>
      <c r="Y724" t="str">
        <v>20101119</v>
      </c>
      <c r="Z724">
        <v>55.7</v>
      </c>
      <c r="AA724">
        <v>21.6</v>
      </c>
      <c r="AB724">
        <f t="shared" si="132"/>
        <v>2.5787037037037037</v>
      </c>
      <c r="AY724" t="str">
        <v>12/11/2021</v>
      </c>
      <c r="AZ724">
        <v>57.2</v>
      </c>
      <c r="BA724">
        <v>21.4</v>
      </c>
      <c r="BB724">
        <f t="shared" si="133"/>
        <v>2.6728971962616828</v>
      </c>
    </row>
    <row r="725" spans="1:54" x14ac:dyDescent="0.3">
      <c r="A725" s="11">
        <v>44474</v>
      </c>
      <c r="B725">
        <v>0.54037267080745299</v>
      </c>
      <c r="C725">
        <v>4300.46</v>
      </c>
      <c r="D725">
        <v>144.97999999999999</v>
      </c>
      <c r="E725">
        <v>1769.4</v>
      </c>
      <c r="F725">
        <v>86.14</v>
      </c>
      <c r="G725">
        <v>54.97</v>
      </c>
      <c r="H725" s="12">
        <f t="shared" si="128"/>
        <v>108.60190572183865</v>
      </c>
      <c r="I725" s="12">
        <f t="shared" si="129"/>
        <v>94.660341590589624</v>
      </c>
      <c r="J725" s="12">
        <f t="shared" si="130"/>
        <v>143.36431699681756</v>
      </c>
      <c r="K725" s="12">
        <f t="shared" si="131"/>
        <v>125.33753923216861</v>
      </c>
      <c r="P725" s="12"/>
      <c r="Q725" s="12"/>
      <c r="R725" s="12"/>
      <c r="S725" s="12"/>
      <c r="V725">
        <v>0.55137481910274999</v>
      </c>
      <c r="W725" s="12"/>
      <c r="X725" s="12"/>
      <c r="Y725" t="str">
        <v>20101112</v>
      </c>
      <c r="Z725">
        <v>56.2</v>
      </c>
      <c r="AA725">
        <v>20.2</v>
      </c>
      <c r="AB725">
        <f t="shared" si="132"/>
        <v>2.7821782178217824</v>
      </c>
      <c r="AY725" t="str">
        <v>11/11/2021</v>
      </c>
      <c r="AZ725">
        <v>57.2</v>
      </c>
      <c r="BA725">
        <v>21.4</v>
      </c>
      <c r="BB725">
        <f t="shared" si="133"/>
        <v>2.6728971962616828</v>
      </c>
    </row>
    <row r="726" spans="1:54" x14ac:dyDescent="0.3">
      <c r="A726" s="11">
        <v>44471</v>
      </c>
      <c r="B726">
        <v>0.548286604361371</v>
      </c>
      <c r="C726">
        <v>4357.04</v>
      </c>
      <c r="D726">
        <v>145.35</v>
      </c>
      <c r="E726">
        <v>1760.925</v>
      </c>
      <c r="F726">
        <v>86.18</v>
      </c>
      <c r="G726">
        <v>55.68</v>
      </c>
      <c r="H726" s="12">
        <f t="shared" si="128"/>
        <v>109.74770475923955</v>
      </c>
      <c r="I726" s="12">
        <f t="shared" si="129"/>
        <v>96.375703022902826</v>
      </c>
      <c r="J726" s="12">
        <f t="shared" si="130"/>
        <v>145.18225074123532</v>
      </c>
      <c r="K726" s="12">
        <f t="shared" si="131"/>
        <v>125.36693069930243</v>
      </c>
      <c r="P726" s="12"/>
      <c r="Q726" s="12"/>
      <c r="R726" s="12"/>
      <c r="S726" s="12"/>
      <c r="V726">
        <v>0.55476529160739696</v>
      </c>
      <c r="W726" s="12"/>
      <c r="X726" s="12"/>
      <c r="Y726" t="str">
        <v>20101105</v>
      </c>
      <c r="Z726">
        <v>48.4</v>
      </c>
      <c r="AA726">
        <v>23.1</v>
      </c>
      <c r="AB726">
        <f t="shared" si="132"/>
        <v>2.0952380952380949</v>
      </c>
      <c r="AY726" t="str">
        <v>10/11/2021</v>
      </c>
      <c r="AZ726">
        <v>57.2</v>
      </c>
      <c r="BA726">
        <v>21.4</v>
      </c>
      <c r="BB726">
        <f t="shared" si="133"/>
        <v>2.6728971962616828</v>
      </c>
    </row>
    <row r="727" spans="1:54" x14ac:dyDescent="0.3">
      <c r="A727" s="11">
        <v>44469</v>
      </c>
      <c r="B727">
        <v>0.570977917981073</v>
      </c>
      <c r="C727">
        <v>4307.54</v>
      </c>
      <c r="D727">
        <v>144.32</v>
      </c>
      <c r="E727">
        <v>1756.9</v>
      </c>
      <c r="F727">
        <v>86.15</v>
      </c>
      <c r="G727">
        <v>55.41</v>
      </c>
      <c r="H727" s="12">
        <f t="shared" si="128"/>
        <v>109.27187385289706</v>
      </c>
      <c r="I727" s="12">
        <f t="shared" si="129"/>
        <v>95.497081107295529</v>
      </c>
      <c r="J727" s="12">
        <f t="shared" si="130"/>
        <v>143.58227782499671</v>
      </c>
      <c r="K727" s="12">
        <f t="shared" si="131"/>
        <v>124.54261908570879</v>
      </c>
      <c r="P727" s="12"/>
      <c r="Q727" s="12"/>
      <c r="R727" s="12"/>
      <c r="S727" s="12"/>
      <c r="V727">
        <v>0.55167498218104105</v>
      </c>
      <c r="W727" s="12"/>
      <c r="X727" s="12"/>
      <c r="Y727" t="str">
        <v>20101029</v>
      </c>
      <c r="Z727">
        <v>46.7</v>
      </c>
      <c r="AA727">
        <v>24.4</v>
      </c>
      <c r="AB727">
        <f t="shared" si="132"/>
        <v>1.9139344262295084</v>
      </c>
      <c r="AY727" t="str">
        <v>09/11/2021</v>
      </c>
      <c r="AZ727">
        <v>57.2</v>
      </c>
      <c r="BA727">
        <v>21.4</v>
      </c>
      <c r="BB727">
        <f t="shared" si="133"/>
        <v>2.6728971962616828</v>
      </c>
    </row>
    <row r="728" spans="1:54" x14ac:dyDescent="0.3">
      <c r="A728" s="11">
        <v>44469</v>
      </c>
      <c r="B728">
        <v>0.60897435897435903</v>
      </c>
      <c r="C728">
        <v>4359.4610000000002</v>
      </c>
      <c r="D728">
        <v>144.34</v>
      </c>
      <c r="E728">
        <v>1727.2</v>
      </c>
      <c r="F728">
        <v>86.13</v>
      </c>
      <c r="G728">
        <v>55.43</v>
      </c>
      <c r="H728" s="12">
        <f t="shared" si="128"/>
        <v>110.57347814682431</v>
      </c>
      <c r="I728" s="12">
        <f t="shared" si="129"/>
        <v>98.359886872260489</v>
      </c>
      <c r="J728" s="12">
        <f t="shared" si="130"/>
        <v>145.34710647911771</v>
      </c>
      <c r="K728" s="12">
        <f t="shared" si="131"/>
        <v>125.9977855476578</v>
      </c>
      <c r="P728" s="12"/>
      <c r="Q728" s="12"/>
      <c r="R728" s="12"/>
      <c r="S728" s="12"/>
      <c r="V728">
        <v>0.55254001391788399</v>
      </c>
      <c r="W728" s="12"/>
      <c r="X728" s="12"/>
      <c r="Y728" t="str">
        <v>20101022</v>
      </c>
      <c r="Z728">
        <v>45.6</v>
      </c>
      <c r="AA728">
        <v>24.4</v>
      </c>
      <c r="AB728">
        <f t="shared" si="132"/>
        <v>1.8688524590163935</v>
      </c>
      <c r="AY728" t="str">
        <v>08/11/2021</v>
      </c>
      <c r="AZ728">
        <v>57.2</v>
      </c>
      <c r="BA728">
        <v>21.4</v>
      </c>
      <c r="BB728">
        <f t="shared" si="133"/>
        <v>2.6728971962616828</v>
      </c>
    </row>
    <row r="729" spans="1:54" x14ac:dyDescent="0.3">
      <c r="A729" s="11">
        <v>44468</v>
      </c>
      <c r="B729">
        <v>0.60797342192690995</v>
      </c>
      <c r="C729">
        <v>4352.63</v>
      </c>
      <c r="D729">
        <v>144.09</v>
      </c>
      <c r="E729">
        <v>1734.3</v>
      </c>
      <c r="F729">
        <v>86.1</v>
      </c>
      <c r="G729">
        <v>55.66</v>
      </c>
      <c r="H729" s="12">
        <f t="shared" si="128"/>
        <v>110.59179554831447</v>
      </c>
      <c r="I729" s="12">
        <f t="shared" si="129"/>
        <v>97.80598549153342</v>
      </c>
      <c r="J729" s="12">
        <f t="shared" si="130"/>
        <v>145.16985931881558</v>
      </c>
      <c r="K729" s="12">
        <f t="shared" si="131"/>
        <v>125.28346590825588</v>
      </c>
      <c r="P729" s="12"/>
      <c r="Q729" s="12"/>
      <c r="R729" s="12"/>
      <c r="S729" s="12"/>
      <c r="V729">
        <v>0.554309740714786</v>
      </c>
      <c r="W729" s="12"/>
      <c r="X729" s="12"/>
      <c r="Y729" t="str">
        <v>20101015</v>
      </c>
      <c r="Z729">
        <v>45.1</v>
      </c>
      <c r="AA729">
        <v>22</v>
      </c>
      <c r="AB729">
        <f t="shared" si="132"/>
        <v>2.0500000000000003</v>
      </c>
      <c r="AY729" t="str">
        <v>05/11/2021</v>
      </c>
      <c r="AZ729">
        <v>56.5</v>
      </c>
      <c r="BA729">
        <v>22.3</v>
      </c>
      <c r="BB729">
        <f t="shared" si="133"/>
        <v>2.5336322869955157</v>
      </c>
    </row>
    <row r="730" spans="1:54" x14ac:dyDescent="0.3">
      <c r="A730" s="11">
        <v>44467</v>
      </c>
      <c r="B730">
        <v>0.61092150170648496</v>
      </c>
      <c r="C730">
        <v>4443.1099999999997</v>
      </c>
      <c r="D730">
        <v>146.37</v>
      </c>
      <c r="E730">
        <v>1750.8</v>
      </c>
      <c r="F730">
        <v>86.09</v>
      </c>
      <c r="G730">
        <v>56.77</v>
      </c>
      <c r="H730" s="12">
        <f t="shared" si="128"/>
        <v>111.1237618686351</v>
      </c>
      <c r="I730" s="12">
        <f t="shared" si="129"/>
        <v>98.887803338766489</v>
      </c>
      <c r="J730" s="12">
        <f t="shared" si="130"/>
        <v>148.20514089160667</v>
      </c>
      <c r="K730" s="12">
        <f t="shared" si="131"/>
        <v>125.38522024460393</v>
      </c>
      <c r="P730" s="12"/>
      <c r="Q730" s="12"/>
      <c r="R730" s="12"/>
      <c r="S730" s="12"/>
      <c r="V730">
        <v>0.55991440798858805</v>
      </c>
      <c r="W730" s="12"/>
      <c r="X730" s="12"/>
      <c r="Y730" t="str">
        <v>20101008</v>
      </c>
      <c r="Z730">
        <v>47.2</v>
      </c>
      <c r="AA730">
        <v>24.7</v>
      </c>
      <c r="AB730">
        <f t="shared" si="132"/>
        <v>1.9109311740890691</v>
      </c>
      <c r="AY730" t="str">
        <v>04/11/2021</v>
      </c>
      <c r="AZ730">
        <v>56.5</v>
      </c>
      <c r="BA730">
        <v>22.3</v>
      </c>
      <c r="BB730">
        <f t="shared" si="133"/>
        <v>2.5336322869955157</v>
      </c>
    </row>
    <row r="731" spans="1:54" x14ac:dyDescent="0.3">
      <c r="A731" s="11">
        <v>44464</v>
      </c>
      <c r="B731">
        <v>0.59016393442622905</v>
      </c>
      <c r="C731">
        <v>4455.4799999999996</v>
      </c>
      <c r="D731">
        <v>146.91</v>
      </c>
      <c r="E731">
        <v>1750.5</v>
      </c>
      <c r="F731">
        <v>86.1</v>
      </c>
      <c r="G731">
        <v>56.64</v>
      </c>
      <c r="H731" s="12">
        <f t="shared" si="128"/>
        <v>111.02391101309148</v>
      </c>
      <c r="I731" s="12">
        <f t="shared" si="129"/>
        <v>99.180160259030629</v>
      </c>
      <c r="J731" s="12">
        <f t="shared" si="130"/>
        <v>148.60044963382984</v>
      </c>
      <c r="K731" s="12">
        <f t="shared" si="131"/>
        <v>126.02435959558217</v>
      </c>
      <c r="P731" s="12"/>
      <c r="Q731" s="12"/>
      <c r="R731" s="12"/>
      <c r="S731" s="12"/>
      <c r="V731">
        <v>0.559782608695652</v>
      </c>
      <c r="W731" s="12"/>
      <c r="X731" s="12"/>
      <c r="Y731" t="str">
        <v>20101001</v>
      </c>
      <c r="Z731">
        <v>45.6</v>
      </c>
      <c r="AA731">
        <v>28.3</v>
      </c>
      <c r="AB731">
        <f t="shared" si="132"/>
        <v>1.6113074204946995</v>
      </c>
      <c r="AY731" t="str">
        <v>03/11/2021</v>
      </c>
      <c r="AZ731">
        <v>56.5</v>
      </c>
      <c r="BA731">
        <v>22.3</v>
      </c>
      <c r="BB731">
        <f t="shared" si="133"/>
        <v>2.5336322869955157</v>
      </c>
    </row>
    <row r="732" spans="1:54" x14ac:dyDescent="0.3">
      <c r="A732" s="11">
        <v>44463</v>
      </c>
      <c r="B732">
        <v>0.59016393442622905</v>
      </c>
      <c r="C732">
        <v>4448.9799999999996</v>
      </c>
      <c r="D732">
        <v>148.36000000000001</v>
      </c>
      <c r="E732">
        <v>1742.92</v>
      </c>
      <c r="F732">
        <v>86.13</v>
      </c>
      <c r="G732">
        <v>57.2</v>
      </c>
      <c r="H732" s="12">
        <f t="shared" si="128"/>
        <v>109.79046640602007</v>
      </c>
      <c r="I732" s="12">
        <f t="shared" si="129"/>
        <v>99.467423614496923</v>
      </c>
      <c r="J732" s="12">
        <f t="shared" si="130"/>
        <v>148.33206949339748</v>
      </c>
      <c r="K732" s="12">
        <f t="shared" si="131"/>
        <v>124.62220786376881</v>
      </c>
      <c r="P732" s="12"/>
      <c r="Q732" s="12"/>
      <c r="R732" s="12"/>
      <c r="S732" s="12"/>
      <c r="V732">
        <v>0.56891891891891899</v>
      </c>
      <c r="W732" s="12"/>
      <c r="X732" s="12"/>
      <c r="Y732" t="str">
        <v>20100924</v>
      </c>
      <c r="Z732">
        <v>43.3</v>
      </c>
      <c r="AA732">
        <v>27.8</v>
      </c>
      <c r="AB732">
        <f t="shared" si="132"/>
        <v>1.5575539568345322</v>
      </c>
      <c r="AY732" t="str">
        <v>02/11/2021</v>
      </c>
      <c r="AZ732">
        <v>56.5</v>
      </c>
      <c r="BA732">
        <v>22.3</v>
      </c>
      <c r="BB732">
        <f t="shared" si="133"/>
        <v>2.5336322869955157</v>
      </c>
    </row>
    <row r="733" spans="1:54" x14ac:dyDescent="0.3">
      <c r="A733" s="11">
        <v>44462</v>
      </c>
      <c r="B733">
        <v>0.58631921824104205</v>
      </c>
      <c r="C733">
        <v>4395.6400000000003</v>
      </c>
      <c r="D733">
        <v>151.79</v>
      </c>
      <c r="E733">
        <v>1768.1</v>
      </c>
      <c r="F733">
        <v>86.18</v>
      </c>
      <c r="G733">
        <v>56.6</v>
      </c>
      <c r="H733" s="12">
        <f t="shared" si="128"/>
        <v>106.10524444337548</v>
      </c>
      <c r="I733" s="12">
        <f t="shared" si="129"/>
        <v>96.911288781566725</v>
      </c>
      <c r="J733" s="12">
        <f t="shared" si="130"/>
        <v>146.46971689680652</v>
      </c>
      <c r="K733" s="12">
        <f t="shared" si="131"/>
        <v>124.43132461305851</v>
      </c>
      <c r="P733" s="12"/>
      <c r="Q733" s="12"/>
      <c r="R733" s="12"/>
      <c r="S733" s="12"/>
      <c r="V733">
        <v>0.57114361702127703</v>
      </c>
      <c r="W733" s="12"/>
      <c r="X733" s="12"/>
      <c r="Y733" t="str">
        <v>20100917</v>
      </c>
      <c r="Z733">
        <v>41.4</v>
      </c>
      <c r="AA733">
        <v>29.3</v>
      </c>
      <c r="AB733">
        <f t="shared" si="132"/>
        <v>1.4129692832764504</v>
      </c>
      <c r="AY733" t="str">
        <v>01/11/2021</v>
      </c>
      <c r="AZ733">
        <v>56.5</v>
      </c>
      <c r="BA733">
        <v>22.3</v>
      </c>
      <c r="BB733">
        <f t="shared" si="133"/>
        <v>2.5336322869955157</v>
      </c>
    </row>
    <row r="734" spans="1:54" x14ac:dyDescent="0.3">
      <c r="A734" s="11">
        <v>44461</v>
      </c>
      <c r="B734">
        <v>0.58922558922558899</v>
      </c>
      <c r="C734">
        <v>4354.1899999999996</v>
      </c>
      <c r="D734">
        <v>150.88999999999999</v>
      </c>
      <c r="E734">
        <v>1774.3150000000001</v>
      </c>
      <c r="F734">
        <v>86.23</v>
      </c>
      <c r="G734">
        <v>56.14</v>
      </c>
      <c r="H734" s="12">
        <f t="shared" si="128"/>
        <v>105.7293811212479</v>
      </c>
      <c r="I734" s="12">
        <f t="shared" si="129"/>
        <v>95.665501394218396</v>
      </c>
      <c r="J734" s="12">
        <f t="shared" si="130"/>
        <v>145.00524931400324</v>
      </c>
      <c r="K734" s="12">
        <f t="shared" si="131"/>
        <v>124.26657633552286</v>
      </c>
      <c r="P734" s="12"/>
      <c r="Q734" s="12"/>
      <c r="R734" s="12"/>
      <c r="S734" s="12"/>
      <c r="V734">
        <v>0.57142857142857095</v>
      </c>
      <c r="W734" s="12"/>
      <c r="X734" s="12"/>
      <c r="Y734" t="str">
        <v>20100910</v>
      </c>
      <c r="Z734">
        <v>36.700000000000003</v>
      </c>
      <c r="AA734">
        <v>31.1</v>
      </c>
      <c r="AB734">
        <f t="shared" si="132"/>
        <v>1.180064308681672</v>
      </c>
      <c r="AY734" t="str">
        <v>29/10/2021</v>
      </c>
      <c r="AZ734">
        <v>54</v>
      </c>
      <c r="BA734">
        <v>24.1</v>
      </c>
      <c r="BB734">
        <f t="shared" si="133"/>
        <v>2.2406639004149378</v>
      </c>
    </row>
    <row r="735" spans="1:54" x14ac:dyDescent="0.3">
      <c r="A735" s="11">
        <v>44460</v>
      </c>
      <c r="B735">
        <v>0.59322033898305104</v>
      </c>
      <c r="C735">
        <v>4357.7299999999996</v>
      </c>
      <c r="D735">
        <v>151.02000000000001</v>
      </c>
      <c r="E735">
        <v>1764.26</v>
      </c>
      <c r="F735">
        <v>86.21</v>
      </c>
      <c r="G735">
        <v>55.69</v>
      </c>
      <c r="H735" s="12">
        <f t="shared" si="128"/>
        <v>105.72425734435917</v>
      </c>
      <c r="I735" s="12">
        <f t="shared" si="129"/>
        <v>96.292521985351328</v>
      </c>
      <c r="J735" s="12">
        <f t="shared" si="130"/>
        <v>145.15684258477916</v>
      </c>
      <c r="K735" s="12">
        <f t="shared" si="131"/>
        <v>125.3815689084654</v>
      </c>
      <c r="P735" s="12"/>
      <c r="Q735" s="12"/>
      <c r="R735" s="12"/>
      <c r="S735" s="12"/>
      <c r="V735">
        <v>0.56495263870094703</v>
      </c>
      <c r="W735" s="12"/>
      <c r="X735" s="12"/>
      <c r="Y735" t="str">
        <v>20100903</v>
      </c>
      <c r="Z735">
        <v>33.299999999999997</v>
      </c>
      <c r="AA735">
        <v>32.200000000000003</v>
      </c>
      <c r="AB735">
        <f t="shared" si="132"/>
        <v>1.0341614906832297</v>
      </c>
      <c r="AY735" t="str">
        <v>28/10/2021</v>
      </c>
      <c r="AZ735">
        <v>54</v>
      </c>
      <c r="BA735">
        <v>24.1</v>
      </c>
      <c r="BB735">
        <f t="shared" si="133"/>
        <v>2.2406639004149378</v>
      </c>
    </row>
    <row r="736" spans="1:54" x14ac:dyDescent="0.3">
      <c r="A736" s="11">
        <v>44457</v>
      </c>
      <c r="B736">
        <v>0.63207547169811296</v>
      </c>
      <c r="C736">
        <v>4432.99</v>
      </c>
      <c r="D736">
        <v>149.16999999999999</v>
      </c>
      <c r="E736">
        <v>1754.5</v>
      </c>
      <c r="F736">
        <v>86.19</v>
      </c>
      <c r="G736">
        <v>56.88</v>
      </c>
      <c r="H736" s="12">
        <f t="shared" si="128"/>
        <v>108.92436950182385</v>
      </c>
      <c r="I736" s="12">
        <f t="shared" si="129"/>
        <v>98.513014498285827</v>
      </c>
      <c r="J736" s="12">
        <f t="shared" si="130"/>
        <v>147.69863268047436</v>
      </c>
      <c r="K736" s="12">
        <f t="shared" si="131"/>
        <v>124.88900877299798</v>
      </c>
      <c r="P736" s="12"/>
      <c r="Q736" s="12"/>
      <c r="R736" s="12"/>
      <c r="S736" s="12"/>
      <c r="V736">
        <v>0.56348167539267002</v>
      </c>
      <c r="W736" s="12"/>
      <c r="X736" s="12"/>
      <c r="Y736" t="str">
        <v>20100827</v>
      </c>
      <c r="Z736">
        <v>29.4</v>
      </c>
      <c r="AA736">
        <v>37.700000000000003</v>
      </c>
      <c r="AB736">
        <f t="shared" si="132"/>
        <v>0.77984084880636595</v>
      </c>
      <c r="AY736" t="str">
        <v>27/10/2021</v>
      </c>
      <c r="AZ736">
        <v>54</v>
      </c>
      <c r="BA736">
        <v>24.1</v>
      </c>
      <c r="BB736">
        <f t="shared" si="133"/>
        <v>2.2406639004149378</v>
      </c>
    </row>
    <row r="737" spans="1:54" x14ac:dyDescent="0.3">
      <c r="A737" s="11">
        <v>44456</v>
      </c>
      <c r="B737">
        <v>0.62700964630225098</v>
      </c>
      <c r="C737">
        <v>4473.75</v>
      </c>
      <c r="D737">
        <v>149.88999999999999</v>
      </c>
      <c r="E737">
        <v>1753.4</v>
      </c>
      <c r="F737">
        <v>86.21</v>
      </c>
      <c r="G737">
        <v>57.47</v>
      </c>
      <c r="H737" s="12">
        <f t="shared" si="128"/>
        <v>109.39558027109233</v>
      </c>
      <c r="I737" s="12">
        <f t="shared" si="129"/>
        <v>99.481795823406969</v>
      </c>
      <c r="J737" s="12">
        <f t="shared" si="130"/>
        <v>149.02178717279097</v>
      </c>
      <c r="K737" s="12">
        <f t="shared" si="131"/>
        <v>124.74489087362777</v>
      </c>
      <c r="P737" s="12"/>
      <c r="Q737" s="12"/>
      <c r="R737" s="12"/>
      <c r="S737" s="12"/>
      <c r="V737">
        <v>0.56352863726135605</v>
      </c>
      <c r="W737" s="12"/>
      <c r="X737" s="12"/>
      <c r="Y737" t="str">
        <v>20100820</v>
      </c>
      <c r="Z737">
        <v>33.299999999999997</v>
      </c>
      <c r="AA737">
        <v>31.2</v>
      </c>
      <c r="AB737">
        <f t="shared" si="132"/>
        <v>1.0673076923076923</v>
      </c>
      <c r="AY737" t="str">
        <v>26/10/2021</v>
      </c>
      <c r="AZ737">
        <v>54</v>
      </c>
      <c r="BA737">
        <v>24.1</v>
      </c>
      <c r="BB737">
        <f t="shared" si="133"/>
        <v>2.2406639004149378</v>
      </c>
    </row>
    <row r="738" spans="1:54" x14ac:dyDescent="0.3">
      <c r="A738" s="11">
        <v>44455</v>
      </c>
      <c r="B738">
        <v>0.65384615384615397</v>
      </c>
      <c r="C738">
        <v>4480.7</v>
      </c>
      <c r="D738">
        <v>150.58000000000001</v>
      </c>
      <c r="E738">
        <v>1793.9</v>
      </c>
      <c r="F738">
        <v>86.24</v>
      </c>
      <c r="G738">
        <v>57.8</v>
      </c>
      <c r="H738" s="12">
        <f t="shared" si="128"/>
        <v>109.06498413623636</v>
      </c>
      <c r="I738" s="12">
        <f t="shared" si="129"/>
        <v>97.433222150648888</v>
      </c>
      <c r="J738" s="12">
        <f t="shared" si="130"/>
        <v>149.20131074163794</v>
      </c>
      <c r="K738" s="12">
        <f t="shared" si="131"/>
        <v>124.22831900852444</v>
      </c>
      <c r="P738" s="12"/>
      <c r="Q738" s="12"/>
      <c r="R738" s="12"/>
      <c r="S738" s="12"/>
      <c r="V738">
        <v>0.57438551099611901</v>
      </c>
      <c r="W738" s="12"/>
      <c r="X738" s="12"/>
      <c r="Y738" t="str">
        <v>20100813</v>
      </c>
      <c r="Z738">
        <v>36.700000000000003</v>
      </c>
      <c r="AA738">
        <v>31.1</v>
      </c>
      <c r="AB738">
        <f t="shared" si="132"/>
        <v>1.180064308681672</v>
      </c>
      <c r="AY738" t="str">
        <v>25/10/2021</v>
      </c>
      <c r="AZ738">
        <v>54</v>
      </c>
      <c r="BA738">
        <v>24.1</v>
      </c>
      <c r="BB738">
        <f t="shared" si="133"/>
        <v>2.2406639004149378</v>
      </c>
    </row>
    <row r="739" spans="1:54" x14ac:dyDescent="0.3">
      <c r="A739" s="11">
        <v>44454</v>
      </c>
      <c r="B739">
        <v>0.65584415584415601</v>
      </c>
      <c r="C739">
        <v>4443.05</v>
      </c>
      <c r="D739">
        <v>151.11000000000001</v>
      </c>
      <c r="E739">
        <v>1804.1</v>
      </c>
      <c r="F739">
        <v>86.24</v>
      </c>
      <c r="G739">
        <v>57.63</v>
      </c>
      <c r="H739" s="12">
        <f t="shared" si="128"/>
        <v>107.77371626538483</v>
      </c>
      <c r="I739" s="12">
        <f t="shared" si="129"/>
        <v>96.075891045901912</v>
      </c>
      <c r="J739" s="12">
        <f t="shared" si="130"/>
        <v>147.9476161516358</v>
      </c>
      <c r="K739" s="12">
        <f t="shared" si="131"/>
        <v>123.54584482074667</v>
      </c>
      <c r="P739" s="12"/>
      <c r="Q739" s="12"/>
      <c r="R739" s="12"/>
      <c r="S739" s="12"/>
      <c r="V739">
        <v>0.57373868046571797</v>
      </c>
      <c r="W739" s="12"/>
      <c r="X739" s="12"/>
      <c r="Y739" t="str">
        <v>20100806</v>
      </c>
      <c r="Z739">
        <v>41.7</v>
      </c>
      <c r="AA739">
        <v>27.5</v>
      </c>
      <c r="AB739">
        <f t="shared" si="132"/>
        <v>1.5163636363636364</v>
      </c>
      <c r="AY739" t="str">
        <v>22/10/2021</v>
      </c>
      <c r="AZ739">
        <v>48.9</v>
      </c>
      <c r="BA739">
        <v>23.8</v>
      </c>
      <c r="BB739">
        <f t="shared" si="133"/>
        <v>2.0546218487394956</v>
      </c>
    </row>
    <row r="740" spans="1:54" x14ac:dyDescent="0.3">
      <c r="A740" s="11">
        <v>44453</v>
      </c>
      <c r="B740">
        <v>0.65016501650165004</v>
      </c>
      <c r="C740">
        <v>4468.7299999999996</v>
      </c>
      <c r="D740">
        <v>149.30000000000001</v>
      </c>
      <c r="E740">
        <v>1793.7</v>
      </c>
      <c r="F740">
        <v>86.23</v>
      </c>
      <c r="G740">
        <v>57.96</v>
      </c>
      <c r="H740" s="12">
        <f t="shared" si="128"/>
        <v>109.73465713404836</v>
      </c>
      <c r="I740" s="12">
        <f t="shared" si="129"/>
        <v>97.198010012874178</v>
      </c>
      <c r="J740" s="12">
        <f t="shared" si="130"/>
        <v>148.82008402380538</v>
      </c>
      <c r="K740" s="12">
        <f t="shared" si="131"/>
        <v>123.5523952431918</v>
      </c>
      <c r="P740" s="12"/>
      <c r="Q740" s="12"/>
      <c r="R740" s="12"/>
      <c r="S740" s="12"/>
      <c r="V740">
        <v>0.57087126137841304</v>
      </c>
      <c r="W740" s="12"/>
      <c r="X740" s="12"/>
      <c r="Y740" t="str">
        <v>20100730</v>
      </c>
      <c r="Z740">
        <v>38.9</v>
      </c>
      <c r="AA740">
        <v>33.299999999999997</v>
      </c>
      <c r="AB740">
        <f t="shared" si="132"/>
        <v>1.1681681681681682</v>
      </c>
      <c r="AY740" t="str">
        <v>21/10/2021</v>
      </c>
      <c r="AZ740">
        <v>48.9</v>
      </c>
      <c r="BA740">
        <v>23.8</v>
      </c>
      <c r="BB740">
        <f t="shared" si="133"/>
        <v>2.0546218487394956</v>
      </c>
    </row>
    <row r="741" spans="1:54" x14ac:dyDescent="0.3">
      <c r="A741" s="11">
        <v>44450</v>
      </c>
      <c r="B741">
        <v>0.688271604938272</v>
      </c>
      <c r="C741">
        <v>4458.58</v>
      </c>
      <c r="D741">
        <v>148.4</v>
      </c>
      <c r="E741">
        <v>1787.65</v>
      </c>
      <c r="F741">
        <v>86.21</v>
      </c>
      <c r="G741">
        <v>57.62</v>
      </c>
      <c r="H741" s="12">
        <f t="shared" si="128"/>
        <v>110.15193253311998</v>
      </c>
      <c r="I741" s="12">
        <f t="shared" si="129"/>
        <v>97.305807509981051</v>
      </c>
      <c r="J741" s="12">
        <f t="shared" si="130"/>
        <v>148.51643950286092</v>
      </c>
      <c r="K741" s="12">
        <f t="shared" si="131"/>
        <v>124.00180498452836</v>
      </c>
      <c r="P741" s="12"/>
      <c r="Q741" s="12"/>
      <c r="R741" s="12"/>
      <c r="S741" s="12"/>
      <c r="V741">
        <v>0.58505963590709398</v>
      </c>
      <c r="W741" s="12"/>
      <c r="X741" s="12"/>
      <c r="Y741" t="str">
        <v>20100723</v>
      </c>
      <c r="Z741">
        <v>38.200000000000003</v>
      </c>
      <c r="AA741">
        <v>34.9</v>
      </c>
      <c r="AB741">
        <f t="shared" si="132"/>
        <v>1.0945558739255015</v>
      </c>
      <c r="AY741" t="str">
        <v>20/10/2021</v>
      </c>
      <c r="AZ741">
        <v>48.9</v>
      </c>
      <c r="BA741">
        <v>23.8</v>
      </c>
      <c r="BB741">
        <f t="shared" si="133"/>
        <v>2.0546218487394956</v>
      </c>
    </row>
    <row r="742" spans="1:54" x14ac:dyDescent="0.3">
      <c r="A742" s="11">
        <v>44449</v>
      </c>
      <c r="B742">
        <v>0.69470404984423695</v>
      </c>
      <c r="C742">
        <v>4493.28</v>
      </c>
      <c r="D742">
        <v>149.72</v>
      </c>
      <c r="E742">
        <v>1794.5</v>
      </c>
      <c r="F742">
        <v>86.24</v>
      </c>
      <c r="G742">
        <v>57.75</v>
      </c>
      <c r="H742" s="12">
        <f t="shared" si="128"/>
        <v>110.03157847470821</v>
      </c>
      <c r="I742" s="12">
        <f t="shared" si="129"/>
        <v>97.687317936333031</v>
      </c>
      <c r="J742" s="12">
        <f t="shared" si="130"/>
        <v>149.619852576255</v>
      </c>
      <c r="K742" s="12">
        <f t="shared" si="131"/>
        <v>124.68402125508388</v>
      </c>
      <c r="P742" s="12"/>
      <c r="Q742" s="12"/>
      <c r="R742" s="12"/>
      <c r="S742" s="12"/>
      <c r="V742">
        <v>0.58627204030226698</v>
      </c>
      <c r="W742" s="12"/>
      <c r="X742" s="12"/>
      <c r="Y742" t="str">
        <v>20100716</v>
      </c>
      <c r="Z742">
        <v>35.6</v>
      </c>
      <c r="AA742">
        <v>35.6</v>
      </c>
      <c r="AB742">
        <f t="shared" si="132"/>
        <v>1</v>
      </c>
      <c r="AY742" t="str">
        <v>19/10/2021</v>
      </c>
      <c r="AZ742">
        <v>48.9</v>
      </c>
      <c r="BA742">
        <v>23.8</v>
      </c>
      <c r="BB742">
        <f t="shared" si="133"/>
        <v>2.0546218487394956</v>
      </c>
    </row>
    <row r="743" spans="1:54" x14ac:dyDescent="0.3">
      <c r="A743" s="11">
        <v>44448</v>
      </c>
      <c r="B743">
        <v>0.70030581039755302</v>
      </c>
      <c r="C743">
        <v>4514.07</v>
      </c>
      <c r="D743">
        <v>147.93</v>
      </c>
      <c r="E743">
        <v>1789</v>
      </c>
      <c r="F743">
        <v>86.22</v>
      </c>
      <c r="G743">
        <v>57.85</v>
      </c>
      <c r="H743" s="12">
        <f t="shared" si="128"/>
        <v>111.90098713876016</v>
      </c>
      <c r="I743" s="12">
        <f t="shared" si="129"/>
        <v>98.443357312474518</v>
      </c>
      <c r="J743" s="12">
        <f t="shared" si="130"/>
        <v>150.34716670247957</v>
      </c>
      <c r="K743" s="12">
        <f t="shared" si="131"/>
        <v>125.043771103466</v>
      </c>
      <c r="P743" s="12"/>
      <c r="Q743" s="12"/>
      <c r="R743" s="12"/>
      <c r="S743" s="12"/>
      <c r="V743">
        <v>0.58779106356198896</v>
      </c>
      <c r="W743" s="12"/>
      <c r="X743" s="12"/>
      <c r="Y743" t="str">
        <v>20100709</v>
      </c>
      <c r="Z743">
        <v>32.6</v>
      </c>
      <c r="AA743">
        <v>34.799999999999997</v>
      </c>
      <c r="AB743">
        <f t="shared" si="132"/>
        <v>0.93678160919540243</v>
      </c>
      <c r="AY743" t="str">
        <v>18/10/2021</v>
      </c>
      <c r="AZ743">
        <v>48.9</v>
      </c>
      <c r="BA743">
        <v>23.8</v>
      </c>
      <c r="BB743">
        <f t="shared" si="133"/>
        <v>2.0546218487394956</v>
      </c>
    </row>
    <row r="744" spans="1:54" x14ac:dyDescent="0.3">
      <c r="A744" s="11">
        <v>44447</v>
      </c>
      <c r="B744">
        <v>0.70370370370370405</v>
      </c>
      <c r="C744">
        <v>4520.03</v>
      </c>
      <c r="D744">
        <v>146.93</v>
      </c>
      <c r="E744">
        <v>1793.8</v>
      </c>
      <c r="F744">
        <v>86.2</v>
      </c>
      <c r="G744">
        <v>58.44</v>
      </c>
      <c r="H744" s="12">
        <f t="shared" si="128"/>
        <v>112.81757776211366</v>
      </c>
      <c r="I744" s="12">
        <f t="shared" si="129"/>
        <v>98.309920443462929</v>
      </c>
      <c r="J744" s="12">
        <f t="shared" si="130"/>
        <v>150.58065614644829</v>
      </c>
      <c r="K744" s="12">
        <f t="shared" si="131"/>
        <v>123.95578029798503</v>
      </c>
      <c r="P744" s="12"/>
      <c r="Q744" s="12"/>
      <c r="R744" s="12"/>
      <c r="S744" s="12"/>
      <c r="V744">
        <v>0.5625</v>
      </c>
      <c r="W744" s="12"/>
      <c r="X744" s="12"/>
      <c r="Y744" t="str">
        <v>20100702</v>
      </c>
      <c r="Z744">
        <v>37</v>
      </c>
      <c r="AA744">
        <v>34.799999999999997</v>
      </c>
      <c r="AB744">
        <f t="shared" si="132"/>
        <v>1.0632183908045978</v>
      </c>
      <c r="AY744" t="str">
        <v>15/10/2021</v>
      </c>
      <c r="AZ744">
        <v>43.2</v>
      </c>
      <c r="BA744">
        <v>23.9</v>
      </c>
      <c r="BB744">
        <f t="shared" si="133"/>
        <v>1.8075313807531384</v>
      </c>
    </row>
    <row r="745" spans="1:54" x14ac:dyDescent="0.3">
      <c r="A745" s="11">
        <v>44443</v>
      </c>
      <c r="B745">
        <v>0.77049180327868805</v>
      </c>
      <c r="C745">
        <v>4535.43</v>
      </c>
      <c r="D745">
        <v>148.18</v>
      </c>
      <c r="E745">
        <v>1827.1</v>
      </c>
      <c r="F745">
        <v>86.23</v>
      </c>
      <c r="G745">
        <v>58.36</v>
      </c>
      <c r="H745" s="12">
        <f t="shared" si="128"/>
        <v>112.2518064410762</v>
      </c>
      <c r="I745" s="12">
        <f t="shared" si="129"/>
        <v>96.873278581182092</v>
      </c>
      <c r="J745" s="12">
        <f t="shared" si="130"/>
        <v>151.04096582215806</v>
      </c>
      <c r="K745" s="12">
        <f t="shared" si="131"/>
        <v>124.54941898922866</v>
      </c>
      <c r="P745" s="12"/>
      <c r="Q745" s="12"/>
      <c r="R745" s="12"/>
      <c r="S745" s="12"/>
      <c r="V745">
        <v>0.60421836228287795</v>
      </c>
      <c r="W745" s="12"/>
      <c r="X745" s="12"/>
      <c r="Y745" t="str">
        <v>20100625</v>
      </c>
      <c r="Z745">
        <v>41.1</v>
      </c>
      <c r="AA745">
        <v>33.299999999999997</v>
      </c>
      <c r="AB745">
        <f t="shared" si="132"/>
        <v>1.2342342342342343</v>
      </c>
      <c r="AY745" t="str">
        <v>14/10/2021</v>
      </c>
      <c r="AZ745">
        <v>43.2</v>
      </c>
      <c r="BA745">
        <v>23.9</v>
      </c>
      <c r="BB745">
        <f t="shared" si="133"/>
        <v>1.8075313807531384</v>
      </c>
    </row>
    <row r="746" spans="1:54" x14ac:dyDescent="0.3">
      <c r="A746" s="11">
        <v>44442</v>
      </c>
      <c r="B746">
        <v>0.77272727272727304</v>
      </c>
      <c r="C746">
        <v>4536.95</v>
      </c>
      <c r="D746">
        <v>149.54</v>
      </c>
      <c r="E746">
        <v>1809.7850000000001</v>
      </c>
      <c r="F746">
        <v>86.23</v>
      </c>
      <c r="G746">
        <v>58.11</v>
      </c>
      <c r="H746" s="12">
        <f t="shared" si="128"/>
        <v>111.2770716156287</v>
      </c>
      <c r="I746" s="12">
        <f t="shared" si="129"/>
        <v>97.842156785624468</v>
      </c>
      <c r="J746" s="12">
        <f t="shared" si="130"/>
        <v>151.09158555789418</v>
      </c>
      <c r="K746" s="12">
        <f t="shared" si="131"/>
        <v>125.12967184830545</v>
      </c>
      <c r="P746" s="12"/>
      <c r="Q746" s="12"/>
      <c r="R746" s="12"/>
      <c r="S746" s="12"/>
      <c r="V746">
        <v>0.60615384615384604</v>
      </c>
      <c r="W746" s="12"/>
      <c r="X746" s="12"/>
      <c r="Y746" t="str">
        <v>20100618</v>
      </c>
      <c r="Z746">
        <v>41.1</v>
      </c>
      <c r="AA746">
        <v>31.1</v>
      </c>
      <c r="AB746">
        <f t="shared" si="132"/>
        <v>1.3215434083601285</v>
      </c>
      <c r="AY746" t="str">
        <v>13/10/2021</v>
      </c>
      <c r="AZ746">
        <v>43.2</v>
      </c>
      <c r="BA746">
        <v>23.9</v>
      </c>
      <c r="BB746">
        <f t="shared" si="133"/>
        <v>1.8075313807531384</v>
      </c>
    </row>
    <row r="747" spans="1:54" x14ac:dyDescent="0.3">
      <c r="A747" s="11">
        <v>44441</v>
      </c>
      <c r="B747">
        <v>0.79069767441860495</v>
      </c>
      <c r="C747">
        <v>4524.09</v>
      </c>
      <c r="D747">
        <v>148.88999999999999</v>
      </c>
      <c r="E747">
        <v>1814.2</v>
      </c>
      <c r="F747">
        <v>86.23</v>
      </c>
      <c r="G747">
        <v>57.95</v>
      </c>
      <c r="H747" s="12">
        <f t="shared" si="128"/>
        <v>111.44681385714398</v>
      </c>
      <c r="I747" s="12">
        <f t="shared" si="129"/>
        <v>97.328637255581725</v>
      </c>
      <c r="J747" s="12">
        <f t="shared" si="130"/>
        <v>150.66331595160042</v>
      </c>
      <c r="K747" s="12">
        <f t="shared" si="131"/>
        <v>125.11946713702987</v>
      </c>
      <c r="P747" s="12"/>
      <c r="Q747" s="12"/>
      <c r="R747" s="12"/>
      <c r="S747" s="12"/>
      <c r="V747">
        <v>0.60378510378510397</v>
      </c>
      <c r="W747" s="12"/>
      <c r="X747" s="12"/>
      <c r="Y747" t="str">
        <v>20100611</v>
      </c>
      <c r="Z747">
        <v>37</v>
      </c>
      <c r="AA747">
        <v>32.6</v>
      </c>
      <c r="AB747">
        <f t="shared" si="132"/>
        <v>1.1349693251533741</v>
      </c>
      <c r="AY747" t="str">
        <v>12/10/2021</v>
      </c>
      <c r="AZ747">
        <v>43.2</v>
      </c>
      <c r="BA747">
        <v>23.9</v>
      </c>
      <c r="BB747">
        <f t="shared" si="133"/>
        <v>1.8075313807531384</v>
      </c>
    </row>
    <row r="748" spans="1:54" x14ac:dyDescent="0.3">
      <c r="A748" s="11">
        <v>44439</v>
      </c>
      <c r="B748">
        <v>0.78645833333333304</v>
      </c>
      <c r="C748">
        <v>4522.68</v>
      </c>
      <c r="D748">
        <v>148.83000000000001</v>
      </c>
      <c r="E748">
        <v>1813.7</v>
      </c>
      <c r="F748">
        <v>86.25</v>
      </c>
      <c r="G748">
        <v>57.38</v>
      </c>
      <c r="H748" s="12">
        <f t="shared" si="128"/>
        <v>111.45699907354469</v>
      </c>
      <c r="I748" s="12">
        <f t="shared" si="129"/>
        <v>97.325125521497029</v>
      </c>
      <c r="J748" s="12">
        <f t="shared" si="130"/>
        <v>150.58145293039246</v>
      </c>
      <c r="K748" s="12">
        <f t="shared" si="131"/>
        <v>126.33506474480002</v>
      </c>
      <c r="P748" s="12"/>
      <c r="Q748" s="12"/>
      <c r="R748" s="12"/>
      <c r="S748" s="12"/>
      <c r="V748">
        <v>0.60147148988350696</v>
      </c>
      <c r="W748" s="12"/>
      <c r="X748" s="12"/>
      <c r="Y748" t="str">
        <v>20100604</v>
      </c>
      <c r="Z748">
        <v>38.5</v>
      </c>
      <c r="AA748">
        <v>31.9</v>
      </c>
      <c r="AB748">
        <f t="shared" si="132"/>
        <v>1.2068965517241379</v>
      </c>
      <c r="AY748" t="str">
        <v>11/10/2021</v>
      </c>
      <c r="AZ748">
        <v>43.2</v>
      </c>
      <c r="BA748">
        <v>23.9</v>
      </c>
      <c r="BB748">
        <f t="shared" si="133"/>
        <v>1.8075313807531384</v>
      </c>
    </row>
    <row r="749" spans="1:54" x14ac:dyDescent="0.3">
      <c r="A749" s="11">
        <v>44439</v>
      </c>
      <c r="B749">
        <v>0.78947368421052599</v>
      </c>
      <c r="C749">
        <v>4528.79</v>
      </c>
      <c r="D749">
        <v>149.85</v>
      </c>
      <c r="E749">
        <v>1810</v>
      </c>
      <c r="F749">
        <v>86.26</v>
      </c>
      <c r="G749">
        <v>57.2</v>
      </c>
      <c r="H749" s="12">
        <f t="shared" si="128"/>
        <v>110.85200644918943</v>
      </c>
      <c r="I749" s="12">
        <f t="shared" si="129"/>
        <v>97.656507756992625</v>
      </c>
      <c r="J749" s="12">
        <f t="shared" si="130"/>
        <v>150.76738192712403</v>
      </c>
      <c r="K749" s="12">
        <f t="shared" si="131"/>
        <v>126.9056323902076</v>
      </c>
      <c r="P749" s="12"/>
      <c r="Q749" s="12"/>
      <c r="R749" s="12"/>
      <c r="S749" s="12"/>
      <c r="V749">
        <v>0.60311526479750799</v>
      </c>
      <c r="W749" s="12"/>
      <c r="X749" s="12"/>
      <c r="Y749" t="str">
        <v>20100528</v>
      </c>
      <c r="Z749">
        <v>39.799999999999997</v>
      </c>
      <c r="AA749">
        <v>28.4</v>
      </c>
      <c r="AB749">
        <f t="shared" si="132"/>
        <v>1.4014084507042253</v>
      </c>
      <c r="AY749" t="str">
        <v>08/10/2021</v>
      </c>
      <c r="AZ749">
        <v>42.1</v>
      </c>
      <c r="BA749">
        <v>22.7</v>
      </c>
      <c r="BB749">
        <f t="shared" si="133"/>
        <v>1.8546255506607932</v>
      </c>
    </row>
    <row r="750" spans="1:54" x14ac:dyDescent="0.3">
      <c r="A750" s="11">
        <v>44436</v>
      </c>
      <c r="B750">
        <v>0.81498829039812604</v>
      </c>
      <c r="C750">
        <v>4509.37</v>
      </c>
      <c r="D750">
        <v>149.46</v>
      </c>
      <c r="E750">
        <v>1817.1</v>
      </c>
      <c r="F750">
        <v>86.24</v>
      </c>
      <c r="G750">
        <v>57.18</v>
      </c>
      <c r="H750" s="12">
        <f t="shared" si="128"/>
        <v>110.66418780228948</v>
      </c>
      <c r="I750" s="12">
        <f t="shared" si="129"/>
        <v>96.860900731717805</v>
      </c>
      <c r="J750" s="12">
        <f t="shared" si="130"/>
        <v>150.15554652489394</v>
      </c>
      <c r="K750" s="12">
        <f t="shared" si="131"/>
        <v>126.405469253249</v>
      </c>
      <c r="P750" s="12"/>
      <c r="Q750" s="12"/>
      <c r="R750" s="12"/>
      <c r="S750" s="12"/>
      <c r="V750">
        <v>0.65</v>
      </c>
      <c r="W750" s="12"/>
      <c r="X750" s="12"/>
      <c r="Y750" t="str">
        <v>20100521</v>
      </c>
      <c r="Z750">
        <v>39.299999999999997</v>
      </c>
      <c r="AA750">
        <v>29.2</v>
      </c>
      <c r="AB750">
        <f t="shared" si="132"/>
        <v>1.345890410958904</v>
      </c>
      <c r="AY750" t="str">
        <v>07/10/2021</v>
      </c>
      <c r="AZ750">
        <v>42.1</v>
      </c>
      <c r="BA750">
        <v>22.7</v>
      </c>
      <c r="BB750">
        <f t="shared" si="133"/>
        <v>1.8546255506607932</v>
      </c>
    </row>
    <row r="751" spans="1:54" x14ac:dyDescent="0.3">
      <c r="A751" s="11">
        <v>44435</v>
      </c>
      <c r="B751">
        <v>0.82027649769585298</v>
      </c>
      <c r="C751">
        <v>4470</v>
      </c>
      <c r="D751">
        <v>148.44999999999999</v>
      </c>
      <c r="E751">
        <v>1791.2</v>
      </c>
      <c r="F751">
        <v>86.18</v>
      </c>
      <c r="G751">
        <v>56.6</v>
      </c>
      <c r="H751" s="12">
        <f t="shared" si="128"/>
        <v>110.44286376286861</v>
      </c>
      <c r="I751" s="12">
        <f t="shared" si="129"/>
        <v>97.4114678058761</v>
      </c>
      <c r="J751" s="12">
        <f t="shared" si="130"/>
        <v>148.94737640773644</v>
      </c>
      <c r="K751" s="12">
        <f t="shared" si="131"/>
        <v>126.58772311229136</v>
      </c>
      <c r="P751" s="12"/>
      <c r="Q751" s="12"/>
      <c r="R751" s="12"/>
      <c r="S751" s="12"/>
      <c r="V751">
        <v>0.60587882423515305</v>
      </c>
      <c r="W751" s="12"/>
      <c r="X751" s="12"/>
      <c r="Y751" t="str">
        <v>20100514</v>
      </c>
      <c r="Z751">
        <v>43.8</v>
      </c>
      <c r="AA751">
        <v>24.7</v>
      </c>
      <c r="AB751">
        <f t="shared" si="132"/>
        <v>1.7732793522267205</v>
      </c>
      <c r="AY751" t="str">
        <v>06/10/2021</v>
      </c>
      <c r="AZ751">
        <v>42.1</v>
      </c>
      <c r="BA751">
        <v>22.7</v>
      </c>
      <c r="BB751">
        <f t="shared" si="133"/>
        <v>1.8546255506607932</v>
      </c>
    </row>
    <row r="752" spans="1:54" x14ac:dyDescent="0.3">
      <c r="A752" s="11">
        <v>44434</v>
      </c>
      <c r="B752">
        <v>0.82568807339449501</v>
      </c>
      <c r="C752">
        <v>4496.1899999999996</v>
      </c>
      <c r="D752">
        <v>148.04</v>
      </c>
      <c r="E752">
        <v>1790.38</v>
      </c>
      <c r="F752">
        <v>86.18</v>
      </c>
      <c r="G752">
        <v>56.98</v>
      </c>
      <c r="H752" s="12">
        <f t="shared" si="128"/>
        <v>111.4002883640463</v>
      </c>
      <c r="I752" s="12">
        <f t="shared" si="129"/>
        <v>98.027367393672776</v>
      </c>
      <c r="J752" s="12">
        <f t="shared" si="130"/>
        <v>149.82006808293076</v>
      </c>
      <c r="K752" s="12">
        <f t="shared" si="131"/>
        <v>126.48096370632918</v>
      </c>
      <c r="P752" s="12"/>
      <c r="Q752" s="12"/>
      <c r="R752" s="12"/>
      <c r="S752" s="12"/>
      <c r="V752">
        <v>0.60562537402752803</v>
      </c>
      <c r="W752" s="12"/>
      <c r="X752" s="12"/>
      <c r="Y752" t="str">
        <v>20100507</v>
      </c>
      <c r="Z752">
        <v>47.2</v>
      </c>
      <c r="AA752">
        <v>24.7</v>
      </c>
      <c r="AB752">
        <f t="shared" si="132"/>
        <v>1.9109311740890691</v>
      </c>
      <c r="AY752" t="str">
        <v>05/10/2021</v>
      </c>
      <c r="AZ752">
        <v>42.1</v>
      </c>
      <c r="BA752">
        <v>22.7</v>
      </c>
      <c r="BB752">
        <f t="shared" si="133"/>
        <v>1.8546255506607932</v>
      </c>
    </row>
    <row r="753" spans="1:54" x14ac:dyDescent="0.3">
      <c r="A753" s="11">
        <v>44433</v>
      </c>
      <c r="B753">
        <v>0.82528735632183903</v>
      </c>
      <c r="C753">
        <v>4486.2299999999996</v>
      </c>
      <c r="D753">
        <v>149.28</v>
      </c>
      <c r="E753">
        <v>1802.8514</v>
      </c>
      <c r="F753">
        <v>86.185000000000002</v>
      </c>
      <c r="G753">
        <v>56.98</v>
      </c>
      <c r="H753" s="12">
        <f t="shared" si="128"/>
        <v>110.2398306008495</v>
      </c>
      <c r="I753" s="12">
        <f t="shared" si="129"/>
        <v>97.13973131668709</v>
      </c>
      <c r="J753" s="12">
        <f t="shared" si="130"/>
        <v>149.47953253293036</v>
      </c>
      <c r="K753" s="12">
        <f t="shared" si="131"/>
        <v>126.20078195277451</v>
      </c>
      <c r="P753" s="12"/>
      <c r="Q753" s="12"/>
      <c r="R753" s="12"/>
      <c r="S753" s="12"/>
      <c r="V753">
        <v>0.60527894421115802</v>
      </c>
      <c r="W753" s="12"/>
      <c r="X753" s="12"/>
      <c r="Y753" t="str">
        <v>20100430</v>
      </c>
      <c r="Z753">
        <v>56</v>
      </c>
      <c r="AA753">
        <v>18.7</v>
      </c>
      <c r="AB753">
        <f t="shared" si="132"/>
        <v>2.9946524064171123</v>
      </c>
      <c r="AY753" t="str">
        <v>04/10/2021</v>
      </c>
      <c r="AZ753">
        <v>42.1</v>
      </c>
      <c r="BA753">
        <v>22.7</v>
      </c>
      <c r="BB753">
        <f t="shared" si="133"/>
        <v>1.8546255506607932</v>
      </c>
    </row>
    <row r="754" spans="1:54" x14ac:dyDescent="0.3">
      <c r="A754" s="11">
        <v>44432</v>
      </c>
      <c r="B754">
        <v>0.82217090069284104</v>
      </c>
      <c r="C754">
        <v>4479.53</v>
      </c>
      <c r="D754">
        <v>150.44999999999999</v>
      </c>
      <c r="E754">
        <v>1805.36</v>
      </c>
      <c r="F754">
        <v>86.2</v>
      </c>
      <c r="G754">
        <v>56.46</v>
      </c>
      <c r="H754" s="12">
        <f t="shared" si="128"/>
        <v>109.22703789771748</v>
      </c>
      <c r="I754" s="12">
        <f t="shared" si="129"/>
        <v>96.860267980617706</v>
      </c>
      <c r="J754" s="12">
        <f t="shared" si="130"/>
        <v>149.23036162073581</v>
      </c>
      <c r="K754" s="12">
        <f t="shared" si="131"/>
        <v>127.18190995712918</v>
      </c>
      <c r="P754" s="12"/>
      <c r="Q754" s="12"/>
      <c r="R754" s="12"/>
      <c r="S754" s="12"/>
      <c r="V754">
        <v>0.60675512665862497</v>
      </c>
      <c r="W754" s="12"/>
      <c r="X754" s="12"/>
      <c r="Y754" t="str">
        <v>20100423</v>
      </c>
      <c r="Z754">
        <v>54</v>
      </c>
      <c r="AA754">
        <v>18</v>
      </c>
      <c r="AB754">
        <f t="shared" si="132"/>
        <v>3</v>
      </c>
      <c r="AY754" t="str">
        <v>01/10/2021</v>
      </c>
      <c r="AZ754">
        <v>40.4</v>
      </c>
      <c r="BA754">
        <v>22.5</v>
      </c>
      <c r="BB754">
        <f t="shared" si="133"/>
        <v>1.7955555555555556</v>
      </c>
    </row>
    <row r="755" spans="1:54" x14ac:dyDescent="0.3">
      <c r="A755" s="11">
        <v>44429</v>
      </c>
      <c r="B755">
        <v>0.83516483516483497</v>
      </c>
      <c r="C755">
        <v>4441.67</v>
      </c>
      <c r="D755">
        <v>150.55000000000001</v>
      </c>
      <c r="E755">
        <v>1781.075</v>
      </c>
      <c r="F755">
        <v>86.2</v>
      </c>
      <c r="G755">
        <v>55.83</v>
      </c>
      <c r="H755" s="12">
        <f t="shared" si="128"/>
        <v>108.23259120563964</v>
      </c>
      <c r="I755" s="12">
        <f t="shared" si="129"/>
        <v>97.357883868915152</v>
      </c>
      <c r="J755" s="12">
        <f t="shared" si="130"/>
        <v>147.96909950373669</v>
      </c>
      <c r="K755" s="12">
        <f t="shared" si="131"/>
        <v>127.53395913370703</v>
      </c>
      <c r="P755" s="12"/>
      <c r="Q755" s="12"/>
      <c r="R755" s="12"/>
      <c r="S755" s="12"/>
      <c r="V755">
        <v>0.60825358851674605</v>
      </c>
      <c r="W755" s="12"/>
      <c r="X755" s="12"/>
      <c r="Y755" t="str">
        <v>20100416</v>
      </c>
      <c r="Z755">
        <v>53.3</v>
      </c>
      <c r="AA755">
        <v>17.399999999999999</v>
      </c>
      <c r="AB755">
        <f t="shared" si="132"/>
        <v>3.0632183908045976</v>
      </c>
      <c r="AY755" t="str">
        <v>30/09/2021</v>
      </c>
      <c r="AZ755">
        <v>40.4</v>
      </c>
      <c r="BA755">
        <v>22.5</v>
      </c>
      <c r="BB755">
        <f t="shared" si="133"/>
        <v>1.7955555555555556</v>
      </c>
    </row>
    <row r="756" spans="1:54" x14ac:dyDescent="0.3">
      <c r="A756" s="11">
        <v>44428</v>
      </c>
      <c r="B756">
        <v>0.83624454148471605</v>
      </c>
      <c r="C756">
        <v>4405.8</v>
      </c>
      <c r="D756">
        <v>150.44999999999999</v>
      </c>
      <c r="E756">
        <v>1779.6</v>
      </c>
      <c r="F756">
        <v>86.2</v>
      </c>
      <c r="G756">
        <v>55.68</v>
      </c>
      <c r="H756" s="12">
        <f t="shared" si="128"/>
        <v>107.42935608574423</v>
      </c>
      <c r="I756" s="12">
        <f t="shared" si="129"/>
        <v>96.651103081116474</v>
      </c>
      <c r="J756" s="12">
        <f t="shared" si="130"/>
        <v>146.77413193541238</v>
      </c>
      <c r="K756" s="12">
        <f t="shared" si="131"/>
        <v>126.84297250504359</v>
      </c>
      <c r="P756" s="12"/>
      <c r="Q756" s="12"/>
      <c r="R756" s="12"/>
      <c r="S756" s="12"/>
      <c r="V756">
        <v>0.60695026962252896</v>
      </c>
      <c r="W756" s="12"/>
      <c r="X756" s="12"/>
      <c r="Y756" t="str">
        <v>20100409</v>
      </c>
      <c r="Z756">
        <v>51.1</v>
      </c>
      <c r="AA756">
        <v>18.899999999999999</v>
      </c>
      <c r="AB756">
        <f t="shared" si="132"/>
        <v>2.7037037037037042</v>
      </c>
      <c r="AY756" t="str">
        <v>29/09/2021</v>
      </c>
      <c r="AZ756">
        <v>40.4</v>
      </c>
      <c r="BA756">
        <v>22.5</v>
      </c>
      <c r="BB756">
        <f t="shared" si="133"/>
        <v>1.7955555555555556</v>
      </c>
    </row>
    <row r="757" spans="1:54" x14ac:dyDescent="0.3">
      <c r="A757" s="11">
        <v>44427</v>
      </c>
      <c r="B757">
        <v>0.83700440528634401</v>
      </c>
      <c r="C757">
        <v>4400.2700000000004</v>
      </c>
      <c r="D757">
        <v>149.35</v>
      </c>
      <c r="E757">
        <v>1787</v>
      </c>
      <c r="F757">
        <v>86.2</v>
      </c>
      <c r="G757">
        <v>56.38</v>
      </c>
      <c r="H757" s="12">
        <f t="shared" si="128"/>
        <v>108.08962244706576</v>
      </c>
      <c r="I757" s="12">
        <f t="shared" si="129"/>
        <v>96.132204557793941</v>
      </c>
      <c r="J757" s="12">
        <f t="shared" si="130"/>
        <v>146.58990638055226</v>
      </c>
      <c r="K757" s="12">
        <f t="shared" si="131"/>
        <v>125.13210488592762</v>
      </c>
      <c r="P757" s="12"/>
      <c r="Q757" s="12"/>
      <c r="R757" s="12"/>
      <c r="S757" s="12"/>
      <c r="V757">
        <v>0.68421052631578905</v>
      </c>
      <c r="W757" s="12"/>
      <c r="X757" s="12"/>
      <c r="Y757" t="str">
        <v>20100402</v>
      </c>
      <c r="Z757">
        <v>48.9</v>
      </c>
      <c r="AA757">
        <v>18.899999999999999</v>
      </c>
      <c r="AB757">
        <f t="shared" si="132"/>
        <v>2.5873015873015874</v>
      </c>
      <c r="AY757" t="str">
        <v>28/09/2021</v>
      </c>
      <c r="AZ757">
        <v>40.4</v>
      </c>
      <c r="BA757">
        <v>22.5</v>
      </c>
      <c r="BB757">
        <f t="shared" si="133"/>
        <v>1.7955555555555556</v>
      </c>
    </row>
    <row r="758" spans="1:54" x14ac:dyDescent="0.3">
      <c r="A758" s="11">
        <v>44426</v>
      </c>
      <c r="B758">
        <v>0.83370288248336999</v>
      </c>
      <c r="C758">
        <v>4448.08</v>
      </c>
      <c r="D758">
        <v>148.85</v>
      </c>
      <c r="E758">
        <v>1785.8</v>
      </c>
      <c r="F758">
        <v>86.2</v>
      </c>
      <c r="G758">
        <v>56.52</v>
      </c>
      <c r="H758" s="12">
        <f t="shared" si="128"/>
        <v>109.63632168916877</v>
      </c>
      <c r="I758" s="12">
        <f t="shared" si="129"/>
        <v>97.242758234313783</v>
      </c>
      <c r="J758" s="12">
        <f t="shared" si="130"/>
        <v>148.18264124092542</v>
      </c>
      <c r="K758" s="12">
        <f t="shared" si="131"/>
        <v>126.17576246498459</v>
      </c>
      <c r="P758" s="12"/>
      <c r="Q758" s="12"/>
      <c r="R758" s="12"/>
      <c r="S758" s="12"/>
      <c r="V758">
        <v>0.60735826296743101</v>
      </c>
      <c r="W758" s="12"/>
      <c r="X758" s="12"/>
      <c r="Y758" t="str">
        <v>20100326</v>
      </c>
      <c r="Z758">
        <v>48.3</v>
      </c>
      <c r="AA758">
        <v>19.100000000000001</v>
      </c>
      <c r="AB758">
        <f t="shared" si="132"/>
        <v>2.5287958115183242</v>
      </c>
      <c r="AY758" t="str">
        <v>27/09/2021</v>
      </c>
      <c r="AZ758">
        <v>40.4</v>
      </c>
      <c r="BA758">
        <v>22.5</v>
      </c>
      <c r="BB758">
        <f t="shared" si="133"/>
        <v>1.7955555555555556</v>
      </c>
    </row>
    <row r="759" spans="1:54" x14ac:dyDescent="0.3">
      <c r="A759" s="11">
        <v>44425</v>
      </c>
      <c r="B759">
        <v>0.83296213808463204</v>
      </c>
      <c r="C759">
        <v>4479.71</v>
      </c>
      <c r="D759">
        <v>148.91</v>
      </c>
      <c r="E759">
        <v>1787.3416</v>
      </c>
      <c r="F759">
        <v>86.22</v>
      </c>
      <c r="G759">
        <v>57.16</v>
      </c>
      <c r="H759" s="12">
        <f t="shared" si="128"/>
        <v>110.37115039987023</v>
      </c>
      <c r="I759" s="12">
        <f t="shared" si="129"/>
        <v>97.849248908309789</v>
      </c>
      <c r="J759" s="12">
        <f t="shared" si="130"/>
        <v>149.20150251887478</v>
      </c>
      <c r="K759" s="12">
        <f t="shared" si="131"/>
        <v>125.65605954591194</v>
      </c>
      <c r="P759" s="12"/>
      <c r="Q759" s="12"/>
      <c r="R759" s="12"/>
      <c r="S759" s="12"/>
      <c r="V759">
        <v>0.61259079903147695</v>
      </c>
      <c r="W759" s="12"/>
      <c r="X759" s="12"/>
      <c r="Y759" t="str">
        <v>20100319</v>
      </c>
      <c r="Z759">
        <v>48.9</v>
      </c>
      <c r="AA759">
        <v>20.5</v>
      </c>
      <c r="AB759">
        <f t="shared" si="132"/>
        <v>2.3853658536585365</v>
      </c>
      <c r="AY759" t="str">
        <v>24/09/2021</v>
      </c>
      <c r="AZ759">
        <v>46.5</v>
      </c>
      <c r="BA759">
        <v>22.1</v>
      </c>
      <c r="BB759">
        <f t="shared" si="133"/>
        <v>2.1040723981900453</v>
      </c>
    </row>
    <row r="760" spans="1:54" x14ac:dyDescent="0.3">
      <c r="A760" s="11">
        <v>44422</v>
      </c>
      <c r="B760">
        <v>0.827133479212254</v>
      </c>
      <c r="C760">
        <v>4468</v>
      </c>
      <c r="D760">
        <v>148.55000000000001</v>
      </c>
      <c r="E760">
        <v>1779.76</v>
      </c>
      <c r="F760">
        <v>86.2</v>
      </c>
      <c r="G760">
        <v>57.51</v>
      </c>
      <c r="H760" s="12">
        <f t="shared" si="128"/>
        <v>110.34936379511952</v>
      </c>
      <c r="I760" s="12">
        <f t="shared" si="129"/>
        <v>98.009891115350698</v>
      </c>
      <c r="J760" s="12">
        <f t="shared" si="130"/>
        <v>148.84593326814752</v>
      </c>
      <c r="K760" s="12">
        <f t="shared" si="131"/>
        <v>124.5714461665345</v>
      </c>
      <c r="P760" s="12"/>
      <c r="Q760" s="12"/>
      <c r="R760" s="12"/>
      <c r="S760" s="12"/>
      <c r="V760">
        <v>0.61472915398660999</v>
      </c>
      <c r="W760" s="12"/>
      <c r="X760" s="12"/>
      <c r="Y760" t="str">
        <v>20100312</v>
      </c>
      <c r="Z760">
        <v>46.1</v>
      </c>
      <c r="AA760">
        <v>21.3</v>
      </c>
      <c r="AB760">
        <f t="shared" si="132"/>
        <v>2.164319248826291</v>
      </c>
      <c r="AY760" t="str">
        <v>23/09/2021</v>
      </c>
      <c r="AZ760">
        <v>46.5</v>
      </c>
      <c r="BA760">
        <v>22.1</v>
      </c>
      <c r="BB760">
        <f t="shared" si="133"/>
        <v>2.1040723981900453</v>
      </c>
    </row>
    <row r="761" spans="1:54" x14ac:dyDescent="0.3">
      <c r="A761" s="11">
        <v>44421</v>
      </c>
      <c r="B761">
        <v>0.81481481481481499</v>
      </c>
      <c r="C761">
        <v>4460.83</v>
      </c>
      <c r="D761">
        <v>146.24</v>
      </c>
      <c r="E761">
        <v>1752.875</v>
      </c>
      <c r="F761">
        <v>86.185000000000002</v>
      </c>
      <c r="G761">
        <v>57.35</v>
      </c>
      <c r="H761" s="12">
        <f t="shared" si="128"/>
        <v>111.93760479092344</v>
      </c>
      <c r="I761" s="12">
        <f t="shared" si="129"/>
        <v>99.374334048185901</v>
      </c>
      <c r="J761" s="12">
        <f t="shared" si="130"/>
        <v>148.63290070566791</v>
      </c>
      <c r="K761" s="12">
        <f t="shared" si="131"/>
        <v>124.71893409646472</v>
      </c>
      <c r="P761" s="12"/>
      <c r="Q761" s="12"/>
      <c r="R761" s="12"/>
      <c r="S761" s="12"/>
      <c r="V761">
        <v>0.61288343558282199</v>
      </c>
      <c r="W761" s="12"/>
      <c r="X761" s="12"/>
      <c r="Y761" t="str">
        <v>20100305</v>
      </c>
      <c r="Z761">
        <v>44.9</v>
      </c>
      <c r="AA761">
        <v>23.6</v>
      </c>
      <c r="AB761">
        <f t="shared" si="132"/>
        <v>1.9025423728813557</v>
      </c>
      <c r="AY761" t="str">
        <v>22/09/2021</v>
      </c>
      <c r="AZ761">
        <v>46.5</v>
      </c>
      <c r="BA761">
        <v>22.1</v>
      </c>
      <c r="BB761">
        <f t="shared" si="133"/>
        <v>2.1040723981900453</v>
      </c>
    </row>
    <row r="762" spans="1:54" x14ac:dyDescent="0.3">
      <c r="A762" s="11">
        <v>44420</v>
      </c>
      <c r="B762">
        <v>0.82119205298013198</v>
      </c>
      <c r="C762">
        <v>4447.7</v>
      </c>
      <c r="D762">
        <v>146.47999999999999</v>
      </c>
      <c r="E762">
        <v>1750.9</v>
      </c>
      <c r="F762">
        <v>86.19</v>
      </c>
      <c r="G762">
        <v>57.55</v>
      </c>
      <c r="H762" s="12">
        <f t="shared" si="128"/>
        <v>111.42609921200129</v>
      </c>
      <c r="I762" s="12">
        <f t="shared" si="129"/>
        <v>99.193395744297234</v>
      </c>
      <c r="J762" s="12">
        <f t="shared" si="130"/>
        <v>148.18684364084027</v>
      </c>
      <c r="K762" s="12">
        <f t="shared" si="131"/>
        <v>123.92244408535612</v>
      </c>
      <c r="P762" s="12"/>
      <c r="Q762" s="12"/>
      <c r="R762" s="12"/>
      <c r="S762" s="12"/>
      <c r="V762">
        <v>0.60772104607721</v>
      </c>
      <c r="W762" s="12"/>
      <c r="X762" s="12"/>
      <c r="Y762" t="str">
        <v>20100226</v>
      </c>
      <c r="Z762">
        <v>42.1</v>
      </c>
      <c r="AA762">
        <v>22.7</v>
      </c>
      <c r="AB762">
        <f t="shared" si="132"/>
        <v>1.8546255506607932</v>
      </c>
      <c r="AY762" t="str">
        <v>21/09/2021</v>
      </c>
      <c r="AZ762">
        <v>46.5</v>
      </c>
      <c r="BA762">
        <v>22.1</v>
      </c>
      <c r="BB762">
        <f t="shared" si="133"/>
        <v>2.1040723981900453</v>
      </c>
    </row>
    <row r="763" spans="1:54" x14ac:dyDescent="0.3">
      <c r="A763" s="11">
        <v>44419</v>
      </c>
      <c r="B763">
        <v>0.82405345211581305</v>
      </c>
      <c r="C763">
        <v>4436.75</v>
      </c>
      <c r="D763">
        <v>146.57</v>
      </c>
      <c r="E763">
        <v>1729</v>
      </c>
      <c r="F763">
        <v>86.15</v>
      </c>
      <c r="G763">
        <v>57.26</v>
      </c>
      <c r="H763" s="12">
        <f t="shared" si="128"/>
        <v>111.08373205855175</v>
      </c>
      <c r="I763" s="12">
        <f t="shared" si="129"/>
        <v>100.21541846979198</v>
      </c>
      <c r="J763" s="12">
        <f t="shared" si="130"/>
        <v>147.89051300603759</v>
      </c>
      <c r="K763" s="12">
        <f t="shared" si="131"/>
        <v>124.24505815351168</v>
      </c>
      <c r="P763" s="12"/>
      <c r="Q763" s="12"/>
      <c r="R763" s="12"/>
      <c r="S763" s="12"/>
      <c r="V763">
        <v>0.60689655172413803</v>
      </c>
      <c r="W763" s="12"/>
      <c r="X763" s="12"/>
      <c r="Y763" t="str">
        <v>20100219</v>
      </c>
      <c r="Z763">
        <v>41.1</v>
      </c>
      <c r="AA763">
        <v>23.3</v>
      </c>
      <c r="AB763">
        <f t="shared" si="132"/>
        <v>1.7639484978540774</v>
      </c>
      <c r="AY763" t="str">
        <v>20/09/2021</v>
      </c>
      <c r="AZ763">
        <v>46.5</v>
      </c>
      <c r="BA763">
        <v>22.1</v>
      </c>
      <c r="BB763">
        <f t="shared" si="133"/>
        <v>2.1040723981900453</v>
      </c>
    </row>
    <row r="764" spans="1:54" x14ac:dyDescent="0.3">
      <c r="A764" s="11">
        <v>44418</v>
      </c>
      <c r="B764">
        <v>0.82182628062360796</v>
      </c>
      <c r="C764">
        <v>4432.3500000000004</v>
      </c>
      <c r="D764">
        <v>147.25</v>
      </c>
      <c r="E764">
        <v>1729.4</v>
      </c>
      <c r="F764">
        <v>86.18</v>
      </c>
      <c r="G764">
        <v>57.12</v>
      </c>
      <c r="H764" s="12">
        <f t="shared" si="128"/>
        <v>110.46395218372813</v>
      </c>
      <c r="I764" s="12">
        <f t="shared" si="129"/>
        <v>100.09290520633047</v>
      </c>
      <c r="J764" s="12">
        <f t="shared" si="130"/>
        <v>147.6924854448439</v>
      </c>
      <c r="K764" s="12">
        <f t="shared" si="131"/>
        <v>124.42650671573448</v>
      </c>
      <c r="P764" s="12"/>
      <c r="Q764" s="12"/>
      <c r="R764" s="12"/>
      <c r="S764" s="12"/>
      <c r="V764">
        <v>0.60970996216897899</v>
      </c>
      <c r="W764" s="12"/>
      <c r="X764" s="12"/>
      <c r="Y764" t="str">
        <v>20100212</v>
      </c>
      <c r="Z764">
        <v>35.6</v>
      </c>
      <c r="AA764">
        <v>27.8</v>
      </c>
      <c r="AB764">
        <f t="shared" si="132"/>
        <v>1.2805755395683454</v>
      </c>
      <c r="AY764" t="str">
        <v>17/09/2021</v>
      </c>
      <c r="AZ764">
        <v>47.1</v>
      </c>
      <c r="BA764">
        <v>22.3</v>
      </c>
      <c r="BB764">
        <f t="shared" si="133"/>
        <v>2.1121076233183858</v>
      </c>
    </row>
    <row r="765" spans="1:54" x14ac:dyDescent="0.3">
      <c r="A765" s="11">
        <v>44415</v>
      </c>
      <c r="B765">
        <v>0.82735426008968604</v>
      </c>
      <c r="C765">
        <v>4436.5200000000004</v>
      </c>
      <c r="D765">
        <v>147.78</v>
      </c>
      <c r="E765">
        <v>1763</v>
      </c>
      <c r="F765">
        <v>86.21</v>
      </c>
      <c r="G765">
        <v>57.09</v>
      </c>
      <c r="H765" s="12">
        <f t="shared" si="128"/>
        <v>110.17238247773454</v>
      </c>
      <c r="I765" s="12">
        <f t="shared" si="129"/>
        <v>98.311645919648669</v>
      </c>
      <c r="J765" s="12">
        <f t="shared" si="130"/>
        <v>147.77996208142733</v>
      </c>
      <c r="K765" s="12">
        <f t="shared" si="131"/>
        <v>124.60911039674347</v>
      </c>
      <c r="P765" s="12"/>
      <c r="Q765" s="12"/>
      <c r="R765" s="12"/>
      <c r="S765" s="12"/>
      <c r="V765">
        <v>0.60761072988147202</v>
      </c>
      <c r="W765" s="12"/>
      <c r="X765" s="12"/>
      <c r="Y765" t="str">
        <v>20100205</v>
      </c>
      <c r="Z765">
        <v>34.1</v>
      </c>
      <c r="AA765">
        <v>26.1</v>
      </c>
      <c r="AB765">
        <f t="shared" si="132"/>
        <v>1.3065134099616857</v>
      </c>
      <c r="AY765" t="str">
        <v>16/09/2021</v>
      </c>
      <c r="AZ765">
        <v>47.1</v>
      </c>
      <c r="BA765">
        <v>22.3</v>
      </c>
      <c r="BB765">
        <f t="shared" si="133"/>
        <v>2.1121076233183858</v>
      </c>
    </row>
    <row r="766" spans="1:54" x14ac:dyDescent="0.3">
      <c r="A766" s="11">
        <v>44414</v>
      </c>
      <c r="B766">
        <v>0.81291759465478797</v>
      </c>
      <c r="C766">
        <v>4429.1000000000004</v>
      </c>
      <c r="D766">
        <v>150.29</v>
      </c>
      <c r="E766">
        <v>1804.5</v>
      </c>
      <c r="F766">
        <v>86.24</v>
      </c>
      <c r="G766">
        <v>57.38</v>
      </c>
      <c r="H766" s="12">
        <f t="shared" si="128"/>
        <v>108.18435129281436</v>
      </c>
      <c r="I766" s="12">
        <f t="shared" si="129"/>
        <v>95.944377263637151</v>
      </c>
      <c r="J766" s="12">
        <f t="shared" si="130"/>
        <v>147.48158466371055</v>
      </c>
      <c r="K766" s="12">
        <f t="shared" si="131"/>
        <v>123.7761821323686</v>
      </c>
      <c r="P766" s="12"/>
      <c r="Q766" s="12"/>
      <c r="R766" s="12"/>
      <c r="S766" s="12"/>
      <c r="V766">
        <v>0.60587133041848795</v>
      </c>
      <c r="W766" s="12"/>
      <c r="X766" s="12"/>
      <c r="Y766" t="str">
        <v>20100129</v>
      </c>
      <c r="Z766">
        <v>38.9</v>
      </c>
      <c r="AA766">
        <v>22.2</v>
      </c>
      <c r="AB766">
        <f t="shared" si="132"/>
        <v>1.7522522522522523</v>
      </c>
      <c r="AY766" t="str">
        <v>15/09/2021</v>
      </c>
      <c r="AZ766">
        <v>47.1</v>
      </c>
      <c r="BA766">
        <v>22.3</v>
      </c>
      <c r="BB766">
        <f t="shared" si="133"/>
        <v>2.1121076233183858</v>
      </c>
    </row>
    <row r="767" spans="1:54" x14ac:dyDescent="0.3">
      <c r="A767" s="11">
        <v>44413</v>
      </c>
      <c r="B767">
        <v>0.807339449541284</v>
      </c>
      <c r="C767">
        <v>4402.66</v>
      </c>
      <c r="D767">
        <v>151.06</v>
      </c>
      <c r="E767">
        <v>1812</v>
      </c>
      <c r="F767">
        <v>86.28</v>
      </c>
      <c r="G767">
        <v>57.2</v>
      </c>
      <c r="H767" s="12">
        <f t="shared" si="128"/>
        <v>106.99639464743615</v>
      </c>
      <c r="I767" s="12">
        <f t="shared" si="129"/>
        <v>94.980840970658704</v>
      </c>
      <c r="J767" s="12">
        <f t="shared" si="130"/>
        <v>146.533648644051</v>
      </c>
      <c r="K767" s="12">
        <f t="shared" si="131"/>
        <v>123.42336321904307</v>
      </c>
      <c r="P767" s="12"/>
      <c r="Q767" s="12"/>
      <c r="R767" s="12"/>
      <c r="S767" s="12"/>
      <c r="V767">
        <v>0.60940438871473401</v>
      </c>
      <c r="W767" s="12"/>
      <c r="X767" s="12"/>
      <c r="Y767" t="str">
        <v>20100122</v>
      </c>
      <c r="Z767">
        <v>40</v>
      </c>
      <c r="AA767">
        <v>23.3</v>
      </c>
      <c r="AB767">
        <f t="shared" si="132"/>
        <v>1.7167381974248928</v>
      </c>
      <c r="AY767" t="str">
        <v>14/09/2021</v>
      </c>
      <c r="AZ767">
        <v>47.1</v>
      </c>
      <c r="BA767">
        <v>22.3</v>
      </c>
      <c r="BB767">
        <f t="shared" si="133"/>
        <v>2.1121076233183858</v>
      </c>
    </row>
    <row r="768" spans="1:54" x14ac:dyDescent="0.3">
      <c r="A768" s="11">
        <v>44412</v>
      </c>
      <c r="B768">
        <v>0.80607476635513997</v>
      </c>
      <c r="C768">
        <v>4423.1499999999996</v>
      </c>
      <c r="D768">
        <v>150.75</v>
      </c>
      <c r="E768">
        <v>1810.635</v>
      </c>
      <c r="F768">
        <v>86.31</v>
      </c>
      <c r="G768">
        <v>57.25</v>
      </c>
      <c r="H768" s="12">
        <f t="shared" si="128"/>
        <v>107.71689463798418</v>
      </c>
      <c r="I768" s="12">
        <f t="shared" si="129"/>
        <v>95.495209142597034</v>
      </c>
      <c r="J768" s="12">
        <f t="shared" si="130"/>
        <v>147.16422688776507</v>
      </c>
      <c r="K768" s="12">
        <f t="shared" si="131"/>
        <v>123.88907249532326</v>
      </c>
      <c r="P768" s="12"/>
      <c r="Q768" s="12"/>
      <c r="R768" s="12"/>
      <c r="S768" s="12"/>
      <c r="V768">
        <v>0.60825396825396805</v>
      </c>
      <c r="W768" s="12"/>
      <c r="X768" s="12"/>
      <c r="Y768" t="str">
        <v>20100115</v>
      </c>
      <c r="Z768">
        <v>52.2</v>
      </c>
      <c r="AA768">
        <v>18.899999999999999</v>
      </c>
      <c r="AB768">
        <f t="shared" si="132"/>
        <v>2.7619047619047623</v>
      </c>
      <c r="AY768" t="str">
        <v>13/09/2021</v>
      </c>
      <c r="AZ768">
        <v>47.1</v>
      </c>
      <c r="BA768">
        <v>22.3</v>
      </c>
      <c r="BB768">
        <f t="shared" si="133"/>
        <v>2.1121076233183858</v>
      </c>
    </row>
    <row r="769" spans="1:54" x14ac:dyDescent="0.3">
      <c r="A769" s="11">
        <v>44411</v>
      </c>
      <c r="B769">
        <v>0.80047505938242303</v>
      </c>
      <c r="C769">
        <v>4387.16</v>
      </c>
      <c r="D769">
        <v>150.66999999999999</v>
      </c>
      <c r="E769">
        <v>1812.7</v>
      </c>
      <c r="F769">
        <v>86.31</v>
      </c>
      <c r="G769">
        <v>56.87</v>
      </c>
      <c r="H769" s="12">
        <f t="shared" si="128"/>
        <v>106.89672704006514</v>
      </c>
      <c r="I769" s="12">
        <f t="shared" si="129"/>
        <v>94.611287169212531</v>
      </c>
      <c r="J769" s="12">
        <f t="shared" si="130"/>
        <v>145.96679055264403</v>
      </c>
      <c r="K769" s="12">
        <f t="shared" si="131"/>
        <v>123.70085192464346</v>
      </c>
      <c r="P769" s="12"/>
      <c r="Q769" s="12"/>
      <c r="R769" s="12"/>
      <c r="S769" s="12"/>
      <c r="V769">
        <v>0.60334835801674203</v>
      </c>
      <c r="W769" s="12"/>
      <c r="X769" s="12"/>
      <c r="Y769" t="str">
        <v>20100108</v>
      </c>
      <c r="Z769">
        <v>53.4</v>
      </c>
      <c r="AA769">
        <v>15.9</v>
      </c>
      <c r="AB769">
        <f t="shared" si="132"/>
        <v>3.3584905660377355</v>
      </c>
      <c r="AY769" t="str">
        <v>10/09/2021</v>
      </c>
      <c r="AZ769">
        <v>50</v>
      </c>
      <c r="BA769">
        <v>22.1</v>
      </c>
      <c r="BB769">
        <f t="shared" si="133"/>
        <v>2.2624434389140271</v>
      </c>
    </row>
    <row r="770" spans="1:54" x14ac:dyDescent="0.3">
      <c r="A770" s="11">
        <v>44408</v>
      </c>
      <c r="B770">
        <v>0.81472684085510705</v>
      </c>
      <c r="C770">
        <v>4395.26</v>
      </c>
      <c r="D770">
        <v>149.52000000000001</v>
      </c>
      <c r="E770">
        <v>1814.01</v>
      </c>
      <c r="F770">
        <v>86.284999999999997</v>
      </c>
      <c r="G770">
        <v>56.56</v>
      </c>
      <c r="H770" s="12">
        <f t="shared" ref="H770:H833" si="134">H771*(1+((C770/C771)-(D770/D771)))</f>
        <v>107.9257094411565</v>
      </c>
      <c r="I770" s="12">
        <f t="shared" ref="I770:I833" si="135">I771*(1+((C770/C771)-(E770/E771)))</f>
        <v>94.717440547414412</v>
      </c>
      <c r="J770" s="12">
        <f t="shared" si="130"/>
        <v>146.27874927797916</v>
      </c>
      <c r="K770" s="12">
        <f t="shared" si="131"/>
        <v>124.61349620128721</v>
      </c>
      <c r="P770" s="12"/>
      <c r="Q770" s="12"/>
      <c r="R770" s="12"/>
      <c r="S770" s="12"/>
      <c r="V770">
        <v>0.61292386436340396</v>
      </c>
      <c r="W770" s="12"/>
      <c r="X770" s="12"/>
      <c r="Y770" t="str">
        <v>20100101</v>
      </c>
      <c r="Z770">
        <v>48.3</v>
      </c>
      <c r="AA770">
        <v>16.899999999999999</v>
      </c>
      <c r="AB770">
        <f t="shared" si="132"/>
        <v>2.8579881656804735</v>
      </c>
      <c r="AY770" t="str">
        <v>09/09/2021</v>
      </c>
      <c r="AZ770">
        <v>50</v>
      </c>
      <c r="BA770">
        <v>22.1</v>
      </c>
      <c r="BB770">
        <f t="shared" si="133"/>
        <v>2.2624434389140271</v>
      </c>
    </row>
    <row r="771" spans="1:54" x14ac:dyDescent="0.3">
      <c r="A771" s="11">
        <v>44407</v>
      </c>
      <c r="B771">
        <v>0.81686746987951797</v>
      </c>
      <c r="C771">
        <v>4419.1499999999996</v>
      </c>
      <c r="D771">
        <v>148.82</v>
      </c>
      <c r="E771">
        <v>1828.1</v>
      </c>
      <c r="F771">
        <v>86.27</v>
      </c>
      <c r="G771">
        <v>57.02</v>
      </c>
      <c r="H771" s="12">
        <f t="shared" si="134"/>
        <v>109.02794774234843</v>
      </c>
      <c r="I771" s="12">
        <f t="shared" si="135"/>
        <v>94.499954681875863</v>
      </c>
      <c r="J771" s="12">
        <f t="shared" ref="J771:J834" si="136">J772*(1+((C771/C772)-(F771/F772)))</f>
        <v>147.09954853658439</v>
      </c>
      <c r="K771" s="12">
        <f t="shared" ref="K771:K834" si="137">K772*(1+((C771/C772)-(G771/G772)))</f>
        <v>124.28273909304127</v>
      </c>
      <c r="P771" s="12"/>
      <c r="Q771" s="12"/>
      <c r="R771" s="12"/>
      <c r="S771" s="12"/>
      <c r="V771">
        <v>0.60897435897435903</v>
      </c>
      <c r="W771" s="12"/>
      <c r="X771" s="12"/>
      <c r="Y771" t="str">
        <v>20091225</v>
      </c>
      <c r="Z771">
        <v>51.1</v>
      </c>
      <c r="AA771">
        <v>15.6</v>
      </c>
      <c r="AB771">
        <f t="shared" si="132"/>
        <v>3.275641025641026</v>
      </c>
      <c r="AY771" t="str">
        <v>08/09/2021</v>
      </c>
      <c r="AZ771">
        <v>50</v>
      </c>
      <c r="BA771">
        <v>22.1</v>
      </c>
      <c r="BB771">
        <f t="shared" si="133"/>
        <v>2.2624434389140271</v>
      </c>
    </row>
    <row r="772" spans="1:54" x14ac:dyDescent="0.3">
      <c r="A772" s="11">
        <v>44406</v>
      </c>
      <c r="B772">
        <v>0.79699248120300703</v>
      </c>
      <c r="C772">
        <v>4400.6400000000003</v>
      </c>
      <c r="D772">
        <v>149.65</v>
      </c>
      <c r="E772">
        <v>1806.5</v>
      </c>
      <c r="F772">
        <v>86.27</v>
      </c>
      <c r="G772">
        <v>56.61</v>
      </c>
      <c r="H772" s="12">
        <f t="shared" si="134"/>
        <v>107.9749243430491</v>
      </c>
      <c r="I772" s="12">
        <f t="shared" si="135"/>
        <v>95.23810871155365</v>
      </c>
      <c r="J772" s="12">
        <f t="shared" si="136"/>
        <v>146.48340908818096</v>
      </c>
      <c r="K772" s="12">
        <f t="shared" si="137"/>
        <v>124.66125182724547</v>
      </c>
      <c r="P772" s="12"/>
      <c r="Q772" s="12"/>
      <c r="R772" s="12"/>
      <c r="S772" s="12"/>
      <c r="V772">
        <v>0.60089686098654704</v>
      </c>
      <c r="W772" s="12"/>
      <c r="X772" s="12"/>
      <c r="Y772" t="str">
        <v>20091218</v>
      </c>
      <c r="Z772">
        <v>52.2</v>
      </c>
      <c r="AA772">
        <v>16.7</v>
      </c>
      <c r="AB772">
        <f t="shared" si="132"/>
        <v>3.1257485029940124</v>
      </c>
      <c r="AY772" t="str">
        <v>07/09/2021</v>
      </c>
      <c r="AZ772">
        <v>50</v>
      </c>
      <c r="BA772">
        <v>22.1</v>
      </c>
      <c r="BB772">
        <f t="shared" si="133"/>
        <v>2.2624434389140271</v>
      </c>
    </row>
    <row r="773" spans="1:54" x14ac:dyDescent="0.3">
      <c r="A773" s="11">
        <v>44405</v>
      </c>
      <c r="B773">
        <v>0.776381909547739</v>
      </c>
      <c r="C773">
        <v>4401.46</v>
      </c>
      <c r="D773">
        <v>149.63999999999999</v>
      </c>
      <c r="E773">
        <v>1798.6</v>
      </c>
      <c r="F773">
        <v>86.26</v>
      </c>
      <c r="G773">
        <v>55.96</v>
      </c>
      <c r="H773" s="12">
        <f t="shared" si="134"/>
        <v>108.002262833757</v>
      </c>
      <c r="I773" s="12">
        <f t="shared" si="135"/>
        <v>95.676172298437805</v>
      </c>
      <c r="J773" s="12">
        <f t="shared" si="136"/>
        <v>146.52769421269645</v>
      </c>
      <c r="K773" s="12">
        <f t="shared" si="137"/>
        <v>126.15004200280046</v>
      </c>
      <c r="P773" s="12"/>
      <c r="Q773" s="12"/>
      <c r="R773" s="12"/>
      <c r="S773" s="12"/>
      <c r="V773">
        <v>0.59909909909909898</v>
      </c>
      <c r="W773" s="12"/>
      <c r="X773" s="12"/>
      <c r="Y773" t="str">
        <v>20091211</v>
      </c>
      <c r="Z773">
        <v>52.2</v>
      </c>
      <c r="AA773">
        <v>16.7</v>
      </c>
      <c r="AB773">
        <f t="shared" si="132"/>
        <v>3.1257485029940124</v>
      </c>
      <c r="AY773" t="str">
        <v>06/09/2021</v>
      </c>
      <c r="AZ773">
        <v>50</v>
      </c>
      <c r="BA773">
        <v>22.1</v>
      </c>
      <c r="BB773">
        <f t="shared" si="133"/>
        <v>2.2624434389140271</v>
      </c>
    </row>
    <row r="774" spans="1:54" x14ac:dyDescent="0.3">
      <c r="A774" s="11">
        <v>44404</v>
      </c>
      <c r="B774">
        <v>0.77692307692307705</v>
      </c>
      <c r="C774">
        <v>4422.3</v>
      </c>
      <c r="D774">
        <v>148.06</v>
      </c>
      <c r="E774">
        <v>1797.6</v>
      </c>
      <c r="F774">
        <v>86.24</v>
      </c>
      <c r="G774">
        <v>56.47</v>
      </c>
      <c r="H774" s="12">
        <f t="shared" si="134"/>
        <v>109.68971062724687</v>
      </c>
      <c r="I774" s="12">
        <f t="shared" si="135"/>
        <v>96.182938774873449</v>
      </c>
      <c r="J774" s="12">
        <f t="shared" si="136"/>
        <v>147.2557843695858</v>
      </c>
      <c r="K774" s="12">
        <f t="shared" si="137"/>
        <v>125.60756001547813</v>
      </c>
      <c r="P774" s="12"/>
      <c r="Q774" s="12"/>
      <c r="R774" s="12"/>
      <c r="S774" s="12"/>
      <c r="V774">
        <v>0.599609375</v>
      </c>
      <c r="W774" s="12"/>
      <c r="X774" s="12"/>
      <c r="Y774" t="str">
        <v>20091204</v>
      </c>
      <c r="Z774">
        <v>48.4</v>
      </c>
      <c r="AA774">
        <v>16.5</v>
      </c>
      <c r="AB774">
        <f t="shared" si="132"/>
        <v>2.9333333333333331</v>
      </c>
      <c r="AY774" t="str">
        <v>03/09/2021</v>
      </c>
      <c r="AZ774">
        <v>52.6</v>
      </c>
      <c r="BA774">
        <v>21.1</v>
      </c>
      <c r="BB774">
        <f t="shared" si="133"/>
        <v>2.4928909952606633</v>
      </c>
    </row>
    <row r="775" spans="1:54" x14ac:dyDescent="0.3">
      <c r="A775" s="11">
        <v>44401</v>
      </c>
      <c r="B775">
        <v>0.77179487179487205</v>
      </c>
      <c r="C775">
        <v>4411.79</v>
      </c>
      <c r="D775">
        <v>148.5</v>
      </c>
      <c r="E775">
        <v>1802.175</v>
      </c>
      <c r="F775">
        <v>86.26</v>
      </c>
      <c r="G775">
        <v>56.76</v>
      </c>
      <c r="H775" s="12">
        <f t="shared" si="134"/>
        <v>109.10651275269966</v>
      </c>
      <c r="I775" s="12">
        <f t="shared" si="135"/>
        <v>95.71195439342894</v>
      </c>
      <c r="J775" s="12">
        <f t="shared" si="136"/>
        <v>146.87184518329116</v>
      </c>
      <c r="K775" s="12">
        <f t="shared" si="137"/>
        <v>124.67356985424423</v>
      </c>
      <c r="P775" s="12"/>
      <c r="Q775" s="12"/>
      <c r="R775" s="12"/>
      <c r="S775" s="12"/>
      <c r="V775">
        <v>0.59628918746001303</v>
      </c>
      <c r="W775" s="12"/>
      <c r="X775" s="12"/>
      <c r="Y775" t="str">
        <v>20091127</v>
      </c>
      <c r="Z775">
        <v>50</v>
      </c>
      <c r="AA775">
        <v>16.7</v>
      </c>
      <c r="AB775">
        <f t="shared" si="132"/>
        <v>2.9940119760479043</v>
      </c>
      <c r="AY775" t="str">
        <v>02/09/2021</v>
      </c>
      <c r="AZ775">
        <v>52.6</v>
      </c>
      <c r="BA775">
        <v>21.1</v>
      </c>
      <c r="BB775">
        <f t="shared" si="133"/>
        <v>2.4928909952606633</v>
      </c>
    </row>
    <row r="776" spans="1:54" x14ac:dyDescent="0.3">
      <c r="A776" s="11">
        <v>44400</v>
      </c>
      <c r="B776">
        <v>0.765625</v>
      </c>
      <c r="C776">
        <v>4367.4799999999996</v>
      </c>
      <c r="D776">
        <v>149.5</v>
      </c>
      <c r="E776">
        <v>1806.9</v>
      </c>
      <c r="F776">
        <v>86.25</v>
      </c>
      <c r="G776">
        <v>56.74</v>
      </c>
      <c r="H776" s="12">
        <f t="shared" si="134"/>
        <v>107.30017843884197</v>
      </c>
      <c r="I776" s="12">
        <f t="shared" si="135"/>
        <v>94.506018426959315</v>
      </c>
      <c r="J776" s="12">
        <f t="shared" si="136"/>
        <v>145.41342177411229</v>
      </c>
      <c r="K776" s="12">
        <f t="shared" si="137"/>
        <v>123.46448786076546</v>
      </c>
      <c r="P776" s="12"/>
      <c r="Q776" s="12"/>
      <c r="R776" s="12"/>
      <c r="S776" s="12"/>
      <c r="V776">
        <v>0.59523809523809501</v>
      </c>
      <c r="W776" s="12"/>
      <c r="X776" s="12"/>
      <c r="Y776" t="str">
        <v>20091120</v>
      </c>
      <c r="Z776">
        <v>50.6</v>
      </c>
      <c r="AA776">
        <v>17.600000000000001</v>
      </c>
      <c r="AB776">
        <f t="shared" ref="AB776:AB839" si="138">IFERROR(Z776/AA776,"")</f>
        <v>2.875</v>
      </c>
      <c r="AY776" t="str">
        <v>01/09/2021</v>
      </c>
      <c r="AZ776">
        <v>52.6</v>
      </c>
      <c r="BA776">
        <v>21.1</v>
      </c>
      <c r="BB776">
        <f t="shared" ref="BB776:BB839" si="139">IFERROR(AZ776/BA776,"")</f>
        <v>2.4928909952606633</v>
      </c>
    </row>
    <row r="777" spans="1:54" x14ac:dyDescent="0.3">
      <c r="A777" s="11">
        <v>44399</v>
      </c>
      <c r="B777">
        <v>0.75718015665796301</v>
      </c>
      <c r="C777">
        <v>4358.6899999999996</v>
      </c>
      <c r="D777">
        <v>148.1</v>
      </c>
      <c r="E777">
        <v>1804</v>
      </c>
      <c r="F777">
        <v>86.24</v>
      </c>
      <c r="G777">
        <v>56.67</v>
      </c>
      <c r="H777" s="12">
        <f t="shared" si="134"/>
        <v>108.10408487493835</v>
      </c>
      <c r="I777" s="12">
        <f t="shared" si="135"/>
        <v>94.467369731983879</v>
      </c>
      <c r="J777" s="12">
        <f t="shared" si="136"/>
        <v>145.13755801988785</v>
      </c>
      <c r="K777" s="12">
        <f t="shared" si="137"/>
        <v>123.36808316609986</v>
      </c>
      <c r="P777" s="12"/>
      <c r="Q777" s="12"/>
      <c r="R777" s="12"/>
      <c r="S777" s="12"/>
      <c r="V777">
        <v>0.59589480436177</v>
      </c>
      <c r="W777" s="12"/>
      <c r="X777" s="12"/>
      <c r="Y777" t="str">
        <v>20091113</v>
      </c>
      <c r="Z777">
        <v>46.1</v>
      </c>
      <c r="AA777">
        <v>21.3</v>
      </c>
      <c r="AB777">
        <f t="shared" si="138"/>
        <v>2.164319248826291</v>
      </c>
      <c r="AY777" t="str">
        <v>31/08/2021</v>
      </c>
      <c r="AZ777">
        <v>52.6</v>
      </c>
      <c r="BA777">
        <v>21.1</v>
      </c>
      <c r="BB777">
        <f t="shared" si="139"/>
        <v>2.4928909952606633</v>
      </c>
    </row>
    <row r="778" spans="1:54" x14ac:dyDescent="0.3">
      <c r="A778" s="11">
        <v>44398</v>
      </c>
      <c r="B778">
        <v>0.76253298153034299</v>
      </c>
      <c r="C778">
        <v>4323.0600000000004</v>
      </c>
      <c r="D778">
        <v>150</v>
      </c>
      <c r="E778">
        <v>1810.2</v>
      </c>
      <c r="F778">
        <v>86.27</v>
      </c>
      <c r="G778">
        <v>55.97</v>
      </c>
      <c r="H778" s="12">
        <f t="shared" si="134"/>
        <v>105.890080654171</v>
      </c>
      <c r="I778" s="12">
        <f t="shared" si="135"/>
        <v>93.377940217691346</v>
      </c>
      <c r="J778" s="12">
        <f t="shared" si="136"/>
        <v>143.90150272823175</v>
      </c>
      <c r="K778" s="12">
        <f t="shared" si="137"/>
        <v>123.89648343133717</v>
      </c>
      <c r="P778" s="12"/>
      <c r="Q778" s="12"/>
      <c r="R778" s="12"/>
      <c r="S778" s="12"/>
      <c r="V778">
        <v>0.59961563100576598</v>
      </c>
      <c r="W778" s="12"/>
      <c r="X778" s="12"/>
      <c r="Y778" t="str">
        <v>20091106</v>
      </c>
      <c r="Z778">
        <v>44.4</v>
      </c>
      <c r="AA778">
        <v>26.7</v>
      </c>
      <c r="AB778">
        <f t="shared" si="138"/>
        <v>1.6629213483146068</v>
      </c>
      <c r="AY778" t="str">
        <v>30/08/2021</v>
      </c>
      <c r="AZ778">
        <v>52.6</v>
      </c>
      <c r="BA778">
        <v>21.1</v>
      </c>
      <c r="BB778">
        <f t="shared" si="139"/>
        <v>2.4928909952606633</v>
      </c>
    </row>
    <row r="779" spans="1:54" x14ac:dyDescent="0.3">
      <c r="A779" s="11">
        <v>44397</v>
      </c>
      <c r="B779">
        <v>0.75935828877005396</v>
      </c>
      <c r="C779">
        <v>4258.49</v>
      </c>
      <c r="D779">
        <v>151.46</v>
      </c>
      <c r="E779">
        <v>1813.4</v>
      </c>
      <c r="F779">
        <v>86.23</v>
      </c>
      <c r="G779">
        <v>55.61</v>
      </c>
      <c r="H779" s="12">
        <f t="shared" si="134"/>
        <v>103.32733941537452</v>
      </c>
      <c r="I779" s="12">
        <f t="shared" si="135"/>
        <v>91.823615022649506</v>
      </c>
      <c r="J779" s="12">
        <f t="shared" si="136"/>
        <v>141.81696691711272</v>
      </c>
      <c r="K779" s="12">
        <f t="shared" si="137"/>
        <v>122.82922085544894</v>
      </c>
      <c r="P779" s="12"/>
      <c r="Q779" s="12"/>
      <c r="R779" s="12"/>
      <c r="S779" s="12"/>
      <c r="V779">
        <v>0.59496124031007702</v>
      </c>
      <c r="W779" s="12"/>
      <c r="X779" s="12"/>
      <c r="Y779" t="str">
        <v>20091030</v>
      </c>
      <c r="Z779">
        <v>48.3</v>
      </c>
      <c r="AA779">
        <v>24.7</v>
      </c>
      <c r="AB779">
        <f t="shared" si="138"/>
        <v>1.9554655870445343</v>
      </c>
      <c r="AY779" t="str">
        <v>27/08/2021</v>
      </c>
      <c r="AZ779">
        <v>52.1</v>
      </c>
      <c r="BA779">
        <v>21.3</v>
      </c>
      <c r="BB779">
        <f t="shared" si="139"/>
        <v>2.4460093896713615</v>
      </c>
    </row>
    <row r="780" spans="1:54" x14ac:dyDescent="0.3">
      <c r="A780" s="11">
        <v>44394</v>
      </c>
      <c r="B780">
        <v>0.74530831099195705</v>
      </c>
      <c r="C780">
        <v>4327.16</v>
      </c>
      <c r="D780">
        <v>148.21</v>
      </c>
      <c r="E780">
        <v>1811.8</v>
      </c>
      <c r="F780">
        <v>86.19</v>
      </c>
      <c r="G780">
        <v>56.59</v>
      </c>
      <c r="H780" s="12">
        <f t="shared" si="134"/>
        <v>107.38631399265255</v>
      </c>
      <c r="I780" s="12">
        <f t="shared" si="135"/>
        <v>93.388111570823966</v>
      </c>
      <c r="J780" s="12">
        <f t="shared" si="136"/>
        <v>144.17181484629381</v>
      </c>
      <c r="K780" s="12">
        <f t="shared" si="137"/>
        <v>122.65161932189629</v>
      </c>
      <c r="P780" s="12"/>
      <c r="Q780" s="12"/>
      <c r="R780" s="12"/>
      <c r="S780" s="12"/>
      <c r="V780">
        <v>0.598965071151358</v>
      </c>
      <c r="W780" s="12"/>
      <c r="X780" s="12"/>
      <c r="Y780" t="str">
        <v>20091023</v>
      </c>
      <c r="Z780">
        <v>48.3</v>
      </c>
      <c r="AA780">
        <v>22.5</v>
      </c>
      <c r="AB780">
        <f t="shared" si="138"/>
        <v>2.1466666666666665</v>
      </c>
      <c r="AY780" t="str">
        <v>26/08/2021</v>
      </c>
      <c r="AZ780">
        <v>52.1</v>
      </c>
      <c r="BA780">
        <v>21.3</v>
      </c>
      <c r="BB780">
        <f t="shared" si="139"/>
        <v>2.4460093896713615</v>
      </c>
    </row>
    <row r="781" spans="1:54" x14ac:dyDescent="0.3">
      <c r="A781" s="11">
        <v>44393</v>
      </c>
      <c r="B781">
        <v>0.75741239892183299</v>
      </c>
      <c r="C781">
        <v>4360.03</v>
      </c>
      <c r="D781">
        <v>148.49</v>
      </c>
      <c r="E781">
        <v>1829.4</v>
      </c>
      <c r="F781">
        <v>86.2</v>
      </c>
      <c r="G781">
        <v>57.11</v>
      </c>
      <c r="H781" s="12">
        <f t="shared" si="134"/>
        <v>107.99685152279481</v>
      </c>
      <c r="I781" s="12">
        <f t="shared" si="135"/>
        <v>93.194109235668535</v>
      </c>
      <c r="J781" s="12">
        <f t="shared" si="136"/>
        <v>145.24999534653867</v>
      </c>
      <c r="K781" s="12">
        <f t="shared" si="137"/>
        <v>122.45981094150525</v>
      </c>
      <c r="P781" s="12"/>
      <c r="Q781" s="12"/>
      <c r="R781" s="12"/>
      <c r="S781" s="12"/>
      <c r="V781">
        <v>0.59636599610642405</v>
      </c>
      <c r="W781" s="12"/>
      <c r="X781" s="12"/>
      <c r="Y781" t="str">
        <v>20091016</v>
      </c>
      <c r="Z781">
        <v>49.5</v>
      </c>
      <c r="AA781">
        <v>23.1</v>
      </c>
      <c r="AB781">
        <f t="shared" si="138"/>
        <v>2.1428571428571428</v>
      </c>
      <c r="AY781" t="str">
        <v>25/08/2021</v>
      </c>
      <c r="AZ781">
        <v>52.1</v>
      </c>
      <c r="BA781">
        <v>21.3</v>
      </c>
      <c r="BB781">
        <f t="shared" si="139"/>
        <v>2.4460093896713615</v>
      </c>
    </row>
    <row r="782" spans="1:54" x14ac:dyDescent="0.3">
      <c r="A782" s="11">
        <v>44392</v>
      </c>
      <c r="B782">
        <v>0.74525745257452602</v>
      </c>
      <c r="C782">
        <v>4374.3</v>
      </c>
      <c r="D782">
        <v>146.87</v>
      </c>
      <c r="E782">
        <v>1827.5</v>
      </c>
      <c r="F782">
        <v>86.19</v>
      </c>
      <c r="G782">
        <v>57.42</v>
      </c>
      <c r="H782" s="12">
        <f t="shared" si="134"/>
        <v>109.56276629115408</v>
      </c>
      <c r="I782" s="12">
        <f t="shared" si="135"/>
        <v>93.596753852929425</v>
      </c>
      <c r="J782" s="12">
        <f t="shared" si="136"/>
        <v>145.74235075231266</v>
      </c>
      <c r="K782" s="12">
        <f t="shared" si="137"/>
        <v>122.1987236536049</v>
      </c>
      <c r="P782" s="12"/>
      <c r="Q782" s="12"/>
      <c r="R782" s="12"/>
      <c r="S782" s="12"/>
      <c r="V782">
        <v>0.58846657929226698</v>
      </c>
      <c r="W782" s="12"/>
      <c r="X782" s="12"/>
      <c r="Y782" t="str">
        <v>20091009</v>
      </c>
      <c r="Z782">
        <v>47.2</v>
      </c>
      <c r="AA782">
        <v>26.4</v>
      </c>
      <c r="AB782">
        <f t="shared" si="138"/>
        <v>1.7878787878787881</v>
      </c>
      <c r="AY782" t="str">
        <v>24/08/2021</v>
      </c>
      <c r="AZ782">
        <v>52.1</v>
      </c>
      <c r="BA782">
        <v>21.3</v>
      </c>
      <c r="BB782">
        <f t="shared" si="139"/>
        <v>2.4460093896713615</v>
      </c>
    </row>
    <row r="783" spans="1:54" x14ac:dyDescent="0.3">
      <c r="A783" s="11">
        <v>44391</v>
      </c>
      <c r="B783">
        <v>0.73626373626373598</v>
      </c>
      <c r="C783">
        <v>4369.21</v>
      </c>
      <c r="D783">
        <v>145.22</v>
      </c>
      <c r="E783">
        <v>1808.2</v>
      </c>
      <c r="F783">
        <v>86.13</v>
      </c>
      <c r="G783">
        <v>57.28</v>
      </c>
      <c r="H783" s="12">
        <f t="shared" si="134"/>
        <v>110.69149868458672</v>
      </c>
      <c r="I783" s="12">
        <f t="shared" si="135"/>
        <v>94.495274237603184</v>
      </c>
      <c r="J783" s="12">
        <f t="shared" si="136"/>
        <v>145.67412443052589</v>
      </c>
      <c r="K783" s="12">
        <f t="shared" si="137"/>
        <v>122.35523603638174</v>
      </c>
      <c r="P783" s="12"/>
      <c r="Q783" s="12"/>
      <c r="R783" s="12"/>
      <c r="S783" s="12"/>
      <c r="V783">
        <v>0.59358638743455505</v>
      </c>
      <c r="W783" s="12"/>
      <c r="X783" s="12"/>
      <c r="Y783" t="str">
        <v>20091002</v>
      </c>
      <c r="Z783">
        <v>48.9</v>
      </c>
      <c r="AA783">
        <v>24.4</v>
      </c>
      <c r="AB783">
        <f t="shared" si="138"/>
        <v>2.0040983606557377</v>
      </c>
      <c r="AY783" t="str">
        <v>23/08/2021</v>
      </c>
      <c r="AZ783">
        <v>52.1</v>
      </c>
      <c r="BA783">
        <v>21.3</v>
      </c>
      <c r="BB783">
        <f t="shared" si="139"/>
        <v>2.4460093896713615</v>
      </c>
    </row>
    <row r="784" spans="1:54" x14ac:dyDescent="0.3">
      <c r="A784" s="11">
        <v>44390</v>
      </c>
      <c r="B784">
        <v>0.74229691876750703</v>
      </c>
      <c r="C784">
        <v>4384.63</v>
      </c>
      <c r="D784">
        <v>146.34</v>
      </c>
      <c r="E784">
        <v>1806.6</v>
      </c>
      <c r="F784">
        <v>86.2</v>
      </c>
      <c r="G784">
        <v>57.5</v>
      </c>
      <c r="H784" s="12">
        <f t="shared" si="134"/>
        <v>110.23550077357501</v>
      </c>
      <c r="I784" s="12">
        <f t="shared" si="135"/>
        <v>94.913126612266097</v>
      </c>
      <c r="J784" s="12">
        <f t="shared" si="136"/>
        <v>146.06920737115553</v>
      </c>
      <c r="K784" s="12">
        <f t="shared" si="137"/>
        <v>122.31740857366243</v>
      </c>
      <c r="P784" s="12"/>
      <c r="Q784" s="12"/>
      <c r="R784" s="12"/>
      <c r="S784" s="12"/>
      <c r="V784">
        <v>0.59244532803180905</v>
      </c>
      <c r="W784" s="12"/>
      <c r="X784" s="12"/>
      <c r="Y784" t="str">
        <v>20090925</v>
      </c>
      <c r="Z784">
        <v>50.6</v>
      </c>
      <c r="AA784">
        <v>23.6</v>
      </c>
      <c r="AB784">
        <f t="shared" si="138"/>
        <v>2.1440677966101696</v>
      </c>
      <c r="AY784" t="str">
        <v>20/08/2021</v>
      </c>
      <c r="AZ784">
        <v>50</v>
      </c>
      <c r="BA784">
        <v>18.5</v>
      </c>
      <c r="BB784">
        <f t="shared" si="139"/>
        <v>2.7027027027027026</v>
      </c>
    </row>
    <row r="785" spans="1:54" x14ac:dyDescent="0.3">
      <c r="A785" s="11">
        <v>44387</v>
      </c>
      <c r="B785">
        <v>0.73109243697478998</v>
      </c>
      <c r="C785">
        <v>4369.55</v>
      </c>
      <c r="D785">
        <v>146.53</v>
      </c>
      <c r="E785">
        <v>1808.6</v>
      </c>
      <c r="F785">
        <v>86.22</v>
      </c>
      <c r="G785">
        <v>57.32</v>
      </c>
      <c r="H785" s="12">
        <f t="shared" si="134"/>
        <v>109.71459572079374</v>
      </c>
      <c r="I785" s="12">
        <f t="shared" si="135"/>
        <v>94.482571046819672</v>
      </c>
      <c r="J785" s="12">
        <f t="shared" si="136"/>
        <v>145.53319101347284</v>
      </c>
      <c r="K785" s="12">
        <f t="shared" si="137"/>
        <v>122.2793929962685</v>
      </c>
      <c r="P785" s="12"/>
      <c r="Q785" s="12"/>
      <c r="R785" s="12"/>
      <c r="S785" s="12"/>
      <c r="V785">
        <v>0.59533333333333305</v>
      </c>
      <c r="W785" s="12"/>
      <c r="X785" s="12"/>
      <c r="Y785" t="str">
        <v>20090918</v>
      </c>
      <c r="Z785">
        <v>46.7</v>
      </c>
      <c r="AA785">
        <v>24.4</v>
      </c>
      <c r="AB785">
        <f t="shared" si="138"/>
        <v>1.9139344262295084</v>
      </c>
      <c r="AY785" t="str">
        <v>19/08/2021</v>
      </c>
      <c r="AZ785">
        <v>50</v>
      </c>
      <c r="BA785">
        <v>18.5</v>
      </c>
      <c r="BB785">
        <f t="shared" si="139"/>
        <v>2.7027027027027026</v>
      </c>
    </row>
    <row r="786" spans="1:54" x14ac:dyDescent="0.3">
      <c r="A786" s="11">
        <v>44386</v>
      </c>
      <c r="B786">
        <v>0.73065902578796604</v>
      </c>
      <c r="C786">
        <v>4320.82</v>
      </c>
      <c r="D786">
        <v>148.62</v>
      </c>
      <c r="E786">
        <v>1802.835</v>
      </c>
      <c r="F786">
        <v>86.25</v>
      </c>
      <c r="G786">
        <v>56.34</v>
      </c>
      <c r="H786" s="12">
        <f t="shared" si="134"/>
        <v>107.00306714845041</v>
      </c>
      <c r="I786" s="12">
        <f t="shared" si="135"/>
        <v>93.725251283992449</v>
      </c>
      <c r="J786" s="12">
        <f t="shared" si="136"/>
        <v>143.86069847622011</v>
      </c>
      <c r="K786" s="12">
        <f t="shared" si="137"/>
        <v>123.03191021023882</v>
      </c>
      <c r="P786" s="12"/>
      <c r="Q786" s="12"/>
      <c r="R786" s="12"/>
      <c r="S786" s="12"/>
      <c r="V786">
        <v>0.59269282814614299</v>
      </c>
      <c r="W786" s="12"/>
      <c r="X786" s="12"/>
      <c r="Y786" t="str">
        <v>20090911</v>
      </c>
      <c r="Z786">
        <v>47.8</v>
      </c>
      <c r="AA786">
        <v>24.4</v>
      </c>
      <c r="AB786">
        <f t="shared" si="138"/>
        <v>1.959016393442623</v>
      </c>
      <c r="AY786" t="str">
        <v>18/08/2021</v>
      </c>
      <c r="AZ786">
        <v>50</v>
      </c>
      <c r="BA786">
        <v>18.5</v>
      </c>
      <c r="BB786">
        <f t="shared" si="139"/>
        <v>2.7027027027027026</v>
      </c>
    </row>
    <row r="787" spans="1:54" x14ac:dyDescent="0.3">
      <c r="A787" s="11">
        <v>44385</v>
      </c>
      <c r="B787">
        <v>0.72434017595307898</v>
      </c>
      <c r="C787">
        <v>4358.13</v>
      </c>
      <c r="D787">
        <v>148.04</v>
      </c>
      <c r="E787">
        <v>1803.8</v>
      </c>
      <c r="F787">
        <v>86.21</v>
      </c>
      <c r="G787">
        <v>57.25</v>
      </c>
      <c r="H787" s="12">
        <f t="shared" si="134"/>
        <v>108.35521796785613</v>
      </c>
      <c r="I787" s="12">
        <f t="shared" si="135"/>
        <v>94.483579283703222</v>
      </c>
      <c r="J787" s="12">
        <f t="shared" si="136"/>
        <v>145.17086474019274</v>
      </c>
      <c r="K787" s="12">
        <f t="shared" si="137"/>
        <v>122.13614112585175</v>
      </c>
      <c r="P787" s="12"/>
      <c r="Q787" s="12"/>
      <c r="R787" s="12"/>
      <c r="S787" s="12"/>
      <c r="V787">
        <v>0.59743762643290599</v>
      </c>
      <c r="W787" s="12"/>
      <c r="X787" s="12"/>
      <c r="Y787" t="str">
        <v>20090904</v>
      </c>
      <c r="Z787">
        <v>48.3</v>
      </c>
      <c r="AA787">
        <v>23.6</v>
      </c>
      <c r="AB787">
        <f t="shared" si="138"/>
        <v>2.0466101694915251</v>
      </c>
      <c r="AY787" t="str">
        <v>17/08/2021</v>
      </c>
      <c r="AZ787">
        <v>50</v>
      </c>
      <c r="BA787">
        <v>18.5</v>
      </c>
      <c r="BB787">
        <f t="shared" si="139"/>
        <v>2.7027027027027026</v>
      </c>
    </row>
    <row r="788" spans="1:54" x14ac:dyDescent="0.3">
      <c r="A788" s="11">
        <v>44384</v>
      </c>
      <c r="B788">
        <v>0.74127906976744196</v>
      </c>
      <c r="C788">
        <v>4343.54</v>
      </c>
      <c r="D788">
        <v>146.74</v>
      </c>
      <c r="E788">
        <v>1797.6</v>
      </c>
      <c r="F788">
        <v>86.2</v>
      </c>
      <c r="G788">
        <v>57.06</v>
      </c>
      <c r="H788" s="12">
        <f t="shared" si="134"/>
        <v>108.95448895190911</v>
      </c>
      <c r="I788" s="12">
        <f t="shared" si="135"/>
        <v>94.492086581570888</v>
      </c>
      <c r="J788" s="12">
        <f t="shared" si="136"/>
        <v>144.70159716645995</v>
      </c>
      <c r="K788" s="12">
        <f t="shared" si="137"/>
        <v>122.13257692323968</v>
      </c>
      <c r="P788" s="12"/>
      <c r="Q788" s="12"/>
      <c r="R788" s="12"/>
      <c r="S788" s="12"/>
      <c r="V788">
        <v>0.59345156889495199</v>
      </c>
      <c r="W788" s="12"/>
      <c r="X788" s="12"/>
      <c r="Y788" t="str">
        <v>20090828</v>
      </c>
      <c r="Z788">
        <v>50.6</v>
      </c>
      <c r="AA788">
        <v>24.1</v>
      </c>
      <c r="AB788">
        <f t="shared" si="138"/>
        <v>2.099585062240664</v>
      </c>
      <c r="AY788" t="str">
        <v>16/08/2021</v>
      </c>
      <c r="AZ788">
        <v>50</v>
      </c>
      <c r="BA788">
        <v>18.5</v>
      </c>
      <c r="BB788">
        <f t="shared" si="139"/>
        <v>2.7027027027027026</v>
      </c>
    </row>
    <row r="789" spans="1:54" x14ac:dyDescent="0.3">
      <c r="A789" s="11">
        <v>44380</v>
      </c>
      <c r="B789">
        <v>0.74853801169590595</v>
      </c>
      <c r="C789">
        <v>4352.34</v>
      </c>
      <c r="D789">
        <v>145.04</v>
      </c>
      <c r="E789">
        <v>1787.35</v>
      </c>
      <c r="F789">
        <v>86.17</v>
      </c>
      <c r="G789">
        <v>57.56</v>
      </c>
      <c r="H789" s="12">
        <f t="shared" si="134"/>
        <v>110.47269368775585</v>
      </c>
      <c r="I789" s="12">
        <f t="shared" si="135"/>
        <v>95.230758034638868</v>
      </c>
      <c r="J789" s="12">
        <f t="shared" si="136"/>
        <v>145.04536190763673</v>
      </c>
      <c r="K789" s="12">
        <f t="shared" si="137"/>
        <v>121.32399049544659</v>
      </c>
      <c r="P789" s="12"/>
      <c r="Q789" s="12"/>
      <c r="R789" s="12"/>
      <c r="S789" s="12"/>
      <c r="V789">
        <v>0.591032608695652</v>
      </c>
      <c r="W789" s="12"/>
      <c r="X789" s="12"/>
      <c r="Y789" t="str">
        <v>20090821</v>
      </c>
      <c r="Z789">
        <v>51.6</v>
      </c>
      <c r="AA789">
        <v>19.8</v>
      </c>
      <c r="AB789">
        <f t="shared" si="138"/>
        <v>2.606060606060606</v>
      </c>
      <c r="AY789" t="str">
        <v>13/08/2021</v>
      </c>
      <c r="AZ789">
        <v>51.1</v>
      </c>
      <c r="BA789">
        <v>18.5</v>
      </c>
      <c r="BB789">
        <f t="shared" si="139"/>
        <v>2.7621621621621624</v>
      </c>
    </row>
    <row r="790" spans="1:54" x14ac:dyDescent="0.3">
      <c r="A790" s="11">
        <v>44379</v>
      </c>
      <c r="B790">
        <v>0.75370919881305598</v>
      </c>
      <c r="C790">
        <v>4319.9399999999996</v>
      </c>
      <c r="D790">
        <v>144.16999999999999</v>
      </c>
      <c r="E790">
        <v>1776.4</v>
      </c>
      <c r="F790">
        <v>86.13</v>
      </c>
      <c r="G790">
        <v>57.53</v>
      </c>
      <c r="H790" s="12">
        <f t="shared" si="134"/>
        <v>110.31102608230836</v>
      </c>
      <c r="I790" s="12">
        <f t="shared" si="135"/>
        <v>95.103704055739612</v>
      </c>
      <c r="J790" s="12">
        <f t="shared" si="136"/>
        <v>144.03199743647002</v>
      </c>
      <c r="K790" s="12">
        <f t="shared" si="137"/>
        <v>120.48318209008909</v>
      </c>
      <c r="P790" s="12"/>
      <c r="Q790" s="12"/>
      <c r="R790" s="12"/>
      <c r="S790" s="12"/>
      <c r="V790">
        <v>0.58923705722070796</v>
      </c>
      <c r="W790" s="12"/>
      <c r="X790" s="12"/>
      <c r="Y790" t="str">
        <v>20090814</v>
      </c>
      <c r="Z790">
        <v>48.3</v>
      </c>
      <c r="AA790">
        <v>23.1</v>
      </c>
      <c r="AB790">
        <f t="shared" si="138"/>
        <v>2.0909090909090908</v>
      </c>
      <c r="AY790" t="str">
        <v>12/08/2021</v>
      </c>
      <c r="AZ790">
        <v>51.1</v>
      </c>
      <c r="BA790">
        <v>18.5</v>
      </c>
      <c r="BB790">
        <f t="shared" si="139"/>
        <v>2.7621621621621624</v>
      </c>
    </row>
    <row r="791" spans="1:54" x14ac:dyDescent="0.3">
      <c r="A791" s="11">
        <v>44377</v>
      </c>
      <c r="B791">
        <v>0.75223880597014903</v>
      </c>
      <c r="C791">
        <v>4297.5</v>
      </c>
      <c r="D791">
        <v>144.35</v>
      </c>
      <c r="E791">
        <v>1770.3</v>
      </c>
      <c r="F791">
        <v>86.16</v>
      </c>
      <c r="G791">
        <v>57.51</v>
      </c>
      <c r="H791" s="12">
        <f t="shared" si="134"/>
        <v>109.60205318224936</v>
      </c>
      <c r="I791" s="12">
        <f t="shared" si="135"/>
        <v>94.935109096497442</v>
      </c>
      <c r="J791" s="12">
        <f t="shared" si="136"/>
        <v>143.2342072656096</v>
      </c>
      <c r="K791" s="12">
        <f t="shared" si="137"/>
        <v>119.89881029015336</v>
      </c>
      <c r="P791" s="12"/>
      <c r="Q791" s="12"/>
      <c r="R791" s="12"/>
      <c r="S791" s="12"/>
      <c r="V791">
        <v>0.58180583842498301</v>
      </c>
      <c r="W791" s="12"/>
      <c r="X791" s="12"/>
      <c r="Y791" t="str">
        <v>20090807</v>
      </c>
      <c r="Z791">
        <v>49.4</v>
      </c>
      <c r="AA791">
        <v>21.3</v>
      </c>
      <c r="AB791">
        <f t="shared" si="138"/>
        <v>2.3192488262910795</v>
      </c>
      <c r="AY791" t="str">
        <v>11/08/2021</v>
      </c>
      <c r="AZ791">
        <v>51.1</v>
      </c>
      <c r="BA791">
        <v>18.5</v>
      </c>
      <c r="BB791">
        <f t="shared" si="139"/>
        <v>2.7621621621621624</v>
      </c>
    </row>
    <row r="792" spans="1:54" x14ac:dyDescent="0.3">
      <c r="A792" s="11">
        <v>44377</v>
      </c>
      <c r="B792">
        <v>0.74702380952380998</v>
      </c>
      <c r="C792">
        <v>4291.8</v>
      </c>
      <c r="D792">
        <v>143.71</v>
      </c>
      <c r="E792">
        <v>1761</v>
      </c>
      <c r="F792">
        <v>86.14</v>
      </c>
      <c r="G792">
        <v>57.89</v>
      </c>
      <c r="H792" s="12">
        <f t="shared" si="134"/>
        <v>109.94566626810962</v>
      </c>
      <c r="I792" s="12">
        <f t="shared" si="135"/>
        <v>95.311874669749855</v>
      </c>
      <c r="J792" s="12">
        <f t="shared" si="136"/>
        <v>143.07740388747882</v>
      </c>
      <c r="K792" s="12">
        <f t="shared" si="137"/>
        <v>118.95994420824302</v>
      </c>
      <c r="P792" s="12"/>
      <c r="Q792" s="12"/>
      <c r="R792" s="12"/>
      <c r="S792" s="12"/>
      <c r="V792">
        <v>0.58282208588957096</v>
      </c>
      <c r="W792" s="12"/>
      <c r="X792" s="12"/>
      <c r="Y792" t="str">
        <v>20090731</v>
      </c>
      <c r="Z792">
        <v>47.2</v>
      </c>
      <c r="AA792">
        <v>25.8</v>
      </c>
      <c r="AB792">
        <f t="shared" si="138"/>
        <v>1.8294573643410854</v>
      </c>
      <c r="AY792" t="str">
        <v>10/08/2021</v>
      </c>
      <c r="AZ792">
        <v>51.1</v>
      </c>
      <c r="BA792">
        <v>18.5</v>
      </c>
      <c r="BB792">
        <f t="shared" si="139"/>
        <v>2.7621621621621624</v>
      </c>
    </row>
    <row r="793" spans="1:54" x14ac:dyDescent="0.3">
      <c r="A793" s="11">
        <v>44376</v>
      </c>
      <c r="B793">
        <v>0.74390243902439002</v>
      </c>
      <c r="C793">
        <v>4290.6099999999997</v>
      </c>
      <c r="D793">
        <v>143.47</v>
      </c>
      <c r="E793">
        <v>1778.36</v>
      </c>
      <c r="F793">
        <v>86.15</v>
      </c>
      <c r="G793">
        <v>57.91</v>
      </c>
      <c r="H793" s="12">
        <f t="shared" si="134"/>
        <v>110.09930696043826</v>
      </c>
      <c r="I793" s="12">
        <f t="shared" si="135"/>
        <v>94.364534682433671</v>
      </c>
      <c r="J793" s="12">
        <f t="shared" si="136"/>
        <v>143.02113558964837</v>
      </c>
      <c r="K793" s="12">
        <f t="shared" si="137"/>
        <v>118.88591236517718</v>
      </c>
      <c r="P793" s="12"/>
      <c r="Q793" s="12"/>
      <c r="R793" s="12"/>
      <c r="S793" s="12"/>
      <c r="V793">
        <v>0.58144329896907199</v>
      </c>
      <c r="W793" s="12"/>
      <c r="X793" s="12"/>
      <c r="Y793" t="str">
        <v>20090724</v>
      </c>
      <c r="Z793">
        <v>42.2</v>
      </c>
      <c r="AA793">
        <v>31.1</v>
      </c>
      <c r="AB793">
        <f t="shared" si="138"/>
        <v>1.3569131832797428</v>
      </c>
      <c r="AY793" t="str">
        <v>09/08/2021</v>
      </c>
      <c r="AZ793">
        <v>51.1</v>
      </c>
      <c r="BA793">
        <v>18.5</v>
      </c>
      <c r="BB793">
        <f t="shared" si="139"/>
        <v>2.7621621621621624</v>
      </c>
    </row>
    <row r="794" spans="1:54" x14ac:dyDescent="0.3">
      <c r="A794" s="11">
        <v>44373</v>
      </c>
      <c r="B794">
        <v>0.75071633237822399</v>
      </c>
      <c r="C794">
        <v>4280.7</v>
      </c>
      <c r="D794">
        <v>142.01</v>
      </c>
      <c r="E794">
        <v>1781.3</v>
      </c>
      <c r="F794">
        <v>86.12</v>
      </c>
      <c r="G794">
        <v>58.14</v>
      </c>
      <c r="H794" s="12">
        <f t="shared" si="134"/>
        <v>110.9833922502017</v>
      </c>
      <c r="I794" s="12">
        <f t="shared" si="135"/>
        <v>93.991808107185619</v>
      </c>
      <c r="J794" s="12">
        <f t="shared" si="136"/>
        <v>142.74040934060255</v>
      </c>
      <c r="K794" s="12">
        <f t="shared" si="137"/>
        <v>118.1450237064342</v>
      </c>
      <c r="P794" s="12"/>
      <c r="Q794" s="12"/>
      <c r="R794" s="12"/>
      <c r="S794" s="12"/>
      <c r="V794">
        <v>0.57862491490810097</v>
      </c>
      <c r="W794" s="12"/>
      <c r="X794" s="12"/>
      <c r="Y794" t="str">
        <v>20090717</v>
      </c>
      <c r="Z794">
        <v>36.700000000000003</v>
      </c>
      <c r="AA794">
        <v>35.6</v>
      </c>
      <c r="AB794">
        <f t="shared" si="138"/>
        <v>1.0308988764044944</v>
      </c>
      <c r="AY794" t="str">
        <v>06/08/2021</v>
      </c>
      <c r="AZ794">
        <v>56.4</v>
      </c>
      <c r="BA794">
        <v>15.9</v>
      </c>
      <c r="BB794">
        <f t="shared" si="139"/>
        <v>3.5471698113207544</v>
      </c>
    </row>
    <row r="795" spans="1:54" x14ac:dyDescent="0.3">
      <c r="A795" s="11">
        <v>44372</v>
      </c>
      <c r="B795">
        <v>0.75</v>
      </c>
      <c r="C795">
        <v>4266.49</v>
      </c>
      <c r="D795">
        <v>143.5</v>
      </c>
      <c r="E795">
        <v>1775.105</v>
      </c>
      <c r="F795">
        <v>86.13</v>
      </c>
      <c r="G795">
        <v>57.91</v>
      </c>
      <c r="H795" s="12">
        <f t="shared" si="134"/>
        <v>109.48196944889202</v>
      </c>
      <c r="I795" s="12">
        <f t="shared" si="135"/>
        <v>94.006785995972621</v>
      </c>
      <c r="J795" s="12">
        <f t="shared" si="136"/>
        <v>142.25011441711612</v>
      </c>
      <c r="K795" s="12">
        <f t="shared" si="137"/>
        <v>118.22081194031109</v>
      </c>
      <c r="P795" s="12"/>
      <c r="Q795" s="12"/>
      <c r="R795" s="12"/>
      <c r="S795" s="12"/>
      <c r="V795">
        <v>0.57191547375596496</v>
      </c>
      <c r="W795" s="12"/>
      <c r="X795" s="12"/>
      <c r="Y795" t="str">
        <v>20090710</v>
      </c>
      <c r="Z795">
        <v>35.6</v>
      </c>
      <c r="AA795">
        <v>35.6</v>
      </c>
      <c r="AB795">
        <f t="shared" si="138"/>
        <v>1</v>
      </c>
      <c r="AY795" t="str">
        <v>05/08/2021</v>
      </c>
      <c r="AZ795">
        <v>56.4</v>
      </c>
      <c r="BA795">
        <v>15.9</v>
      </c>
      <c r="BB795">
        <f t="shared" si="139"/>
        <v>3.5471698113207544</v>
      </c>
    </row>
    <row r="796" spans="1:54" x14ac:dyDescent="0.3">
      <c r="A796" s="11">
        <v>44371</v>
      </c>
      <c r="B796">
        <v>0.75659824046920798</v>
      </c>
      <c r="C796">
        <v>4241.84</v>
      </c>
      <c r="D796">
        <v>143.27000000000001</v>
      </c>
      <c r="E796">
        <v>1778.9</v>
      </c>
      <c r="F796">
        <v>86.12</v>
      </c>
      <c r="G796">
        <v>57.41</v>
      </c>
      <c r="H796" s="12">
        <f t="shared" si="134"/>
        <v>109.02343900555579</v>
      </c>
      <c r="I796" s="12">
        <f t="shared" si="135"/>
        <v>93.265835727173794</v>
      </c>
      <c r="J796" s="12">
        <f t="shared" si="136"/>
        <v>141.44458181268848</v>
      </c>
      <c r="K796" s="12">
        <f t="shared" si="137"/>
        <v>118.56442666789559</v>
      </c>
      <c r="P796" s="12"/>
      <c r="Q796" s="12"/>
      <c r="R796" s="12"/>
      <c r="S796" s="12"/>
      <c r="V796">
        <v>0.56917808219178101</v>
      </c>
      <c r="W796" s="12"/>
      <c r="X796" s="12"/>
      <c r="Y796" t="str">
        <v>20090703</v>
      </c>
      <c r="Z796">
        <v>42.7</v>
      </c>
      <c r="AA796">
        <v>30.3</v>
      </c>
      <c r="AB796">
        <f t="shared" si="138"/>
        <v>1.4092409240924093</v>
      </c>
      <c r="AY796" t="str">
        <v>04/08/2021</v>
      </c>
      <c r="AZ796">
        <v>56.4</v>
      </c>
      <c r="BA796">
        <v>15.9</v>
      </c>
      <c r="BB796">
        <f t="shared" si="139"/>
        <v>3.5471698113207544</v>
      </c>
    </row>
    <row r="797" spans="1:54" x14ac:dyDescent="0.3">
      <c r="A797" s="11">
        <v>44370</v>
      </c>
      <c r="B797">
        <v>0.76595744680851097</v>
      </c>
      <c r="C797">
        <v>4246.4399999999996</v>
      </c>
      <c r="D797">
        <v>143.63999999999999</v>
      </c>
      <c r="E797">
        <v>1778.6</v>
      </c>
      <c r="F797">
        <v>86.18</v>
      </c>
      <c r="G797">
        <v>57.55</v>
      </c>
      <c r="H797" s="12">
        <f t="shared" si="134"/>
        <v>108.86095055726979</v>
      </c>
      <c r="I797" s="12">
        <f t="shared" si="135"/>
        <v>93.382744603292736</v>
      </c>
      <c r="J797" s="12">
        <f t="shared" si="136"/>
        <v>141.49934816063816</v>
      </c>
      <c r="K797" s="12">
        <f t="shared" si="137"/>
        <v>118.40465061360524</v>
      </c>
      <c r="P797" s="12"/>
      <c r="Q797" s="12"/>
      <c r="R797" s="12"/>
      <c r="S797" s="12"/>
      <c r="V797">
        <v>0.56935817805383004</v>
      </c>
      <c r="W797" s="12"/>
      <c r="X797" s="12"/>
      <c r="Y797" t="str">
        <v>20090626</v>
      </c>
      <c r="Z797">
        <v>41.4</v>
      </c>
      <c r="AA797">
        <v>29.9</v>
      </c>
      <c r="AB797">
        <f t="shared" si="138"/>
        <v>1.3846153846153846</v>
      </c>
      <c r="AY797" t="str">
        <v>03/08/2021</v>
      </c>
      <c r="AZ797">
        <v>56.4</v>
      </c>
      <c r="BA797">
        <v>15.9</v>
      </c>
      <c r="BB797">
        <f t="shared" si="139"/>
        <v>3.5471698113207544</v>
      </c>
    </row>
    <row r="798" spans="1:54" x14ac:dyDescent="0.3">
      <c r="A798" s="11">
        <v>44369</v>
      </c>
      <c r="B798">
        <v>0.76780185758513897</v>
      </c>
      <c r="C798">
        <v>4224.79</v>
      </c>
      <c r="D798">
        <v>143.29</v>
      </c>
      <c r="E798">
        <v>1783.2</v>
      </c>
      <c r="F798">
        <v>86.13</v>
      </c>
      <c r="G798">
        <v>57.56</v>
      </c>
      <c r="H798" s="12">
        <f t="shared" si="134"/>
        <v>108.56977552404109</v>
      </c>
      <c r="I798" s="12">
        <f t="shared" si="135"/>
        <v>92.668810447986715</v>
      </c>
      <c r="J798" s="12">
        <f t="shared" si="136"/>
        <v>140.85928396269497</v>
      </c>
      <c r="K798" s="12">
        <f t="shared" si="137"/>
        <v>117.78061981886027</v>
      </c>
      <c r="P798" s="12"/>
      <c r="Q798" s="12"/>
      <c r="R798" s="12"/>
      <c r="S798" s="12"/>
      <c r="V798">
        <v>0.56743535988819005</v>
      </c>
      <c r="W798" s="12"/>
      <c r="X798" s="12"/>
      <c r="Y798" t="str">
        <v>20090619</v>
      </c>
      <c r="Z798">
        <v>43.6</v>
      </c>
      <c r="AA798">
        <v>28.7</v>
      </c>
      <c r="AB798">
        <f t="shared" si="138"/>
        <v>1.5191637630662023</v>
      </c>
      <c r="AY798" t="str">
        <v>02/08/2021</v>
      </c>
      <c r="AZ798">
        <v>56.4</v>
      </c>
      <c r="BA798">
        <v>15.9</v>
      </c>
      <c r="BB798">
        <f t="shared" si="139"/>
        <v>3.5471698113207544</v>
      </c>
    </row>
    <row r="799" spans="1:54" x14ac:dyDescent="0.3">
      <c r="A799" s="11">
        <v>44366</v>
      </c>
      <c r="B799">
        <v>0.77325581395348797</v>
      </c>
      <c r="C799">
        <v>4166.45</v>
      </c>
      <c r="D799">
        <v>145.72999999999999</v>
      </c>
      <c r="E799">
        <v>1764.3</v>
      </c>
      <c r="F799">
        <v>86.11</v>
      </c>
      <c r="G799">
        <v>56.95</v>
      </c>
      <c r="H799" s="12">
        <f t="shared" si="134"/>
        <v>105.3312993657993</v>
      </c>
      <c r="I799" s="12">
        <f t="shared" si="135"/>
        <v>92.364942325871596</v>
      </c>
      <c r="J799" s="12">
        <f t="shared" si="136"/>
        <v>138.94598838496748</v>
      </c>
      <c r="K799" s="12">
        <f t="shared" si="137"/>
        <v>117.39425443259347</v>
      </c>
      <c r="P799" s="12"/>
      <c r="Q799" s="12"/>
      <c r="R799" s="12"/>
      <c r="S799" s="12"/>
      <c r="V799">
        <v>0.57008718980549999</v>
      </c>
      <c r="W799" s="12"/>
      <c r="X799" s="12"/>
      <c r="Y799" t="str">
        <v>20090612</v>
      </c>
      <c r="Z799">
        <v>44.8</v>
      </c>
      <c r="AA799">
        <v>26.4</v>
      </c>
      <c r="AB799">
        <f t="shared" si="138"/>
        <v>1.696969696969697</v>
      </c>
      <c r="AY799" t="str">
        <v>30/07/2021</v>
      </c>
      <c r="AZ799">
        <v>54.1</v>
      </c>
      <c r="BA799">
        <v>16.3</v>
      </c>
      <c r="BB799">
        <f t="shared" si="139"/>
        <v>3.3190184049079754</v>
      </c>
    </row>
    <row r="800" spans="1:54" x14ac:dyDescent="0.3">
      <c r="A800" s="11">
        <v>44365</v>
      </c>
      <c r="B800">
        <v>0.77325581395348797</v>
      </c>
      <c r="C800">
        <v>4221.8599999999997</v>
      </c>
      <c r="D800">
        <v>143.04</v>
      </c>
      <c r="E800">
        <v>1773.4</v>
      </c>
      <c r="F800">
        <v>86.174999999999997</v>
      </c>
      <c r="G800">
        <v>57.93</v>
      </c>
      <c r="H800" s="12">
        <f t="shared" si="134"/>
        <v>108.80551106146403</v>
      </c>
      <c r="I800" s="12">
        <f t="shared" si="135"/>
        <v>93.109178980548606</v>
      </c>
      <c r="J800" s="12">
        <f t="shared" si="136"/>
        <v>140.68631580376501</v>
      </c>
      <c r="K800" s="12">
        <f t="shared" si="137"/>
        <v>116.95072794768691</v>
      </c>
      <c r="P800" s="12"/>
      <c r="Q800" s="12"/>
      <c r="R800" s="12"/>
      <c r="S800" s="12"/>
      <c r="V800">
        <v>0.56094276094276097</v>
      </c>
      <c r="W800" s="12"/>
      <c r="X800" s="12"/>
      <c r="Y800" t="str">
        <v>20090605</v>
      </c>
      <c r="Z800">
        <v>47.7</v>
      </c>
      <c r="AA800">
        <v>23.3</v>
      </c>
      <c r="AB800">
        <f t="shared" si="138"/>
        <v>2.0472103004291844</v>
      </c>
      <c r="AY800" t="str">
        <v>29/07/2021</v>
      </c>
      <c r="AZ800">
        <v>54.1</v>
      </c>
      <c r="BA800">
        <v>16.3</v>
      </c>
      <c r="BB800">
        <f t="shared" si="139"/>
        <v>3.3190184049079754</v>
      </c>
    </row>
    <row r="801" spans="1:54" x14ac:dyDescent="0.3">
      <c r="A801" s="11">
        <v>44364</v>
      </c>
      <c r="B801">
        <v>0.78470254957507102</v>
      </c>
      <c r="C801">
        <v>4223.7</v>
      </c>
      <c r="D801">
        <v>140.93</v>
      </c>
      <c r="E801">
        <v>1812.3</v>
      </c>
      <c r="F801">
        <v>86.18</v>
      </c>
      <c r="G801">
        <v>58.13</v>
      </c>
      <c r="H801" s="12">
        <f t="shared" si="134"/>
        <v>110.50817784615461</v>
      </c>
      <c r="I801" s="12">
        <f t="shared" si="135"/>
        <v>91.191530482889561</v>
      </c>
      <c r="J801" s="12">
        <f t="shared" si="136"/>
        <v>140.73946168434423</v>
      </c>
      <c r="K801" s="12">
        <f t="shared" si="137"/>
        <v>116.60035237127657</v>
      </c>
      <c r="P801" s="12"/>
      <c r="Q801" s="12"/>
      <c r="R801" s="12"/>
      <c r="S801" s="12"/>
      <c r="V801">
        <v>0.56043214044564504</v>
      </c>
      <c r="W801" s="12"/>
      <c r="X801" s="12"/>
      <c r="Y801" t="str">
        <v>20090529</v>
      </c>
      <c r="Z801">
        <v>42.5</v>
      </c>
      <c r="AA801">
        <v>25.3</v>
      </c>
      <c r="AB801">
        <f t="shared" si="138"/>
        <v>1.6798418972332014</v>
      </c>
      <c r="AY801" t="str">
        <v>28/07/2021</v>
      </c>
      <c r="AZ801">
        <v>54.1</v>
      </c>
      <c r="BA801">
        <v>16.3</v>
      </c>
      <c r="BB801">
        <f t="shared" si="139"/>
        <v>3.3190184049079754</v>
      </c>
    </row>
    <row r="802" spans="1:54" x14ac:dyDescent="0.3">
      <c r="A802" s="11">
        <v>44363</v>
      </c>
      <c r="B802">
        <v>0.78448275862068995</v>
      </c>
      <c r="C802">
        <v>4246.59</v>
      </c>
      <c r="D802">
        <v>141.05000000000001</v>
      </c>
      <c r="E802">
        <v>1858.2</v>
      </c>
      <c r="F802">
        <v>86.26</v>
      </c>
      <c r="G802">
        <v>58.63</v>
      </c>
      <c r="H802" s="12">
        <f t="shared" si="134"/>
        <v>111.01211122611102</v>
      </c>
      <c r="I802" s="12">
        <f t="shared" si="135"/>
        <v>89.463883001370348</v>
      </c>
      <c r="J802" s="12">
        <f t="shared" si="136"/>
        <v>141.37036631533763</v>
      </c>
      <c r="K802" s="12">
        <f t="shared" si="137"/>
        <v>116.23562241105655</v>
      </c>
      <c r="P802" s="12"/>
      <c r="Q802" s="12"/>
      <c r="R802" s="12"/>
      <c r="S802" s="12"/>
      <c r="V802">
        <v>0.55751014884979699</v>
      </c>
      <c r="W802" s="12"/>
      <c r="X802" s="12"/>
      <c r="Y802" t="str">
        <v>20090522</v>
      </c>
      <c r="Z802">
        <v>40.9</v>
      </c>
      <c r="AA802">
        <v>28.4</v>
      </c>
      <c r="AB802">
        <f t="shared" si="138"/>
        <v>1.4401408450704225</v>
      </c>
      <c r="AY802" t="str">
        <v>27/07/2021</v>
      </c>
      <c r="AZ802">
        <v>54.1</v>
      </c>
      <c r="BA802">
        <v>16.3</v>
      </c>
      <c r="BB802">
        <f t="shared" si="139"/>
        <v>3.3190184049079754</v>
      </c>
    </row>
    <row r="803" spans="1:54" x14ac:dyDescent="0.3">
      <c r="A803" s="11">
        <v>44362</v>
      </c>
      <c r="B803">
        <v>0.78947368421052599</v>
      </c>
      <c r="C803">
        <v>4255.1499999999996</v>
      </c>
      <c r="D803">
        <v>141.22</v>
      </c>
      <c r="E803">
        <v>1866.25</v>
      </c>
      <c r="F803">
        <v>86.27</v>
      </c>
      <c r="G803">
        <v>58.68</v>
      </c>
      <c r="H803" s="12">
        <f t="shared" si="134"/>
        <v>111.10186870018744</v>
      </c>
      <c r="I803" s="12">
        <f t="shared" si="135"/>
        <v>89.258429478086754</v>
      </c>
      <c r="J803" s="12">
        <f t="shared" si="136"/>
        <v>141.63888032096833</v>
      </c>
      <c r="K803" s="12">
        <f t="shared" si="137"/>
        <v>116.37056582291059</v>
      </c>
      <c r="P803" s="12"/>
      <c r="Q803" s="12"/>
      <c r="R803" s="12"/>
      <c r="S803" s="12"/>
      <c r="V803">
        <v>0.56130790190735702</v>
      </c>
      <c r="W803" s="12"/>
      <c r="X803" s="12"/>
      <c r="Y803" t="str">
        <v>20090515</v>
      </c>
      <c r="Z803">
        <v>40.700000000000003</v>
      </c>
      <c r="AA803">
        <v>29.1</v>
      </c>
      <c r="AB803">
        <f t="shared" si="138"/>
        <v>1.3986254295532647</v>
      </c>
      <c r="AY803" t="str">
        <v>26/07/2021</v>
      </c>
      <c r="AZ803">
        <v>54.1</v>
      </c>
      <c r="BA803">
        <v>16.3</v>
      </c>
      <c r="BB803">
        <f t="shared" si="139"/>
        <v>3.3190184049079754</v>
      </c>
    </row>
    <row r="804" spans="1:54" x14ac:dyDescent="0.3">
      <c r="A804" s="11">
        <v>44359</v>
      </c>
      <c r="B804">
        <v>0.78089887640449396</v>
      </c>
      <c r="C804">
        <v>4247.4399999999996</v>
      </c>
      <c r="D804">
        <v>142.31</v>
      </c>
      <c r="E804">
        <v>1877.6</v>
      </c>
      <c r="F804">
        <v>86.3</v>
      </c>
      <c r="G804">
        <v>58.58</v>
      </c>
      <c r="H804" s="12">
        <f t="shared" si="134"/>
        <v>110.0591085803391</v>
      </c>
      <c r="I804" s="12">
        <f t="shared" si="135"/>
        <v>88.562315328432021</v>
      </c>
      <c r="J804" s="12">
        <f t="shared" si="136"/>
        <v>141.3331998434378</v>
      </c>
      <c r="K804" s="12">
        <f t="shared" si="137"/>
        <v>116.35798243012199</v>
      </c>
      <c r="P804" s="12"/>
      <c r="Q804" s="12"/>
      <c r="R804" s="12"/>
      <c r="S804" s="12"/>
      <c r="V804">
        <v>0.57462195923734405</v>
      </c>
      <c r="W804" s="12"/>
      <c r="X804" s="12"/>
      <c r="Y804" t="str">
        <v>20090508</v>
      </c>
      <c r="Z804">
        <v>41</v>
      </c>
      <c r="AA804">
        <v>33.700000000000003</v>
      </c>
      <c r="AB804">
        <f t="shared" si="138"/>
        <v>1.2166172106824924</v>
      </c>
      <c r="AY804" t="str">
        <v>23/07/2021</v>
      </c>
      <c r="AZ804">
        <v>52.6</v>
      </c>
      <c r="BA804">
        <v>16.5</v>
      </c>
      <c r="BB804">
        <f t="shared" si="139"/>
        <v>3.187878787878788</v>
      </c>
    </row>
    <row r="805" spans="1:54" x14ac:dyDescent="0.3">
      <c r="A805" s="11">
        <v>44358</v>
      </c>
      <c r="B805">
        <v>0.77500000000000002</v>
      </c>
      <c r="C805">
        <v>4239.18</v>
      </c>
      <c r="D805">
        <v>142.54</v>
      </c>
      <c r="E805">
        <v>1897.8</v>
      </c>
      <c r="F805">
        <v>86.32</v>
      </c>
      <c r="G805">
        <v>58.54</v>
      </c>
      <c r="H805" s="12">
        <f t="shared" si="134"/>
        <v>109.66846160308282</v>
      </c>
      <c r="I805" s="12">
        <f t="shared" si="135"/>
        <v>87.460972348263013</v>
      </c>
      <c r="J805" s="12">
        <f t="shared" si="136"/>
        <v>141.0257374974324</v>
      </c>
      <c r="K805" s="12">
        <f t="shared" si="137"/>
        <v>116.21095273207033</v>
      </c>
      <c r="P805" s="12"/>
      <c r="Q805" s="12"/>
      <c r="R805" s="12"/>
      <c r="S805" s="12"/>
      <c r="V805">
        <v>0.571241830065359</v>
      </c>
      <c r="W805" s="12"/>
      <c r="X805" s="12"/>
      <c r="Y805" t="str">
        <v>20090501</v>
      </c>
      <c r="Z805">
        <v>40.4</v>
      </c>
      <c r="AA805">
        <v>31.5</v>
      </c>
      <c r="AB805">
        <f t="shared" si="138"/>
        <v>1.2825396825396824</v>
      </c>
      <c r="AY805" t="str">
        <v>22/07/2021</v>
      </c>
      <c r="AZ805">
        <v>52.6</v>
      </c>
      <c r="BA805">
        <v>16.5</v>
      </c>
      <c r="BB805">
        <f t="shared" si="139"/>
        <v>3.187878787878788</v>
      </c>
    </row>
    <row r="806" spans="1:54" x14ac:dyDescent="0.3">
      <c r="A806" s="11">
        <v>44357</v>
      </c>
      <c r="B806">
        <v>0.78236914600551</v>
      </c>
      <c r="C806">
        <v>4219.55</v>
      </c>
      <c r="D806">
        <v>141.69</v>
      </c>
      <c r="E806">
        <v>1888.8</v>
      </c>
      <c r="F806">
        <v>86.29</v>
      </c>
      <c r="G806">
        <v>58.85</v>
      </c>
      <c r="H806" s="12">
        <f t="shared" si="134"/>
        <v>109.81636855622249</v>
      </c>
      <c r="I806" s="12">
        <f t="shared" si="135"/>
        <v>87.470836894961892</v>
      </c>
      <c r="J806" s="12">
        <f t="shared" si="136"/>
        <v>140.42129543550607</v>
      </c>
      <c r="K806" s="12">
        <f t="shared" si="137"/>
        <v>115.06948821595547</v>
      </c>
      <c r="P806" s="12"/>
      <c r="Q806" s="12"/>
      <c r="R806" s="12"/>
      <c r="S806" s="12"/>
      <c r="V806">
        <v>0.57887874837027398</v>
      </c>
      <c r="W806" s="12"/>
      <c r="X806" s="12"/>
      <c r="Y806" t="str">
        <v>20090424</v>
      </c>
      <c r="Z806">
        <v>36</v>
      </c>
      <c r="AA806">
        <v>37.200000000000003</v>
      </c>
      <c r="AB806">
        <f t="shared" si="138"/>
        <v>0.96774193548387089</v>
      </c>
      <c r="AY806" t="str">
        <v>21/07/2021</v>
      </c>
      <c r="AZ806">
        <v>52.6</v>
      </c>
      <c r="BA806">
        <v>16.5</v>
      </c>
      <c r="BB806">
        <f t="shared" si="139"/>
        <v>3.187878787878788</v>
      </c>
    </row>
    <row r="807" spans="1:54" x14ac:dyDescent="0.3">
      <c r="A807" s="11">
        <v>44356</v>
      </c>
      <c r="B807">
        <v>0.78212290502793302</v>
      </c>
      <c r="C807">
        <v>4227.26</v>
      </c>
      <c r="D807">
        <v>140.44999999999999</v>
      </c>
      <c r="E807">
        <v>1892.9065000000001</v>
      </c>
      <c r="F807">
        <v>86.31</v>
      </c>
      <c r="G807">
        <v>59.04</v>
      </c>
      <c r="H807" s="12">
        <f t="shared" si="134"/>
        <v>110.99879892861563</v>
      </c>
      <c r="I807" s="12">
        <f t="shared" si="135"/>
        <v>87.440622778409946</v>
      </c>
      <c r="J807" s="12">
        <f t="shared" si="136"/>
        <v>140.64522423552836</v>
      </c>
      <c r="K807" s="12">
        <f t="shared" si="137"/>
        <v>114.90927243255602</v>
      </c>
      <c r="P807" s="12"/>
      <c r="Q807" s="12"/>
      <c r="R807" s="12"/>
      <c r="S807" s="12"/>
      <c r="V807">
        <v>0.57825802226588097</v>
      </c>
      <c r="W807" s="12"/>
      <c r="X807" s="12"/>
      <c r="Y807" t="str">
        <v>20090417</v>
      </c>
      <c r="Z807">
        <v>39.1</v>
      </c>
      <c r="AA807">
        <v>34.5</v>
      </c>
      <c r="AB807">
        <f t="shared" si="138"/>
        <v>1.1333333333333333</v>
      </c>
      <c r="AY807" t="str">
        <v>20/07/2021</v>
      </c>
      <c r="AZ807">
        <v>52.6</v>
      </c>
      <c r="BA807">
        <v>16.5</v>
      </c>
      <c r="BB807">
        <f t="shared" si="139"/>
        <v>3.187878787878788</v>
      </c>
    </row>
    <row r="808" spans="1:54" x14ac:dyDescent="0.3">
      <c r="A808" s="11">
        <v>44355</v>
      </c>
      <c r="B808">
        <v>0.78991596638655504</v>
      </c>
      <c r="C808">
        <v>4226.5200000000004</v>
      </c>
      <c r="D808">
        <v>139.47</v>
      </c>
      <c r="E808">
        <v>1898.98</v>
      </c>
      <c r="F808">
        <v>86.29</v>
      </c>
      <c r="G808">
        <v>59.14</v>
      </c>
      <c r="H808" s="12">
        <f t="shared" si="134"/>
        <v>111.76455554263882</v>
      </c>
      <c r="I808" s="12">
        <f t="shared" si="135"/>
        <v>87.146643957049506</v>
      </c>
      <c r="J808" s="12">
        <f t="shared" si="136"/>
        <v>140.65319809424605</v>
      </c>
      <c r="K808" s="12">
        <f t="shared" si="137"/>
        <v>114.6952524812999</v>
      </c>
      <c r="P808" s="12"/>
      <c r="Q808" s="12"/>
      <c r="R808" s="12"/>
      <c r="S808" s="12"/>
      <c r="V808">
        <v>0.58107213765718102</v>
      </c>
      <c r="W808" s="12"/>
      <c r="X808" s="12"/>
      <c r="Y808" t="str">
        <v>20090410</v>
      </c>
      <c r="Z808">
        <v>43.2</v>
      </c>
      <c r="AA808">
        <v>34.1</v>
      </c>
      <c r="AB808">
        <f t="shared" si="138"/>
        <v>1.2668621700879765</v>
      </c>
      <c r="AY808" t="str">
        <v>19/07/2021</v>
      </c>
      <c r="AZ808">
        <v>52.6</v>
      </c>
      <c r="BA808">
        <v>16.5</v>
      </c>
      <c r="BB808">
        <f t="shared" si="139"/>
        <v>3.187878787878788</v>
      </c>
    </row>
    <row r="809" spans="1:54" x14ac:dyDescent="0.3">
      <c r="A809" s="11">
        <v>44352</v>
      </c>
      <c r="B809">
        <v>0.80203045685279195</v>
      </c>
      <c r="C809">
        <v>4229.8900000000003</v>
      </c>
      <c r="D809">
        <v>139.9</v>
      </c>
      <c r="E809">
        <v>1891.4849999999999</v>
      </c>
      <c r="F809">
        <v>86.3</v>
      </c>
      <c r="G809">
        <v>59.14</v>
      </c>
      <c r="H809" s="12">
        <f t="shared" si="134"/>
        <v>111.51065548247196</v>
      </c>
      <c r="I809" s="12">
        <f t="shared" si="135"/>
        <v>87.563376110966217</v>
      </c>
      <c r="J809" s="12">
        <f t="shared" si="136"/>
        <v>140.74902512150095</v>
      </c>
      <c r="K809" s="12">
        <f t="shared" si="137"/>
        <v>114.78670431421729</v>
      </c>
      <c r="P809" s="12"/>
      <c r="Q809" s="12"/>
      <c r="R809" s="12"/>
      <c r="S809" s="12"/>
      <c r="V809">
        <v>0.57982120051085595</v>
      </c>
      <c r="W809" s="12"/>
      <c r="X809" s="12"/>
      <c r="Y809" t="str">
        <v>20090403</v>
      </c>
      <c r="Z809">
        <v>36</v>
      </c>
      <c r="AA809">
        <v>37.1</v>
      </c>
      <c r="AB809">
        <f t="shared" si="138"/>
        <v>0.97035040431266839</v>
      </c>
      <c r="AY809" t="str">
        <v>16/07/2021</v>
      </c>
      <c r="AZ809">
        <v>53.1</v>
      </c>
      <c r="BA809">
        <v>16.7</v>
      </c>
      <c r="BB809">
        <f t="shared" si="139"/>
        <v>3.1796407185628746</v>
      </c>
    </row>
    <row r="810" spans="1:54" x14ac:dyDescent="0.3">
      <c r="A810" s="11">
        <v>44351</v>
      </c>
      <c r="B810">
        <v>0.79551122194513701</v>
      </c>
      <c r="C810">
        <v>4192.8500000000004</v>
      </c>
      <c r="D810">
        <v>138.01</v>
      </c>
      <c r="E810">
        <v>1870.3</v>
      </c>
      <c r="F810">
        <v>86.27</v>
      </c>
      <c r="G810">
        <v>58.6</v>
      </c>
      <c r="H810" s="12">
        <f t="shared" si="134"/>
        <v>112.05530851278213</v>
      </c>
      <c r="I810" s="12">
        <f t="shared" si="135"/>
        <v>87.78221482260372</v>
      </c>
      <c r="J810" s="12">
        <f t="shared" si="136"/>
        <v>139.56463204159482</v>
      </c>
      <c r="K810" s="12">
        <f t="shared" si="137"/>
        <v>114.83044672969072</v>
      </c>
      <c r="P810" s="12"/>
      <c r="Q810" s="12"/>
      <c r="R810" s="12"/>
      <c r="S810" s="12"/>
      <c r="V810">
        <v>0.579626047711154</v>
      </c>
      <c r="W810" s="12"/>
      <c r="X810" s="12"/>
      <c r="Y810" t="str">
        <v>20090327</v>
      </c>
      <c r="Z810">
        <v>31</v>
      </c>
      <c r="AA810">
        <v>38</v>
      </c>
      <c r="AB810">
        <f t="shared" si="138"/>
        <v>0.81578947368421051</v>
      </c>
      <c r="AY810" t="str">
        <v>15/07/2021</v>
      </c>
      <c r="AZ810">
        <v>53.1</v>
      </c>
      <c r="BA810">
        <v>16.7</v>
      </c>
      <c r="BB810">
        <f t="shared" si="139"/>
        <v>3.1796407185628746</v>
      </c>
    </row>
    <row r="811" spans="1:54" x14ac:dyDescent="0.3">
      <c r="A811" s="11">
        <v>44350</v>
      </c>
      <c r="B811">
        <v>0.80548628428927704</v>
      </c>
      <c r="C811">
        <v>4208.12</v>
      </c>
      <c r="D811">
        <v>138.53</v>
      </c>
      <c r="E811">
        <v>1907.7</v>
      </c>
      <c r="F811">
        <v>86.3</v>
      </c>
      <c r="G811">
        <v>59.03</v>
      </c>
      <c r="H811" s="12">
        <f t="shared" si="134"/>
        <v>112.0413032649134</v>
      </c>
      <c r="I811" s="12">
        <f t="shared" si="135"/>
        <v>86.4018535521095</v>
      </c>
      <c r="J811" s="12">
        <f t="shared" si="136"/>
        <v>140.0240613818001</v>
      </c>
      <c r="K811" s="12">
        <f t="shared" si="137"/>
        <v>114.41218634237521</v>
      </c>
      <c r="P811" s="12"/>
      <c r="Q811" s="12"/>
      <c r="R811" s="12"/>
      <c r="S811" s="12"/>
      <c r="V811">
        <v>0.57934990439770595</v>
      </c>
      <c r="W811" s="12"/>
      <c r="X811" s="12"/>
      <c r="Y811" t="str">
        <v>20090320</v>
      </c>
      <c r="Z811">
        <v>28.9</v>
      </c>
      <c r="AA811">
        <v>43.3</v>
      </c>
      <c r="AB811">
        <f t="shared" si="138"/>
        <v>0.66743648960739033</v>
      </c>
      <c r="AY811" t="str">
        <v>14/07/2021</v>
      </c>
      <c r="AZ811">
        <v>53.1</v>
      </c>
      <c r="BA811">
        <v>16.7</v>
      </c>
      <c r="BB811">
        <f t="shared" si="139"/>
        <v>3.1796407185628746</v>
      </c>
    </row>
    <row r="812" spans="1:54" x14ac:dyDescent="0.3">
      <c r="A812" s="11">
        <v>44349</v>
      </c>
      <c r="B812">
        <v>0.80759493670886096</v>
      </c>
      <c r="C812">
        <v>4202.04</v>
      </c>
      <c r="D812">
        <v>138.21</v>
      </c>
      <c r="E812">
        <v>1900.4</v>
      </c>
      <c r="F812">
        <v>86.29</v>
      </c>
      <c r="G812">
        <v>58.9</v>
      </c>
      <c r="H812" s="12">
        <f t="shared" si="134"/>
        <v>112.13868461201369</v>
      </c>
      <c r="I812" s="12">
        <f t="shared" si="135"/>
        <v>86.609228984604442</v>
      </c>
      <c r="J812" s="12">
        <f t="shared" si="136"/>
        <v>139.83793318062689</v>
      </c>
      <c r="K812" s="12">
        <f t="shared" si="137"/>
        <v>114.49923031410158</v>
      </c>
      <c r="P812" s="12"/>
      <c r="Q812" s="12"/>
      <c r="R812" s="12"/>
      <c r="S812" s="12"/>
      <c r="V812">
        <v>0.58050032071840896</v>
      </c>
      <c r="W812" s="12"/>
      <c r="X812" s="12"/>
      <c r="Y812" t="str">
        <v>20090313</v>
      </c>
      <c r="Z812">
        <v>28.4</v>
      </c>
      <c r="AA812">
        <v>44.3</v>
      </c>
      <c r="AB812">
        <f t="shared" si="138"/>
        <v>0.64108352144469527</v>
      </c>
      <c r="AY812" t="str">
        <v>13/07/2021</v>
      </c>
      <c r="AZ812">
        <v>53.1</v>
      </c>
      <c r="BA812">
        <v>16.7</v>
      </c>
      <c r="BB812">
        <f t="shared" si="139"/>
        <v>3.1796407185628746</v>
      </c>
    </row>
    <row r="813" spans="1:54" x14ac:dyDescent="0.3">
      <c r="A813" s="11">
        <v>44345</v>
      </c>
      <c r="B813">
        <v>0.80622009569377995</v>
      </c>
      <c r="C813">
        <v>4204.1099999999997</v>
      </c>
      <c r="D813">
        <v>138.44</v>
      </c>
      <c r="E813">
        <v>1903.4449999999999</v>
      </c>
      <c r="F813">
        <v>86.32</v>
      </c>
      <c r="G813">
        <v>58.34</v>
      </c>
      <c r="H813" s="12">
        <f t="shared" si="134"/>
        <v>112.0077482008828</v>
      </c>
      <c r="I813" s="12">
        <f t="shared" si="135"/>
        <v>86.513427847532341</v>
      </c>
      <c r="J813" s="12">
        <f t="shared" si="136"/>
        <v>139.85818902342672</v>
      </c>
      <c r="K813" s="12">
        <f t="shared" si="137"/>
        <v>115.66645267816109</v>
      </c>
      <c r="P813" s="12"/>
      <c r="Q813" s="12"/>
      <c r="R813" s="12"/>
      <c r="S813" s="12"/>
      <c r="V813">
        <v>0.58395989974937301</v>
      </c>
      <c r="W813" s="12"/>
      <c r="X813" s="12"/>
      <c r="Y813" t="str">
        <v>20090306</v>
      </c>
      <c r="Z813">
        <v>26.4</v>
      </c>
      <c r="AA813">
        <v>47.2</v>
      </c>
      <c r="AB813">
        <f t="shared" si="138"/>
        <v>0.55932203389830504</v>
      </c>
      <c r="AY813" t="str">
        <v>12/07/2021</v>
      </c>
      <c r="AZ813">
        <v>53.1</v>
      </c>
      <c r="BA813">
        <v>16.7</v>
      </c>
      <c r="BB813">
        <f t="shared" si="139"/>
        <v>3.1796407185628746</v>
      </c>
    </row>
    <row r="814" spans="1:54" x14ac:dyDescent="0.3">
      <c r="A814" s="11">
        <v>44344</v>
      </c>
      <c r="B814">
        <v>0.81986143187066995</v>
      </c>
      <c r="C814">
        <v>4200.88</v>
      </c>
      <c r="D814">
        <v>138.655</v>
      </c>
      <c r="E814">
        <v>1896.7</v>
      </c>
      <c r="F814">
        <v>86.32</v>
      </c>
      <c r="G814">
        <v>58.13</v>
      </c>
      <c r="H814" s="12">
        <f t="shared" si="134"/>
        <v>111.74854769612304</v>
      </c>
      <c r="I814" s="12">
        <f t="shared" si="135"/>
        <v>86.755239859875985</v>
      </c>
      <c r="J814" s="12">
        <f t="shared" si="136"/>
        <v>139.75073656605866</v>
      </c>
      <c r="K814" s="12">
        <f t="shared" si="137"/>
        <v>115.99631208055595</v>
      </c>
      <c r="P814" s="12"/>
      <c r="Q814" s="12"/>
      <c r="R814" s="12"/>
      <c r="S814" s="12"/>
      <c r="V814">
        <v>0.58369632856253895</v>
      </c>
      <c r="W814" s="12"/>
      <c r="X814" s="12"/>
      <c r="Y814" t="str">
        <v>20090227</v>
      </c>
      <c r="Z814">
        <v>29.7</v>
      </c>
      <c r="AA814">
        <v>44</v>
      </c>
      <c r="AB814">
        <f t="shared" si="138"/>
        <v>0.67499999999999993</v>
      </c>
      <c r="AY814" t="str">
        <v>09/07/2021</v>
      </c>
      <c r="AZ814">
        <v>61.2</v>
      </c>
      <c r="BA814">
        <v>15.3</v>
      </c>
      <c r="BB814">
        <f t="shared" si="139"/>
        <v>4</v>
      </c>
    </row>
    <row r="815" spans="1:54" x14ac:dyDescent="0.3">
      <c r="A815" s="11">
        <v>44343</v>
      </c>
      <c r="B815">
        <v>0.81548974943052399</v>
      </c>
      <c r="C815">
        <v>4195.99</v>
      </c>
      <c r="D815">
        <v>139.22</v>
      </c>
      <c r="E815">
        <v>1896.51</v>
      </c>
      <c r="F815">
        <v>86.32</v>
      </c>
      <c r="G815">
        <v>58.07</v>
      </c>
      <c r="H815" s="12">
        <f t="shared" si="134"/>
        <v>111.16783766722247</v>
      </c>
      <c r="I815" s="12">
        <f t="shared" si="135"/>
        <v>86.662925266532</v>
      </c>
      <c r="J815" s="12">
        <f t="shared" si="136"/>
        <v>139.58806086434663</v>
      </c>
      <c r="K815" s="12">
        <f t="shared" si="137"/>
        <v>115.98098372728795</v>
      </c>
      <c r="P815" s="12"/>
      <c r="Q815" s="12"/>
      <c r="R815" s="12"/>
      <c r="S815" s="12"/>
      <c r="V815">
        <v>0.58779576587795801</v>
      </c>
      <c r="W815" s="12"/>
      <c r="X815" s="12"/>
      <c r="Y815" t="str">
        <v>20090220</v>
      </c>
      <c r="Z815">
        <v>28.6</v>
      </c>
      <c r="AA815">
        <v>45.1</v>
      </c>
      <c r="AB815">
        <f t="shared" si="138"/>
        <v>0.63414634146341464</v>
      </c>
      <c r="AY815" t="str">
        <v>08/07/2021</v>
      </c>
      <c r="AZ815">
        <v>61.2</v>
      </c>
      <c r="BA815">
        <v>15.3</v>
      </c>
      <c r="BB815">
        <f t="shared" si="139"/>
        <v>4</v>
      </c>
    </row>
    <row r="816" spans="1:54" x14ac:dyDescent="0.3">
      <c r="A816" s="11">
        <v>44342</v>
      </c>
      <c r="B816">
        <v>0.81981981981981999</v>
      </c>
      <c r="C816">
        <v>4188.13</v>
      </c>
      <c r="D816">
        <v>139.46</v>
      </c>
      <c r="E816">
        <v>1899.1</v>
      </c>
      <c r="F816">
        <v>86.3</v>
      </c>
      <c r="G816">
        <v>57.95</v>
      </c>
      <c r="H816" s="12">
        <f t="shared" si="134"/>
        <v>110.76932771552322</v>
      </c>
      <c r="I816" s="12">
        <f t="shared" si="135"/>
        <v>86.382998010032395</v>
      </c>
      <c r="J816" s="12">
        <f t="shared" si="136"/>
        <v>139.35881799667692</v>
      </c>
      <c r="K816" s="12">
        <f t="shared" si="137"/>
        <v>116.0034905008545</v>
      </c>
      <c r="P816" s="12"/>
      <c r="Q816" s="12"/>
      <c r="R816" s="12"/>
      <c r="S816" s="12"/>
      <c r="V816">
        <v>0.59429280397022299</v>
      </c>
      <c r="W816" s="12"/>
      <c r="X816" s="12"/>
      <c r="Y816" t="str">
        <v>20090213</v>
      </c>
      <c r="Z816">
        <v>31.1</v>
      </c>
      <c r="AA816">
        <v>41.1</v>
      </c>
      <c r="AB816">
        <f t="shared" si="138"/>
        <v>0.75669099756690994</v>
      </c>
      <c r="AY816" t="str">
        <v>07/07/2021</v>
      </c>
      <c r="AZ816">
        <v>61.2</v>
      </c>
      <c r="BA816">
        <v>15.3</v>
      </c>
      <c r="BB816">
        <f t="shared" si="139"/>
        <v>4</v>
      </c>
    </row>
    <row r="817" spans="1:54" x14ac:dyDescent="0.3">
      <c r="A817" s="11">
        <v>44341</v>
      </c>
      <c r="B817">
        <v>0.81674208144796401</v>
      </c>
      <c r="C817">
        <v>4197.05</v>
      </c>
      <c r="D817">
        <v>138.18</v>
      </c>
      <c r="E817">
        <v>1880.2</v>
      </c>
      <c r="F817">
        <v>86.3</v>
      </c>
      <c r="G817">
        <v>57.78</v>
      </c>
      <c r="H817" s="12">
        <f t="shared" si="134"/>
        <v>112.04536555737036</v>
      </c>
      <c r="I817" s="12">
        <f t="shared" si="135"/>
        <v>87.447888056685571</v>
      </c>
      <c r="J817" s="12">
        <f t="shared" si="136"/>
        <v>139.6556284243691</v>
      </c>
      <c r="K817" s="12">
        <f t="shared" si="137"/>
        <v>116.59433190780145</v>
      </c>
      <c r="P817" s="12"/>
      <c r="Q817" s="12"/>
      <c r="R817" s="12"/>
      <c r="S817" s="12"/>
      <c r="V817">
        <v>0.59850374064837897</v>
      </c>
      <c r="W817" s="12"/>
      <c r="X817" s="12"/>
      <c r="Y817" t="str">
        <v>20090206</v>
      </c>
      <c r="Z817">
        <v>32.299999999999997</v>
      </c>
      <c r="AA817">
        <v>38.700000000000003</v>
      </c>
      <c r="AB817">
        <f t="shared" si="138"/>
        <v>0.83462532299741587</v>
      </c>
      <c r="AY817" t="str">
        <v>06/07/2021</v>
      </c>
      <c r="AZ817">
        <v>61.2</v>
      </c>
      <c r="BA817">
        <v>15.3</v>
      </c>
      <c r="BB817">
        <f t="shared" si="139"/>
        <v>4</v>
      </c>
    </row>
    <row r="818" spans="1:54" x14ac:dyDescent="0.3">
      <c r="A818" s="11">
        <v>44338</v>
      </c>
      <c r="B818">
        <v>0.82197802197802206</v>
      </c>
      <c r="C818">
        <v>4155.8599999999997</v>
      </c>
      <c r="D818">
        <v>137.66999999999999</v>
      </c>
      <c r="E818">
        <v>1881.3</v>
      </c>
      <c r="F818">
        <v>86.28</v>
      </c>
      <c r="G818">
        <v>57.4</v>
      </c>
      <c r="H818" s="12">
        <f t="shared" si="134"/>
        <v>111.3542127666891</v>
      </c>
      <c r="I818" s="12">
        <f t="shared" si="135"/>
        <v>86.539568055388614</v>
      </c>
      <c r="J818" s="12">
        <f t="shared" si="136"/>
        <v>138.31679069852166</v>
      </c>
      <c r="K818" s="12">
        <f t="shared" si="137"/>
        <v>116.21186739083358</v>
      </c>
      <c r="P818" s="12"/>
      <c r="Q818" s="12"/>
      <c r="R818" s="12"/>
      <c r="S818" s="12"/>
      <c r="V818">
        <v>0.60576333537706895</v>
      </c>
      <c r="W818" s="12"/>
      <c r="X818" s="12"/>
      <c r="Y818" t="str">
        <v>20090130</v>
      </c>
      <c r="Z818">
        <v>35.200000000000003</v>
      </c>
      <c r="AA818">
        <v>36.299999999999997</v>
      </c>
      <c r="AB818">
        <f t="shared" si="138"/>
        <v>0.96969696969696983</v>
      </c>
      <c r="AY818" t="str">
        <v>05/07/2021</v>
      </c>
      <c r="AZ818">
        <v>61.2</v>
      </c>
      <c r="BA818">
        <v>15.3</v>
      </c>
      <c r="BB818">
        <f t="shared" si="139"/>
        <v>4</v>
      </c>
    </row>
    <row r="819" spans="1:54" x14ac:dyDescent="0.3">
      <c r="A819" s="11">
        <v>44337</v>
      </c>
      <c r="B819">
        <v>0.82135076252723305</v>
      </c>
      <c r="C819">
        <v>4159.12</v>
      </c>
      <c r="D819">
        <v>137.22999999999999</v>
      </c>
      <c r="E819">
        <v>1877.5</v>
      </c>
      <c r="F819">
        <v>86.3</v>
      </c>
      <c r="G819">
        <v>57.56</v>
      </c>
      <c r="H819" s="12">
        <f t="shared" si="134"/>
        <v>111.80030892942287</v>
      </c>
      <c r="I819" s="12">
        <f t="shared" si="135"/>
        <v>86.783236960411699</v>
      </c>
      <c r="J819" s="12">
        <f t="shared" si="136"/>
        <v>138.39319342104213</v>
      </c>
      <c r="K819" s="12">
        <f t="shared" si="137"/>
        <v>115.98038347994719</v>
      </c>
      <c r="P819" s="12"/>
      <c r="Q819" s="12"/>
      <c r="R819" s="12"/>
      <c r="S819" s="12"/>
      <c r="V819">
        <v>0.60146252285192003</v>
      </c>
      <c r="W819" s="12"/>
      <c r="X819" s="12"/>
      <c r="Y819" t="str">
        <v>20090123</v>
      </c>
      <c r="Z819">
        <v>34.799999999999997</v>
      </c>
      <c r="AA819">
        <v>38</v>
      </c>
      <c r="AB819">
        <f t="shared" si="138"/>
        <v>0.91578947368421049</v>
      </c>
      <c r="AY819" t="str">
        <v>02/07/2021</v>
      </c>
      <c r="AZ819">
        <v>60.8</v>
      </c>
      <c r="BA819">
        <v>15.5</v>
      </c>
      <c r="BB819">
        <f t="shared" si="139"/>
        <v>3.9225806451612901</v>
      </c>
    </row>
    <row r="820" spans="1:54" x14ac:dyDescent="0.3">
      <c r="A820" s="11">
        <v>44336</v>
      </c>
      <c r="B820">
        <v>0.82543103448275901</v>
      </c>
      <c r="C820">
        <v>4115.68</v>
      </c>
      <c r="D820">
        <v>136.11000000000001</v>
      </c>
      <c r="E820">
        <v>1869.5</v>
      </c>
      <c r="F820">
        <v>86.26</v>
      </c>
      <c r="G820">
        <v>56.88</v>
      </c>
      <c r="H820" s="12">
        <f t="shared" si="134"/>
        <v>111.54085176396502</v>
      </c>
      <c r="I820" s="12">
        <f t="shared" si="135"/>
        <v>86.242021926264798</v>
      </c>
      <c r="J820" s="12">
        <f t="shared" si="136"/>
        <v>137.01061355267376</v>
      </c>
      <c r="K820" s="12">
        <f t="shared" si="137"/>
        <v>116.14301116618964</v>
      </c>
      <c r="P820" s="12"/>
      <c r="Q820" s="12"/>
      <c r="R820" s="12"/>
      <c r="S820" s="12"/>
      <c r="V820">
        <v>0.60292326431181498</v>
      </c>
      <c r="W820" s="12"/>
      <c r="X820" s="12"/>
      <c r="Y820" t="str">
        <v>20090116</v>
      </c>
      <c r="Z820">
        <v>38.700000000000003</v>
      </c>
      <c r="AA820">
        <v>37.6</v>
      </c>
      <c r="AB820">
        <f t="shared" si="138"/>
        <v>1.0292553191489362</v>
      </c>
      <c r="AY820" t="str">
        <v>01/07/2021</v>
      </c>
      <c r="AZ820">
        <v>60.8</v>
      </c>
      <c r="BA820">
        <v>15.5</v>
      </c>
      <c r="BB820">
        <f t="shared" si="139"/>
        <v>3.9225806451612901</v>
      </c>
    </row>
    <row r="821" spans="1:54" x14ac:dyDescent="0.3">
      <c r="A821" s="11">
        <v>44335</v>
      </c>
      <c r="B821">
        <v>0.83010752688171996</v>
      </c>
      <c r="C821">
        <v>4127.83</v>
      </c>
      <c r="D821">
        <v>136.44</v>
      </c>
      <c r="E821">
        <v>1869.9</v>
      </c>
      <c r="F821">
        <v>86.29</v>
      </c>
      <c r="G821">
        <v>57.31</v>
      </c>
      <c r="H821" s="12">
        <f t="shared" si="134"/>
        <v>111.59941797923138</v>
      </c>
      <c r="I821" s="12">
        <f t="shared" si="135"/>
        <v>86.478065534657205</v>
      </c>
      <c r="J821" s="12">
        <f t="shared" si="136"/>
        <v>137.36718722012662</v>
      </c>
      <c r="K821" s="12">
        <f t="shared" si="137"/>
        <v>115.61584702302908</v>
      </c>
      <c r="P821" s="12"/>
      <c r="Q821" s="12"/>
      <c r="R821" s="12"/>
      <c r="S821" s="12"/>
      <c r="V821">
        <v>0.60956416464890995</v>
      </c>
      <c r="W821" s="12"/>
      <c r="X821" s="12"/>
      <c r="Y821" t="str">
        <v>20090109</v>
      </c>
      <c r="Z821">
        <v>43</v>
      </c>
      <c r="AA821">
        <v>34.4</v>
      </c>
      <c r="AB821">
        <f t="shared" si="138"/>
        <v>1.25</v>
      </c>
      <c r="AY821" t="str">
        <v>30/06/2021</v>
      </c>
      <c r="AZ821">
        <v>60.8</v>
      </c>
      <c r="BA821">
        <v>15.5</v>
      </c>
      <c r="BB821">
        <f t="shared" si="139"/>
        <v>3.9225806451612901</v>
      </c>
    </row>
    <row r="822" spans="1:54" x14ac:dyDescent="0.3">
      <c r="A822" s="11">
        <v>44334</v>
      </c>
      <c r="B822">
        <v>0.82974137931034497</v>
      </c>
      <c r="C822">
        <v>4163.29</v>
      </c>
      <c r="D822">
        <v>136.79</v>
      </c>
      <c r="E822">
        <v>1865.7</v>
      </c>
      <c r="F822">
        <v>86.28</v>
      </c>
      <c r="G822">
        <v>56.97</v>
      </c>
      <c r="H822" s="12">
        <f t="shared" si="134"/>
        <v>112.26838439963855</v>
      </c>
      <c r="I822" s="12">
        <f t="shared" si="135"/>
        <v>87.419438983779798</v>
      </c>
      <c r="J822" s="12">
        <f t="shared" si="136"/>
        <v>138.56343362859758</v>
      </c>
      <c r="K822" s="12">
        <f t="shared" si="137"/>
        <v>117.31519942549632</v>
      </c>
      <c r="P822" s="12"/>
      <c r="Q822" s="12"/>
      <c r="R822" s="12"/>
      <c r="S822" s="12"/>
      <c r="V822">
        <v>0.60814094775212602</v>
      </c>
      <c r="W822" s="12"/>
      <c r="X822" s="12"/>
      <c r="Y822" t="str">
        <v>20090102</v>
      </c>
      <c r="Z822">
        <v>41.8</v>
      </c>
      <c r="AA822">
        <v>34.1</v>
      </c>
      <c r="AB822">
        <f t="shared" si="138"/>
        <v>1.225806451612903</v>
      </c>
      <c r="AY822" t="str">
        <v>29/06/2021</v>
      </c>
      <c r="AZ822">
        <v>60.8</v>
      </c>
      <c r="BA822">
        <v>15.5</v>
      </c>
      <c r="BB822">
        <f t="shared" si="139"/>
        <v>3.9225806451612901</v>
      </c>
    </row>
    <row r="823" spans="1:54" x14ac:dyDescent="0.3">
      <c r="A823" s="11">
        <v>44331</v>
      </c>
      <c r="B823">
        <v>0.81798715203426098</v>
      </c>
      <c r="C823">
        <v>4173.8500000000004</v>
      </c>
      <c r="D823">
        <v>137.08000000000001</v>
      </c>
      <c r="E823">
        <v>1843.1</v>
      </c>
      <c r="F823">
        <v>86.28</v>
      </c>
      <c r="G823">
        <v>57.07</v>
      </c>
      <c r="H823" s="12">
        <f t="shared" si="134"/>
        <v>112.31493728476109</v>
      </c>
      <c r="I823" s="12">
        <f t="shared" si="135"/>
        <v>88.731961104486601</v>
      </c>
      <c r="J823" s="12">
        <f t="shared" si="136"/>
        <v>138.91489361796127</v>
      </c>
      <c r="K823" s="12">
        <f t="shared" si="137"/>
        <v>117.40651869894371</v>
      </c>
      <c r="P823" s="12"/>
      <c r="Q823" s="12"/>
      <c r="R823" s="12"/>
      <c r="S823" s="12"/>
      <c r="V823">
        <v>0.61468994581577396</v>
      </c>
      <c r="W823" s="12"/>
      <c r="X823" s="12"/>
      <c r="Y823" t="str">
        <v>20081226</v>
      </c>
      <c r="Z823">
        <v>38.5</v>
      </c>
      <c r="AA823">
        <v>38.5</v>
      </c>
      <c r="AB823">
        <f t="shared" si="138"/>
        <v>1</v>
      </c>
      <c r="AY823" t="str">
        <v>28/06/2021</v>
      </c>
      <c r="AZ823">
        <v>60.8</v>
      </c>
      <c r="BA823">
        <v>15.5</v>
      </c>
      <c r="BB823">
        <f t="shared" si="139"/>
        <v>3.9225806451612901</v>
      </c>
    </row>
    <row r="824" spans="1:54" x14ac:dyDescent="0.3">
      <c r="A824" s="11">
        <v>44330</v>
      </c>
      <c r="B824">
        <v>0.81196581196581197</v>
      </c>
      <c r="C824">
        <v>4112.5</v>
      </c>
      <c r="D824">
        <v>135.81</v>
      </c>
      <c r="E824">
        <v>1826.6014</v>
      </c>
      <c r="F824">
        <v>86.28</v>
      </c>
      <c r="G824">
        <v>56.08</v>
      </c>
      <c r="H824" s="12">
        <f t="shared" si="134"/>
        <v>111.69318227226269</v>
      </c>
      <c r="I824" s="12">
        <f t="shared" si="135"/>
        <v>88.2127821190942</v>
      </c>
      <c r="J824" s="12">
        <f t="shared" si="136"/>
        <v>136.87303089566362</v>
      </c>
      <c r="K824" s="12">
        <f t="shared" si="137"/>
        <v>117.72855565318299</v>
      </c>
      <c r="P824" s="12"/>
      <c r="Q824" s="12"/>
      <c r="R824" s="12"/>
      <c r="S824" s="12"/>
      <c r="V824">
        <v>0.62077443146896105</v>
      </c>
      <c r="W824" s="12"/>
      <c r="X824" s="12"/>
      <c r="Y824" t="str">
        <v>20081219</v>
      </c>
      <c r="Z824">
        <v>35.1</v>
      </c>
      <c r="AA824">
        <v>38.299999999999997</v>
      </c>
      <c r="AB824">
        <f t="shared" si="138"/>
        <v>0.91644908616188003</v>
      </c>
      <c r="AY824" t="str">
        <v>25/06/2021</v>
      </c>
      <c r="AZ824">
        <v>59.6</v>
      </c>
      <c r="BA824">
        <v>16.2</v>
      </c>
      <c r="BB824">
        <f t="shared" si="139"/>
        <v>3.6790123456790127</v>
      </c>
    </row>
    <row r="825" spans="1:54" x14ac:dyDescent="0.3">
      <c r="A825" s="11">
        <v>44329</v>
      </c>
      <c r="B825">
        <v>0.81759656652360502</v>
      </c>
      <c r="C825">
        <v>4063.04</v>
      </c>
      <c r="D825">
        <v>135.6</v>
      </c>
      <c r="E825">
        <v>1816</v>
      </c>
      <c r="F825">
        <v>86.26</v>
      </c>
      <c r="G825">
        <v>55.79</v>
      </c>
      <c r="H825" s="12">
        <f t="shared" si="134"/>
        <v>110.51897578229828</v>
      </c>
      <c r="I825" s="12">
        <f t="shared" si="135"/>
        <v>87.657439298798494</v>
      </c>
      <c r="J825" s="12">
        <f t="shared" si="136"/>
        <v>135.25787682777573</v>
      </c>
      <c r="K825" s="12">
        <f t="shared" si="137"/>
        <v>116.91307677488142</v>
      </c>
      <c r="P825" s="12"/>
      <c r="Q825" s="12"/>
      <c r="R825" s="12"/>
      <c r="S825" s="12"/>
      <c r="V825">
        <v>0.60987654320987605</v>
      </c>
      <c r="W825" s="12"/>
      <c r="X825" s="12"/>
      <c r="Y825" t="str">
        <v>20081212</v>
      </c>
      <c r="Z825">
        <v>26.9</v>
      </c>
      <c r="AA825">
        <v>47.3</v>
      </c>
      <c r="AB825">
        <f t="shared" si="138"/>
        <v>0.56871035940803383</v>
      </c>
      <c r="AY825" t="str">
        <v>24/06/2021</v>
      </c>
      <c r="AZ825">
        <v>59.6</v>
      </c>
      <c r="BA825">
        <v>16.2</v>
      </c>
      <c r="BB825">
        <f t="shared" si="139"/>
        <v>3.6790123456790127</v>
      </c>
    </row>
    <row r="826" spans="1:54" x14ac:dyDescent="0.3">
      <c r="A826" s="11">
        <v>44328</v>
      </c>
      <c r="B826">
        <v>0.81034482758620696</v>
      </c>
      <c r="C826">
        <v>4152.1000000000004</v>
      </c>
      <c r="D826">
        <v>137.04</v>
      </c>
      <c r="E826">
        <v>1837.3</v>
      </c>
      <c r="F826">
        <v>86.27</v>
      </c>
      <c r="G826">
        <v>56.91</v>
      </c>
      <c r="H826" s="12">
        <f t="shared" si="134"/>
        <v>111.74159715437918</v>
      </c>
      <c r="I826" s="12">
        <f t="shared" si="135"/>
        <v>88.530016683127997</v>
      </c>
      <c r="J826" s="12">
        <f t="shared" si="136"/>
        <v>138.20629698181355</v>
      </c>
      <c r="K826" s="12">
        <f t="shared" si="137"/>
        <v>117.12028484150738</v>
      </c>
      <c r="P826" s="12"/>
      <c r="Q826" s="12"/>
      <c r="R826" s="12"/>
      <c r="S826" s="12"/>
      <c r="V826">
        <v>0.62008733624454104</v>
      </c>
      <c r="W826" s="12"/>
      <c r="X826" s="12"/>
      <c r="Y826" t="str">
        <v>20081205</v>
      </c>
      <c r="Z826">
        <v>25.3</v>
      </c>
      <c r="AA826">
        <v>46.2</v>
      </c>
      <c r="AB826">
        <f t="shared" si="138"/>
        <v>0.54761904761904756</v>
      </c>
      <c r="AY826" t="str">
        <v>23/06/2021</v>
      </c>
      <c r="AZ826">
        <v>59.6</v>
      </c>
      <c r="BA826">
        <v>16.2</v>
      </c>
      <c r="BB826">
        <f t="shared" si="139"/>
        <v>3.6790123456790127</v>
      </c>
    </row>
    <row r="827" spans="1:54" x14ac:dyDescent="0.3">
      <c r="A827" s="11">
        <v>44327</v>
      </c>
      <c r="B827">
        <v>0.81181619256017501</v>
      </c>
      <c r="C827">
        <v>4188.43</v>
      </c>
      <c r="D827">
        <v>137.82</v>
      </c>
      <c r="E827">
        <v>1835.9</v>
      </c>
      <c r="F827">
        <v>86.28</v>
      </c>
      <c r="G827">
        <v>57.45</v>
      </c>
      <c r="H827" s="12">
        <f t="shared" si="134"/>
        <v>112.07944254111877</v>
      </c>
      <c r="I827" s="12">
        <f t="shared" si="135"/>
        <v>89.373385352352003</v>
      </c>
      <c r="J827" s="12">
        <f t="shared" si="136"/>
        <v>139.39927497319601</v>
      </c>
      <c r="K827" s="12">
        <f t="shared" si="137"/>
        <v>117.0353659353396</v>
      </c>
      <c r="P827" s="12"/>
      <c r="Q827" s="12"/>
      <c r="R827" s="12"/>
      <c r="S827" s="12"/>
      <c r="V827">
        <v>0.61460957178841302</v>
      </c>
      <c r="W827" s="12"/>
      <c r="X827" s="12"/>
      <c r="Y827" t="str">
        <v>20081128</v>
      </c>
      <c r="Z827">
        <v>23.1</v>
      </c>
      <c r="AA827">
        <v>49.5</v>
      </c>
      <c r="AB827">
        <f t="shared" si="138"/>
        <v>0.46666666666666667</v>
      </c>
      <c r="AY827" t="str">
        <v>22/06/2021</v>
      </c>
      <c r="AZ827">
        <v>59.6</v>
      </c>
      <c r="BA827">
        <v>16.2</v>
      </c>
      <c r="BB827">
        <f t="shared" si="139"/>
        <v>3.6790123456790127</v>
      </c>
    </row>
    <row r="828" spans="1:54" x14ac:dyDescent="0.3">
      <c r="A828" s="11">
        <v>44324</v>
      </c>
      <c r="B828">
        <v>0.80043859649122795</v>
      </c>
      <c r="C828">
        <v>4232.6000000000004</v>
      </c>
      <c r="D828">
        <v>139.22999999999999</v>
      </c>
      <c r="E828">
        <v>1831.02</v>
      </c>
      <c r="F828">
        <v>86.31</v>
      </c>
      <c r="G828">
        <v>57.98</v>
      </c>
      <c r="H828" s="12">
        <f t="shared" si="134"/>
        <v>112.11403400860213</v>
      </c>
      <c r="I828" s="12">
        <f t="shared" si="135"/>
        <v>90.559795392141652</v>
      </c>
      <c r="J828" s="12">
        <f t="shared" si="136"/>
        <v>140.81987740591421</v>
      </c>
      <c r="K828" s="12">
        <f t="shared" si="137"/>
        <v>117.18707431653493</v>
      </c>
      <c r="P828" s="12"/>
      <c r="Q828" s="12"/>
      <c r="R828" s="12"/>
      <c r="S828" s="12"/>
      <c r="V828">
        <v>0.61726078799249495</v>
      </c>
      <c r="W828" s="12"/>
      <c r="X828" s="12"/>
      <c r="Y828" t="str">
        <v>20081121</v>
      </c>
      <c r="Z828">
        <v>29</v>
      </c>
      <c r="AA828">
        <v>44.1</v>
      </c>
      <c r="AB828">
        <f t="shared" si="138"/>
        <v>0.65759637188208619</v>
      </c>
      <c r="AY828" t="str">
        <v>21/06/2021</v>
      </c>
      <c r="AZ828">
        <v>59.6</v>
      </c>
      <c r="BA828">
        <v>16.2</v>
      </c>
      <c r="BB828">
        <f t="shared" si="139"/>
        <v>3.6790123456790127</v>
      </c>
    </row>
    <row r="829" spans="1:54" x14ac:dyDescent="0.3">
      <c r="A829" s="11">
        <v>44323</v>
      </c>
      <c r="B829">
        <v>0.79203539823008895</v>
      </c>
      <c r="C829">
        <v>4201.62</v>
      </c>
      <c r="D829">
        <v>139.91999999999999</v>
      </c>
      <c r="E829">
        <v>1815.6</v>
      </c>
      <c r="F829">
        <v>86.28</v>
      </c>
      <c r="G829">
        <v>57.35</v>
      </c>
      <c r="H829" s="12">
        <f t="shared" si="134"/>
        <v>110.75126890121827</v>
      </c>
      <c r="I829" s="12">
        <f t="shared" si="135"/>
        <v>90.661310100789947</v>
      </c>
      <c r="J829" s="12">
        <f t="shared" si="136"/>
        <v>139.8374297804547</v>
      </c>
      <c r="K829" s="12">
        <f t="shared" si="137"/>
        <v>117.61186865743926</v>
      </c>
      <c r="P829" s="12"/>
      <c r="Q829" s="12"/>
      <c r="R829" s="12"/>
      <c r="S829" s="12"/>
      <c r="V829">
        <v>0.62240402769037095</v>
      </c>
      <c r="W829" s="12"/>
      <c r="X829" s="12"/>
      <c r="Y829" t="str">
        <v>20081114</v>
      </c>
      <c r="Z829">
        <v>30.9</v>
      </c>
      <c r="AA829">
        <v>43.6</v>
      </c>
      <c r="AB829">
        <f t="shared" si="138"/>
        <v>0.70871559633027514</v>
      </c>
      <c r="AY829" t="str">
        <v>18/06/2021</v>
      </c>
      <c r="AZ829">
        <v>56.5</v>
      </c>
      <c r="BA829">
        <v>15.8</v>
      </c>
      <c r="BB829">
        <f t="shared" si="139"/>
        <v>3.5759493670886076</v>
      </c>
    </row>
    <row r="830" spans="1:54" x14ac:dyDescent="0.3">
      <c r="A830" s="11">
        <v>44322</v>
      </c>
      <c r="B830">
        <v>0.79090909090909101</v>
      </c>
      <c r="C830">
        <v>4167.59</v>
      </c>
      <c r="D830">
        <v>139.69</v>
      </c>
      <c r="E830">
        <v>1786</v>
      </c>
      <c r="F830">
        <v>86.28</v>
      </c>
      <c r="G830">
        <v>56.86</v>
      </c>
      <c r="H830" s="12">
        <f t="shared" si="134"/>
        <v>110.03396982212186</v>
      </c>
      <c r="I830" s="12">
        <f t="shared" si="135"/>
        <v>91.430050095860139</v>
      </c>
      <c r="J830" s="12">
        <f t="shared" si="136"/>
        <v>138.70485050497791</v>
      </c>
      <c r="K830" s="12">
        <f t="shared" si="137"/>
        <v>117.6650846751929</v>
      </c>
      <c r="P830" s="12"/>
      <c r="Q830" s="12"/>
      <c r="R830" s="12"/>
      <c r="S830" s="12"/>
      <c r="V830">
        <v>0.61979823455233296</v>
      </c>
      <c r="W830" s="12"/>
      <c r="X830" s="12"/>
      <c r="Y830" t="str">
        <v>20081107</v>
      </c>
      <c r="Z830">
        <v>31.9</v>
      </c>
      <c r="AA830">
        <v>46.1</v>
      </c>
      <c r="AB830">
        <f t="shared" si="138"/>
        <v>0.69197396963123636</v>
      </c>
      <c r="AY830" t="str">
        <v>17/06/2021</v>
      </c>
      <c r="AZ830">
        <v>56.5</v>
      </c>
      <c r="BA830">
        <v>15.8</v>
      </c>
      <c r="BB830">
        <f t="shared" si="139"/>
        <v>3.5759493670886076</v>
      </c>
    </row>
    <row r="831" spans="1:54" x14ac:dyDescent="0.3">
      <c r="A831" s="11">
        <v>44321</v>
      </c>
      <c r="B831">
        <v>0.78341013824884798</v>
      </c>
      <c r="C831">
        <v>4164.66</v>
      </c>
      <c r="D831">
        <v>139.46</v>
      </c>
      <c r="E831">
        <v>1779</v>
      </c>
      <c r="F831">
        <v>86.26</v>
      </c>
      <c r="G831">
        <v>56.25</v>
      </c>
      <c r="H831" s="12">
        <f t="shared" si="134"/>
        <v>110.1381251991578</v>
      </c>
      <c r="I831" s="12">
        <f t="shared" si="135"/>
        <v>91.726441711389242</v>
      </c>
      <c r="J831" s="12">
        <f t="shared" si="136"/>
        <v>138.63945681746432</v>
      </c>
      <c r="K831" s="12">
        <f t="shared" si="137"/>
        <v>118.87053959827492</v>
      </c>
      <c r="P831" s="12"/>
      <c r="Q831" s="12"/>
      <c r="R831" s="12"/>
      <c r="S831" s="12"/>
      <c r="V831">
        <v>0.60969387755102</v>
      </c>
      <c r="W831" s="12"/>
      <c r="X831" s="12"/>
      <c r="Y831" t="str">
        <v>20081031</v>
      </c>
      <c r="Z831">
        <v>30.3</v>
      </c>
      <c r="AA831">
        <v>48.3</v>
      </c>
      <c r="AB831">
        <f t="shared" si="138"/>
        <v>0.62732919254658392</v>
      </c>
      <c r="AY831" t="str">
        <v>16/06/2021</v>
      </c>
      <c r="AZ831">
        <v>56.5</v>
      </c>
      <c r="BA831">
        <v>15.8</v>
      </c>
      <c r="BB831">
        <f t="shared" si="139"/>
        <v>3.5759493670886076</v>
      </c>
    </row>
    <row r="832" spans="1:54" x14ac:dyDescent="0.3">
      <c r="A832" s="11">
        <v>44320</v>
      </c>
      <c r="B832">
        <v>0.76705882352941201</v>
      </c>
      <c r="C832">
        <v>4192.66</v>
      </c>
      <c r="D832">
        <v>138.52000000000001</v>
      </c>
      <c r="E832">
        <v>1792.3</v>
      </c>
      <c r="F832">
        <v>86.26</v>
      </c>
      <c r="G832">
        <v>57</v>
      </c>
      <c r="H832" s="12">
        <f t="shared" si="134"/>
        <v>111.6413040796369</v>
      </c>
      <c r="I832" s="12">
        <f t="shared" si="135"/>
        <v>91.658404150078368</v>
      </c>
      <c r="J832" s="12">
        <f t="shared" si="136"/>
        <v>139.57156286955237</v>
      </c>
      <c r="K832" s="12">
        <f t="shared" si="137"/>
        <v>118.10526978490775</v>
      </c>
      <c r="P832" s="12"/>
      <c r="Q832" s="12"/>
      <c r="R832" s="12"/>
      <c r="S832" s="12"/>
      <c r="V832">
        <v>0.61168164313222095</v>
      </c>
      <c r="W832" s="12"/>
      <c r="X832" s="12"/>
      <c r="Y832" t="str">
        <v>20081024</v>
      </c>
      <c r="Z832">
        <v>23.1</v>
      </c>
      <c r="AA832">
        <v>52.7</v>
      </c>
      <c r="AB832">
        <f t="shared" si="138"/>
        <v>0.43833017077798864</v>
      </c>
      <c r="AY832" t="str">
        <v>15/06/2021</v>
      </c>
      <c r="AZ832">
        <v>56.5</v>
      </c>
      <c r="BA832">
        <v>15.8</v>
      </c>
      <c r="BB832">
        <f t="shared" si="139"/>
        <v>3.5759493670886076</v>
      </c>
    </row>
    <row r="833" spans="1:54" x14ac:dyDescent="0.3">
      <c r="A833" s="11">
        <v>44316</v>
      </c>
      <c r="B833">
        <v>0.76832151300236395</v>
      </c>
      <c r="C833">
        <v>4181.17</v>
      </c>
      <c r="D833">
        <v>138.63999999999999</v>
      </c>
      <c r="E833">
        <v>1769.13</v>
      </c>
      <c r="F833">
        <v>86.28</v>
      </c>
      <c r="G833">
        <v>56.59</v>
      </c>
      <c r="H833" s="12">
        <f t="shared" si="134"/>
        <v>111.23933122210576</v>
      </c>
      <c r="I833" s="12">
        <f t="shared" si="135"/>
        <v>92.616877531638266</v>
      </c>
      <c r="J833" s="12">
        <f t="shared" si="136"/>
        <v>139.15689784740528</v>
      </c>
      <c r="K833" s="12">
        <f t="shared" si="137"/>
        <v>118.6387957654147</v>
      </c>
      <c r="P833" s="12"/>
      <c r="Q833" s="12"/>
      <c r="R833" s="12"/>
      <c r="S833" s="12"/>
      <c r="V833">
        <v>0.61207450224791304</v>
      </c>
      <c r="W833" s="12"/>
      <c r="X833" s="12"/>
      <c r="Y833" t="str">
        <v>20081017</v>
      </c>
      <c r="Z833">
        <v>22.2</v>
      </c>
      <c r="AA833">
        <v>54.4</v>
      </c>
      <c r="AB833">
        <f t="shared" si="138"/>
        <v>0.40808823529411764</v>
      </c>
      <c r="AY833" t="str">
        <v>14/06/2021</v>
      </c>
      <c r="AZ833">
        <v>56.5</v>
      </c>
      <c r="BA833">
        <v>15.8</v>
      </c>
      <c r="BB833">
        <f t="shared" si="139"/>
        <v>3.5759493670886076</v>
      </c>
    </row>
    <row r="834" spans="1:54" x14ac:dyDescent="0.3">
      <c r="A834" s="11">
        <v>44316</v>
      </c>
      <c r="B834">
        <v>0.75059382422802801</v>
      </c>
      <c r="C834">
        <v>4211.47</v>
      </c>
      <c r="D834">
        <v>138.32</v>
      </c>
      <c r="E834">
        <v>1770.8</v>
      </c>
      <c r="F834">
        <v>86.27</v>
      </c>
      <c r="G834">
        <v>57.36</v>
      </c>
      <c r="H834" s="12">
        <f t="shared" ref="H834:H897" si="140">H835*(1+((C834/C835)-(D834/D835)))</f>
        <v>112.30716045048182</v>
      </c>
      <c r="I834" s="12">
        <f t="shared" ref="I834:I897" si="141">I835*(1+((C834/C835)-(E834/E835)))</f>
        <v>93.199520009279198</v>
      </c>
      <c r="J834" s="12">
        <f t="shared" si="136"/>
        <v>140.18170357221422</v>
      </c>
      <c r="K834" s="12">
        <f t="shared" si="137"/>
        <v>117.90432827998958</v>
      </c>
      <c r="P834" s="12"/>
      <c r="Q834" s="12"/>
      <c r="R834" s="12"/>
      <c r="S834" s="12"/>
      <c r="V834">
        <v>0.60732323232323204</v>
      </c>
      <c r="W834" s="12"/>
      <c r="X834" s="12"/>
      <c r="Y834" t="str">
        <v>20081010</v>
      </c>
      <c r="Z834">
        <v>22.4</v>
      </c>
      <c r="AA834">
        <v>52.9</v>
      </c>
      <c r="AB834">
        <f t="shared" si="138"/>
        <v>0.42344045368620037</v>
      </c>
      <c r="AY834" t="str">
        <v>11/06/2021</v>
      </c>
      <c r="AZ834">
        <v>54.1</v>
      </c>
      <c r="BA834">
        <v>16.3</v>
      </c>
      <c r="BB834">
        <f t="shared" si="139"/>
        <v>3.3190184049079754</v>
      </c>
    </row>
    <row r="835" spans="1:54" x14ac:dyDescent="0.3">
      <c r="A835" s="11">
        <v>44315</v>
      </c>
      <c r="B835">
        <v>0.74083129584352103</v>
      </c>
      <c r="C835">
        <v>4183.18</v>
      </c>
      <c r="D835">
        <v>138.72999999999999</v>
      </c>
      <c r="E835">
        <v>1780.9</v>
      </c>
      <c r="F835">
        <v>86.25</v>
      </c>
      <c r="G835">
        <v>57.43</v>
      </c>
      <c r="H835" s="12">
        <f t="shared" si="140"/>
        <v>111.22624394282887</v>
      </c>
      <c r="I835" s="12">
        <f t="shared" si="141"/>
        <v>92.054901313610628</v>
      </c>
      <c r="J835" s="12">
        <f t="shared" ref="J835:J898" si="142">J836*(1+((C835/C836)-(F835/F836)))</f>
        <v>139.27212932560013</v>
      </c>
      <c r="K835" s="12">
        <f t="shared" ref="K835:K898" si="143">K836*(1+((C835/C836)-(G835/G836)))</f>
        <v>116.97070637074103</v>
      </c>
      <c r="P835" s="12"/>
      <c r="Q835" s="12"/>
      <c r="R835" s="12"/>
      <c r="S835" s="12"/>
      <c r="V835">
        <v>0.59119496855345899</v>
      </c>
      <c r="W835" s="12"/>
      <c r="X835" s="12"/>
      <c r="Y835" t="str">
        <v>20081003</v>
      </c>
      <c r="Z835">
        <v>25.3</v>
      </c>
      <c r="AA835">
        <v>53</v>
      </c>
      <c r="AB835">
        <f t="shared" si="138"/>
        <v>0.47735849056603774</v>
      </c>
      <c r="AY835" t="str">
        <v>10/06/2021</v>
      </c>
      <c r="AZ835">
        <v>54.1</v>
      </c>
      <c r="BA835">
        <v>16.3</v>
      </c>
      <c r="BB835">
        <f t="shared" si="139"/>
        <v>3.3190184049079754</v>
      </c>
    </row>
    <row r="836" spans="1:54" x14ac:dyDescent="0.3">
      <c r="A836" s="11">
        <v>44314</v>
      </c>
      <c r="B836">
        <v>0.73232323232323204</v>
      </c>
      <c r="C836">
        <v>4186.72</v>
      </c>
      <c r="D836">
        <v>138.63999999999999</v>
      </c>
      <c r="E836">
        <v>1776.905</v>
      </c>
      <c r="F836">
        <v>86.23</v>
      </c>
      <c r="G836">
        <v>57.12</v>
      </c>
      <c r="H836" s="12">
        <f t="shared" si="140"/>
        <v>111.39274199823078</v>
      </c>
      <c r="I836" s="12">
        <f t="shared" si="141"/>
        <v>92.340586642887914</v>
      </c>
      <c r="J836" s="12">
        <f t="shared" si="142"/>
        <v>139.42235251456515</v>
      </c>
      <c r="K836" s="12">
        <f t="shared" si="143"/>
        <v>117.70906016885279</v>
      </c>
      <c r="P836" s="12"/>
      <c r="Q836" s="12"/>
      <c r="R836" s="12"/>
      <c r="S836" s="12"/>
      <c r="V836">
        <v>0.58962868117797695</v>
      </c>
      <c r="W836" s="12"/>
      <c r="X836" s="12"/>
      <c r="Y836" t="str">
        <v>20080926</v>
      </c>
      <c r="Z836">
        <v>33.700000000000003</v>
      </c>
      <c r="AA836">
        <v>47.2</v>
      </c>
      <c r="AB836">
        <f t="shared" si="138"/>
        <v>0.71398305084745761</v>
      </c>
      <c r="AY836" t="str">
        <v>09/06/2021</v>
      </c>
      <c r="AZ836">
        <v>54.1</v>
      </c>
      <c r="BA836">
        <v>16.3</v>
      </c>
      <c r="BB836">
        <f t="shared" si="139"/>
        <v>3.3190184049079754</v>
      </c>
    </row>
    <row r="837" spans="1:54" x14ac:dyDescent="0.3">
      <c r="A837" s="11">
        <v>44313</v>
      </c>
      <c r="B837">
        <v>0.71755725190839703</v>
      </c>
      <c r="C837">
        <v>4187.62</v>
      </c>
      <c r="D837">
        <v>139.86000000000001</v>
      </c>
      <c r="E837">
        <v>1780.5</v>
      </c>
      <c r="F837">
        <v>86.24</v>
      </c>
      <c r="G837">
        <v>57.24</v>
      </c>
      <c r="H837" s="12">
        <f t="shared" si="140"/>
        <v>110.45299800469662</v>
      </c>
      <c r="I837" s="12">
        <f t="shared" si="141"/>
        <v>92.174287954474948</v>
      </c>
      <c r="J837" s="12">
        <f t="shared" si="142"/>
        <v>139.43615163778378</v>
      </c>
      <c r="K837" s="12">
        <f t="shared" si="143"/>
        <v>117.48800450934822</v>
      </c>
      <c r="P837" s="12"/>
      <c r="Q837" s="12"/>
      <c r="R837" s="12"/>
      <c r="S837" s="12"/>
      <c r="V837">
        <v>0.58533419857235602</v>
      </c>
      <c r="W837" s="12"/>
      <c r="X837" s="12"/>
      <c r="Y837" t="str">
        <v>20080919</v>
      </c>
      <c r="Z837">
        <v>37.5</v>
      </c>
      <c r="AA837">
        <v>40.9</v>
      </c>
      <c r="AB837">
        <f t="shared" si="138"/>
        <v>0.91687041564792182</v>
      </c>
      <c r="AY837" t="str">
        <v>08/06/2021</v>
      </c>
      <c r="AZ837">
        <v>54.1</v>
      </c>
      <c r="BA837">
        <v>16.3</v>
      </c>
      <c r="BB837">
        <f t="shared" si="139"/>
        <v>3.3190184049079754</v>
      </c>
    </row>
    <row r="838" spans="1:54" x14ac:dyDescent="0.3">
      <c r="A838" s="11">
        <v>44310</v>
      </c>
      <c r="B838">
        <v>0.70250000000000001</v>
      </c>
      <c r="C838">
        <v>4180.17</v>
      </c>
      <c r="D838">
        <v>140.06</v>
      </c>
      <c r="E838">
        <v>1777.46</v>
      </c>
      <c r="F838">
        <v>86.26</v>
      </c>
      <c r="G838">
        <v>57.16</v>
      </c>
      <c r="H838" s="12">
        <f t="shared" si="140"/>
        <v>110.09955820704623</v>
      </c>
      <c r="I838" s="12">
        <f t="shared" si="141"/>
        <v>92.167659399199877</v>
      </c>
      <c r="J838" s="12">
        <f t="shared" si="142"/>
        <v>139.15588037522656</v>
      </c>
      <c r="K838" s="12">
        <f t="shared" si="143"/>
        <v>117.44306562001987</v>
      </c>
      <c r="P838" s="12"/>
      <c r="Q838" s="12"/>
      <c r="R838" s="12"/>
      <c r="S838" s="12"/>
      <c r="V838">
        <v>0.58995549904640798</v>
      </c>
      <c r="W838" s="12"/>
      <c r="X838" s="12"/>
      <c r="Y838" t="str">
        <v>20080912</v>
      </c>
      <c r="Z838">
        <v>37.9</v>
      </c>
      <c r="AA838">
        <v>43.7</v>
      </c>
      <c r="AB838">
        <f t="shared" si="138"/>
        <v>0.86727688787185342</v>
      </c>
      <c r="AY838" t="str">
        <v>07/06/2021</v>
      </c>
      <c r="AZ838">
        <v>54.1</v>
      </c>
      <c r="BA838">
        <v>16.3</v>
      </c>
      <c r="BB838">
        <f t="shared" si="139"/>
        <v>3.3190184049079754</v>
      </c>
    </row>
    <row r="839" spans="1:54" x14ac:dyDescent="0.3">
      <c r="A839" s="11">
        <v>44309</v>
      </c>
      <c r="B839">
        <v>0.70202020202020199</v>
      </c>
      <c r="C839">
        <v>4134.9799999999996</v>
      </c>
      <c r="D839">
        <v>140.38999999999999</v>
      </c>
      <c r="E839">
        <v>1784.2</v>
      </c>
      <c r="F839">
        <v>86.28</v>
      </c>
      <c r="G839">
        <v>56.54</v>
      </c>
      <c r="H839" s="12">
        <f t="shared" si="140"/>
        <v>108.65667305843847</v>
      </c>
      <c r="I839" s="12">
        <f t="shared" si="141"/>
        <v>90.831857574465459</v>
      </c>
      <c r="J839" s="12">
        <f t="shared" si="142"/>
        <v>137.61997075264387</v>
      </c>
      <c r="K839" s="12">
        <f t="shared" si="143"/>
        <v>117.44740851391248</v>
      </c>
      <c r="P839" s="12"/>
      <c r="Q839" s="12"/>
      <c r="R839" s="12"/>
      <c r="S839" s="12"/>
      <c r="V839">
        <v>0.59388924252068698</v>
      </c>
      <c r="W839" s="12"/>
      <c r="X839" s="12"/>
      <c r="Y839" t="str">
        <v>20080905</v>
      </c>
      <c r="Z839">
        <v>38.200000000000003</v>
      </c>
      <c r="AA839">
        <v>41.6</v>
      </c>
      <c r="AB839">
        <f t="shared" si="138"/>
        <v>0.91826923076923084</v>
      </c>
      <c r="AY839" t="str">
        <v>04/06/2021</v>
      </c>
      <c r="AZ839">
        <v>54.5</v>
      </c>
      <c r="BA839">
        <v>16.2</v>
      </c>
      <c r="BB839">
        <f t="shared" si="139"/>
        <v>3.3641975308641978</v>
      </c>
    </row>
    <row r="840" spans="1:54" x14ac:dyDescent="0.3">
      <c r="A840" s="11">
        <v>44308</v>
      </c>
      <c r="B840">
        <v>0.70360824742268002</v>
      </c>
      <c r="C840">
        <v>4173.42</v>
      </c>
      <c r="D840">
        <v>139.78</v>
      </c>
      <c r="E840">
        <v>1793.4</v>
      </c>
      <c r="F840">
        <v>86.29</v>
      </c>
      <c r="G840">
        <v>56.74</v>
      </c>
      <c r="H840" s="12">
        <f t="shared" si="140"/>
        <v>110.15194963567404</v>
      </c>
      <c r="I840" s="12">
        <f t="shared" si="141"/>
        <v>91.204038502292391</v>
      </c>
      <c r="J840" s="12">
        <f t="shared" si="142"/>
        <v>138.88308225649743</v>
      </c>
      <c r="K840" s="12">
        <f t="shared" si="143"/>
        <v>118.1190120910793</v>
      </c>
      <c r="P840" s="12"/>
      <c r="Q840" s="12"/>
      <c r="R840" s="12"/>
      <c r="S840" s="12"/>
      <c r="V840">
        <v>0.59125475285171103</v>
      </c>
      <c r="W840" s="12"/>
      <c r="X840" s="12"/>
      <c r="Y840" t="str">
        <v>20080829</v>
      </c>
      <c r="Z840">
        <v>37.799999999999997</v>
      </c>
      <c r="AA840">
        <v>40</v>
      </c>
      <c r="AB840">
        <f t="shared" ref="AB840:AB903" si="144">IFERROR(Z840/AA840,"")</f>
        <v>0.94499999999999995</v>
      </c>
      <c r="AY840" t="str">
        <v>03/06/2021</v>
      </c>
      <c r="AZ840">
        <v>54.5</v>
      </c>
      <c r="BA840">
        <v>16.2</v>
      </c>
      <c r="BB840">
        <f t="shared" ref="BB840:BB903" si="145">IFERROR(AZ840/BA840,"")</f>
        <v>3.3641975308641978</v>
      </c>
    </row>
    <row r="841" spans="1:54" x14ac:dyDescent="0.3">
      <c r="A841" s="11">
        <v>44307</v>
      </c>
      <c r="B841">
        <v>0.68652849740932598</v>
      </c>
      <c r="C841">
        <v>4134.9399999999996</v>
      </c>
      <c r="D841">
        <v>139.5</v>
      </c>
      <c r="E841">
        <v>1778</v>
      </c>
      <c r="F841">
        <v>86.27</v>
      </c>
      <c r="G841">
        <v>56.19</v>
      </c>
      <c r="H841" s="12">
        <f t="shared" si="140"/>
        <v>109.35378818908924</v>
      </c>
      <c r="I841" s="12">
        <f t="shared" si="141"/>
        <v>91.145282357651908</v>
      </c>
      <c r="J841" s="12">
        <f t="shared" si="142"/>
        <v>137.6341582809462</v>
      </c>
      <c r="K841" s="12">
        <f t="shared" si="143"/>
        <v>118.17599164764081</v>
      </c>
      <c r="P841" s="12"/>
      <c r="Q841" s="12"/>
      <c r="R841" s="12"/>
      <c r="S841" s="12"/>
      <c r="V841">
        <v>0.59125964010282805</v>
      </c>
      <c r="W841" s="12"/>
      <c r="X841" s="12"/>
      <c r="Y841" t="str">
        <v>20080822</v>
      </c>
      <c r="Z841">
        <v>39.299999999999997</v>
      </c>
      <c r="AA841">
        <v>39.299999999999997</v>
      </c>
      <c r="AB841">
        <f t="shared" si="144"/>
        <v>1</v>
      </c>
      <c r="AY841" t="str">
        <v>02/06/2021</v>
      </c>
      <c r="AZ841">
        <v>54.5</v>
      </c>
      <c r="BA841">
        <v>16.2</v>
      </c>
      <c r="BB841">
        <f t="shared" si="145"/>
        <v>3.3641975308641978</v>
      </c>
    </row>
    <row r="842" spans="1:54" x14ac:dyDescent="0.3">
      <c r="A842" s="11">
        <v>44306</v>
      </c>
      <c r="B842">
        <v>0.681347150259067</v>
      </c>
      <c r="C842">
        <v>4163.26</v>
      </c>
      <c r="D842">
        <v>138.86000000000001</v>
      </c>
      <c r="E842">
        <v>1770.3</v>
      </c>
      <c r="F842">
        <v>86.25</v>
      </c>
      <c r="G842">
        <v>57.02</v>
      </c>
      <c r="H842" s="12">
        <f t="shared" si="140"/>
        <v>110.61606351736323</v>
      </c>
      <c r="I842" s="12">
        <f t="shared" si="141"/>
        <v>92.173189180750455</v>
      </c>
      <c r="J842" s="12">
        <f t="shared" si="142"/>
        <v>138.60916922925639</v>
      </c>
      <c r="K842" s="12">
        <f t="shared" si="143"/>
        <v>117.26671324284716</v>
      </c>
      <c r="P842" s="12"/>
      <c r="Q842" s="12"/>
      <c r="R842" s="12"/>
      <c r="S842" s="12"/>
      <c r="V842">
        <v>0.58667529107373895</v>
      </c>
      <c r="W842" s="12"/>
      <c r="X842" s="12"/>
      <c r="Y842" t="str">
        <v>20080815</v>
      </c>
      <c r="Z842">
        <v>40.700000000000003</v>
      </c>
      <c r="AA842">
        <v>38.4</v>
      </c>
      <c r="AB842">
        <f t="shared" si="144"/>
        <v>1.0598958333333335</v>
      </c>
      <c r="AY842" t="str">
        <v>01/06/2021</v>
      </c>
      <c r="AZ842">
        <v>54.5</v>
      </c>
      <c r="BA842">
        <v>16.2</v>
      </c>
      <c r="BB842">
        <f t="shared" si="145"/>
        <v>3.3641975308641978</v>
      </c>
    </row>
    <row r="843" spans="1:54" x14ac:dyDescent="0.3">
      <c r="A843" s="11">
        <v>44303</v>
      </c>
      <c r="B843">
        <v>0.67692307692307696</v>
      </c>
      <c r="C843">
        <v>4185.47</v>
      </c>
      <c r="D843">
        <v>139.26</v>
      </c>
      <c r="E843">
        <v>1776.345</v>
      </c>
      <c r="F843">
        <v>86.26</v>
      </c>
      <c r="G843">
        <v>57.24</v>
      </c>
      <c r="H843" s="12">
        <f t="shared" si="140"/>
        <v>110.88597415984411</v>
      </c>
      <c r="I843" s="12">
        <f t="shared" si="141"/>
        <v>92.348966007697797</v>
      </c>
      <c r="J843" s="12">
        <f t="shared" si="142"/>
        <v>139.3323773406222</v>
      </c>
      <c r="K843" s="12">
        <f t="shared" si="143"/>
        <v>117.43852426906162</v>
      </c>
      <c r="P843" s="12"/>
      <c r="Q843" s="12"/>
      <c r="R843" s="12"/>
      <c r="S843" s="12"/>
      <c r="V843">
        <v>0.577946768060836</v>
      </c>
      <c r="W843" s="12"/>
      <c r="X843" s="12"/>
      <c r="Y843" t="str">
        <v>20080808</v>
      </c>
      <c r="Z843">
        <v>31.8</v>
      </c>
      <c r="AA843">
        <v>45.5</v>
      </c>
      <c r="AB843">
        <f t="shared" si="144"/>
        <v>0.69890109890109897</v>
      </c>
      <c r="AY843" t="str">
        <v>31/05/2021</v>
      </c>
      <c r="AZ843">
        <v>54.5</v>
      </c>
      <c r="BA843">
        <v>16.2</v>
      </c>
      <c r="BB843">
        <f t="shared" si="145"/>
        <v>3.3641975308641978</v>
      </c>
    </row>
    <row r="844" spans="1:54" x14ac:dyDescent="0.3">
      <c r="A844" s="11">
        <v>44302</v>
      </c>
      <c r="B844">
        <v>0.68062827225130895</v>
      </c>
      <c r="C844">
        <v>4170.42</v>
      </c>
      <c r="D844">
        <v>140.35</v>
      </c>
      <c r="E844">
        <v>1763.83</v>
      </c>
      <c r="F844">
        <v>86.27</v>
      </c>
      <c r="G844">
        <v>56.92</v>
      </c>
      <c r="H844" s="12">
        <f t="shared" si="140"/>
        <v>109.63882726141593</v>
      </c>
      <c r="I844" s="12">
        <f t="shared" si="141"/>
        <v>92.672077004788633</v>
      </c>
      <c r="J844" s="12">
        <f t="shared" si="142"/>
        <v>138.81533679902816</v>
      </c>
      <c r="K844" s="12">
        <f t="shared" si="143"/>
        <v>117.67542564362378</v>
      </c>
      <c r="P844" s="12"/>
      <c r="Q844" s="12"/>
      <c r="R844" s="12"/>
      <c r="S844" s="12"/>
      <c r="V844">
        <v>0.57926023778071301</v>
      </c>
      <c r="W844" s="12"/>
      <c r="X844" s="12"/>
      <c r="Y844" t="str">
        <v>20080801</v>
      </c>
      <c r="Z844">
        <v>34</v>
      </c>
      <c r="AA844">
        <v>43.6</v>
      </c>
      <c r="AB844">
        <f t="shared" si="144"/>
        <v>0.77981651376146788</v>
      </c>
      <c r="AY844" t="str">
        <v>28/05/2021</v>
      </c>
      <c r="AZ844">
        <v>53.6</v>
      </c>
      <c r="BA844">
        <v>16.5</v>
      </c>
      <c r="BB844">
        <f t="shared" si="145"/>
        <v>3.2484848484848485</v>
      </c>
    </row>
    <row r="845" spans="1:54" x14ac:dyDescent="0.3">
      <c r="A845" s="11">
        <v>44301</v>
      </c>
      <c r="B845">
        <v>0.68292682926829296</v>
      </c>
      <c r="C845">
        <v>4124.66</v>
      </c>
      <c r="D845">
        <v>138.04</v>
      </c>
      <c r="E845">
        <v>1737</v>
      </c>
      <c r="F845">
        <v>86.25</v>
      </c>
      <c r="G845">
        <v>56.46</v>
      </c>
      <c r="H845" s="12">
        <f t="shared" si="140"/>
        <v>110.26070116090708</v>
      </c>
      <c r="I845" s="12">
        <f t="shared" si="141"/>
        <v>93.077141631935007</v>
      </c>
      <c r="J845" s="12">
        <f t="shared" si="142"/>
        <v>137.3236770726254</v>
      </c>
      <c r="K845" s="12">
        <f t="shared" si="143"/>
        <v>117.32966839202929</v>
      </c>
      <c r="P845" s="12"/>
      <c r="Q845" s="12"/>
      <c r="R845" s="12"/>
      <c r="S845" s="12"/>
      <c r="V845">
        <v>0.57603686635944695</v>
      </c>
      <c r="W845" s="12"/>
      <c r="X845" s="12"/>
      <c r="Y845" t="str">
        <v>20080725</v>
      </c>
      <c r="Z845">
        <v>30</v>
      </c>
      <c r="AA845">
        <v>50</v>
      </c>
      <c r="AB845">
        <f t="shared" si="144"/>
        <v>0.6</v>
      </c>
      <c r="AY845" t="str">
        <v>27/05/2021</v>
      </c>
      <c r="AZ845">
        <v>53.6</v>
      </c>
      <c r="BA845">
        <v>16.5</v>
      </c>
      <c r="BB845">
        <f t="shared" si="145"/>
        <v>3.2484848484848485</v>
      </c>
    </row>
    <row r="846" spans="1:54" x14ac:dyDescent="0.3">
      <c r="A846" s="11">
        <v>44300</v>
      </c>
      <c r="B846">
        <v>0.67679558011049701</v>
      </c>
      <c r="C846">
        <v>4141.59</v>
      </c>
      <c r="D846">
        <v>138.47999999999999</v>
      </c>
      <c r="E846">
        <v>1745.27</v>
      </c>
      <c r="F846">
        <v>86.25</v>
      </c>
      <c r="G846">
        <v>56.37</v>
      </c>
      <c r="H846" s="12">
        <f t="shared" si="140"/>
        <v>110.36117926449691</v>
      </c>
      <c r="I846" s="12">
        <f t="shared" si="141"/>
        <v>93.016613879036456</v>
      </c>
      <c r="J846" s="12">
        <f t="shared" si="142"/>
        <v>137.88733319284856</v>
      </c>
      <c r="K846" s="12">
        <f t="shared" si="143"/>
        <v>118.00042955716098</v>
      </c>
      <c r="P846" s="12"/>
      <c r="Q846" s="12"/>
      <c r="R846" s="12"/>
      <c r="S846" s="12"/>
      <c r="V846">
        <v>0.57350993377483395</v>
      </c>
      <c r="W846" s="12"/>
      <c r="X846" s="12"/>
      <c r="Y846" t="str">
        <v>20080718</v>
      </c>
      <c r="Z846">
        <v>29.2</v>
      </c>
      <c r="AA846">
        <v>49.4</v>
      </c>
      <c r="AB846">
        <f t="shared" si="144"/>
        <v>0.59109311740890691</v>
      </c>
      <c r="AY846" t="str">
        <v>26/05/2021</v>
      </c>
      <c r="AZ846">
        <v>53.6</v>
      </c>
      <c r="BA846">
        <v>16.5</v>
      </c>
      <c r="BB846">
        <f t="shared" si="145"/>
        <v>3.2484848484848485</v>
      </c>
    </row>
    <row r="847" spans="1:54" x14ac:dyDescent="0.3">
      <c r="A847" s="11">
        <v>44299</v>
      </c>
      <c r="B847">
        <v>0.65915492957746502</v>
      </c>
      <c r="C847">
        <v>4127.99</v>
      </c>
      <c r="D847">
        <v>137.44999999999999</v>
      </c>
      <c r="E847">
        <v>1733.4</v>
      </c>
      <c r="F847">
        <v>86.22</v>
      </c>
      <c r="G847">
        <v>56.08</v>
      </c>
      <c r="H847" s="12">
        <f t="shared" si="140"/>
        <v>110.82654574006061</v>
      </c>
      <c r="I847" s="12">
        <f t="shared" si="141"/>
        <v>93.348302045651295</v>
      </c>
      <c r="J847" s="12">
        <f t="shared" si="142"/>
        <v>137.48222332874218</v>
      </c>
      <c r="K847" s="12">
        <f t="shared" si="143"/>
        <v>118.22228578219868</v>
      </c>
      <c r="P847" s="12"/>
      <c r="Q847" s="12"/>
      <c r="R847" s="12"/>
      <c r="S847" s="12"/>
      <c r="V847">
        <v>0.57589880159786999</v>
      </c>
      <c r="W847" s="12"/>
      <c r="X847" s="12"/>
      <c r="Y847" t="str">
        <v>20080711</v>
      </c>
      <c r="Z847">
        <v>27.8</v>
      </c>
      <c r="AA847">
        <v>48.9</v>
      </c>
      <c r="AB847">
        <f t="shared" si="144"/>
        <v>0.56850715746421276</v>
      </c>
      <c r="AY847" t="str">
        <v>25/05/2021</v>
      </c>
      <c r="AZ847">
        <v>53.6</v>
      </c>
      <c r="BA847">
        <v>16.5</v>
      </c>
      <c r="BB847">
        <f t="shared" si="145"/>
        <v>3.2484848484848485</v>
      </c>
    </row>
    <row r="848" spans="1:54" x14ac:dyDescent="0.3">
      <c r="A848" s="11">
        <v>44296</v>
      </c>
      <c r="B848">
        <v>0.68055555555555602</v>
      </c>
      <c r="C848">
        <v>4128.8</v>
      </c>
      <c r="D848">
        <v>137.51</v>
      </c>
      <c r="E848">
        <v>1743.75</v>
      </c>
      <c r="F848">
        <v>86.24</v>
      </c>
      <c r="G848">
        <v>56.39</v>
      </c>
      <c r="H848" s="12">
        <f t="shared" si="140"/>
        <v>110.79993724672347</v>
      </c>
      <c r="I848" s="12">
        <f t="shared" si="141"/>
        <v>92.815605352684656</v>
      </c>
      <c r="J848" s="12">
        <f t="shared" si="142"/>
        <v>137.47731153441916</v>
      </c>
      <c r="K848" s="12">
        <f t="shared" si="143"/>
        <v>117.59886530180408</v>
      </c>
      <c r="P848" s="12"/>
      <c r="Q848" s="12"/>
      <c r="R848" s="12"/>
      <c r="S848" s="12"/>
      <c r="V848">
        <v>0.57133550488599305</v>
      </c>
      <c r="W848" s="12"/>
      <c r="X848" s="12"/>
      <c r="Y848" t="str">
        <v>20080704</v>
      </c>
      <c r="Z848">
        <v>27.4</v>
      </c>
      <c r="AA848">
        <v>47.3</v>
      </c>
      <c r="AB848">
        <f t="shared" si="144"/>
        <v>0.57928118393234673</v>
      </c>
      <c r="AY848" t="str">
        <v>24/05/2021</v>
      </c>
      <c r="AZ848">
        <v>53.6</v>
      </c>
      <c r="BA848">
        <v>16.5</v>
      </c>
      <c r="BB848">
        <f t="shared" si="145"/>
        <v>3.2484848484848485</v>
      </c>
    </row>
    <row r="849" spans="1:54" x14ac:dyDescent="0.3">
      <c r="A849" s="11">
        <v>44295</v>
      </c>
      <c r="B849">
        <v>0.677966101694915</v>
      </c>
      <c r="C849">
        <v>4097.17</v>
      </c>
      <c r="D849">
        <v>138.01</v>
      </c>
      <c r="E849">
        <v>1755.425</v>
      </c>
      <c r="F849">
        <v>86.27</v>
      </c>
      <c r="G849">
        <v>56.43</v>
      </c>
      <c r="H849" s="12">
        <f t="shared" si="140"/>
        <v>109.55724165075215</v>
      </c>
      <c r="I849" s="12">
        <f t="shared" si="141"/>
        <v>91.500669917197911</v>
      </c>
      <c r="J849" s="12">
        <f t="shared" si="142"/>
        <v>136.377061192193</v>
      </c>
      <c r="K849" s="12">
        <f t="shared" si="143"/>
        <v>116.61593227671679</v>
      </c>
      <c r="P849" s="12"/>
      <c r="Q849" s="12"/>
      <c r="R849" s="12"/>
      <c r="S849" s="12"/>
      <c r="V849">
        <v>0.57385620915032698</v>
      </c>
      <c r="W849" s="12"/>
      <c r="X849" s="12"/>
      <c r="Y849" t="str">
        <v>20080627</v>
      </c>
      <c r="Z849">
        <v>31.9</v>
      </c>
      <c r="AA849">
        <v>44.7</v>
      </c>
      <c r="AB849">
        <f t="shared" si="144"/>
        <v>0.71364653243847864</v>
      </c>
      <c r="AY849" t="str">
        <v>21/05/2021</v>
      </c>
      <c r="AZ849">
        <v>51.5</v>
      </c>
      <c r="BA849">
        <v>16.8</v>
      </c>
      <c r="BB849">
        <f t="shared" si="145"/>
        <v>3.0654761904761902</v>
      </c>
    </row>
    <row r="850" spans="1:54" x14ac:dyDescent="0.3">
      <c r="A850" s="11">
        <v>44294</v>
      </c>
      <c r="B850">
        <v>0.67134831460674205</v>
      </c>
      <c r="C850">
        <v>4079.95</v>
      </c>
      <c r="D850">
        <v>136.88</v>
      </c>
      <c r="E850">
        <v>1737.6</v>
      </c>
      <c r="F850">
        <v>86.24</v>
      </c>
      <c r="G850">
        <v>56</v>
      </c>
      <c r="H850" s="12">
        <f t="shared" si="140"/>
        <v>110.00107025498308</v>
      </c>
      <c r="I850" s="12">
        <f t="shared" si="141"/>
        <v>92.056485104888452</v>
      </c>
      <c r="J850" s="12">
        <f t="shared" si="142"/>
        <v>135.85094126155525</v>
      </c>
      <c r="K850" s="12">
        <f t="shared" si="143"/>
        <v>117.02058142784438</v>
      </c>
      <c r="P850" s="12"/>
      <c r="Q850" s="12"/>
      <c r="R850" s="12"/>
      <c r="S850" s="12"/>
      <c r="V850">
        <v>0.57245901639344299</v>
      </c>
      <c r="W850" s="12"/>
      <c r="X850" s="12"/>
      <c r="Y850" t="str">
        <v>20080620</v>
      </c>
      <c r="Z850">
        <v>33.700000000000003</v>
      </c>
      <c r="AA850">
        <v>39.299999999999997</v>
      </c>
      <c r="AB850">
        <f t="shared" si="144"/>
        <v>0.85750636132315539</v>
      </c>
      <c r="AY850" t="str">
        <v>20/05/2021</v>
      </c>
      <c r="AZ850">
        <v>51.5</v>
      </c>
      <c r="BA850">
        <v>16.8</v>
      </c>
      <c r="BB850">
        <f t="shared" si="145"/>
        <v>3.0654761904761902</v>
      </c>
    </row>
    <row r="851" spans="1:54" x14ac:dyDescent="0.3">
      <c r="A851" s="11">
        <v>44293</v>
      </c>
      <c r="B851">
        <v>0.67052023121387305</v>
      </c>
      <c r="C851">
        <v>4073.94</v>
      </c>
      <c r="D851">
        <v>137.84</v>
      </c>
      <c r="E851">
        <v>1744.2</v>
      </c>
      <c r="F851">
        <v>86.23</v>
      </c>
      <c r="G851">
        <v>56.22</v>
      </c>
      <c r="H851" s="12">
        <f t="shared" si="140"/>
        <v>109.08045012678178</v>
      </c>
      <c r="I851" s="12">
        <f t="shared" si="141"/>
        <v>91.574874516141392</v>
      </c>
      <c r="J851" s="12">
        <f t="shared" si="142"/>
        <v>135.66653497101024</v>
      </c>
      <c r="K851" s="12">
        <f t="shared" si="143"/>
        <v>116.39340389115027</v>
      </c>
      <c r="P851" s="12"/>
      <c r="Q851" s="12"/>
      <c r="R851" s="12"/>
      <c r="S851" s="12"/>
      <c r="V851">
        <v>0.57161803713527803</v>
      </c>
      <c r="W851" s="12"/>
      <c r="X851" s="12"/>
      <c r="Y851" t="str">
        <v>20080613</v>
      </c>
      <c r="Z851">
        <v>36.299999999999997</v>
      </c>
      <c r="AA851">
        <v>37.4</v>
      </c>
      <c r="AB851">
        <f t="shared" si="144"/>
        <v>0.97058823529411764</v>
      </c>
      <c r="AY851" t="str">
        <v>19/05/2021</v>
      </c>
      <c r="AZ851">
        <v>51.5</v>
      </c>
      <c r="BA851">
        <v>16.8</v>
      </c>
      <c r="BB851">
        <f t="shared" si="145"/>
        <v>3.0654761904761902</v>
      </c>
    </row>
    <row r="852" spans="1:54" x14ac:dyDescent="0.3">
      <c r="A852" s="11">
        <v>44292</v>
      </c>
      <c r="B852">
        <v>0.67638483965014595</v>
      </c>
      <c r="C852">
        <v>4077.91</v>
      </c>
      <c r="D852">
        <v>136.91</v>
      </c>
      <c r="E852">
        <v>1729.875</v>
      </c>
      <c r="F852">
        <v>86.21</v>
      </c>
      <c r="G852">
        <v>56.52</v>
      </c>
      <c r="H852" s="12">
        <f t="shared" si="140"/>
        <v>109.93423473713523</v>
      </c>
      <c r="I852" s="12">
        <f t="shared" si="141"/>
        <v>92.430268874620438</v>
      </c>
      <c r="J852" s="12">
        <f t="shared" si="142"/>
        <v>135.83028239206007</v>
      </c>
      <c r="K852" s="12">
        <f t="shared" si="143"/>
        <v>115.89109506525347</v>
      </c>
      <c r="P852" s="12"/>
      <c r="Q852" s="12"/>
      <c r="R852" s="12"/>
      <c r="S852" s="12"/>
      <c r="V852">
        <v>0.57028112449799195</v>
      </c>
      <c r="W852" s="12"/>
      <c r="X852" s="12"/>
      <c r="Y852" t="str">
        <v>20080606</v>
      </c>
      <c r="Z852">
        <v>43</v>
      </c>
      <c r="AA852">
        <v>32.6</v>
      </c>
      <c r="AB852">
        <f t="shared" si="144"/>
        <v>1.3190184049079754</v>
      </c>
      <c r="AY852" t="str">
        <v>18/05/2021</v>
      </c>
      <c r="AZ852">
        <v>51.5</v>
      </c>
      <c r="BA852">
        <v>16.8</v>
      </c>
      <c r="BB852">
        <f t="shared" si="145"/>
        <v>3.0654761904761902</v>
      </c>
    </row>
    <row r="853" spans="1:54" x14ac:dyDescent="0.3">
      <c r="A853" s="11">
        <v>44288</v>
      </c>
      <c r="B853">
        <v>0.63585434173669497</v>
      </c>
      <c r="C853">
        <v>4019.87</v>
      </c>
      <c r="D853">
        <v>137.51</v>
      </c>
      <c r="E853">
        <v>1729.875</v>
      </c>
      <c r="F853">
        <v>86.23</v>
      </c>
      <c r="G853">
        <v>55.92</v>
      </c>
      <c r="H853" s="12">
        <f t="shared" si="140"/>
        <v>107.90544014962485</v>
      </c>
      <c r="I853" s="12">
        <f t="shared" si="141"/>
        <v>91.114729099224959</v>
      </c>
      <c r="J853" s="12">
        <f t="shared" si="142"/>
        <v>133.8664329463611</v>
      </c>
      <c r="K853" s="12">
        <f t="shared" si="143"/>
        <v>115.46288201742541</v>
      </c>
      <c r="P853" s="12"/>
      <c r="Q853" s="12"/>
      <c r="R853" s="12"/>
      <c r="S853" s="12"/>
      <c r="V853">
        <v>0.56400259909031802</v>
      </c>
      <c r="W853" s="12"/>
      <c r="X853" s="12"/>
      <c r="Y853" t="str">
        <v>20080530</v>
      </c>
      <c r="Z853">
        <v>44.8</v>
      </c>
      <c r="AA853">
        <v>31.1</v>
      </c>
      <c r="AB853">
        <f t="shared" si="144"/>
        <v>1.440514469453376</v>
      </c>
      <c r="AY853" t="str">
        <v>17/05/2021</v>
      </c>
      <c r="AZ853">
        <v>51.5</v>
      </c>
      <c r="BA853">
        <v>16.8</v>
      </c>
      <c r="BB853">
        <f t="shared" si="145"/>
        <v>3.0654761904761902</v>
      </c>
    </row>
    <row r="854" spans="1:54" x14ac:dyDescent="0.3">
      <c r="A854" s="11">
        <v>44286</v>
      </c>
      <c r="B854">
        <v>0.63585434173669497</v>
      </c>
      <c r="C854">
        <v>3972.89</v>
      </c>
      <c r="D854">
        <v>135.44999999999999</v>
      </c>
      <c r="E854">
        <v>1707.2</v>
      </c>
      <c r="F854">
        <v>86.25</v>
      </c>
      <c r="G854">
        <v>55.18</v>
      </c>
      <c r="H854" s="12">
        <f t="shared" si="140"/>
        <v>108.27176892341484</v>
      </c>
      <c r="I854" s="12">
        <f t="shared" si="141"/>
        <v>91.247662094472162</v>
      </c>
      <c r="J854" s="12">
        <f t="shared" si="142"/>
        <v>132.27163006968797</v>
      </c>
      <c r="K854" s="12">
        <f t="shared" si="143"/>
        <v>115.64624041702636</v>
      </c>
      <c r="P854" s="12"/>
      <c r="Q854" s="12"/>
      <c r="R854" s="12"/>
      <c r="S854" s="12"/>
      <c r="V854">
        <v>0.56189241736876205</v>
      </c>
      <c r="W854" s="12"/>
      <c r="X854" s="12"/>
      <c r="Y854" t="str">
        <v>20080523</v>
      </c>
      <c r="Z854">
        <v>37.9</v>
      </c>
      <c r="AA854">
        <v>32.200000000000003</v>
      </c>
      <c r="AB854">
        <f t="shared" si="144"/>
        <v>1.1770186335403725</v>
      </c>
      <c r="AY854" t="str">
        <v>14/05/2021</v>
      </c>
      <c r="AZ854">
        <v>54.5</v>
      </c>
      <c r="BA854">
        <v>17.2</v>
      </c>
      <c r="BB854">
        <f t="shared" si="145"/>
        <v>3.168604651162791</v>
      </c>
    </row>
    <row r="855" spans="1:54" x14ac:dyDescent="0.3">
      <c r="A855" s="11">
        <v>44286</v>
      </c>
      <c r="B855">
        <v>0.64080459770114895</v>
      </c>
      <c r="C855">
        <v>3958.55</v>
      </c>
      <c r="D855">
        <v>136.21</v>
      </c>
      <c r="E855">
        <v>1685.25</v>
      </c>
      <c r="F855">
        <v>86.28</v>
      </c>
      <c r="G855">
        <v>55.25</v>
      </c>
      <c r="H855" s="12">
        <f t="shared" si="140"/>
        <v>107.28451979335831</v>
      </c>
      <c r="I855" s="12">
        <f t="shared" si="141"/>
        <v>92.113737117536189</v>
      </c>
      <c r="J855" s="12">
        <f t="shared" si="142"/>
        <v>131.74855619423388</v>
      </c>
      <c r="K855" s="12">
        <f t="shared" si="143"/>
        <v>115.08353866277857</v>
      </c>
      <c r="P855" s="12"/>
      <c r="Q855" s="12"/>
      <c r="R855" s="12"/>
      <c r="S855" s="12"/>
      <c r="V855">
        <v>0.563648293963255</v>
      </c>
      <c r="W855" s="12"/>
      <c r="X855" s="12"/>
      <c r="Y855" t="str">
        <v>20080516</v>
      </c>
      <c r="Z855">
        <v>47.3</v>
      </c>
      <c r="AA855">
        <v>30.8</v>
      </c>
      <c r="AB855">
        <f t="shared" si="144"/>
        <v>1.5357142857142856</v>
      </c>
      <c r="AY855" t="str">
        <v>13/05/2021</v>
      </c>
      <c r="AZ855">
        <v>54.5</v>
      </c>
      <c r="BA855">
        <v>17.2</v>
      </c>
      <c r="BB855">
        <f t="shared" si="145"/>
        <v>3.168604651162791</v>
      </c>
    </row>
    <row r="856" spans="1:54" x14ac:dyDescent="0.3">
      <c r="A856" s="11">
        <v>44285</v>
      </c>
      <c r="B856">
        <v>0.640718562874252</v>
      </c>
      <c r="C856">
        <v>3971.09</v>
      </c>
      <c r="D856">
        <v>135.5</v>
      </c>
      <c r="E856">
        <v>1712.3</v>
      </c>
      <c r="F856">
        <v>86.28</v>
      </c>
      <c r="G856">
        <v>55.29</v>
      </c>
      <c r="H856" s="12">
        <f t="shared" si="140"/>
        <v>108.19309026381872</v>
      </c>
      <c r="I856" s="12">
        <f t="shared" si="141"/>
        <v>90.963984892634542</v>
      </c>
      <c r="J856" s="12">
        <f t="shared" si="142"/>
        <v>132.16591277547593</v>
      </c>
      <c r="K856" s="12">
        <f t="shared" si="143"/>
        <v>115.36437767030344</v>
      </c>
      <c r="P856" s="12"/>
      <c r="Q856" s="12"/>
      <c r="R856" s="12"/>
      <c r="S856" s="12"/>
      <c r="V856">
        <v>0.56398416886543501</v>
      </c>
      <c r="W856" s="12"/>
      <c r="X856" s="12"/>
      <c r="Y856" t="str">
        <v>20080509</v>
      </c>
      <c r="Z856">
        <v>46</v>
      </c>
      <c r="AA856">
        <v>29.9</v>
      </c>
      <c r="AB856">
        <f t="shared" si="144"/>
        <v>1.5384615384615385</v>
      </c>
      <c r="AY856" t="str">
        <v>12/05/2021</v>
      </c>
      <c r="AZ856">
        <v>54.5</v>
      </c>
      <c r="BA856">
        <v>17.2</v>
      </c>
      <c r="BB856">
        <f t="shared" si="145"/>
        <v>3.168604651162791</v>
      </c>
    </row>
    <row r="857" spans="1:54" x14ac:dyDescent="0.3">
      <c r="A857" s="11">
        <v>44282</v>
      </c>
      <c r="B857">
        <v>0.63803680981595101</v>
      </c>
      <c r="C857">
        <v>3974.54</v>
      </c>
      <c r="D857">
        <v>136.66</v>
      </c>
      <c r="E857">
        <v>1732.6949999999999</v>
      </c>
      <c r="F857">
        <v>86.3</v>
      </c>
      <c r="G857">
        <v>55.52</v>
      </c>
      <c r="H857" s="12">
        <f t="shared" si="140"/>
        <v>107.37487290600376</v>
      </c>
      <c r="I857" s="12">
        <f t="shared" si="141"/>
        <v>89.982931943876167</v>
      </c>
      <c r="J857" s="12">
        <f t="shared" si="142"/>
        <v>132.25006021807391</v>
      </c>
      <c r="K857" s="12">
        <f t="shared" si="143"/>
        <v>114.98783547801582</v>
      </c>
      <c r="P857" s="12"/>
      <c r="Q857" s="12"/>
      <c r="R857" s="12"/>
      <c r="S857" s="12"/>
      <c r="V857">
        <v>0.57075152335815804</v>
      </c>
      <c r="W857" s="12"/>
      <c r="X857" s="12"/>
      <c r="Y857" t="str">
        <v>20080502</v>
      </c>
      <c r="Z857">
        <v>44.4</v>
      </c>
      <c r="AA857">
        <v>32.299999999999997</v>
      </c>
      <c r="AB857">
        <f t="shared" si="144"/>
        <v>1.3746130030959753</v>
      </c>
      <c r="AY857" t="str">
        <v>11/05/2021</v>
      </c>
      <c r="AZ857">
        <v>54.5</v>
      </c>
      <c r="BA857">
        <v>17.2</v>
      </c>
      <c r="BB857">
        <f t="shared" si="145"/>
        <v>3.168604651162791</v>
      </c>
    </row>
    <row r="858" spans="1:54" x14ac:dyDescent="0.3">
      <c r="A858" s="11">
        <v>44281</v>
      </c>
      <c r="B858">
        <v>0.61261261261261302</v>
      </c>
      <c r="C858">
        <v>3909.52</v>
      </c>
      <c r="D858">
        <v>137.13999999999999</v>
      </c>
      <c r="E858">
        <v>1727.4</v>
      </c>
      <c r="F858">
        <v>86.3</v>
      </c>
      <c r="G858">
        <v>54.61</v>
      </c>
      <c r="H858" s="12">
        <f t="shared" si="140"/>
        <v>105.25593715189258</v>
      </c>
      <c r="I858" s="12">
        <f t="shared" si="141"/>
        <v>88.778570972921898</v>
      </c>
      <c r="J858" s="12">
        <f t="shared" si="142"/>
        <v>130.08656484115502</v>
      </c>
      <c r="K858" s="12">
        <f t="shared" si="143"/>
        <v>114.99156316305947</v>
      </c>
      <c r="P858" s="12"/>
      <c r="Q858" s="12"/>
      <c r="R858" s="12"/>
      <c r="S858" s="12"/>
      <c r="V858">
        <v>0.56465809072444095</v>
      </c>
      <c r="W858" s="12"/>
      <c r="X858" s="12"/>
      <c r="Y858" t="str">
        <v>20080425</v>
      </c>
      <c r="Z858">
        <v>40.9</v>
      </c>
      <c r="AA858">
        <v>31.8</v>
      </c>
      <c r="AB858">
        <f t="shared" si="144"/>
        <v>1.2861635220125784</v>
      </c>
      <c r="AY858" t="str">
        <v>10/05/2021</v>
      </c>
      <c r="AZ858">
        <v>54.5</v>
      </c>
      <c r="BA858">
        <v>17.2</v>
      </c>
      <c r="BB858">
        <f t="shared" si="145"/>
        <v>3.168604651162791</v>
      </c>
    </row>
    <row r="859" spans="1:54" x14ac:dyDescent="0.3">
      <c r="A859" s="11">
        <v>44280</v>
      </c>
      <c r="B859">
        <v>0.577380952380952</v>
      </c>
      <c r="C859">
        <v>3889.14</v>
      </c>
      <c r="D859">
        <v>138.22999999999999</v>
      </c>
      <c r="E859">
        <v>1734.9649999999999</v>
      </c>
      <c r="F859">
        <v>86.29</v>
      </c>
      <c r="G859">
        <v>54.34</v>
      </c>
      <c r="H859" s="12">
        <f t="shared" si="140"/>
        <v>103.89228428040093</v>
      </c>
      <c r="I859" s="12">
        <f t="shared" si="141"/>
        <v>87.934352685445475</v>
      </c>
      <c r="J859" s="12">
        <f t="shared" si="142"/>
        <v>129.42335494839207</v>
      </c>
      <c r="K859" s="12">
        <f t="shared" si="143"/>
        <v>114.96034940900773</v>
      </c>
      <c r="P859" s="12"/>
      <c r="Q859" s="12"/>
      <c r="R859" s="12"/>
      <c r="S859" s="12"/>
      <c r="V859">
        <v>0.57604306864064603</v>
      </c>
      <c r="W859" s="12"/>
      <c r="X859" s="12"/>
      <c r="Y859" t="str">
        <v>20080418</v>
      </c>
      <c r="Z859">
        <v>39.1</v>
      </c>
      <c r="AA859">
        <v>35.6</v>
      </c>
      <c r="AB859">
        <f t="shared" si="144"/>
        <v>1.098314606741573</v>
      </c>
      <c r="AY859" t="str">
        <v>07/05/2021</v>
      </c>
      <c r="AZ859">
        <v>58.6</v>
      </c>
      <c r="BA859">
        <v>17.2</v>
      </c>
      <c r="BB859">
        <f t="shared" si="145"/>
        <v>3.4069767441860468</v>
      </c>
    </row>
    <row r="860" spans="1:54" x14ac:dyDescent="0.3">
      <c r="A860" s="11">
        <v>44279</v>
      </c>
      <c r="B860">
        <v>0.56851311953352801</v>
      </c>
      <c r="C860">
        <v>3910.52</v>
      </c>
      <c r="D860">
        <v>137.49</v>
      </c>
      <c r="E860">
        <v>1726.9549999999999</v>
      </c>
      <c r="F860">
        <v>86.27</v>
      </c>
      <c r="G860">
        <v>54.92</v>
      </c>
      <c r="H860" s="12">
        <f t="shared" si="140"/>
        <v>105.03182848963645</v>
      </c>
      <c r="I860" s="12">
        <f t="shared" si="141"/>
        <v>88.832047175934107</v>
      </c>
      <c r="J860" s="12">
        <f t="shared" si="142"/>
        <v>130.16518375731292</v>
      </c>
      <c r="K860" s="12">
        <f t="shared" si="143"/>
        <v>114.37776487383415</v>
      </c>
      <c r="P860" s="12"/>
      <c r="Q860" s="12"/>
      <c r="R860" s="12"/>
      <c r="S860" s="12"/>
      <c r="V860">
        <v>0.56693440428380204</v>
      </c>
      <c r="W860" s="12"/>
      <c r="X860" s="12"/>
      <c r="Y860" t="str">
        <v>20080411</v>
      </c>
      <c r="Z860">
        <v>37.799999999999997</v>
      </c>
      <c r="AA860">
        <v>38.9</v>
      </c>
      <c r="AB860">
        <f t="shared" si="144"/>
        <v>0.97172236503856035</v>
      </c>
      <c r="AY860" t="str">
        <v>06/05/2021</v>
      </c>
      <c r="AZ860">
        <v>58.6</v>
      </c>
      <c r="BA860">
        <v>17.2</v>
      </c>
      <c r="BB860">
        <f t="shared" si="145"/>
        <v>3.4069767441860468</v>
      </c>
    </row>
    <row r="861" spans="1:54" x14ac:dyDescent="0.3">
      <c r="A861" s="11">
        <v>44278</v>
      </c>
      <c r="B861">
        <v>0.57999999999999996</v>
      </c>
      <c r="C861">
        <v>3940.59</v>
      </c>
      <c r="D861">
        <v>136.26</v>
      </c>
      <c r="E861">
        <v>1738.8</v>
      </c>
      <c r="F861">
        <v>86.26</v>
      </c>
      <c r="G861">
        <v>55.75</v>
      </c>
      <c r="H861" s="12">
        <f t="shared" si="140"/>
        <v>106.81105472033829</v>
      </c>
      <c r="I861" s="12">
        <f t="shared" si="141"/>
        <v>88.904830688701438</v>
      </c>
      <c r="J861" s="12">
        <f t="shared" si="142"/>
        <v>131.18141543304461</v>
      </c>
      <c r="K861" s="12">
        <f t="shared" si="143"/>
        <v>113.55369938988881</v>
      </c>
      <c r="P861" s="12"/>
      <c r="Q861" s="12"/>
      <c r="R861" s="12"/>
      <c r="S861" s="12"/>
      <c r="V861">
        <v>0.56203890006706902</v>
      </c>
      <c r="W861" s="12"/>
      <c r="X861" s="12"/>
      <c r="Y861" t="str">
        <v>20080404</v>
      </c>
      <c r="Z861">
        <v>37.4</v>
      </c>
      <c r="AA861">
        <v>38.5</v>
      </c>
      <c r="AB861">
        <f t="shared" si="144"/>
        <v>0.97142857142857142</v>
      </c>
      <c r="AY861" t="str">
        <v>05/05/2021</v>
      </c>
      <c r="AZ861">
        <v>58.6</v>
      </c>
      <c r="BA861">
        <v>17.2</v>
      </c>
      <c r="BB861">
        <f t="shared" si="145"/>
        <v>3.4069767441860468</v>
      </c>
    </row>
    <row r="862" spans="1:54" x14ac:dyDescent="0.3">
      <c r="A862" s="11">
        <v>44275</v>
      </c>
      <c r="B862">
        <v>0.59649122807017496</v>
      </c>
      <c r="C862">
        <v>3913.1</v>
      </c>
      <c r="D862">
        <v>134.75</v>
      </c>
      <c r="E862">
        <v>1743.9494999999999</v>
      </c>
      <c r="F862">
        <v>86.27</v>
      </c>
      <c r="G862">
        <v>55.75</v>
      </c>
      <c r="H862" s="12">
        <f t="shared" si="140"/>
        <v>107.25948691784126</v>
      </c>
      <c r="I862" s="12">
        <f t="shared" si="141"/>
        <v>88.026510859977691</v>
      </c>
      <c r="J862" s="12">
        <f t="shared" si="142"/>
        <v>130.25128632161363</v>
      </c>
      <c r="K862" s="12">
        <f t="shared" si="143"/>
        <v>112.7615359838435</v>
      </c>
      <c r="P862" s="12"/>
      <c r="Q862" s="12"/>
      <c r="R862" s="12"/>
      <c r="S862" s="12"/>
      <c r="V862">
        <v>0.55800000000000005</v>
      </c>
      <c r="W862" s="12"/>
      <c r="X862" s="12"/>
      <c r="Y862" t="str">
        <v>20080328</v>
      </c>
      <c r="Z862">
        <v>36.4</v>
      </c>
      <c r="AA862">
        <v>37.5</v>
      </c>
      <c r="AB862">
        <f t="shared" si="144"/>
        <v>0.97066666666666668</v>
      </c>
      <c r="AY862" t="str">
        <v>04/05/2021</v>
      </c>
      <c r="AZ862">
        <v>58.6</v>
      </c>
      <c r="BA862">
        <v>17.2</v>
      </c>
      <c r="BB862">
        <f t="shared" si="145"/>
        <v>3.4069767441860468</v>
      </c>
    </row>
    <row r="863" spans="1:54" x14ac:dyDescent="0.3">
      <c r="A863" s="11">
        <v>44274</v>
      </c>
      <c r="B863">
        <v>0.58235294117647096</v>
      </c>
      <c r="C863">
        <v>3915.46</v>
      </c>
      <c r="D863">
        <v>133.91999999999999</v>
      </c>
      <c r="E863">
        <v>1734.2</v>
      </c>
      <c r="F863">
        <v>86.27</v>
      </c>
      <c r="G863">
        <v>55.47</v>
      </c>
      <c r="H863" s="12">
        <f t="shared" si="140"/>
        <v>107.99389604653261</v>
      </c>
      <c r="I863" s="12">
        <f t="shared" si="141"/>
        <v>88.577876204772011</v>
      </c>
      <c r="J863" s="12">
        <f t="shared" si="142"/>
        <v>130.32984118494934</v>
      </c>
      <c r="K863" s="12">
        <f t="shared" si="143"/>
        <v>113.40231718985264</v>
      </c>
      <c r="P863" s="12"/>
      <c r="Q863" s="12"/>
      <c r="R863" s="12"/>
      <c r="S863" s="12"/>
      <c r="V863">
        <v>0.56367292225201104</v>
      </c>
      <c r="W863" s="12"/>
      <c r="X863" s="12"/>
      <c r="Y863" t="str">
        <v>20080321</v>
      </c>
      <c r="Z863">
        <v>36.700000000000003</v>
      </c>
      <c r="AA863">
        <v>41.1</v>
      </c>
      <c r="AB863">
        <f t="shared" si="144"/>
        <v>0.89294403892944041</v>
      </c>
      <c r="AY863" t="str">
        <v>03/05/2021</v>
      </c>
      <c r="AZ863">
        <v>58.6</v>
      </c>
      <c r="BA863">
        <v>17.2</v>
      </c>
      <c r="BB863">
        <f t="shared" si="145"/>
        <v>3.4069767441860468</v>
      </c>
    </row>
    <row r="864" spans="1:54" x14ac:dyDescent="0.3">
      <c r="A864" s="11">
        <v>44273</v>
      </c>
      <c r="B864">
        <v>0.581395348837209</v>
      </c>
      <c r="C864">
        <v>3974.12</v>
      </c>
      <c r="D864">
        <v>135.29</v>
      </c>
      <c r="E864">
        <v>1745.25</v>
      </c>
      <c r="F864">
        <v>86.28</v>
      </c>
      <c r="G864">
        <v>56.15</v>
      </c>
      <c r="H864" s="12">
        <f t="shared" si="140"/>
        <v>108.49668108995839</v>
      </c>
      <c r="I864" s="12">
        <f t="shared" si="141"/>
        <v>89.33084854471835</v>
      </c>
      <c r="J864" s="12">
        <f t="shared" si="142"/>
        <v>132.26683592130999</v>
      </c>
      <c r="K864" s="12">
        <f t="shared" si="143"/>
        <v>113.70364115305755</v>
      </c>
      <c r="P864" s="12"/>
      <c r="Q864" s="12"/>
      <c r="R864" s="12"/>
      <c r="S864" s="12"/>
      <c r="V864">
        <v>0.57056451612903203</v>
      </c>
      <c r="W864" s="12"/>
      <c r="X864" s="12"/>
      <c r="Y864" t="str">
        <v>20080314</v>
      </c>
      <c r="Z864">
        <v>30.9</v>
      </c>
      <c r="AA864">
        <v>44.7</v>
      </c>
      <c r="AB864">
        <f t="shared" si="144"/>
        <v>0.69127516778523479</v>
      </c>
      <c r="AY864" t="str">
        <v>30/04/2021</v>
      </c>
      <c r="AZ864">
        <v>60.4</v>
      </c>
      <c r="BA864">
        <v>16.8</v>
      </c>
      <c r="BB864">
        <f t="shared" si="145"/>
        <v>3.5952380952380949</v>
      </c>
    </row>
    <row r="865" spans="1:54" x14ac:dyDescent="0.3">
      <c r="A865" s="11">
        <v>44272</v>
      </c>
      <c r="B865">
        <v>0.58739255014326697</v>
      </c>
      <c r="C865">
        <v>3962.71</v>
      </c>
      <c r="D865">
        <v>136.31</v>
      </c>
      <c r="E865">
        <v>1730.9</v>
      </c>
      <c r="F865">
        <v>86.26</v>
      </c>
      <c r="G865">
        <v>56</v>
      </c>
      <c r="H865" s="12">
        <f t="shared" si="140"/>
        <v>107.38393801639003</v>
      </c>
      <c r="I865" s="12">
        <f t="shared" si="141"/>
        <v>89.816860334190721</v>
      </c>
      <c r="J865" s="12">
        <f t="shared" si="142"/>
        <v>131.91758602562919</v>
      </c>
      <c r="K865" s="12">
        <f t="shared" si="143"/>
        <v>113.68081731400459</v>
      </c>
      <c r="P865" s="12"/>
      <c r="Q865" s="12"/>
      <c r="R865" s="12"/>
      <c r="S865" s="12"/>
      <c r="V865">
        <v>0.57767316745124397</v>
      </c>
      <c r="W865" s="12"/>
      <c r="X865" s="12"/>
      <c r="Y865" t="str">
        <v>20080307</v>
      </c>
      <c r="Z865">
        <v>31.1</v>
      </c>
      <c r="AA865">
        <v>43.3</v>
      </c>
      <c r="AB865">
        <f t="shared" si="144"/>
        <v>0.7182448036951502</v>
      </c>
      <c r="AY865" t="str">
        <v>29/04/2021</v>
      </c>
      <c r="AZ865">
        <v>60.4</v>
      </c>
      <c r="BA865">
        <v>16.8</v>
      </c>
      <c r="BB865">
        <f t="shared" si="145"/>
        <v>3.5952380952380949</v>
      </c>
    </row>
    <row r="866" spans="1:54" x14ac:dyDescent="0.3">
      <c r="A866" s="11">
        <v>44271</v>
      </c>
      <c r="B866">
        <v>0.56940509915014204</v>
      </c>
      <c r="C866">
        <v>3968.94</v>
      </c>
      <c r="D866">
        <v>136.86000000000001</v>
      </c>
      <c r="E866">
        <v>1731.7</v>
      </c>
      <c r="F866">
        <v>86.26</v>
      </c>
      <c r="G866">
        <v>55.8</v>
      </c>
      <c r="H866" s="12">
        <f t="shared" si="140"/>
        <v>107.12159544941538</v>
      </c>
      <c r="I866" s="12">
        <f t="shared" si="141"/>
        <v>89.916462134488356</v>
      </c>
      <c r="J866" s="12">
        <f t="shared" si="142"/>
        <v>132.12498110650557</v>
      </c>
      <c r="K866" s="12">
        <f t="shared" si="143"/>
        <v>114.26975425995853</v>
      </c>
      <c r="P866" s="12"/>
      <c r="Q866" s="12"/>
      <c r="R866" s="12"/>
      <c r="S866" s="12"/>
      <c r="V866">
        <v>0.57640750670241303</v>
      </c>
      <c r="W866" s="12"/>
      <c r="X866" s="12"/>
      <c r="Y866" t="str">
        <v>20080229</v>
      </c>
      <c r="Z866">
        <v>41.9</v>
      </c>
      <c r="AA866">
        <v>36.6</v>
      </c>
      <c r="AB866">
        <f t="shared" si="144"/>
        <v>1.1448087431693987</v>
      </c>
      <c r="AY866" t="str">
        <v>28/04/2021</v>
      </c>
      <c r="AZ866">
        <v>60.4</v>
      </c>
      <c r="BA866">
        <v>16.8</v>
      </c>
      <c r="BB866">
        <f t="shared" si="145"/>
        <v>3.5952380952380949</v>
      </c>
    </row>
    <row r="867" spans="1:54" x14ac:dyDescent="0.3">
      <c r="A867" s="11">
        <v>44268</v>
      </c>
      <c r="B867">
        <v>0.57549857549857597</v>
      </c>
      <c r="C867">
        <v>3943.34</v>
      </c>
      <c r="D867">
        <v>136.06</v>
      </c>
      <c r="E867">
        <v>1727.36</v>
      </c>
      <c r="F867">
        <v>86.25</v>
      </c>
      <c r="G867">
        <v>55.73</v>
      </c>
      <c r="H867" s="12">
        <f t="shared" si="140"/>
        <v>107.05605576808861</v>
      </c>
      <c r="I867" s="12">
        <f t="shared" si="141"/>
        <v>89.56006199094972</v>
      </c>
      <c r="J867" s="12">
        <f t="shared" si="142"/>
        <v>131.28788736196861</v>
      </c>
      <c r="K867" s="12">
        <f t="shared" si="143"/>
        <v>113.67456530686104</v>
      </c>
      <c r="P867" s="12"/>
      <c r="Q867" s="12"/>
      <c r="R867" s="12"/>
      <c r="S867" s="12"/>
      <c r="V867">
        <v>0.58673811118553298</v>
      </c>
      <c r="W867" s="12"/>
      <c r="X867" s="12"/>
      <c r="Y867" t="str">
        <v>20080222</v>
      </c>
      <c r="Z867">
        <v>42</v>
      </c>
      <c r="AA867">
        <v>36.4</v>
      </c>
      <c r="AB867">
        <f t="shared" si="144"/>
        <v>1.153846153846154</v>
      </c>
      <c r="AY867" t="str">
        <v>27/04/2021</v>
      </c>
      <c r="AZ867">
        <v>60.4</v>
      </c>
      <c r="BA867">
        <v>16.8</v>
      </c>
      <c r="BB867">
        <f t="shared" si="145"/>
        <v>3.5952380952380949</v>
      </c>
    </row>
    <row r="868" spans="1:54" x14ac:dyDescent="0.3">
      <c r="A868" s="11">
        <v>44267</v>
      </c>
      <c r="B868">
        <v>0.57650273224043702</v>
      </c>
      <c r="C868">
        <v>3939.34</v>
      </c>
      <c r="D868">
        <v>139.01</v>
      </c>
      <c r="E868">
        <v>1722.7</v>
      </c>
      <c r="F868">
        <v>86.26</v>
      </c>
      <c r="G868">
        <v>55.94</v>
      </c>
      <c r="H868" s="12">
        <f t="shared" si="140"/>
        <v>104.72724713997771</v>
      </c>
      <c r="I868" s="12">
        <f t="shared" si="141"/>
        <v>89.711643942812145</v>
      </c>
      <c r="J868" s="12">
        <f t="shared" si="142"/>
        <v>131.13952566185077</v>
      </c>
      <c r="K868" s="12">
        <f t="shared" si="143"/>
        <v>113.13497700730949</v>
      </c>
      <c r="P868" s="12"/>
      <c r="Q868" s="12"/>
      <c r="R868" s="12"/>
      <c r="S868" s="12"/>
      <c r="V868">
        <v>0.57908669755129005</v>
      </c>
      <c r="W868" s="12"/>
      <c r="X868" s="12"/>
      <c r="Y868" t="str">
        <v>20080215</v>
      </c>
      <c r="Z868">
        <v>41.6</v>
      </c>
      <c r="AA868">
        <v>33.700000000000003</v>
      </c>
      <c r="AB868">
        <f t="shared" si="144"/>
        <v>1.2344213649851632</v>
      </c>
      <c r="AY868" t="str">
        <v>26/04/2021</v>
      </c>
      <c r="AZ868">
        <v>60.4</v>
      </c>
      <c r="BA868">
        <v>16.8</v>
      </c>
      <c r="BB868">
        <f t="shared" si="145"/>
        <v>3.5952380952380949</v>
      </c>
    </row>
    <row r="869" spans="1:54" x14ac:dyDescent="0.3">
      <c r="A869" s="11">
        <v>44266</v>
      </c>
      <c r="B869">
        <v>0.57640750670241303</v>
      </c>
      <c r="C869">
        <v>3898.81</v>
      </c>
      <c r="D869">
        <v>140.02000000000001</v>
      </c>
      <c r="E869">
        <v>1726.7264</v>
      </c>
      <c r="F869">
        <v>86.26</v>
      </c>
      <c r="G869">
        <v>55.16</v>
      </c>
      <c r="H869" s="12">
        <f t="shared" si="140"/>
        <v>102.91504342356262</v>
      </c>
      <c r="I869" s="12">
        <f t="shared" si="141"/>
        <v>88.58420697414779</v>
      </c>
      <c r="J869" s="12">
        <f t="shared" si="142"/>
        <v>129.79029330945804</v>
      </c>
      <c r="K869" s="12">
        <f t="shared" si="143"/>
        <v>113.56028320789727</v>
      </c>
      <c r="P869" s="12"/>
      <c r="Q869" s="12"/>
      <c r="R869" s="12"/>
      <c r="S869" s="12"/>
      <c r="V869">
        <v>0.58211920529801298</v>
      </c>
      <c r="W869" s="12"/>
      <c r="X869" s="12"/>
      <c r="Y869" t="str">
        <v>20080208</v>
      </c>
      <c r="Z869">
        <v>36.700000000000003</v>
      </c>
      <c r="AA869">
        <v>35.6</v>
      </c>
      <c r="AB869">
        <f t="shared" si="144"/>
        <v>1.0308988764044944</v>
      </c>
      <c r="AY869" t="str">
        <v>23/04/2021</v>
      </c>
      <c r="AZ869">
        <v>59.2</v>
      </c>
      <c r="BA869">
        <v>16.5</v>
      </c>
      <c r="BB869">
        <f t="shared" si="145"/>
        <v>3.5878787878787879</v>
      </c>
    </row>
    <row r="870" spans="1:54" x14ac:dyDescent="0.3">
      <c r="A870" s="11">
        <v>44265</v>
      </c>
      <c r="B870">
        <v>0.57142857142857095</v>
      </c>
      <c r="C870">
        <v>3875.44</v>
      </c>
      <c r="D870">
        <v>139.74</v>
      </c>
      <c r="E870">
        <v>1716.0550000000001</v>
      </c>
      <c r="F870">
        <v>86.23</v>
      </c>
      <c r="G870">
        <v>55.03</v>
      </c>
      <c r="H870" s="12">
        <f t="shared" si="140"/>
        <v>102.50231152985171</v>
      </c>
      <c r="I870" s="12">
        <f t="shared" si="141"/>
        <v>88.600888948228601</v>
      </c>
      <c r="J870" s="12">
        <f t="shared" si="142"/>
        <v>129.05694320025634</v>
      </c>
      <c r="K870" s="12">
        <f t="shared" si="143"/>
        <v>113.14527367555898</v>
      </c>
      <c r="P870" s="12"/>
      <c r="Q870" s="12"/>
      <c r="R870" s="12"/>
      <c r="S870" s="12"/>
      <c r="V870">
        <v>0.58772515010006698</v>
      </c>
      <c r="W870" s="12"/>
      <c r="X870" s="12"/>
      <c r="Y870" t="str">
        <v>20080201</v>
      </c>
      <c r="Z870">
        <v>41.6</v>
      </c>
      <c r="AA870">
        <v>32.6</v>
      </c>
      <c r="AB870">
        <f t="shared" si="144"/>
        <v>1.2760736196319018</v>
      </c>
      <c r="AY870" t="str">
        <v>22/04/2021</v>
      </c>
      <c r="AZ870">
        <v>59.2</v>
      </c>
      <c r="BA870">
        <v>16.5</v>
      </c>
      <c r="BB870">
        <f t="shared" si="145"/>
        <v>3.5878787878787879</v>
      </c>
    </row>
    <row r="871" spans="1:54" x14ac:dyDescent="0.3">
      <c r="A871" s="11">
        <v>44264</v>
      </c>
      <c r="B871">
        <v>0.57480314960629897</v>
      </c>
      <c r="C871">
        <v>3821.35</v>
      </c>
      <c r="D871">
        <v>137.83000000000001</v>
      </c>
      <c r="E871">
        <v>1684.55</v>
      </c>
      <c r="F871">
        <v>86.23</v>
      </c>
      <c r="G871">
        <v>54.17</v>
      </c>
      <c r="H871" s="12">
        <f t="shared" si="140"/>
        <v>102.47187401962017</v>
      </c>
      <c r="I871" s="12">
        <f t="shared" si="141"/>
        <v>89.005654668892177</v>
      </c>
      <c r="J871" s="12">
        <f t="shared" si="142"/>
        <v>127.25567932887608</v>
      </c>
      <c r="K871" s="12">
        <f t="shared" si="143"/>
        <v>113.3403621954328</v>
      </c>
      <c r="P871" s="12"/>
      <c r="Q871" s="12"/>
      <c r="R871" s="12"/>
      <c r="S871" s="12"/>
      <c r="V871">
        <v>0.588666666666667</v>
      </c>
      <c r="W871" s="12"/>
      <c r="X871" s="12"/>
      <c r="Y871" t="str">
        <v>20080125</v>
      </c>
      <c r="Z871">
        <v>40.200000000000003</v>
      </c>
      <c r="AA871">
        <v>32.200000000000003</v>
      </c>
      <c r="AB871">
        <f t="shared" si="144"/>
        <v>1.2484472049689441</v>
      </c>
      <c r="AY871" t="str">
        <v>21/04/2021</v>
      </c>
      <c r="AZ871">
        <v>59.2</v>
      </c>
      <c r="BA871">
        <v>16.5</v>
      </c>
      <c r="BB871">
        <f t="shared" si="145"/>
        <v>3.5878787878787879</v>
      </c>
    </row>
    <row r="872" spans="1:54" x14ac:dyDescent="0.3">
      <c r="A872" s="11">
        <v>44261</v>
      </c>
      <c r="B872">
        <v>0.59383033419023101</v>
      </c>
      <c r="C872">
        <v>3841.94</v>
      </c>
      <c r="D872">
        <v>138.91</v>
      </c>
      <c r="E872">
        <v>1700.8</v>
      </c>
      <c r="F872">
        <v>86.26</v>
      </c>
      <c r="G872">
        <v>54.77</v>
      </c>
      <c r="H872" s="12">
        <f t="shared" si="140"/>
        <v>102.22494490054454</v>
      </c>
      <c r="I872" s="12">
        <f t="shared" si="141"/>
        <v>88.633830806669053</v>
      </c>
      <c r="J872" s="12">
        <f t="shared" si="142"/>
        <v>127.89663148835618</v>
      </c>
      <c r="K872" s="12">
        <f t="shared" si="143"/>
        <v>112.70968044724449</v>
      </c>
      <c r="P872" s="12"/>
      <c r="Q872" s="12"/>
      <c r="R872" s="12"/>
      <c r="S872" s="12"/>
      <c r="V872">
        <v>0.58586525759577301</v>
      </c>
      <c r="W872" s="12"/>
      <c r="X872" s="12"/>
      <c r="Y872" t="str">
        <v>20080118</v>
      </c>
      <c r="Z872">
        <v>41.6</v>
      </c>
      <c r="AA872">
        <v>31.5</v>
      </c>
      <c r="AB872">
        <f t="shared" si="144"/>
        <v>1.3206349206349206</v>
      </c>
      <c r="AY872" t="str">
        <v>20/04/2021</v>
      </c>
      <c r="AZ872">
        <v>59.2</v>
      </c>
      <c r="BA872">
        <v>16.5</v>
      </c>
      <c r="BB872">
        <f t="shared" si="145"/>
        <v>3.5878787878787879</v>
      </c>
    </row>
    <row r="873" spans="1:54" x14ac:dyDescent="0.3">
      <c r="A873" s="11">
        <v>44260</v>
      </c>
      <c r="B873">
        <v>0.60353535353535304</v>
      </c>
      <c r="C873">
        <v>3768.47</v>
      </c>
      <c r="D873">
        <v>138.63999999999999</v>
      </c>
      <c r="E873">
        <v>1698.39</v>
      </c>
      <c r="F873">
        <v>86.26</v>
      </c>
      <c r="G873">
        <v>54.27</v>
      </c>
      <c r="H873" s="12">
        <f t="shared" si="140"/>
        <v>100.46198909948555</v>
      </c>
      <c r="I873" s="12">
        <f t="shared" si="141"/>
        <v>87.060047640622557</v>
      </c>
      <c r="J873" s="12">
        <f t="shared" si="142"/>
        <v>125.45084485049885</v>
      </c>
      <c r="K873" s="12">
        <f t="shared" si="143"/>
        <v>111.5625074449509</v>
      </c>
      <c r="P873" s="12"/>
      <c r="Q873" s="12"/>
      <c r="R873" s="12"/>
      <c r="S873" s="12"/>
      <c r="V873">
        <v>0.58546168958742595</v>
      </c>
      <c r="W873" s="12"/>
      <c r="X873" s="12"/>
      <c r="Y873" t="str">
        <v>20080111</v>
      </c>
      <c r="Z873">
        <v>45.6</v>
      </c>
      <c r="AA873">
        <v>26.7</v>
      </c>
      <c r="AB873">
        <f t="shared" si="144"/>
        <v>1.707865168539326</v>
      </c>
      <c r="AY873" t="str">
        <v>19/04/2021</v>
      </c>
      <c r="AZ873">
        <v>59.2</v>
      </c>
      <c r="BA873">
        <v>16.5</v>
      </c>
      <c r="BB873">
        <f t="shared" si="145"/>
        <v>3.5878787878787879</v>
      </c>
    </row>
    <row r="874" spans="1:54" x14ac:dyDescent="0.3">
      <c r="A874" s="11">
        <v>44259</v>
      </c>
      <c r="B874">
        <v>0.59250000000000003</v>
      </c>
      <c r="C874">
        <v>3819.72</v>
      </c>
      <c r="D874">
        <v>139.54</v>
      </c>
      <c r="E874">
        <v>1710.3</v>
      </c>
      <c r="F874">
        <v>86.26</v>
      </c>
      <c r="G874">
        <v>55.08</v>
      </c>
      <c r="H874" s="12">
        <f t="shared" si="140"/>
        <v>101.16686419967726</v>
      </c>
      <c r="I874" s="12">
        <f t="shared" si="141"/>
        <v>87.625541107152756</v>
      </c>
      <c r="J874" s="12">
        <f t="shared" si="142"/>
        <v>127.15693665926689</v>
      </c>
      <c r="K874" s="12">
        <f t="shared" si="143"/>
        <v>111.41892538263745</v>
      </c>
      <c r="P874" s="12"/>
      <c r="Q874" s="12"/>
      <c r="R874" s="12"/>
      <c r="S874" s="12"/>
      <c r="V874">
        <v>0.59138381201044399</v>
      </c>
      <c r="W874" s="12"/>
      <c r="X874" s="12"/>
      <c r="Y874" t="str">
        <v>20080104</v>
      </c>
      <c r="Z874">
        <v>48.4</v>
      </c>
      <c r="AA874">
        <v>25.8</v>
      </c>
      <c r="AB874">
        <f t="shared" si="144"/>
        <v>1.875968992248062</v>
      </c>
      <c r="AY874" t="str">
        <v>16/04/2021</v>
      </c>
      <c r="AZ874">
        <v>63.7</v>
      </c>
      <c r="BA874">
        <v>16.7</v>
      </c>
      <c r="BB874">
        <f t="shared" si="145"/>
        <v>3.8143712574850301</v>
      </c>
    </row>
    <row r="875" spans="1:54" x14ac:dyDescent="0.3">
      <c r="A875" s="11">
        <v>44258</v>
      </c>
      <c r="B875">
        <v>0.59950859950859903</v>
      </c>
      <c r="C875">
        <v>3870.29</v>
      </c>
      <c r="D875">
        <v>141.07</v>
      </c>
      <c r="E875">
        <v>1738.2</v>
      </c>
      <c r="F875">
        <v>86.31</v>
      </c>
      <c r="G875">
        <v>55.31</v>
      </c>
      <c r="H875" s="12">
        <f t="shared" si="140"/>
        <v>101.39200767650773</v>
      </c>
      <c r="I875" s="12">
        <f t="shared" si="141"/>
        <v>87.364767498681687</v>
      </c>
      <c r="J875" s="12">
        <f t="shared" si="142"/>
        <v>128.76480959875468</v>
      </c>
      <c r="K875" s="12">
        <f t="shared" si="143"/>
        <v>112.420346073373</v>
      </c>
      <c r="P875" s="12"/>
      <c r="Q875" s="12"/>
      <c r="R875" s="12"/>
      <c r="S875" s="12"/>
      <c r="V875">
        <v>0.58831168831168801</v>
      </c>
      <c r="W875" s="12"/>
      <c r="X875" s="12"/>
      <c r="Y875" t="str">
        <v>20071228</v>
      </c>
      <c r="Z875">
        <v>52.2</v>
      </c>
      <c r="AA875">
        <v>24.5</v>
      </c>
      <c r="AB875">
        <f t="shared" si="144"/>
        <v>2.1306122448979594</v>
      </c>
      <c r="AY875" t="str">
        <v>15/04/2021</v>
      </c>
      <c r="AZ875">
        <v>63.7</v>
      </c>
      <c r="BA875">
        <v>16.7</v>
      </c>
      <c r="BB875">
        <f t="shared" si="145"/>
        <v>3.8143712574850301</v>
      </c>
    </row>
    <row r="876" spans="1:54" x14ac:dyDescent="0.3">
      <c r="A876" s="11">
        <v>44257</v>
      </c>
      <c r="B876">
        <v>0.60859188544152698</v>
      </c>
      <c r="C876">
        <v>3901.82</v>
      </c>
      <c r="D876">
        <v>141.06</v>
      </c>
      <c r="E876">
        <v>1724.7</v>
      </c>
      <c r="F876">
        <v>86.29</v>
      </c>
      <c r="G876">
        <v>55.47</v>
      </c>
      <c r="H876" s="12">
        <f t="shared" si="140"/>
        <v>102.22532152471204</v>
      </c>
      <c r="I876" s="12">
        <f t="shared" si="141"/>
        <v>88.777058926097155</v>
      </c>
      <c r="J876" s="12">
        <f t="shared" si="142"/>
        <v>129.84415483283388</v>
      </c>
      <c r="K876" s="12">
        <f t="shared" si="143"/>
        <v>113.00757891446169</v>
      </c>
      <c r="P876" s="12"/>
      <c r="Q876" s="12"/>
      <c r="R876" s="12"/>
      <c r="S876" s="12"/>
      <c r="V876">
        <v>0.59126466753585405</v>
      </c>
      <c r="W876" s="12"/>
      <c r="X876" s="12"/>
      <c r="Y876" t="str">
        <v>20071221</v>
      </c>
      <c r="Z876">
        <v>54.9</v>
      </c>
      <c r="AA876">
        <v>23.1</v>
      </c>
      <c r="AB876">
        <f t="shared" si="144"/>
        <v>2.3766233766233764</v>
      </c>
      <c r="AY876" t="str">
        <v>14/04/2021</v>
      </c>
      <c r="AZ876">
        <v>63.7</v>
      </c>
      <c r="BA876">
        <v>16.7</v>
      </c>
      <c r="BB876">
        <f t="shared" si="145"/>
        <v>3.8143712574850301</v>
      </c>
    </row>
    <row r="877" spans="1:54" x14ac:dyDescent="0.3">
      <c r="A877" s="11">
        <v>44254</v>
      </c>
      <c r="B877">
        <v>0.79326923076923095</v>
      </c>
      <c r="C877">
        <v>3811.15</v>
      </c>
      <c r="D877">
        <v>143.12</v>
      </c>
      <c r="E877">
        <v>1733.9</v>
      </c>
      <c r="F877">
        <v>86.32</v>
      </c>
      <c r="G877">
        <v>54.24</v>
      </c>
      <c r="H877" s="12">
        <f t="shared" si="140"/>
        <v>98.465492012008113</v>
      </c>
      <c r="I877" s="12">
        <f t="shared" si="141"/>
        <v>86.266976572620194</v>
      </c>
      <c r="J877" s="12">
        <f t="shared" si="142"/>
        <v>126.78381374696075</v>
      </c>
      <c r="K877" s="12">
        <f t="shared" si="143"/>
        <v>112.88185920614856</v>
      </c>
      <c r="P877" s="12"/>
      <c r="Q877" s="12"/>
      <c r="R877" s="12"/>
      <c r="S877" s="12"/>
      <c r="V877">
        <v>0.58634274458306002</v>
      </c>
      <c r="W877" s="12"/>
      <c r="X877" s="12"/>
      <c r="Y877" t="str">
        <v>20071214</v>
      </c>
      <c r="Z877">
        <v>56.5</v>
      </c>
      <c r="AA877">
        <v>22.4</v>
      </c>
      <c r="AB877">
        <f t="shared" si="144"/>
        <v>2.5223214285714288</v>
      </c>
      <c r="AY877" t="str">
        <v>13/04/2021</v>
      </c>
      <c r="AZ877">
        <v>63.7</v>
      </c>
      <c r="BA877">
        <v>16.7</v>
      </c>
      <c r="BB877">
        <f t="shared" si="145"/>
        <v>3.8143712574850301</v>
      </c>
    </row>
    <row r="878" spans="1:54" x14ac:dyDescent="0.3">
      <c r="A878" s="11">
        <v>44253</v>
      </c>
      <c r="B878">
        <v>0.79294117647058804</v>
      </c>
      <c r="C878">
        <v>3829.34</v>
      </c>
      <c r="D878">
        <v>138.54</v>
      </c>
      <c r="E878">
        <v>1769.9</v>
      </c>
      <c r="F878">
        <v>86.21</v>
      </c>
      <c r="G878">
        <v>55.13</v>
      </c>
      <c r="H878" s="12">
        <f t="shared" si="140"/>
        <v>102.33468564666882</v>
      </c>
      <c r="I878" s="12">
        <f t="shared" si="141"/>
        <v>84.942722385893944</v>
      </c>
      <c r="J878" s="12">
        <f t="shared" si="142"/>
        <v>127.55246016424817</v>
      </c>
      <c r="K878" s="12">
        <f t="shared" si="143"/>
        <v>111.61022866695954</v>
      </c>
      <c r="P878" s="12"/>
      <c r="Q878" s="12"/>
      <c r="R878" s="12"/>
      <c r="S878" s="12"/>
      <c r="V878">
        <v>0.57591623036649198</v>
      </c>
      <c r="W878" s="12"/>
      <c r="X878" s="12"/>
      <c r="Y878" t="str">
        <v>20071207</v>
      </c>
      <c r="Z878">
        <v>53.3</v>
      </c>
      <c r="AA878">
        <v>25.6</v>
      </c>
      <c r="AB878">
        <f t="shared" si="144"/>
        <v>2.0820312499999996</v>
      </c>
      <c r="AY878" t="str">
        <v>12/04/2021</v>
      </c>
      <c r="AZ878">
        <v>63.7</v>
      </c>
      <c r="BA878">
        <v>16.7</v>
      </c>
      <c r="BB878">
        <f t="shared" si="145"/>
        <v>3.8143712574850301</v>
      </c>
    </row>
    <row r="879" spans="1:54" x14ac:dyDescent="0.3">
      <c r="A879" s="11">
        <v>44252</v>
      </c>
      <c r="B879">
        <v>0.78934624697336597</v>
      </c>
      <c r="C879">
        <v>3925.43</v>
      </c>
      <c r="D879">
        <v>140.84</v>
      </c>
      <c r="E879">
        <v>1805</v>
      </c>
      <c r="F879">
        <v>86.334999999999994</v>
      </c>
      <c r="G879">
        <v>56.17</v>
      </c>
      <c r="H879" s="12">
        <f t="shared" si="140"/>
        <v>103.17538540964169</v>
      </c>
      <c r="I879" s="12">
        <f t="shared" si="141"/>
        <v>85.372389973338514</v>
      </c>
      <c r="J879" s="12">
        <f t="shared" si="142"/>
        <v>130.55937287280446</v>
      </c>
      <c r="K879" s="12">
        <f t="shared" si="143"/>
        <v>112.27982345773995</v>
      </c>
      <c r="P879" s="12"/>
      <c r="Q879" s="12"/>
      <c r="R879" s="12"/>
      <c r="S879" s="12"/>
      <c r="V879">
        <v>0.57237276933245196</v>
      </c>
      <c r="W879" s="12"/>
      <c r="X879" s="12"/>
      <c r="Y879" t="str">
        <v>20071130</v>
      </c>
      <c r="Z879">
        <v>49.4</v>
      </c>
      <c r="AA879">
        <v>27.6</v>
      </c>
      <c r="AB879">
        <f t="shared" si="144"/>
        <v>1.7898550724637681</v>
      </c>
      <c r="AY879" t="str">
        <v>09/04/2021</v>
      </c>
      <c r="AZ879">
        <v>63.4</v>
      </c>
      <c r="BA879">
        <v>16.8</v>
      </c>
      <c r="BB879">
        <f t="shared" si="145"/>
        <v>3.7738095238095237</v>
      </c>
    </row>
    <row r="880" spans="1:54" x14ac:dyDescent="0.3">
      <c r="A880" s="11">
        <v>44251</v>
      </c>
      <c r="B880">
        <v>0.794044665012407</v>
      </c>
      <c r="C880">
        <v>3881.37</v>
      </c>
      <c r="D880">
        <v>141.77000000000001</v>
      </c>
      <c r="E880">
        <v>1805.45</v>
      </c>
      <c r="F880">
        <v>86.36</v>
      </c>
      <c r="G880">
        <v>56.13</v>
      </c>
      <c r="H880" s="12">
        <f t="shared" si="140"/>
        <v>101.35986969956922</v>
      </c>
      <c r="I880" s="12">
        <f t="shared" si="141"/>
        <v>84.393350540885777</v>
      </c>
      <c r="J880" s="12">
        <f t="shared" si="142"/>
        <v>129.05700124841755</v>
      </c>
      <c r="K880" s="12">
        <f t="shared" si="143"/>
        <v>111.09785004025778</v>
      </c>
      <c r="P880" s="12"/>
      <c r="Q880" s="12"/>
      <c r="R880" s="12"/>
      <c r="S880" s="12"/>
      <c r="V880">
        <v>0.567676767676768</v>
      </c>
      <c r="W880" s="12"/>
      <c r="X880" s="12"/>
      <c r="Y880" t="str">
        <v>20071123</v>
      </c>
      <c r="Z880">
        <v>47.3</v>
      </c>
      <c r="AA880">
        <v>29</v>
      </c>
      <c r="AB880">
        <f t="shared" si="144"/>
        <v>1.6310344827586205</v>
      </c>
      <c r="AY880" t="str">
        <v>08/04/2021</v>
      </c>
      <c r="AZ880">
        <v>63.4</v>
      </c>
      <c r="BA880">
        <v>16.8</v>
      </c>
      <c r="BB880">
        <f t="shared" si="145"/>
        <v>3.7738095238095237</v>
      </c>
    </row>
    <row r="881" spans="1:54" x14ac:dyDescent="0.3">
      <c r="A881" s="11">
        <v>44250</v>
      </c>
      <c r="B881">
        <v>0.78461538461538505</v>
      </c>
      <c r="C881">
        <v>3876.5</v>
      </c>
      <c r="D881">
        <v>142.18</v>
      </c>
      <c r="E881">
        <v>1809.4</v>
      </c>
      <c r="F881">
        <v>86.35</v>
      </c>
      <c r="G881">
        <v>56.02</v>
      </c>
      <c r="H881" s="12">
        <f t="shared" si="140"/>
        <v>100.94197431911782</v>
      </c>
      <c r="I881" s="12">
        <f t="shared" si="141"/>
        <v>84.104088658141436</v>
      </c>
      <c r="J881" s="12">
        <f t="shared" si="142"/>
        <v>128.90998197548814</v>
      </c>
      <c r="K881" s="12">
        <f t="shared" si="143"/>
        <v>111.17648478389421</v>
      </c>
      <c r="P881" s="12"/>
      <c r="Q881" s="12"/>
      <c r="R881" s="12"/>
      <c r="S881" s="12"/>
      <c r="V881">
        <v>0.56203389830508499</v>
      </c>
      <c r="W881" s="12"/>
      <c r="X881" s="12"/>
      <c r="Y881" t="str">
        <v>20071116</v>
      </c>
      <c r="Z881">
        <v>47.9</v>
      </c>
      <c r="AA881">
        <v>26.6</v>
      </c>
      <c r="AB881">
        <f t="shared" si="144"/>
        <v>1.8007518796992479</v>
      </c>
      <c r="AY881" t="str">
        <v>07/04/2021</v>
      </c>
      <c r="AZ881">
        <v>63.4</v>
      </c>
      <c r="BA881">
        <v>16.8</v>
      </c>
      <c r="BB881">
        <f t="shared" si="145"/>
        <v>3.7738095238095237</v>
      </c>
    </row>
    <row r="882" spans="1:54" x14ac:dyDescent="0.3">
      <c r="A882" s="11">
        <v>44247</v>
      </c>
      <c r="B882">
        <v>0.77830188679245305</v>
      </c>
      <c r="C882">
        <v>3906.71</v>
      </c>
      <c r="D882">
        <v>143.27000000000001</v>
      </c>
      <c r="E882">
        <v>1784.05</v>
      </c>
      <c r="F882">
        <v>86.37</v>
      </c>
      <c r="G882">
        <v>56.64</v>
      </c>
      <c r="H882" s="12">
        <f t="shared" si="140"/>
        <v>100.95457713889923</v>
      </c>
      <c r="I882" s="12">
        <f t="shared" si="141"/>
        <v>85.990909131358364</v>
      </c>
      <c r="J882" s="12">
        <f t="shared" si="142"/>
        <v>129.8842813106474</v>
      </c>
      <c r="K882" s="12">
        <f t="shared" si="143"/>
        <v>110.82036594230185</v>
      </c>
      <c r="P882" s="12"/>
      <c r="Q882" s="12"/>
      <c r="R882" s="12"/>
      <c r="S882" s="12"/>
      <c r="V882">
        <v>0.56701708278580798</v>
      </c>
      <c r="W882" s="12"/>
      <c r="X882" s="12"/>
      <c r="Y882" t="str">
        <v>20071109</v>
      </c>
      <c r="Z882">
        <v>51.1</v>
      </c>
      <c r="AA882">
        <v>26.7</v>
      </c>
      <c r="AB882">
        <f t="shared" si="144"/>
        <v>1.9138576779026217</v>
      </c>
      <c r="AY882" t="str">
        <v>06/04/2021</v>
      </c>
      <c r="AZ882">
        <v>63.4</v>
      </c>
      <c r="BA882">
        <v>16.8</v>
      </c>
      <c r="BB882">
        <f t="shared" si="145"/>
        <v>3.7738095238095237</v>
      </c>
    </row>
    <row r="883" spans="1:54" x14ac:dyDescent="0.3">
      <c r="A883" s="11">
        <v>44246</v>
      </c>
      <c r="B883">
        <v>0.77358490566037696</v>
      </c>
      <c r="C883">
        <v>3913.97</v>
      </c>
      <c r="D883">
        <v>145.19999999999999</v>
      </c>
      <c r="E883">
        <v>1775.7</v>
      </c>
      <c r="F883">
        <v>86.36</v>
      </c>
      <c r="G883">
        <v>56.36</v>
      </c>
      <c r="H883" s="12">
        <f t="shared" si="140"/>
        <v>99.813004143994931</v>
      </c>
      <c r="I883" s="12">
        <f t="shared" si="141"/>
        <v>86.558496131228097</v>
      </c>
      <c r="J883" s="12">
        <f t="shared" si="142"/>
        <v>130.14074818450536</v>
      </c>
      <c r="K883" s="12">
        <f t="shared" si="143"/>
        <v>111.58168292125376</v>
      </c>
      <c r="P883" s="12"/>
      <c r="Q883" s="12"/>
      <c r="R883" s="12"/>
      <c r="S883" s="12"/>
      <c r="V883">
        <v>0.56804733727810697</v>
      </c>
      <c r="W883" s="12"/>
      <c r="X883" s="12"/>
      <c r="Y883" t="str">
        <v>20071102</v>
      </c>
      <c r="Z883">
        <v>54.5</v>
      </c>
      <c r="AA883">
        <v>22.2</v>
      </c>
      <c r="AB883">
        <f t="shared" si="144"/>
        <v>2.454954954954955</v>
      </c>
      <c r="AY883" t="str">
        <v>05/04/2021</v>
      </c>
      <c r="AZ883">
        <v>63.4</v>
      </c>
      <c r="BA883">
        <v>16.8</v>
      </c>
      <c r="BB883">
        <f t="shared" si="145"/>
        <v>3.7738095238095237</v>
      </c>
    </row>
    <row r="884" spans="1:54" x14ac:dyDescent="0.3">
      <c r="A884" s="11">
        <v>44245</v>
      </c>
      <c r="B884">
        <v>0.78313253012048201</v>
      </c>
      <c r="C884">
        <v>3931.33</v>
      </c>
      <c r="D884">
        <v>145.79</v>
      </c>
      <c r="E884">
        <v>1776.325</v>
      </c>
      <c r="F884">
        <v>86.36</v>
      </c>
      <c r="G884">
        <v>56.82</v>
      </c>
      <c r="H884" s="12">
        <f t="shared" si="140"/>
        <v>99.849837909703353</v>
      </c>
      <c r="I884" s="12">
        <f t="shared" si="141"/>
        <v>86.911701668073349</v>
      </c>
      <c r="J884" s="12">
        <f t="shared" si="142"/>
        <v>130.71797370960724</v>
      </c>
      <c r="K884" s="12">
        <f t="shared" si="143"/>
        <v>111.1725753430545</v>
      </c>
      <c r="P884" s="12"/>
      <c r="Q884" s="12"/>
      <c r="R884" s="12"/>
      <c r="S884" s="12"/>
      <c r="V884">
        <v>0.56842105263157905</v>
      </c>
      <c r="W884" s="12"/>
      <c r="X884" s="12"/>
      <c r="Y884" t="str">
        <v>20071026</v>
      </c>
      <c r="Z884">
        <v>53.8</v>
      </c>
      <c r="AA884">
        <v>23.1</v>
      </c>
      <c r="AB884">
        <f t="shared" si="144"/>
        <v>2.3290043290043285</v>
      </c>
      <c r="AY884" t="str">
        <v>02/04/2021</v>
      </c>
      <c r="AZ884">
        <v>60.8</v>
      </c>
      <c r="BA884">
        <v>16.7</v>
      </c>
      <c r="BB884">
        <f t="shared" si="145"/>
        <v>3.6407185628742513</v>
      </c>
    </row>
    <row r="885" spans="1:54" x14ac:dyDescent="0.3">
      <c r="A885" s="11">
        <v>44244</v>
      </c>
      <c r="B885">
        <v>0.77995110024449898</v>
      </c>
      <c r="C885">
        <v>3932.59</v>
      </c>
      <c r="D885">
        <v>144.87</v>
      </c>
      <c r="E885">
        <v>1794.625</v>
      </c>
      <c r="F885">
        <v>86.34</v>
      </c>
      <c r="G885">
        <v>57</v>
      </c>
      <c r="H885" s="12">
        <f t="shared" si="140"/>
        <v>100.52040153608066</v>
      </c>
      <c r="I885" s="12">
        <f t="shared" si="141"/>
        <v>86.061694677587909</v>
      </c>
      <c r="J885" s="12">
        <f t="shared" si="142"/>
        <v>130.79017536355423</v>
      </c>
      <c r="K885" s="12">
        <f t="shared" si="143"/>
        <v>110.85801625364199</v>
      </c>
      <c r="P885" s="12"/>
      <c r="Q885" s="12"/>
      <c r="R885" s="12"/>
      <c r="S885" s="12"/>
      <c r="V885">
        <v>0.57313829787234005</v>
      </c>
      <c r="W885" s="12"/>
      <c r="X885" s="12"/>
      <c r="Y885" t="str">
        <v>20071019</v>
      </c>
      <c r="Z885">
        <v>56.5</v>
      </c>
      <c r="AA885">
        <v>22.9</v>
      </c>
      <c r="AB885">
        <f t="shared" si="144"/>
        <v>2.4672489082969435</v>
      </c>
      <c r="AY885" t="str">
        <v>01/04/2021</v>
      </c>
      <c r="AZ885">
        <v>60.8</v>
      </c>
      <c r="BA885">
        <v>16.7</v>
      </c>
      <c r="BB885">
        <f t="shared" si="145"/>
        <v>3.6407185628742513</v>
      </c>
    </row>
    <row r="886" spans="1:54" x14ac:dyDescent="0.3">
      <c r="A886" s="11">
        <v>44240</v>
      </c>
      <c r="B886">
        <v>0.780141843971631</v>
      </c>
      <c r="C886">
        <v>3934.83</v>
      </c>
      <c r="D886">
        <v>147.11000000000001</v>
      </c>
      <c r="E886">
        <v>1823.85</v>
      </c>
      <c r="F886">
        <v>86.37</v>
      </c>
      <c r="G886">
        <v>56.69</v>
      </c>
      <c r="H886" s="12">
        <f t="shared" si="140"/>
        <v>99.068315020257728</v>
      </c>
      <c r="I886" s="12">
        <f t="shared" si="141"/>
        <v>84.751894748455612</v>
      </c>
      <c r="J886" s="12">
        <f t="shared" si="142"/>
        <v>130.81920834310537</v>
      </c>
      <c r="K886" s="12">
        <f t="shared" si="143"/>
        <v>111.53139951157877</v>
      </c>
      <c r="P886" s="12"/>
      <c r="Q886" s="12"/>
      <c r="R886" s="12"/>
      <c r="S886" s="12"/>
      <c r="V886">
        <v>0.59156785243741805</v>
      </c>
      <c r="W886" s="12"/>
      <c r="X886" s="12"/>
      <c r="Y886" t="str">
        <v>20071012</v>
      </c>
      <c r="Z886">
        <v>62</v>
      </c>
      <c r="AA886">
        <v>19.600000000000001</v>
      </c>
      <c r="AB886">
        <f t="shared" si="144"/>
        <v>3.1632653061224487</v>
      </c>
      <c r="AY886" t="str">
        <v>31/03/2021</v>
      </c>
      <c r="AZ886">
        <v>60.8</v>
      </c>
      <c r="BA886">
        <v>16.7</v>
      </c>
      <c r="BB886">
        <f t="shared" si="145"/>
        <v>3.6407185628742513</v>
      </c>
    </row>
    <row r="887" spans="1:54" x14ac:dyDescent="0.3">
      <c r="A887" s="11">
        <v>44239</v>
      </c>
      <c r="B887">
        <v>0.77251184834123199</v>
      </c>
      <c r="C887">
        <v>3916.38</v>
      </c>
      <c r="D887">
        <v>148.96</v>
      </c>
      <c r="E887">
        <v>1825.4749999999999</v>
      </c>
      <c r="F887">
        <v>86.36</v>
      </c>
      <c r="G887">
        <v>56.45</v>
      </c>
      <c r="H887" s="12">
        <f t="shared" si="140"/>
        <v>97.399814839740529</v>
      </c>
      <c r="I887" s="12">
        <f t="shared" si="141"/>
        <v>84.279829737566772</v>
      </c>
      <c r="J887" s="12">
        <f t="shared" si="142"/>
        <v>130.22081909983569</v>
      </c>
      <c r="K887" s="12">
        <f t="shared" si="143"/>
        <v>111.48018183079461</v>
      </c>
      <c r="P887" s="12"/>
      <c r="Q887" s="12"/>
      <c r="R887" s="12"/>
      <c r="S887" s="12"/>
      <c r="V887">
        <v>0.58695652173913004</v>
      </c>
      <c r="W887" s="12"/>
      <c r="X887" s="12"/>
      <c r="Y887" t="str">
        <v>20071005</v>
      </c>
      <c r="Z887">
        <v>60.2</v>
      </c>
      <c r="AA887">
        <v>21.5</v>
      </c>
      <c r="AB887">
        <f t="shared" si="144"/>
        <v>2.8000000000000003</v>
      </c>
      <c r="AY887" t="str">
        <v>30/03/2021</v>
      </c>
      <c r="AZ887">
        <v>60.8</v>
      </c>
      <c r="BA887">
        <v>16.7</v>
      </c>
      <c r="BB887">
        <f t="shared" si="145"/>
        <v>3.6407185628742513</v>
      </c>
    </row>
    <row r="888" spans="1:54" x14ac:dyDescent="0.3">
      <c r="A888" s="11">
        <v>44238</v>
      </c>
      <c r="B888">
        <v>0.76283618581907098</v>
      </c>
      <c r="C888">
        <v>3909.88</v>
      </c>
      <c r="D888">
        <v>149.78</v>
      </c>
      <c r="E888">
        <v>1843.325</v>
      </c>
      <c r="F888">
        <v>86.36</v>
      </c>
      <c r="G888">
        <v>56.03</v>
      </c>
      <c r="H888" s="12">
        <f t="shared" si="140"/>
        <v>96.709583903889438</v>
      </c>
      <c r="I888" s="12">
        <f t="shared" si="141"/>
        <v>83.334314999948901</v>
      </c>
      <c r="J888" s="12">
        <f t="shared" si="142"/>
        <v>130.00469213459002</v>
      </c>
      <c r="K888" s="12">
        <f t="shared" si="143"/>
        <v>112.1343206625055</v>
      </c>
      <c r="P888" s="12"/>
      <c r="Q888" s="12"/>
      <c r="R888" s="12"/>
      <c r="S888" s="12"/>
      <c r="V888">
        <v>0.57977675640183801</v>
      </c>
      <c r="W888" s="12"/>
      <c r="X888" s="12"/>
      <c r="Y888" t="str">
        <v>20070928</v>
      </c>
      <c r="Z888">
        <v>56.5</v>
      </c>
      <c r="AA888">
        <v>25</v>
      </c>
      <c r="AB888">
        <f t="shared" si="144"/>
        <v>2.2599999999999998</v>
      </c>
      <c r="AY888" t="str">
        <v>29/03/2021</v>
      </c>
      <c r="AZ888">
        <v>60.8</v>
      </c>
      <c r="BA888">
        <v>16.7</v>
      </c>
      <c r="BB888">
        <f t="shared" si="145"/>
        <v>3.6407185628742513</v>
      </c>
    </row>
    <row r="889" spans="1:54" x14ac:dyDescent="0.3">
      <c r="A889" s="11">
        <v>44237</v>
      </c>
      <c r="B889">
        <v>0.74750000000000005</v>
      </c>
      <c r="C889">
        <v>3911.23</v>
      </c>
      <c r="D889">
        <v>148.79</v>
      </c>
      <c r="E889">
        <v>1838.85</v>
      </c>
      <c r="F889">
        <v>86.35</v>
      </c>
      <c r="G889">
        <v>56.06</v>
      </c>
      <c r="H889" s="12">
        <f t="shared" si="140"/>
        <v>97.391208701895451</v>
      </c>
      <c r="I889" s="12">
        <f t="shared" si="141"/>
        <v>83.566525161785947</v>
      </c>
      <c r="J889" s="12">
        <f t="shared" si="142"/>
        <v>130.06464773891722</v>
      </c>
      <c r="K889" s="12">
        <f t="shared" si="143"/>
        <v>112.11302132331296</v>
      </c>
      <c r="P889" s="12"/>
      <c r="Q889" s="12"/>
      <c r="R889" s="12"/>
      <c r="S889" s="12"/>
      <c r="V889">
        <v>0.57804232804232802</v>
      </c>
      <c r="W889" s="12"/>
      <c r="X889" s="12"/>
      <c r="Y889" t="str">
        <v>20070921</v>
      </c>
      <c r="Z889">
        <v>55.6</v>
      </c>
      <c r="AA889">
        <v>25.6</v>
      </c>
      <c r="AB889">
        <f t="shared" si="144"/>
        <v>2.171875</v>
      </c>
      <c r="AY889" t="str">
        <v>26/03/2021</v>
      </c>
      <c r="AZ889">
        <v>54.4</v>
      </c>
      <c r="BA889">
        <v>17.5</v>
      </c>
      <c r="BB889">
        <f t="shared" si="145"/>
        <v>3.1085714285714285</v>
      </c>
    </row>
    <row r="890" spans="1:54" x14ac:dyDescent="0.3">
      <c r="A890" s="11">
        <v>44236</v>
      </c>
      <c r="B890">
        <v>0.74747474747474796</v>
      </c>
      <c r="C890">
        <v>3915.59</v>
      </c>
      <c r="D890">
        <v>148.68</v>
      </c>
      <c r="E890">
        <v>1830.575</v>
      </c>
      <c r="F890">
        <v>86.37</v>
      </c>
      <c r="G890">
        <v>55.67</v>
      </c>
      <c r="H890" s="12">
        <f t="shared" si="140"/>
        <v>97.572043022657184</v>
      </c>
      <c r="I890" s="12">
        <f t="shared" si="141"/>
        <v>84.040001077879012</v>
      </c>
      <c r="J890" s="12">
        <f t="shared" si="142"/>
        <v>130.17945764974215</v>
      </c>
      <c r="K890" s="12">
        <f t="shared" si="143"/>
        <v>113.03072525429131</v>
      </c>
      <c r="P890" s="12"/>
      <c r="Q890" s="12"/>
      <c r="R890" s="12"/>
      <c r="S890" s="12"/>
      <c r="V890">
        <v>0.58073089700996705</v>
      </c>
      <c r="W890" s="12"/>
      <c r="X890" s="12"/>
      <c r="Y890" t="str">
        <v>20070914</v>
      </c>
      <c r="Z890">
        <v>53.9</v>
      </c>
      <c r="AA890">
        <v>27</v>
      </c>
      <c r="AB890">
        <f t="shared" si="144"/>
        <v>1.9962962962962962</v>
      </c>
      <c r="AY890" t="str">
        <v>25/03/2021</v>
      </c>
      <c r="AZ890">
        <v>54.4</v>
      </c>
      <c r="BA890">
        <v>17.5</v>
      </c>
      <c r="BB890">
        <f t="shared" si="145"/>
        <v>3.1085714285714285</v>
      </c>
    </row>
    <row r="891" spans="1:54" x14ac:dyDescent="0.3">
      <c r="A891" s="11">
        <v>44233</v>
      </c>
      <c r="B891">
        <v>0.74193548387096797</v>
      </c>
      <c r="C891">
        <v>3886.83</v>
      </c>
      <c r="D891">
        <v>148.03</v>
      </c>
      <c r="E891">
        <v>1811.95</v>
      </c>
      <c r="F891">
        <v>86.38</v>
      </c>
      <c r="G891">
        <v>55.34</v>
      </c>
      <c r="H891" s="12">
        <f t="shared" si="140"/>
        <v>97.279393127223528</v>
      </c>
      <c r="I891" s="12">
        <f t="shared" si="141"/>
        <v>84.282704521538136</v>
      </c>
      <c r="J891" s="12">
        <f t="shared" si="142"/>
        <v>129.20844154182441</v>
      </c>
      <c r="K891" s="12">
        <f t="shared" si="143"/>
        <v>112.8686223202576</v>
      </c>
      <c r="P891" s="12"/>
      <c r="Q891" s="12"/>
      <c r="R891" s="12"/>
      <c r="S891" s="12"/>
      <c r="V891">
        <v>0.56601307189542505</v>
      </c>
      <c r="W891" s="12"/>
      <c r="X891" s="12"/>
      <c r="Y891" t="str">
        <v>20070907</v>
      </c>
      <c r="Z891">
        <v>48.3</v>
      </c>
      <c r="AA891">
        <v>31</v>
      </c>
      <c r="AB891">
        <f t="shared" si="144"/>
        <v>1.5580645161290321</v>
      </c>
      <c r="AY891" t="str">
        <v>24/03/2021</v>
      </c>
      <c r="AZ891">
        <v>54.4</v>
      </c>
      <c r="BA891">
        <v>17.5</v>
      </c>
      <c r="BB891">
        <f t="shared" si="145"/>
        <v>3.1085714285714285</v>
      </c>
    </row>
    <row r="892" spans="1:54" x14ac:dyDescent="0.3">
      <c r="A892" s="11">
        <v>44232</v>
      </c>
      <c r="B892">
        <v>0.72519083969465603</v>
      </c>
      <c r="C892">
        <v>3871.74</v>
      </c>
      <c r="D892">
        <v>149.28</v>
      </c>
      <c r="E892">
        <v>1794</v>
      </c>
      <c r="F892">
        <v>86.36</v>
      </c>
      <c r="G892">
        <v>54.94</v>
      </c>
      <c r="H892" s="12">
        <f t="shared" si="140"/>
        <v>96.100148330678707</v>
      </c>
      <c r="I892" s="12">
        <f t="shared" si="141"/>
        <v>84.800675671220219</v>
      </c>
      <c r="J892" s="12">
        <f t="shared" si="142"/>
        <v>128.73650846666143</v>
      </c>
      <c r="K892" s="12">
        <f t="shared" si="143"/>
        <v>113.25177542873904</v>
      </c>
      <c r="P892" s="12"/>
      <c r="Q892" s="12"/>
      <c r="R892" s="12"/>
      <c r="S892" s="12"/>
      <c r="V892">
        <v>0.56274509803921602</v>
      </c>
      <c r="W892" s="12"/>
      <c r="X892" s="12"/>
      <c r="Y892" t="str">
        <v>20070831</v>
      </c>
      <c r="Z892">
        <v>42.9</v>
      </c>
      <c r="AA892">
        <v>37.4</v>
      </c>
      <c r="AB892">
        <f t="shared" si="144"/>
        <v>1.1470588235294117</v>
      </c>
      <c r="AY892" t="str">
        <v>23/03/2021</v>
      </c>
      <c r="AZ892">
        <v>54.4</v>
      </c>
      <c r="BA892">
        <v>17.5</v>
      </c>
      <c r="BB892">
        <f t="shared" si="145"/>
        <v>3.1085714285714285</v>
      </c>
    </row>
    <row r="893" spans="1:54" x14ac:dyDescent="0.3">
      <c r="A893" s="11">
        <v>44231</v>
      </c>
      <c r="B893">
        <v>0.72987012987013</v>
      </c>
      <c r="C893">
        <v>3830.17</v>
      </c>
      <c r="D893">
        <v>149.68</v>
      </c>
      <c r="E893">
        <v>1834.05</v>
      </c>
      <c r="F893">
        <v>86.36</v>
      </c>
      <c r="G893">
        <v>54.92</v>
      </c>
      <c r="H893" s="12">
        <f t="shared" si="140"/>
        <v>94.817675562666594</v>
      </c>
      <c r="I893" s="12">
        <f t="shared" si="141"/>
        <v>82.116276330630654</v>
      </c>
      <c r="J893" s="12">
        <f t="shared" si="142"/>
        <v>127.35429358214981</v>
      </c>
      <c r="K893" s="12">
        <f t="shared" si="143"/>
        <v>112.07619276491388</v>
      </c>
      <c r="P893" s="12"/>
      <c r="Q893" s="12"/>
      <c r="R893" s="12"/>
      <c r="S893" s="12"/>
      <c r="V893">
        <v>0.559399477806789</v>
      </c>
      <c r="W893" s="12"/>
      <c r="X893" s="12"/>
      <c r="Y893" t="str">
        <v>20070824</v>
      </c>
      <c r="Z893">
        <v>41.7</v>
      </c>
      <c r="AA893">
        <v>37.4</v>
      </c>
      <c r="AB893">
        <f t="shared" si="144"/>
        <v>1.1149732620320856</v>
      </c>
      <c r="AY893" t="str">
        <v>22/03/2021</v>
      </c>
      <c r="AZ893">
        <v>54.4</v>
      </c>
      <c r="BA893">
        <v>17.5</v>
      </c>
      <c r="BB893">
        <f t="shared" si="145"/>
        <v>3.1085714285714285</v>
      </c>
    </row>
    <row r="894" spans="1:54" x14ac:dyDescent="0.3">
      <c r="A894" s="11">
        <v>44230</v>
      </c>
      <c r="B894">
        <v>0.72340425531914898</v>
      </c>
      <c r="C894">
        <v>3826.31</v>
      </c>
      <c r="D894">
        <v>151.02000000000001</v>
      </c>
      <c r="E894">
        <v>1837.825</v>
      </c>
      <c r="F894">
        <v>86.35</v>
      </c>
      <c r="G894">
        <v>54.73</v>
      </c>
      <c r="H894" s="12">
        <f t="shared" si="140"/>
        <v>93.889874434201602</v>
      </c>
      <c r="I894" s="12">
        <f t="shared" si="141"/>
        <v>81.865533393399062</v>
      </c>
      <c r="J894" s="12">
        <f t="shared" si="142"/>
        <v>127.24066803859635</v>
      </c>
      <c r="K894" s="12">
        <f t="shared" si="143"/>
        <v>112.35289355746042</v>
      </c>
      <c r="P894" s="12"/>
      <c r="Q894" s="12"/>
      <c r="R894" s="12"/>
      <c r="S894" s="12"/>
      <c r="V894">
        <v>0.55892034233048105</v>
      </c>
      <c r="W894" s="12"/>
      <c r="X894" s="12"/>
      <c r="Y894" t="str">
        <v>20070817</v>
      </c>
      <c r="Z894">
        <v>40.6</v>
      </c>
      <c r="AA894">
        <v>37.4</v>
      </c>
      <c r="AB894">
        <f t="shared" si="144"/>
        <v>1.0855614973262033</v>
      </c>
      <c r="AY894" t="str">
        <v>19/03/2021</v>
      </c>
      <c r="AZ894">
        <v>57.4</v>
      </c>
      <c r="BA894">
        <v>18.8</v>
      </c>
      <c r="BB894">
        <f t="shared" si="145"/>
        <v>3.0531914893617018</v>
      </c>
    </row>
    <row r="895" spans="1:54" x14ac:dyDescent="0.3">
      <c r="A895" s="11">
        <v>44229</v>
      </c>
      <c r="B895">
        <v>0.71698113207547198</v>
      </c>
      <c r="C895">
        <v>3773.86</v>
      </c>
      <c r="D895">
        <v>152</v>
      </c>
      <c r="E895">
        <v>1860.03</v>
      </c>
      <c r="F895">
        <v>86.38</v>
      </c>
      <c r="G895">
        <v>54.11</v>
      </c>
      <c r="H895" s="12">
        <f t="shared" si="140"/>
        <v>92.017718263367456</v>
      </c>
      <c r="I895" s="12">
        <f t="shared" si="141"/>
        <v>79.803707542707173</v>
      </c>
      <c r="J895" s="12">
        <f t="shared" si="142"/>
        <v>125.4535150428094</v>
      </c>
      <c r="K895" s="12">
        <f t="shared" si="143"/>
        <v>112.07940904041862</v>
      </c>
      <c r="P895" s="12"/>
      <c r="Q895" s="12"/>
      <c r="R895" s="12"/>
      <c r="S895" s="12"/>
      <c r="V895">
        <v>0.56245824983299897</v>
      </c>
      <c r="W895" s="12"/>
      <c r="X895" s="12"/>
      <c r="Y895" t="str">
        <v>20070810</v>
      </c>
      <c r="Z895">
        <v>43.8</v>
      </c>
      <c r="AA895">
        <v>32.6</v>
      </c>
      <c r="AB895">
        <f t="shared" si="144"/>
        <v>1.3435582822085887</v>
      </c>
      <c r="AY895" t="str">
        <v>18/03/2021</v>
      </c>
      <c r="AZ895">
        <v>57.4</v>
      </c>
      <c r="BA895">
        <v>18.8</v>
      </c>
      <c r="BB895">
        <f t="shared" si="145"/>
        <v>3.0531914893617018</v>
      </c>
    </row>
    <row r="896" spans="1:54" x14ac:dyDescent="0.3">
      <c r="A896" s="11">
        <v>44226</v>
      </c>
      <c r="B896">
        <v>0.72799999999999998</v>
      </c>
      <c r="C896">
        <v>3714.24</v>
      </c>
      <c r="D896">
        <v>152</v>
      </c>
      <c r="E896">
        <v>1847.76</v>
      </c>
      <c r="F896">
        <v>86.4</v>
      </c>
      <c r="G896">
        <v>53.19</v>
      </c>
      <c r="H896" s="12">
        <f t="shared" si="140"/>
        <v>90.564008702636002</v>
      </c>
      <c r="I896" s="12">
        <f t="shared" si="141"/>
        <v>79.059656306124012</v>
      </c>
      <c r="J896" s="12">
        <f t="shared" si="142"/>
        <v>123.44345836101323</v>
      </c>
      <c r="K896" s="12">
        <f t="shared" si="143"/>
        <v>112.21909356413749</v>
      </c>
      <c r="P896" s="12"/>
      <c r="Q896" s="12"/>
      <c r="R896" s="12"/>
      <c r="S896" s="12"/>
      <c r="V896">
        <v>0.56571047364909899</v>
      </c>
      <c r="W896" s="12"/>
      <c r="X896" s="12"/>
      <c r="Y896" t="str">
        <v>20070803</v>
      </c>
      <c r="Z896">
        <v>43.8</v>
      </c>
      <c r="AA896">
        <v>31.5</v>
      </c>
      <c r="AB896">
        <f t="shared" si="144"/>
        <v>1.3904761904761904</v>
      </c>
      <c r="AY896" t="str">
        <v>17/03/2021</v>
      </c>
      <c r="AZ896">
        <v>57.4</v>
      </c>
      <c r="BA896">
        <v>18.8</v>
      </c>
      <c r="BB896">
        <f t="shared" si="145"/>
        <v>3.0531914893617018</v>
      </c>
    </row>
    <row r="897" spans="1:54" x14ac:dyDescent="0.3">
      <c r="A897" s="11">
        <v>44225</v>
      </c>
      <c r="B897">
        <v>0.71544715447154505</v>
      </c>
      <c r="C897">
        <v>3787.38</v>
      </c>
      <c r="D897">
        <v>152.91999999999999</v>
      </c>
      <c r="E897">
        <v>1842.5250000000001</v>
      </c>
      <c r="F897">
        <v>86.37</v>
      </c>
      <c r="G897">
        <v>54.43</v>
      </c>
      <c r="H897" s="12">
        <f t="shared" si="140"/>
        <v>91.7843072544335</v>
      </c>
      <c r="I897" s="12">
        <f t="shared" si="141"/>
        <v>80.850719056289492</v>
      </c>
      <c r="J897" s="12">
        <f t="shared" si="142"/>
        <v>125.91887816591446</v>
      </c>
      <c r="K897" s="12">
        <f t="shared" si="143"/>
        <v>111.83103413303733</v>
      </c>
      <c r="P897" s="12"/>
      <c r="Q897" s="12"/>
      <c r="R897" s="12"/>
      <c r="S897" s="12"/>
      <c r="V897">
        <v>0.57142857142857095</v>
      </c>
      <c r="W897" s="12"/>
      <c r="X897" s="12"/>
      <c r="Y897" t="str">
        <v>20070727</v>
      </c>
      <c r="Z897">
        <v>47.2</v>
      </c>
      <c r="AA897">
        <v>26.4</v>
      </c>
      <c r="AB897">
        <f t="shared" si="144"/>
        <v>1.7878787878787881</v>
      </c>
      <c r="AY897" t="str">
        <v>16/03/2021</v>
      </c>
      <c r="AZ897">
        <v>57.4</v>
      </c>
      <c r="BA897">
        <v>18.8</v>
      </c>
      <c r="BB897">
        <f t="shared" si="145"/>
        <v>3.0531914893617018</v>
      </c>
    </row>
    <row r="898" spans="1:54" x14ac:dyDescent="0.3">
      <c r="A898" s="11">
        <v>44224</v>
      </c>
      <c r="B898">
        <v>0.70752089136490204</v>
      </c>
      <c r="C898">
        <v>3750.77</v>
      </c>
      <c r="D898">
        <v>153.77000000000001</v>
      </c>
      <c r="E898">
        <v>1843.675</v>
      </c>
      <c r="F898">
        <v>86.38</v>
      </c>
      <c r="G898">
        <v>54.07</v>
      </c>
      <c r="H898" s="12">
        <f t="shared" ref="H898:H961" si="146">H899*(1+((C898/C899)-(D898/D899)))</f>
        <v>90.402202341075892</v>
      </c>
      <c r="I898" s="12">
        <f t="shared" ref="I898:I961" si="147">I899*(1+((C898/C899)-(E898/E899)))</f>
        <v>80.019760521685569</v>
      </c>
      <c r="J898" s="12">
        <f t="shared" si="142"/>
        <v>124.68741167066214</v>
      </c>
      <c r="K898" s="12">
        <f t="shared" si="143"/>
        <v>111.48513738053116</v>
      </c>
      <c r="P898" s="12"/>
      <c r="Q898" s="12"/>
      <c r="R898" s="12"/>
      <c r="S898" s="12"/>
      <c r="V898">
        <v>0.56926257753273601</v>
      </c>
      <c r="W898" s="12"/>
      <c r="X898" s="12"/>
      <c r="Y898" t="str">
        <v>20070720</v>
      </c>
      <c r="Z898">
        <v>53.9</v>
      </c>
      <c r="AA898">
        <v>18</v>
      </c>
      <c r="AB898">
        <f t="shared" si="144"/>
        <v>2.9944444444444445</v>
      </c>
      <c r="AY898" t="str">
        <v>15/03/2021</v>
      </c>
      <c r="AZ898">
        <v>57.4</v>
      </c>
      <c r="BA898">
        <v>18.8</v>
      </c>
      <c r="BB898">
        <f t="shared" si="145"/>
        <v>3.0531914893617018</v>
      </c>
    </row>
    <row r="899" spans="1:54" x14ac:dyDescent="0.3">
      <c r="A899" s="11">
        <v>44223</v>
      </c>
      <c r="B899">
        <v>0.68481375358166197</v>
      </c>
      <c r="C899">
        <v>3849.62</v>
      </c>
      <c r="D899">
        <v>153.38</v>
      </c>
      <c r="E899">
        <v>1851.075</v>
      </c>
      <c r="F899">
        <v>86.38</v>
      </c>
      <c r="G899">
        <v>55.39</v>
      </c>
      <c r="H899" s="12">
        <f t="shared" si="146"/>
        <v>93.027490545989266</v>
      </c>
      <c r="I899" s="12">
        <f t="shared" si="147"/>
        <v>81.793048711266607</v>
      </c>
      <c r="J899" s="12">
        <f t="shared" ref="J899:J962" si="148">J900*(1+((C899/C900)-(F899/F900)))</f>
        <v>127.9734970994261</v>
      </c>
      <c r="K899" s="12">
        <f t="shared" ref="K899:K962" si="149">K900*(1+((C899/C900)-(G899/G900)))</f>
        <v>111.69141385111335</v>
      </c>
      <c r="P899" s="12"/>
      <c r="Q899" s="12"/>
      <c r="R899" s="12"/>
      <c r="S899" s="12"/>
      <c r="V899">
        <v>0.56078706957132796</v>
      </c>
      <c r="W899" s="12"/>
      <c r="X899" s="12"/>
      <c r="Y899" t="str">
        <v>20070713</v>
      </c>
      <c r="Z899">
        <v>52.3</v>
      </c>
      <c r="AA899">
        <v>19.3</v>
      </c>
      <c r="AB899">
        <f t="shared" si="144"/>
        <v>2.7098445595854921</v>
      </c>
      <c r="AY899" t="str">
        <v>12/03/2021</v>
      </c>
      <c r="AZ899">
        <v>55.9</v>
      </c>
      <c r="BA899">
        <v>19.600000000000001</v>
      </c>
      <c r="BB899">
        <f t="shared" si="145"/>
        <v>2.8520408163265305</v>
      </c>
    </row>
    <row r="900" spans="1:54" x14ac:dyDescent="0.3">
      <c r="A900" s="11">
        <v>44222</v>
      </c>
      <c r="B900">
        <v>0.68695652173913002</v>
      </c>
      <c r="C900">
        <v>3855.36</v>
      </c>
      <c r="D900">
        <v>153.66999999999999</v>
      </c>
      <c r="E900">
        <v>1856.125</v>
      </c>
      <c r="F900">
        <v>86.39</v>
      </c>
      <c r="G900">
        <v>55.48</v>
      </c>
      <c r="H900" s="12">
        <f t="shared" si="146"/>
        <v>92.990450173489691</v>
      </c>
      <c r="I900" s="12">
        <f t="shared" si="147"/>
        <v>81.692413003016881</v>
      </c>
      <c r="J900" s="12">
        <f t="shared" si="148"/>
        <v>128.14945683538977</v>
      </c>
      <c r="K900" s="12">
        <f t="shared" si="149"/>
        <v>111.6765195672058</v>
      </c>
      <c r="P900" s="12"/>
      <c r="Q900" s="12"/>
      <c r="R900" s="12"/>
      <c r="S900" s="12"/>
      <c r="V900">
        <v>0.56361051883439905</v>
      </c>
      <c r="W900" s="12"/>
      <c r="X900" s="12"/>
      <c r="Y900" t="str">
        <v>20070706</v>
      </c>
      <c r="Z900">
        <v>49.5</v>
      </c>
      <c r="AA900">
        <v>21.3</v>
      </c>
      <c r="AB900">
        <f t="shared" si="144"/>
        <v>2.323943661971831</v>
      </c>
      <c r="AY900" t="str">
        <v>11/03/2021</v>
      </c>
      <c r="AZ900">
        <v>55.9</v>
      </c>
      <c r="BA900">
        <v>19.600000000000001</v>
      </c>
      <c r="BB900">
        <f t="shared" si="145"/>
        <v>2.8520408163265305</v>
      </c>
    </row>
    <row r="901" spans="1:54" x14ac:dyDescent="0.3">
      <c r="A901" s="11">
        <v>44219</v>
      </c>
      <c r="B901">
        <v>0.68985507246376798</v>
      </c>
      <c r="C901">
        <v>3841.47</v>
      </c>
      <c r="D901">
        <v>151.88</v>
      </c>
      <c r="E901">
        <v>1855.9</v>
      </c>
      <c r="F901">
        <v>86.38</v>
      </c>
      <c r="G901">
        <v>55.39</v>
      </c>
      <c r="H901" s="12">
        <f t="shared" si="146"/>
        <v>93.756422982569205</v>
      </c>
      <c r="I901" s="12">
        <f t="shared" si="147"/>
        <v>81.407927436767835</v>
      </c>
      <c r="J901" s="12">
        <f t="shared" si="148"/>
        <v>127.7024935379806</v>
      </c>
      <c r="K901" s="12">
        <f t="shared" si="149"/>
        <v>111.45461773702617</v>
      </c>
      <c r="P901" s="12"/>
      <c r="Q901" s="12"/>
      <c r="R901" s="12"/>
      <c r="S901" s="12"/>
      <c r="V901">
        <v>0.55915492957746504</v>
      </c>
      <c r="W901" s="12"/>
      <c r="X901" s="12"/>
      <c r="Y901" t="str">
        <v>20070629</v>
      </c>
      <c r="Z901">
        <v>49.4</v>
      </c>
      <c r="AA901">
        <v>18</v>
      </c>
      <c r="AB901">
        <f t="shared" si="144"/>
        <v>2.7444444444444445</v>
      </c>
      <c r="AY901" t="str">
        <v>10/03/2021</v>
      </c>
      <c r="AZ901">
        <v>55.9</v>
      </c>
      <c r="BA901">
        <v>19.600000000000001</v>
      </c>
      <c r="BB901">
        <f t="shared" si="145"/>
        <v>2.8520408163265305</v>
      </c>
    </row>
    <row r="902" spans="1:54" x14ac:dyDescent="0.3">
      <c r="A902" s="11">
        <v>44218</v>
      </c>
      <c r="B902">
        <v>0.69411764705882395</v>
      </c>
      <c r="C902">
        <v>3853.07</v>
      </c>
      <c r="D902">
        <v>151.38999999999999</v>
      </c>
      <c r="E902">
        <v>1869.925</v>
      </c>
      <c r="F902">
        <v>86.38</v>
      </c>
      <c r="G902">
        <v>55.77</v>
      </c>
      <c r="H902" s="12">
        <f t="shared" si="146"/>
        <v>94.345825873118613</v>
      </c>
      <c r="I902" s="12">
        <f t="shared" si="147"/>
        <v>81.044062737161255</v>
      </c>
      <c r="J902" s="12">
        <f t="shared" si="148"/>
        <v>128.08811386692776</v>
      </c>
      <c r="K902" s="12">
        <f t="shared" si="149"/>
        <v>111.03234919328176</v>
      </c>
      <c r="P902" s="12"/>
      <c r="Q902" s="12"/>
      <c r="R902" s="12"/>
      <c r="S902" s="12"/>
      <c r="V902">
        <v>0.553508150248051</v>
      </c>
      <c r="W902" s="12"/>
      <c r="X902" s="12"/>
      <c r="Y902" t="str">
        <v>20070622</v>
      </c>
      <c r="Z902">
        <v>53.8</v>
      </c>
      <c r="AA902">
        <v>20.399999999999999</v>
      </c>
      <c r="AB902">
        <f t="shared" si="144"/>
        <v>2.6372549019607843</v>
      </c>
      <c r="AY902" t="str">
        <v>09/03/2021</v>
      </c>
      <c r="AZ902">
        <v>55.9</v>
      </c>
      <c r="BA902">
        <v>19.600000000000001</v>
      </c>
      <c r="BB902">
        <f t="shared" si="145"/>
        <v>2.8520408163265305</v>
      </c>
    </row>
    <row r="903" spans="1:54" x14ac:dyDescent="0.3">
      <c r="A903" s="11">
        <v>44217</v>
      </c>
      <c r="B903">
        <v>0.69969969969970003</v>
      </c>
      <c r="C903">
        <v>3851.85</v>
      </c>
      <c r="D903">
        <v>152.46</v>
      </c>
      <c r="E903">
        <v>1871.95</v>
      </c>
      <c r="F903">
        <v>86.37</v>
      </c>
      <c r="G903">
        <v>55.69</v>
      </c>
      <c r="H903" s="12">
        <f t="shared" si="146"/>
        <v>93.658841528665889</v>
      </c>
      <c r="I903" s="12">
        <f t="shared" si="147"/>
        <v>80.930881661212169</v>
      </c>
      <c r="J903" s="12">
        <f t="shared" si="148"/>
        <v>128.06237973440324</v>
      </c>
      <c r="K903" s="12">
        <f t="shared" si="149"/>
        <v>111.15682178991599</v>
      </c>
      <c r="P903" s="12"/>
      <c r="Q903" s="12"/>
      <c r="R903" s="12"/>
      <c r="S903" s="12"/>
      <c r="V903">
        <v>0.54526015680684203</v>
      </c>
      <c r="W903" s="12"/>
      <c r="X903" s="12"/>
      <c r="Y903" t="str">
        <v>20070615</v>
      </c>
      <c r="Z903">
        <v>53.3</v>
      </c>
      <c r="AA903">
        <v>18.899999999999999</v>
      </c>
      <c r="AB903">
        <f t="shared" si="144"/>
        <v>2.82010582010582</v>
      </c>
      <c r="AY903" t="str">
        <v>08/03/2021</v>
      </c>
      <c r="AZ903">
        <v>55.9</v>
      </c>
      <c r="BA903">
        <v>19.600000000000001</v>
      </c>
      <c r="BB903">
        <f t="shared" si="145"/>
        <v>2.8520408163265305</v>
      </c>
    </row>
    <row r="904" spans="1:54" x14ac:dyDescent="0.3">
      <c r="A904" s="11">
        <v>44216</v>
      </c>
      <c r="B904">
        <v>0.70552147239263796</v>
      </c>
      <c r="C904">
        <v>3798.91</v>
      </c>
      <c r="D904">
        <v>152.31</v>
      </c>
      <c r="E904">
        <v>1839.75</v>
      </c>
      <c r="F904">
        <v>86.38</v>
      </c>
      <c r="G904">
        <v>55.11</v>
      </c>
      <c r="H904" s="12">
        <f t="shared" si="146"/>
        <v>92.461397757160142</v>
      </c>
      <c r="I904" s="12">
        <f t="shared" si="147"/>
        <v>81.220579368527794</v>
      </c>
      <c r="J904" s="12">
        <f t="shared" si="148"/>
        <v>126.28786551871374</v>
      </c>
      <c r="K904" s="12">
        <f t="shared" si="149"/>
        <v>110.77893594899166</v>
      </c>
      <c r="P904" s="12"/>
      <c r="Q904" s="12"/>
      <c r="R904" s="12"/>
      <c r="S904" s="12"/>
      <c r="V904">
        <v>0.53270348837209303</v>
      </c>
      <c r="W904" s="12"/>
      <c r="X904" s="12"/>
      <c r="Y904" t="str">
        <v>20070608</v>
      </c>
      <c r="Z904">
        <v>56.7</v>
      </c>
      <c r="AA904">
        <v>21.1</v>
      </c>
      <c r="AB904">
        <f t="shared" ref="AB904:AB967" si="150">IFERROR(Z904/AA904,"")</f>
        <v>2.6872037914691944</v>
      </c>
      <c r="AY904" t="str">
        <v>05/03/2021</v>
      </c>
      <c r="AZ904">
        <v>51</v>
      </c>
      <c r="BA904">
        <v>20.6</v>
      </c>
      <c r="BB904">
        <f t="shared" ref="BB904:BB967" si="151">IFERROR(AZ904/BA904,"")</f>
        <v>2.4757281553398056</v>
      </c>
    </row>
    <row r="905" spans="1:54" x14ac:dyDescent="0.3">
      <c r="A905" s="11">
        <v>44212</v>
      </c>
      <c r="B905">
        <v>0.70516717325227996</v>
      </c>
      <c r="C905">
        <v>3768.25</v>
      </c>
      <c r="D905">
        <v>151.82</v>
      </c>
      <c r="E905">
        <v>1828.45</v>
      </c>
      <c r="F905">
        <v>86.35</v>
      </c>
      <c r="G905">
        <v>54.58</v>
      </c>
      <c r="H905" s="12">
        <f t="shared" si="146"/>
        <v>92.009731500676139</v>
      </c>
      <c r="I905" s="12">
        <f t="shared" si="147"/>
        <v>81.06199738240872</v>
      </c>
      <c r="J905" s="12">
        <f t="shared" si="148"/>
        <v>125.31181435778444</v>
      </c>
      <c r="K905" s="12">
        <f t="shared" si="149"/>
        <v>110.95358952911926</v>
      </c>
      <c r="P905" s="12"/>
      <c r="Q905" s="12"/>
      <c r="R905" s="12"/>
      <c r="S905" s="12"/>
      <c r="V905">
        <v>0.53553113553113596</v>
      </c>
      <c r="W905" s="12"/>
      <c r="X905" s="12"/>
      <c r="Y905" t="str">
        <v>20070601</v>
      </c>
      <c r="Z905">
        <v>52.2</v>
      </c>
      <c r="AA905">
        <v>22.8</v>
      </c>
      <c r="AB905">
        <f t="shared" si="150"/>
        <v>2.2894736842105265</v>
      </c>
      <c r="AY905" t="str">
        <v>04/03/2021</v>
      </c>
      <c r="AZ905">
        <v>51</v>
      </c>
      <c r="BA905">
        <v>20.6</v>
      </c>
      <c r="BB905">
        <f t="shared" si="151"/>
        <v>2.4757281553398056</v>
      </c>
    </row>
    <row r="906" spans="1:54" x14ac:dyDescent="0.3">
      <c r="A906" s="11">
        <v>44211</v>
      </c>
      <c r="B906">
        <v>0.70125786163521997</v>
      </c>
      <c r="C906">
        <v>3795.54</v>
      </c>
      <c r="D906">
        <v>151.22</v>
      </c>
      <c r="E906">
        <v>1846.1</v>
      </c>
      <c r="F906">
        <v>86.34</v>
      </c>
      <c r="G906">
        <v>55.37</v>
      </c>
      <c r="H906" s="12">
        <f t="shared" si="146"/>
        <v>93.047936828824945</v>
      </c>
      <c r="I906" s="12">
        <f t="shared" si="147"/>
        <v>80.870280007938504</v>
      </c>
      <c r="J906" s="12">
        <f t="shared" si="148"/>
        <v>126.23406006809591</v>
      </c>
      <c r="K906" s="12">
        <f t="shared" si="149"/>
        <v>110.17381931651011</v>
      </c>
      <c r="P906" s="12"/>
      <c r="Q906" s="12"/>
      <c r="R906" s="12"/>
      <c r="S906" s="12"/>
      <c r="V906">
        <v>0.53805970149253701</v>
      </c>
      <c r="W906" s="12"/>
      <c r="X906" s="12"/>
      <c r="Y906" t="str">
        <v>20070525</v>
      </c>
      <c r="Z906">
        <v>53.8</v>
      </c>
      <c r="AA906">
        <v>21.5</v>
      </c>
      <c r="AB906">
        <f t="shared" si="150"/>
        <v>2.5023255813953487</v>
      </c>
      <c r="AY906" t="str">
        <v>03/03/2021</v>
      </c>
      <c r="AZ906">
        <v>51</v>
      </c>
      <c r="BA906">
        <v>20.6</v>
      </c>
      <c r="BB906">
        <f t="shared" si="151"/>
        <v>2.4757281553398056</v>
      </c>
    </row>
    <row r="907" spans="1:54" x14ac:dyDescent="0.3">
      <c r="A907" s="11">
        <v>44210</v>
      </c>
      <c r="B907">
        <v>0.6875</v>
      </c>
      <c r="C907">
        <v>3809.84</v>
      </c>
      <c r="D907">
        <v>152.65</v>
      </c>
      <c r="E907">
        <v>1844.9749999999999</v>
      </c>
      <c r="F907">
        <v>86.33</v>
      </c>
      <c r="G907">
        <v>54.92</v>
      </c>
      <c r="H907" s="12">
        <f t="shared" si="146"/>
        <v>92.528445452976868</v>
      </c>
      <c r="I907" s="12">
        <f t="shared" si="147"/>
        <v>81.224679760091576</v>
      </c>
      <c r="J907" s="12">
        <f t="shared" si="148"/>
        <v>126.72439134064474</v>
      </c>
      <c r="K907" s="12">
        <f t="shared" si="149"/>
        <v>111.50600100267246</v>
      </c>
      <c r="P907" s="12"/>
      <c r="Q907" s="12"/>
      <c r="R907" s="12"/>
      <c r="S907" s="12"/>
      <c r="V907">
        <v>0.53680297397769505</v>
      </c>
      <c r="W907" s="12"/>
      <c r="X907" s="12"/>
      <c r="Y907" t="str">
        <v>20070518</v>
      </c>
      <c r="Z907">
        <v>54.3</v>
      </c>
      <c r="AA907">
        <v>20.7</v>
      </c>
      <c r="AB907">
        <f t="shared" si="150"/>
        <v>2.6231884057971016</v>
      </c>
      <c r="AY907" t="str">
        <v>02/03/2021</v>
      </c>
      <c r="AZ907">
        <v>51</v>
      </c>
      <c r="BA907">
        <v>20.6</v>
      </c>
      <c r="BB907">
        <f t="shared" si="151"/>
        <v>2.4757281553398056</v>
      </c>
    </row>
    <row r="908" spans="1:54" x14ac:dyDescent="0.3">
      <c r="A908" s="11">
        <v>44209</v>
      </c>
      <c r="B908">
        <v>0.66666666666666696</v>
      </c>
      <c r="C908">
        <v>3801.19</v>
      </c>
      <c r="D908">
        <v>150.94999999999999</v>
      </c>
      <c r="E908">
        <v>1854.85</v>
      </c>
      <c r="F908">
        <v>86.34</v>
      </c>
      <c r="G908">
        <v>54.96</v>
      </c>
      <c r="H908" s="12">
        <f t="shared" si="146"/>
        <v>93.367483390466106</v>
      </c>
      <c r="I908" s="12">
        <f t="shared" si="147"/>
        <v>80.612069642466949</v>
      </c>
      <c r="J908" s="12">
        <f t="shared" si="148"/>
        <v>126.4220625433568</v>
      </c>
      <c r="K908" s="12">
        <f t="shared" si="149"/>
        <v>111.1721061205855</v>
      </c>
      <c r="P908" s="12"/>
      <c r="Q908" s="12"/>
      <c r="R908" s="12"/>
      <c r="S908" s="12"/>
      <c r="V908">
        <v>0.54049962149886499</v>
      </c>
      <c r="W908" s="12"/>
      <c r="X908" s="12"/>
      <c r="Y908" t="str">
        <v>20070511</v>
      </c>
      <c r="Z908">
        <v>54.3</v>
      </c>
      <c r="AA908">
        <v>19.600000000000001</v>
      </c>
      <c r="AB908">
        <f t="shared" si="150"/>
        <v>2.7704081632653059</v>
      </c>
      <c r="AY908" t="str">
        <v>01/03/2021</v>
      </c>
      <c r="AZ908">
        <v>51</v>
      </c>
      <c r="BA908">
        <v>20.6</v>
      </c>
      <c r="BB908">
        <f t="shared" si="151"/>
        <v>2.4757281553398056</v>
      </c>
    </row>
    <row r="909" spans="1:54" x14ac:dyDescent="0.3">
      <c r="A909" s="11">
        <v>44208</v>
      </c>
      <c r="B909">
        <v>0.67457627118644103</v>
      </c>
      <c r="C909">
        <v>3799.61</v>
      </c>
      <c r="D909">
        <v>151.07</v>
      </c>
      <c r="E909">
        <v>1843.25</v>
      </c>
      <c r="F909">
        <v>86.34</v>
      </c>
      <c r="G909">
        <v>54.64</v>
      </c>
      <c r="H909" s="12">
        <f t="shared" si="146"/>
        <v>93.254629817093743</v>
      </c>
      <c r="I909" s="12">
        <f t="shared" si="147"/>
        <v>81.088660126336421</v>
      </c>
      <c r="J909" s="12">
        <f t="shared" si="148"/>
        <v>126.3695140364896</v>
      </c>
      <c r="K909" s="12">
        <f t="shared" si="149"/>
        <v>111.78026714460756</v>
      </c>
      <c r="P909" s="12"/>
      <c r="Q909" s="12"/>
      <c r="R909" s="12"/>
      <c r="S909" s="12"/>
      <c r="V909">
        <v>0.54259401381427497</v>
      </c>
      <c r="W909" s="12"/>
      <c r="X909" s="12"/>
      <c r="Y909" t="str">
        <v>20070504</v>
      </c>
      <c r="Z909">
        <v>53.3</v>
      </c>
      <c r="AA909">
        <v>20</v>
      </c>
      <c r="AB909">
        <f t="shared" si="150"/>
        <v>2.665</v>
      </c>
      <c r="AY909" t="str">
        <v>26/02/2021</v>
      </c>
      <c r="AZ909">
        <v>53.9</v>
      </c>
      <c r="BA909">
        <v>18.600000000000001</v>
      </c>
      <c r="BB909">
        <f t="shared" si="151"/>
        <v>2.897849462365591</v>
      </c>
    </row>
    <row r="910" spans="1:54" x14ac:dyDescent="0.3">
      <c r="A910" s="11">
        <v>44205</v>
      </c>
      <c r="B910">
        <v>0.700325732899023</v>
      </c>
      <c r="C910">
        <v>3824.68</v>
      </c>
      <c r="D910">
        <v>151.32</v>
      </c>
      <c r="E910">
        <v>1848.88</v>
      </c>
      <c r="F910">
        <v>86.35</v>
      </c>
      <c r="G910">
        <v>55.36</v>
      </c>
      <c r="H910" s="12">
        <f t="shared" si="146"/>
        <v>93.71407890791167</v>
      </c>
      <c r="I910" s="12">
        <f t="shared" si="147"/>
        <v>81.374260179888282</v>
      </c>
      <c r="J910" s="12">
        <f t="shared" si="148"/>
        <v>127.18847925304306</v>
      </c>
      <c r="K910" s="12">
        <f t="shared" si="149"/>
        <v>111.06379641475411</v>
      </c>
      <c r="P910" s="12"/>
      <c r="Q910" s="12"/>
      <c r="R910" s="12"/>
      <c r="S910" s="12"/>
      <c r="V910">
        <v>0.55274888558692403</v>
      </c>
      <c r="W910" s="12"/>
      <c r="X910" s="12"/>
      <c r="Y910" t="str">
        <v>20070427</v>
      </c>
      <c r="Z910">
        <v>51.7</v>
      </c>
      <c r="AA910">
        <v>24.7</v>
      </c>
      <c r="AB910">
        <f t="shared" si="150"/>
        <v>2.0931174089068829</v>
      </c>
      <c r="AY910" t="str">
        <v>25/02/2021</v>
      </c>
      <c r="AZ910">
        <v>53.9</v>
      </c>
      <c r="BA910">
        <v>18.600000000000001</v>
      </c>
      <c r="BB910">
        <f t="shared" si="151"/>
        <v>2.897849462365591</v>
      </c>
    </row>
    <row r="911" spans="1:54" x14ac:dyDescent="0.3">
      <c r="A911" s="11">
        <v>44204</v>
      </c>
      <c r="B911">
        <v>0.69306930693069302</v>
      </c>
      <c r="C911">
        <v>3803.79</v>
      </c>
      <c r="D911">
        <v>151.81</v>
      </c>
      <c r="E911">
        <v>1913.325</v>
      </c>
      <c r="F911">
        <v>86.36</v>
      </c>
      <c r="G911">
        <v>54.62</v>
      </c>
      <c r="H911" s="12">
        <f t="shared" si="146"/>
        <v>92.903992341970564</v>
      </c>
      <c r="I911" s="12">
        <f t="shared" si="147"/>
        <v>78.306667472064873</v>
      </c>
      <c r="J911" s="12">
        <f t="shared" si="148"/>
        <v>126.47922356629179</v>
      </c>
      <c r="K911" s="12">
        <f t="shared" si="149"/>
        <v>111.96582217566367</v>
      </c>
      <c r="P911" s="12"/>
      <c r="Q911" s="12"/>
      <c r="R911" s="12"/>
      <c r="S911" s="12"/>
      <c r="V911">
        <v>0.54884414615958199</v>
      </c>
      <c r="W911" s="12"/>
      <c r="X911" s="12"/>
      <c r="Y911" t="str">
        <v>20070420</v>
      </c>
      <c r="Z911">
        <v>51.1</v>
      </c>
      <c r="AA911">
        <v>26.1</v>
      </c>
      <c r="AB911">
        <f t="shared" si="150"/>
        <v>1.9578544061302681</v>
      </c>
      <c r="AY911" t="str">
        <v>24/02/2021</v>
      </c>
      <c r="AZ911">
        <v>53.9</v>
      </c>
      <c r="BA911">
        <v>18.600000000000001</v>
      </c>
      <c r="BB911">
        <f t="shared" si="151"/>
        <v>2.897849462365591</v>
      </c>
    </row>
    <row r="912" spans="1:54" x14ac:dyDescent="0.3">
      <c r="A912" s="11">
        <v>44203</v>
      </c>
      <c r="B912">
        <v>0.720136518771331</v>
      </c>
      <c r="C912">
        <v>3748.14</v>
      </c>
      <c r="D912">
        <v>153.16</v>
      </c>
      <c r="E912">
        <v>1919.05</v>
      </c>
      <c r="F912">
        <v>86.34</v>
      </c>
      <c r="G912">
        <v>54.33</v>
      </c>
      <c r="H912" s="12">
        <f t="shared" si="146"/>
        <v>90.756540475162112</v>
      </c>
      <c r="I912" s="12">
        <f t="shared" si="147"/>
        <v>76.934871686399759</v>
      </c>
      <c r="J912" s="12">
        <f t="shared" si="148"/>
        <v>124.65726760413393</v>
      </c>
      <c r="K912" s="12">
        <f t="shared" si="149"/>
        <v>110.91110047611902</v>
      </c>
      <c r="P912" s="12"/>
      <c r="Q912" s="12"/>
      <c r="R912" s="12"/>
      <c r="S912" s="12"/>
      <c r="V912">
        <v>0.55547337278106501</v>
      </c>
      <c r="W912" s="12"/>
      <c r="X912" s="12"/>
      <c r="Y912" t="str">
        <v>20070413</v>
      </c>
      <c r="Z912">
        <v>52.7</v>
      </c>
      <c r="AA912">
        <v>25.3</v>
      </c>
      <c r="AB912">
        <f t="shared" si="150"/>
        <v>2.0830039525691699</v>
      </c>
      <c r="AY912" t="str">
        <v>23/02/2021</v>
      </c>
      <c r="AZ912">
        <v>53.9</v>
      </c>
      <c r="BA912">
        <v>18.600000000000001</v>
      </c>
      <c r="BB912">
        <f t="shared" si="151"/>
        <v>2.897849462365591</v>
      </c>
    </row>
    <row r="913" spans="1:54" x14ac:dyDescent="0.3">
      <c r="A913" s="11">
        <v>44202</v>
      </c>
      <c r="B913">
        <v>0.72027972027971998</v>
      </c>
      <c r="C913">
        <v>3726.86</v>
      </c>
      <c r="D913">
        <v>156.37</v>
      </c>
      <c r="E913">
        <v>1949.625</v>
      </c>
      <c r="F913">
        <v>86.39</v>
      </c>
      <c r="G913">
        <v>54.1</v>
      </c>
      <c r="H913" s="12">
        <f t="shared" si="146"/>
        <v>88.436141077673852</v>
      </c>
      <c r="I913" s="12">
        <f t="shared" si="147"/>
        <v>75.323520534169887</v>
      </c>
      <c r="J913" s="12">
        <f t="shared" si="148"/>
        <v>123.87823808966309</v>
      </c>
      <c r="K913" s="12">
        <f t="shared" si="149"/>
        <v>110.74957065046252</v>
      </c>
      <c r="P913" s="12"/>
      <c r="Q913" s="12"/>
      <c r="R913" s="12"/>
      <c r="S913" s="12"/>
      <c r="V913">
        <v>0.55706727135298595</v>
      </c>
      <c r="W913" s="12"/>
      <c r="X913" s="12"/>
      <c r="Y913" t="str">
        <v>20070406</v>
      </c>
      <c r="Z913">
        <v>49.5</v>
      </c>
      <c r="AA913">
        <v>27.5</v>
      </c>
      <c r="AB913">
        <f t="shared" si="150"/>
        <v>1.8</v>
      </c>
      <c r="AY913" t="str">
        <v>22/02/2021</v>
      </c>
      <c r="AZ913">
        <v>53.9</v>
      </c>
      <c r="BA913">
        <v>18.600000000000001</v>
      </c>
      <c r="BB913">
        <f t="shared" si="151"/>
        <v>2.897849462365591</v>
      </c>
    </row>
    <row r="914" spans="1:54" x14ac:dyDescent="0.3">
      <c r="A914" s="11">
        <v>44201</v>
      </c>
      <c r="B914">
        <v>0.72962962962962996</v>
      </c>
      <c r="C914">
        <v>3700.65</v>
      </c>
      <c r="D914">
        <v>157.54</v>
      </c>
      <c r="E914">
        <v>1942.55</v>
      </c>
      <c r="F914">
        <v>86.39</v>
      </c>
      <c r="G914">
        <v>53.32</v>
      </c>
      <c r="H914" s="12">
        <f t="shared" si="146"/>
        <v>87.171352327140454</v>
      </c>
      <c r="I914" s="12">
        <f t="shared" si="147"/>
        <v>75.065264522331049</v>
      </c>
      <c r="J914" s="12">
        <f t="shared" si="148"/>
        <v>123.00703589255076</v>
      </c>
      <c r="K914" s="12">
        <f t="shared" si="149"/>
        <v>111.59165439889895</v>
      </c>
      <c r="P914" s="12"/>
      <c r="Q914" s="12"/>
      <c r="R914" s="12"/>
      <c r="S914" s="12"/>
      <c r="V914">
        <v>0.55846153846153801</v>
      </c>
      <c r="W914" s="12"/>
      <c r="X914" s="12"/>
      <c r="Y914" t="str">
        <v>20070330</v>
      </c>
      <c r="Z914">
        <v>50.6</v>
      </c>
      <c r="AA914">
        <v>25.8</v>
      </c>
      <c r="AB914">
        <f t="shared" si="150"/>
        <v>1.9612403100775193</v>
      </c>
      <c r="AY914" t="str">
        <v>19/02/2021</v>
      </c>
      <c r="AZ914">
        <v>56.3</v>
      </c>
      <c r="BA914">
        <v>18.5</v>
      </c>
      <c r="BB914">
        <f t="shared" si="151"/>
        <v>3.0432432432432432</v>
      </c>
    </row>
    <row r="915" spans="1:54" x14ac:dyDescent="0.3">
      <c r="A915" s="11">
        <v>44196</v>
      </c>
      <c r="B915">
        <v>0.73129251700680298</v>
      </c>
      <c r="C915">
        <v>3756.07</v>
      </c>
      <c r="D915">
        <v>157.72999999999999</v>
      </c>
      <c r="E915">
        <v>1898.9</v>
      </c>
      <c r="F915">
        <v>86.38</v>
      </c>
      <c r="G915">
        <v>53.04</v>
      </c>
      <c r="H915" s="12">
        <f t="shared" si="146"/>
        <v>88.368766205751029</v>
      </c>
      <c r="I915" s="12">
        <f t="shared" si="147"/>
        <v>78.009480880240233</v>
      </c>
      <c r="J915" s="12">
        <f t="shared" si="148"/>
        <v>124.86382985863602</v>
      </c>
      <c r="K915" s="12">
        <f t="shared" si="149"/>
        <v>113.87296468043631</v>
      </c>
      <c r="P915" s="12"/>
      <c r="Q915" s="12"/>
      <c r="R915" s="12"/>
      <c r="S915" s="12"/>
      <c r="V915">
        <v>0.55312954876273701</v>
      </c>
      <c r="W915" s="12"/>
      <c r="X915" s="12"/>
      <c r="Y915" t="str">
        <v>20070323</v>
      </c>
      <c r="Z915">
        <v>48.4</v>
      </c>
      <c r="AA915">
        <v>27.5</v>
      </c>
      <c r="AB915">
        <f t="shared" si="150"/>
        <v>1.76</v>
      </c>
      <c r="AY915" t="str">
        <v>18/02/2021</v>
      </c>
      <c r="AZ915">
        <v>56.3</v>
      </c>
      <c r="BA915">
        <v>18.5</v>
      </c>
      <c r="BB915">
        <f t="shared" si="151"/>
        <v>3.0432432432432432</v>
      </c>
    </row>
    <row r="916" spans="1:54" x14ac:dyDescent="0.3">
      <c r="A916" s="11">
        <v>44196</v>
      </c>
      <c r="B916">
        <v>0.72569444444444398</v>
      </c>
      <c r="C916">
        <v>3732.04</v>
      </c>
      <c r="D916">
        <v>157.5</v>
      </c>
      <c r="E916">
        <v>1894.7</v>
      </c>
      <c r="F916">
        <v>86.385000000000005</v>
      </c>
      <c r="G916">
        <v>53.3</v>
      </c>
      <c r="H916" s="12">
        <f t="shared" si="146"/>
        <v>87.930999939321254</v>
      </c>
      <c r="I916" s="12">
        <f t="shared" si="147"/>
        <v>77.68149964775904</v>
      </c>
      <c r="J916" s="12">
        <f t="shared" si="148"/>
        <v>124.05786090092064</v>
      </c>
      <c r="K916" s="12">
        <f t="shared" si="149"/>
        <v>112.59869799287185</v>
      </c>
      <c r="P916" s="12"/>
      <c r="Q916" s="12"/>
      <c r="R916" s="12"/>
      <c r="S916" s="12"/>
      <c r="V916">
        <v>0.55873715124816403</v>
      </c>
      <c r="W916" s="12"/>
      <c r="X916" s="12"/>
      <c r="Y916" t="str">
        <v>20070316</v>
      </c>
      <c r="Z916">
        <v>46.6</v>
      </c>
      <c r="AA916">
        <v>28.4</v>
      </c>
      <c r="AB916">
        <f t="shared" si="150"/>
        <v>1.6408450704225352</v>
      </c>
      <c r="AY916" t="str">
        <v>17/02/2021</v>
      </c>
      <c r="AZ916">
        <v>56.3</v>
      </c>
      <c r="BA916">
        <v>18.5</v>
      </c>
      <c r="BB916">
        <f t="shared" si="151"/>
        <v>3.0432432432432432</v>
      </c>
    </row>
    <row r="917" spans="1:54" x14ac:dyDescent="0.3">
      <c r="A917" s="11">
        <v>44195</v>
      </c>
      <c r="B917">
        <v>0.73489932885905995</v>
      </c>
      <c r="C917">
        <v>3727.04</v>
      </c>
      <c r="D917">
        <v>157.16</v>
      </c>
      <c r="E917">
        <v>1878.45</v>
      </c>
      <c r="F917">
        <v>86.38</v>
      </c>
      <c r="G917">
        <v>53.04</v>
      </c>
      <c r="H917" s="12">
        <f t="shared" si="146"/>
        <v>88.003325752159071</v>
      </c>
      <c r="I917" s="12">
        <f t="shared" si="147"/>
        <v>78.253470076233427</v>
      </c>
      <c r="J917" s="12">
        <f t="shared" si="148"/>
        <v>123.89881652358966</v>
      </c>
      <c r="K917" s="12">
        <f t="shared" si="149"/>
        <v>113.00102839171211</v>
      </c>
      <c r="P917" s="12"/>
      <c r="Q917" s="12"/>
      <c r="R917" s="12"/>
      <c r="S917" s="12"/>
      <c r="V917">
        <v>0.55684286748732803</v>
      </c>
      <c r="W917" s="12"/>
      <c r="X917" s="12"/>
      <c r="Y917" t="str">
        <v>20070309</v>
      </c>
      <c r="Z917">
        <v>45.5</v>
      </c>
      <c r="AA917">
        <v>28.9</v>
      </c>
      <c r="AB917">
        <f t="shared" si="150"/>
        <v>1.5743944636678202</v>
      </c>
      <c r="AY917" t="str">
        <v>16/02/2021</v>
      </c>
      <c r="AZ917">
        <v>56.3</v>
      </c>
      <c r="BA917">
        <v>18.5</v>
      </c>
      <c r="BB917">
        <f t="shared" si="151"/>
        <v>3.0432432432432432</v>
      </c>
    </row>
    <row r="918" spans="1:54" x14ac:dyDescent="0.3">
      <c r="A918" s="11">
        <v>44194</v>
      </c>
      <c r="B918">
        <v>0.73489932885905995</v>
      </c>
      <c r="C918">
        <v>3735.36</v>
      </c>
      <c r="D918">
        <v>157.36000000000001</v>
      </c>
      <c r="E918">
        <v>1874.0250000000001</v>
      </c>
      <c r="F918">
        <v>86.38</v>
      </c>
      <c r="G918">
        <v>52.6</v>
      </c>
      <c r="H918" s="12">
        <f t="shared" si="146"/>
        <v>88.087571936706638</v>
      </c>
      <c r="I918" s="12">
        <f t="shared" si="147"/>
        <v>78.614198410944709</v>
      </c>
      <c r="J918" s="12">
        <f t="shared" si="148"/>
        <v>124.17540012705952</v>
      </c>
      <c r="K918" s="12">
        <f t="shared" si="149"/>
        <v>114.21079265615272</v>
      </c>
      <c r="P918" s="12"/>
      <c r="Q918" s="12"/>
      <c r="R918" s="12"/>
      <c r="S918" s="12"/>
      <c r="V918">
        <v>0.55547498187092104</v>
      </c>
      <c r="W918" s="12"/>
      <c r="X918" s="12"/>
      <c r="Y918" t="str">
        <v>20070302</v>
      </c>
      <c r="Z918">
        <v>46.2</v>
      </c>
      <c r="AA918">
        <v>26.9</v>
      </c>
      <c r="AB918">
        <f t="shared" si="150"/>
        <v>1.717472118959108</v>
      </c>
      <c r="AY918" t="str">
        <v>15/02/2021</v>
      </c>
      <c r="AZ918">
        <v>56.3</v>
      </c>
      <c r="BA918">
        <v>18.5</v>
      </c>
      <c r="BB918">
        <f t="shared" si="151"/>
        <v>3.0432432432432432</v>
      </c>
    </row>
    <row r="919" spans="1:54" x14ac:dyDescent="0.3">
      <c r="A919" s="11">
        <v>44190</v>
      </c>
      <c r="B919">
        <v>0.72077922077922096</v>
      </c>
      <c r="C919">
        <v>3703.06</v>
      </c>
      <c r="D919">
        <v>157.29</v>
      </c>
      <c r="E919">
        <v>1877.1</v>
      </c>
      <c r="F919">
        <v>86.37</v>
      </c>
      <c r="G919">
        <v>52.29</v>
      </c>
      <c r="H919" s="12">
        <f t="shared" si="146"/>
        <v>87.364414901701778</v>
      </c>
      <c r="I919" s="12">
        <f t="shared" si="147"/>
        <v>77.808053966808743</v>
      </c>
      <c r="J919" s="12">
        <f t="shared" si="148"/>
        <v>123.11577527118651</v>
      </c>
      <c r="K919" s="12">
        <f t="shared" si="149"/>
        <v>113.89257223480136</v>
      </c>
      <c r="P919" s="12"/>
      <c r="Q919" s="12"/>
      <c r="R919" s="12"/>
      <c r="S919" s="12"/>
      <c r="V919">
        <v>0.56379187455452595</v>
      </c>
      <c r="W919" s="12"/>
      <c r="X919" s="12"/>
      <c r="Y919" t="str">
        <v>20070223</v>
      </c>
      <c r="Z919">
        <v>50.5</v>
      </c>
      <c r="AA919">
        <v>24.2</v>
      </c>
      <c r="AB919">
        <f t="shared" si="150"/>
        <v>2.0867768595041323</v>
      </c>
      <c r="AY919" t="str">
        <v>12/02/2021</v>
      </c>
      <c r="AZ919">
        <v>59.1</v>
      </c>
      <c r="BA919">
        <v>18.100000000000001</v>
      </c>
      <c r="BB919">
        <f t="shared" si="151"/>
        <v>3.2651933701657456</v>
      </c>
    </row>
    <row r="920" spans="1:54" x14ac:dyDescent="0.3">
      <c r="A920" s="11">
        <v>44189</v>
      </c>
      <c r="B920">
        <v>0.73076923076923095</v>
      </c>
      <c r="C920">
        <v>3690.01</v>
      </c>
      <c r="D920">
        <v>156.66999999999999</v>
      </c>
      <c r="E920">
        <v>1872.75</v>
      </c>
      <c r="F920">
        <v>86.39</v>
      </c>
      <c r="G920">
        <v>52.36</v>
      </c>
      <c r="H920" s="12">
        <f t="shared" si="146"/>
        <v>87.401192172090333</v>
      </c>
      <c r="I920" s="12">
        <f t="shared" si="147"/>
        <v>77.713725944874369</v>
      </c>
      <c r="J920" s="12">
        <f t="shared" si="148"/>
        <v>122.65360617310228</v>
      </c>
      <c r="K920" s="12">
        <f t="shared" si="149"/>
        <v>113.34021164011679</v>
      </c>
      <c r="P920" s="12"/>
      <c r="Q920" s="12"/>
      <c r="R920" s="12"/>
      <c r="S920" s="12"/>
      <c r="V920">
        <v>0.56109550561797705</v>
      </c>
      <c r="W920" s="12"/>
      <c r="X920" s="12"/>
      <c r="Y920" t="str">
        <v>20070216</v>
      </c>
      <c r="Z920">
        <v>50</v>
      </c>
      <c r="AA920">
        <v>22.2</v>
      </c>
      <c r="AB920">
        <f t="shared" si="150"/>
        <v>2.2522522522522523</v>
      </c>
      <c r="AY920" t="str">
        <v>11/02/2021</v>
      </c>
      <c r="AZ920">
        <v>59.1</v>
      </c>
      <c r="BA920">
        <v>18.100000000000001</v>
      </c>
      <c r="BB920">
        <f t="shared" si="151"/>
        <v>3.2651933701657456</v>
      </c>
    </row>
    <row r="921" spans="1:54" x14ac:dyDescent="0.3">
      <c r="A921" s="11">
        <v>44188</v>
      </c>
      <c r="B921">
        <v>0.746835443037975</v>
      </c>
      <c r="C921">
        <v>3687.26</v>
      </c>
      <c r="D921">
        <v>157.76</v>
      </c>
      <c r="E921">
        <v>1860.25</v>
      </c>
      <c r="F921">
        <v>86.37</v>
      </c>
      <c r="G921">
        <v>51.83</v>
      </c>
      <c r="H921" s="12">
        <f t="shared" si="146"/>
        <v>86.737215279587716</v>
      </c>
      <c r="I921" s="12">
        <f t="shared" si="147"/>
        <v>78.180755551162079</v>
      </c>
      <c r="J921" s="12">
        <f t="shared" si="148"/>
        <v>122.59056405302915</v>
      </c>
      <c r="K921" s="12">
        <f t="shared" si="149"/>
        <v>114.42495180004089</v>
      </c>
      <c r="P921" s="12"/>
      <c r="Q921" s="12"/>
      <c r="R921" s="12"/>
      <c r="S921" s="12"/>
      <c r="V921">
        <v>0.56388888888888899</v>
      </c>
      <c r="W921" s="12"/>
      <c r="X921" s="12"/>
      <c r="Y921" t="str">
        <v>20070209</v>
      </c>
      <c r="Z921">
        <v>51.1</v>
      </c>
      <c r="AA921">
        <v>21.1</v>
      </c>
      <c r="AB921">
        <f t="shared" si="150"/>
        <v>2.4218009478672986</v>
      </c>
      <c r="AY921" t="str">
        <v>10/02/2021</v>
      </c>
      <c r="AZ921">
        <v>59.1</v>
      </c>
      <c r="BA921">
        <v>18.100000000000001</v>
      </c>
      <c r="BB921">
        <f t="shared" si="151"/>
        <v>3.2651933701657456</v>
      </c>
    </row>
    <row r="922" spans="1:54" x14ac:dyDescent="0.3">
      <c r="A922" s="11">
        <v>44187</v>
      </c>
      <c r="B922">
        <v>0.74440894568690097</v>
      </c>
      <c r="C922">
        <v>3694.92</v>
      </c>
      <c r="D922">
        <v>156.94999999999999</v>
      </c>
      <c r="E922">
        <v>1877.075</v>
      </c>
      <c r="F922">
        <v>86.37</v>
      </c>
      <c r="G922">
        <v>52.01</v>
      </c>
      <c r="H922" s="12">
        <f t="shared" si="146"/>
        <v>87.369244029559979</v>
      </c>
      <c r="I922" s="12">
        <f t="shared" si="147"/>
        <v>77.645753233612609</v>
      </c>
      <c r="J922" s="12">
        <f t="shared" si="148"/>
        <v>122.84523655256707</v>
      </c>
      <c r="K922" s="12">
        <f t="shared" si="149"/>
        <v>114.26637791355961</v>
      </c>
      <c r="P922" s="12"/>
      <c r="Q922" s="12"/>
      <c r="R922" s="12"/>
      <c r="S922" s="12"/>
      <c r="V922">
        <v>0.56497567755385703</v>
      </c>
      <c r="W922" s="12"/>
      <c r="X922" s="12"/>
      <c r="Y922" t="str">
        <v>20070202</v>
      </c>
      <c r="Z922">
        <v>52.2</v>
      </c>
      <c r="AA922">
        <v>22.2</v>
      </c>
      <c r="AB922">
        <f t="shared" si="150"/>
        <v>2.3513513513513518</v>
      </c>
      <c r="AY922" t="str">
        <v>09/02/2021</v>
      </c>
      <c r="AZ922">
        <v>59.1</v>
      </c>
      <c r="BA922">
        <v>18.100000000000001</v>
      </c>
      <c r="BB922">
        <f t="shared" si="151"/>
        <v>3.2651933701657456</v>
      </c>
    </row>
    <row r="923" spans="1:54" x14ac:dyDescent="0.3">
      <c r="A923" s="11">
        <v>44184</v>
      </c>
      <c r="B923">
        <v>0.73684210526315796</v>
      </c>
      <c r="C923">
        <v>3709.41</v>
      </c>
      <c r="D923">
        <v>156.33000000000001</v>
      </c>
      <c r="E923">
        <v>1882.43</v>
      </c>
      <c r="F923">
        <v>86.37</v>
      </c>
      <c r="G923">
        <v>52.65</v>
      </c>
      <c r="H923" s="12">
        <f t="shared" si="146"/>
        <v>88.062494088081692</v>
      </c>
      <c r="I923" s="12">
        <f t="shared" si="147"/>
        <v>77.728266008468026</v>
      </c>
      <c r="J923" s="12">
        <f t="shared" si="148"/>
        <v>123.32698648968254</v>
      </c>
      <c r="K923" s="12">
        <f t="shared" si="149"/>
        <v>113.3314541739427</v>
      </c>
      <c r="P923" s="12"/>
      <c r="Q923" s="12"/>
      <c r="R923" s="12"/>
      <c r="S923" s="12"/>
      <c r="V923">
        <v>0.57345971563981002</v>
      </c>
      <c r="W923" s="12"/>
      <c r="X923" s="12"/>
      <c r="Y923" t="str">
        <v>20070126</v>
      </c>
      <c r="Z923">
        <v>53.3</v>
      </c>
      <c r="AA923">
        <v>21.1</v>
      </c>
      <c r="AB923">
        <f t="shared" si="150"/>
        <v>2.5260663507109</v>
      </c>
      <c r="AY923" t="str">
        <v>08/02/2021</v>
      </c>
      <c r="AZ923">
        <v>59.1</v>
      </c>
      <c r="BA923">
        <v>18.100000000000001</v>
      </c>
      <c r="BB923">
        <f t="shared" si="151"/>
        <v>3.2651933701657456</v>
      </c>
    </row>
    <row r="924" spans="1:54" x14ac:dyDescent="0.3">
      <c r="A924" s="11">
        <v>44183</v>
      </c>
      <c r="B924">
        <v>0.71739130434782605</v>
      </c>
      <c r="C924">
        <v>3722.48</v>
      </c>
      <c r="D924">
        <v>156.80000000000001</v>
      </c>
      <c r="E924">
        <v>1885.65</v>
      </c>
      <c r="F924">
        <v>86.38</v>
      </c>
      <c r="G924">
        <v>52.92</v>
      </c>
      <c r="H924" s="12">
        <f t="shared" si="146"/>
        <v>88.107750735324572</v>
      </c>
      <c r="I924" s="12">
        <f t="shared" si="147"/>
        <v>77.868699572636515</v>
      </c>
      <c r="J924" s="12">
        <f t="shared" si="148"/>
        <v>123.74714921809672</v>
      </c>
      <c r="K924" s="12">
        <f t="shared" si="149"/>
        <v>113.15143694882211</v>
      </c>
      <c r="P924" s="12"/>
      <c r="Q924" s="12"/>
      <c r="R924" s="12"/>
      <c r="S924" s="12"/>
      <c r="V924">
        <v>0.582995951417004</v>
      </c>
      <c r="W924" s="12"/>
      <c r="X924" s="12"/>
      <c r="Y924" t="str">
        <v>20070119</v>
      </c>
      <c r="Z924">
        <v>52.7</v>
      </c>
      <c r="AA924">
        <v>20.9</v>
      </c>
      <c r="AB924">
        <f t="shared" si="150"/>
        <v>2.5215311004784691</v>
      </c>
      <c r="AY924" t="str">
        <v>05/02/2021</v>
      </c>
      <c r="AZ924">
        <v>58.6</v>
      </c>
      <c r="BA924">
        <v>18.3</v>
      </c>
      <c r="BB924">
        <f t="shared" si="151"/>
        <v>3.2021857923497268</v>
      </c>
    </row>
    <row r="925" spans="1:54" x14ac:dyDescent="0.3">
      <c r="A925" s="11">
        <v>44182</v>
      </c>
      <c r="B925">
        <v>0.71739130434782605</v>
      </c>
      <c r="C925">
        <v>3701.17</v>
      </c>
      <c r="D925">
        <v>157.38</v>
      </c>
      <c r="E925">
        <v>1864.9749999999999</v>
      </c>
      <c r="F925">
        <v>86.41</v>
      </c>
      <c r="G925">
        <v>52.53</v>
      </c>
      <c r="H925" s="12">
        <f t="shared" si="146"/>
        <v>87.283533518239253</v>
      </c>
      <c r="I925" s="12">
        <f t="shared" si="147"/>
        <v>78.2858300146505</v>
      </c>
      <c r="J925" s="12">
        <f t="shared" si="148"/>
        <v>122.99627897101425</v>
      </c>
      <c r="K925" s="12">
        <f t="shared" si="149"/>
        <v>113.34034017786792</v>
      </c>
      <c r="P925" s="12"/>
      <c r="Q925" s="12"/>
      <c r="R925" s="12"/>
      <c r="S925" s="12"/>
      <c r="V925">
        <v>0.58153638814016195</v>
      </c>
      <c r="W925" s="12"/>
      <c r="X925" s="12"/>
      <c r="Y925" t="str">
        <v>20070112</v>
      </c>
      <c r="Z925">
        <v>50.5</v>
      </c>
      <c r="AA925">
        <v>22.1</v>
      </c>
      <c r="AB925">
        <f t="shared" si="150"/>
        <v>2.2850678733031673</v>
      </c>
      <c r="AY925" t="str">
        <v>04/02/2021</v>
      </c>
      <c r="AZ925">
        <v>58.6</v>
      </c>
      <c r="BA925">
        <v>18.3</v>
      </c>
      <c r="BB925">
        <f t="shared" si="151"/>
        <v>3.2021857923497268</v>
      </c>
    </row>
    <row r="926" spans="1:54" x14ac:dyDescent="0.3">
      <c r="A926" s="11">
        <v>44181</v>
      </c>
      <c r="B926">
        <v>0.71384615384615402</v>
      </c>
      <c r="C926">
        <v>3694.62</v>
      </c>
      <c r="D926">
        <v>157.80000000000001</v>
      </c>
      <c r="E926">
        <v>1853.5</v>
      </c>
      <c r="F926">
        <v>86.41</v>
      </c>
      <c r="G926">
        <v>52.34</v>
      </c>
      <c r="H926" s="12">
        <f t="shared" si="146"/>
        <v>86.89818827777718</v>
      </c>
      <c r="I926" s="12">
        <f t="shared" si="147"/>
        <v>78.633242842073827</v>
      </c>
      <c r="J926" s="12">
        <f t="shared" si="148"/>
        <v>122.77861114509429</v>
      </c>
      <c r="K926" s="12">
        <f t="shared" si="149"/>
        <v>113.55123465355962</v>
      </c>
      <c r="P926" s="12"/>
      <c r="Q926" s="12"/>
      <c r="R926" s="12"/>
      <c r="S926" s="12"/>
      <c r="V926">
        <v>0.57740863787375396</v>
      </c>
      <c r="W926" s="12"/>
      <c r="X926" s="12"/>
      <c r="Y926" t="str">
        <v>20070105</v>
      </c>
      <c r="Z926">
        <v>55.4</v>
      </c>
      <c r="AA926">
        <v>20.7</v>
      </c>
      <c r="AB926">
        <f t="shared" si="150"/>
        <v>2.6763285024154588</v>
      </c>
      <c r="AY926" t="str">
        <v>03/02/2021</v>
      </c>
      <c r="AZ926">
        <v>58.6</v>
      </c>
      <c r="BA926">
        <v>18.3</v>
      </c>
      <c r="BB926">
        <f t="shared" si="151"/>
        <v>3.2021857923497268</v>
      </c>
    </row>
    <row r="927" spans="1:54" x14ac:dyDescent="0.3">
      <c r="A927" s="11">
        <v>44180</v>
      </c>
      <c r="B927">
        <v>0.71019108280254795</v>
      </c>
      <c r="C927">
        <v>3647.49</v>
      </c>
      <c r="D927">
        <v>158.33000000000001</v>
      </c>
      <c r="E927">
        <v>1827.35</v>
      </c>
      <c r="F927">
        <v>86.41</v>
      </c>
      <c r="G927">
        <v>51.78</v>
      </c>
      <c r="H927" s="12">
        <f t="shared" si="146"/>
        <v>85.507102874298582</v>
      </c>
      <c r="I927" s="12">
        <f t="shared" si="147"/>
        <v>78.742626255410173</v>
      </c>
      <c r="J927" s="12">
        <f t="shared" si="148"/>
        <v>121.21239975034509</v>
      </c>
      <c r="K927" s="12">
        <f t="shared" si="149"/>
        <v>113.31257255937967</v>
      </c>
      <c r="P927" s="12"/>
      <c r="Q927" s="12"/>
      <c r="R927" s="12"/>
      <c r="S927" s="12"/>
      <c r="V927">
        <v>0.58574310692669795</v>
      </c>
      <c r="W927" s="12"/>
      <c r="X927" s="12"/>
      <c r="Y927" t="str">
        <v>20061229</v>
      </c>
      <c r="Z927">
        <v>55.3</v>
      </c>
      <c r="AA927">
        <v>21.3</v>
      </c>
      <c r="AB927">
        <f t="shared" si="150"/>
        <v>2.596244131455399</v>
      </c>
      <c r="AY927" t="str">
        <v>02/02/2021</v>
      </c>
      <c r="AZ927">
        <v>58.6</v>
      </c>
      <c r="BA927">
        <v>18.3</v>
      </c>
      <c r="BB927">
        <f t="shared" si="151"/>
        <v>3.2021857923497268</v>
      </c>
    </row>
    <row r="928" spans="1:54" x14ac:dyDescent="0.3">
      <c r="A928" s="11">
        <v>44177</v>
      </c>
      <c r="B928">
        <v>0.75076923076923097</v>
      </c>
      <c r="C928">
        <v>3663.46</v>
      </c>
      <c r="D928">
        <v>158.77000000000001</v>
      </c>
      <c r="E928">
        <v>1838.53</v>
      </c>
      <c r="F928">
        <v>86.42</v>
      </c>
      <c r="G928">
        <v>52.34</v>
      </c>
      <c r="H928" s="12">
        <f t="shared" si="146"/>
        <v>85.643100908632235</v>
      </c>
      <c r="I928" s="12">
        <f t="shared" si="147"/>
        <v>78.607289799745161</v>
      </c>
      <c r="J928" s="12">
        <f t="shared" si="148"/>
        <v>121.72896305272891</v>
      </c>
      <c r="K928" s="12">
        <f t="shared" si="149"/>
        <v>112.5986960321173</v>
      </c>
      <c r="P928" s="12"/>
      <c r="Q928" s="12"/>
      <c r="R928" s="12"/>
      <c r="S928" s="12"/>
      <c r="V928">
        <v>0.59607843137254901</v>
      </c>
      <c r="W928" s="12"/>
      <c r="X928" s="12"/>
      <c r="Y928" t="str">
        <v>20061222</v>
      </c>
      <c r="Z928">
        <v>56.5</v>
      </c>
      <c r="AA928">
        <v>19.600000000000001</v>
      </c>
      <c r="AB928">
        <f t="shared" si="150"/>
        <v>2.8826530612244894</v>
      </c>
      <c r="AY928" t="str">
        <v>01/02/2021</v>
      </c>
      <c r="AZ928">
        <v>58.6</v>
      </c>
      <c r="BA928">
        <v>18.3</v>
      </c>
      <c r="BB928">
        <f t="shared" si="151"/>
        <v>3.2021857923497268</v>
      </c>
    </row>
    <row r="929" spans="1:54" x14ac:dyDescent="0.3">
      <c r="A929" s="11">
        <v>44176</v>
      </c>
      <c r="B929">
        <v>0.75535168195718605</v>
      </c>
      <c r="C929">
        <v>3668.1</v>
      </c>
      <c r="D929">
        <v>158.21</v>
      </c>
      <c r="E929">
        <v>1836.4</v>
      </c>
      <c r="F929">
        <v>86.37</v>
      </c>
      <c r="G929">
        <v>52.59</v>
      </c>
      <c r="H929" s="12">
        <f t="shared" si="146"/>
        <v>86.056564779668349</v>
      </c>
      <c r="I929" s="12">
        <f t="shared" si="147"/>
        <v>78.798363071421207</v>
      </c>
      <c r="J929" s="12">
        <f t="shared" si="148"/>
        <v>121.95382942277688</v>
      </c>
      <c r="K929" s="12">
        <f t="shared" si="149"/>
        <v>112.20722797068103</v>
      </c>
      <c r="P929" s="12"/>
      <c r="Q929" s="12"/>
      <c r="R929" s="12"/>
      <c r="S929" s="12"/>
      <c r="V929">
        <v>0.59792477302204905</v>
      </c>
      <c r="W929" s="12"/>
      <c r="X929" s="12"/>
      <c r="Y929" t="str">
        <v>20061215</v>
      </c>
      <c r="Z929">
        <v>58.8</v>
      </c>
      <c r="AA929">
        <v>20.6</v>
      </c>
      <c r="AB929">
        <f t="shared" si="150"/>
        <v>2.8543689320388346</v>
      </c>
      <c r="AY929" t="str">
        <v>29/01/2021</v>
      </c>
      <c r="AZ929">
        <v>57.8</v>
      </c>
      <c r="BA929">
        <v>16.7</v>
      </c>
      <c r="BB929">
        <f t="shared" si="151"/>
        <v>3.4610778443113772</v>
      </c>
    </row>
    <row r="930" spans="1:54" x14ac:dyDescent="0.3">
      <c r="A930" s="11">
        <v>44175</v>
      </c>
      <c r="B930">
        <v>0.74242424242424199</v>
      </c>
      <c r="C930">
        <v>3672.82</v>
      </c>
      <c r="D930">
        <v>156.82</v>
      </c>
      <c r="E930">
        <v>1840.15</v>
      </c>
      <c r="F930">
        <v>86.35</v>
      </c>
      <c r="G930">
        <v>52.31</v>
      </c>
      <c r="H930" s="12">
        <f t="shared" si="146"/>
        <v>86.938888556320705</v>
      </c>
      <c r="I930" s="12">
        <f t="shared" si="147"/>
        <v>78.73909133239313</v>
      </c>
      <c r="J930" s="12">
        <f t="shared" si="148"/>
        <v>122.13908162589723</v>
      </c>
      <c r="K930" s="12">
        <f t="shared" si="149"/>
        <v>112.95701643739491</v>
      </c>
      <c r="P930" s="12"/>
      <c r="Q930" s="12"/>
      <c r="R930" s="12"/>
      <c r="S930" s="12"/>
      <c r="V930">
        <v>0.59844054580896699</v>
      </c>
      <c r="W930" s="12"/>
      <c r="X930" s="12"/>
      <c r="Y930" t="str">
        <v>20061208</v>
      </c>
      <c r="Z930">
        <v>59.6</v>
      </c>
      <c r="AA930">
        <v>21.3</v>
      </c>
      <c r="AB930">
        <f t="shared" si="150"/>
        <v>2.7981220657276995</v>
      </c>
      <c r="AY930" t="str">
        <v>28/01/2021</v>
      </c>
      <c r="AZ930">
        <v>57.8</v>
      </c>
      <c r="BA930">
        <v>16.7</v>
      </c>
      <c r="BB930">
        <f t="shared" si="151"/>
        <v>3.4610778443113772</v>
      </c>
    </row>
    <row r="931" spans="1:54" x14ac:dyDescent="0.3">
      <c r="A931" s="11">
        <v>44174</v>
      </c>
      <c r="B931">
        <v>0.74774774774774799</v>
      </c>
      <c r="C931">
        <v>3702.25</v>
      </c>
      <c r="D931">
        <v>157.34</v>
      </c>
      <c r="E931">
        <v>1870.325</v>
      </c>
      <c r="F931">
        <v>86.36</v>
      </c>
      <c r="G931">
        <v>52.41</v>
      </c>
      <c r="H931" s="12">
        <f t="shared" si="146"/>
        <v>87.344540654587945</v>
      </c>
      <c r="I931" s="12">
        <f t="shared" si="147"/>
        <v>78.099895266295391</v>
      </c>
      <c r="J931" s="12">
        <f t="shared" si="148"/>
        <v>123.10340298904698</v>
      </c>
      <c r="K931" s="12">
        <f t="shared" si="149"/>
        <v>113.64355845385194</v>
      </c>
      <c r="P931" s="12"/>
      <c r="Q931" s="12"/>
      <c r="R931" s="12"/>
      <c r="S931" s="12"/>
      <c r="V931">
        <v>0.59661678594664902</v>
      </c>
      <c r="W931" s="12"/>
      <c r="X931" s="12"/>
      <c r="Y931" t="str">
        <v>20061201</v>
      </c>
      <c r="Z931">
        <v>59.8</v>
      </c>
      <c r="AA931">
        <v>23.9</v>
      </c>
      <c r="AB931">
        <f t="shared" si="150"/>
        <v>2.502092050209205</v>
      </c>
      <c r="AY931" t="str">
        <v>27/01/2021</v>
      </c>
      <c r="AZ931">
        <v>57.8</v>
      </c>
      <c r="BA931">
        <v>16.7</v>
      </c>
      <c r="BB931">
        <f t="shared" si="151"/>
        <v>3.4610778443113772</v>
      </c>
    </row>
    <row r="932" spans="1:54" x14ac:dyDescent="0.3">
      <c r="A932" s="11">
        <v>44173</v>
      </c>
      <c r="B932">
        <v>0.75</v>
      </c>
      <c r="C932">
        <v>3691.96</v>
      </c>
      <c r="D932">
        <v>156.6</v>
      </c>
      <c r="E932">
        <v>1861.9</v>
      </c>
      <c r="F932">
        <v>86.38</v>
      </c>
      <c r="G932">
        <v>52.26</v>
      </c>
      <c r="H932" s="12">
        <f t="shared" si="146"/>
        <v>87.514167406249243</v>
      </c>
      <c r="I932" s="12">
        <f t="shared" si="147"/>
        <v>78.235854330289342</v>
      </c>
      <c r="J932" s="12">
        <f t="shared" si="148"/>
        <v>122.73291251713545</v>
      </c>
      <c r="K932" s="12">
        <f t="shared" si="149"/>
        <v>113.6530060428299</v>
      </c>
      <c r="P932" s="12"/>
      <c r="Q932" s="12"/>
      <c r="R932" s="12"/>
      <c r="S932" s="12"/>
      <c r="V932">
        <v>0.59399477806788503</v>
      </c>
      <c r="W932" s="12"/>
      <c r="X932" s="12"/>
      <c r="Y932" t="str">
        <v>20061124</v>
      </c>
      <c r="Z932">
        <v>57.5</v>
      </c>
      <c r="AA932">
        <v>22.3</v>
      </c>
      <c r="AB932">
        <f t="shared" si="150"/>
        <v>2.5784753363228701</v>
      </c>
      <c r="AY932" t="str">
        <v>26/01/2021</v>
      </c>
      <c r="AZ932">
        <v>57.8</v>
      </c>
      <c r="BA932">
        <v>16.7</v>
      </c>
      <c r="BB932">
        <f t="shared" si="151"/>
        <v>3.4610778443113772</v>
      </c>
    </row>
    <row r="933" spans="1:54" x14ac:dyDescent="0.3">
      <c r="A933" s="11">
        <v>44170</v>
      </c>
      <c r="B933">
        <v>0.79239766081871299</v>
      </c>
      <c r="C933">
        <v>3699.12</v>
      </c>
      <c r="D933">
        <v>155.19999999999999</v>
      </c>
      <c r="E933">
        <v>1839.54</v>
      </c>
      <c r="F933">
        <v>86.36</v>
      </c>
      <c r="G933">
        <v>52.52</v>
      </c>
      <c r="H933" s="12">
        <f t="shared" si="146"/>
        <v>88.483612808063668</v>
      </c>
      <c r="I933" s="12">
        <f t="shared" si="147"/>
        <v>79.354016558241568</v>
      </c>
      <c r="J933" s="12">
        <f t="shared" si="148"/>
        <v>122.99947503498835</v>
      </c>
      <c r="K933" s="12">
        <f t="shared" si="149"/>
        <v>113.31138360265726</v>
      </c>
      <c r="P933" s="12"/>
      <c r="Q933" s="12"/>
      <c r="R933" s="12"/>
      <c r="S933" s="12"/>
      <c r="V933">
        <v>0.58868894601542399</v>
      </c>
      <c r="W933" s="12"/>
      <c r="X933" s="12"/>
      <c r="Y933" t="str">
        <v>20061117</v>
      </c>
      <c r="Z933">
        <v>58.5</v>
      </c>
      <c r="AA933">
        <v>22.3</v>
      </c>
      <c r="AB933">
        <f t="shared" si="150"/>
        <v>2.623318385650224</v>
      </c>
      <c r="AY933" t="str">
        <v>25/01/2021</v>
      </c>
      <c r="AZ933">
        <v>57.8</v>
      </c>
      <c r="BA933">
        <v>16.7</v>
      </c>
      <c r="BB933">
        <f t="shared" si="151"/>
        <v>3.4610778443113772</v>
      </c>
    </row>
    <row r="934" spans="1:54" x14ac:dyDescent="0.3">
      <c r="A934" s="11">
        <v>44169</v>
      </c>
      <c r="B934">
        <v>0.80281690140845097</v>
      </c>
      <c r="C934">
        <v>3666.72</v>
      </c>
      <c r="D934">
        <v>157.51</v>
      </c>
      <c r="E934">
        <v>1841.1</v>
      </c>
      <c r="F934">
        <v>86.37</v>
      </c>
      <c r="G934">
        <v>52.06</v>
      </c>
      <c r="H934" s="12">
        <f t="shared" si="146"/>
        <v>86.451824567198685</v>
      </c>
      <c r="I934" s="12">
        <f t="shared" si="147"/>
        <v>78.592957360804974</v>
      </c>
      <c r="J934" s="12">
        <f t="shared" si="148"/>
        <v>121.90815130764145</v>
      </c>
      <c r="K934" s="12">
        <f t="shared" si="149"/>
        <v>113.3113522607491</v>
      </c>
      <c r="P934" s="12"/>
      <c r="Q934" s="12"/>
      <c r="R934" s="12"/>
      <c r="S934" s="12"/>
      <c r="V934">
        <v>0.58792991563919506</v>
      </c>
      <c r="W934" s="12"/>
      <c r="X934" s="12"/>
      <c r="Y934" t="str">
        <v>20061110</v>
      </c>
      <c r="Z934">
        <v>56.4</v>
      </c>
      <c r="AA934">
        <v>22.3</v>
      </c>
      <c r="AB934">
        <f t="shared" si="150"/>
        <v>2.52914798206278</v>
      </c>
      <c r="AY934" t="str">
        <v>22/01/2021</v>
      </c>
      <c r="AZ934">
        <v>61.2</v>
      </c>
      <c r="BA934">
        <v>16.5</v>
      </c>
      <c r="BB934">
        <f t="shared" si="151"/>
        <v>3.7090909090909094</v>
      </c>
    </row>
    <row r="935" spans="1:54" x14ac:dyDescent="0.3">
      <c r="A935" s="11">
        <v>44168</v>
      </c>
      <c r="B935">
        <v>0.800561797752809</v>
      </c>
      <c r="C935">
        <v>3669.01</v>
      </c>
      <c r="D935">
        <v>156.25</v>
      </c>
      <c r="E935">
        <v>1830.75</v>
      </c>
      <c r="F935">
        <v>86.35</v>
      </c>
      <c r="G935">
        <v>51.79</v>
      </c>
      <c r="H935" s="12">
        <f t="shared" si="146"/>
        <v>87.209513603522964</v>
      </c>
      <c r="I935" s="12">
        <f t="shared" si="147"/>
        <v>79.089446684880059</v>
      </c>
      <c r="J935" s="12">
        <f t="shared" si="148"/>
        <v>122.0125650348612</v>
      </c>
      <c r="K935" s="12">
        <f t="shared" si="149"/>
        <v>113.97669213810501</v>
      </c>
      <c r="P935" s="12"/>
      <c r="Q935" s="12"/>
      <c r="R935" s="12"/>
      <c r="S935" s="12"/>
      <c r="V935">
        <v>0.58568614576493805</v>
      </c>
      <c r="W935" s="12"/>
      <c r="X935" s="12"/>
      <c r="Y935" t="str">
        <v>20061103</v>
      </c>
      <c r="Z935">
        <v>52.1</v>
      </c>
      <c r="AA935">
        <v>26</v>
      </c>
      <c r="AB935">
        <f t="shared" si="150"/>
        <v>2.0038461538461538</v>
      </c>
      <c r="AY935" t="str">
        <v>21/01/2021</v>
      </c>
      <c r="AZ935">
        <v>61.2</v>
      </c>
      <c r="BA935">
        <v>16.5</v>
      </c>
      <c r="BB935">
        <f t="shared" si="151"/>
        <v>3.7090909090909094</v>
      </c>
    </row>
    <row r="936" spans="1:54" x14ac:dyDescent="0.3">
      <c r="A936" s="11">
        <v>44167</v>
      </c>
      <c r="B936">
        <v>0.808864265927978</v>
      </c>
      <c r="C936">
        <v>3662.45</v>
      </c>
      <c r="D936">
        <v>157.5</v>
      </c>
      <c r="E936">
        <v>1815</v>
      </c>
      <c r="F936">
        <v>86.33</v>
      </c>
      <c r="G936">
        <v>51.74</v>
      </c>
      <c r="H936" s="12">
        <f t="shared" si="146"/>
        <v>86.369342123880841</v>
      </c>
      <c r="I936" s="12">
        <f t="shared" si="147"/>
        <v>79.637875720715869</v>
      </c>
      <c r="J936" s="12">
        <f t="shared" si="148"/>
        <v>121.82258496050892</v>
      </c>
      <c r="K936" s="12">
        <f t="shared" si="149"/>
        <v>113.88276386437057</v>
      </c>
      <c r="P936" s="12"/>
      <c r="Q936" s="12"/>
      <c r="R936" s="12"/>
      <c r="S936" s="12"/>
      <c r="V936">
        <v>0.59304571796522898</v>
      </c>
      <c r="W936" s="12"/>
      <c r="X936" s="12"/>
      <c r="Y936" t="str">
        <v>20061027</v>
      </c>
      <c r="Z936">
        <v>53.7</v>
      </c>
      <c r="AA936">
        <v>28.4</v>
      </c>
      <c r="AB936">
        <f t="shared" si="150"/>
        <v>1.8908450704225355</v>
      </c>
      <c r="AY936" t="str">
        <v>20/01/2021</v>
      </c>
      <c r="AZ936">
        <v>61.2</v>
      </c>
      <c r="BA936">
        <v>16.5</v>
      </c>
      <c r="BB936">
        <f t="shared" si="151"/>
        <v>3.7090909090909094</v>
      </c>
    </row>
    <row r="937" spans="1:54" x14ac:dyDescent="0.3">
      <c r="A937" s="11">
        <v>44165</v>
      </c>
      <c r="B937">
        <v>0.80501392757660195</v>
      </c>
      <c r="C937">
        <v>3621.63</v>
      </c>
      <c r="D937">
        <v>160.02000000000001</v>
      </c>
      <c r="E937">
        <v>1777.1</v>
      </c>
      <c r="F937">
        <v>86.41</v>
      </c>
      <c r="G937">
        <v>50.73</v>
      </c>
      <c r="H937" s="12">
        <f t="shared" si="146"/>
        <v>84.097105653005315</v>
      </c>
      <c r="I937" s="12">
        <f t="shared" si="147"/>
        <v>80.446825907249561</v>
      </c>
      <c r="J937" s="12">
        <f t="shared" si="148"/>
        <v>120.35462124282914</v>
      </c>
      <c r="K937" s="12">
        <f t="shared" si="149"/>
        <v>114.87507265289031</v>
      </c>
      <c r="P937" s="12"/>
      <c r="Q937" s="12"/>
      <c r="R937" s="12"/>
      <c r="S937" s="12"/>
      <c r="V937">
        <v>0.58736299161831096</v>
      </c>
      <c r="W937" s="12"/>
      <c r="X937" s="12"/>
      <c r="Y937" t="str">
        <v>20061020</v>
      </c>
      <c r="Z937">
        <v>52.7</v>
      </c>
      <c r="AA937">
        <v>30.1</v>
      </c>
      <c r="AB937">
        <f t="shared" si="150"/>
        <v>1.7508305647840532</v>
      </c>
      <c r="AY937" t="str">
        <v>19/01/2021</v>
      </c>
      <c r="AZ937">
        <v>61.2</v>
      </c>
      <c r="BA937">
        <v>16.5</v>
      </c>
      <c r="BB937">
        <f t="shared" si="151"/>
        <v>3.7090909090909094</v>
      </c>
    </row>
    <row r="938" spans="1:54" x14ac:dyDescent="0.3">
      <c r="A938" s="11">
        <v>44163</v>
      </c>
      <c r="B938">
        <v>0.82464454976303303</v>
      </c>
      <c r="C938">
        <v>3638.35</v>
      </c>
      <c r="D938">
        <v>160.22</v>
      </c>
      <c r="E938">
        <v>1788.5</v>
      </c>
      <c r="F938">
        <v>86.39</v>
      </c>
      <c r="G938">
        <v>51.85</v>
      </c>
      <c r="H938" s="12">
        <f t="shared" si="146"/>
        <v>84.379541368903361</v>
      </c>
      <c r="I938" s="12">
        <f t="shared" si="147"/>
        <v>80.303999882511221</v>
      </c>
      <c r="J938" s="12">
        <f t="shared" si="148"/>
        <v>120.93839061124335</v>
      </c>
      <c r="K938" s="12">
        <f t="shared" si="149"/>
        <v>112.95425374397378</v>
      </c>
      <c r="P938" s="12"/>
      <c r="Q938" s="12"/>
      <c r="R938" s="12"/>
      <c r="S938" s="12"/>
      <c r="V938">
        <v>0.593241551939925</v>
      </c>
      <c r="W938" s="12"/>
      <c r="X938" s="12"/>
      <c r="Y938" t="str">
        <v>20061013</v>
      </c>
      <c r="Z938">
        <v>52.2</v>
      </c>
      <c r="AA938">
        <v>30</v>
      </c>
      <c r="AB938">
        <f t="shared" si="150"/>
        <v>1.74</v>
      </c>
      <c r="AY938" t="str">
        <v>18/01/2021</v>
      </c>
      <c r="AZ938">
        <v>61.2</v>
      </c>
      <c r="BA938">
        <v>16.5</v>
      </c>
      <c r="BB938">
        <f t="shared" si="151"/>
        <v>3.7090909090909094</v>
      </c>
    </row>
    <row r="939" spans="1:54" x14ac:dyDescent="0.3">
      <c r="A939" s="11">
        <v>44161</v>
      </c>
      <c r="B939">
        <v>0.81986143187066995</v>
      </c>
      <c r="C939">
        <v>3629.65</v>
      </c>
      <c r="D939">
        <v>158.68</v>
      </c>
      <c r="E939">
        <v>1807.6</v>
      </c>
      <c r="F939">
        <v>86.39</v>
      </c>
      <c r="G939">
        <v>51.47</v>
      </c>
      <c r="H939" s="12">
        <f t="shared" si="146"/>
        <v>85.00073879371952</v>
      </c>
      <c r="I939" s="12">
        <f t="shared" si="147"/>
        <v>79.276307625523572</v>
      </c>
      <c r="J939" s="12">
        <f t="shared" si="148"/>
        <v>120.64920348017631</v>
      </c>
      <c r="K939" s="12">
        <f t="shared" si="149"/>
        <v>113.52026763698073</v>
      </c>
      <c r="P939" s="12"/>
      <c r="Q939" s="12"/>
      <c r="R939" s="12"/>
      <c r="S939" s="12"/>
      <c r="V939">
        <v>0.59496855345911903</v>
      </c>
      <c r="W939" s="12"/>
      <c r="X939" s="12"/>
      <c r="Y939" t="str">
        <v>20061006</v>
      </c>
      <c r="Z939">
        <v>52.2</v>
      </c>
      <c r="AA939">
        <v>30.4</v>
      </c>
      <c r="AB939">
        <f t="shared" si="150"/>
        <v>1.7171052631578949</v>
      </c>
      <c r="AY939" t="str">
        <v>15/01/2021</v>
      </c>
      <c r="AZ939">
        <v>60.4</v>
      </c>
      <c r="BA939">
        <v>16.8</v>
      </c>
      <c r="BB939">
        <f t="shared" si="151"/>
        <v>3.5952380952380949</v>
      </c>
    </row>
    <row r="940" spans="1:54" x14ac:dyDescent="0.3">
      <c r="A940" s="11">
        <v>44160</v>
      </c>
      <c r="B940">
        <v>0.81944444444444398</v>
      </c>
      <c r="C940">
        <v>3635.41</v>
      </c>
      <c r="D940">
        <v>159.16999999999999</v>
      </c>
      <c r="E940">
        <v>1807.55</v>
      </c>
      <c r="F940">
        <v>86.38</v>
      </c>
      <c r="G940">
        <v>51.55</v>
      </c>
      <c r="H940" s="12">
        <f t="shared" si="146"/>
        <v>84.87393255123196</v>
      </c>
      <c r="I940" s="12">
        <f t="shared" si="147"/>
        <v>79.404313514087605</v>
      </c>
      <c r="J940" s="12">
        <f t="shared" si="148"/>
        <v>120.85467855638261</v>
      </c>
      <c r="K940" s="12">
        <f t="shared" si="149"/>
        <v>113.52395990675502</v>
      </c>
      <c r="P940" s="12"/>
      <c r="Q940" s="12"/>
      <c r="R940" s="12"/>
      <c r="S940" s="12"/>
      <c r="V940">
        <v>0.58871989860582996</v>
      </c>
      <c r="W940" s="12"/>
      <c r="X940" s="12"/>
      <c r="Y940" t="str">
        <v>20060929</v>
      </c>
      <c r="Z940">
        <v>49.5</v>
      </c>
      <c r="AA940">
        <v>33.299999999999997</v>
      </c>
      <c r="AB940">
        <f t="shared" si="150"/>
        <v>1.4864864864864866</v>
      </c>
      <c r="AY940" t="str">
        <v>14/01/2021</v>
      </c>
      <c r="AZ940">
        <v>60.4</v>
      </c>
      <c r="BA940">
        <v>16.8</v>
      </c>
      <c r="BB940">
        <f t="shared" si="151"/>
        <v>3.5952380952380949</v>
      </c>
    </row>
    <row r="941" spans="1:54" x14ac:dyDescent="0.3">
      <c r="A941" s="11">
        <v>44159</v>
      </c>
      <c r="B941">
        <v>0.815420560747664</v>
      </c>
      <c r="C941">
        <v>3577.59</v>
      </c>
      <c r="D941">
        <v>160.77000000000001</v>
      </c>
      <c r="E941">
        <v>1838.2249999999999</v>
      </c>
      <c r="F941">
        <v>86.37</v>
      </c>
      <c r="G941">
        <v>50.85</v>
      </c>
      <c r="H941" s="12">
        <f t="shared" si="146"/>
        <v>82.713954947555152</v>
      </c>
      <c r="I941" s="12">
        <f t="shared" si="147"/>
        <v>76.878917101093265</v>
      </c>
      <c r="J941" s="12">
        <f t="shared" si="148"/>
        <v>118.94607730988714</v>
      </c>
      <c r="K941" s="12">
        <f t="shared" si="149"/>
        <v>113.25263610014018</v>
      </c>
      <c r="P941" s="12"/>
      <c r="Q941" s="12"/>
      <c r="R941" s="12"/>
      <c r="S941" s="12"/>
      <c r="V941">
        <v>0.59449071108263896</v>
      </c>
      <c r="W941" s="12"/>
      <c r="X941" s="12"/>
      <c r="Y941" t="str">
        <v>20060922</v>
      </c>
      <c r="Z941">
        <v>47.4</v>
      </c>
      <c r="AA941">
        <v>33.700000000000003</v>
      </c>
      <c r="AB941">
        <f t="shared" si="150"/>
        <v>1.4065281899109792</v>
      </c>
      <c r="AY941" t="str">
        <v>13/01/2021</v>
      </c>
      <c r="AZ941">
        <v>60.4</v>
      </c>
      <c r="BA941">
        <v>16.8</v>
      </c>
      <c r="BB941">
        <f t="shared" si="151"/>
        <v>3.5952380952380949</v>
      </c>
    </row>
    <row r="942" spans="1:54" x14ac:dyDescent="0.3">
      <c r="A942" s="11">
        <v>44156</v>
      </c>
      <c r="B942">
        <v>0.82705099778270497</v>
      </c>
      <c r="C942">
        <v>3557.54</v>
      </c>
      <c r="D942">
        <v>161.51</v>
      </c>
      <c r="E942">
        <v>1870.14</v>
      </c>
      <c r="F942">
        <v>86.37</v>
      </c>
      <c r="G942">
        <v>50.8</v>
      </c>
      <c r="H942" s="12">
        <f t="shared" si="146"/>
        <v>81.877358576981266</v>
      </c>
      <c r="I942" s="12">
        <f t="shared" si="147"/>
        <v>75.172392223920525</v>
      </c>
      <c r="J942" s="12">
        <f t="shared" si="148"/>
        <v>118.27946407302566</v>
      </c>
      <c r="K942" s="12">
        <f t="shared" si="149"/>
        <v>112.7282619909778</v>
      </c>
      <c r="P942" s="12"/>
      <c r="Q942" s="12"/>
      <c r="R942" s="12"/>
      <c r="S942" s="12"/>
      <c r="V942">
        <v>0.60164141414141403</v>
      </c>
      <c r="W942" s="12"/>
      <c r="X942" s="12"/>
      <c r="Y942" t="str">
        <v>20060915</v>
      </c>
      <c r="Z942">
        <v>47.4</v>
      </c>
      <c r="AA942">
        <v>33.700000000000003</v>
      </c>
      <c r="AB942">
        <f t="shared" si="150"/>
        <v>1.4065281899109792</v>
      </c>
      <c r="AY942" t="str">
        <v>12/01/2021</v>
      </c>
      <c r="AZ942">
        <v>60.4</v>
      </c>
      <c r="BA942">
        <v>16.8</v>
      </c>
      <c r="BB942">
        <f t="shared" si="151"/>
        <v>3.5952380952380949</v>
      </c>
    </row>
    <row r="943" spans="1:54" x14ac:dyDescent="0.3">
      <c r="A943" s="11">
        <v>44155</v>
      </c>
      <c r="B943">
        <v>0.83006535947712401</v>
      </c>
      <c r="C943">
        <v>3581.87</v>
      </c>
      <c r="D943">
        <v>160.09</v>
      </c>
      <c r="E943">
        <v>1866.9</v>
      </c>
      <c r="F943">
        <v>86.36</v>
      </c>
      <c r="G943">
        <v>50.64</v>
      </c>
      <c r="H943" s="12">
        <f t="shared" si="146"/>
        <v>83.180172347180118</v>
      </c>
      <c r="I943" s="12">
        <f t="shared" si="147"/>
        <v>75.818979412629574</v>
      </c>
      <c r="J943" s="12">
        <f t="shared" si="148"/>
        <v>119.10226248195232</v>
      </c>
      <c r="K943" s="12">
        <f t="shared" si="149"/>
        <v>113.86142213499176</v>
      </c>
      <c r="P943" s="12"/>
      <c r="Q943" s="12"/>
      <c r="R943" s="12"/>
      <c r="S943" s="12"/>
      <c r="V943">
        <v>0.60329531051964502</v>
      </c>
      <c r="W943" s="12"/>
      <c r="X943" s="12"/>
      <c r="Y943" t="str">
        <v>20060908</v>
      </c>
      <c r="Z943">
        <v>45.8</v>
      </c>
      <c r="AA943">
        <v>35.4</v>
      </c>
      <c r="AB943">
        <f t="shared" si="150"/>
        <v>1.2937853107344632</v>
      </c>
      <c r="AY943" t="str">
        <v>11/01/2021</v>
      </c>
      <c r="AZ943">
        <v>60.4</v>
      </c>
      <c r="BA943">
        <v>16.8</v>
      </c>
      <c r="BB943">
        <f t="shared" si="151"/>
        <v>3.5952380952380949</v>
      </c>
    </row>
    <row r="944" spans="1:54" x14ac:dyDescent="0.3">
      <c r="A944" s="11">
        <v>44154</v>
      </c>
      <c r="B944">
        <v>0.81917211328976003</v>
      </c>
      <c r="C944">
        <v>3567.79</v>
      </c>
      <c r="D944">
        <v>159.27000000000001</v>
      </c>
      <c r="E944">
        <v>1872.5</v>
      </c>
      <c r="F944">
        <v>86.34</v>
      </c>
      <c r="G944">
        <v>50.35</v>
      </c>
      <c r="H944" s="12">
        <f t="shared" si="146"/>
        <v>83.280281022308429</v>
      </c>
      <c r="I944" s="12">
        <f t="shared" si="147"/>
        <v>75.296640980533638</v>
      </c>
      <c r="J944" s="12">
        <f t="shared" si="148"/>
        <v>118.66146146352793</v>
      </c>
      <c r="K944" s="12">
        <f t="shared" si="149"/>
        <v>114.06825772777553</v>
      </c>
      <c r="P944" s="12"/>
      <c r="Q944" s="12"/>
      <c r="R944" s="12"/>
      <c r="S944" s="12"/>
      <c r="V944">
        <v>0.59520807061790704</v>
      </c>
      <c r="W944" s="12"/>
      <c r="X944" s="12"/>
      <c r="Y944" t="str">
        <v>20060901</v>
      </c>
      <c r="Z944">
        <v>43.2</v>
      </c>
      <c r="AA944">
        <v>33.700000000000003</v>
      </c>
      <c r="AB944">
        <f t="shared" si="150"/>
        <v>1.2818991097922849</v>
      </c>
      <c r="AY944" t="str">
        <v>08/01/2021</v>
      </c>
      <c r="AZ944">
        <v>63.7</v>
      </c>
      <c r="BA944">
        <v>16.7</v>
      </c>
      <c r="BB944">
        <f t="shared" si="151"/>
        <v>3.8143712574850301</v>
      </c>
    </row>
    <row r="945" spans="1:54" x14ac:dyDescent="0.3">
      <c r="A945" s="11">
        <v>44153</v>
      </c>
      <c r="B945">
        <v>0.820175438596491</v>
      </c>
      <c r="C945">
        <v>3609.53</v>
      </c>
      <c r="D945">
        <v>158.81</v>
      </c>
      <c r="E945">
        <v>1879.3</v>
      </c>
      <c r="F945">
        <v>86.34</v>
      </c>
      <c r="G945">
        <v>50.57</v>
      </c>
      <c r="H945" s="12">
        <f t="shared" si="146"/>
        <v>84.502214774229799</v>
      </c>
      <c r="I945" s="12">
        <f t="shared" si="147"/>
        <v>75.899699298969082</v>
      </c>
      <c r="J945" s="12">
        <f t="shared" si="148"/>
        <v>120.04969602932012</v>
      </c>
      <c r="K945" s="12">
        <f t="shared" si="149"/>
        <v>114.89705928104834</v>
      </c>
      <c r="P945" s="12"/>
      <c r="Q945" s="12"/>
      <c r="R945" s="12"/>
      <c r="S945" s="12"/>
      <c r="V945">
        <v>0.58946700507614203</v>
      </c>
      <c r="W945" s="12"/>
      <c r="X945" s="12"/>
      <c r="Y945" t="str">
        <v>20060825</v>
      </c>
      <c r="Z945">
        <v>42.1</v>
      </c>
      <c r="AA945">
        <v>33.700000000000003</v>
      </c>
      <c r="AB945">
        <f t="shared" si="150"/>
        <v>1.2492581602373887</v>
      </c>
      <c r="AY945" t="str">
        <v>07/01/2021</v>
      </c>
      <c r="AZ945">
        <v>63.7</v>
      </c>
      <c r="BA945">
        <v>16.7</v>
      </c>
      <c r="BB945">
        <f t="shared" si="151"/>
        <v>3.8143712574850301</v>
      </c>
    </row>
    <row r="946" spans="1:54" x14ac:dyDescent="0.3">
      <c r="A946" s="11">
        <v>44152</v>
      </c>
      <c r="B946">
        <v>0.82119205298013198</v>
      </c>
      <c r="C946">
        <v>3626.91</v>
      </c>
      <c r="D946">
        <v>157.78</v>
      </c>
      <c r="E946">
        <v>1888.63</v>
      </c>
      <c r="F946">
        <v>86.35</v>
      </c>
      <c r="G946">
        <v>50.65</v>
      </c>
      <c r="H946" s="12">
        <f t="shared" si="146"/>
        <v>85.469735164473235</v>
      </c>
      <c r="I946" s="12">
        <f t="shared" si="147"/>
        <v>75.88845786923595</v>
      </c>
      <c r="J946" s="12">
        <f t="shared" si="148"/>
        <v>120.61370381651294</v>
      </c>
      <c r="K946" s="12">
        <f t="shared" si="149"/>
        <v>115.26735461603748</v>
      </c>
      <c r="P946" s="12"/>
      <c r="Q946" s="12"/>
      <c r="R946" s="12"/>
      <c r="S946" s="12"/>
      <c r="V946">
        <v>0.58726114649681505</v>
      </c>
      <c r="W946" s="12"/>
      <c r="X946" s="12"/>
      <c r="Y946" t="str">
        <v>20060818</v>
      </c>
      <c r="Z946">
        <v>40</v>
      </c>
      <c r="AA946">
        <v>34.700000000000003</v>
      </c>
      <c r="AB946">
        <f t="shared" si="150"/>
        <v>1.1527377521613833</v>
      </c>
      <c r="AY946" t="str">
        <v>06/01/2021</v>
      </c>
      <c r="AZ946">
        <v>63.7</v>
      </c>
      <c r="BA946">
        <v>16.7</v>
      </c>
      <c r="BB946">
        <f t="shared" si="151"/>
        <v>3.8143712574850301</v>
      </c>
    </row>
    <row r="947" spans="1:54" x14ac:dyDescent="0.3">
      <c r="A947" s="11">
        <v>44149</v>
      </c>
      <c r="B947">
        <v>0.82863340563991295</v>
      </c>
      <c r="C947">
        <v>3585.15</v>
      </c>
      <c r="D947">
        <v>158.16</v>
      </c>
      <c r="E947">
        <v>1890.41</v>
      </c>
      <c r="F947">
        <v>86.33</v>
      </c>
      <c r="G947">
        <v>50.02</v>
      </c>
      <c r="H947" s="12">
        <f t="shared" si="146"/>
        <v>84.28546716757424</v>
      </c>
      <c r="I947" s="12">
        <f t="shared" si="147"/>
        <v>74.94492799022126</v>
      </c>
      <c r="J947" s="12">
        <f t="shared" si="148"/>
        <v>119.25227464982667</v>
      </c>
      <c r="K947" s="12">
        <f t="shared" si="149"/>
        <v>115.37660631864691</v>
      </c>
      <c r="P947" s="12"/>
      <c r="Q947" s="12"/>
      <c r="R947" s="12"/>
      <c r="S947" s="12"/>
      <c r="V947">
        <v>0.58343949044585997</v>
      </c>
      <c r="W947" s="12"/>
      <c r="X947" s="12"/>
      <c r="Y947" t="str">
        <v>20060811</v>
      </c>
      <c r="Z947">
        <v>40.9</v>
      </c>
      <c r="AA947">
        <v>36.6</v>
      </c>
      <c r="AB947">
        <f t="shared" si="150"/>
        <v>1.1174863387978142</v>
      </c>
      <c r="AY947" t="str">
        <v>05/01/2021</v>
      </c>
      <c r="AZ947">
        <v>63.7</v>
      </c>
      <c r="BA947">
        <v>16.7</v>
      </c>
      <c r="BB947">
        <f t="shared" si="151"/>
        <v>3.8143712574850301</v>
      </c>
    </row>
    <row r="948" spans="1:54" x14ac:dyDescent="0.3">
      <c r="A948" s="11">
        <v>44148</v>
      </c>
      <c r="B948">
        <v>0.82751091703056801</v>
      </c>
      <c r="C948">
        <v>3537.01</v>
      </c>
      <c r="D948">
        <v>158.37</v>
      </c>
      <c r="E948">
        <v>1877.3</v>
      </c>
      <c r="F948">
        <v>86.33</v>
      </c>
      <c r="G948">
        <v>49.3</v>
      </c>
      <c r="H948" s="12">
        <f t="shared" si="146"/>
        <v>83.045074826984575</v>
      </c>
      <c r="I948" s="12">
        <f t="shared" si="147"/>
        <v>74.451542667552118</v>
      </c>
      <c r="J948" s="12">
        <f t="shared" si="148"/>
        <v>117.65100148088182</v>
      </c>
      <c r="K948" s="12">
        <f t="shared" si="149"/>
        <v>115.49141594917602</v>
      </c>
      <c r="P948" s="12"/>
      <c r="Q948" s="12"/>
      <c r="R948" s="12"/>
      <c r="S948" s="12"/>
      <c r="V948">
        <v>0.58766859344893996</v>
      </c>
      <c r="W948" s="12"/>
      <c r="X948" s="12"/>
      <c r="Y948" t="str">
        <v>20060804</v>
      </c>
      <c r="Z948">
        <v>40.200000000000003</v>
      </c>
      <c r="AA948">
        <v>37.1</v>
      </c>
      <c r="AB948">
        <f t="shared" si="150"/>
        <v>1.0835579514824798</v>
      </c>
      <c r="AY948" t="str">
        <v>04/01/2021</v>
      </c>
      <c r="AZ948">
        <v>63.7</v>
      </c>
      <c r="BA948">
        <v>16.7</v>
      </c>
      <c r="BB948">
        <f t="shared" si="151"/>
        <v>3.8143712574850301</v>
      </c>
    </row>
    <row r="949" spans="1:54" x14ac:dyDescent="0.3">
      <c r="A949" s="11">
        <v>44147</v>
      </c>
      <c r="B949">
        <v>0.82073434125269995</v>
      </c>
      <c r="C949">
        <v>3572.66</v>
      </c>
      <c r="D949">
        <v>155.72</v>
      </c>
      <c r="E949">
        <v>1865.45</v>
      </c>
      <c r="F949">
        <v>86.32</v>
      </c>
      <c r="G949">
        <v>49.95</v>
      </c>
      <c r="H949" s="12">
        <f t="shared" si="146"/>
        <v>85.34918564012365</v>
      </c>
      <c r="I949" s="12">
        <f t="shared" si="147"/>
        <v>75.687590197911632</v>
      </c>
      <c r="J949" s="12">
        <f t="shared" si="148"/>
        <v>118.85072916083446</v>
      </c>
      <c r="K949" s="12">
        <f t="shared" si="149"/>
        <v>115.14202282117854</v>
      </c>
      <c r="P949" s="12"/>
      <c r="Q949" s="12"/>
      <c r="R949" s="12"/>
      <c r="S949" s="12"/>
      <c r="V949">
        <v>0.58744394618834095</v>
      </c>
      <c r="W949" s="12"/>
      <c r="X949" s="12"/>
      <c r="Y949" t="str">
        <v>20060728</v>
      </c>
      <c r="Z949">
        <v>41.5</v>
      </c>
      <c r="AA949">
        <v>36.200000000000003</v>
      </c>
      <c r="AB949">
        <f t="shared" si="150"/>
        <v>1.1464088397790055</v>
      </c>
      <c r="AY949" t="str">
        <v>01/01/2021</v>
      </c>
      <c r="AZ949">
        <v>60.2</v>
      </c>
      <c r="BA949">
        <v>17.5</v>
      </c>
      <c r="BB949">
        <f t="shared" si="151"/>
        <v>3.44</v>
      </c>
    </row>
    <row r="950" spans="1:54" x14ac:dyDescent="0.3">
      <c r="A950" s="11">
        <v>44146</v>
      </c>
      <c r="B950">
        <v>0.81739130434782603</v>
      </c>
      <c r="C950">
        <v>3545.53</v>
      </c>
      <c r="D950">
        <v>155.16</v>
      </c>
      <c r="E950">
        <v>1877.6</v>
      </c>
      <c r="F950">
        <v>86.34</v>
      </c>
      <c r="G950">
        <v>49.55</v>
      </c>
      <c r="H950" s="12">
        <f t="shared" si="146"/>
        <v>85.005532853456174</v>
      </c>
      <c r="I950" s="12">
        <f t="shared" si="147"/>
        <v>74.633546937692543</v>
      </c>
      <c r="J950" s="12">
        <f t="shared" si="148"/>
        <v>117.9210945822737</v>
      </c>
      <c r="K950" s="12">
        <f t="shared" si="149"/>
        <v>115.19049100005154</v>
      </c>
      <c r="P950" s="12"/>
      <c r="Q950" s="12"/>
      <c r="R950" s="12"/>
      <c r="S950" s="12"/>
      <c r="V950">
        <v>0.58511326860841395</v>
      </c>
      <c r="W950" s="12"/>
      <c r="X950" s="12"/>
      <c r="Y950" t="str">
        <v>20060721</v>
      </c>
      <c r="Z950">
        <v>42.2</v>
      </c>
      <c r="AA950">
        <v>34.5</v>
      </c>
      <c r="AB950">
        <f t="shared" si="150"/>
        <v>1.2231884057971016</v>
      </c>
      <c r="AY950" t="str">
        <v>31/12/2020</v>
      </c>
      <c r="AZ950">
        <v>60.2</v>
      </c>
      <c r="BA950">
        <v>17.5</v>
      </c>
      <c r="BB950">
        <f t="shared" si="151"/>
        <v>3.44</v>
      </c>
    </row>
    <row r="951" spans="1:54" x14ac:dyDescent="0.3">
      <c r="A951" s="11">
        <v>44145</v>
      </c>
      <c r="B951">
        <v>0.82135076252723305</v>
      </c>
      <c r="C951">
        <v>3550.5</v>
      </c>
      <c r="D951">
        <v>156.06</v>
      </c>
      <c r="E951">
        <v>1861.68</v>
      </c>
      <c r="F951">
        <v>86.35</v>
      </c>
      <c r="G951">
        <v>49.43</v>
      </c>
      <c r="H951" s="12">
        <f t="shared" si="146"/>
        <v>84.635910073930503</v>
      </c>
      <c r="I951" s="12">
        <f t="shared" si="147"/>
        <v>75.383706694710412</v>
      </c>
      <c r="J951" s="12">
        <f t="shared" si="148"/>
        <v>118.07269934797411</v>
      </c>
      <c r="K951" s="12">
        <f t="shared" si="149"/>
        <v>115.63307408712947</v>
      </c>
      <c r="P951" s="12"/>
      <c r="Q951" s="12"/>
      <c r="R951" s="12"/>
      <c r="S951" s="12"/>
      <c r="V951">
        <v>0.58119658119658102</v>
      </c>
      <c r="W951" s="12"/>
      <c r="X951" s="12"/>
      <c r="Y951" t="str">
        <v>20060714</v>
      </c>
      <c r="Z951">
        <v>42.1</v>
      </c>
      <c r="AA951">
        <v>33.700000000000003</v>
      </c>
      <c r="AB951">
        <f t="shared" si="150"/>
        <v>1.2492581602373887</v>
      </c>
      <c r="AY951" t="str">
        <v>30/12/2020</v>
      </c>
      <c r="AZ951">
        <v>60.2</v>
      </c>
      <c r="BA951">
        <v>17.5</v>
      </c>
      <c r="BB951">
        <f t="shared" si="151"/>
        <v>3.44</v>
      </c>
    </row>
    <row r="952" spans="1:54" x14ac:dyDescent="0.3">
      <c r="A952" s="11">
        <v>44142</v>
      </c>
      <c r="B952">
        <v>0.82112068965517204</v>
      </c>
      <c r="C952">
        <v>3509.44</v>
      </c>
      <c r="D952">
        <v>159.41</v>
      </c>
      <c r="E952">
        <v>1951.25</v>
      </c>
      <c r="F952">
        <v>86.38</v>
      </c>
      <c r="G952">
        <v>48.43</v>
      </c>
      <c r="H952" s="12">
        <f t="shared" si="146"/>
        <v>81.954770800418089</v>
      </c>
      <c r="I952" s="12">
        <f t="shared" si="147"/>
        <v>71.277834018223515</v>
      </c>
      <c r="J952" s="12">
        <f t="shared" si="148"/>
        <v>116.66718930623438</v>
      </c>
      <c r="K952" s="12">
        <f t="shared" si="149"/>
        <v>116.67715801512176</v>
      </c>
      <c r="P952" s="12"/>
      <c r="Q952" s="12"/>
      <c r="R952" s="12"/>
      <c r="S952" s="12"/>
      <c r="V952">
        <v>0.56595191682910995</v>
      </c>
      <c r="W952" s="12"/>
      <c r="X952" s="12"/>
      <c r="Y952" t="str">
        <v>20060707</v>
      </c>
      <c r="Z952">
        <v>42.2</v>
      </c>
      <c r="AA952">
        <v>33.299999999999997</v>
      </c>
      <c r="AB952">
        <f t="shared" si="150"/>
        <v>1.2672672672672673</v>
      </c>
      <c r="AY952" t="str">
        <v>29/12/2020</v>
      </c>
      <c r="AZ952">
        <v>60.2</v>
      </c>
      <c r="BA952">
        <v>17.5</v>
      </c>
      <c r="BB952">
        <f t="shared" si="151"/>
        <v>3.44</v>
      </c>
    </row>
    <row r="953" spans="1:54" x14ac:dyDescent="0.3">
      <c r="A953" s="11">
        <v>44141</v>
      </c>
      <c r="B953">
        <v>0.82236842105263197</v>
      </c>
      <c r="C953">
        <v>3510.45</v>
      </c>
      <c r="D953">
        <v>161.36000000000001</v>
      </c>
      <c r="E953">
        <v>1949.35</v>
      </c>
      <c r="F953">
        <v>86.37</v>
      </c>
      <c r="G953">
        <v>48.27</v>
      </c>
      <c r="H953" s="12">
        <f t="shared" si="146"/>
        <v>80.999217605503304</v>
      </c>
      <c r="I953" s="12">
        <f t="shared" si="147"/>
        <v>71.367928625155059</v>
      </c>
      <c r="J953" s="12">
        <f t="shared" si="148"/>
        <v>116.71428274247079</v>
      </c>
      <c r="K953" s="12">
        <f t="shared" si="149"/>
        <v>117.09899550840299</v>
      </c>
      <c r="P953" s="12"/>
      <c r="Q953" s="12"/>
      <c r="R953" s="12"/>
      <c r="S953" s="12"/>
      <c r="V953">
        <v>0.56290956749672305</v>
      </c>
      <c r="W953" s="12"/>
      <c r="X953" s="12"/>
      <c r="Y953" t="str">
        <v>20060630</v>
      </c>
      <c r="Z953">
        <v>38.700000000000003</v>
      </c>
      <c r="AA953">
        <v>34.4</v>
      </c>
      <c r="AB953">
        <f t="shared" si="150"/>
        <v>1.1250000000000002</v>
      </c>
      <c r="AY953" t="str">
        <v>28/12/2020</v>
      </c>
      <c r="AZ953">
        <v>60.2</v>
      </c>
      <c r="BA953">
        <v>17.5</v>
      </c>
      <c r="BB953">
        <f t="shared" si="151"/>
        <v>3.44</v>
      </c>
    </row>
    <row r="954" spans="1:54" x14ac:dyDescent="0.3">
      <c r="A954" s="11">
        <v>44140</v>
      </c>
      <c r="B954">
        <v>0.80224719101123598</v>
      </c>
      <c r="C954">
        <v>3443.44</v>
      </c>
      <c r="D954">
        <v>161.08000000000001</v>
      </c>
      <c r="E954">
        <v>1902.925</v>
      </c>
      <c r="F954">
        <v>86.39</v>
      </c>
      <c r="G954">
        <v>47.25</v>
      </c>
      <c r="H954" s="12">
        <f t="shared" si="146"/>
        <v>79.588751773664058</v>
      </c>
      <c r="I954" s="12">
        <f t="shared" si="147"/>
        <v>71.721981428764863</v>
      </c>
      <c r="J954" s="12">
        <f t="shared" si="148"/>
        <v>114.46036368494276</v>
      </c>
      <c r="K954" s="12">
        <f t="shared" si="149"/>
        <v>117.34860898027708</v>
      </c>
      <c r="P954" s="12"/>
      <c r="Q954" s="12"/>
      <c r="R954" s="12"/>
      <c r="S954" s="12"/>
      <c r="V954">
        <v>0.56510416666666696</v>
      </c>
      <c r="W954" s="12"/>
      <c r="X954" s="12"/>
      <c r="Y954" t="str">
        <v>20060623</v>
      </c>
      <c r="Z954">
        <v>37.4</v>
      </c>
      <c r="AA954">
        <v>36.299999999999997</v>
      </c>
      <c r="AB954">
        <f t="shared" si="150"/>
        <v>1.0303030303030303</v>
      </c>
      <c r="AY954" t="str">
        <v>25/12/2020</v>
      </c>
      <c r="AZ954" t="e">
        <v>#N/A</v>
      </c>
      <c r="BA954" t="e">
        <v>#N/A</v>
      </c>
      <c r="BB954" t="str">
        <f t="shared" si="151"/>
        <v/>
      </c>
    </row>
    <row r="955" spans="1:54" x14ac:dyDescent="0.3">
      <c r="A955" s="11">
        <v>44139</v>
      </c>
      <c r="B955">
        <v>0.79504504504504503</v>
      </c>
      <c r="C955">
        <v>3369.1567</v>
      </c>
      <c r="D955">
        <v>157.66</v>
      </c>
      <c r="E955">
        <v>1910.15</v>
      </c>
      <c r="F955">
        <v>86.37</v>
      </c>
      <c r="G955">
        <v>46.47</v>
      </c>
      <c r="H955" s="12">
        <f t="shared" si="146"/>
        <v>79.56044493469318</v>
      </c>
      <c r="I955" s="12">
        <f t="shared" si="147"/>
        <v>69.916018171045721</v>
      </c>
      <c r="J955" s="12">
        <f t="shared" si="148"/>
        <v>112.01655697723916</v>
      </c>
      <c r="K955" s="12">
        <f t="shared" si="149"/>
        <v>116.73423472964272</v>
      </c>
      <c r="P955" s="12"/>
      <c r="Q955" s="12"/>
      <c r="R955" s="12"/>
      <c r="S955" s="12"/>
      <c r="V955">
        <v>0.560105680317041</v>
      </c>
      <c r="W955" s="12"/>
      <c r="X955" s="12"/>
      <c r="Y955" t="str">
        <v>20060616</v>
      </c>
      <c r="Z955">
        <v>35.6</v>
      </c>
      <c r="AA955">
        <v>35.6</v>
      </c>
      <c r="AB955">
        <f t="shared" si="150"/>
        <v>1</v>
      </c>
      <c r="AY955" t="str">
        <v>24/12/2020</v>
      </c>
      <c r="AZ955" t="e">
        <v>#N/A</v>
      </c>
      <c r="BA955" t="e">
        <v>#N/A</v>
      </c>
      <c r="BB955" t="str">
        <f t="shared" si="151"/>
        <v/>
      </c>
    </row>
    <row r="956" spans="1:54" x14ac:dyDescent="0.3">
      <c r="A956" s="11">
        <v>44138</v>
      </c>
      <c r="B956">
        <v>0.79545454545454497</v>
      </c>
      <c r="C956">
        <v>3310.24</v>
      </c>
      <c r="D956">
        <v>158.58000000000001</v>
      </c>
      <c r="E956">
        <v>1894.78</v>
      </c>
      <c r="F956">
        <v>86.39</v>
      </c>
      <c r="G956">
        <v>45.61</v>
      </c>
      <c r="H956" s="12">
        <f t="shared" si="146"/>
        <v>77.726123579003811</v>
      </c>
      <c r="I956" s="12">
        <f t="shared" si="147"/>
        <v>69.24526991277736</v>
      </c>
      <c r="J956" s="12">
        <f t="shared" si="148"/>
        <v>110.03268688676425</v>
      </c>
      <c r="K956" s="12">
        <f t="shared" si="149"/>
        <v>116.85777646747628</v>
      </c>
      <c r="P956" s="12"/>
      <c r="Q956" s="12"/>
      <c r="R956" s="12"/>
      <c r="S956" s="12"/>
      <c r="V956">
        <v>0.558432934926959</v>
      </c>
      <c r="W956" s="12"/>
      <c r="X956" s="12"/>
      <c r="Y956" t="str">
        <v>20060609</v>
      </c>
      <c r="Z956">
        <v>38.700000000000003</v>
      </c>
      <c r="AA956">
        <v>34.4</v>
      </c>
      <c r="AB956">
        <f t="shared" si="150"/>
        <v>1.1250000000000002</v>
      </c>
      <c r="AY956" t="str">
        <v>23/12/2020</v>
      </c>
      <c r="AZ956" t="e">
        <v>#N/A</v>
      </c>
      <c r="BA956" t="e">
        <v>#N/A</v>
      </c>
      <c r="BB956" t="str">
        <f t="shared" si="151"/>
        <v/>
      </c>
    </row>
    <row r="957" spans="1:54" x14ac:dyDescent="0.3">
      <c r="A957" s="11">
        <v>44135</v>
      </c>
      <c r="B957">
        <v>0.80091533180777996</v>
      </c>
      <c r="C957">
        <v>3269.96</v>
      </c>
      <c r="D957">
        <v>157.57</v>
      </c>
      <c r="E957">
        <v>1878.95</v>
      </c>
      <c r="F957">
        <v>86.43</v>
      </c>
      <c r="G957">
        <v>45.05</v>
      </c>
      <c r="H957" s="12">
        <f t="shared" si="146"/>
        <v>77.269588278131224</v>
      </c>
      <c r="I957" s="12">
        <f t="shared" si="147"/>
        <v>68.976724533336011</v>
      </c>
      <c r="J957" s="12">
        <f t="shared" si="148"/>
        <v>108.64410701538516</v>
      </c>
      <c r="K957" s="12">
        <f t="shared" si="149"/>
        <v>116.87091733240833</v>
      </c>
      <c r="P957" s="12"/>
      <c r="Q957" s="12"/>
      <c r="R957" s="12"/>
      <c r="S957" s="12"/>
      <c r="V957">
        <v>0.54253181513730697</v>
      </c>
      <c r="W957" s="12"/>
      <c r="X957" s="12"/>
      <c r="Y957" t="str">
        <v>20060602</v>
      </c>
      <c r="Z957">
        <v>40.200000000000003</v>
      </c>
      <c r="AA957">
        <v>31.5</v>
      </c>
      <c r="AB957">
        <f t="shared" si="150"/>
        <v>1.2761904761904763</v>
      </c>
      <c r="AY957" t="str">
        <v>22/12/2020</v>
      </c>
      <c r="AZ957" t="e">
        <v>#N/A</v>
      </c>
      <c r="BA957" t="e">
        <v>#N/A</v>
      </c>
      <c r="BB957" t="str">
        <f t="shared" si="151"/>
        <v/>
      </c>
    </row>
    <row r="958" spans="1:54" x14ac:dyDescent="0.3">
      <c r="A958" s="11">
        <v>44134</v>
      </c>
      <c r="B958">
        <v>0.78604651162790695</v>
      </c>
      <c r="C958">
        <v>3310.11</v>
      </c>
      <c r="D958">
        <v>159.13999999999999</v>
      </c>
      <c r="E958">
        <v>1867.825</v>
      </c>
      <c r="F958">
        <v>86.44</v>
      </c>
      <c r="G958">
        <v>45.33</v>
      </c>
      <c r="H958" s="12">
        <f t="shared" si="146"/>
        <v>77.444921959863009</v>
      </c>
      <c r="I958" s="12">
        <f t="shared" si="147"/>
        <v>70.24718932820268</v>
      </c>
      <c r="J958" s="12">
        <f t="shared" si="148"/>
        <v>109.96520914405153</v>
      </c>
      <c r="K958" s="12">
        <f t="shared" si="149"/>
        <v>117.57076690398726</v>
      </c>
      <c r="P958" s="12"/>
      <c r="Q958" s="12"/>
      <c r="R958" s="12"/>
      <c r="S958" s="12"/>
      <c r="V958">
        <v>0.53976886471787899</v>
      </c>
      <c r="W958" s="12"/>
      <c r="X958" s="12"/>
      <c r="Y958" t="str">
        <v>20060526</v>
      </c>
      <c r="Z958">
        <v>42.6</v>
      </c>
      <c r="AA958">
        <v>29.8</v>
      </c>
      <c r="AB958">
        <f t="shared" si="150"/>
        <v>1.4295302013422819</v>
      </c>
      <c r="AY958" t="str">
        <v>21/12/2020</v>
      </c>
      <c r="AZ958" t="e">
        <v>#N/A</v>
      </c>
      <c r="BA958" t="e">
        <v>#N/A</v>
      </c>
      <c r="BB958" t="str">
        <f t="shared" si="151"/>
        <v/>
      </c>
    </row>
    <row r="959" spans="1:54" x14ac:dyDescent="0.3">
      <c r="A959" s="11">
        <v>44133</v>
      </c>
      <c r="B959">
        <v>0.76978417266187005</v>
      </c>
      <c r="C959">
        <v>3271.03</v>
      </c>
      <c r="D959">
        <v>160.69999999999999</v>
      </c>
      <c r="E959">
        <v>1877.1</v>
      </c>
      <c r="F959">
        <v>86.42</v>
      </c>
      <c r="G959">
        <v>45.1</v>
      </c>
      <c r="H959" s="12">
        <f t="shared" si="146"/>
        <v>75.803411465138723</v>
      </c>
      <c r="I959" s="12">
        <f t="shared" si="147"/>
        <v>69.080527012242385</v>
      </c>
      <c r="J959" s="12">
        <f t="shared" si="148"/>
        <v>108.69178927015621</v>
      </c>
      <c r="K959" s="12">
        <f t="shared" si="149"/>
        <v>116.77117292887976</v>
      </c>
      <c r="P959" s="12"/>
      <c r="Q959" s="12"/>
      <c r="R959" s="12"/>
      <c r="S959" s="12"/>
      <c r="V959">
        <v>0.53114305270362805</v>
      </c>
      <c r="W959" s="12"/>
      <c r="X959" s="12"/>
      <c r="Y959" t="str">
        <v>20060519</v>
      </c>
      <c r="Z959">
        <v>43.8</v>
      </c>
      <c r="AA959">
        <v>27.6</v>
      </c>
      <c r="AB959">
        <f t="shared" si="150"/>
        <v>1.5869565217391302</v>
      </c>
      <c r="AY959" t="str">
        <v>18/12/2020</v>
      </c>
      <c r="AZ959">
        <v>62.4</v>
      </c>
      <c r="BA959">
        <v>16.8</v>
      </c>
      <c r="BB959">
        <f t="shared" si="151"/>
        <v>3.714285714285714</v>
      </c>
    </row>
    <row r="960" spans="1:54" x14ac:dyDescent="0.3">
      <c r="A960" s="11">
        <v>44132</v>
      </c>
      <c r="B960">
        <v>0.75425790754257904</v>
      </c>
      <c r="C960">
        <v>3390.68</v>
      </c>
      <c r="D960">
        <v>160.55000000000001</v>
      </c>
      <c r="E960">
        <v>1907.425</v>
      </c>
      <c r="F960">
        <v>86.42</v>
      </c>
      <c r="G960">
        <v>46.38</v>
      </c>
      <c r="H960" s="12">
        <f t="shared" si="146"/>
        <v>78.652373078420297</v>
      </c>
      <c r="I960" s="12">
        <f t="shared" si="147"/>
        <v>70.446449127763657</v>
      </c>
      <c r="J960" s="12">
        <f t="shared" si="148"/>
        <v>112.6675927895902</v>
      </c>
      <c r="K960" s="12">
        <f t="shared" si="149"/>
        <v>117.6760789372965</v>
      </c>
      <c r="P960" s="12"/>
      <c r="Q960" s="12"/>
      <c r="R960" s="12"/>
      <c r="S960" s="12"/>
      <c r="V960">
        <v>0.52417659425367902</v>
      </c>
      <c r="W960" s="12"/>
      <c r="X960" s="12"/>
      <c r="Y960" t="str">
        <v>20060512</v>
      </c>
      <c r="Z960">
        <v>46.3</v>
      </c>
      <c r="AA960">
        <v>25.3</v>
      </c>
      <c r="AB960">
        <f t="shared" si="150"/>
        <v>1.8300395256916995</v>
      </c>
      <c r="AY960" t="str">
        <v>17/12/2020</v>
      </c>
      <c r="AZ960">
        <v>62.4</v>
      </c>
      <c r="BA960">
        <v>16.8</v>
      </c>
      <c r="BB960">
        <f t="shared" si="151"/>
        <v>3.714285714285714</v>
      </c>
    </row>
    <row r="961" spans="1:54" x14ac:dyDescent="0.3">
      <c r="A961" s="11">
        <v>44131</v>
      </c>
      <c r="B961">
        <v>0.74937965260545902</v>
      </c>
      <c r="C961">
        <v>3400.97</v>
      </c>
      <c r="D961">
        <v>159.47999999999999</v>
      </c>
      <c r="E961">
        <v>1901.925</v>
      </c>
      <c r="F961">
        <v>86.42</v>
      </c>
      <c r="G961">
        <v>46.53</v>
      </c>
      <c r="H961" s="12">
        <f t="shared" si="146"/>
        <v>79.425574103884429</v>
      </c>
      <c r="I961" s="12">
        <f t="shared" si="147"/>
        <v>70.865791381105765</v>
      </c>
      <c r="J961" s="12">
        <f t="shared" si="148"/>
        <v>113.0095152151228</v>
      </c>
      <c r="K961" s="12">
        <f t="shared" si="149"/>
        <v>117.65276966142967</v>
      </c>
      <c r="P961" s="12"/>
      <c r="Q961" s="12"/>
      <c r="R961" s="12"/>
      <c r="S961" s="12"/>
      <c r="V961">
        <v>0.52445074415308301</v>
      </c>
      <c r="W961" s="12"/>
      <c r="X961" s="12"/>
      <c r="Y961" t="str">
        <v>20060505</v>
      </c>
      <c r="Z961">
        <v>44.3</v>
      </c>
      <c r="AA961">
        <v>26.8</v>
      </c>
      <c r="AB961">
        <f t="shared" si="150"/>
        <v>1.6529850746268655</v>
      </c>
      <c r="AY961" t="str">
        <v>16/12/2020</v>
      </c>
      <c r="AZ961">
        <v>62.4</v>
      </c>
      <c r="BA961">
        <v>16.8</v>
      </c>
      <c r="BB961">
        <f t="shared" si="151"/>
        <v>3.714285714285714</v>
      </c>
    </row>
    <row r="962" spans="1:54" x14ac:dyDescent="0.3">
      <c r="A962" s="11">
        <v>44128</v>
      </c>
      <c r="B962">
        <v>0.75550122249388796</v>
      </c>
      <c r="C962">
        <v>3465.39</v>
      </c>
      <c r="D962">
        <v>158.01</v>
      </c>
      <c r="E962">
        <v>1901.85</v>
      </c>
      <c r="F962">
        <v>86.41</v>
      </c>
      <c r="G962">
        <v>47.3</v>
      </c>
      <c r="H962" s="12">
        <f t="shared" ref="H962:H1025" si="152">H963*(1+((C962/C963)-(D962/D963)))</f>
        <v>81.704538107560964</v>
      </c>
      <c r="I962" s="12">
        <f t="shared" ref="I962:I1025" si="153">I963*(1+((C962/C963)-(E962/E963)))</f>
        <v>72.211008345546347</v>
      </c>
      <c r="J962" s="12">
        <f t="shared" si="148"/>
        <v>115.16368248450847</v>
      </c>
      <c r="K962" s="12">
        <f t="shared" si="149"/>
        <v>117.92523219520666</v>
      </c>
      <c r="P962" s="12"/>
      <c r="Q962" s="12"/>
      <c r="R962" s="12"/>
      <c r="S962" s="12"/>
      <c r="V962">
        <v>0.51872791519434602</v>
      </c>
      <c r="W962" s="12"/>
      <c r="X962" s="12"/>
      <c r="Y962" t="str">
        <v>20060428</v>
      </c>
      <c r="Z962">
        <v>43.9</v>
      </c>
      <c r="AA962">
        <v>28.6</v>
      </c>
      <c r="AB962">
        <f t="shared" si="150"/>
        <v>1.5349650349650348</v>
      </c>
      <c r="AY962" t="str">
        <v>15/12/2020</v>
      </c>
      <c r="AZ962">
        <v>62.4</v>
      </c>
      <c r="BA962">
        <v>16.8</v>
      </c>
      <c r="BB962">
        <f t="shared" si="151"/>
        <v>3.714285714285714</v>
      </c>
    </row>
    <row r="963" spans="1:54" x14ac:dyDescent="0.3">
      <c r="A963" s="11">
        <v>44127</v>
      </c>
      <c r="B963">
        <v>0.74938574938574898</v>
      </c>
      <c r="C963">
        <v>3453.49</v>
      </c>
      <c r="D963">
        <v>157.05000000000001</v>
      </c>
      <c r="E963">
        <v>1904.4</v>
      </c>
      <c r="F963">
        <v>86.4</v>
      </c>
      <c r="G963">
        <v>47.06</v>
      </c>
      <c r="H963" s="12">
        <f t="shared" si="152"/>
        <v>81.923019701601106</v>
      </c>
      <c r="I963" s="12">
        <f t="shared" si="153"/>
        <v>71.867138888271569</v>
      </c>
      <c r="J963" s="12">
        <f t="shared" ref="J963:J1026" si="154">J964*(1+((C963/C964)-(F963/F964)))</f>
        <v>114.78145462998441</v>
      </c>
      <c r="K963" s="12">
        <f t="shared" ref="K963:K1026" si="155">K964*(1+((C963/C964)-(G963/G964)))</f>
        <v>118.12061347993664</v>
      </c>
      <c r="P963" s="12"/>
      <c r="Q963" s="12"/>
      <c r="R963" s="12"/>
      <c r="S963" s="12"/>
      <c r="V963">
        <v>0.50805886475122597</v>
      </c>
      <c r="W963" s="12"/>
      <c r="X963" s="12"/>
      <c r="Y963" t="str">
        <v>20060421</v>
      </c>
      <c r="Z963">
        <v>45.4</v>
      </c>
      <c r="AA963">
        <v>25.8</v>
      </c>
      <c r="AB963">
        <f t="shared" si="150"/>
        <v>1.75968992248062</v>
      </c>
      <c r="AY963" t="str">
        <v>14/12/2020</v>
      </c>
      <c r="AZ963">
        <v>62.4</v>
      </c>
      <c r="BA963">
        <v>16.8</v>
      </c>
      <c r="BB963">
        <f t="shared" si="151"/>
        <v>3.714285714285714</v>
      </c>
    </row>
    <row r="964" spans="1:54" x14ac:dyDescent="0.3">
      <c r="A964" s="11">
        <v>44126</v>
      </c>
      <c r="B964">
        <v>0.738035264483627</v>
      </c>
      <c r="C964">
        <v>3435.56</v>
      </c>
      <c r="D964">
        <v>158.69999999999999</v>
      </c>
      <c r="E964">
        <v>1924.7</v>
      </c>
      <c r="F964">
        <v>86.43</v>
      </c>
      <c r="G964">
        <v>47.04</v>
      </c>
      <c r="H964" s="12">
        <f t="shared" si="152"/>
        <v>80.663386643642681</v>
      </c>
      <c r="I964" s="12">
        <f t="shared" si="153"/>
        <v>70.751665050050732</v>
      </c>
      <c r="J964" s="12">
        <f t="shared" si="154"/>
        <v>114.1461119961818</v>
      </c>
      <c r="K964" s="12">
        <f t="shared" si="155"/>
        <v>117.55707129347019</v>
      </c>
      <c r="P964" s="12"/>
      <c r="Q964" s="12"/>
      <c r="R964" s="12"/>
      <c r="S964" s="12"/>
      <c r="V964">
        <v>0.50774647887323898</v>
      </c>
      <c r="W964" s="12"/>
      <c r="X964" s="12"/>
      <c r="Y964" t="str">
        <v>20060414</v>
      </c>
      <c r="Z964">
        <v>48</v>
      </c>
      <c r="AA964">
        <v>26</v>
      </c>
      <c r="AB964">
        <f t="shared" si="150"/>
        <v>1.8461538461538463</v>
      </c>
      <c r="AY964" t="str">
        <v>11/12/2020</v>
      </c>
      <c r="AZ964">
        <v>63.6</v>
      </c>
      <c r="BA964">
        <v>17.2</v>
      </c>
      <c r="BB964">
        <f t="shared" si="151"/>
        <v>3.6976744186046515</v>
      </c>
    </row>
    <row r="965" spans="1:54" x14ac:dyDescent="0.3">
      <c r="A965" s="11">
        <v>44125</v>
      </c>
      <c r="B965">
        <v>0.73618090452261298</v>
      </c>
      <c r="C965">
        <v>3443.12</v>
      </c>
      <c r="D965">
        <v>159.25</v>
      </c>
      <c r="E965">
        <v>1906.65</v>
      </c>
      <c r="F965">
        <v>86.43</v>
      </c>
      <c r="G965">
        <v>47.19</v>
      </c>
      <c r="H965" s="12">
        <f t="shared" si="152"/>
        <v>80.562039100357424</v>
      </c>
      <c r="I965" s="12">
        <f t="shared" si="153"/>
        <v>71.586546654883136</v>
      </c>
      <c r="J965" s="12">
        <f t="shared" si="154"/>
        <v>114.3972921841835</v>
      </c>
      <c r="K965" s="12">
        <f t="shared" si="155"/>
        <v>117.44163127193768</v>
      </c>
      <c r="P965" s="12"/>
      <c r="Q965" s="12"/>
      <c r="R965" s="12"/>
      <c r="S965" s="12"/>
      <c r="V965">
        <v>0.50247699929228595</v>
      </c>
      <c r="W965" s="12"/>
      <c r="X965" s="12"/>
      <c r="Y965" t="str">
        <v>20060407</v>
      </c>
      <c r="Z965">
        <v>53.2</v>
      </c>
      <c r="AA965">
        <v>24.5</v>
      </c>
      <c r="AB965">
        <f t="shared" si="150"/>
        <v>2.1714285714285717</v>
      </c>
      <c r="AY965" t="str">
        <v>10/12/2020</v>
      </c>
      <c r="AZ965">
        <v>63.6</v>
      </c>
      <c r="BA965">
        <v>17.2</v>
      </c>
      <c r="BB965">
        <f t="shared" si="151"/>
        <v>3.6976744186046515</v>
      </c>
    </row>
    <row r="966" spans="1:54" x14ac:dyDescent="0.3">
      <c r="A966" s="11">
        <v>44124</v>
      </c>
      <c r="B966">
        <v>0.72987012987013</v>
      </c>
      <c r="C966">
        <v>3426.92</v>
      </c>
      <c r="D966">
        <v>160.78</v>
      </c>
      <c r="E966">
        <v>1904.35</v>
      </c>
      <c r="F966">
        <v>86.44</v>
      </c>
      <c r="G966">
        <v>46.88</v>
      </c>
      <c r="H966" s="12">
        <f t="shared" si="152"/>
        <v>79.430677307943597</v>
      </c>
      <c r="I966" s="12">
        <f t="shared" si="153"/>
        <v>71.335480305319763</v>
      </c>
      <c r="J966" s="12">
        <f t="shared" si="154"/>
        <v>113.84594037590992</v>
      </c>
      <c r="K966" s="12">
        <f t="shared" si="155"/>
        <v>117.66346821111166</v>
      </c>
      <c r="P966" s="12"/>
      <c r="Q966" s="12"/>
      <c r="R966" s="12"/>
      <c r="S966" s="12"/>
      <c r="V966">
        <v>0.49892318736539798</v>
      </c>
      <c r="W966" s="12"/>
      <c r="X966" s="12"/>
      <c r="Y966" t="str">
        <v>20060331</v>
      </c>
      <c r="Z966">
        <v>49.5</v>
      </c>
      <c r="AA966">
        <v>27.8</v>
      </c>
      <c r="AB966">
        <f t="shared" si="150"/>
        <v>1.7805755395683454</v>
      </c>
      <c r="AY966" t="str">
        <v>09/12/2020</v>
      </c>
      <c r="AZ966">
        <v>63.6</v>
      </c>
      <c r="BA966">
        <v>17.2</v>
      </c>
      <c r="BB966">
        <f t="shared" si="151"/>
        <v>3.6976744186046515</v>
      </c>
    </row>
    <row r="967" spans="1:54" x14ac:dyDescent="0.3">
      <c r="A967" s="11">
        <v>44121</v>
      </c>
      <c r="B967">
        <v>0.73453608247422697</v>
      </c>
      <c r="C967">
        <v>3483.81</v>
      </c>
      <c r="D967">
        <v>161.38999999999999</v>
      </c>
      <c r="E967">
        <v>1899.075</v>
      </c>
      <c r="F967">
        <v>86.44</v>
      </c>
      <c r="G967">
        <v>47.07</v>
      </c>
      <c r="H967" s="12">
        <f t="shared" si="152"/>
        <v>80.440214764384237</v>
      </c>
      <c r="I967" s="12">
        <f t="shared" si="153"/>
        <v>72.725073993706062</v>
      </c>
      <c r="J967" s="12">
        <f t="shared" si="154"/>
        <v>115.73588690164893</v>
      </c>
      <c r="K967" s="12">
        <f t="shared" si="155"/>
        <v>119.12794152935851</v>
      </c>
      <c r="P967" s="12"/>
      <c r="Q967" s="12"/>
      <c r="R967" s="12"/>
      <c r="S967" s="12"/>
      <c r="V967">
        <v>0.49642346208869798</v>
      </c>
      <c r="W967" s="12"/>
      <c r="X967" s="12"/>
      <c r="Y967" t="str">
        <v>20060324</v>
      </c>
      <c r="Z967">
        <v>46.7</v>
      </c>
      <c r="AA967">
        <v>28.3</v>
      </c>
      <c r="AB967">
        <f t="shared" si="150"/>
        <v>1.6501766784452296</v>
      </c>
      <c r="AY967" t="str">
        <v>08/12/2020</v>
      </c>
      <c r="AZ967">
        <v>63.6</v>
      </c>
      <c r="BA967">
        <v>17.2</v>
      </c>
      <c r="BB967">
        <f t="shared" si="151"/>
        <v>3.6976744186046515</v>
      </c>
    </row>
    <row r="968" spans="1:54" x14ac:dyDescent="0.3">
      <c r="A968" s="11">
        <v>44120</v>
      </c>
      <c r="B968">
        <v>0.72987012987013</v>
      </c>
      <c r="C968">
        <v>3483.34</v>
      </c>
      <c r="D968">
        <v>161.84</v>
      </c>
      <c r="E968">
        <v>1908</v>
      </c>
      <c r="F968">
        <v>86.45</v>
      </c>
      <c r="G968">
        <v>46.91</v>
      </c>
      <c r="H968" s="12">
        <f t="shared" si="152"/>
        <v>80.206376926713673</v>
      </c>
      <c r="I968" s="12">
        <f t="shared" si="153"/>
        <v>72.376753562389197</v>
      </c>
      <c r="J968" s="12">
        <f t="shared" si="154"/>
        <v>115.70689054992388</v>
      </c>
      <c r="K968" s="12">
        <f t="shared" si="155"/>
        <v>119.51947041932728</v>
      </c>
      <c r="P968" s="12"/>
      <c r="Q968" s="12"/>
      <c r="R968" s="12"/>
      <c r="S968" s="12"/>
      <c r="V968">
        <v>0.5</v>
      </c>
      <c r="W968" s="12"/>
      <c r="X968" s="12"/>
      <c r="Y968" t="str">
        <v>20060317</v>
      </c>
      <c r="Z968">
        <v>46.3</v>
      </c>
      <c r="AA968">
        <v>30.5</v>
      </c>
      <c r="AB968">
        <f t="shared" ref="AB968:AB1031" si="156">IFERROR(Z968/AA968,"")</f>
        <v>1.5180327868852459</v>
      </c>
      <c r="AY968" t="str">
        <v>07/12/2020</v>
      </c>
      <c r="AZ968">
        <v>63.6</v>
      </c>
      <c r="BA968">
        <v>17.2</v>
      </c>
      <c r="BB968">
        <f t="shared" ref="BB968:BB1031" si="157">IFERROR(AZ968/BA968,"")</f>
        <v>3.6976744186046515</v>
      </c>
    </row>
    <row r="969" spans="1:54" x14ac:dyDescent="0.3">
      <c r="A969" s="11">
        <v>44119</v>
      </c>
      <c r="B969">
        <v>0.73506493506493498</v>
      </c>
      <c r="C969">
        <v>3488.67</v>
      </c>
      <c r="D969">
        <v>162.12</v>
      </c>
      <c r="E969">
        <v>1901.4</v>
      </c>
      <c r="F969">
        <v>86.43</v>
      </c>
      <c r="G969">
        <v>47.35</v>
      </c>
      <c r="H969" s="12">
        <f t="shared" si="152"/>
        <v>80.190393950128652</v>
      </c>
      <c r="I969" s="12">
        <f t="shared" si="153"/>
        <v>72.740377574216311</v>
      </c>
      <c r="J969" s="12">
        <f t="shared" si="154"/>
        <v>115.91080129437361</v>
      </c>
      <c r="K969" s="12">
        <f t="shared" si="155"/>
        <v>118.59858798914739</v>
      </c>
      <c r="P969" s="12"/>
      <c r="Q969" s="12"/>
      <c r="R969" s="12"/>
      <c r="S969" s="12"/>
      <c r="V969">
        <v>0.49168474331164103</v>
      </c>
      <c r="W969" s="12"/>
      <c r="X969" s="12"/>
      <c r="Y969" t="str">
        <v>20060310</v>
      </c>
      <c r="Z969">
        <v>42.3</v>
      </c>
      <c r="AA969">
        <v>33</v>
      </c>
      <c r="AB969">
        <f t="shared" si="156"/>
        <v>1.2818181818181817</v>
      </c>
      <c r="AY969" t="str">
        <v>04/12/2020</v>
      </c>
      <c r="AZ969">
        <v>64.400000000000006</v>
      </c>
      <c r="BA969">
        <v>16.8</v>
      </c>
      <c r="BB969">
        <f t="shared" si="157"/>
        <v>3.8333333333333335</v>
      </c>
    </row>
    <row r="970" spans="1:54" x14ac:dyDescent="0.3">
      <c r="A970" s="11">
        <v>44118</v>
      </c>
      <c r="B970">
        <v>0.73544973544973502</v>
      </c>
      <c r="C970">
        <v>3511.93</v>
      </c>
      <c r="D970">
        <v>161.75</v>
      </c>
      <c r="E970">
        <v>1891.2</v>
      </c>
      <c r="F970">
        <v>86.43</v>
      </c>
      <c r="G970">
        <v>47.46</v>
      </c>
      <c r="H970" s="12">
        <f t="shared" si="152"/>
        <v>80.911364332862121</v>
      </c>
      <c r="I970" s="12">
        <f t="shared" si="153"/>
        <v>73.625096480707711</v>
      </c>
      <c r="J970" s="12">
        <f t="shared" si="154"/>
        <v>116.68361306450582</v>
      </c>
      <c r="K970" s="12">
        <f t="shared" si="155"/>
        <v>119.11140996633034</v>
      </c>
      <c r="P970" s="12"/>
      <c r="Q970" s="12"/>
      <c r="R970" s="12"/>
      <c r="S970" s="12"/>
      <c r="V970">
        <v>0.496382054992764</v>
      </c>
      <c r="W970" s="12"/>
      <c r="X970" s="12"/>
      <c r="Y970" t="str">
        <v>20060303</v>
      </c>
      <c r="Z970">
        <v>42.7</v>
      </c>
      <c r="AA970">
        <v>31.3</v>
      </c>
      <c r="AB970">
        <f t="shared" si="156"/>
        <v>1.3642172523961662</v>
      </c>
      <c r="AY970" t="str">
        <v>03/12/2020</v>
      </c>
      <c r="AZ970">
        <v>64.400000000000006</v>
      </c>
      <c r="BA970">
        <v>16.8</v>
      </c>
      <c r="BB970">
        <f t="shared" si="157"/>
        <v>3.8333333333333335</v>
      </c>
    </row>
    <row r="971" spans="1:54" x14ac:dyDescent="0.3">
      <c r="A971" s="11">
        <v>44117</v>
      </c>
      <c r="B971">
        <v>0.73783783783783796</v>
      </c>
      <c r="C971">
        <v>3534.22</v>
      </c>
      <c r="D971">
        <v>160.6</v>
      </c>
      <c r="E971">
        <v>1922.75</v>
      </c>
      <c r="F971">
        <v>86.44</v>
      </c>
      <c r="G971">
        <v>47.87</v>
      </c>
      <c r="H971" s="12">
        <f t="shared" si="152"/>
        <v>82.015918260703216</v>
      </c>
      <c r="I971" s="12">
        <f t="shared" si="153"/>
        <v>72.88878262825996</v>
      </c>
      <c r="J971" s="12">
        <f t="shared" si="154"/>
        <v>117.41052755395195</v>
      </c>
      <c r="K971" s="12">
        <f t="shared" si="155"/>
        <v>118.84306763404457</v>
      </c>
      <c r="P971" s="12"/>
      <c r="Q971" s="12"/>
      <c r="R971" s="12"/>
      <c r="S971" s="12"/>
      <c r="V971">
        <v>0.49889786921381302</v>
      </c>
      <c r="W971" s="12"/>
      <c r="X971" s="12"/>
      <c r="Y971" t="str">
        <v>20060224</v>
      </c>
      <c r="Z971">
        <v>42.6</v>
      </c>
      <c r="AA971">
        <v>30.8</v>
      </c>
      <c r="AB971">
        <f t="shared" si="156"/>
        <v>1.3831168831168832</v>
      </c>
      <c r="AY971" t="str">
        <v>02/12/2020</v>
      </c>
      <c r="AZ971">
        <v>64.400000000000006</v>
      </c>
      <c r="BA971">
        <v>16.8</v>
      </c>
      <c r="BB971">
        <f t="shared" si="157"/>
        <v>3.8333333333333335</v>
      </c>
    </row>
    <row r="972" spans="1:54" x14ac:dyDescent="0.3">
      <c r="A972" s="11">
        <v>44114</v>
      </c>
      <c r="B972">
        <v>0.73698630136986298</v>
      </c>
      <c r="C972">
        <v>3477.13</v>
      </c>
      <c r="D972">
        <v>160.09</v>
      </c>
      <c r="E972">
        <v>1930.43</v>
      </c>
      <c r="F972">
        <v>86.42</v>
      </c>
      <c r="G972">
        <v>47.59</v>
      </c>
      <c r="H972" s="12">
        <f t="shared" si="152"/>
        <v>80.944775632356354</v>
      </c>
      <c r="I972" s="12">
        <f t="shared" si="153"/>
        <v>71.43178134324404</v>
      </c>
      <c r="J972" s="12">
        <f t="shared" si="154"/>
        <v>115.54024465882026</v>
      </c>
      <c r="K972" s="12">
        <f t="shared" si="155"/>
        <v>117.60409390481776</v>
      </c>
      <c r="P972" s="12"/>
      <c r="Q972" s="12"/>
      <c r="R972" s="12"/>
      <c r="S972" s="12"/>
      <c r="V972">
        <v>0.49598832968635997</v>
      </c>
      <c r="W972" s="12"/>
      <c r="X972" s="12"/>
      <c r="Y972" t="str">
        <v>20060217</v>
      </c>
      <c r="Z972">
        <v>45.3</v>
      </c>
      <c r="AA972">
        <v>29.5</v>
      </c>
      <c r="AB972">
        <f t="shared" si="156"/>
        <v>1.535593220338983</v>
      </c>
      <c r="AY972" t="str">
        <v>01/12/2020</v>
      </c>
      <c r="AZ972">
        <v>64.400000000000006</v>
      </c>
      <c r="BA972">
        <v>16.8</v>
      </c>
      <c r="BB972">
        <f t="shared" si="157"/>
        <v>3.8333333333333335</v>
      </c>
    </row>
    <row r="973" spans="1:54" x14ac:dyDescent="0.3">
      <c r="A973" s="11">
        <v>44113</v>
      </c>
      <c r="B973">
        <v>0.70903954802259905</v>
      </c>
      <c r="C973">
        <v>3446.83</v>
      </c>
      <c r="D973">
        <v>160.12</v>
      </c>
      <c r="E973">
        <v>1893.95</v>
      </c>
      <c r="F973">
        <v>86.42</v>
      </c>
      <c r="G973">
        <v>47.28</v>
      </c>
      <c r="H973" s="12">
        <f t="shared" si="152"/>
        <v>80.224516281781916</v>
      </c>
      <c r="I973" s="12">
        <f t="shared" si="153"/>
        <v>72.187632503341291</v>
      </c>
      <c r="J973" s="12">
        <f t="shared" si="154"/>
        <v>114.53341735780985</v>
      </c>
      <c r="K973" s="12">
        <f t="shared" si="155"/>
        <v>117.34195170924235</v>
      </c>
      <c r="P973" s="12"/>
      <c r="Q973" s="12"/>
      <c r="R973" s="12"/>
      <c r="S973" s="12"/>
      <c r="V973">
        <v>0.48293391430646299</v>
      </c>
      <c r="W973" s="12"/>
      <c r="X973" s="12"/>
      <c r="Y973" t="str">
        <v>20060210</v>
      </c>
      <c r="Z973">
        <v>48.9</v>
      </c>
      <c r="AA973">
        <v>27.7</v>
      </c>
      <c r="AB973">
        <f t="shared" si="156"/>
        <v>1.7653429602888087</v>
      </c>
      <c r="AY973" t="str">
        <v>30/11/2020</v>
      </c>
      <c r="AZ973">
        <v>64.400000000000006</v>
      </c>
      <c r="BA973">
        <v>16.8</v>
      </c>
      <c r="BB973">
        <f t="shared" si="157"/>
        <v>3.8333333333333335</v>
      </c>
    </row>
    <row r="974" spans="1:54" x14ac:dyDescent="0.3">
      <c r="A974" s="11">
        <v>44112</v>
      </c>
      <c r="B974">
        <v>0.70689655172413801</v>
      </c>
      <c r="C974">
        <v>3419.45</v>
      </c>
      <c r="D974">
        <v>159.26</v>
      </c>
      <c r="E974">
        <v>1887.5</v>
      </c>
      <c r="F974">
        <v>86.42</v>
      </c>
      <c r="G974">
        <v>46.9</v>
      </c>
      <c r="H974" s="12">
        <f t="shared" si="152"/>
        <v>80.015901961481248</v>
      </c>
      <c r="I974" s="12">
        <f t="shared" si="153"/>
        <v>71.857811106839989</v>
      </c>
      <c r="J974" s="12">
        <f t="shared" si="154"/>
        <v>113.62361763828298</v>
      </c>
      <c r="K974" s="12">
        <f t="shared" si="155"/>
        <v>117.35312487271966</v>
      </c>
      <c r="P974" s="12"/>
      <c r="Q974" s="12"/>
      <c r="R974" s="12"/>
      <c r="S974" s="12"/>
      <c r="V974">
        <v>0.48942377826404099</v>
      </c>
      <c r="W974" s="12"/>
      <c r="X974" s="12"/>
      <c r="Y974" t="str">
        <v>20060203</v>
      </c>
      <c r="Z974">
        <v>51.6</v>
      </c>
      <c r="AA974">
        <v>25.3</v>
      </c>
      <c r="AB974">
        <f t="shared" si="156"/>
        <v>2.039525691699605</v>
      </c>
      <c r="AY974" t="str">
        <v>27/11/2020</v>
      </c>
      <c r="AZ974">
        <v>64.7</v>
      </c>
      <c r="BA974">
        <v>16.7</v>
      </c>
      <c r="BB974">
        <f t="shared" si="157"/>
        <v>3.8742514970059885</v>
      </c>
    </row>
    <row r="975" spans="1:54" x14ac:dyDescent="0.3">
      <c r="A975" s="11">
        <v>44111</v>
      </c>
      <c r="B975">
        <v>0.69230769230769196</v>
      </c>
      <c r="C975">
        <v>3360.95</v>
      </c>
      <c r="D975">
        <v>160.43</v>
      </c>
      <c r="E975">
        <v>1877.55</v>
      </c>
      <c r="F975">
        <v>86.43</v>
      </c>
      <c r="G975">
        <v>46.46</v>
      </c>
      <c r="H975" s="12">
        <f t="shared" si="152"/>
        <v>78.087248946356695</v>
      </c>
      <c r="I975" s="12">
        <f t="shared" si="153"/>
        <v>70.998282217074888</v>
      </c>
      <c r="J975" s="12">
        <f t="shared" si="154"/>
        <v>111.66704424043265</v>
      </c>
      <c r="K975" s="12">
        <f t="shared" si="155"/>
        <v>116.42922627630281</v>
      </c>
      <c r="P975" s="12"/>
      <c r="Q975" s="12"/>
      <c r="R975" s="12"/>
      <c r="S975" s="12"/>
      <c r="V975">
        <v>0.48838896952104499</v>
      </c>
      <c r="W975" s="12"/>
      <c r="X975" s="12"/>
      <c r="Y975" t="str">
        <v>20060127</v>
      </c>
      <c r="Z975">
        <v>52.6</v>
      </c>
      <c r="AA975">
        <v>25.8</v>
      </c>
      <c r="AB975">
        <f t="shared" si="156"/>
        <v>2.0387596899224807</v>
      </c>
      <c r="AY975" t="str">
        <v>26/11/2020</v>
      </c>
      <c r="AZ975">
        <v>64.7</v>
      </c>
      <c r="BA975">
        <v>16.7</v>
      </c>
      <c r="BB975">
        <f t="shared" si="157"/>
        <v>3.8742514970059885</v>
      </c>
    </row>
    <row r="976" spans="1:54" x14ac:dyDescent="0.3">
      <c r="A976" s="11">
        <v>44110</v>
      </c>
      <c r="B976">
        <v>0.70149253731343297</v>
      </c>
      <c r="C976">
        <v>3408.63</v>
      </c>
      <c r="D976">
        <v>159.57</v>
      </c>
      <c r="E976">
        <v>1913.2750000000001</v>
      </c>
      <c r="F976">
        <v>86.43</v>
      </c>
      <c r="G976">
        <v>46.83</v>
      </c>
      <c r="H976" s="12">
        <f t="shared" si="152"/>
        <v>79.630285500660776</v>
      </c>
      <c r="I976" s="12">
        <f t="shared" si="153"/>
        <v>70.667266314930473</v>
      </c>
      <c r="J976" s="12">
        <f t="shared" si="154"/>
        <v>113.2512048704283</v>
      </c>
      <c r="K976" s="12">
        <f t="shared" si="155"/>
        <v>117.14228381001215</v>
      </c>
      <c r="P976" s="12"/>
      <c r="Q976" s="12"/>
      <c r="R976" s="12"/>
      <c r="S976" s="12"/>
      <c r="V976">
        <v>0.49013878743608502</v>
      </c>
      <c r="W976" s="12"/>
      <c r="X976" s="12"/>
      <c r="Y976" t="str">
        <v>20060120</v>
      </c>
      <c r="Z976">
        <v>53.7</v>
      </c>
      <c r="AA976">
        <v>25.3</v>
      </c>
      <c r="AB976">
        <f t="shared" si="156"/>
        <v>2.1225296442687749</v>
      </c>
      <c r="AY976" t="str">
        <v>25/11/2020</v>
      </c>
      <c r="AZ976">
        <v>64.7</v>
      </c>
      <c r="BA976">
        <v>16.7</v>
      </c>
      <c r="BB976">
        <f t="shared" si="157"/>
        <v>3.8742514970059885</v>
      </c>
    </row>
    <row r="977" spans="1:54" x14ac:dyDescent="0.3">
      <c r="A977" s="11">
        <v>44107</v>
      </c>
      <c r="B977">
        <v>0.70029673590504404</v>
      </c>
      <c r="C977">
        <v>3348.44</v>
      </c>
      <c r="D977">
        <v>162.75</v>
      </c>
      <c r="E977">
        <v>1899.7</v>
      </c>
      <c r="F977">
        <v>86.46</v>
      </c>
      <c r="G977">
        <v>46.14</v>
      </c>
      <c r="H977" s="12">
        <f t="shared" si="152"/>
        <v>76.750994552194129</v>
      </c>
      <c r="I977" s="12">
        <f t="shared" si="153"/>
        <v>69.910162345307029</v>
      </c>
      <c r="J977" s="12">
        <f t="shared" si="154"/>
        <v>111.21349383477124</v>
      </c>
      <c r="K977" s="12">
        <f t="shared" si="155"/>
        <v>116.78945719203813</v>
      </c>
      <c r="P977" s="12"/>
      <c r="Q977" s="12"/>
      <c r="R977" s="12"/>
      <c r="S977" s="12"/>
      <c r="V977">
        <v>0.49525893508388003</v>
      </c>
      <c r="W977" s="12"/>
      <c r="X977" s="12"/>
      <c r="Y977" t="str">
        <v>20060113</v>
      </c>
      <c r="Z977">
        <v>57.3</v>
      </c>
      <c r="AA977">
        <v>22.9</v>
      </c>
      <c r="AB977">
        <f t="shared" si="156"/>
        <v>2.5021834061135371</v>
      </c>
      <c r="AY977" t="str">
        <v>24/11/2020</v>
      </c>
      <c r="AZ977">
        <v>64.7</v>
      </c>
      <c r="BA977">
        <v>16.7</v>
      </c>
      <c r="BB977">
        <f t="shared" si="157"/>
        <v>3.8742514970059885</v>
      </c>
    </row>
    <row r="978" spans="1:54" x14ac:dyDescent="0.3">
      <c r="A978" s="11">
        <v>44106</v>
      </c>
      <c r="B978">
        <v>0.68501529051987797</v>
      </c>
      <c r="C978">
        <v>3380.8</v>
      </c>
      <c r="D978">
        <v>163.36000000000001</v>
      </c>
      <c r="E978">
        <v>1905.4</v>
      </c>
      <c r="F978">
        <v>86.45</v>
      </c>
      <c r="G978">
        <v>46.37</v>
      </c>
      <c r="H978" s="12">
        <f t="shared" si="152"/>
        <v>77.201668150846643</v>
      </c>
      <c r="I978" s="12">
        <f t="shared" si="153"/>
        <v>70.373232370438373</v>
      </c>
      <c r="J978" s="12">
        <f t="shared" si="154"/>
        <v>112.30139935698192</v>
      </c>
      <c r="K978" s="12">
        <f t="shared" si="155"/>
        <v>117.33053817282652</v>
      </c>
      <c r="P978" s="12"/>
      <c r="Q978" s="12"/>
      <c r="R978" s="12"/>
      <c r="S978" s="12"/>
      <c r="V978">
        <v>0.49380014587892102</v>
      </c>
      <c r="W978" s="12"/>
      <c r="X978" s="12"/>
      <c r="Y978" t="str">
        <v>20060106</v>
      </c>
      <c r="Z978">
        <v>56.8</v>
      </c>
      <c r="AA978">
        <v>22.1</v>
      </c>
      <c r="AB978">
        <f t="shared" si="156"/>
        <v>2.5701357466063346</v>
      </c>
      <c r="AY978" t="str">
        <v>23/11/2020</v>
      </c>
      <c r="AZ978">
        <v>64.7</v>
      </c>
      <c r="BA978">
        <v>16.7</v>
      </c>
      <c r="BB978">
        <f t="shared" si="157"/>
        <v>3.8742514970059885</v>
      </c>
    </row>
    <row r="979" spans="1:54" x14ac:dyDescent="0.3">
      <c r="A979" s="11">
        <v>44104</v>
      </c>
      <c r="B979">
        <v>0.68209876543209902</v>
      </c>
      <c r="C979">
        <v>3363</v>
      </c>
      <c r="D979">
        <v>163.26</v>
      </c>
      <c r="E979">
        <v>1885.75</v>
      </c>
      <c r="F979">
        <v>86.51</v>
      </c>
      <c r="G979">
        <v>45.99</v>
      </c>
      <c r="H979" s="12">
        <f t="shared" si="152"/>
        <v>76.842018814352016</v>
      </c>
      <c r="I979" s="12">
        <f t="shared" si="153"/>
        <v>70.735921182113401</v>
      </c>
      <c r="J979" s="12">
        <f t="shared" si="154"/>
        <v>111.63311278560398</v>
      </c>
      <c r="K979" s="12">
        <f t="shared" si="155"/>
        <v>117.68002106870767</v>
      </c>
      <c r="P979" s="12"/>
      <c r="Q979" s="12"/>
      <c r="R979" s="12"/>
      <c r="S979" s="12"/>
      <c r="V979">
        <v>0.48447653429602899</v>
      </c>
      <c r="W979" s="12"/>
      <c r="X979" s="12"/>
      <c r="Y979" t="str">
        <v>20051230</v>
      </c>
      <c r="Z979">
        <v>55.7</v>
      </c>
      <c r="AA979">
        <v>23.7</v>
      </c>
      <c r="AB979">
        <f t="shared" si="156"/>
        <v>2.3502109704641354</v>
      </c>
      <c r="AY979" t="str">
        <v>20/11/2020</v>
      </c>
      <c r="AZ979">
        <v>64.599999999999994</v>
      </c>
      <c r="BA979">
        <v>17.2</v>
      </c>
      <c r="BB979">
        <f t="shared" si="157"/>
        <v>3.7558139534883721</v>
      </c>
    </row>
    <row r="980" spans="1:54" x14ac:dyDescent="0.3">
      <c r="A980" s="11">
        <v>44104</v>
      </c>
      <c r="B980">
        <v>0.68902439024390205</v>
      </c>
      <c r="C980">
        <v>3335.47</v>
      </c>
      <c r="D980">
        <v>164.84</v>
      </c>
      <c r="E980">
        <v>1897.575</v>
      </c>
      <c r="F980">
        <v>86.5</v>
      </c>
      <c r="G980">
        <v>45.93</v>
      </c>
      <c r="H980" s="12">
        <f t="shared" si="152"/>
        <v>75.495276577775527</v>
      </c>
      <c r="I980" s="12">
        <f t="shared" si="153"/>
        <v>69.72591707006039</v>
      </c>
      <c r="J980" s="12">
        <f t="shared" si="154"/>
        <v>110.73196471383694</v>
      </c>
      <c r="K980" s="12">
        <f t="shared" si="155"/>
        <v>116.86809474743366</v>
      </c>
      <c r="P980" s="12"/>
      <c r="Q980" s="12"/>
      <c r="R980" s="12"/>
      <c r="S980" s="12"/>
      <c r="V980">
        <v>0.48327402135231301</v>
      </c>
      <c r="W980" s="12"/>
      <c r="X980" s="12"/>
      <c r="Y980" t="str">
        <v>20051223</v>
      </c>
      <c r="Z980">
        <v>60.4</v>
      </c>
      <c r="AA980">
        <v>20.8</v>
      </c>
      <c r="AB980">
        <f t="shared" si="156"/>
        <v>2.9038461538461537</v>
      </c>
      <c r="AY980" t="str">
        <v>19/11/2020</v>
      </c>
      <c r="AZ980">
        <v>64.599999999999994</v>
      </c>
      <c r="BA980">
        <v>17.2</v>
      </c>
      <c r="BB980">
        <f t="shared" si="157"/>
        <v>3.7558139534883721</v>
      </c>
    </row>
    <row r="981" spans="1:54" x14ac:dyDescent="0.3">
      <c r="A981" s="11">
        <v>44103</v>
      </c>
      <c r="B981">
        <v>0.68769716088328103</v>
      </c>
      <c r="C981">
        <v>3351.6</v>
      </c>
      <c r="D981">
        <v>164.65</v>
      </c>
      <c r="E981">
        <v>1881.45</v>
      </c>
      <c r="F981">
        <v>86.51</v>
      </c>
      <c r="G981">
        <v>46.04</v>
      </c>
      <c r="H981" s="12">
        <f t="shared" si="152"/>
        <v>75.948429700473213</v>
      </c>
      <c r="I981" s="12">
        <f t="shared" si="153"/>
        <v>70.671726984942637</v>
      </c>
      <c r="J981" s="12">
        <f t="shared" si="154"/>
        <v>111.25453094289863</v>
      </c>
      <c r="K981" s="12">
        <f t="shared" si="155"/>
        <v>117.15200091180519</v>
      </c>
      <c r="P981" s="12"/>
      <c r="Q981" s="12"/>
      <c r="R981" s="12"/>
      <c r="S981" s="12"/>
      <c r="V981">
        <v>0.48300795372378902</v>
      </c>
      <c r="W981" s="12"/>
      <c r="X981" s="12"/>
      <c r="Y981" t="str">
        <v>20051216</v>
      </c>
      <c r="Z981">
        <v>55</v>
      </c>
      <c r="AA981">
        <v>21</v>
      </c>
      <c r="AB981">
        <f t="shared" si="156"/>
        <v>2.6190476190476191</v>
      </c>
      <c r="AY981" t="str">
        <v>18/11/2020</v>
      </c>
      <c r="AZ981">
        <v>64.599999999999994</v>
      </c>
      <c r="BA981">
        <v>17.2</v>
      </c>
      <c r="BB981">
        <f t="shared" si="157"/>
        <v>3.7558139534883721</v>
      </c>
    </row>
    <row r="982" spans="1:54" x14ac:dyDescent="0.3">
      <c r="A982" s="11">
        <v>44100</v>
      </c>
      <c r="B982">
        <v>0.67378048780487798</v>
      </c>
      <c r="C982">
        <v>3298.46</v>
      </c>
      <c r="D982">
        <v>165.12</v>
      </c>
      <c r="E982">
        <v>1861.05</v>
      </c>
      <c r="F982">
        <v>86.5</v>
      </c>
      <c r="G982">
        <v>45.36</v>
      </c>
      <c r="H982" s="12">
        <f t="shared" si="152"/>
        <v>74.535463652382802</v>
      </c>
      <c r="I982" s="12">
        <f t="shared" si="153"/>
        <v>70.309702705556305</v>
      </c>
      <c r="J982" s="12">
        <f t="shared" si="154"/>
        <v>109.50303627025751</v>
      </c>
      <c r="K982" s="12">
        <f t="shared" si="155"/>
        <v>117.0210114648293</v>
      </c>
      <c r="P982" s="12"/>
      <c r="Q982" s="12"/>
      <c r="R982" s="12"/>
      <c r="S982" s="12"/>
      <c r="V982">
        <v>0.48196948682385599</v>
      </c>
      <c r="W982" s="12"/>
      <c r="X982" s="12"/>
      <c r="Y982" t="str">
        <v>20051209</v>
      </c>
      <c r="Z982">
        <v>58.8</v>
      </c>
      <c r="AA982">
        <v>21.6</v>
      </c>
      <c r="AB982">
        <f t="shared" si="156"/>
        <v>2.7222222222222219</v>
      </c>
      <c r="AY982" t="str">
        <v>17/11/2020</v>
      </c>
      <c r="AZ982">
        <v>64.599999999999994</v>
      </c>
      <c r="BA982">
        <v>17.2</v>
      </c>
      <c r="BB982">
        <f t="shared" si="157"/>
        <v>3.7558139534883721</v>
      </c>
    </row>
    <row r="983" spans="1:54" x14ac:dyDescent="0.3">
      <c r="A983" s="11">
        <v>44099</v>
      </c>
      <c r="B983">
        <v>0.686746987951807</v>
      </c>
      <c r="C983">
        <v>3246.59</v>
      </c>
      <c r="D983">
        <v>165.12</v>
      </c>
      <c r="E983">
        <v>1868.4749999999999</v>
      </c>
      <c r="F983">
        <v>86.49</v>
      </c>
      <c r="G983">
        <v>45.25</v>
      </c>
      <c r="H983" s="12">
        <f t="shared" si="152"/>
        <v>73.363354698613747</v>
      </c>
      <c r="I983" s="12">
        <f t="shared" si="153"/>
        <v>68.934420197155916</v>
      </c>
      <c r="J983" s="12">
        <f t="shared" si="154"/>
        <v>107.79331114677359</v>
      </c>
      <c r="K983" s="12">
        <f t="shared" si="155"/>
        <v>115.45705056844012</v>
      </c>
      <c r="P983" s="12"/>
      <c r="Q983" s="12"/>
      <c r="R983" s="12"/>
      <c r="S983" s="12"/>
      <c r="V983">
        <v>0.48955431754874701</v>
      </c>
      <c r="W983" s="12"/>
      <c r="X983" s="12"/>
      <c r="Y983" t="str">
        <v>20051202</v>
      </c>
      <c r="Z983">
        <v>56.2</v>
      </c>
      <c r="AA983">
        <v>21.9</v>
      </c>
      <c r="AB983">
        <f t="shared" si="156"/>
        <v>2.5662100456621006</v>
      </c>
      <c r="AY983" t="str">
        <v>16/11/2020</v>
      </c>
      <c r="AZ983">
        <v>64.599999999999994</v>
      </c>
      <c r="BA983">
        <v>17.2</v>
      </c>
      <c r="BB983">
        <f t="shared" si="157"/>
        <v>3.7558139534883721</v>
      </c>
    </row>
    <row r="984" spans="1:54" x14ac:dyDescent="0.3">
      <c r="A984" s="11">
        <v>44098</v>
      </c>
      <c r="B984">
        <v>0.69940476190476197</v>
      </c>
      <c r="C984">
        <v>3236.92</v>
      </c>
      <c r="D984">
        <v>164.49</v>
      </c>
      <c r="E984">
        <v>1863.65</v>
      </c>
      <c r="F984">
        <v>86.5</v>
      </c>
      <c r="G984">
        <v>45.3</v>
      </c>
      <c r="H984" s="12">
        <f t="shared" si="152"/>
        <v>73.425223693708617</v>
      </c>
      <c r="I984" s="12">
        <f t="shared" si="153"/>
        <v>68.906967500309179</v>
      </c>
      <c r="J984" s="12">
        <f t="shared" si="154"/>
        <v>107.45986161446896</v>
      </c>
      <c r="K984" s="12">
        <f t="shared" si="155"/>
        <v>114.98662183830716</v>
      </c>
      <c r="P984" s="12"/>
      <c r="Q984" s="12"/>
      <c r="R984" s="12"/>
      <c r="S984" s="12"/>
      <c r="V984">
        <v>0.496890117484451</v>
      </c>
      <c r="W984" s="12"/>
      <c r="X984" s="12"/>
      <c r="Y984" t="str">
        <v>20051125</v>
      </c>
      <c r="Z984">
        <v>55.8</v>
      </c>
      <c r="AA984">
        <v>21.1</v>
      </c>
      <c r="AB984">
        <f t="shared" si="156"/>
        <v>2.6445497630331749</v>
      </c>
      <c r="AY984" t="str">
        <v>13/11/2020</v>
      </c>
      <c r="AZ984">
        <v>59.6</v>
      </c>
      <c r="BA984">
        <v>18.2</v>
      </c>
      <c r="BB984">
        <f t="shared" si="157"/>
        <v>3.2747252747252751</v>
      </c>
    </row>
    <row r="985" spans="1:54" x14ac:dyDescent="0.3">
      <c r="A985" s="11">
        <v>44097</v>
      </c>
      <c r="B985">
        <v>0.70180722891566305</v>
      </c>
      <c r="C985">
        <v>3315.57</v>
      </c>
      <c r="D985">
        <v>164.27</v>
      </c>
      <c r="E985">
        <v>1900.2249999999999</v>
      </c>
      <c r="F985">
        <v>86.5</v>
      </c>
      <c r="G985">
        <v>45.875</v>
      </c>
      <c r="H985" s="12">
        <f t="shared" si="152"/>
        <v>75.312608107752112</v>
      </c>
      <c r="I985" s="12">
        <f t="shared" si="153"/>
        <v>69.216621257655206</v>
      </c>
      <c r="J985" s="12">
        <f t="shared" si="154"/>
        <v>110.07089868550501</v>
      </c>
      <c r="K985" s="12">
        <f t="shared" si="155"/>
        <v>116.2875717736872</v>
      </c>
      <c r="P985" s="12"/>
      <c r="Q985" s="12"/>
      <c r="R985" s="12"/>
      <c r="S985" s="12"/>
      <c r="V985">
        <v>0.49159663865546199</v>
      </c>
      <c r="W985" s="12"/>
      <c r="X985" s="12"/>
      <c r="Y985" t="str">
        <v>20051118</v>
      </c>
      <c r="Z985">
        <v>53.6</v>
      </c>
      <c r="AA985">
        <v>23.2</v>
      </c>
      <c r="AB985">
        <f t="shared" si="156"/>
        <v>2.3103448275862069</v>
      </c>
      <c r="AY985" t="str">
        <v>12/11/2020</v>
      </c>
      <c r="AZ985">
        <v>59.6</v>
      </c>
      <c r="BA985">
        <v>18.2</v>
      </c>
      <c r="BB985">
        <f t="shared" si="157"/>
        <v>3.2747252747252751</v>
      </c>
    </row>
    <row r="986" spans="1:54" x14ac:dyDescent="0.3">
      <c r="A986" s="11">
        <v>44096</v>
      </c>
      <c r="B986">
        <v>0.69969969969970003</v>
      </c>
      <c r="C986">
        <v>3281.06</v>
      </c>
      <c r="D986">
        <v>164.4</v>
      </c>
      <c r="E986">
        <v>1912.6</v>
      </c>
      <c r="F986">
        <v>86.48</v>
      </c>
      <c r="G986">
        <v>45.92</v>
      </c>
      <c r="H986" s="12">
        <f t="shared" si="152"/>
        <v>74.470444443623776</v>
      </c>
      <c r="I986" s="12">
        <f t="shared" si="153"/>
        <v>68.060398126682799</v>
      </c>
      <c r="J986" s="12">
        <f t="shared" si="154"/>
        <v>108.95016375677544</v>
      </c>
      <c r="K986" s="12">
        <f t="shared" si="155"/>
        <v>114.96570670893294</v>
      </c>
      <c r="P986" s="12"/>
      <c r="Q986" s="12"/>
      <c r="R986" s="12"/>
      <c r="S986" s="12"/>
      <c r="V986">
        <v>0.494334277620397</v>
      </c>
      <c r="W986" s="12"/>
      <c r="X986" s="12"/>
      <c r="Y986" t="str">
        <v>20051111</v>
      </c>
      <c r="Z986">
        <v>53.1</v>
      </c>
      <c r="AA986">
        <v>22.9</v>
      </c>
      <c r="AB986">
        <f t="shared" si="156"/>
        <v>2.3187772925764194</v>
      </c>
      <c r="AY986" t="str">
        <v>11/11/2020</v>
      </c>
      <c r="AZ986">
        <v>59.6</v>
      </c>
      <c r="BA986">
        <v>18.2</v>
      </c>
      <c r="BB986">
        <f t="shared" si="157"/>
        <v>3.2747252747252751</v>
      </c>
    </row>
    <row r="987" spans="1:54" x14ac:dyDescent="0.3">
      <c r="A987" s="11">
        <v>44093</v>
      </c>
      <c r="B987">
        <v>0.68862275449101795</v>
      </c>
      <c r="C987">
        <v>3319.47</v>
      </c>
      <c r="D987">
        <v>163.57</v>
      </c>
      <c r="E987">
        <v>1951.33</v>
      </c>
      <c r="F987">
        <v>86.49</v>
      </c>
      <c r="G987">
        <v>46.81</v>
      </c>
      <c r="H987" s="12">
        <f t="shared" si="152"/>
        <v>75.7310178639177</v>
      </c>
      <c r="I987" s="12">
        <f t="shared" si="153"/>
        <v>67.501694914024199</v>
      </c>
      <c r="J987" s="12">
        <f t="shared" si="154"/>
        <v>110.21270584982659</v>
      </c>
      <c r="K987" s="12">
        <f t="shared" si="155"/>
        <v>114.11646259599168</v>
      </c>
      <c r="P987" s="12"/>
      <c r="Q987" s="12"/>
      <c r="R987" s="12"/>
      <c r="S987" s="12"/>
      <c r="V987">
        <v>0.49152542372881403</v>
      </c>
      <c r="W987" s="12"/>
      <c r="X987" s="12"/>
      <c r="Y987" t="str">
        <v>20051104</v>
      </c>
      <c r="Z987">
        <v>50.6</v>
      </c>
      <c r="AA987">
        <v>24.7</v>
      </c>
      <c r="AB987">
        <f t="shared" si="156"/>
        <v>2.048582995951417</v>
      </c>
      <c r="AY987" t="str">
        <v>10/11/2020</v>
      </c>
      <c r="AZ987">
        <v>59.6</v>
      </c>
      <c r="BA987">
        <v>18.2</v>
      </c>
      <c r="BB987">
        <f t="shared" si="157"/>
        <v>3.2747252747252751</v>
      </c>
    </row>
    <row r="988" spans="1:54" x14ac:dyDescent="0.3">
      <c r="A988" s="11">
        <v>44092</v>
      </c>
      <c r="B988">
        <v>0.69940476190476197</v>
      </c>
      <c r="C988">
        <v>3357.01</v>
      </c>
      <c r="D988">
        <v>164.08</v>
      </c>
      <c r="E988">
        <v>1944.2750000000001</v>
      </c>
      <c r="F988">
        <v>86.48</v>
      </c>
      <c r="G988">
        <v>47.2</v>
      </c>
      <c r="H988" s="12">
        <f t="shared" si="152"/>
        <v>76.347472576664359</v>
      </c>
      <c r="I988" s="12">
        <f t="shared" si="153"/>
        <v>68.516504657906694</v>
      </c>
      <c r="J988" s="12">
        <f t="shared" si="154"/>
        <v>111.47214082338436</v>
      </c>
      <c r="K988" s="12">
        <f t="shared" si="155"/>
        <v>114.45064225824316</v>
      </c>
      <c r="P988" s="12"/>
      <c r="Q988" s="12"/>
      <c r="R988" s="12"/>
      <c r="S988" s="12"/>
      <c r="V988">
        <v>0.495616992582603</v>
      </c>
      <c r="W988" s="12"/>
      <c r="X988" s="12"/>
      <c r="Y988" t="str">
        <v>20051028</v>
      </c>
      <c r="Z988">
        <v>46.4</v>
      </c>
      <c r="AA988">
        <v>26.8</v>
      </c>
      <c r="AB988">
        <f t="shared" si="156"/>
        <v>1.7313432835820894</v>
      </c>
      <c r="AY988" t="str">
        <v>09/11/2020</v>
      </c>
      <c r="AZ988">
        <v>59.6</v>
      </c>
      <c r="BA988">
        <v>18.2</v>
      </c>
      <c r="BB988">
        <f t="shared" si="157"/>
        <v>3.2747252747252751</v>
      </c>
    </row>
    <row r="989" spans="1:54" x14ac:dyDescent="0.3">
      <c r="A989" s="11">
        <v>44091</v>
      </c>
      <c r="B989">
        <v>0.70570570570570601</v>
      </c>
      <c r="C989">
        <v>3385.49</v>
      </c>
      <c r="D989">
        <v>163.58000000000001</v>
      </c>
      <c r="E989">
        <v>1959.85</v>
      </c>
      <c r="F989">
        <v>86.5</v>
      </c>
      <c r="G989">
        <v>47.23</v>
      </c>
      <c r="H989" s="12">
        <f t="shared" si="152"/>
        <v>77.233259283382608</v>
      </c>
      <c r="I989" s="12">
        <f t="shared" si="153"/>
        <v>68.548402619121006</v>
      </c>
      <c r="J989" s="12">
        <f t="shared" si="154"/>
        <v>112.39163451495284</v>
      </c>
      <c r="K989" s="12">
        <f t="shared" si="155"/>
        <v>115.34772250363204</v>
      </c>
      <c r="P989" s="12"/>
      <c r="Q989" s="12"/>
      <c r="R989" s="12"/>
      <c r="S989" s="12"/>
      <c r="V989">
        <v>0.486850977747808</v>
      </c>
      <c r="W989" s="12"/>
      <c r="X989" s="12"/>
      <c r="Y989" t="str">
        <v>20051021</v>
      </c>
      <c r="Z989">
        <v>44.8</v>
      </c>
      <c r="AA989">
        <v>29.2</v>
      </c>
      <c r="AB989">
        <f t="shared" si="156"/>
        <v>1.5342465753424657</v>
      </c>
      <c r="AY989" t="str">
        <v>06/11/2020</v>
      </c>
      <c r="AZ989">
        <v>59.2</v>
      </c>
      <c r="BA989">
        <v>19.399999999999999</v>
      </c>
      <c r="BB989">
        <f t="shared" si="157"/>
        <v>3.0515463917525776</v>
      </c>
    </row>
    <row r="990" spans="1:54" x14ac:dyDescent="0.3">
      <c r="A990" s="11">
        <v>44090</v>
      </c>
      <c r="B990">
        <v>0.68787878787878798</v>
      </c>
      <c r="C990">
        <v>3401.2</v>
      </c>
      <c r="D990">
        <v>164.07</v>
      </c>
      <c r="E990">
        <v>1953.88</v>
      </c>
      <c r="F990">
        <v>86.484999999999999</v>
      </c>
      <c r="G990">
        <v>47.26</v>
      </c>
      <c r="H990" s="12">
        <f t="shared" si="152"/>
        <v>77.359543158049931</v>
      </c>
      <c r="I990" s="12">
        <f t="shared" si="153"/>
        <v>69.078540134725671</v>
      </c>
      <c r="J990" s="12">
        <f t="shared" si="154"/>
        <v>112.93285375341009</v>
      </c>
      <c r="K990" s="12">
        <f t="shared" si="155"/>
        <v>115.80912594887371</v>
      </c>
      <c r="P990" s="12"/>
      <c r="Q990" s="12"/>
      <c r="R990" s="12"/>
      <c r="S990" s="12"/>
      <c r="V990">
        <v>0.48117727583846698</v>
      </c>
      <c r="W990" s="12"/>
      <c r="X990" s="12"/>
      <c r="Y990" t="str">
        <v>20051014</v>
      </c>
      <c r="Z990">
        <v>45.3</v>
      </c>
      <c r="AA990">
        <v>29.5</v>
      </c>
      <c r="AB990">
        <f t="shared" si="156"/>
        <v>1.535593220338983</v>
      </c>
      <c r="AY990" t="str">
        <v>05/11/2020</v>
      </c>
      <c r="AZ990">
        <v>59.2</v>
      </c>
      <c r="BA990">
        <v>19.399999999999999</v>
      </c>
      <c r="BB990">
        <f t="shared" si="157"/>
        <v>3.0515463917525776</v>
      </c>
    </row>
    <row r="991" spans="1:54" x14ac:dyDescent="0.3">
      <c r="A991" s="11">
        <v>44089</v>
      </c>
      <c r="B991">
        <v>0.670807453416149</v>
      </c>
      <c r="C991">
        <v>3383.54</v>
      </c>
      <c r="D991">
        <v>164.47</v>
      </c>
      <c r="E991">
        <v>1956.7249999999999</v>
      </c>
      <c r="F991">
        <v>86.48</v>
      </c>
      <c r="G991">
        <v>46.93</v>
      </c>
      <c r="H991" s="12">
        <f t="shared" si="152"/>
        <v>76.772125836483966</v>
      </c>
      <c r="I991" s="12">
        <f t="shared" si="153"/>
        <v>68.620611076602401</v>
      </c>
      <c r="J991" s="12">
        <f t="shared" si="154"/>
        <v>112.35293634509719</v>
      </c>
      <c r="K991" s="12">
        <f t="shared" si="155"/>
        <v>116.01939530103112</v>
      </c>
      <c r="P991" s="12"/>
      <c r="Q991" s="12"/>
      <c r="R991" s="12"/>
      <c r="S991" s="12"/>
      <c r="V991">
        <v>0.4824016563147</v>
      </c>
      <c r="W991" s="12"/>
      <c r="X991" s="12"/>
      <c r="Y991" t="str">
        <v>20051007</v>
      </c>
      <c r="Z991">
        <v>45.8</v>
      </c>
      <c r="AA991">
        <v>29.2</v>
      </c>
      <c r="AB991">
        <f t="shared" si="156"/>
        <v>1.5684931506849316</v>
      </c>
      <c r="AY991" t="str">
        <v>04/11/2020</v>
      </c>
      <c r="AZ991">
        <v>59.2</v>
      </c>
      <c r="BA991">
        <v>19.399999999999999</v>
      </c>
      <c r="BB991">
        <f t="shared" si="157"/>
        <v>3.0515463917525776</v>
      </c>
    </row>
    <row r="992" spans="1:54" x14ac:dyDescent="0.3">
      <c r="A992" s="11">
        <v>44086</v>
      </c>
      <c r="B992">
        <v>0.6875</v>
      </c>
      <c r="C992">
        <v>3340.97</v>
      </c>
      <c r="D992">
        <v>164.48</v>
      </c>
      <c r="E992">
        <v>1940.4</v>
      </c>
      <c r="F992">
        <v>86.49</v>
      </c>
      <c r="G992">
        <v>46.51</v>
      </c>
      <c r="H992" s="12">
        <f t="shared" si="152"/>
        <v>75.801666946622831</v>
      </c>
      <c r="I992" s="12">
        <f t="shared" si="153"/>
        <v>68.324860444637878</v>
      </c>
      <c r="J992" s="12">
        <f t="shared" si="154"/>
        <v>110.92670414239205</v>
      </c>
      <c r="K992" s="12">
        <f t="shared" si="155"/>
        <v>115.59038246855611</v>
      </c>
      <c r="P992" s="12"/>
      <c r="Q992" s="12"/>
      <c r="R992" s="12"/>
      <c r="S992" s="12"/>
      <c r="V992">
        <v>0.477887788778878</v>
      </c>
      <c r="W992" s="12"/>
      <c r="X992" s="12"/>
      <c r="Y992" t="str">
        <v>20050930</v>
      </c>
      <c r="Z992">
        <v>49.5</v>
      </c>
      <c r="AA992">
        <v>27.8</v>
      </c>
      <c r="AB992">
        <f t="shared" si="156"/>
        <v>1.7805755395683454</v>
      </c>
      <c r="AY992" t="str">
        <v>03/11/2020</v>
      </c>
      <c r="AZ992">
        <v>59.2</v>
      </c>
      <c r="BA992">
        <v>19.399999999999999</v>
      </c>
      <c r="BB992">
        <f t="shared" si="157"/>
        <v>3.0515463917525776</v>
      </c>
    </row>
    <row r="993" spans="1:54" x14ac:dyDescent="0.3">
      <c r="A993" s="11">
        <v>44085</v>
      </c>
      <c r="B993">
        <v>0.671597633136095</v>
      </c>
      <c r="C993">
        <v>3339.19</v>
      </c>
      <c r="D993">
        <v>164.13</v>
      </c>
      <c r="E993">
        <v>1946.5</v>
      </c>
      <c r="F993">
        <v>86.47</v>
      </c>
      <c r="G993">
        <v>46.1</v>
      </c>
      <c r="H993" s="12">
        <f t="shared" si="152"/>
        <v>75.923097785295965</v>
      </c>
      <c r="I993" s="12">
        <f t="shared" si="153"/>
        <v>68.075235814531695</v>
      </c>
      <c r="J993" s="12">
        <f t="shared" si="154"/>
        <v>110.89323996509046</v>
      </c>
      <c r="K993" s="12">
        <f t="shared" si="155"/>
        <v>116.56494066412957</v>
      </c>
      <c r="P993" s="12"/>
      <c r="Q993" s="12"/>
      <c r="R993" s="12"/>
      <c r="S993" s="12"/>
      <c r="V993">
        <v>0.48287220026350502</v>
      </c>
      <c r="W993" s="12"/>
      <c r="X993" s="12"/>
      <c r="Y993" t="str">
        <v>20050923</v>
      </c>
      <c r="Z993">
        <v>53.2</v>
      </c>
      <c r="AA993">
        <v>26.6</v>
      </c>
      <c r="AB993">
        <f t="shared" si="156"/>
        <v>2</v>
      </c>
      <c r="AY993" t="str">
        <v>02/11/2020</v>
      </c>
      <c r="AZ993">
        <v>59.2</v>
      </c>
      <c r="BA993">
        <v>19.399999999999999</v>
      </c>
      <c r="BB993">
        <f t="shared" si="157"/>
        <v>3.0515463917525776</v>
      </c>
    </row>
    <row r="994" spans="1:54" x14ac:dyDescent="0.3">
      <c r="A994" s="11">
        <v>44084</v>
      </c>
      <c r="B994">
        <v>0.68141592920353999</v>
      </c>
      <c r="C994">
        <v>3398.96</v>
      </c>
      <c r="D994">
        <v>163.30000000000001</v>
      </c>
      <c r="E994">
        <v>1947.05</v>
      </c>
      <c r="F994">
        <v>86.48</v>
      </c>
      <c r="G994">
        <v>46.7</v>
      </c>
      <c r="H994" s="12">
        <f t="shared" si="152"/>
        <v>77.68399671817339</v>
      </c>
      <c r="I994" s="12">
        <f t="shared" si="153"/>
        <v>69.273833293012345</v>
      </c>
      <c r="J994" s="12">
        <f t="shared" si="154"/>
        <v>112.86489452385315</v>
      </c>
      <c r="K994" s="12">
        <f t="shared" si="155"/>
        <v>117.11971625271772</v>
      </c>
      <c r="P994" s="12"/>
      <c r="Q994" s="12"/>
      <c r="R994" s="12"/>
      <c r="S994" s="12"/>
      <c r="V994">
        <v>0.480392156862745</v>
      </c>
      <c r="W994" s="12"/>
      <c r="X994" s="12"/>
      <c r="Y994" t="str">
        <v>20050916</v>
      </c>
      <c r="Z994">
        <v>54.3</v>
      </c>
      <c r="AA994">
        <v>25.5</v>
      </c>
      <c r="AB994">
        <f t="shared" si="156"/>
        <v>2.1294117647058823</v>
      </c>
      <c r="AY994" t="str">
        <v>30/10/2020</v>
      </c>
      <c r="AZ994">
        <v>53.6</v>
      </c>
      <c r="BA994">
        <v>20.6</v>
      </c>
      <c r="BB994">
        <f t="shared" si="157"/>
        <v>2.6019417475728153</v>
      </c>
    </row>
    <row r="995" spans="1:54" x14ac:dyDescent="0.3">
      <c r="A995" s="11">
        <v>44083</v>
      </c>
      <c r="B995">
        <v>0.67751479289940797</v>
      </c>
      <c r="C995">
        <v>3331.84</v>
      </c>
      <c r="D995">
        <v>163.74</v>
      </c>
      <c r="E995">
        <v>1931.2750000000001</v>
      </c>
      <c r="F995">
        <v>86.47</v>
      </c>
      <c r="G995">
        <v>45.88</v>
      </c>
      <c r="H995" s="12">
        <f t="shared" si="152"/>
        <v>75.949892669272103</v>
      </c>
      <c r="I995" s="12">
        <f t="shared" si="153"/>
        <v>68.453970634217569</v>
      </c>
      <c r="J995" s="12">
        <f t="shared" si="154"/>
        <v>110.64867048568929</v>
      </c>
      <c r="K995" s="12">
        <f t="shared" si="155"/>
        <v>116.85418690043929</v>
      </c>
      <c r="P995" s="12"/>
      <c r="Q995" s="12"/>
      <c r="R995" s="12"/>
      <c r="S995" s="12"/>
      <c r="V995">
        <v>0.47691292875989399</v>
      </c>
      <c r="W995" s="12"/>
      <c r="X995" s="12"/>
      <c r="Y995" t="str">
        <v>20050909</v>
      </c>
      <c r="Z995">
        <v>53.2</v>
      </c>
      <c r="AA995">
        <v>26.6</v>
      </c>
      <c r="AB995">
        <f t="shared" si="156"/>
        <v>2</v>
      </c>
      <c r="AY995" t="str">
        <v>29/10/2020</v>
      </c>
      <c r="AZ995">
        <v>53.6</v>
      </c>
      <c r="BA995">
        <v>20.6</v>
      </c>
      <c r="BB995">
        <f t="shared" si="157"/>
        <v>2.6019417475728153</v>
      </c>
    </row>
    <row r="996" spans="1:54" x14ac:dyDescent="0.3">
      <c r="A996" s="11">
        <v>44079</v>
      </c>
      <c r="B996">
        <v>0.71195652173913004</v>
      </c>
      <c r="C996">
        <v>3426.96</v>
      </c>
      <c r="D996">
        <v>162.74</v>
      </c>
      <c r="E996">
        <v>1933.83</v>
      </c>
      <c r="F996">
        <v>86.46</v>
      </c>
      <c r="G996">
        <v>46.55</v>
      </c>
      <c r="H996" s="12">
        <f t="shared" si="152"/>
        <v>78.615032654574847</v>
      </c>
      <c r="I996" s="12">
        <f t="shared" si="153"/>
        <v>70.312698528437309</v>
      </c>
      <c r="J996" s="12">
        <f t="shared" si="154"/>
        <v>113.82109655666655</v>
      </c>
      <c r="K996" s="12">
        <f t="shared" si="155"/>
        <v>118.43688903206507</v>
      </c>
      <c r="P996" s="12"/>
      <c r="Q996" s="12"/>
      <c r="R996" s="12"/>
      <c r="S996" s="12"/>
      <c r="V996">
        <v>0.48690095846645398</v>
      </c>
      <c r="W996" s="12"/>
      <c r="X996" s="12"/>
      <c r="Y996" t="str">
        <v>20050902</v>
      </c>
      <c r="Z996">
        <v>52.1</v>
      </c>
      <c r="AA996">
        <v>28.1</v>
      </c>
      <c r="AB996">
        <f t="shared" si="156"/>
        <v>1.8540925266903914</v>
      </c>
      <c r="AY996" t="str">
        <v>28/10/2020</v>
      </c>
      <c r="AZ996">
        <v>53.6</v>
      </c>
      <c r="BA996">
        <v>20.6</v>
      </c>
      <c r="BB996">
        <f t="shared" si="157"/>
        <v>2.6019417475728153</v>
      </c>
    </row>
    <row r="997" spans="1:54" x14ac:dyDescent="0.3">
      <c r="A997" s="11">
        <v>44078</v>
      </c>
      <c r="B997">
        <v>0.72105263157894695</v>
      </c>
      <c r="C997">
        <v>3455.06</v>
      </c>
      <c r="D997">
        <v>165.89</v>
      </c>
      <c r="E997">
        <v>1930.4</v>
      </c>
      <c r="F997">
        <v>86.49</v>
      </c>
      <c r="G997">
        <v>46.52</v>
      </c>
      <c r="H997" s="12">
        <f t="shared" si="152"/>
        <v>77.770792808023117</v>
      </c>
      <c r="I997" s="12">
        <f t="shared" si="153"/>
        <v>71.016459781883114</v>
      </c>
      <c r="J997" s="12">
        <f t="shared" si="154"/>
        <v>114.71427778027167</v>
      </c>
      <c r="K997" s="12">
        <f t="shared" si="155"/>
        <v>119.48572071565465</v>
      </c>
      <c r="P997" s="12"/>
      <c r="Q997" s="12"/>
      <c r="R997" s="12"/>
      <c r="S997" s="12"/>
      <c r="V997">
        <v>0.48636651870640502</v>
      </c>
      <c r="W997" s="12"/>
      <c r="X997" s="12"/>
      <c r="Y997" t="str">
        <v>20050826</v>
      </c>
      <c r="Z997">
        <v>51.1</v>
      </c>
      <c r="AA997">
        <v>27.3</v>
      </c>
      <c r="AB997">
        <f t="shared" si="156"/>
        <v>1.8717948717948718</v>
      </c>
      <c r="AY997" t="str">
        <v>27/10/2020</v>
      </c>
      <c r="AZ997">
        <v>53.6</v>
      </c>
      <c r="BA997">
        <v>20.6</v>
      </c>
      <c r="BB997">
        <f t="shared" si="157"/>
        <v>2.6019417475728153</v>
      </c>
    </row>
    <row r="998" spans="1:54" x14ac:dyDescent="0.3">
      <c r="A998" s="11">
        <v>44077</v>
      </c>
      <c r="B998">
        <v>0.71948051948051905</v>
      </c>
      <c r="C998">
        <v>3580.84</v>
      </c>
      <c r="D998">
        <v>165.42</v>
      </c>
      <c r="E998">
        <v>1942.85</v>
      </c>
      <c r="F998">
        <v>86.5</v>
      </c>
      <c r="G998">
        <v>47.56</v>
      </c>
      <c r="H998" s="12">
        <f t="shared" si="152"/>
        <v>80.840054343219464</v>
      </c>
      <c r="I998" s="12">
        <f t="shared" si="153"/>
        <v>73.116190401743992</v>
      </c>
      <c r="J998" s="12">
        <f t="shared" si="154"/>
        <v>118.87615939806355</v>
      </c>
      <c r="K998" s="12">
        <f t="shared" si="155"/>
        <v>121.09123564557987</v>
      </c>
      <c r="P998" s="12"/>
      <c r="Q998" s="12"/>
      <c r="R998" s="12"/>
      <c r="S998" s="12"/>
      <c r="V998">
        <v>0.48271527341294801</v>
      </c>
      <c r="W998" s="12"/>
      <c r="X998" s="12"/>
      <c r="Y998" t="str">
        <v>20050819</v>
      </c>
      <c r="Z998">
        <v>56.8</v>
      </c>
      <c r="AA998">
        <v>25</v>
      </c>
      <c r="AB998">
        <f t="shared" si="156"/>
        <v>2.2719999999999998</v>
      </c>
      <c r="AY998" t="str">
        <v>26/10/2020</v>
      </c>
      <c r="AZ998">
        <v>53.6</v>
      </c>
      <c r="BA998">
        <v>20.6</v>
      </c>
      <c r="BB998">
        <f t="shared" si="157"/>
        <v>2.6019417475728153</v>
      </c>
    </row>
    <row r="999" spans="1:54" x14ac:dyDescent="0.3">
      <c r="A999" s="11">
        <v>44076</v>
      </c>
      <c r="B999">
        <v>0.721784776902887</v>
      </c>
      <c r="C999">
        <v>3526.65</v>
      </c>
      <c r="D999">
        <v>163.86</v>
      </c>
      <c r="E999">
        <v>1970.575</v>
      </c>
      <c r="F999">
        <v>86.49</v>
      </c>
      <c r="G999">
        <v>47.18</v>
      </c>
      <c r="H999" s="12">
        <f t="shared" si="152"/>
        <v>80.370247258731624</v>
      </c>
      <c r="I999" s="12">
        <f t="shared" si="153"/>
        <v>71.025528776675984</v>
      </c>
      <c r="J999" s="12">
        <f t="shared" si="154"/>
        <v>117.09050152124124</v>
      </c>
      <c r="K999" s="12">
        <f t="shared" si="155"/>
        <v>120.21229183287646</v>
      </c>
      <c r="P999" s="12"/>
      <c r="Q999" s="12"/>
      <c r="R999" s="12"/>
      <c r="S999" s="12"/>
      <c r="V999">
        <v>0.48264984227129298</v>
      </c>
      <c r="W999" s="12"/>
      <c r="X999" s="12"/>
      <c r="Y999" t="str">
        <v>20050812</v>
      </c>
      <c r="Z999">
        <v>57.3</v>
      </c>
      <c r="AA999">
        <v>22.5</v>
      </c>
      <c r="AB999">
        <f t="shared" si="156"/>
        <v>2.5466666666666664</v>
      </c>
      <c r="AY999" t="str">
        <v>23/10/2020</v>
      </c>
      <c r="AZ999">
        <v>60.6</v>
      </c>
      <c r="BA999">
        <v>20.2</v>
      </c>
      <c r="BB999">
        <f t="shared" si="157"/>
        <v>3</v>
      </c>
    </row>
    <row r="1000" spans="1:54" x14ac:dyDescent="0.3">
      <c r="A1000" s="11">
        <v>44074</v>
      </c>
      <c r="B1000">
        <v>0.72295514511873304</v>
      </c>
      <c r="C1000">
        <v>3500.31</v>
      </c>
      <c r="D1000">
        <v>162.19</v>
      </c>
      <c r="E1000">
        <v>1967.9</v>
      </c>
      <c r="F1000">
        <v>86.56</v>
      </c>
      <c r="G1000">
        <v>46.85</v>
      </c>
      <c r="H1000" s="12">
        <f t="shared" si="152"/>
        <v>80.593613908326972</v>
      </c>
      <c r="I1000" s="12">
        <f t="shared" si="153"/>
        <v>70.590288067380655</v>
      </c>
      <c r="J1000" s="12">
        <f t="shared" si="154"/>
        <v>116.12276512313598</v>
      </c>
      <c r="K1000" s="12">
        <f t="shared" si="155"/>
        <v>120.15446255806926</v>
      </c>
      <c r="P1000" s="12"/>
      <c r="Q1000" s="12"/>
      <c r="R1000" s="12"/>
      <c r="S1000" s="12"/>
      <c r="V1000">
        <v>0.48058561425843399</v>
      </c>
      <c r="W1000" s="12"/>
      <c r="X1000" s="12"/>
      <c r="Y1000" t="str">
        <v>20050805</v>
      </c>
      <c r="Z1000">
        <v>59.1</v>
      </c>
      <c r="AA1000">
        <v>19.3</v>
      </c>
      <c r="AB1000">
        <f t="shared" si="156"/>
        <v>3.0621761658031086</v>
      </c>
      <c r="AY1000" t="str">
        <v>22/10/2020</v>
      </c>
      <c r="AZ1000">
        <v>60.6</v>
      </c>
      <c r="BA1000">
        <v>20.2</v>
      </c>
      <c r="BB1000">
        <f t="shared" si="157"/>
        <v>3</v>
      </c>
    </row>
    <row r="1001" spans="1:54" x14ac:dyDescent="0.3">
      <c r="A1001" s="11">
        <v>44072</v>
      </c>
      <c r="B1001">
        <v>0.72877358490566002</v>
      </c>
      <c r="C1001">
        <v>3508.01</v>
      </c>
      <c r="D1001">
        <v>161.12</v>
      </c>
      <c r="E1001">
        <v>1964.95</v>
      </c>
      <c r="F1001">
        <v>86.53</v>
      </c>
      <c r="G1001">
        <v>47.43</v>
      </c>
      <c r="H1001" s="12">
        <f t="shared" si="152"/>
        <v>81.312086656213197</v>
      </c>
      <c r="I1001" s="12">
        <f t="shared" si="153"/>
        <v>70.852178059509725</v>
      </c>
      <c r="J1001" s="12">
        <f t="shared" si="154"/>
        <v>116.41866378717334</v>
      </c>
      <c r="K1001" s="12">
        <f t="shared" si="155"/>
        <v>118.96086035590085</v>
      </c>
      <c r="P1001" s="12"/>
      <c r="Q1001" s="12"/>
      <c r="R1001" s="12"/>
      <c r="S1001" s="12"/>
      <c r="V1001">
        <v>0.48557397176181699</v>
      </c>
      <c r="W1001" s="12"/>
      <c r="X1001" s="12"/>
      <c r="Y1001" t="str">
        <v>20050729</v>
      </c>
      <c r="Z1001">
        <v>57.3</v>
      </c>
      <c r="AA1001">
        <v>22.5</v>
      </c>
      <c r="AB1001">
        <f t="shared" si="156"/>
        <v>2.5466666666666664</v>
      </c>
      <c r="AY1001" t="str">
        <v>21/10/2020</v>
      </c>
      <c r="AZ1001">
        <v>60.6</v>
      </c>
      <c r="BA1001">
        <v>20.2</v>
      </c>
      <c r="BB1001">
        <f t="shared" si="157"/>
        <v>3</v>
      </c>
    </row>
    <row r="1002" spans="1:54" x14ac:dyDescent="0.3">
      <c r="A1002" s="11">
        <v>44071</v>
      </c>
      <c r="B1002">
        <v>0.735498839907193</v>
      </c>
      <c r="C1002">
        <v>3484.55</v>
      </c>
      <c r="D1002">
        <v>161.24</v>
      </c>
      <c r="E1002">
        <v>1929.2249999999999</v>
      </c>
      <c r="F1002">
        <v>86.5</v>
      </c>
      <c r="G1002">
        <v>47.03</v>
      </c>
      <c r="H1002" s="12">
        <f t="shared" si="152"/>
        <v>80.708643554980668</v>
      </c>
      <c r="I1002" s="12">
        <f t="shared" si="153"/>
        <v>71.697144823580544</v>
      </c>
      <c r="J1002" s="12">
        <f t="shared" si="154"/>
        <v>115.67995980704086</v>
      </c>
      <c r="K1002" s="12">
        <f t="shared" si="155"/>
        <v>119.17210874243328</v>
      </c>
      <c r="P1002" s="12"/>
      <c r="Q1002" s="12"/>
      <c r="R1002" s="12"/>
      <c r="S1002" s="12"/>
      <c r="V1002">
        <v>0.483990147783251</v>
      </c>
      <c r="W1002" s="12"/>
      <c r="X1002" s="12"/>
      <c r="Y1002" t="str">
        <v>20050722</v>
      </c>
      <c r="Z1002">
        <v>55.9</v>
      </c>
      <c r="AA1002">
        <v>22.6</v>
      </c>
      <c r="AB1002">
        <f t="shared" si="156"/>
        <v>2.4734513274336281</v>
      </c>
      <c r="AY1002" t="str">
        <v>20/10/2020</v>
      </c>
      <c r="AZ1002">
        <v>60.6</v>
      </c>
      <c r="BA1002">
        <v>20.2</v>
      </c>
      <c r="BB1002">
        <f t="shared" si="157"/>
        <v>3</v>
      </c>
    </row>
    <row r="1003" spans="1:54" x14ac:dyDescent="0.3">
      <c r="A1003" s="11">
        <v>44070</v>
      </c>
      <c r="B1003">
        <v>0.73672055427251704</v>
      </c>
      <c r="C1003">
        <v>3478.73</v>
      </c>
      <c r="D1003">
        <v>164.03</v>
      </c>
      <c r="E1003">
        <v>1954.0250000000001</v>
      </c>
      <c r="F1003">
        <v>86.51</v>
      </c>
      <c r="G1003">
        <v>47.44</v>
      </c>
      <c r="H1003" s="12">
        <f t="shared" si="152"/>
        <v>79.22848837413747</v>
      </c>
      <c r="I1003" s="12">
        <f t="shared" si="153"/>
        <v>70.68181636481458</v>
      </c>
      <c r="J1003" s="12">
        <f t="shared" si="154"/>
        <v>115.47342197476985</v>
      </c>
      <c r="K1003" s="12">
        <f t="shared" si="155"/>
        <v>117.95533807746573</v>
      </c>
      <c r="P1003" s="12"/>
      <c r="Q1003" s="12"/>
      <c r="R1003" s="12"/>
      <c r="S1003" s="12"/>
      <c r="V1003">
        <v>0.48520345252774399</v>
      </c>
      <c r="W1003" s="12"/>
      <c r="X1003" s="12"/>
      <c r="Y1003" t="str">
        <v>20050715</v>
      </c>
      <c r="Z1003">
        <v>52.7</v>
      </c>
      <c r="AA1003">
        <v>23.1</v>
      </c>
      <c r="AB1003">
        <f t="shared" si="156"/>
        <v>2.2813852813852815</v>
      </c>
      <c r="AY1003" t="str">
        <v>19/10/2020</v>
      </c>
      <c r="AZ1003">
        <v>60.6</v>
      </c>
      <c r="BA1003">
        <v>20.2</v>
      </c>
      <c r="BB1003">
        <f t="shared" si="157"/>
        <v>3</v>
      </c>
    </row>
    <row r="1004" spans="1:54" x14ac:dyDescent="0.3">
      <c r="A1004" s="11">
        <v>44069</v>
      </c>
      <c r="B1004">
        <v>0.73781902552204204</v>
      </c>
      <c r="C1004">
        <v>3443.62</v>
      </c>
      <c r="D1004">
        <v>164.66</v>
      </c>
      <c r="E1004">
        <v>1928.5250000000001</v>
      </c>
      <c r="F1004">
        <v>86.51</v>
      </c>
      <c r="G1004">
        <v>47.19</v>
      </c>
      <c r="H1004" s="12">
        <f t="shared" si="152"/>
        <v>78.132929376397129</v>
      </c>
      <c r="I1004" s="12">
        <f t="shared" si="153"/>
        <v>70.896410892747483</v>
      </c>
      <c r="J1004" s="12">
        <f t="shared" si="154"/>
        <v>114.30797600870345</v>
      </c>
      <c r="K1004" s="12">
        <f t="shared" si="155"/>
        <v>117.38041658895655</v>
      </c>
      <c r="P1004" s="12"/>
      <c r="Q1004" s="12"/>
      <c r="R1004" s="12"/>
      <c r="S1004" s="12"/>
      <c r="V1004">
        <v>0.48421052631578898</v>
      </c>
      <c r="W1004" s="12"/>
      <c r="X1004" s="12"/>
      <c r="Y1004" t="str">
        <v>20050708</v>
      </c>
      <c r="Z1004">
        <v>54.5</v>
      </c>
      <c r="AA1004">
        <v>22.2</v>
      </c>
      <c r="AB1004">
        <f t="shared" si="156"/>
        <v>2.454954954954955</v>
      </c>
      <c r="AY1004" t="str">
        <v>16/10/2020</v>
      </c>
      <c r="AZ1004">
        <v>59.2</v>
      </c>
      <c r="BA1004">
        <v>20.399999999999999</v>
      </c>
      <c r="BB1004">
        <f t="shared" si="157"/>
        <v>2.9019607843137258</v>
      </c>
    </row>
    <row r="1005" spans="1:54" x14ac:dyDescent="0.3">
      <c r="A1005" s="11">
        <v>44068</v>
      </c>
      <c r="B1005">
        <v>0.74065420560747697</v>
      </c>
      <c r="C1005">
        <v>3431.28</v>
      </c>
      <c r="D1005">
        <v>165.93</v>
      </c>
      <c r="E1005">
        <v>1927.95</v>
      </c>
      <c r="F1005">
        <v>86.5</v>
      </c>
      <c r="G1005">
        <v>47.05</v>
      </c>
      <c r="H1005" s="12">
        <f t="shared" si="152"/>
        <v>77.263700728865786</v>
      </c>
      <c r="I1005" s="12">
        <f t="shared" si="153"/>
        <v>70.663357393691044</v>
      </c>
      <c r="J1005" s="12">
        <f t="shared" si="154"/>
        <v>113.91148219012589</v>
      </c>
      <c r="K1005" s="12">
        <f t="shared" si="155"/>
        <v>117.3075958280907</v>
      </c>
      <c r="P1005" s="12"/>
      <c r="Q1005" s="12"/>
      <c r="R1005" s="12"/>
      <c r="S1005" s="12"/>
      <c r="V1005">
        <v>0.487820112429731</v>
      </c>
      <c r="W1005" s="12"/>
      <c r="X1005" s="12"/>
      <c r="Y1005" t="str">
        <v>20050701</v>
      </c>
      <c r="Z1005">
        <v>53.9</v>
      </c>
      <c r="AA1005">
        <v>21.4</v>
      </c>
      <c r="AB1005">
        <f t="shared" si="156"/>
        <v>2.518691588785047</v>
      </c>
      <c r="AY1005" t="str">
        <v>15/10/2020</v>
      </c>
      <c r="AZ1005">
        <v>59.2</v>
      </c>
      <c r="BA1005">
        <v>20.399999999999999</v>
      </c>
      <c r="BB1005">
        <f t="shared" si="157"/>
        <v>2.9019607843137258</v>
      </c>
    </row>
    <row r="1006" spans="1:54" x14ac:dyDescent="0.3">
      <c r="A1006" s="11">
        <v>44065</v>
      </c>
      <c r="B1006">
        <v>0.76017130620984996</v>
      </c>
      <c r="C1006">
        <v>3397.16</v>
      </c>
      <c r="D1006">
        <v>166.2</v>
      </c>
      <c r="E1006">
        <v>1940.23</v>
      </c>
      <c r="F1006">
        <v>86.51</v>
      </c>
      <c r="G1006">
        <v>46.45</v>
      </c>
      <c r="H1006" s="12">
        <f t="shared" si="152"/>
        <v>76.372567866877461</v>
      </c>
      <c r="I1006" s="12">
        <f t="shared" si="153"/>
        <v>69.525035795477336</v>
      </c>
      <c r="J1006" s="12">
        <f t="shared" si="154"/>
        <v>112.76586254282883</v>
      </c>
      <c r="K1006" s="12">
        <f t="shared" si="155"/>
        <v>117.64564253851329</v>
      </c>
      <c r="P1006" s="12"/>
      <c r="Q1006" s="12"/>
      <c r="R1006" s="12"/>
      <c r="S1006" s="12"/>
      <c r="V1006">
        <v>0.48454882571075403</v>
      </c>
      <c r="W1006" s="12"/>
      <c r="X1006" s="12"/>
      <c r="Y1006" t="str">
        <v>20050624</v>
      </c>
      <c r="Z1006">
        <v>55.1</v>
      </c>
      <c r="AA1006">
        <v>19.100000000000001</v>
      </c>
      <c r="AB1006">
        <f t="shared" si="156"/>
        <v>2.8848167539267013</v>
      </c>
      <c r="AY1006" t="str">
        <v>14/10/2020</v>
      </c>
      <c r="AZ1006">
        <v>59.2</v>
      </c>
      <c r="BA1006">
        <v>20.399999999999999</v>
      </c>
      <c r="BB1006">
        <f t="shared" si="157"/>
        <v>2.9019607843137258</v>
      </c>
    </row>
    <row r="1007" spans="1:54" x14ac:dyDescent="0.3">
      <c r="A1007" s="11">
        <v>44064</v>
      </c>
      <c r="B1007">
        <v>0.76495726495726502</v>
      </c>
      <c r="C1007">
        <v>3385.51</v>
      </c>
      <c r="D1007">
        <v>165.21</v>
      </c>
      <c r="E1007">
        <v>1946.45</v>
      </c>
      <c r="F1007">
        <v>86.52</v>
      </c>
      <c r="G1007">
        <v>46.58</v>
      </c>
      <c r="H1007" s="12">
        <f t="shared" si="152"/>
        <v>76.567910787831323</v>
      </c>
      <c r="I1007" s="12">
        <f t="shared" si="153"/>
        <v>69.06666128828337</v>
      </c>
      <c r="J1007" s="12">
        <f t="shared" si="154"/>
        <v>112.36620784090857</v>
      </c>
      <c r="K1007" s="12">
        <f t="shared" si="155"/>
        <v>116.91701182972088</v>
      </c>
      <c r="P1007" s="12"/>
      <c r="Q1007" s="12"/>
      <c r="R1007" s="12"/>
      <c r="S1007" s="12"/>
      <c r="V1007">
        <v>0.48740012292563001</v>
      </c>
      <c r="W1007" s="12"/>
      <c r="X1007" s="12"/>
      <c r="Y1007" t="str">
        <v>20050617</v>
      </c>
      <c r="Z1007">
        <v>53.9</v>
      </c>
      <c r="AA1007">
        <v>20.2</v>
      </c>
      <c r="AB1007">
        <f t="shared" si="156"/>
        <v>2.6683168316831685</v>
      </c>
      <c r="AY1007" t="str">
        <v>13/10/2020</v>
      </c>
      <c r="AZ1007">
        <v>59.2</v>
      </c>
      <c r="BA1007">
        <v>20.399999999999999</v>
      </c>
      <c r="BB1007">
        <f t="shared" si="157"/>
        <v>2.9019607843137258</v>
      </c>
    </row>
    <row r="1008" spans="1:54" x14ac:dyDescent="0.3">
      <c r="A1008" s="11">
        <v>44063</v>
      </c>
      <c r="B1008">
        <v>0.76180257510729599</v>
      </c>
      <c r="C1008">
        <v>3374.85</v>
      </c>
      <c r="D1008">
        <v>163.72999999999999</v>
      </c>
      <c r="E1008">
        <v>1929.825</v>
      </c>
      <c r="F1008">
        <v>86.52</v>
      </c>
      <c r="G1008">
        <v>46.72</v>
      </c>
      <c r="H1008" s="12">
        <f t="shared" si="152"/>
        <v>77.020840549334991</v>
      </c>
      <c r="I1008" s="12">
        <f t="shared" si="153"/>
        <v>69.445564054362237</v>
      </c>
      <c r="J1008" s="12">
        <f t="shared" si="154"/>
        <v>112.0123988799</v>
      </c>
      <c r="K1008" s="12">
        <f t="shared" si="155"/>
        <v>116.20176276015438</v>
      </c>
      <c r="P1008" s="12"/>
      <c r="Q1008" s="12"/>
      <c r="R1008" s="12"/>
      <c r="S1008" s="12"/>
      <c r="V1008">
        <v>0.48792569659442703</v>
      </c>
      <c r="W1008" s="12"/>
      <c r="X1008" s="12"/>
      <c r="Y1008" t="str">
        <v>20050610</v>
      </c>
      <c r="Z1008">
        <v>52.7</v>
      </c>
      <c r="AA1008">
        <v>20.399999999999999</v>
      </c>
      <c r="AB1008">
        <f t="shared" si="156"/>
        <v>2.5833333333333335</v>
      </c>
      <c r="AY1008" t="str">
        <v>12/10/2020</v>
      </c>
      <c r="AZ1008">
        <v>59.2</v>
      </c>
      <c r="BA1008">
        <v>20.399999999999999</v>
      </c>
      <c r="BB1008">
        <f t="shared" si="157"/>
        <v>2.9019607843137258</v>
      </c>
    </row>
    <row r="1009" spans="1:54" x14ac:dyDescent="0.3">
      <c r="A1009" s="11">
        <v>44062</v>
      </c>
      <c r="B1009">
        <v>0.76889848812094996</v>
      </c>
      <c r="C1009">
        <v>3389.78</v>
      </c>
      <c r="D1009">
        <v>164.76</v>
      </c>
      <c r="E1009">
        <v>2001.9</v>
      </c>
      <c r="F1009">
        <v>86.52</v>
      </c>
      <c r="G1009">
        <v>47.03</v>
      </c>
      <c r="H1009" s="12">
        <f t="shared" si="152"/>
        <v>76.878837515345552</v>
      </c>
      <c r="I1009" s="12">
        <f t="shared" si="153"/>
        <v>67.318378603455372</v>
      </c>
      <c r="J1009" s="12">
        <f t="shared" si="154"/>
        <v>112.50793056731631</v>
      </c>
      <c r="K1009" s="12">
        <f t="shared" si="155"/>
        <v>115.9481700025317</v>
      </c>
      <c r="P1009" s="12"/>
      <c r="Q1009" s="12"/>
      <c r="R1009" s="12"/>
      <c r="S1009" s="12"/>
      <c r="V1009">
        <v>0.48499999999999999</v>
      </c>
      <c r="W1009" s="12"/>
      <c r="X1009" s="12"/>
      <c r="Y1009" t="str">
        <v>20050603</v>
      </c>
      <c r="Z1009">
        <v>50.6</v>
      </c>
      <c r="AA1009">
        <v>20.9</v>
      </c>
      <c r="AB1009">
        <f t="shared" si="156"/>
        <v>2.4210526315789478</v>
      </c>
      <c r="AY1009" t="str">
        <v>09/10/2020</v>
      </c>
      <c r="AZ1009">
        <v>56.6</v>
      </c>
      <c r="BA1009">
        <v>21.2</v>
      </c>
      <c r="BB1009">
        <f t="shared" si="157"/>
        <v>2.6698113207547172</v>
      </c>
    </row>
    <row r="1010" spans="1:54" x14ac:dyDescent="0.3">
      <c r="A1010" s="11">
        <v>44061</v>
      </c>
      <c r="B1010">
        <v>0.76521739130434796</v>
      </c>
      <c r="C1010">
        <v>3381.99</v>
      </c>
      <c r="D1010">
        <v>163.59</v>
      </c>
      <c r="E1010">
        <v>1984.4749999999999</v>
      </c>
      <c r="F1010">
        <v>86.51</v>
      </c>
      <c r="G1010">
        <v>47.03</v>
      </c>
      <c r="H1010" s="12">
        <f t="shared" si="152"/>
        <v>77.253412180403231</v>
      </c>
      <c r="I1010" s="12">
        <f t="shared" si="153"/>
        <v>67.757261512455571</v>
      </c>
      <c r="J1010" s="12">
        <f t="shared" si="154"/>
        <v>112.26232484649576</v>
      </c>
      <c r="K1010" s="12">
        <f t="shared" si="155"/>
        <v>115.68171134022329</v>
      </c>
      <c r="P1010" s="12"/>
      <c r="Q1010" s="12"/>
      <c r="R1010" s="12"/>
      <c r="S1010" s="12"/>
      <c r="V1010">
        <v>0.48458149779735699</v>
      </c>
      <c r="W1010" s="12"/>
      <c r="X1010" s="12"/>
      <c r="Y1010" t="str">
        <v>20050527</v>
      </c>
      <c r="Z1010">
        <v>47.8</v>
      </c>
      <c r="AA1010">
        <v>25</v>
      </c>
      <c r="AB1010">
        <f t="shared" si="156"/>
        <v>1.9119999999999999</v>
      </c>
      <c r="AY1010" t="str">
        <v>08/10/2020</v>
      </c>
      <c r="AZ1010">
        <v>56.6</v>
      </c>
      <c r="BA1010">
        <v>21.2</v>
      </c>
      <c r="BB1010">
        <f t="shared" si="157"/>
        <v>2.6698113207547172</v>
      </c>
    </row>
    <row r="1011" spans="1:54" x14ac:dyDescent="0.3">
      <c r="A1011" s="11">
        <v>44058</v>
      </c>
      <c r="B1011">
        <v>0.76068376068376098</v>
      </c>
      <c r="C1011">
        <v>3372.85</v>
      </c>
      <c r="D1011">
        <v>163.18</v>
      </c>
      <c r="E1011">
        <v>1945.35</v>
      </c>
      <c r="F1011">
        <v>86.5</v>
      </c>
      <c r="G1011">
        <v>46.62</v>
      </c>
      <c r="H1011" s="12">
        <f t="shared" si="152"/>
        <v>77.238172191177796</v>
      </c>
      <c r="I1011" s="12">
        <f t="shared" si="153"/>
        <v>68.957268845302877</v>
      </c>
      <c r="J1011" s="12">
        <f t="shared" si="154"/>
        <v>111.97183994098485</v>
      </c>
      <c r="K1011" s="12">
        <f t="shared" si="155"/>
        <v>116.38990133256024</v>
      </c>
      <c r="P1011" s="12"/>
      <c r="Q1011" s="12"/>
      <c r="R1011" s="12"/>
      <c r="S1011" s="12"/>
      <c r="V1011">
        <v>0.488721804511278</v>
      </c>
      <c r="W1011" s="12"/>
      <c r="X1011" s="12"/>
      <c r="Y1011" t="str">
        <v>20050520</v>
      </c>
      <c r="Z1011">
        <v>46.7</v>
      </c>
      <c r="AA1011">
        <v>26.1</v>
      </c>
      <c r="AB1011">
        <f t="shared" si="156"/>
        <v>1.789272030651341</v>
      </c>
      <c r="AY1011" t="str">
        <v>07/10/2020</v>
      </c>
      <c r="AZ1011">
        <v>56.6</v>
      </c>
      <c r="BA1011">
        <v>21.2</v>
      </c>
      <c r="BB1011">
        <f t="shared" si="157"/>
        <v>2.6698113207547172</v>
      </c>
    </row>
    <row r="1012" spans="1:54" x14ac:dyDescent="0.3">
      <c r="A1012" s="11">
        <v>44057</v>
      </c>
      <c r="B1012">
        <v>0.75965665236051505</v>
      </c>
      <c r="C1012">
        <v>3373.43</v>
      </c>
      <c r="D1012">
        <v>163.82</v>
      </c>
      <c r="E1012">
        <v>1954.03</v>
      </c>
      <c r="F1012">
        <v>86.49</v>
      </c>
      <c r="G1012">
        <v>46.85</v>
      </c>
      <c r="H1012" s="12">
        <f t="shared" si="152"/>
        <v>76.950776809825214</v>
      </c>
      <c r="I1012" s="12">
        <f t="shared" si="153"/>
        <v>68.664061637750052</v>
      </c>
      <c r="J1012" s="12">
        <f t="shared" si="154"/>
        <v>112.00404694380303</v>
      </c>
      <c r="K1012" s="12">
        <f t="shared" si="155"/>
        <v>115.84112103639629</v>
      </c>
      <c r="P1012" s="12"/>
      <c r="Q1012" s="12"/>
      <c r="R1012" s="12"/>
      <c r="S1012" s="12"/>
      <c r="V1012">
        <v>0.482866043613707</v>
      </c>
      <c r="W1012" s="12"/>
      <c r="X1012" s="12"/>
      <c r="Y1012" t="str">
        <v>20050513</v>
      </c>
      <c r="Z1012">
        <v>46.2</v>
      </c>
      <c r="AA1012">
        <v>28.6</v>
      </c>
      <c r="AB1012">
        <f t="shared" si="156"/>
        <v>1.6153846153846154</v>
      </c>
      <c r="AY1012" t="str">
        <v>06/10/2020</v>
      </c>
      <c r="AZ1012">
        <v>56.6</v>
      </c>
      <c r="BA1012">
        <v>21.2</v>
      </c>
      <c r="BB1012">
        <f t="shared" si="157"/>
        <v>2.6698113207547172</v>
      </c>
    </row>
    <row r="1013" spans="1:54" x14ac:dyDescent="0.3">
      <c r="A1013" s="11">
        <v>44056</v>
      </c>
      <c r="B1013">
        <v>0.74572649572649596</v>
      </c>
      <c r="C1013">
        <v>3380.35</v>
      </c>
      <c r="D1013">
        <v>165.59</v>
      </c>
      <c r="E1013">
        <v>1914.39</v>
      </c>
      <c r="F1013">
        <v>86.5</v>
      </c>
      <c r="G1013">
        <v>47.03</v>
      </c>
      <c r="H1013" s="12">
        <f t="shared" si="152"/>
        <v>76.291471560189933</v>
      </c>
      <c r="I1013" s="12">
        <f t="shared" si="153"/>
        <v>70.26278305822207</v>
      </c>
      <c r="J1013" s="12">
        <f t="shared" si="154"/>
        <v>112.22080348625208</v>
      </c>
      <c r="K1013" s="12">
        <f t="shared" si="155"/>
        <v>115.63526494637233</v>
      </c>
      <c r="P1013" s="12"/>
      <c r="Q1013" s="12"/>
      <c r="R1013" s="12"/>
      <c r="S1013" s="12"/>
      <c r="V1013">
        <v>0.47206528562460798</v>
      </c>
      <c r="W1013" s="12"/>
      <c r="X1013" s="12"/>
      <c r="Y1013" t="str">
        <v>20050506</v>
      </c>
      <c r="Z1013">
        <v>46.2</v>
      </c>
      <c r="AA1013">
        <v>28</v>
      </c>
      <c r="AB1013">
        <f t="shared" si="156"/>
        <v>1.6500000000000001</v>
      </c>
      <c r="AY1013" t="str">
        <v>05/10/2020</v>
      </c>
      <c r="AZ1013">
        <v>56.6</v>
      </c>
      <c r="BA1013">
        <v>21.2</v>
      </c>
      <c r="BB1013">
        <f t="shared" si="157"/>
        <v>2.6698113207547172</v>
      </c>
    </row>
    <row r="1014" spans="1:54" x14ac:dyDescent="0.3">
      <c r="A1014" s="11">
        <v>44055</v>
      </c>
      <c r="B1014">
        <v>0.75107296137339097</v>
      </c>
      <c r="C1014">
        <v>3333.69</v>
      </c>
      <c r="D1014">
        <v>167.10499999999999</v>
      </c>
      <c r="E1014">
        <v>1926.7</v>
      </c>
      <c r="F1014">
        <v>86.52</v>
      </c>
      <c r="G1014">
        <v>46.14</v>
      </c>
      <c r="H1014" s="12">
        <f t="shared" si="152"/>
        <v>74.571651046967332</v>
      </c>
      <c r="I1014" s="12">
        <f t="shared" si="153"/>
        <v>68.859045609030289</v>
      </c>
      <c r="J1014" s="12">
        <f t="shared" si="154"/>
        <v>110.64656151902628</v>
      </c>
      <c r="K1014" s="12">
        <f t="shared" si="155"/>
        <v>116.2505345827709</v>
      </c>
      <c r="P1014" s="12"/>
      <c r="Q1014" s="12"/>
      <c r="R1014" s="12"/>
      <c r="S1014" s="12"/>
      <c r="V1014">
        <v>0.47972116603295301</v>
      </c>
      <c r="W1014" s="12"/>
      <c r="X1014" s="12"/>
      <c r="Y1014" t="str">
        <v>20050429</v>
      </c>
      <c r="Z1014">
        <v>43.5</v>
      </c>
      <c r="AA1014">
        <v>30.4</v>
      </c>
      <c r="AB1014">
        <f t="shared" si="156"/>
        <v>1.430921052631579</v>
      </c>
      <c r="AY1014" t="str">
        <v>02/10/2020</v>
      </c>
      <c r="AZ1014">
        <v>54.6</v>
      </c>
      <c r="BA1014">
        <v>23.2</v>
      </c>
      <c r="BB1014">
        <f t="shared" si="157"/>
        <v>2.353448275862069</v>
      </c>
    </row>
    <row r="1015" spans="1:54" x14ac:dyDescent="0.3">
      <c r="A1015" s="11">
        <v>44054</v>
      </c>
      <c r="B1015">
        <v>0.74730021598272101</v>
      </c>
      <c r="C1015">
        <v>3360.47</v>
      </c>
      <c r="D1015">
        <v>169.12</v>
      </c>
      <c r="E1015">
        <v>2027.925</v>
      </c>
      <c r="F1015">
        <v>86.54</v>
      </c>
      <c r="G1015">
        <v>46.08</v>
      </c>
      <c r="H1015" s="12">
        <f t="shared" si="152"/>
        <v>74.278585373161036</v>
      </c>
      <c r="I1015" s="12">
        <f t="shared" si="153"/>
        <v>66.086934586588143</v>
      </c>
      <c r="J1015" s="12">
        <f t="shared" si="154"/>
        <v>111.50942326097436</v>
      </c>
      <c r="K1015" s="12">
        <f t="shared" si="155"/>
        <v>117.33840317243107</v>
      </c>
      <c r="P1015" s="12"/>
      <c r="Q1015" s="12"/>
      <c r="R1015" s="12"/>
      <c r="S1015" s="12"/>
      <c r="V1015">
        <v>0.47126436781609199</v>
      </c>
      <c r="W1015" s="12"/>
      <c r="X1015" s="12"/>
      <c r="Y1015" t="str">
        <v>20050422</v>
      </c>
      <c r="Z1015">
        <v>44</v>
      </c>
      <c r="AA1015">
        <v>29.7</v>
      </c>
      <c r="AB1015">
        <f t="shared" si="156"/>
        <v>1.4814814814814816</v>
      </c>
      <c r="AY1015" t="str">
        <v>01/10/2020</v>
      </c>
      <c r="AZ1015">
        <v>54.6</v>
      </c>
      <c r="BA1015">
        <v>23.2</v>
      </c>
      <c r="BB1015">
        <f t="shared" si="157"/>
        <v>2.353448275862069</v>
      </c>
    </row>
    <row r="1016" spans="1:54" x14ac:dyDescent="0.3">
      <c r="A1016" s="11">
        <v>44051</v>
      </c>
      <c r="B1016">
        <v>0.75541125541125498</v>
      </c>
      <c r="C1016">
        <v>3351.28</v>
      </c>
      <c r="D1016">
        <v>169.88</v>
      </c>
      <c r="E1016">
        <v>2035.99</v>
      </c>
      <c r="F1016">
        <v>86.56</v>
      </c>
      <c r="G1016">
        <v>45.95</v>
      </c>
      <c r="H1016" s="12">
        <f t="shared" si="152"/>
        <v>73.746432445822251</v>
      </c>
      <c r="I1016" s="12">
        <f t="shared" si="153"/>
        <v>65.646873808342932</v>
      </c>
      <c r="J1016" s="12">
        <f t="shared" si="154"/>
        <v>111.17885634513482</v>
      </c>
      <c r="K1016" s="12">
        <f t="shared" si="155"/>
        <v>117.34860385593167</v>
      </c>
      <c r="P1016" s="12"/>
      <c r="Q1016" s="12"/>
      <c r="R1016" s="12"/>
      <c r="S1016" s="12"/>
      <c r="V1016">
        <v>0.46486825595984899</v>
      </c>
      <c r="W1016" s="12"/>
      <c r="X1016" s="12"/>
      <c r="Y1016" t="str">
        <v>20050415</v>
      </c>
      <c r="Z1016">
        <v>48.4</v>
      </c>
      <c r="AA1016">
        <v>26.9</v>
      </c>
      <c r="AB1016">
        <f t="shared" si="156"/>
        <v>1.7992565055762082</v>
      </c>
      <c r="AY1016" t="str">
        <v>30/09/2020</v>
      </c>
      <c r="AZ1016">
        <v>54.6</v>
      </c>
      <c r="BA1016">
        <v>23.2</v>
      </c>
      <c r="BB1016">
        <f t="shared" si="157"/>
        <v>2.353448275862069</v>
      </c>
    </row>
    <row r="1017" spans="1:54" x14ac:dyDescent="0.3">
      <c r="A1017" s="11">
        <v>44050</v>
      </c>
      <c r="B1017">
        <v>0.73580786026200895</v>
      </c>
      <c r="C1017">
        <v>3349.16</v>
      </c>
      <c r="D1017">
        <v>171.02</v>
      </c>
      <c r="E1017">
        <v>2063.8000000000002</v>
      </c>
      <c r="F1017">
        <v>86.57</v>
      </c>
      <c r="G1017">
        <v>46.37</v>
      </c>
      <c r="H1017" s="12">
        <f t="shared" si="152"/>
        <v>73.212066244612231</v>
      </c>
      <c r="I1017" s="12">
        <f t="shared" si="153"/>
        <v>64.733603234201652</v>
      </c>
      <c r="J1017" s="12">
        <f t="shared" si="154"/>
        <v>111.09570032476138</v>
      </c>
      <c r="K1017" s="12">
        <f t="shared" si="155"/>
        <v>116.22234254347937</v>
      </c>
      <c r="P1017" s="12"/>
      <c r="Q1017" s="12"/>
      <c r="R1017" s="12"/>
      <c r="S1017" s="12"/>
      <c r="V1017">
        <v>0.45822784810126599</v>
      </c>
      <c r="W1017" s="12"/>
      <c r="X1017" s="12"/>
      <c r="Y1017" t="str">
        <v>20050408</v>
      </c>
      <c r="Z1017">
        <v>46.2</v>
      </c>
      <c r="AA1017">
        <v>29</v>
      </c>
      <c r="AB1017">
        <f t="shared" si="156"/>
        <v>1.5931034482758621</v>
      </c>
      <c r="AY1017" t="str">
        <v>29/09/2020</v>
      </c>
      <c r="AZ1017">
        <v>54.6</v>
      </c>
      <c r="BA1017">
        <v>23.2</v>
      </c>
      <c r="BB1017">
        <f t="shared" si="157"/>
        <v>2.353448275862069</v>
      </c>
    </row>
    <row r="1018" spans="1:54" x14ac:dyDescent="0.3">
      <c r="A1018" s="11">
        <v>44049</v>
      </c>
      <c r="B1018">
        <v>0.72062084257206205</v>
      </c>
      <c r="C1018">
        <v>3327.77</v>
      </c>
      <c r="D1018">
        <v>170.07</v>
      </c>
      <c r="E1018">
        <v>2038.2750000000001</v>
      </c>
      <c r="F1018">
        <v>86.57</v>
      </c>
      <c r="G1018">
        <v>46.29</v>
      </c>
      <c r="H1018" s="12">
        <f t="shared" si="152"/>
        <v>73.150488699076362</v>
      </c>
      <c r="I1018" s="12">
        <f t="shared" si="153"/>
        <v>65.130581697414058</v>
      </c>
      <c r="J1018" s="12">
        <f t="shared" si="154"/>
        <v>110.38616807489974</v>
      </c>
      <c r="K1018" s="12">
        <f t="shared" si="155"/>
        <v>115.67871126838045</v>
      </c>
      <c r="P1018" s="12"/>
      <c r="Q1018" s="12"/>
      <c r="R1018" s="12"/>
      <c r="S1018" s="12"/>
      <c r="V1018">
        <v>0.45402663284717798</v>
      </c>
      <c r="W1018" s="12"/>
      <c r="X1018" s="12"/>
      <c r="Y1018" t="str">
        <v>20050401</v>
      </c>
      <c r="Z1018">
        <v>47.9</v>
      </c>
      <c r="AA1018">
        <v>29.2</v>
      </c>
      <c r="AB1018">
        <f t="shared" si="156"/>
        <v>1.6404109589041096</v>
      </c>
      <c r="AY1018" t="str">
        <v>28/09/2020</v>
      </c>
      <c r="AZ1018">
        <v>54.6</v>
      </c>
      <c r="BA1018">
        <v>23.2</v>
      </c>
      <c r="BB1018">
        <f t="shared" si="157"/>
        <v>2.353448275862069</v>
      </c>
    </row>
    <row r="1019" spans="1:54" x14ac:dyDescent="0.3">
      <c r="A1019" s="11">
        <v>44048</v>
      </c>
      <c r="B1019">
        <v>0.71111111111111103</v>
      </c>
      <c r="C1019">
        <v>3306.51</v>
      </c>
      <c r="D1019">
        <v>171.57</v>
      </c>
      <c r="E1019">
        <v>2018.625</v>
      </c>
      <c r="F1019">
        <v>86.59</v>
      </c>
      <c r="G1019">
        <v>46.02</v>
      </c>
      <c r="H1019" s="12">
        <f t="shared" si="152"/>
        <v>72.057198880509944</v>
      </c>
      <c r="I1019" s="12">
        <f t="shared" si="153"/>
        <v>65.346526400821006</v>
      </c>
      <c r="J1019" s="12">
        <f t="shared" si="154"/>
        <v>109.65578230644842</v>
      </c>
      <c r="K1019" s="12">
        <f t="shared" si="155"/>
        <v>115.61365248593674</v>
      </c>
      <c r="P1019" s="12"/>
      <c r="Q1019" s="12"/>
      <c r="R1019" s="12"/>
      <c r="S1019" s="12"/>
      <c r="V1019">
        <v>0.44515715202052603</v>
      </c>
      <c r="W1019" s="12"/>
      <c r="X1019" s="12"/>
      <c r="Y1019" t="str">
        <v>20050325</v>
      </c>
      <c r="Z1019">
        <v>51.6</v>
      </c>
      <c r="AA1019">
        <v>28</v>
      </c>
      <c r="AB1019">
        <f t="shared" si="156"/>
        <v>1.842857142857143</v>
      </c>
      <c r="AY1019" t="str">
        <v>25/09/2020</v>
      </c>
      <c r="AZ1019">
        <v>52.5</v>
      </c>
      <c r="BA1019">
        <v>21.8</v>
      </c>
      <c r="BB1019">
        <f t="shared" si="157"/>
        <v>2.4082568807339451</v>
      </c>
    </row>
    <row r="1020" spans="1:54" x14ac:dyDescent="0.3">
      <c r="A1020" s="11">
        <v>44047</v>
      </c>
      <c r="B1020">
        <v>0.70337078651685403</v>
      </c>
      <c r="C1020">
        <v>3294.61</v>
      </c>
      <c r="D1020">
        <v>169.95</v>
      </c>
      <c r="E1020">
        <v>1976.9</v>
      </c>
      <c r="F1020">
        <v>86.58</v>
      </c>
      <c r="G1020">
        <v>45.62</v>
      </c>
      <c r="H1020" s="12">
        <f t="shared" si="152"/>
        <v>72.48633649225323</v>
      </c>
      <c r="I1020" s="12">
        <f t="shared" si="153"/>
        <v>66.510074756530244</v>
      </c>
      <c r="J1020" s="12">
        <f t="shared" si="154"/>
        <v>109.27371114360146</v>
      </c>
      <c r="K1020" s="12">
        <f t="shared" si="155"/>
        <v>116.21286040839153</v>
      </c>
      <c r="P1020" s="12"/>
      <c r="Q1020" s="12"/>
      <c r="R1020" s="12"/>
      <c r="S1020" s="12"/>
      <c r="V1020">
        <v>0.44286636539703</v>
      </c>
      <c r="W1020" s="12"/>
      <c r="X1020" s="12"/>
      <c r="Y1020" t="str">
        <v>20050318</v>
      </c>
      <c r="Z1020">
        <v>53.6</v>
      </c>
      <c r="AA1020">
        <v>27.8</v>
      </c>
      <c r="AB1020">
        <f t="shared" si="156"/>
        <v>1.9280575539568345</v>
      </c>
      <c r="AY1020" t="str">
        <v>24/09/2020</v>
      </c>
      <c r="AZ1020">
        <v>52.5</v>
      </c>
      <c r="BA1020">
        <v>21.8</v>
      </c>
      <c r="BB1020">
        <f t="shared" si="157"/>
        <v>2.4082568807339451</v>
      </c>
    </row>
    <row r="1021" spans="1:54" x14ac:dyDescent="0.3">
      <c r="A1021" s="11">
        <v>44043</v>
      </c>
      <c r="B1021">
        <v>0.70627802690582997</v>
      </c>
      <c r="C1021">
        <v>3271.12</v>
      </c>
      <c r="D1021">
        <v>171</v>
      </c>
      <c r="E1021">
        <v>1975.9</v>
      </c>
      <c r="F1021">
        <v>86.63</v>
      </c>
      <c r="G1021">
        <v>44.98</v>
      </c>
      <c r="H1021" s="12">
        <f t="shared" si="152"/>
        <v>71.533412891034644</v>
      </c>
      <c r="I1021" s="12">
        <f t="shared" si="153"/>
        <v>66.069068468576944</v>
      </c>
      <c r="J1021" s="12">
        <f t="shared" si="154"/>
        <v>108.43247100361275</v>
      </c>
      <c r="K1021" s="12">
        <f t="shared" si="155"/>
        <v>117.03768576212885</v>
      </c>
      <c r="P1021" s="12"/>
      <c r="Q1021" s="12"/>
      <c r="R1021" s="12"/>
      <c r="S1021" s="12"/>
      <c r="V1021">
        <v>0.43267389917038901</v>
      </c>
      <c r="W1021" s="12"/>
      <c r="X1021" s="12"/>
      <c r="Y1021" t="str">
        <v>20050311</v>
      </c>
      <c r="Z1021">
        <v>54.5</v>
      </c>
      <c r="AA1021">
        <v>24.3</v>
      </c>
      <c r="AB1021">
        <f t="shared" si="156"/>
        <v>2.2427983539094649</v>
      </c>
      <c r="AY1021" t="str">
        <v>23/09/2020</v>
      </c>
      <c r="AZ1021">
        <v>52.5</v>
      </c>
      <c r="BA1021">
        <v>21.8</v>
      </c>
      <c r="BB1021">
        <f t="shared" si="157"/>
        <v>2.4082568807339451</v>
      </c>
    </row>
    <row r="1022" spans="1:54" x14ac:dyDescent="0.3">
      <c r="A1022" s="11">
        <v>44043</v>
      </c>
      <c r="B1022">
        <v>0.69020501138952195</v>
      </c>
      <c r="C1022">
        <v>3246.22</v>
      </c>
      <c r="D1022">
        <v>171.11</v>
      </c>
      <c r="E1022">
        <v>1956.0250000000001</v>
      </c>
      <c r="F1022">
        <v>86.62</v>
      </c>
      <c r="G1022">
        <v>45.74</v>
      </c>
      <c r="H1022" s="12">
        <f t="shared" si="152"/>
        <v>70.943635666770646</v>
      </c>
      <c r="I1022" s="12">
        <f t="shared" si="153"/>
        <v>66.234021203928364</v>
      </c>
      <c r="J1022" s="12">
        <f t="shared" si="154"/>
        <v>107.61940499794112</v>
      </c>
      <c r="K1022" s="12">
        <f t="shared" si="155"/>
        <v>114.26268912620985</v>
      </c>
      <c r="P1022" s="12"/>
      <c r="Q1022" s="12"/>
      <c r="R1022" s="12"/>
      <c r="S1022" s="12"/>
      <c r="V1022">
        <v>0.428479381443299</v>
      </c>
      <c r="W1022" s="12"/>
      <c r="X1022" s="12"/>
      <c r="Y1022" t="str">
        <v>20050304</v>
      </c>
      <c r="Z1022">
        <v>55.7</v>
      </c>
      <c r="AA1022">
        <v>21.6</v>
      </c>
      <c r="AB1022">
        <f t="shared" si="156"/>
        <v>2.5787037037037037</v>
      </c>
      <c r="AY1022" t="str">
        <v>22/09/2020</v>
      </c>
      <c r="AZ1022">
        <v>52.5</v>
      </c>
      <c r="BA1022">
        <v>21.8</v>
      </c>
      <c r="BB1022">
        <f t="shared" si="157"/>
        <v>2.4082568807339451</v>
      </c>
    </row>
    <row r="1023" spans="1:54" x14ac:dyDescent="0.3">
      <c r="A1023" s="11">
        <v>44042</v>
      </c>
      <c r="B1023">
        <v>0.66898148148148195</v>
      </c>
      <c r="C1023">
        <v>3258.44</v>
      </c>
      <c r="D1023">
        <v>169.99</v>
      </c>
      <c r="E1023">
        <v>1970.675</v>
      </c>
      <c r="F1023">
        <v>86.59</v>
      </c>
      <c r="G1023">
        <v>46.31</v>
      </c>
      <c r="H1023" s="12">
        <f t="shared" si="152"/>
        <v>71.684776232821591</v>
      </c>
      <c r="I1023" s="12">
        <f t="shared" si="153"/>
        <v>65.990927771830812</v>
      </c>
      <c r="J1023" s="12">
        <f t="shared" si="154"/>
        <v>108.06210531476253</v>
      </c>
      <c r="K1023" s="12">
        <f t="shared" si="155"/>
        <v>113.29311578047258</v>
      </c>
      <c r="P1023" s="12"/>
      <c r="Q1023" s="12"/>
      <c r="R1023" s="12"/>
      <c r="S1023" s="12"/>
      <c r="V1023">
        <v>0.42265372168284798</v>
      </c>
      <c r="W1023" s="12"/>
      <c r="X1023" s="12"/>
      <c r="Y1023" t="str">
        <v>20050225</v>
      </c>
      <c r="Z1023">
        <v>54.7</v>
      </c>
      <c r="AA1023">
        <v>22.1</v>
      </c>
      <c r="AB1023">
        <f t="shared" si="156"/>
        <v>2.4751131221719458</v>
      </c>
      <c r="AY1023" t="str">
        <v>21/09/2020</v>
      </c>
      <c r="AZ1023">
        <v>52.5</v>
      </c>
      <c r="BA1023">
        <v>21.8</v>
      </c>
      <c r="BB1023">
        <f t="shared" si="157"/>
        <v>2.4082568807339451</v>
      </c>
    </row>
    <row r="1024" spans="1:54" x14ac:dyDescent="0.3">
      <c r="A1024" s="11">
        <v>44041</v>
      </c>
      <c r="B1024">
        <v>0.65176470588235302</v>
      </c>
      <c r="C1024">
        <v>3218.44</v>
      </c>
      <c r="D1024">
        <v>170.28</v>
      </c>
      <c r="E1024">
        <v>1959.2</v>
      </c>
      <c r="F1024">
        <v>86.57</v>
      </c>
      <c r="G1024">
        <v>45.74</v>
      </c>
      <c r="H1024" s="12">
        <f t="shared" si="152"/>
        <v>70.68588161355666</v>
      </c>
      <c r="I1024" s="12">
        <f t="shared" si="153"/>
        <v>65.560106155142776</v>
      </c>
      <c r="J1024" s="12">
        <f t="shared" si="154"/>
        <v>106.75991675967768</v>
      </c>
      <c r="K1024" s="12">
        <f t="shared" si="155"/>
        <v>113.2968952311181</v>
      </c>
      <c r="P1024" s="12"/>
      <c r="Q1024" s="12"/>
      <c r="R1024" s="12"/>
      <c r="S1024" s="12"/>
      <c r="V1024">
        <v>0.42084690553745902</v>
      </c>
      <c r="W1024" s="12"/>
      <c r="X1024" s="12"/>
      <c r="Y1024" t="str">
        <v>20050218</v>
      </c>
      <c r="Z1024">
        <v>54.1</v>
      </c>
      <c r="AA1024">
        <v>21.4</v>
      </c>
      <c r="AB1024">
        <f t="shared" si="156"/>
        <v>2.5280373831775704</v>
      </c>
      <c r="AY1024" t="str">
        <v>18/09/2020</v>
      </c>
      <c r="AZ1024">
        <v>51.5</v>
      </c>
      <c r="BA1024">
        <v>19.399999999999999</v>
      </c>
      <c r="BB1024">
        <f t="shared" si="157"/>
        <v>2.6546391752577323</v>
      </c>
    </row>
    <row r="1025" spans="1:54" x14ac:dyDescent="0.3">
      <c r="A1025" s="11">
        <v>44040</v>
      </c>
      <c r="B1025">
        <v>0.64200477326968997</v>
      </c>
      <c r="C1025">
        <v>3239.41</v>
      </c>
      <c r="D1025">
        <v>169.11</v>
      </c>
      <c r="E1025">
        <v>1942.55</v>
      </c>
      <c r="F1025">
        <v>86.55</v>
      </c>
      <c r="G1025">
        <v>46.07</v>
      </c>
      <c r="H1025" s="12">
        <f t="shared" si="152"/>
        <v>71.645354389055058</v>
      </c>
      <c r="I1025" s="12">
        <f t="shared" si="153"/>
        <v>66.561497862872059</v>
      </c>
      <c r="J1025" s="12">
        <f t="shared" si="154"/>
        <v>107.48051788419946</v>
      </c>
      <c r="K1025" s="12">
        <f t="shared" si="155"/>
        <v>113.2188181996858</v>
      </c>
      <c r="P1025" s="12"/>
      <c r="Q1025" s="12"/>
      <c r="R1025" s="12"/>
      <c r="S1025" s="12"/>
      <c r="V1025">
        <v>0.42136304062909602</v>
      </c>
      <c r="W1025" s="12"/>
      <c r="X1025" s="12"/>
      <c r="Y1025" t="str">
        <v>20050211</v>
      </c>
      <c r="Z1025">
        <v>56.6</v>
      </c>
      <c r="AA1025">
        <v>21.2</v>
      </c>
      <c r="AB1025">
        <f t="shared" si="156"/>
        <v>2.6698113207547172</v>
      </c>
      <c r="AY1025" t="str">
        <v>17/09/2020</v>
      </c>
      <c r="AZ1025">
        <v>51.5</v>
      </c>
      <c r="BA1025">
        <v>19.399999999999999</v>
      </c>
      <c r="BB1025">
        <f t="shared" si="157"/>
        <v>2.6546391752577323</v>
      </c>
    </row>
    <row r="1026" spans="1:54" x14ac:dyDescent="0.3">
      <c r="A1026" s="11">
        <v>44037</v>
      </c>
      <c r="B1026">
        <v>0.63700234192037497</v>
      </c>
      <c r="C1026">
        <v>3215.63</v>
      </c>
      <c r="D1026">
        <v>169.74</v>
      </c>
      <c r="E1026">
        <v>1901.65</v>
      </c>
      <c r="F1026">
        <v>86.58</v>
      </c>
      <c r="G1026">
        <v>45.4</v>
      </c>
      <c r="H1026" s="12">
        <f t="shared" ref="H1026:H1089" si="158">H1027*(1+((C1026/C1027)-(D1026/D1027)))</f>
        <v>70.858352753730259</v>
      </c>
      <c r="I1026" s="12">
        <f t="shared" ref="I1026:I1089" si="159">I1027*(1+((C1026/C1027)-(E1026/E1027)))</f>
        <v>67.514293922483958</v>
      </c>
      <c r="J1026" s="12">
        <f t="shared" si="154"/>
        <v>106.65483563446881</v>
      </c>
      <c r="K1026" s="12">
        <f t="shared" si="155"/>
        <v>114.05858362766395</v>
      </c>
      <c r="P1026" s="12"/>
      <c r="Q1026" s="12"/>
      <c r="R1026" s="12"/>
      <c r="S1026" s="12"/>
      <c r="V1026">
        <v>0.40805717998700503</v>
      </c>
      <c r="W1026" s="12"/>
      <c r="X1026" s="12"/>
      <c r="Y1026" t="str">
        <v>20050204</v>
      </c>
      <c r="Z1026">
        <v>54.6</v>
      </c>
      <c r="AA1026">
        <v>23.2</v>
      </c>
      <c r="AB1026">
        <f t="shared" si="156"/>
        <v>2.353448275862069</v>
      </c>
      <c r="AY1026" t="str">
        <v>16/09/2020</v>
      </c>
      <c r="AZ1026">
        <v>51.5</v>
      </c>
      <c r="BA1026">
        <v>19.399999999999999</v>
      </c>
      <c r="BB1026">
        <f t="shared" si="157"/>
        <v>2.6546391752577323</v>
      </c>
    </row>
    <row r="1027" spans="1:54" x14ac:dyDescent="0.3">
      <c r="A1027" s="11">
        <v>44036</v>
      </c>
      <c r="B1027">
        <v>0.61611374407582897</v>
      </c>
      <c r="C1027">
        <v>3235.66</v>
      </c>
      <c r="D1027">
        <v>169.75</v>
      </c>
      <c r="E1027">
        <v>1887.425</v>
      </c>
      <c r="F1027">
        <v>86.57</v>
      </c>
      <c r="G1027">
        <v>45.56</v>
      </c>
      <c r="H1027" s="12">
        <f t="shared" si="158"/>
        <v>71.295499732207773</v>
      </c>
      <c r="I1027" s="12">
        <f t="shared" si="159"/>
        <v>68.453969373802565</v>
      </c>
      <c r="J1027" s="12">
        <f t="shared" ref="J1027:J1090" si="160">J1028*(1+((C1027/C1028)-(F1027/F1028)))</f>
        <v>107.33165880210622</v>
      </c>
      <c r="K1027" s="12">
        <f t="shared" ref="K1027:K1090" si="161">K1028*(1+((C1027/C1028)-(G1027/G1028)))</f>
        <v>114.3649144345806</v>
      </c>
      <c r="P1027" s="12"/>
      <c r="Q1027" s="12"/>
      <c r="R1027" s="12"/>
      <c r="S1027" s="12"/>
      <c r="V1027">
        <v>0.40909090909090901</v>
      </c>
      <c r="W1027" s="12"/>
      <c r="X1027" s="12"/>
      <c r="Y1027" t="str">
        <v>20050128</v>
      </c>
      <c r="Z1027">
        <v>54.5</v>
      </c>
      <c r="AA1027">
        <v>25.3</v>
      </c>
      <c r="AB1027">
        <f t="shared" si="156"/>
        <v>2.1541501976284585</v>
      </c>
      <c r="AY1027" t="str">
        <v>15/09/2020</v>
      </c>
      <c r="AZ1027">
        <v>51.5</v>
      </c>
      <c r="BA1027">
        <v>19.399999999999999</v>
      </c>
      <c r="BB1027">
        <f t="shared" si="157"/>
        <v>2.6546391752577323</v>
      </c>
    </row>
    <row r="1028" spans="1:54" x14ac:dyDescent="0.3">
      <c r="A1028" s="11">
        <v>44035</v>
      </c>
      <c r="B1028">
        <v>0.61757719714964399</v>
      </c>
      <c r="C1028">
        <v>3276.02</v>
      </c>
      <c r="D1028">
        <v>167.79</v>
      </c>
      <c r="E1028">
        <v>1872.1</v>
      </c>
      <c r="F1028">
        <v>86.57</v>
      </c>
      <c r="G1028">
        <v>45.95</v>
      </c>
      <c r="H1028" s="12">
        <f t="shared" si="158"/>
        <v>73.048749740607121</v>
      </c>
      <c r="I1028" s="12">
        <f t="shared" si="159"/>
        <v>69.887060967327827</v>
      </c>
      <c r="J1028" s="12">
        <f t="shared" si="160"/>
        <v>108.67046008198514</v>
      </c>
      <c r="K1028" s="12">
        <f t="shared" si="161"/>
        <v>114.80488587230384</v>
      </c>
      <c r="P1028" s="12"/>
      <c r="Q1028" s="12"/>
      <c r="R1028" s="12"/>
      <c r="S1028" s="12"/>
      <c r="V1028">
        <v>0.39225806451612899</v>
      </c>
      <c r="W1028" s="12"/>
      <c r="X1028" s="12"/>
      <c r="Y1028" t="str">
        <v>20050121</v>
      </c>
      <c r="Z1028">
        <v>56</v>
      </c>
      <c r="AA1028">
        <v>24</v>
      </c>
      <c r="AB1028">
        <f t="shared" si="156"/>
        <v>2.3333333333333335</v>
      </c>
      <c r="AY1028" t="str">
        <v>14/09/2020</v>
      </c>
      <c r="AZ1028">
        <v>51.5</v>
      </c>
      <c r="BA1028">
        <v>19.399999999999999</v>
      </c>
      <c r="BB1028">
        <f t="shared" si="157"/>
        <v>2.6546391752577323</v>
      </c>
    </row>
    <row r="1029" spans="1:54" x14ac:dyDescent="0.3">
      <c r="A1029" s="11">
        <v>44034</v>
      </c>
      <c r="B1029">
        <v>0.59619952494061801</v>
      </c>
      <c r="C1029">
        <v>3257.3</v>
      </c>
      <c r="D1029">
        <v>167.29</v>
      </c>
      <c r="E1029">
        <v>1842</v>
      </c>
      <c r="F1029">
        <v>86.58</v>
      </c>
      <c r="G1029">
        <v>45.95</v>
      </c>
      <c r="H1029" s="12">
        <f t="shared" si="158"/>
        <v>72.847815843485776</v>
      </c>
      <c r="I1029" s="12">
        <f t="shared" si="159"/>
        <v>70.635360863620292</v>
      </c>
      <c r="J1029" s="12">
        <f t="shared" si="160"/>
        <v>108.03708282396727</v>
      </c>
      <c r="K1029" s="12">
        <f t="shared" si="161"/>
        <v>114.14886195806355</v>
      </c>
      <c r="P1029" s="12"/>
      <c r="Q1029" s="12"/>
      <c r="R1029" s="12"/>
      <c r="S1029" s="12"/>
      <c r="V1029">
        <v>0.39586028460543299</v>
      </c>
      <c r="W1029" s="12"/>
      <c r="X1029" s="12"/>
      <c r="Y1029" t="str">
        <v>20050114</v>
      </c>
      <c r="Z1029">
        <v>55.9</v>
      </c>
      <c r="AA1029">
        <v>24.7</v>
      </c>
      <c r="AB1029">
        <f t="shared" si="156"/>
        <v>2.263157894736842</v>
      </c>
      <c r="AY1029" t="str">
        <v>11/09/2020</v>
      </c>
      <c r="AZ1029">
        <v>54.8</v>
      </c>
      <c r="BA1029">
        <v>18.3</v>
      </c>
      <c r="BB1029">
        <f t="shared" si="157"/>
        <v>2.9945355191256828</v>
      </c>
    </row>
    <row r="1030" spans="1:54" x14ac:dyDescent="0.3">
      <c r="A1030" s="11">
        <v>44033</v>
      </c>
      <c r="B1030">
        <v>0.597122302158273</v>
      </c>
      <c r="C1030">
        <v>3251.84</v>
      </c>
      <c r="D1030">
        <v>167.19</v>
      </c>
      <c r="E1030">
        <v>1817.325</v>
      </c>
      <c r="F1030">
        <v>86.56</v>
      </c>
      <c r="G1030">
        <v>45.7</v>
      </c>
      <c r="H1030" s="12">
        <f t="shared" si="158"/>
        <v>72.769157659639035</v>
      </c>
      <c r="I1030" s="12">
        <f t="shared" si="159"/>
        <v>71.48594344359006</v>
      </c>
      <c r="J1030" s="12">
        <f t="shared" si="160"/>
        <v>107.88087177524466</v>
      </c>
      <c r="K1030" s="12">
        <f t="shared" si="161"/>
        <v>114.58329421922032</v>
      </c>
      <c r="P1030" s="12"/>
      <c r="Q1030" s="12"/>
      <c r="R1030" s="12"/>
      <c r="S1030" s="12"/>
      <c r="V1030">
        <v>0.39399869536855803</v>
      </c>
      <c r="W1030" s="12"/>
      <c r="X1030" s="12"/>
      <c r="Y1030" t="str">
        <v>20050107</v>
      </c>
      <c r="Z1030">
        <v>59.4</v>
      </c>
      <c r="AA1030">
        <v>22.9</v>
      </c>
      <c r="AB1030">
        <f t="shared" si="156"/>
        <v>2.5938864628820961</v>
      </c>
      <c r="AY1030" t="str">
        <v>10/09/2020</v>
      </c>
      <c r="AZ1030">
        <v>54.8</v>
      </c>
      <c r="BA1030">
        <v>18.3</v>
      </c>
      <c r="BB1030">
        <f t="shared" si="157"/>
        <v>2.9945355191256828</v>
      </c>
    </row>
    <row r="1031" spans="1:54" x14ac:dyDescent="0.3">
      <c r="A1031" s="11">
        <v>44030</v>
      </c>
      <c r="B1031">
        <v>0.58394160583941601</v>
      </c>
      <c r="C1031">
        <v>3224.73</v>
      </c>
      <c r="D1031">
        <v>166.78</v>
      </c>
      <c r="E1031">
        <v>1809.9</v>
      </c>
      <c r="F1031">
        <v>86.58</v>
      </c>
      <c r="G1031">
        <v>45.39</v>
      </c>
      <c r="H1031" s="12">
        <f t="shared" si="158"/>
        <v>72.338844469776518</v>
      </c>
      <c r="I1031" s="12">
        <f t="shared" si="159"/>
        <v>71.179553278329138</v>
      </c>
      <c r="J1031" s="12">
        <f t="shared" si="160"/>
        <v>106.95698741307083</v>
      </c>
      <c r="K1031" s="12">
        <f t="shared" si="161"/>
        <v>114.40285720765338</v>
      </c>
      <c r="P1031" s="12"/>
      <c r="Q1031" s="12"/>
      <c r="R1031" s="12"/>
      <c r="S1031" s="12"/>
      <c r="V1031">
        <v>0.38426821405544798</v>
      </c>
      <c r="W1031" s="12"/>
      <c r="X1031" s="12"/>
      <c r="Y1031" t="str">
        <v>20041231</v>
      </c>
      <c r="Z1031">
        <v>62.9</v>
      </c>
      <c r="AA1031">
        <v>20.6</v>
      </c>
      <c r="AB1031">
        <f t="shared" si="156"/>
        <v>3.0533980582524269</v>
      </c>
      <c r="AY1031" t="str">
        <v>09/09/2020</v>
      </c>
      <c r="AZ1031">
        <v>54.8</v>
      </c>
      <c r="BA1031">
        <v>18.3</v>
      </c>
      <c r="BB1031">
        <f t="shared" si="157"/>
        <v>2.9945355191256828</v>
      </c>
    </row>
    <row r="1032" spans="1:54" x14ac:dyDescent="0.3">
      <c r="A1032" s="11">
        <v>44029</v>
      </c>
      <c r="B1032">
        <v>0.58208955223880599</v>
      </c>
      <c r="C1032">
        <v>3215.57</v>
      </c>
      <c r="D1032">
        <v>167.13</v>
      </c>
      <c r="E1032">
        <v>1797.425</v>
      </c>
      <c r="F1032">
        <v>86.56</v>
      </c>
      <c r="G1032">
        <v>45.18</v>
      </c>
      <c r="H1032" s="12">
        <f t="shared" si="158"/>
        <v>71.983045393675113</v>
      </c>
      <c r="I1032" s="12">
        <f t="shared" si="159"/>
        <v>71.472005626890478</v>
      </c>
      <c r="J1032" s="12">
        <f t="shared" si="160"/>
        <v>106.67774923192273</v>
      </c>
      <c r="K1032" s="12">
        <f t="shared" si="161"/>
        <v>114.60908878825894</v>
      </c>
      <c r="P1032" s="12"/>
      <c r="Q1032" s="12"/>
      <c r="R1032" s="12"/>
      <c r="S1032" s="12"/>
      <c r="V1032">
        <v>0.37744458930899599</v>
      </c>
      <c r="W1032" s="12"/>
      <c r="X1032" s="12"/>
      <c r="Y1032" t="str">
        <v>20041224</v>
      </c>
      <c r="Z1032">
        <v>62.9</v>
      </c>
      <c r="AA1032">
        <v>19.600000000000001</v>
      </c>
      <c r="AB1032">
        <f t="shared" ref="AB1032:AB1050" si="162">IFERROR(Z1032/AA1032,"")</f>
        <v>3.2091836734693873</v>
      </c>
      <c r="AY1032" t="str">
        <v>08/09/2020</v>
      </c>
      <c r="AZ1032">
        <v>54.8</v>
      </c>
      <c r="BA1032">
        <v>18.3</v>
      </c>
      <c r="BB1032">
        <f t="shared" ref="BB1032:BB1045" si="163">IFERROR(AZ1032/BA1032,"")</f>
        <v>2.9945355191256828</v>
      </c>
    </row>
    <row r="1033" spans="1:54" x14ac:dyDescent="0.3">
      <c r="A1033" s="11">
        <v>44028</v>
      </c>
      <c r="B1033">
        <v>0.57070707070707105</v>
      </c>
      <c r="C1033">
        <v>3226.56</v>
      </c>
      <c r="D1033">
        <v>166.34</v>
      </c>
      <c r="E1033">
        <v>1813.2</v>
      </c>
      <c r="F1033">
        <v>86.56</v>
      </c>
      <c r="G1033">
        <v>45.56</v>
      </c>
      <c r="H1033" s="12">
        <f t="shared" si="158"/>
        <v>72.574923869750336</v>
      </c>
      <c r="I1033" s="12">
        <f t="shared" si="159"/>
        <v>71.095626524159812</v>
      </c>
      <c r="J1033" s="12">
        <f t="shared" si="160"/>
        <v>107.04234663271289</v>
      </c>
      <c r="K1033" s="12">
        <f t="shared" si="161"/>
        <v>114.04632203916545</v>
      </c>
      <c r="P1033" s="12"/>
      <c r="Q1033" s="12"/>
      <c r="R1033" s="12"/>
      <c r="S1033" s="12"/>
      <c r="V1033">
        <v>0.37271540469973902</v>
      </c>
      <c r="W1033" s="12"/>
      <c r="X1033" s="12"/>
      <c r="Y1033" t="str">
        <v>20041217</v>
      </c>
      <c r="Z1033">
        <v>61.2</v>
      </c>
      <c r="AA1033">
        <v>20.399999999999999</v>
      </c>
      <c r="AB1033">
        <f t="shared" si="162"/>
        <v>3.0000000000000004</v>
      </c>
      <c r="AY1033" t="str">
        <v>07/09/2020</v>
      </c>
      <c r="AZ1033">
        <v>54.8</v>
      </c>
      <c r="BA1033">
        <v>18.3</v>
      </c>
      <c r="BB1033">
        <f t="shared" si="163"/>
        <v>2.9945355191256828</v>
      </c>
    </row>
    <row r="1034" spans="1:54" x14ac:dyDescent="0.3">
      <c r="A1034" s="11">
        <v>44027</v>
      </c>
      <c r="B1034">
        <v>0.54871794871794899</v>
      </c>
      <c r="C1034">
        <v>3197.52</v>
      </c>
      <c r="D1034">
        <v>167.12</v>
      </c>
      <c r="E1034">
        <v>1809.5250000000001</v>
      </c>
      <c r="F1034">
        <v>86.55</v>
      </c>
      <c r="G1034">
        <v>45.1</v>
      </c>
      <c r="H1034" s="12">
        <f t="shared" si="158"/>
        <v>71.59060011662487</v>
      </c>
      <c r="I1034" s="12">
        <f t="shared" si="159"/>
        <v>70.597832813493497</v>
      </c>
      <c r="J1034" s="12">
        <f t="shared" si="160"/>
        <v>106.09108112044159</v>
      </c>
      <c r="K1034" s="12">
        <f t="shared" si="161"/>
        <v>114.17391343812399</v>
      </c>
      <c r="P1034" s="12"/>
      <c r="Q1034" s="12"/>
      <c r="R1034" s="12"/>
      <c r="S1034" s="12"/>
      <c r="V1034">
        <v>0.35924232527759598</v>
      </c>
      <c r="W1034" s="12"/>
      <c r="X1034" s="12"/>
      <c r="Y1034" t="str">
        <v>20041210</v>
      </c>
      <c r="Z1034">
        <v>62.1</v>
      </c>
      <c r="AA1034">
        <v>21.1</v>
      </c>
      <c r="AB1034">
        <f t="shared" si="162"/>
        <v>2.9431279620853079</v>
      </c>
      <c r="AY1034" t="str">
        <v>04/09/2020</v>
      </c>
      <c r="AZ1034">
        <v>59</v>
      </c>
      <c r="BA1034">
        <v>16.2</v>
      </c>
      <c r="BB1034">
        <f t="shared" si="163"/>
        <v>3.6419753086419755</v>
      </c>
    </row>
    <row r="1035" spans="1:54" x14ac:dyDescent="0.3">
      <c r="A1035" s="11">
        <v>44026</v>
      </c>
      <c r="B1035">
        <v>0.53298153034300799</v>
      </c>
      <c r="C1035">
        <v>3155.22</v>
      </c>
      <c r="D1035">
        <v>166.88</v>
      </c>
      <c r="E1035">
        <v>1802.675</v>
      </c>
      <c r="F1035">
        <v>86.54</v>
      </c>
      <c r="G1035">
        <v>44.64</v>
      </c>
      <c r="H1035" s="12">
        <f t="shared" si="158"/>
        <v>70.74392297872761</v>
      </c>
      <c r="I1035" s="12">
        <f t="shared" si="159"/>
        <v>69.926091541220714</v>
      </c>
      <c r="J1035" s="12">
        <f t="shared" si="160"/>
        <v>104.69954029423941</v>
      </c>
      <c r="K1035" s="12">
        <f t="shared" si="161"/>
        <v>113.82087571908508</v>
      </c>
      <c r="P1035" s="12"/>
      <c r="Q1035" s="12"/>
      <c r="R1035" s="12"/>
      <c r="S1035" s="12"/>
      <c r="V1035">
        <v>0.35413929040735898</v>
      </c>
      <c r="W1035" s="12"/>
      <c r="X1035" s="12"/>
      <c r="Y1035" t="str">
        <v>20041203</v>
      </c>
      <c r="Z1035">
        <v>60.8</v>
      </c>
      <c r="AA1035">
        <v>21.7</v>
      </c>
      <c r="AB1035">
        <f t="shared" si="162"/>
        <v>2.8018433179723501</v>
      </c>
      <c r="AY1035" t="str">
        <v>03/09/2020</v>
      </c>
      <c r="AZ1035">
        <v>59</v>
      </c>
      <c r="BA1035">
        <v>16.2</v>
      </c>
      <c r="BB1035">
        <f t="shared" si="163"/>
        <v>3.6419753086419755</v>
      </c>
    </row>
    <row r="1036" spans="1:54" x14ac:dyDescent="0.3">
      <c r="A1036" s="11">
        <v>44023</v>
      </c>
      <c r="B1036">
        <v>0.54794520547945202</v>
      </c>
      <c r="C1036">
        <v>3185.04</v>
      </c>
      <c r="D1036">
        <v>166.33</v>
      </c>
      <c r="E1036">
        <v>1798.9</v>
      </c>
      <c r="F1036">
        <v>86.54</v>
      </c>
      <c r="G1036">
        <v>44.93</v>
      </c>
      <c r="H1036" s="12">
        <f t="shared" si="158"/>
        <v>71.651692549856975</v>
      </c>
      <c r="I1036" s="12">
        <f t="shared" si="159"/>
        <v>70.736807823195235</v>
      </c>
      <c r="J1036" s="12">
        <f t="shared" si="160"/>
        <v>105.68905617318738</v>
      </c>
      <c r="K1036" s="12">
        <f t="shared" si="161"/>
        <v>114.15283616495969</v>
      </c>
      <c r="P1036" s="12"/>
      <c r="Q1036" s="12"/>
      <c r="R1036" s="12"/>
      <c r="S1036" s="12"/>
      <c r="V1036">
        <v>0.34865397242285001</v>
      </c>
      <c r="W1036" s="12"/>
      <c r="X1036" s="12"/>
      <c r="Y1036" t="str">
        <v>20041126</v>
      </c>
      <c r="Z1036">
        <v>57.3</v>
      </c>
      <c r="AA1036">
        <v>22.9</v>
      </c>
      <c r="AB1036">
        <f t="shared" si="162"/>
        <v>2.5021834061135371</v>
      </c>
      <c r="AY1036" t="str">
        <v>02/09/2020</v>
      </c>
      <c r="AZ1036">
        <v>59</v>
      </c>
      <c r="BA1036">
        <v>16.2</v>
      </c>
      <c r="BB1036">
        <f t="shared" si="163"/>
        <v>3.6419753086419755</v>
      </c>
    </row>
    <row r="1037" spans="1:54" x14ac:dyDescent="0.3">
      <c r="A1037" s="11">
        <v>44022</v>
      </c>
      <c r="B1037">
        <v>0.52702702702702697</v>
      </c>
      <c r="C1037">
        <v>3152.05</v>
      </c>
      <c r="D1037">
        <v>167.17</v>
      </c>
      <c r="E1037">
        <v>1803.175</v>
      </c>
      <c r="F1037">
        <v>86.57</v>
      </c>
      <c r="G1037">
        <v>44.68</v>
      </c>
      <c r="H1037" s="12">
        <f t="shared" si="158"/>
        <v>70.558666166419698</v>
      </c>
      <c r="I1037" s="12">
        <f t="shared" si="159"/>
        <v>69.840266735567752</v>
      </c>
      <c r="J1037" s="12">
        <f t="shared" si="160"/>
        <v>104.55849187286123</v>
      </c>
      <c r="K1037" s="12">
        <f t="shared" si="161"/>
        <v>113.59950887701794</v>
      </c>
      <c r="P1037" s="12"/>
      <c r="Q1037" s="12"/>
      <c r="R1037" s="12"/>
      <c r="S1037" s="12"/>
      <c r="V1037">
        <v>0.35188866799204799</v>
      </c>
      <c r="W1037" s="12"/>
      <c r="X1037" s="12"/>
      <c r="Y1037" t="str">
        <v>20041119</v>
      </c>
      <c r="Z1037">
        <v>57.1</v>
      </c>
      <c r="AA1037">
        <v>23.5</v>
      </c>
      <c r="AB1037">
        <f t="shared" si="162"/>
        <v>2.429787234042553</v>
      </c>
      <c r="AY1037" t="str">
        <v>01/09/2020</v>
      </c>
      <c r="AZ1037">
        <v>59</v>
      </c>
      <c r="BA1037">
        <v>16.2</v>
      </c>
      <c r="BB1037">
        <f t="shared" si="163"/>
        <v>3.6419753086419755</v>
      </c>
    </row>
    <row r="1038" spans="1:54" x14ac:dyDescent="0.3">
      <c r="A1038" s="11">
        <v>44021</v>
      </c>
      <c r="B1038">
        <v>0.52341597796143202</v>
      </c>
      <c r="C1038">
        <v>3169.94</v>
      </c>
      <c r="D1038">
        <v>164.55</v>
      </c>
      <c r="E1038">
        <v>1808.9749999999999</v>
      </c>
      <c r="F1038">
        <v>86.55</v>
      </c>
      <c r="G1038">
        <v>45.03</v>
      </c>
      <c r="H1038" s="12">
        <f t="shared" si="158"/>
        <v>72.113863067090591</v>
      </c>
      <c r="I1038" s="12">
        <f t="shared" si="159"/>
        <v>70.010911637352464</v>
      </c>
      <c r="J1038" s="12">
        <f t="shared" si="160"/>
        <v>105.17637364420639</v>
      </c>
      <c r="K1038" s="12">
        <f t="shared" si="161"/>
        <v>113.35817429986223</v>
      </c>
      <c r="P1038" s="12"/>
      <c r="Q1038" s="12"/>
      <c r="R1038" s="12"/>
      <c r="S1038" s="12"/>
      <c r="V1038">
        <v>0.34799999999999998</v>
      </c>
      <c r="W1038" s="12"/>
      <c r="X1038" s="12"/>
      <c r="Y1038" t="str">
        <v>20041112</v>
      </c>
      <c r="Z1038">
        <v>58.2</v>
      </c>
      <c r="AA1038">
        <v>22.4</v>
      </c>
      <c r="AB1038">
        <f t="shared" si="162"/>
        <v>2.598214285714286</v>
      </c>
      <c r="AY1038" t="str">
        <v>31/08/2020</v>
      </c>
      <c r="AZ1038">
        <v>59</v>
      </c>
      <c r="BA1038">
        <v>16.2</v>
      </c>
      <c r="BB1038">
        <f t="shared" si="163"/>
        <v>3.6419753086419755</v>
      </c>
    </row>
    <row r="1039" spans="1:54" x14ac:dyDescent="0.3">
      <c r="A1039" s="11">
        <v>44020</v>
      </c>
      <c r="B1039">
        <v>0.53443526170798905</v>
      </c>
      <c r="C1039">
        <v>3145.32</v>
      </c>
      <c r="D1039">
        <v>165.21</v>
      </c>
      <c r="E1039">
        <v>1794.7</v>
      </c>
      <c r="F1039">
        <v>86.55</v>
      </c>
      <c r="G1039">
        <v>44.43</v>
      </c>
      <c r="H1039" s="12">
        <f t="shared" si="158"/>
        <v>71.271264387394908</v>
      </c>
      <c r="I1039" s="12">
        <f t="shared" si="159"/>
        <v>70.0197672576505</v>
      </c>
      <c r="J1039" s="12">
        <f t="shared" si="160"/>
        <v>104.35949940711662</v>
      </c>
      <c r="K1039" s="12">
        <f t="shared" si="161"/>
        <v>114.00536984237623</v>
      </c>
      <c r="P1039" s="12"/>
      <c r="Q1039" s="12"/>
      <c r="R1039" s="12"/>
      <c r="S1039" s="12"/>
      <c r="V1039">
        <v>0.33533333333333298</v>
      </c>
      <c r="W1039" s="12"/>
      <c r="X1039" s="12"/>
      <c r="Y1039" t="str">
        <v>20041105</v>
      </c>
      <c r="Z1039">
        <v>58.1</v>
      </c>
      <c r="AA1039">
        <v>22.6</v>
      </c>
      <c r="AB1039">
        <f t="shared" si="162"/>
        <v>2.5707964601769913</v>
      </c>
      <c r="AY1039" t="str">
        <v>28/08/2020</v>
      </c>
      <c r="AZ1039">
        <v>61.5</v>
      </c>
      <c r="BA1039">
        <v>16.399999999999999</v>
      </c>
      <c r="BB1039">
        <f t="shared" si="163"/>
        <v>3.7500000000000004</v>
      </c>
    </row>
    <row r="1040" spans="1:54" x14ac:dyDescent="0.3">
      <c r="A1040" s="11">
        <v>44019</v>
      </c>
      <c r="B1040">
        <v>0.52247191011236005</v>
      </c>
      <c r="C1040">
        <v>3179.72</v>
      </c>
      <c r="D1040">
        <v>162.91999999999999</v>
      </c>
      <c r="E1040">
        <v>1783.7249999999999</v>
      </c>
      <c r="F1040">
        <v>86.53</v>
      </c>
      <c r="G1040">
        <v>45.14</v>
      </c>
      <c r="H1040" s="12">
        <f t="shared" si="158"/>
        <v>73.089327872790093</v>
      </c>
      <c r="I1040" s="12">
        <f t="shared" si="159"/>
        <v>71.228617827464461</v>
      </c>
      <c r="J1040" s="12">
        <f t="shared" si="160"/>
        <v>105.52552440918005</v>
      </c>
      <c r="K1040" s="12">
        <f t="shared" si="161"/>
        <v>113.44830678198522</v>
      </c>
      <c r="P1040" s="12"/>
      <c r="Q1040" s="12"/>
      <c r="R1040" s="12"/>
      <c r="S1040" s="12"/>
      <c r="V1040">
        <v>0.33624747814391398</v>
      </c>
      <c r="W1040" s="12"/>
      <c r="X1040" s="12"/>
      <c r="Y1040" t="str">
        <v>20041029</v>
      </c>
      <c r="Z1040">
        <v>57</v>
      </c>
      <c r="AA1040">
        <v>23.7</v>
      </c>
      <c r="AB1040">
        <f t="shared" si="162"/>
        <v>2.4050632911392404</v>
      </c>
      <c r="AY1040" t="str">
        <v>27/08/2020</v>
      </c>
      <c r="AZ1040">
        <v>61.5</v>
      </c>
      <c r="BA1040">
        <v>16.399999999999999</v>
      </c>
      <c r="BB1040">
        <f t="shared" si="163"/>
        <v>3.7500000000000004</v>
      </c>
    </row>
    <row r="1041" spans="1:54" x14ac:dyDescent="0.3">
      <c r="A1041" s="11">
        <v>44015</v>
      </c>
      <c r="B1041">
        <v>0.52602739726027403</v>
      </c>
      <c r="C1041">
        <v>3130.01</v>
      </c>
      <c r="D1041">
        <v>163.59</v>
      </c>
      <c r="E1041">
        <v>1775.425</v>
      </c>
      <c r="F1041">
        <v>86.56</v>
      </c>
      <c r="G1041">
        <v>44.1</v>
      </c>
      <c r="H1041" s="12">
        <f t="shared" si="158"/>
        <v>71.657795494734472</v>
      </c>
      <c r="I1041" s="12">
        <f t="shared" si="159"/>
        <v>70.439219483234581</v>
      </c>
      <c r="J1041" s="12">
        <f t="shared" si="160"/>
        <v>103.84036978364156</v>
      </c>
      <c r="K1041" s="12">
        <f t="shared" si="161"/>
        <v>114.32875573601903</v>
      </c>
      <c r="P1041" s="12"/>
      <c r="Q1041" s="12"/>
      <c r="R1041" s="12"/>
      <c r="S1041" s="12"/>
      <c r="V1041">
        <v>0.32767978290366401</v>
      </c>
      <c r="W1041" s="12"/>
      <c r="X1041" s="12"/>
      <c r="Y1041" t="str">
        <v>20041022</v>
      </c>
      <c r="Z1041">
        <v>56.4</v>
      </c>
      <c r="AA1041">
        <v>25.5</v>
      </c>
      <c r="AB1041">
        <f t="shared" si="162"/>
        <v>2.2117647058823531</v>
      </c>
      <c r="AY1041" t="str">
        <v>26/08/2020</v>
      </c>
      <c r="AZ1041">
        <v>61.5</v>
      </c>
      <c r="BA1041">
        <v>16.399999999999999</v>
      </c>
      <c r="BB1041">
        <f t="shared" si="163"/>
        <v>3.7500000000000004</v>
      </c>
    </row>
    <row r="1042" spans="1:54" x14ac:dyDescent="0.3">
      <c r="A1042" s="11">
        <v>44014</v>
      </c>
      <c r="B1042">
        <v>0.53950953678474101</v>
      </c>
      <c r="C1042">
        <v>3115.86</v>
      </c>
      <c r="D1042">
        <v>163.41999999999999</v>
      </c>
      <c r="E1042">
        <v>1770.325</v>
      </c>
      <c r="F1042">
        <v>86.52</v>
      </c>
      <c r="G1042">
        <v>43.48</v>
      </c>
      <c r="H1042" s="12">
        <f t="shared" si="158"/>
        <v>71.40779551778148</v>
      </c>
      <c r="I1042" s="12">
        <f t="shared" si="159"/>
        <v>70.322452189457451</v>
      </c>
      <c r="J1042" s="12">
        <f t="shared" si="160"/>
        <v>103.41852958391723</v>
      </c>
      <c r="K1042" s="12">
        <f t="shared" si="161"/>
        <v>115.4507228644233</v>
      </c>
      <c r="P1042" s="12"/>
      <c r="Q1042" s="12"/>
      <c r="R1042" s="12"/>
      <c r="S1042" s="12"/>
      <c r="V1042">
        <v>0.32994579945799501</v>
      </c>
      <c r="W1042" s="12"/>
      <c r="X1042" s="12"/>
      <c r="Y1042" t="str">
        <v>20041015</v>
      </c>
      <c r="Z1042">
        <v>58.9</v>
      </c>
      <c r="AA1042">
        <v>22.1</v>
      </c>
      <c r="AB1042">
        <f t="shared" si="162"/>
        <v>2.6651583710407238</v>
      </c>
      <c r="AY1042" t="str">
        <v>25/08/2020</v>
      </c>
      <c r="AZ1042">
        <v>61.5</v>
      </c>
      <c r="BA1042">
        <v>16.399999999999999</v>
      </c>
      <c r="BB1042">
        <f t="shared" si="163"/>
        <v>3.7500000000000004</v>
      </c>
    </row>
    <row r="1043" spans="1:54" x14ac:dyDescent="0.3">
      <c r="A1043" s="11">
        <v>44012</v>
      </c>
      <c r="B1043">
        <v>0.53638814016172498</v>
      </c>
      <c r="C1043">
        <v>3100.29</v>
      </c>
      <c r="D1043">
        <v>163.93</v>
      </c>
      <c r="E1043">
        <v>1779.55</v>
      </c>
      <c r="F1043">
        <v>86.61</v>
      </c>
      <c r="G1043">
        <v>43.24</v>
      </c>
      <c r="H1043" s="12">
        <f t="shared" si="158"/>
        <v>70.83170744073675</v>
      </c>
      <c r="I1043" s="12">
        <f t="shared" si="159"/>
        <v>69.611991808472268</v>
      </c>
      <c r="J1043" s="12">
        <f t="shared" si="160"/>
        <v>102.79546041326455</v>
      </c>
      <c r="K1043" s="12">
        <f t="shared" si="161"/>
        <v>115.51174835020313</v>
      </c>
      <c r="P1043" s="12"/>
      <c r="Q1043" s="12"/>
      <c r="R1043" s="12"/>
      <c r="S1043" s="12"/>
      <c r="V1043">
        <v>0.32266848196051701</v>
      </c>
      <c r="W1043" s="12"/>
      <c r="X1043" s="12"/>
      <c r="Y1043" t="str">
        <v>20041008</v>
      </c>
      <c r="Z1043">
        <v>54.1</v>
      </c>
      <c r="AA1043">
        <v>23.5</v>
      </c>
      <c r="AB1043">
        <f t="shared" si="162"/>
        <v>2.302127659574468</v>
      </c>
      <c r="AY1043" t="str">
        <v>24/08/2020</v>
      </c>
      <c r="AZ1043">
        <v>61.5</v>
      </c>
      <c r="BA1043">
        <v>16.399999999999999</v>
      </c>
      <c r="BB1043">
        <f t="shared" si="163"/>
        <v>3.7500000000000004</v>
      </c>
    </row>
    <row r="1044" spans="1:54" x14ac:dyDescent="0.3">
      <c r="A1044" s="11">
        <v>44012</v>
      </c>
      <c r="B1044">
        <v>0.52845528455284596</v>
      </c>
      <c r="C1044">
        <v>3053.24</v>
      </c>
      <c r="D1044">
        <v>164.73</v>
      </c>
      <c r="E1044">
        <v>1771.4</v>
      </c>
      <c r="F1044">
        <v>86.62</v>
      </c>
      <c r="G1044">
        <v>43.28</v>
      </c>
      <c r="H1044" s="12">
        <f t="shared" si="158"/>
        <v>69.424725717126734</v>
      </c>
      <c r="I1044" s="12">
        <f t="shared" si="159"/>
        <v>68.867603328205277</v>
      </c>
      <c r="J1044" s="12">
        <f t="shared" si="160"/>
        <v>101.22392791045182</v>
      </c>
      <c r="K1044" s="12">
        <f t="shared" si="161"/>
        <v>113.65529434955604</v>
      </c>
      <c r="P1044" s="12"/>
      <c r="Q1044" s="12"/>
      <c r="R1044" s="12"/>
      <c r="S1044" s="12"/>
      <c r="V1044">
        <v>0.32002752924982802</v>
      </c>
      <c r="W1044" s="12"/>
      <c r="X1044" s="12"/>
      <c r="Y1044" t="str">
        <v>20041001</v>
      </c>
      <c r="Z1044">
        <v>52.6</v>
      </c>
      <c r="AA1044">
        <v>24.2</v>
      </c>
      <c r="AB1044">
        <f t="shared" si="162"/>
        <v>2.1735537190082646</v>
      </c>
      <c r="AY1044" t="str">
        <v>21/08/2020</v>
      </c>
      <c r="AZ1044">
        <v>60</v>
      </c>
      <c r="BA1044">
        <v>16.2</v>
      </c>
      <c r="BB1044">
        <f t="shared" si="163"/>
        <v>3.7037037037037037</v>
      </c>
    </row>
    <row r="1045" spans="1:54" x14ac:dyDescent="0.3">
      <c r="A1045" s="11">
        <v>44009</v>
      </c>
      <c r="B1045">
        <v>0.489637305699482</v>
      </c>
      <c r="C1045">
        <v>3009.05</v>
      </c>
      <c r="D1045">
        <v>165.25</v>
      </c>
      <c r="E1045">
        <v>1771.4749999999999</v>
      </c>
      <c r="F1045">
        <v>86.6</v>
      </c>
      <c r="G1045">
        <v>42.94</v>
      </c>
      <c r="H1045" s="12">
        <f t="shared" si="158"/>
        <v>68.208403086684996</v>
      </c>
      <c r="I1045" s="12">
        <f t="shared" si="159"/>
        <v>67.868040403273696</v>
      </c>
      <c r="J1045" s="12">
        <f t="shared" si="160"/>
        <v>99.781609563714753</v>
      </c>
      <c r="K1045" s="12">
        <f t="shared" si="161"/>
        <v>112.89128306208157</v>
      </c>
      <c r="P1045" s="12"/>
      <c r="Q1045" s="12"/>
      <c r="R1045" s="12"/>
      <c r="S1045" s="12"/>
      <c r="V1045">
        <v>0.310550763105508</v>
      </c>
      <c r="W1045" s="12"/>
      <c r="X1045" s="12"/>
      <c r="Y1045" t="str">
        <v>20040924</v>
      </c>
      <c r="Z1045">
        <v>51</v>
      </c>
      <c r="AA1045">
        <v>22.9</v>
      </c>
      <c r="AB1045">
        <f t="shared" si="162"/>
        <v>2.2270742358078603</v>
      </c>
      <c r="AY1045" t="str">
        <v>20/08/2020</v>
      </c>
      <c r="AZ1045">
        <v>60</v>
      </c>
      <c r="BA1045">
        <v>16.2</v>
      </c>
      <c r="BB1045">
        <f t="shared" si="163"/>
        <v>3.7037037037037037</v>
      </c>
    </row>
    <row r="1046" spans="1:54" x14ac:dyDescent="0.3">
      <c r="A1046" s="11">
        <v>44008</v>
      </c>
      <c r="B1046">
        <v>0.47519582245430803</v>
      </c>
      <c r="C1046">
        <v>3083.76</v>
      </c>
      <c r="D1046">
        <v>163.5</v>
      </c>
      <c r="E1046">
        <v>1762.8</v>
      </c>
      <c r="F1046">
        <v>86.57</v>
      </c>
      <c r="G1046">
        <v>43.54</v>
      </c>
      <c r="H1046" s="12">
        <f t="shared" si="158"/>
        <v>70.677176781643837</v>
      </c>
      <c r="I1046" s="12">
        <f t="shared" si="159"/>
        <v>69.905655047723968</v>
      </c>
      <c r="J1046" s="12">
        <f t="shared" si="160"/>
        <v>102.29536032057875</v>
      </c>
      <c r="K1046" s="12">
        <f t="shared" si="161"/>
        <v>114.08305004744611</v>
      </c>
      <c r="P1046" s="12"/>
      <c r="Q1046" s="12"/>
      <c r="R1046" s="12"/>
      <c r="S1046" s="12"/>
      <c r="V1046">
        <v>0.30931923331130201</v>
      </c>
      <c r="W1046" s="12"/>
      <c r="X1046" s="12"/>
      <c r="Y1046" t="str">
        <v>20040917</v>
      </c>
      <c r="Z1046">
        <v>50</v>
      </c>
      <c r="AA1046">
        <v>22.9</v>
      </c>
      <c r="AB1046">
        <f t="shared" si="162"/>
        <v>2.1834061135371181</v>
      </c>
      <c r="AY1046" t="str">
        <v>19/08/2020</v>
      </c>
      <c r="AZ1046">
        <v>60</v>
      </c>
      <c r="BA1046">
        <v>16.2</v>
      </c>
    </row>
    <row r="1047" spans="1:54" x14ac:dyDescent="0.3">
      <c r="A1047" s="11">
        <v>44007</v>
      </c>
      <c r="B1047">
        <v>0.46133333333333298</v>
      </c>
      <c r="C1047">
        <v>3050.33</v>
      </c>
      <c r="D1047">
        <v>163.03</v>
      </c>
      <c r="E1047">
        <v>1762.3</v>
      </c>
      <c r="F1047">
        <v>86.57</v>
      </c>
      <c r="G1047">
        <v>43.12</v>
      </c>
      <c r="H1047" s="12">
        <f t="shared" si="158"/>
        <v>70.110921369940399</v>
      </c>
      <c r="I1047" s="12">
        <f t="shared" si="159"/>
        <v>69.167242867098793</v>
      </c>
      <c r="J1047" s="12">
        <f t="shared" si="160"/>
        <v>101.18641089017011</v>
      </c>
      <c r="K1047" s="12">
        <f t="shared" si="161"/>
        <v>113.94412820197817</v>
      </c>
      <c r="P1047" s="12"/>
      <c r="Q1047" s="12"/>
      <c r="R1047" s="12"/>
      <c r="S1047" s="12"/>
      <c r="V1047">
        <v>0.30713342140026401</v>
      </c>
      <c r="W1047" s="12"/>
      <c r="X1047" s="12"/>
      <c r="Y1047" t="str">
        <v>20040910</v>
      </c>
      <c r="Z1047">
        <v>50</v>
      </c>
      <c r="AA1047">
        <v>24.5</v>
      </c>
      <c r="AB1047">
        <f t="shared" si="162"/>
        <v>2.0408163265306123</v>
      </c>
      <c r="AY1047" t="str">
        <v>18/08/2020</v>
      </c>
      <c r="AZ1047">
        <v>60</v>
      </c>
      <c r="BA1047">
        <v>16.2</v>
      </c>
    </row>
    <row r="1048" spans="1:54" x14ac:dyDescent="0.3">
      <c r="A1048" s="11">
        <v>44006</v>
      </c>
      <c r="B1048">
        <v>0.46933333333333299</v>
      </c>
      <c r="C1048">
        <v>3131.29</v>
      </c>
      <c r="D1048">
        <v>161.30000000000001</v>
      </c>
      <c r="E1048">
        <v>1767.55</v>
      </c>
      <c r="F1048">
        <v>86.56</v>
      </c>
      <c r="G1048">
        <v>44.06</v>
      </c>
      <c r="H1048" s="12">
        <f t="shared" si="158"/>
        <v>72.772995021576023</v>
      </c>
      <c r="I1048" s="12">
        <f t="shared" si="159"/>
        <v>70.787204193429048</v>
      </c>
      <c r="J1048" s="12">
        <f t="shared" si="160"/>
        <v>103.8843589077542</v>
      </c>
      <c r="K1048" s="12">
        <f t="shared" si="161"/>
        <v>114.46156486129793</v>
      </c>
      <c r="P1048" s="12"/>
      <c r="Q1048" s="12"/>
      <c r="R1048" s="12"/>
      <c r="S1048" s="12"/>
      <c r="V1048">
        <v>0.304085733422639</v>
      </c>
      <c r="W1048" s="12"/>
      <c r="X1048" s="12"/>
      <c r="Y1048" t="str">
        <v>20040903</v>
      </c>
      <c r="Z1048">
        <v>45.9</v>
      </c>
      <c r="AA1048">
        <v>26.5</v>
      </c>
      <c r="AB1048">
        <f t="shared" si="162"/>
        <v>1.732075471698113</v>
      </c>
      <c r="AY1048" t="str">
        <v>17/08/2020</v>
      </c>
      <c r="AZ1048">
        <v>60</v>
      </c>
      <c r="BA1048">
        <v>16.2</v>
      </c>
    </row>
    <row r="1049" spans="1:54" x14ac:dyDescent="0.3">
      <c r="A1049" s="11">
        <v>44005</v>
      </c>
      <c r="B1049">
        <v>0.46916890080429002</v>
      </c>
      <c r="C1049">
        <v>3117.86</v>
      </c>
      <c r="D1049">
        <v>162.41</v>
      </c>
      <c r="E1049">
        <v>1755.7</v>
      </c>
      <c r="F1049">
        <v>86.54</v>
      </c>
      <c r="G1049">
        <v>43.76</v>
      </c>
      <c r="H1049" s="12">
        <f t="shared" si="158"/>
        <v>71.971093375186612</v>
      </c>
      <c r="I1049" s="12">
        <f t="shared" si="159"/>
        <v>70.960489924357759</v>
      </c>
      <c r="J1049" s="12">
        <f t="shared" si="160"/>
        <v>103.46261068386599</v>
      </c>
      <c r="K1049" s="12">
        <f t="shared" si="161"/>
        <v>114.75397338842495</v>
      </c>
      <c r="P1049" s="12"/>
      <c r="Q1049" s="12"/>
      <c r="R1049" s="12"/>
      <c r="S1049" s="12"/>
      <c r="V1049">
        <v>0.30909090909090903</v>
      </c>
      <c r="W1049" s="12"/>
      <c r="X1049" s="12"/>
      <c r="Y1049" t="str">
        <v>20040827</v>
      </c>
      <c r="Z1049">
        <v>43.6</v>
      </c>
      <c r="AA1049">
        <v>27.7</v>
      </c>
      <c r="AB1049">
        <f t="shared" si="162"/>
        <v>1.5740072202166067</v>
      </c>
      <c r="AY1049" t="str">
        <v>14/08/2020</v>
      </c>
      <c r="AZ1049">
        <v>59.2</v>
      </c>
      <c r="BA1049">
        <v>16.5</v>
      </c>
    </row>
    <row r="1050" spans="1:54" x14ac:dyDescent="0.3">
      <c r="A1050" s="11">
        <v>44002</v>
      </c>
      <c r="B1050">
        <v>0.44987146529562999</v>
      </c>
      <c r="C1050">
        <v>3097.74</v>
      </c>
      <c r="D1050">
        <v>162.38999999999999</v>
      </c>
      <c r="E1050">
        <v>1743.95</v>
      </c>
      <c r="F1050">
        <v>86.56</v>
      </c>
      <c r="G1050">
        <v>43.26</v>
      </c>
      <c r="H1050" s="12">
        <f t="shared" si="158"/>
        <v>71.515404555263231</v>
      </c>
      <c r="I1050" s="12">
        <f t="shared" si="159"/>
        <v>70.977703493677964</v>
      </c>
      <c r="J1050" s="12">
        <f t="shared" si="160"/>
        <v>102.77135908506538</v>
      </c>
      <c r="K1050" s="12">
        <f t="shared" si="161"/>
        <v>115.33792510255915</v>
      </c>
      <c r="P1050" s="12"/>
      <c r="Q1050" s="12"/>
      <c r="R1050" s="12"/>
      <c r="S1050" s="12"/>
      <c r="V1050">
        <v>0.29216467463479401</v>
      </c>
      <c r="W1050" s="12"/>
      <c r="X1050" s="12"/>
      <c r="Y1050" t="str">
        <v>20040820</v>
      </c>
      <c r="Z1050">
        <v>39.6</v>
      </c>
      <c r="AA1050">
        <v>30.2</v>
      </c>
      <c r="AB1050">
        <f t="shared" si="162"/>
        <v>1.3112582781456954</v>
      </c>
      <c r="AY1050" t="str">
        <v>13/08/2020</v>
      </c>
      <c r="AZ1050">
        <v>59.2</v>
      </c>
      <c r="BA1050">
        <v>16.5</v>
      </c>
    </row>
    <row r="1051" spans="1:54" x14ac:dyDescent="0.3">
      <c r="A1051" s="11">
        <v>44001</v>
      </c>
      <c r="B1051">
        <v>0.43782383419689103</v>
      </c>
      <c r="C1051">
        <v>3115.34</v>
      </c>
      <c r="D1051">
        <v>162.26</v>
      </c>
      <c r="E1051">
        <v>1721.9</v>
      </c>
      <c r="F1051">
        <v>86.54</v>
      </c>
      <c r="G1051">
        <v>43.41</v>
      </c>
      <c r="H1051" s="12">
        <f t="shared" si="158"/>
        <v>71.979720315557827</v>
      </c>
      <c r="I1051" s="12">
        <f t="shared" si="159"/>
        <v>72.312231903049607</v>
      </c>
      <c r="J1051" s="12">
        <f t="shared" si="160"/>
        <v>103.37928829096998</v>
      </c>
      <c r="K1051" s="12">
        <f t="shared" si="161"/>
        <v>115.59153739798361</v>
      </c>
      <c r="P1051" s="12"/>
      <c r="Q1051" s="12"/>
      <c r="R1051" s="12"/>
      <c r="S1051" s="12"/>
      <c r="V1051">
        <v>0.29271523178807901</v>
      </c>
      <c r="W1051" s="12"/>
      <c r="X1051" s="12"/>
      <c r="AY1051" t="str">
        <v>12/08/2020</v>
      </c>
      <c r="AZ1051">
        <v>59.2</v>
      </c>
      <c r="BA1051">
        <v>16.5</v>
      </c>
    </row>
    <row r="1052" spans="1:54" x14ac:dyDescent="0.3">
      <c r="A1052" s="11">
        <v>44000</v>
      </c>
      <c r="B1052">
        <v>0.43342036553524799</v>
      </c>
      <c r="C1052">
        <v>3113.49</v>
      </c>
      <c r="D1052">
        <v>160.56</v>
      </c>
      <c r="E1052">
        <v>1726.9</v>
      </c>
      <c r="F1052">
        <v>86.55</v>
      </c>
      <c r="G1052">
        <v>43.55</v>
      </c>
      <c r="H1052" s="12">
        <f t="shared" si="158"/>
        <v>72.706329463715178</v>
      </c>
      <c r="I1052" s="12">
        <f t="shared" si="159"/>
        <v>72.060772224825513</v>
      </c>
      <c r="J1052" s="12">
        <f t="shared" si="160"/>
        <v>103.30596908341064</v>
      </c>
      <c r="K1052" s="12">
        <f t="shared" si="161"/>
        <v>115.15293320239306</v>
      </c>
      <c r="P1052" s="12"/>
      <c r="Q1052" s="12"/>
      <c r="R1052" s="12"/>
      <c r="S1052" s="12"/>
      <c r="V1052">
        <v>0.28223684210526301</v>
      </c>
      <c r="W1052" s="12"/>
      <c r="X1052" s="12"/>
      <c r="AY1052" t="str">
        <v>11/08/2020</v>
      </c>
      <c r="AZ1052">
        <v>59.2</v>
      </c>
      <c r="BA1052">
        <v>16.5</v>
      </c>
    </row>
    <row r="1053" spans="1:54" x14ac:dyDescent="0.3">
      <c r="A1053" s="11">
        <v>43999</v>
      </c>
      <c r="B1053">
        <v>0.41952506596306099</v>
      </c>
      <c r="C1053">
        <v>3124.74</v>
      </c>
      <c r="D1053">
        <v>159.9</v>
      </c>
      <c r="E1053">
        <v>1726.8</v>
      </c>
      <c r="F1053">
        <v>86.52</v>
      </c>
      <c r="G1053">
        <v>43.37</v>
      </c>
      <c r="H1053" s="12">
        <f t="shared" si="158"/>
        <v>73.272571047470706</v>
      </c>
      <c r="I1053" s="12">
        <f t="shared" si="159"/>
        <v>72.325353565967049</v>
      </c>
      <c r="J1053" s="12">
        <f t="shared" si="160"/>
        <v>103.71533768885419</v>
      </c>
      <c r="K1053" s="12">
        <f t="shared" si="161"/>
        <v>116.05241296588159</v>
      </c>
      <c r="P1053" s="12"/>
      <c r="Q1053" s="12"/>
      <c r="R1053" s="12"/>
      <c r="S1053" s="12"/>
      <c r="V1053">
        <v>0.28249336870026498</v>
      </c>
      <c r="W1053" s="12"/>
      <c r="X1053" s="12"/>
      <c r="AY1053" t="str">
        <v>10/08/2020</v>
      </c>
      <c r="AZ1053">
        <v>59.2</v>
      </c>
      <c r="BA1053">
        <v>16.5</v>
      </c>
    </row>
    <row r="1054" spans="1:54" x14ac:dyDescent="0.3">
      <c r="A1054" s="11">
        <v>43998</v>
      </c>
      <c r="B1054">
        <v>0.41114058355437699</v>
      </c>
      <c r="C1054">
        <v>3066.59</v>
      </c>
      <c r="D1054">
        <v>162.38999999999999</v>
      </c>
      <c r="E1054">
        <v>1725.7</v>
      </c>
      <c r="F1054">
        <v>86.53</v>
      </c>
      <c r="G1054">
        <v>42.88</v>
      </c>
      <c r="H1054" s="12">
        <f t="shared" si="158"/>
        <v>70.842949259525994</v>
      </c>
      <c r="I1054" s="12">
        <f t="shared" si="159"/>
        <v>71.023841103358023</v>
      </c>
      <c r="J1054" s="12">
        <f t="shared" si="160"/>
        <v>101.77369931409136</v>
      </c>
      <c r="K1054" s="12">
        <f t="shared" si="161"/>
        <v>115.1844758506673</v>
      </c>
      <c r="P1054" s="12"/>
      <c r="Q1054" s="12"/>
      <c r="R1054" s="12"/>
      <c r="S1054" s="12"/>
      <c r="V1054">
        <v>0.284182305630027</v>
      </c>
      <c r="W1054" s="12"/>
      <c r="X1054" s="12"/>
      <c r="AY1054" t="str">
        <v>07/08/2020</v>
      </c>
      <c r="AZ1054">
        <v>58.1</v>
      </c>
      <c r="BA1054">
        <v>16.2</v>
      </c>
    </row>
    <row r="1055" spans="1:54" x14ac:dyDescent="0.3">
      <c r="A1055" s="11">
        <v>43995</v>
      </c>
      <c r="B1055">
        <v>0.38775510204081598</v>
      </c>
      <c r="C1055">
        <v>3041.31</v>
      </c>
      <c r="D1055">
        <v>162.30000000000001</v>
      </c>
      <c r="E1055">
        <v>1730.8</v>
      </c>
      <c r="F1055">
        <v>86.55</v>
      </c>
      <c r="G1055">
        <v>43.34</v>
      </c>
      <c r="H1055" s="12">
        <f t="shared" si="158"/>
        <v>70.297603026554839</v>
      </c>
      <c r="I1055" s="12">
        <f t="shared" si="159"/>
        <v>70.233099151972056</v>
      </c>
      <c r="J1055" s="12">
        <f t="shared" si="160"/>
        <v>100.91158261451396</v>
      </c>
      <c r="K1055" s="12">
        <f t="shared" si="161"/>
        <v>113.04499095294152</v>
      </c>
      <c r="P1055" s="12"/>
      <c r="Q1055" s="12"/>
      <c r="R1055" s="12"/>
      <c r="S1055" s="12"/>
      <c r="V1055">
        <v>0.28516129032258097</v>
      </c>
      <c r="W1055" s="12"/>
      <c r="X1055" s="12"/>
      <c r="AY1055" t="str">
        <v>06/08/2020</v>
      </c>
      <c r="AZ1055">
        <v>58.1</v>
      </c>
      <c r="BA1055">
        <v>16.2</v>
      </c>
    </row>
    <row r="1056" spans="1:54" x14ac:dyDescent="0.3">
      <c r="A1056" s="11">
        <v>43994</v>
      </c>
      <c r="B1056">
        <v>0.37563451776649698</v>
      </c>
      <c r="C1056">
        <v>3002.1</v>
      </c>
      <c r="D1056">
        <v>163.88</v>
      </c>
      <c r="E1056">
        <v>1727.4</v>
      </c>
      <c r="F1056">
        <v>86.52</v>
      </c>
      <c r="G1056">
        <v>42.57</v>
      </c>
      <c r="H1056" s="12">
        <f t="shared" si="158"/>
        <v>68.737128724356936</v>
      </c>
      <c r="I1056" s="12">
        <f t="shared" si="159"/>
        <v>69.46257983245107</v>
      </c>
      <c r="J1056" s="12">
        <f t="shared" si="160"/>
        <v>99.644688411357066</v>
      </c>
      <c r="K1056" s="12">
        <f t="shared" si="161"/>
        <v>113.61613904502448</v>
      </c>
      <c r="P1056" s="12"/>
      <c r="Q1056" s="12"/>
      <c r="R1056" s="12"/>
      <c r="S1056" s="12"/>
      <c r="V1056">
        <v>0.28358208955223901</v>
      </c>
      <c r="W1056" s="12"/>
      <c r="X1056" s="12"/>
      <c r="AY1056" t="str">
        <v>05/08/2020</v>
      </c>
      <c r="AZ1056">
        <v>58.1</v>
      </c>
      <c r="BA1056">
        <v>16.2</v>
      </c>
    </row>
    <row r="1057" spans="1:53" x14ac:dyDescent="0.3">
      <c r="A1057" s="11">
        <v>43993</v>
      </c>
      <c r="B1057">
        <v>0.36802030456852802</v>
      </c>
      <c r="C1057">
        <v>3190.14</v>
      </c>
      <c r="D1057">
        <v>160.84</v>
      </c>
      <c r="E1057">
        <v>1737.6</v>
      </c>
      <c r="F1057">
        <v>86.56</v>
      </c>
      <c r="G1057">
        <v>44.91</v>
      </c>
      <c r="H1057" s="12">
        <f t="shared" si="158"/>
        <v>74.539660592160232</v>
      </c>
      <c r="I1057" s="12">
        <f t="shared" si="159"/>
        <v>73.355865814467492</v>
      </c>
      <c r="J1057" s="12">
        <f t="shared" si="160"/>
        <v>105.83407851123481</v>
      </c>
      <c r="K1057" s="12">
        <f t="shared" si="161"/>
        <v>114.39861564138042</v>
      </c>
      <c r="P1057" s="12"/>
      <c r="Q1057" s="12"/>
      <c r="R1057" s="12"/>
      <c r="S1057" s="12"/>
      <c r="V1057">
        <v>0.28249678249678301</v>
      </c>
      <c r="W1057" s="12"/>
      <c r="X1057" s="12"/>
      <c r="AY1057" t="str">
        <v>04/08/2020</v>
      </c>
      <c r="AZ1057">
        <v>58.1</v>
      </c>
      <c r="BA1057">
        <v>16.2</v>
      </c>
    </row>
    <row r="1058" spans="1:53" x14ac:dyDescent="0.3">
      <c r="A1058" s="11">
        <v>43992</v>
      </c>
      <c r="B1058">
        <v>0.36010362694300502</v>
      </c>
      <c r="C1058">
        <v>3207.18</v>
      </c>
      <c r="D1058">
        <v>158.49</v>
      </c>
      <c r="E1058">
        <v>1714.55</v>
      </c>
      <c r="F1058">
        <v>86.51</v>
      </c>
      <c r="G1058">
        <v>44.93</v>
      </c>
      <c r="H1058" s="12">
        <f t="shared" si="158"/>
        <v>76.071785350126476</v>
      </c>
      <c r="I1058" s="12">
        <f t="shared" si="159"/>
        <v>74.758091337480892</v>
      </c>
      <c r="J1058" s="12">
        <f t="shared" si="160"/>
        <v>106.46124668126311</v>
      </c>
      <c r="K1058" s="12">
        <f t="shared" si="161"/>
        <v>114.95822560453867</v>
      </c>
      <c r="P1058" s="12"/>
      <c r="Q1058" s="12"/>
      <c r="R1058" s="12"/>
      <c r="S1058" s="12"/>
      <c r="V1058">
        <v>0.27402597402597401</v>
      </c>
      <c r="W1058" s="12"/>
      <c r="X1058" s="12"/>
      <c r="AY1058" t="str">
        <v>03/08/2020</v>
      </c>
      <c r="AZ1058">
        <v>58.1</v>
      </c>
      <c r="BA1058">
        <v>16.2</v>
      </c>
    </row>
    <row r="1059" spans="1:53" x14ac:dyDescent="0.3">
      <c r="A1059" s="11">
        <v>43991</v>
      </c>
      <c r="B1059">
        <v>0.35602094240837701</v>
      </c>
      <c r="C1059">
        <v>3232.39</v>
      </c>
      <c r="D1059">
        <v>156.71</v>
      </c>
      <c r="E1059">
        <v>1698.55</v>
      </c>
      <c r="F1059">
        <v>86.48</v>
      </c>
      <c r="G1059">
        <v>45.47</v>
      </c>
      <c r="H1059" s="12">
        <f t="shared" si="158"/>
        <v>77.557614194143596</v>
      </c>
      <c r="I1059" s="12">
        <f t="shared" si="159"/>
        <v>76.067903184727214</v>
      </c>
      <c r="J1059" s="12">
        <f t="shared" si="160"/>
        <v>107.33561155328628</v>
      </c>
      <c r="K1059" s="12">
        <f t="shared" si="161"/>
        <v>114.49146912744389</v>
      </c>
      <c r="P1059" s="12"/>
      <c r="Q1059" s="12"/>
      <c r="R1059" s="12"/>
      <c r="S1059" s="12"/>
      <c r="V1059">
        <v>0.27427821522309698</v>
      </c>
      <c r="W1059" s="12"/>
      <c r="X1059" s="12"/>
      <c r="AY1059" t="str">
        <v>31/07/2020</v>
      </c>
      <c r="AZ1059">
        <v>56.7</v>
      </c>
      <c r="BA1059">
        <v>17.3</v>
      </c>
    </row>
    <row r="1060" spans="1:53" x14ac:dyDescent="0.3">
      <c r="A1060" s="11">
        <v>43988</v>
      </c>
      <c r="B1060">
        <v>0.31188118811881199</v>
      </c>
      <c r="C1060">
        <v>3193.93</v>
      </c>
      <c r="D1060">
        <v>156.11000000000001</v>
      </c>
      <c r="E1060">
        <v>1684.43</v>
      </c>
      <c r="F1060">
        <v>86.5</v>
      </c>
      <c r="G1060">
        <v>44.92</v>
      </c>
      <c r="H1060" s="12">
        <f t="shared" si="158"/>
        <v>76.92695565205095</v>
      </c>
      <c r="I1060" s="12">
        <f t="shared" si="159"/>
        <v>75.79059043478992</v>
      </c>
      <c r="J1060" s="12">
        <f t="shared" si="160"/>
        <v>106.03427356228087</v>
      </c>
      <c r="K1060" s="12">
        <f t="shared" si="161"/>
        <v>114.51464665381192</v>
      </c>
      <c r="P1060" s="12"/>
      <c r="Q1060" s="12"/>
      <c r="R1060" s="12"/>
      <c r="S1060" s="12"/>
      <c r="V1060">
        <v>0.26457399103139001</v>
      </c>
      <c r="W1060" s="12"/>
      <c r="X1060" s="12"/>
      <c r="AY1060" t="str">
        <v>30/07/2020</v>
      </c>
      <c r="AZ1060">
        <v>56.7</v>
      </c>
      <c r="BA1060">
        <v>17.3</v>
      </c>
    </row>
    <row r="1061" spans="1:53" x14ac:dyDescent="0.3">
      <c r="A1061" s="11">
        <v>43987</v>
      </c>
      <c r="B1061">
        <v>0.300733496332518</v>
      </c>
      <c r="C1061">
        <v>3112.35</v>
      </c>
      <c r="D1061">
        <v>157.22999999999999</v>
      </c>
      <c r="E1061">
        <v>1714.8</v>
      </c>
      <c r="F1061">
        <v>86.53</v>
      </c>
      <c r="G1061">
        <v>44.09</v>
      </c>
      <c r="H1061" s="12">
        <f t="shared" si="158"/>
        <v>74.445318899086729</v>
      </c>
      <c r="I1061" s="12">
        <f t="shared" si="159"/>
        <v>72.601759602582362</v>
      </c>
      <c r="J1061" s="12">
        <f t="shared" si="160"/>
        <v>103.29102853692272</v>
      </c>
      <c r="K1061" s="12">
        <f t="shared" si="161"/>
        <v>113.67497795279493</v>
      </c>
      <c r="P1061" s="12"/>
      <c r="Q1061" s="12"/>
      <c r="R1061" s="12"/>
      <c r="S1061" s="12"/>
      <c r="V1061">
        <v>0.25792141951837799</v>
      </c>
      <c r="W1061" s="12"/>
      <c r="X1061" s="12"/>
      <c r="AY1061" t="str">
        <v>29/07/2020</v>
      </c>
      <c r="AZ1061">
        <v>56.7</v>
      </c>
      <c r="BA1061">
        <v>17.3</v>
      </c>
    </row>
    <row r="1062" spans="1:53" x14ac:dyDescent="0.3">
      <c r="A1062" s="11">
        <v>43986</v>
      </c>
      <c r="B1062">
        <v>0.29227053140096598</v>
      </c>
      <c r="C1062">
        <v>3122.87</v>
      </c>
      <c r="D1062">
        <v>159.54</v>
      </c>
      <c r="E1062">
        <v>1698.65</v>
      </c>
      <c r="F1062">
        <v>86.51</v>
      </c>
      <c r="G1062">
        <v>44.34</v>
      </c>
      <c r="H1062" s="12">
        <f t="shared" si="158"/>
        <v>73.62728796781559</v>
      </c>
      <c r="I1062" s="12">
        <f t="shared" si="159"/>
        <v>73.548791956750179</v>
      </c>
      <c r="J1062" s="12">
        <f t="shared" si="160"/>
        <v>103.66420758134245</v>
      </c>
      <c r="K1062" s="12">
        <f t="shared" si="161"/>
        <v>113.41757067609818</v>
      </c>
      <c r="P1062" s="12"/>
      <c r="Q1062" s="12"/>
      <c r="R1062" s="12"/>
      <c r="S1062" s="12"/>
      <c r="V1062">
        <v>0.24827152734129501</v>
      </c>
      <c r="W1062" s="12"/>
      <c r="X1062" s="12"/>
      <c r="AY1062" t="str">
        <v>28/07/2020</v>
      </c>
      <c r="AZ1062">
        <v>56.7</v>
      </c>
      <c r="BA1062">
        <v>17.3</v>
      </c>
    </row>
    <row r="1063" spans="1:53" x14ac:dyDescent="0.3">
      <c r="A1063" s="11">
        <v>43985</v>
      </c>
      <c r="B1063">
        <v>0.28467153284671498</v>
      </c>
      <c r="C1063">
        <v>3080.82</v>
      </c>
      <c r="D1063">
        <v>161.69</v>
      </c>
      <c r="E1063">
        <v>1727.9</v>
      </c>
      <c r="F1063">
        <v>86.58</v>
      </c>
      <c r="G1063">
        <v>43.41</v>
      </c>
      <c r="H1063" s="12">
        <f t="shared" si="158"/>
        <v>71.695383204253901</v>
      </c>
      <c r="I1063" s="12">
        <f t="shared" si="159"/>
        <v>71.36661313193018</v>
      </c>
      <c r="J1063" s="12">
        <f t="shared" si="160"/>
        <v>102.18684490931453</v>
      </c>
      <c r="K1063" s="12">
        <f t="shared" si="161"/>
        <v>114.30626433391576</v>
      </c>
      <c r="P1063" s="12"/>
      <c r="Q1063" s="12"/>
      <c r="R1063" s="12"/>
      <c r="S1063" s="12"/>
      <c r="V1063">
        <v>0.247169811320755</v>
      </c>
      <c r="W1063" s="12"/>
      <c r="X1063" s="12"/>
      <c r="AY1063" t="str">
        <v>27/07/2020</v>
      </c>
      <c r="AZ1063">
        <v>56.7</v>
      </c>
      <c r="BA1063">
        <v>17.3</v>
      </c>
    </row>
    <row r="1064" spans="1:53" x14ac:dyDescent="0.3">
      <c r="A1064" s="11">
        <v>43984</v>
      </c>
      <c r="B1064">
        <v>0.28078817733990102</v>
      </c>
      <c r="C1064">
        <v>3055.73</v>
      </c>
      <c r="D1064">
        <v>162.28</v>
      </c>
      <c r="E1064">
        <v>1740</v>
      </c>
      <c r="F1064">
        <v>86.58</v>
      </c>
      <c r="G1064">
        <v>42.82</v>
      </c>
      <c r="H1064" s="12">
        <f t="shared" si="158"/>
        <v>70.855988070168607</v>
      </c>
      <c r="I1064" s="12">
        <f t="shared" si="159"/>
        <v>70.300517942588314</v>
      </c>
      <c r="J1064" s="12">
        <f t="shared" si="160"/>
        <v>101.35464181443243</v>
      </c>
      <c r="K1064" s="12">
        <f t="shared" si="161"/>
        <v>114.94626261330431</v>
      </c>
      <c r="P1064" s="12"/>
      <c r="Q1064" s="12"/>
      <c r="R1064" s="12"/>
      <c r="S1064" s="12"/>
      <c r="V1064">
        <v>0.245425867507886</v>
      </c>
      <c r="W1064" s="12"/>
      <c r="X1064" s="12"/>
      <c r="AY1064" t="str">
        <v>24/07/2020</v>
      </c>
      <c r="AZ1064">
        <v>57.3</v>
      </c>
      <c r="BA1064">
        <v>17.5</v>
      </c>
    </row>
    <row r="1065" spans="1:53" x14ac:dyDescent="0.3">
      <c r="A1065" s="11">
        <v>43981</v>
      </c>
      <c r="B1065">
        <v>0.27209302325581403</v>
      </c>
      <c r="C1065">
        <v>3044.31</v>
      </c>
      <c r="D1065">
        <v>163.59</v>
      </c>
      <c r="E1065">
        <v>1730.35</v>
      </c>
      <c r="F1065">
        <v>86.66</v>
      </c>
      <c r="G1065">
        <v>41.89</v>
      </c>
      <c r="H1065" s="12">
        <f t="shared" si="158"/>
        <v>70.032470300025068</v>
      </c>
      <c r="I1065" s="12">
        <f t="shared" si="159"/>
        <v>70.429096530942232</v>
      </c>
      <c r="J1065" s="12">
        <f t="shared" si="160"/>
        <v>100.88307312165921</v>
      </c>
      <c r="K1065" s="12">
        <f t="shared" si="161"/>
        <v>117.10685386258319</v>
      </c>
      <c r="P1065" s="12"/>
      <c r="Q1065" s="12"/>
      <c r="R1065" s="12"/>
      <c r="S1065" s="12"/>
      <c r="V1065">
        <v>0.23987538940809999</v>
      </c>
      <c r="W1065" s="12"/>
      <c r="X1065" s="12"/>
      <c r="AY1065" t="str">
        <v>23/07/2020</v>
      </c>
      <c r="AZ1065">
        <v>57.3</v>
      </c>
      <c r="BA1065">
        <v>17.5</v>
      </c>
    </row>
    <row r="1066" spans="1:53" x14ac:dyDescent="0.3">
      <c r="A1066" s="11">
        <v>43980</v>
      </c>
      <c r="B1066">
        <v>0.27293064876957501</v>
      </c>
      <c r="C1066">
        <v>3029.73</v>
      </c>
      <c r="D1066">
        <v>162.43</v>
      </c>
      <c r="E1066">
        <v>1718.45</v>
      </c>
      <c r="F1066">
        <v>86.66</v>
      </c>
      <c r="G1066">
        <v>41.86</v>
      </c>
      <c r="H1066" s="12">
        <f t="shared" si="158"/>
        <v>70.195972717122231</v>
      </c>
      <c r="I1066" s="12">
        <f t="shared" si="159"/>
        <v>70.578195443007857</v>
      </c>
      <c r="J1066" s="12">
        <f t="shared" si="160"/>
        <v>100.39991759343974</v>
      </c>
      <c r="K1066" s="12">
        <f t="shared" si="161"/>
        <v>116.6291832535306</v>
      </c>
      <c r="P1066" s="12"/>
      <c r="Q1066" s="12"/>
      <c r="R1066" s="12"/>
      <c r="S1066" s="12"/>
      <c r="V1066">
        <v>0.24346201743462001</v>
      </c>
      <c r="W1066" s="12"/>
      <c r="X1066" s="12"/>
      <c r="AY1066" t="str">
        <v>22/07/2020</v>
      </c>
      <c r="AZ1066">
        <v>57.3</v>
      </c>
      <c r="BA1066">
        <v>17.5</v>
      </c>
    </row>
    <row r="1067" spans="1:53" x14ac:dyDescent="0.3">
      <c r="A1067" s="11">
        <v>43979</v>
      </c>
      <c r="B1067">
        <v>0.26315789473684198</v>
      </c>
      <c r="C1067">
        <v>3036.13</v>
      </c>
      <c r="D1067">
        <v>163.03</v>
      </c>
      <c r="E1067">
        <v>1709</v>
      </c>
      <c r="F1067">
        <v>86.62</v>
      </c>
      <c r="G1067">
        <v>41.65</v>
      </c>
      <c r="H1067" s="12">
        <f t="shared" si="158"/>
        <v>70.085772818943695</v>
      </c>
      <c r="I1067" s="12">
        <f t="shared" si="159"/>
        <v>71.121384739702464</v>
      </c>
      <c r="J1067" s="12">
        <f t="shared" si="160"/>
        <v>100.65858335185985</v>
      </c>
      <c r="K1067" s="12">
        <f t="shared" si="161"/>
        <v>117.46908290115178</v>
      </c>
      <c r="P1067" s="12"/>
      <c r="Q1067" s="12"/>
      <c r="R1067" s="12"/>
      <c r="S1067" s="12"/>
      <c r="V1067">
        <v>0.23327194597912801</v>
      </c>
      <c r="W1067" s="12"/>
      <c r="X1067" s="12"/>
      <c r="AY1067" t="str">
        <v>21/07/2020</v>
      </c>
      <c r="AZ1067">
        <v>57.3</v>
      </c>
      <c r="BA1067">
        <v>17.5</v>
      </c>
    </row>
    <row r="1068" spans="1:53" x14ac:dyDescent="0.3">
      <c r="A1068" s="11">
        <v>43978</v>
      </c>
      <c r="B1068">
        <v>0.26247288503253802</v>
      </c>
      <c r="C1068">
        <v>2991.77</v>
      </c>
      <c r="D1068">
        <v>163.33000000000001</v>
      </c>
      <c r="E1068">
        <v>1710.9</v>
      </c>
      <c r="F1068">
        <v>86.64</v>
      </c>
      <c r="G1068">
        <v>41.22</v>
      </c>
      <c r="H1068" s="12">
        <f t="shared" si="158"/>
        <v>68.93699873123235</v>
      </c>
      <c r="I1068" s="12">
        <f t="shared" si="159"/>
        <v>70.005643913338872</v>
      </c>
      <c r="J1068" s="12">
        <f t="shared" si="160"/>
        <v>99.16533358475607</v>
      </c>
      <c r="K1068" s="12">
        <f t="shared" si="161"/>
        <v>116.95500556001474</v>
      </c>
      <c r="P1068" s="12"/>
      <c r="Q1068" s="12"/>
      <c r="R1068" s="12"/>
      <c r="S1068" s="12"/>
      <c r="V1068">
        <v>0.21991447770311501</v>
      </c>
      <c r="W1068" s="12"/>
      <c r="X1068" s="12"/>
      <c r="AY1068" t="str">
        <v>20/07/2020</v>
      </c>
      <c r="AZ1068">
        <v>57.3</v>
      </c>
      <c r="BA1068">
        <v>17.5</v>
      </c>
    </row>
    <row r="1069" spans="1:53" x14ac:dyDescent="0.3">
      <c r="A1069" s="11">
        <v>43974</v>
      </c>
      <c r="B1069">
        <v>0.23566878980891701</v>
      </c>
      <c r="C1069">
        <v>2955.45</v>
      </c>
      <c r="D1069">
        <v>165.55</v>
      </c>
      <c r="E1069">
        <v>1735.45</v>
      </c>
      <c r="F1069">
        <v>86.64</v>
      </c>
      <c r="G1069">
        <v>40.19</v>
      </c>
      <c r="H1069" s="12">
        <f t="shared" si="158"/>
        <v>67.209774293305998</v>
      </c>
      <c r="I1069" s="12">
        <f t="shared" si="159"/>
        <v>68.202682301421717</v>
      </c>
      <c r="J1069" s="12">
        <f t="shared" si="160"/>
        <v>97.961469345259587</v>
      </c>
      <c r="K1069" s="12">
        <f t="shared" si="161"/>
        <v>118.53617200884462</v>
      </c>
      <c r="P1069" s="12"/>
      <c r="Q1069" s="12"/>
      <c r="R1069" s="12"/>
      <c r="S1069" s="12"/>
      <c r="V1069">
        <v>0.21402439024390199</v>
      </c>
      <c r="W1069" s="12"/>
      <c r="X1069" s="12"/>
      <c r="AY1069" t="str">
        <v>17/07/2020</v>
      </c>
      <c r="AZ1069">
        <v>56.7</v>
      </c>
      <c r="BA1069">
        <v>17.3</v>
      </c>
    </row>
    <row r="1070" spans="1:53" x14ac:dyDescent="0.3">
      <c r="A1070" s="11">
        <v>43973</v>
      </c>
      <c r="B1070">
        <v>0.20631578947368401</v>
      </c>
      <c r="C1070">
        <v>2948.51</v>
      </c>
      <c r="D1070">
        <v>164.56</v>
      </c>
      <c r="E1070">
        <v>1727.1</v>
      </c>
      <c r="F1070">
        <v>86.64</v>
      </c>
      <c r="G1070">
        <v>40.51</v>
      </c>
      <c r="H1070" s="12">
        <f t="shared" si="158"/>
        <v>67.456822193981679</v>
      </c>
      <c r="I1070" s="12">
        <f t="shared" si="159"/>
        <v>68.372311461964017</v>
      </c>
      <c r="J1070" s="12">
        <f t="shared" si="160"/>
        <v>97.731435814915287</v>
      </c>
      <c r="K1070" s="12">
        <f t="shared" si="161"/>
        <v>117.33315338797289</v>
      </c>
      <c r="P1070" s="12"/>
      <c r="Q1070" s="12"/>
      <c r="R1070" s="12"/>
      <c r="S1070" s="12"/>
      <c r="V1070">
        <v>0.20785498489425999</v>
      </c>
      <c r="W1070" s="12"/>
      <c r="X1070" s="12"/>
      <c r="AY1070" t="str">
        <v>16/07/2020</v>
      </c>
      <c r="AZ1070">
        <v>56.7</v>
      </c>
      <c r="BA1070">
        <v>17.3</v>
      </c>
    </row>
    <row r="1071" spans="1:53" x14ac:dyDescent="0.3">
      <c r="A1071" s="11">
        <v>43972</v>
      </c>
      <c r="B1071">
        <v>0.20125786163522</v>
      </c>
      <c r="C1071">
        <v>2971.61</v>
      </c>
      <c r="D1071">
        <v>164.15</v>
      </c>
      <c r="E1071">
        <v>1748.1</v>
      </c>
      <c r="F1071">
        <v>86.66</v>
      </c>
      <c r="G1071">
        <v>40.92</v>
      </c>
      <c r="H1071" s="12">
        <f t="shared" si="158"/>
        <v>68.156880552381807</v>
      </c>
      <c r="I1071" s="12">
        <f t="shared" si="159"/>
        <v>68.0836721699267</v>
      </c>
      <c r="J1071" s="12">
        <f t="shared" si="160"/>
        <v>98.4742047661654</v>
      </c>
      <c r="K1071" s="12">
        <f t="shared" si="161"/>
        <v>117.070215263013</v>
      </c>
      <c r="P1071" s="12"/>
      <c r="Q1071" s="12"/>
      <c r="R1071" s="12"/>
      <c r="S1071" s="12"/>
      <c r="V1071">
        <v>0.20303951367781201</v>
      </c>
      <c r="W1071" s="12"/>
      <c r="X1071" s="12"/>
      <c r="AY1071" t="str">
        <v>15/07/2020</v>
      </c>
      <c r="AZ1071">
        <v>56.7</v>
      </c>
      <c r="BA1071">
        <v>17.3</v>
      </c>
    </row>
    <row r="1072" spans="1:53" x14ac:dyDescent="0.3">
      <c r="A1072" s="11">
        <v>43971</v>
      </c>
      <c r="B1072">
        <v>0.19375000000000001</v>
      </c>
      <c r="C1072">
        <v>2922.94</v>
      </c>
      <c r="D1072">
        <v>163.66</v>
      </c>
      <c r="E1072">
        <v>1745.1</v>
      </c>
      <c r="F1072">
        <v>86.66</v>
      </c>
      <c r="G1072">
        <v>40.229999999999997</v>
      </c>
      <c r="H1072" s="12">
        <f t="shared" si="158"/>
        <v>67.238600885487813</v>
      </c>
      <c r="I1072" s="12">
        <f t="shared" si="159"/>
        <v>67.082007396383887</v>
      </c>
      <c r="J1072" s="12">
        <f t="shared" si="160"/>
        <v>96.861362049264699</v>
      </c>
      <c r="K1072" s="12">
        <f t="shared" si="161"/>
        <v>117.12881907933478</v>
      </c>
      <c r="P1072" s="12"/>
      <c r="Q1072" s="12"/>
      <c r="R1072" s="12"/>
      <c r="S1072" s="12"/>
      <c r="V1072">
        <v>0.19987886129618401</v>
      </c>
      <c r="W1072" s="12"/>
      <c r="X1072" s="12"/>
      <c r="AY1072" t="str">
        <v>14/07/2020</v>
      </c>
      <c r="AZ1072">
        <v>56.7</v>
      </c>
      <c r="BA1072">
        <v>17.3</v>
      </c>
    </row>
    <row r="1073" spans="1:53" x14ac:dyDescent="0.3">
      <c r="A1073" s="11">
        <v>43970</v>
      </c>
      <c r="B1073">
        <v>0.19456066945606701</v>
      </c>
      <c r="C1073">
        <v>2953.91</v>
      </c>
      <c r="D1073">
        <v>163.05000000000001</v>
      </c>
      <c r="E1073">
        <v>1732.8</v>
      </c>
      <c r="F1073">
        <v>86.61</v>
      </c>
      <c r="G1073">
        <v>40.68</v>
      </c>
      <c r="H1073" s="12">
        <f t="shared" si="158"/>
        <v>68.208913087012434</v>
      </c>
      <c r="I1073" s="12">
        <f t="shared" si="159"/>
        <v>68.282603114421789</v>
      </c>
      <c r="J1073" s="12">
        <f t="shared" si="160"/>
        <v>97.944798946893542</v>
      </c>
      <c r="K1073" s="12">
        <f t="shared" si="161"/>
        <v>117.06121176925815</v>
      </c>
      <c r="P1073" s="12"/>
      <c r="Q1073" s="12"/>
      <c r="R1073" s="12"/>
      <c r="S1073" s="12"/>
      <c r="V1073">
        <v>0.198780487804878</v>
      </c>
      <c r="W1073" s="12"/>
      <c r="X1073" s="12"/>
      <c r="AY1073" t="str">
        <v>13/07/2020</v>
      </c>
      <c r="AZ1073">
        <v>56.7</v>
      </c>
      <c r="BA1073">
        <v>17.3</v>
      </c>
    </row>
    <row r="1074" spans="1:53" x14ac:dyDescent="0.3">
      <c r="A1074" s="11">
        <v>43967</v>
      </c>
      <c r="B1074">
        <v>0.17255717255717301</v>
      </c>
      <c r="C1074">
        <v>2863.7</v>
      </c>
      <c r="D1074">
        <v>166.71</v>
      </c>
      <c r="E1074">
        <v>1743</v>
      </c>
      <c r="F1074">
        <v>86.68</v>
      </c>
      <c r="G1074">
        <v>39.17</v>
      </c>
      <c r="H1074" s="12">
        <f t="shared" si="158"/>
        <v>64.747787928307332</v>
      </c>
      <c r="I1074" s="12">
        <f t="shared" si="159"/>
        <v>65.823871910036246</v>
      </c>
      <c r="J1074" s="12">
        <f t="shared" si="160"/>
        <v>94.879363159029452</v>
      </c>
      <c r="K1074" s="12">
        <f t="shared" si="161"/>
        <v>117.89219921066801</v>
      </c>
      <c r="P1074" s="12"/>
      <c r="Q1074" s="12"/>
      <c r="R1074" s="12"/>
      <c r="S1074" s="12"/>
      <c r="V1074">
        <v>0.182750301568154</v>
      </c>
      <c r="W1074" s="12"/>
      <c r="X1074" s="12"/>
      <c r="AY1074" t="str">
        <v>10/07/2020</v>
      </c>
      <c r="AZ1074">
        <v>58.1</v>
      </c>
      <c r="BA1074">
        <v>18.100000000000001</v>
      </c>
    </row>
    <row r="1075" spans="1:53" x14ac:dyDescent="0.3">
      <c r="A1075" s="11">
        <v>43966</v>
      </c>
      <c r="B1075">
        <v>0.163223140495868</v>
      </c>
      <c r="C1075">
        <v>2852.5</v>
      </c>
      <c r="D1075">
        <v>167.14</v>
      </c>
      <c r="E1075">
        <v>1730.5</v>
      </c>
      <c r="F1075">
        <v>86.63</v>
      </c>
      <c r="G1075">
        <v>39.270000000000003</v>
      </c>
      <c r="H1075" s="12">
        <f t="shared" si="158"/>
        <v>64.329704424105287</v>
      </c>
      <c r="I1075" s="12">
        <f t="shared" si="159"/>
        <v>66.041608814919243</v>
      </c>
      <c r="J1075" s="12">
        <f t="shared" si="160"/>
        <v>94.562652683416232</v>
      </c>
      <c r="K1075" s="12">
        <f t="shared" si="161"/>
        <v>117.13400793709462</v>
      </c>
      <c r="P1075" s="12"/>
      <c r="Q1075" s="12"/>
      <c r="R1075" s="12"/>
      <c r="S1075" s="12"/>
      <c r="V1075">
        <v>0.17572463768115901</v>
      </c>
      <c r="W1075" s="12"/>
      <c r="X1075" s="12"/>
      <c r="AY1075" t="str">
        <v>09/07/2020</v>
      </c>
      <c r="AZ1075">
        <v>58.1</v>
      </c>
      <c r="BA1075">
        <v>18.100000000000001</v>
      </c>
    </row>
    <row r="1076" spans="1:53" x14ac:dyDescent="0.3">
      <c r="A1076" s="11">
        <v>43965</v>
      </c>
      <c r="B1076">
        <v>0.14968814968815</v>
      </c>
      <c r="C1076">
        <v>2820</v>
      </c>
      <c r="D1076">
        <v>165.52</v>
      </c>
      <c r="E1076">
        <v>1715.65</v>
      </c>
      <c r="F1076">
        <v>86.65</v>
      </c>
      <c r="G1076">
        <v>39.44</v>
      </c>
      <c r="H1076" s="12">
        <f t="shared" si="158"/>
        <v>64.218126340374226</v>
      </c>
      <c r="I1076" s="12">
        <f t="shared" si="159"/>
        <v>65.852663620228</v>
      </c>
      <c r="J1076" s="12">
        <f t="shared" si="160"/>
        <v>93.463924775367758</v>
      </c>
      <c r="K1076" s="12">
        <f t="shared" si="161"/>
        <v>115.30808509293529</v>
      </c>
      <c r="P1076" s="12"/>
      <c r="Q1076" s="12"/>
      <c r="R1076" s="12"/>
      <c r="S1076" s="12"/>
      <c r="V1076">
        <v>0.16848484848484799</v>
      </c>
      <c r="W1076" s="12"/>
      <c r="X1076" s="12"/>
      <c r="AY1076" t="str">
        <v>08/07/2020</v>
      </c>
      <c r="AZ1076">
        <v>58.1</v>
      </c>
      <c r="BA1076">
        <v>18.100000000000001</v>
      </c>
    </row>
    <row r="1077" spans="1:53" x14ac:dyDescent="0.3">
      <c r="A1077" s="11">
        <v>43964</v>
      </c>
      <c r="B1077">
        <v>0.13692946058091299</v>
      </c>
      <c r="C1077">
        <v>2870.12</v>
      </c>
      <c r="D1077">
        <v>164.37</v>
      </c>
      <c r="E1077">
        <v>1702.35</v>
      </c>
      <c r="F1077">
        <v>86.65</v>
      </c>
      <c r="G1077">
        <v>39.74</v>
      </c>
      <c r="H1077" s="12">
        <f t="shared" si="158"/>
        <v>65.828225154711873</v>
      </c>
      <c r="I1077" s="12">
        <f t="shared" si="159"/>
        <v>67.560277603176132</v>
      </c>
      <c r="J1077" s="12">
        <f t="shared" si="160"/>
        <v>95.125063750453378</v>
      </c>
      <c r="K1077" s="12">
        <f t="shared" si="161"/>
        <v>116.46265103998638</v>
      </c>
      <c r="P1077" s="12"/>
      <c r="Q1077" s="12"/>
      <c r="R1077" s="12"/>
      <c r="S1077" s="12"/>
      <c r="V1077">
        <v>0.16462668298653599</v>
      </c>
      <c r="W1077" s="12"/>
      <c r="X1077" s="12"/>
      <c r="AY1077" t="str">
        <v>07/07/2020</v>
      </c>
      <c r="AZ1077">
        <v>58.1</v>
      </c>
      <c r="BA1077">
        <v>18.100000000000001</v>
      </c>
    </row>
    <row r="1078" spans="1:53" x14ac:dyDescent="0.3">
      <c r="A1078" s="11">
        <v>43963</v>
      </c>
      <c r="B1078">
        <v>0.135135135135135</v>
      </c>
      <c r="C1078">
        <v>2930.32</v>
      </c>
      <c r="D1078">
        <v>162.69999999999999</v>
      </c>
      <c r="E1078">
        <v>1697.35</v>
      </c>
      <c r="F1078">
        <v>86.63</v>
      </c>
      <c r="G1078">
        <v>40.21</v>
      </c>
      <c r="H1078" s="12">
        <f t="shared" si="158"/>
        <v>67.920735423668248</v>
      </c>
      <c r="I1078" s="12">
        <f t="shared" si="159"/>
        <v>69.185415320647905</v>
      </c>
      <c r="J1078" s="12">
        <f t="shared" si="160"/>
        <v>97.143184091432431</v>
      </c>
      <c r="K1078" s="12">
        <f t="shared" si="161"/>
        <v>117.50316467872523</v>
      </c>
      <c r="P1078" s="12"/>
      <c r="Q1078" s="12"/>
      <c r="R1078" s="12"/>
      <c r="S1078" s="12"/>
      <c r="V1078">
        <v>0.163591635916359</v>
      </c>
      <c r="W1078" s="12"/>
      <c r="X1078" s="12"/>
      <c r="AY1078" t="str">
        <v>06/07/2020</v>
      </c>
      <c r="AZ1078">
        <v>58.1</v>
      </c>
      <c r="BA1078">
        <v>18.100000000000001</v>
      </c>
    </row>
    <row r="1079" spans="1:53" x14ac:dyDescent="0.3">
      <c r="A1079" s="11">
        <v>43960</v>
      </c>
      <c r="B1079">
        <v>0.134020618556701</v>
      </c>
      <c r="C1079">
        <v>2929.8</v>
      </c>
      <c r="D1079">
        <v>163.98</v>
      </c>
      <c r="E1079">
        <v>1702.65</v>
      </c>
      <c r="F1079">
        <v>86.66</v>
      </c>
      <c r="G1079">
        <v>40.22</v>
      </c>
      <c r="H1079" s="12">
        <f t="shared" si="158"/>
        <v>67.382797226944504</v>
      </c>
      <c r="I1079" s="12">
        <f t="shared" si="159"/>
        <v>68.958522385418505</v>
      </c>
      <c r="J1079" s="12">
        <f t="shared" si="160"/>
        <v>97.092340037655148</v>
      </c>
      <c r="K1079" s="12">
        <f t="shared" si="161"/>
        <v>117.45311566995019</v>
      </c>
      <c r="P1079" s="12"/>
      <c r="Q1079" s="12"/>
      <c r="R1079" s="12"/>
      <c r="S1079" s="12"/>
      <c r="V1079">
        <v>0.16156670746634</v>
      </c>
      <c r="W1079" s="12"/>
      <c r="X1079" s="12"/>
      <c r="AY1079" t="str">
        <v>03/07/2020</v>
      </c>
      <c r="AZ1079">
        <v>57.7</v>
      </c>
      <c r="BA1079">
        <v>18.3</v>
      </c>
    </row>
    <row r="1080" spans="1:53" x14ac:dyDescent="0.3">
      <c r="A1080" s="11">
        <v>43959</v>
      </c>
      <c r="B1080">
        <v>0.113168724279835</v>
      </c>
      <c r="C1080">
        <v>2881.19</v>
      </c>
      <c r="D1080">
        <v>166.14</v>
      </c>
      <c r="E1080">
        <v>1717.95</v>
      </c>
      <c r="F1080">
        <v>86.68</v>
      </c>
      <c r="G1080">
        <v>39.549999999999997</v>
      </c>
      <c r="H1080" s="12">
        <f t="shared" si="158"/>
        <v>65.428285251314222</v>
      </c>
      <c r="I1080" s="12">
        <f t="shared" si="159"/>
        <v>67.225616443075126</v>
      </c>
      <c r="J1080" s="12">
        <f t="shared" si="160"/>
        <v>95.459764732496879</v>
      </c>
      <c r="K1080" s="12">
        <f t="shared" si="161"/>
        <v>117.46122995404231</v>
      </c>
      <c r="P1080" s="12"/>
      <c r="Q1080" s="12"/>
      <c r="R1080" s="12"/>
      <c r="S1080" s="12"/>
      <c r="V1080">
        <v>0.15661182205971999</v>
      </c>
      <c r="W1080" s="12"/>
      <c r="X1080" s="12"/>
      <c r="AY1080" t="str">
        <v>02/07/2020</v>
      </c>
      <c r="AZ1080">
        <v>57.7</v>
      </c>
      <c r="BA1080">
        <v>18.3</v>
      </c>
    </row>
    <row r="1081" spans="1:53" x14ac:dyDescent="0.3">
      <c r="A1081" s="11">
        <v>43958</v>
      </c>
      <c r="B1081">
        <v>0.101659751037344</v>
      </c>
      <c r="C1081">
        <v>2848.42</v>
      </c>
      <c r="D1081">
        <v>163.41</v>
      </c>
      <c r="E1081">
        <v>1685.9</v>
      </c>
      <c r="F1081">
        <v>86.62</v>
      </c>
      <c r="G1081">
        <v>39.06</v>
      </c>
      <c r="H1081" s="12">
        <f t="shared" si="158"/>
        <v>65.770411110850404</v>
      </c>
      <c r="I1081" s="12">
        <f t="shared" si="159"/>
        <v>67.734027638537853</v>
      </c>
      <c r="J1081" s="12">
        <f t="shared" si="160"/>
        <v>94.438698908411666</v>
      </c>
      <c r="K1081" s="12">
        <f t="shared" si="161"/>
        <v>117.58353791049289</v>
      </c>
      <c r="P1081" s="12"/>
      <c r="Q1081" s="12"/>
      <c r="R1081" s="12"/>
      <c r="S1081" s="12"/>
      <c r="V1081">
        <v>0.14850882531953699</v>
      </c>
      <c r="W1081" s="12"/>
      <c r="X1081" s="12"/>
      <c r="AY1081" t="str">
        <v>01/07/2020</v>
      </c>
      <c r="AZ1081">
        <v>57.7</v>
      </c>
      <c r="BA1081">
        <v>18.3</v>
      </c>
    </row>
    <row r="1082" spans="1:53" x14ac:dyDescent="0.3">
      <c r="A1082" s="11">
        <v>43957</v>
      </c>
      <c r="B1082">
        <v>9.1666666666666702E-2</v>
      </c>
      <c r="C1082">
        <v>2868.44</v>
      </c>
      <c r="D1082">
        <v>166.09</v>
      </c>
      <c r="E1082">
        <v>1707.05</v>
      </c>
      <c r="F1082">
        <v>86.59</v>
      </c>
      <c r="G1082">
        <v>39.28</v>
      </c>
      <c r="H1082" s="12">
        <f t="shared" si="158"/>
        <v>65.173653342142444</v>
      </c>
      <c r="I1082" s="12">
        <f t="shared" si="159"/>
        <v>67.369532073155455</v>
      </c>
      <c r="J1082" s="12">
        <f t="shared" si="160"/>
        <v>95.135649717828855</v>
      </c>
      <c r="K1082" s="12">
        <f t="shared" si="161"/>
        <v>117.74586103279798</v>
      </c>
      <c r="P1082" s="12"/>
      <c r="Q1082" s="12"/>
      <c r="R1082" s="12"/>
      <c r="S1082" s="12"/>
      <c r="V1082">
        <v>0.140061162079511</v>
      </c>
      <c r="W1082" s="12"/>
      <c r="X1082" s="12"/>
      <c r="AY1082" t="str">
        <v>30/06/2020</v>
      </c>
      <c r="AZ1082">
        <v>57.7</v>
      </c>
      <c r="BA1082">
        <v>18.3</v>
      </c>
    </row>
    <row r="1083" spans="1:53" x14ac:dyDescent="0.3">
      <c r="A1083" s="11">
        <v>43956</v>
      </c>
      <c r="B1083">
        <v>9.2050209205020897E-2</v>
      </c>
      <c r="C1083">
        <v>2842.74</v>
      </c>
      <c r="D1083">
        <v>167.16</v>
      </c>
      <c r="E1083">
        <v>1701.7</v>
      </c>
      <c r="F1083">
        <v>86.6</v>
      </c>
      <c r="G1083">
        <v>39.15</v>
      </c>
      <c r="H1083" s="12">
        <f t="shared" si="158"/>
        <v>64.182570072747893</v>
      </c>
      <c r="I1083" s="12">
        <f t="shared" si="159"/>
        <v>66.974605687039087</v>
      </c>
      <c r="J1083" s="12">
        <f t="shared" si="160"/>
        <v>94.272486404119192</v>
      </c>
      <c r="K1083" s="12">
        <f t="shared" si="161"/>
        <v>117.07618390396382</v>
      </c>
      <c r="P1083" s="12"/>
      <c r="Q1083" s="12"/>
      <c r="R1083" s="12"/>
      <c r="S1083" s="12"/>
      <c r="V1083">
        <v>0.14075887392900899</v>
      </c>
      <c r="W1083" s="12"/>
      <c r="X1083" s="12"/>
      <c r="AY1083" t="str">
        <v>29/06/2020</v>
      </c>
      <c r="AZ1083">
        <v>57.7</v>
      </c>
      <c r="BA1083">
        <v>18.3</v>
      </c>
    </row>
    <row r="1084" spans="1:53" x14ac:dyDescent="0.3">
      <c r="A1084" s="11">
        <v>43953</v>
      </c>
      <c r="B1084">
        <v>9.5833333333333298E-2</v>
      </c>
      <c r="C1084">
        <v>2830.71</v>
      </c>
      <c r="D1084">
        <v>167.95</v>
      </c>
      <c r="E1084">
        <v>1700.4</v>
      </c>
      <c r="F1084">
        <v>86.6</v>
      </c>
      <c r="G1084">
        <v>39.04</v>
      </c>
      <c r="H1084" s="12">
        <f t="shared" si="158"/>
        <v>63.613004795728301</v>
      </c>
      <c r="I1084" s="12">
        <f t="shared" si="159"/>
        <v>66.741990415853607</v>
      </c>
      <c r="J1084" s="12">
        <f t="shared" si="160"/>
        <v>93.873541016415246</v>
      </c>
      <c r="K1084" s="12">
        <f t="shared" si="161"/>
        <v>116.90874786949483</v>
      </c>
      <c r="P1084" s="12"/>
      <c r="Q1084" s="12"/>
      <c r="R1084" s="12"/>
      <c r="S1084" s="12"/>
      <c r="V1084">
        <v>0.14148103552077099</v>
      </c>
      <c r="W1084" s="12"/>
      <c r="X1084" s="12"/>
      <c r="AY1084" t="str">
        <v>26/06/2020</v>
      </c>
      <c r="AZ1084">
        <v>54.5</v>
      </c>
      <c r="BA1084">
        <v>19.8</v>
      </c>
    </row>
    <row r="1085" spans="1:53" x14ac:dyDescent="0.3">
      <c r="A1085" s="11">
        <v>43951</v>
      </c>
      <c r="B1085">
        <v>8.9583333333333307E-2</v>
      </c>
      <c r="C1085">
        <v>2912.43</v>
      </c>
      <c r="D1085">
        <v>166.74</v>
      </c>
      <c r="E1085">
        <v>1686.9</v>
      </c>
      <c r="F1085">
        <v>86.8</v>
      </c>
      <c r="G1085">
        <v>40.049999999999997</v>
      </c>
      <c r="H1085" s="12">
        <f t="shared" si="158"/>
        <v>65.941795382093744</v>
      </c>
      <c r="I1085" s="12">
        <f t="shared" si="159"/>
        <v>69.238875037460943</v>
      </c>
      <c r="J1085" s="12">
        <f t="shared" si="160"/>
        <v>96.35515809349873</v>
      </c>
      <c r="K1085" s="12">
        <f t="shared" si="161"/>
        <v>117.24178095369896</v>
      </c>
      <c r="P1085" s="12"/>
      <c r="Q1085" s="12"/>
      <c r="R1085" s="12"/>
      <c r="S1085" s="12"/>
      <c r="V1085">
        <v>0.14054054054054099</v>
      </c>
      <c r="W1085" s="12"/>
      <c r="X1085" s="12"/>
      <c r="AY1085" t="str">
        <v>25/06/2020</v>
      </c>
      <c r="AZ1085">
        <v>54.5</v>
      </c>
      <c r="BA1085">
        <v>19.8</v>
      </c>
    </row>
    <row r="1086" spans="1:53" x14ac:dyDescent="0.3">
      <c r="A1086" s="11">
        <v>43951</v>
      </c>
      <c r="B1086">
        <v>8.1081081081081099E-2</v>
      </c>
      <c r="C1086">
        <v>2939.51</v>
      </c>
      <c r="D1086">
        <v>168.71</v>
      </c>
      <c r="E1086">
        <v>1712.85</v>
      </c>
      <c r="F1086">
        <v>86.65</v>
      </c>
      <c r="G1086">
        <v>40.89</v>
      </c>
      <c r="H1086" s="12">
        <f t="shared" si="158"/>
        <v>65.779686465022422</v>
      </c>
      <c r="I1086" s="12">
        <f t="shared" si="159"/>
        <v>68.830177376618991</v>
      </c>
      <c r="J1086" s="12">
        <f t="shared" si="160"/>
        <v>97.421290114620845</v>
      </c>
      <c r="K1086" s="12">
        <f t="shared" si="161"/>
        <v>115.92825581956664</v>
      </c>
      <c r="P1086" s="12"/>
      <c r="Q1086" s="12"/>
      <c r="R1086" s="12"/>
      <c r="S1086" s="12"/>
      <c r="V1086">
        <v>0.141852286049238</v>
      </c>
      <c r="W1086" s="12"/>
      <c r="X1086" s="12"/>
      <c r="AY1086" t="str">
        <v>24/06/2020</v>
      </c>
      <c r="AZ1086">
        <v>54.5</v>
      </c>
      <c r="BA1086">
        <v>19.8</v>
      </c>
    </row>
    <row r="1087" spans="1:53" x14ac:dyDescent="0.3">
      <c r="A1087" s="11">
        <v>43950</v>
      </c>
      <c r="B1087">
        <v>7.7083333333333295E-2</v>
      </c>
      <c r="C1087">
        <v>2863.39</v>
      </c>
      <c r="D1087">
        <v>169.59</v>
      </c>
      <c r="E1087">
        <v>1708.65</v>
      </c>
      <c r="F1087">
        <v>86.66</v>
      </c>
      <c r="G1087">
        <v>39.83</v>
      </c>
      <c r="H1087" s="12">
        <f t="shared" si="158"/>
        <v>63.75403835799839</v>
      </c>
      <c r="I1087" s="12">
        <f t="shared" si="159"/>
        <v>67.208713830871375</v>
      </c>
      <c r="J1087" s="12">
        <f t="shared" si="160"/>
        <v>94.887853887906459</v>
      </c>
      <c r="K1087" s="12">
        <f t="shared" si="161"/>
        <v>115.93164465694716</v>
      </c>
      <c r="P1087" s="12"/>
      <c r="Q1087" s="12"/>
      <c r="R1087" s="12"/>
      <c r="S1087" s="12"/>
      <c r="V1087">
        <v>0.13956238911886501</v>
      </c>
      <c r="W1087" s="12"/>
      <c r="X1087" s="12"/>
      <c r="AY1087" t="str">
        <v>23/06/2020</v>
      </c>
      <c r="AZ1087">
        <v>54.5</v>
      </c>
      <c r="BA1087">
        <v>19.8</v>
      </c>
    </row>
    <row r="1088" spans="1:53" x14ac:dyDescent="0.3">
      <c r="A1088" s="11">
        <v>43949</v>
      </c>
      <c r="B1088">
        <v>8.1081081081081099E-2</v>
      </c>
      <c r="C1088">
        <v>2878.48</v>
      </c>
      <c r="D1088">
        <v>167.66</v>
      </c>
      <c r="E1088">
        <v>1715.55</v>
      </c>
      <c r="F1088">
        <v>86.63</v>
      </c>
      <c r="G1088">
        <v>39.6</v>
      </c>
      <c r="H1088" s="12">
        <f t="shared" si="158"/>
        <v>64.840356985178431</v>
      </c>
      <c r="I1088" s="12">
        <f t="shared" si="159"/>
        <v>67.290829932803334</v>
      </c>
      <c r="J1088" s="12">
        <f t="shared" si="160"/>
        <v>95.421129228245476</v>
      </c>
      <c r="K1088" s="12">
        <f t="shared" si="161"/>
        <v>117.22705412251294</v>
      </c>
      <c r="P1088" s="12"/>
      <c r="Q1088" s="12"/>
      <c r="R1088" s="12"/>
      <c r="S1088" s="12"/>
      <c r="V1088">
        <v>0.14099526066350701</v>
      </c>
      <c r="W1088" s="12"/>
      <c r="X1088" s="12"/>
      <c r="AY1088" t="str">
        <v>22/06/2020</v>
      </c>
      <c r="AZ1088">
        <v>54.5</v>
      </c>
      <c r="BA1088">
        <v>19.8</v>
      </c>
    </row>
    <row r="1089" spans="1:53" x14ac:dyDescent="0.3">
      <c r="A1089" s="11">
        <v>43946</v>
      </c>
      <c r="B1089">
        <v>7.8674948240165604E-2</v>
      </c>
      <c r="C1089">
        <v>2836.74</v>
      </c>
      <c r="D1089">
        <v>170.84</v>
      </c>
      <c r="E1089">
        <v>1729.45</v>
      </c>
      <c r="F1089">
        <v>86.63</v>
      </c>
      <c r="G1089">
        <v>39.01</v>
      </c>
      <c r="H1089" s="12">
        <f t="shared" si="158"/>
        <v>62.749057589418705</v>
      </c>
      <c r="I1089" s="12">
        <f t="shared" si="159"/>
        <v>65.793931764280188</v>
      </c>
      <c r="J1089" s="12">
        <f t="shared" si="160"/>
        <v>94.037455228778057</v>
      </c>
      <c r="K1089" s="12">
        <f t="shared" si="161"/>
        <v>117.27516671690491</v>
      </c>
      <c r="P1089" s="12"/>
      <c r="Q1089" s="12"/>
      <c r="R1089" s="12"/>
      <c r="S1089" s="12"/>
      <c r="V1089">
        <v>0.13855072463768101</v>
      </c>
      <c r="W1089" s="12"/>
      <c r="X1089" s="12"/>
      <c r="AY1089" t="str">
        <v>19/06/2020</v>
      </c>
      <c r="AZ1089">
        <v>57.3</v>
      </c>
      <c r="BA1089">
        <v>18.399999999999999</v>
      </c>
    </row>
    <row r="1090" spans="1:53" x14ac:dyDescent="0.3">
      <c r="A1090" s="11">
        <v>43945</v>
      </c>
      <c r="B1090">
        <v>7.4844074844074807E-2</v>
      </c>
      <c r="C1090">
        <v>2797.8</v>
      </c>
      <c r="D1090">
        <v>170.44</v>
      </c>
      <c r="E1090">
        <v>1731.55</v>
      </c>
      <c r="F1090">
        <v>86.63</v>
      </c>
      <c r="G1090">
        <v>38.67</v>
      </c>
      <c r="H1090" s="12">
        <f t="shared" ref="H1090:H1153" si="164">H1091*(1+((C1090/C1091)-(D1090/D1091)))</f>
        <v>62.031280519340754</v>
      </c>
      <c r="I1090" s="12">
        <f t="shared" ref="I1090:I1153" si="165">I1091*(1+((C1090/C1091)-(E1090/E1091)))</f>
        <v>64.813251227745212</v>
      </c>
      <c r="J1090" s="12">
        <f t="shared" si="160"/>
        <v>92.74660075970138</v>
      </c>
      <c r="K1090" s="12">
        <f t="shared" si="161"/>
        <v>116.67711099839093</v>
      </c>
      <c r="P1090" s="12"/>
      <c r="Q1090" s="12"/>
      <c r="R1090" s="12"/>
      <c r="S1090" s="12"/>
      <c r="V1090">
        <v>0.13325608342989601</v>
      </c>
      <c r="W1090" s="12"/>
      <c r="X1090" s="12"/>
      <c r="AY1090" t="str">
        <v>18/06/2020</v>
      </c>
      <c r="AZ1090">
        <v>57.3</v>
      </c>
      <c r="BA1090">
        <v>18.399999999999999</v>
      </c>
    </row>
    <row r="1091" spans="1:53" x14ac:dyDescent="0.3">
      <c r="A1091" s="11">
        <v>43944</v>
      </c>
      <c r="B1091">
        <v>7.0833333333333304E-2</v>
      </c>
      <c r="C1091">
        <v>2799.31</v>
      </c>
      <c r="D1091">
        <v>169.54</v>
      </c>
      <c r="E1091">
        <v>1714.8</v>
      </c>
      <c r="F1091">
        <v>86.64</v>
      </c>
      <c r="G1091">
        <v>38.82</v>
      </c>
      <c r="H1091" s="12">
        <f t="shared" si="164"/>
        <v>62.396167090869668</v>
      </c>
      <c r="I1091" s="12">
        <f t="shared" si="165"/>
        <v>65.488259782670156</v>
      </c>
      <c r="J1091" s="12">
        <f t="shared" ref="J1091:J1154" si="166">J1092*(1+((C1091/C1092)-(F1091/F1092)))</f>
        <v>92.785941861094543</v>
      </c>
      <c r="K1091" s="12">
        <f t="shared" ref="K1091:K1154" si="167">K1092*(1+((C1091/C1092)-(G1091/G1092)))</f>
        <v>116.29049522381382</v>
      </c>
      <c r="P1091" s="12"/>
      <c r="Q1091" s="12"/>
      <c r="R1091" s="12"/>
      <c r="S1091" s="12"/>
      <c r="V1091">
        <v>0.1239092495637</v>
      </c>
      <c r="W1091" s="12"/>
      <c r="X1091" s="12"/>
      <c r="AY1091" t="str">
        <v>17/06/2020</v>
      </c>
      <c r="AZ1091">
        <v>57.3</v>
      </c>
      <c r="BA1091">
        <v>18.399999999999999</v>
      </c>
    </row>
    <row r="1092" spans="1:53" x14ac:dyDescent="0.3">
      <c r="A1092" s="11">
        <v>43943</v>
      </c>
      <c r="B1092">
        <v>6.2761506276150597E-2</v>
      </c>
      <c r="C1092">
        <v>2736.56</v>
      </c>
      <c r="D1092">
        <v>171.29</v>
      </c>
      <c r="E1092">
        <v>1687</v>
      </c>
      <c r="F1092">
        <v>86.67</v>
      </c>
      <c r="G1092">
        <v>38.01</v>
      </c>
      <c r="H1092" s="12">
        <f t="shared" si="164"/>
        <v>60.39428731592978</v>
      </c>
      <c r="I1092" s="12">
        <f t="shared" si="165"/>
        <v>65.068484026903619</v>
      </c>
      <c r="J1092" s="12">
        <f t="shared" si="166"/>
        <v>90.675347230913175</v>
      </c>
      <c r="K1092" s="12">
        <f t="shared" si="167"/>
        <v>116.10240159342402</v>
      </c>
      <c r="P1092" s="12"/>
      <c r="Q1092" s="12"/>
      <c r="R1092" s="12"/>
      <c r="S1092" s="12"/>
      <c r="V1092">
        <v>0.124121779859485</v>
      </c>
      <c r="W1092" s="12"/>
      <c r="X1092" s="12"/>
      <c r="AY1092" t="str">
        <v>16/06/2020</v>
      </c>
      <c r="AZ1092">
        <v>57.3</v>
      </c>
      <c r="BA1092">
        <v>18.399999999999999</v>
      </c>
    </row>
    <row r="1093" spans="1:53" x14ac:dyDescent="0.3">
      <c r="A1093" s="11">
        <v>43942</v>
      </c>
      <c r="B1093">
        <v>6.09243697478992E-2</v>
      </c>
      <c r="C1093">
        <v>2823.16</v>
      </c>
      <c r="D1093">
        <v>169.16</v>
      </c>
      <c r="E1093">
        <v>1695.4</v>
      </c>
      <c r="F1093">
        <v>86.65</v>
      </c>
      <c r="G1093">
        <v>38.93</v>
      </c>
      <c r="H1093" s="12">
        <f t="shared" si="164"/>
        <v>63.125505474208659</v>
      </c>
      <c r="I1093" s="12">
        <f t="shared" si="165"/>
        <v>66.78624382538419</v>
      </c>
      <c r="J1093" s="12">
        <f t="shared" si="166"/>
        <v>93.567100240954915</v>
      </c>
      <c r="K1093" s="12">
        <f t="shared" si="167"/>
        <v>116.92587384773849</v>
      </c>
      <c r="P1093" s="12"/>
      <c r="Q1093" s="12"/>
      <c r="R1093" s="12"/>
      <c r="S1093" s="12"/>
      <c r="V1093">
        <v>0.12382075471698099</v>
      </c>
      <c r="W1093" s="12"/>
      <c r="X1093" s="12"/>
      <c r="AY1093" t="str">
        <v>15/06/2020</v>
      </c>
      <c r="AZ1093">
        <v>57.3</v>
      </c>
      <c r="BA1093">
        <v>18.399999999999999</v>
      </c>
    </row>
    <row r="1094" spans="1:53" x14ac:dyDescent="0.3">
      <c r="A1094" s="11">
        <v>43939</v>
      </c>
      <c r="B1094">
        <v>6.51260504201681E-2</v>
      </c>
      <c r="C1094">
        <v>2874.56</v>
      </c>
      <c r="D1094">
        <v>167.81</v>
      </c>
      <c r="E1094">
        <v>1684.7</v>
      </c>
      <c r="F1094">
        <v>86.65</v>
      </c>
      <c r="G1094">
        <v>39.409999999999997</v>
      </c>
      <c r="H1094" s="12">
        <f t="shared" si="164"/>
        <v>64.805644296813085</v>
      </c>
      <c r="I1094" s="12">
        <f t="shared" si="165"/>
        <v>68.444817576677352</v>
      </c>
      <c r="J1094" s="12">
        <f t="shared" si="166"/>
        <v>95.270634207285227</v>
      </c>
      <c r="K1094" s="12">
        <f t="shared" si="167"/>
        <v>117.59633141012642</v>
      </c>
      <c r="P1094" s="12"/>
      <c r="Q1094" s="12"/>
      <c r="R1094" s="12"/>
      <c r="S1094" s="12"/>
      <c r="V1094">
        <v>0.12638970157987101</v>
      </c>
      <c r="W1094" s="12"/>
      <c r="X1094" s="12"/>
      <c r="AY1094" t="str">
        <v>12/06/2020</v>
      </c>
      <c r="AZ1094">
        <v>54.9</v>
      </c>
      <c r="BA1094">
        <v>18.600000000000001</v>
      </c>
    </row>
    <row r="1095" spans="1:53" x14ac:dyDescent="0.3">
      <c r="A1095" s="11">
        <v>43938</v>
      </c>
      <c r="B1095">
        <v>6.10526315789474E-2</v>
      </c>
      <c r="C1095">
        <v>2799.55</v>
      </c>
      <c r="D1095">
        <v>170.09</v>
      </c>
      <c r="E1095">
        <v>1717.7</v>
      </c>
      <c r="F1095">
        <v>86.68</v>
      </c>
      <c r="G1095">
        <v>38.450000000000003</v>
      </c>
      <c r="H1095" s="12">
        <f t="shared" si="164"/>
        <v>62.301242746064005</v>
      </c>
      <c r="I1095" s="12">
        <f t="shared" si="165"/>
        <v>65.434482707637926</v>
      </c>
      <c r="J1095" s="12">
        <f t="shared" si="166"/>
        <v>92.753337165033045</v>
      </c>
      <c r="K1095" s="12">
        <f t="shared" si="167"/>
        <v>117.38197999097977</v>
      </c>
      <c r="P1095" s="12"/>
      <c r="Q1095" s="12"/>
      <c r="R1095" s="12"/>
      <c r="S1095" s="12"/>
      <c r="V1095">
        <v>0.12831077104178901</v>
      </c>
      <c r="W1095" s="12"/>
      <c r="X1095" s="12"/>
      <c r="AY1095" t="str">
        <v>11/06/2020</v>
      </c>
      <c r="AZ1095">
        <v>54.9</v>
      </c>
      <c r="BA1095">
        <v>18.600000000000001</v>
      </c>
    </row>
    <row r="1096" spans="1:53" x14ac:dyDescent="0.3">
      <c r="A1096" s="11">
        <v>43937</v>
      </c>
      <c r="B1096">
        <v>6.0796645702306099E-2</v>
      </c>
      <c r="C1096">
        <v>2783.36</v>
      </c>
      <c r="D1096">
        <v>168.18</v>
      </c>
      <c r="E1096">
        <v>1716.7</v>
      </c>
      <c r="F1096">
        <v>86.66</v>
      </c>
      <c r="G1096">
        <v>38.4</v>
      </c>
      <c r="H1096" s="12">
        <f t="shared" si="164"/>
        <v>62.648325041564163</v>
      </c>
      <c r="I1096" s="12">
        <f t="shared" si="165"/>
        <v>65.093769046386583</v>
      </c>
      <c r="J1096" s="12">
        <f t="shared" si="166"/>
        <v>92.238102159113708</v>
      </c>
      <c r="K1096" s="12">
        <f t="shared" si="167"/>
        <v>116.85442579790423</v>
      </c>
      <c r="P1096" s="12"/>
      <c r="Q1096" s="12"/>
      <c r="R1096" s="12"/>
      <c r="S1096" s="12"/>
      <c r="V1096">
        <v>0.124340175953079</v>
      </c>
      <c r="W1096" s="12"/>
      <c r="X1096" s="12"/>
      <c r="AY1096" t="str">
        <v>10/06/2020</v>
      </c>
      <c r="AZ1096">
        <v>54.9</v>
      </c>
      <c r="BA1096">
        <v>18.600000000000001</v>
      </c>
    </row>
    <row r="1097" spans="1:53" x14ac:dyDescent="0.3">
      <c r="A1097" s="11">
        <v>43936</v>
      </c>
      <c r="B1097">
        <v>5.95744680851064E-2</v>
      </c>
      <c r="C1097">
        <v>2846.06</v>
      </c>
      <c r="D1097">
        <v>163.84</v>
      </c>
      <c r="E1097">
        <v>1727.85</v>
      </c>
      <c r="F1097">
        <v>86.625</v>
      </c>
      <c r="G1097">
        <v>39.54</v>
      </c>
      <c r="H1097" s="12">
        <f t="shared" si="164"/>
        <v>65.843009004176864</v>
      </c>
      <c r="I1097" s="12">
        <f t="shared" si="165"/>
        <v>66.123802642154502</v>
      </c>
      <c r="J1097" s="12">
        <f t="shared" si="166"/>
        <v>94.354906993922143</v>
      </c>
      <c r="K1097" s="12">
        <f t="shared" si="167"/>
        <v>116.06505495933436</v>
      </c>
      <c r="P1097" s="12"/>
      <c r="Q1097" s="12"/>
      <c r="R1097" s="12"/>
      <c r="S1097" s="12"/>
      <c r="V1097">
        <v>0.127058823529412</v>
      </c>
      <c r="W1097" s="12"/>
      <c r="X1097" s="12"/>
      <c r="AY1097" t="str">
        <v>09/06/2020</v>
      </c>
      <c r="AZ1097">
        <v>54.9</v>
      </c>
      <c r="BA1097">
        <v>18.600000000000001</v>
      </c>
    </row>
    <row r="1098" spans="1:53" x14ac:dyDescent="0.3">
      <c r="A1098" s="11">
        <v>43935</v>
      </c>
      <c r="B1098">
        <v>5.95744680851064E-2</v>
      </c>
      <c r="C1098">
        <v>2761.63</v>
      </c>
      <c r="D1098">
        <v>163.88</v>
      </c>
      <c r="E1098">
        <v>1714.25</v>
      </c>
      <c r="F1098">
        <v>86.63</v>
      </c>
      <c r="G1098">
        <v>38.82</v>
      </c>
      <c r="H1098" s="12">
        <f t="shared" si="164"/>
        <v>63.874610352557895</v>
      </c>
      <c r="I1098" s="12">
        <f t="shared" si="165"/>
        <v>64.659964061561752</v>
      </c>
      <c r="J1098" s="12">
        <f t="shared" si="166"/>
        <v>91.550687382636639</v>
      </c>
      <c r="K1098" s="12">
        <f t="shared" si="167"/>
        <v>114.68591286946736</v>
      </c>
      <c r="P1098" s="12"/>
      <c r="Q1098" s="12"/>
      <c r="R1098" s="12"/>
      <c r="S1098" s="12"/>
      <c r="V1098">
        <v>0.13097345132743399</v>
      </c>
      <c r="W1098" s="12"/>
      <c r="X1098" s="12"/>
      <c r="AY1098" t="str">
        <v>08/06/2020</v>
      </c>
      <c r="AZ1098">
        <v>54.9</v>
      </c>
      <c r="BA1098">
        <v>18.600000000000001</v>
      </c>
    </row>
    <row r="1099" spans="1:53" x14ac:dyDescent="0.3">
      <c r="A1099" s="11">
        <v>43931</v>
      </c>
      <c r="B1099">
        <v>6.8376068376068397E-2</v>
      </c>
      <c r="C1099">
        <v>2789.82</v>
      </c>
      <c r="D1099">
        <v>165.39</v>
      </c>
      <c r="E1099">
        <v>1683.25</v>
      </c>
      <c r="F1099">
        <v>86.62</v>
      </c>
      <c r="G1099">
        <v>39.090000000000003</v>
      </c>
      <c r="H1099" s="12">
        <f t="shared" si="164"/>
        <v>63.936927070405552</v>
      </c>
      <c r="I1099" s="12">
        <f t="shared" si="165"/>
        <v>66.558296386178611</v>
      </c>
      <c r="J1099" s="12">
        <f t="shared" si="166"/>
        <v>92.496000329856344</v>
      </c>
      <c r="K1099" s="12">
        <f t="shared" si="167"/>
        <v>115.05379244493938</v>
      </c>
      <c r="P1099" s="12"/>
      <c r="Q1099" s="12"/>
      <c r="R1099" s="12"/>
      <c r="S1099" s="12"/>
      <c r="V1099">
        <v>0.13076474022183299</v>
      </c>
      <c r="W1099" s="12"/>
      <c r="X1099" s="12"/>
      <c r="AY1099" t="str">
        <v>05/06/2020</v>
      </c>
      <c r="AZ1099">
        <v>56.9</v>
      </c>
      <c r="BA1099">
        <v>20.6</v>
      </c>
    </row>
    <row r="1100" spans="1:53" x14ac:dyDescent="0.3">
      <c r="A1100" s="11">
        <v>43930</v>
      </c>
      <c r="B1100">
        <v>7.4946466809421797E-2</v>
      </c>
      <c r="C1100">
        <v>2749.98</v>
      </c>
      <c r="D1100">
        <v>165.09</v>
      </c>
      <c r="E1100">
        <v>1646.15</v>
      </c>
      <c r="F1100">
        <v>86.59</v>
      </c>
      <c r="G1100">
        <v>38.450000000000003</v>
      </c>
      <c r="H1100" s="12">
        <f t="shared" si="164"/>
        <v>63.136969826621218</v>
      </c>
      <c r="I1100" s="12">
        <f t="shared" si="165"/>
        <v>67.098442724719419</v>
      </c>
      <c r="J1100" s="12">
        <f t="shared" si="166"/>
        <v>91.206260106517519</v>
      </c>
      <c r="K1100" s="12">
        <f t="shared" si="167"/>
        <v>115.30257104881943</v>
      </c>
      <c r="P1100" s="12"/>
      <c r="Q1100" s="12"/>
      <c r="R1100" s="12"/>
      <c r="S1100" s="12"/>
      <c r="V1100">
        <v>0.125730994152047</v>
      </c>
      <c r="W1100" s="12"/>
      <c r="X1100" s="12"/>
      <c r="AY1100" t="str">
        <v>04/06/2020</v>
      </c>
      <c r="AZ1100">
        <v>56.9</v>
      </c>
      <c r="BA1100">
        <v>20.6</v>
      </c>
    </row>
    <row r="1101" spans="1:53" x14ac:dyDescent="0.3">
      <c r="A1101" s="11">
        <v>43929</v>
      </c>
      <c r="B1101">
        <v>8.2073434125270003E-2</v>
      </c>
      <c r="C1101">
        <v>2659.41</v>
      </c>
      <c r="D1101">
        <v>166.3</v>
      </c>
      <c r="E1101">
        <v>1648.6</v>
      </c>
      <c r="F1101">
        <v>86.54</v>
      </c>
      <c r="G1101">
        <v>38.11</v>
      </c>
      <c r="H1101" s="12">
        <f t="shared" si="164"/>
        <v>60.630945325159317</v>
      </c>
      <c r="I1101" s="12">
        <f t="shared" si="165"/>
        <v>64.795448208126842</v>
      </c>
      <c r="J1101" s="12">
        <f t="shared" si="166"/>
        <v>88.251711201368664</v>
      </c>
      <c r="K1101" s="12">
        <f t="shared" si="167"/>
        <v>112.47551219292195</v>
      </c>
      <c r="P1101" s="12"/>
      <c r="Q1101" s="12"/>
      <c r="R1101" s="12"/>
      <c r="S1101" s="12"/>
      <c r="V1101">
        <v>0.130511463844797</v>
      </c>
      <c r="W1101" s="12"/>
      <c r="X1101" s="12"/>
      <c r="AY1101" t="str">
        <v>03/06/2020</v>
      </c>
      <c r="AZ1101">
        <v>56.9</v>
      </c>
      <c r="BA1101">
        <v>20.6</v>
      </c>
    </row>
    <row r="1102" spans="1:53" x14ac:dyDescent="0.3">
      <c r="A1102" s="11">
        <v>43928</v>
      </c>
      <c r="B1102">
        <v>8.2429501084598705E-2</v>
      </c>
      <c r="C1102">
        <v>2663.68</v>
      </c>
      <c r="D1102">
        <v>168.06</v>
      </c>
      <c r="E1102">
        <v>1662.25</v>
      </c>
      <c r="F1102">
        <v>86.56</v>
      </c>
      <c r="G1102">
        <v>37.840000000000003</v>
      </c>
      <c r="H1102" s="12">
        <f t="shared" si="164"/>
        <v>60.097912604355834</v>
      </c>
      <c r="I1102" s="12">
        <f t="shared" si="165"/>
        <v>64.370044878310154</v>
      </c>
      <c r="J1102" s="12">
        <f t="shared" si="166"/>
        <v>88.372958175895448</v>
      </c>
      <c r="K1102" s="12">
        <f t="shared" si="167"/>
        <v>113.46702701134328</v>
      </c>
      <c r="P1102" s="12"/>
      <c r="Q1102" s="12"/>
      <c r="R1102" s="12"/>
      <c r="S1102" s="12"/>
      <c r="V1102">
        <v>0.13376546847377699</v>
      </c>
      <c r="W1102" s="12"/>
      <c r="X1102" s="12"/>
      <c r="AY1102" t="str">
        <v>02/06/2020</v>
      </c>
      <c r="AZ1102">
        <v>56.9</v>
      </c>
      <c r="BA1102">
        <v>20.6</v>
      </c>
    </row>
    <row r="1103" spans="1:53" x14ac:dyDescent="0.3">
      <c r="A1103" s="11">
        <v>43925</v>
      </c>
      <c r="B1103">
        <v>8.6767895878524903E-2</v>
      </c>
      <c r="C1103">
        <v>2488.65</v>
      </c>
      <c r="D1103">
        <v>168.5</v>
      </c>
      <c r="E1103">
        <v>1618.45</v>
      </c>
      <c r="F1103">
        <v>86.62</v>
      </c>
      <c r="G1103">
        <v>35.950000000000003</v>
      </c>
      <c r="H1103" s="12">
        <f t="shared" si="164"/>
        <v>56.012235621769449</v>
      </c>
      <c r="I1103" s="12">
        <f t="shared" si="165"/>
        <v>61.700370212463994</v>
      </c>
      <c r="J1103" s="12">
        <f t="shared" si="166"/>
        <v>82.512585554110984</v>
      </c>
      <c r="K1103" s="12">
        <f t="shared" si="167"/>
        <v>111.48720532930085</v>
      </c>
      <c r="P1103" s="12"/>
      <c r="Q1103" s="12"/>
      <c r="R1103" s="12"/>
      <c r="S1103" s="12"/>
      <c r="V1103">
        <v>0.13758782201405201</v>
      </c>
      <c r="W1103" s="12"/>
      <c r="X1103" s="12"/>
      <c r="AY1103" t="str">
        <v>01/06/2020</v>
      </c>
      <c r="AZ1103">
        <v>56.9</v>
      </c>
      <c r="BA1103">
        <v>20.6</v>
      </c>
    </row>
    <row r="1104" spans="1:53" x14ac:dyDescent="0.3">
      <c r="A1104" s="11">
        <v>43924</v>
      </c>
      <c r="B1104">
        <v>8.3333333333333301E-2</v>
      </c>
      <c r="C1104">
        <v>2526.9</v>
      </c>
      <c r="D1104">
        <v>168.1</v>
      </c>
      <c r="E1104">
        <v>1614.45</v>
      </c>
      <c r="F1104">
        <v>86.64</v>
      </c>
      <c r="G1104">
        <v>36.700000000000003</v>
      </c>
      <c r="H1104" s="12">
        <f t="shared" si="164"/>
        <v>57.010875779338754</v>
      </c>
      <c r="I1104" s="12">
        <f t="shared" si="165"/>
        <v>62.806694337241296</v>
      </c>
      <c r="J1104" s="12">
        <f t="shared" si="166"/>
        <v>83.761153114169431</v>
      </c>
      <c r="K1104" s="12">
        <f t="shared" si="167"/>
        <v>110.89956596681296</v>
      </c>
      <c r="P1104" s="12"/>
      <c r="Q1104" s="12"/>
      <c r="R1104" s="12"/>
      <c r="S1104" s="12"/>
      <c r="V1104">
        <v>0.142102172636524</v>
      </c>
      <c r="W1104" s="12"/>
      <c r="X1104" s="12"/>
      <c r="AY1104" t="str">
        <v>29/05/2020</v>
      </c>
      <c r="AZ1104">
        <v>53.5</v>
      </c>
      <c r="BA1104">
        <v>23.7</v>
      </c>
    </row>
    <row r="1105" spans="1:53" x14ac:dyDescent="0.3">
      <c r="A1105" s="11">
        <v>43923</v>
      </c>
      <c r="B1105">
        <v>9.0507726269315705E-2</v>
      </c>
      <c r="C1105">
        <v>2470.5</v>
      </c>
      <c r="D1105">
        <v>167.04</v>
      </c>
      <c r="E1105">
        <v>1591.55</v>
      </c>
      <c r="F1105">
        <v>86.62</v>
      </c>
      <c r="G1105">
        <v>35.85</v>
      </c>
      <c r="H1105" s="12">
        <f t="shared" si="164"/>
        <v>56.08637040983767</v>
      </c>
      <c r="I1105" s="12">
        <f t="shared" si="165"/>
        <v>62.280986907122781</v>
      </c>
      <c r="J1105" s="12">
        <f t="shared" si="166"/>
        <v>81.91010809294923</v>
      </c>
      <c r="K1105" s="12">
        <f t="shared" si="167"/>
        <v>110.99730082254177</v>
      </c>
      <c r="P1105" s="12"/>
      <c r="Q1105" s="12"/>
      <c r="R1105" s="12"/>
      <c r="S1105" s="12"/>
      <c r="V1105">
        <v>0.14193548387096799</v>
      </c>
      <c r="W1105" s="12"/>
      <c r="X1105" s="12"/>
      <c r="AY1105" t="str">
        <v>28/05/2020</v>
      </c>
      <c r="AZ1105">
        <v>53.5</v>
      </c>
      <c r="BA1105">
        <v>23.7</v>
      </c>
    </row>
    <row r="1106" spans="1:53" x14ac:dyDescent="0.3">
      <c r="A1106" s="11">
        <v>43921</v>
      </c>
      <c r="B1106">
        <v>9.5343680709534404E-2</v>
      </c>
      <c r="C1106">
        <v>2584.59</v>
      </c>
      <c r="D1106">
        <v>164.97</v>
      </c>
      <c r="E1106">
        <v>1577.55</v>
      </c>
      <c r="F1106">
        <v>86.67</v>
      </c>
      <c r="G1106">
        <v>37.65</v>
      </c>
      <c r="H1106" s="12">
        <f t="shared" si="164"/>
        <v>59.456995435161048</v>
      </c>
      <c r="I1106" s="12">
        <f t="shared" si="165"/>
        <v>65.767792603879741</v>
      </c>
      <c r="J1106" s="12">
        <f t="shared" si="166"/>
        <v>85.641105408447331</v>
      </c>
      <c r="K1106" s="12">
        <f t="shared" si="167"/>
        <v>110.59183057195331</v>
      </c>
      <c r="P1106" s="12"/>
      <c r="Q1106" s="12"/>
      <c r="R1106" s="12"/>
      <c r="S1106" s="12"/>
      <c r="V1106">
        <v>0.148672566371681</v>
      </c>
      <c r="W1106" s="12"/>
      <c r="X1106" s="12"/>
      <c r="AY1106" t="str">
        <v>27/05/2020</v>
      </c>
      <c r="AZ1106">
        <v>53.5</v>
      </c>
      <c r="BA1106">
        <v>23.7</v>
      </c>
    </row>
    <row r="1107" spans="1:53" x14ac:dyDescent="0.3">
      <c r="A1107" s="11">
        <v>43921</v>
      </c>
      <c r="B1107">
        <v>9.8214285714285698E-2</v>
      </c>
      <c r="C1107">
        <v>2626.65</v>
      </c>
      <c r="D1107">
        <v>166.32</v>
      </c>
      <c r="E1107">
        <v>1623.05</v>
      </c>
      <c r="F1107">
        <v>86.69</v>
      </c>
      <c r="G1107">
        <v>37.619999999999997</v>
      </c>
      <c r="H1107" s="12">
        <f t="shared" si="164"/>
        <v>59.930198821969626</v>
      </c>
      <c r="I1107" s="12">
        <f t="shared" si="165"/>
        <v>64.986598554038466</v>
      </c>
      <c r="J1107" s="12">
        <f t="shared" si="166"/>
        <v>87.014373635640695</v>
      </c>
      <c r="K1107" s="12">
        <f t="shared" si="167"/>
        <v>112.48269162815239</v>
      </c>
      <c r="P1107" s="12"/>
      <c r="Q1107" s="12"/>
      <c r="R1107" s="12"/>
      <c r="S1107" s="12"/>
      <c r="V1107">
        <v>0.152934202726734</v>
      </c>
      <c r="W1107" s="12"/>
      <c r="X1107" s="12"/>
      <c r="AY1107" t="str">
        <v>26/05/2020</v>
      </c>
      <c r="AZ1107">
        <v>53.5</v>
      </c>
      <c r="BA1107">
        <v>23.7</v>
      </c>
    </row>
    <row r="1108" spans="1:53" x14ac:dyDescent="0.3">
      <c r="A1108" s="11">
        <v>43918</v>
      </c>
      <c r="B1108">
        <v>0.101123595505618</v>
      </c>
      <c r="C1108">
        <v>2541.4699999999998</v>
      </c>
      <c r="D1108">
        <v>167.7</v>
      </c>
      <c r="E1108">
        <v>1623.5</v>
      </c>
      <c r="F1108">
        <v>86.65</v>
      </c>
      <c r="G1108">
        <v>37.020000000000003</v>
      </c>
      <c r="H1108" s="12">
        <f t="shared" si="164"/>
        <v>57.528663812429166</v>
      </c>
      <c r="I1108" s="12">
        <f t="shared" si="165"/>
        <v>62.862280014559502</v>
      </c>
      <c r="J1108" s="12">
        <f t="shared" si="166"/>
        <v>84.230194361377315</v>
      </c>
      <c r="K1108" s="12">
        <f t="shared" si="167"/>
        <v>110.5689008989137</v>
      </c>
      <c r="P1108" s="12"/>
      <c r="Q1108" s="12"/>
      <c r="R1108" s="12"/>
      <c r="S1108" s="12"/>
      <c r="V1108">
        <v>0.16587112171837701</v>
      </c>
      <c r="W1108" s="12"/>
      <c r="X1108" s="12"/>
      <c r="AY1108" t="str">
        <v>25/05/2020</v>
      </c>
      <c r="AZ1108">
        <v>53.5</v>
      </c>
      <c r="BA1108">
        <v>23.7</v>
      </c>
    </row>
    <row r="1109" spans="1:53" x14ac:dyDescent="0.3">
      <c r="A1109" s="11">
        <v>43917</v>
      </c>
      <c r="B1109">
        <v>9.0497737556561098E-2</v>
      </c>
      <c r="C1109">
        <v>2630.07</v>
      </c>
      <c r="D1109">
        <v>163.34</v>
      </c>
      <c r="E1109">
        <v>1630.85</v>
      </c>
      <c r="F1109">
        <v>86.67</v>
      </c>
      <c r="G1109">
        <v>38.450000000000003</v>
      </c>
      <c r="H1109" s="12">
        <f t="shared" si="164"/>
        <v>61.225463699913483</v>
      </c>
      <c r="I1109" s="12">
        <f t="shared" si="165"/>
        <v>64.751766612513137</v>
      </c>
      <c r="J1109" s="12">
        <f t="shared" si="166"/>
        <v>87.145792442183136</v>
      </c>
      <c r="K1109" s="12">
        <f t="shared" si="167"/>
        <v>110.18283775009756</v>
      </c>
      <c r="P1109" s="12"/>
      <c r="Q1109" s="12"/>
      <c r="R1109" s="12"/>
      <c r="S1109" s="12"/>
      <c r="V1109">
        <v>0.17289156626506</v>
      </c>
      <c r="W1109" s="12"/>
      <c r="X1109" s="12"/>
      <c r="AY1109" t="str">
        <v>22/05/2020</v>
      </c>
      <c r="AZ1109">
        <v>50.5</v>
      </c>
      <c r="BA1109">
        <v>23.8</v>
      </c>
    </row>
    <row r="1110" spans="1:53" x14ac:dyDescent="0.3">
      <c r="A1110" s="11">
        <v>43916</v>
      </c>
      <c r="B1110">
        <v>0.11011235955056201</v>
      </c>
      <c r="C1110">
        <v>2475.56</v>
      </c>
      <c r="D1110">
        <v>162.54</v>
      </c>
      <c r="E1110">
        <v>1617.35</v>
      </c>
      <c r="F1110">
        <v>86.57</v>
      </c>
      <c r="G1110">
        <v>36.979999999999997</v>
      </c>
      <c r="H1110" s="12">
        <f t="shared" si="164"/>
        <v>57.896841389182207</v>
      </c>
      <c r="I1110" s="12">
        <f t="shared" si="165"/>
        <v>61.43039859471773</v>
      </c>
      <c r="J1110" s="12">
        <f t="shared" si="166"/>
        <v>82.115478206141319</v>
      </c>
      <c r="K1110" s="12">
        <f t="shared" si="167"/>
        <v>107.74110707794846</v>
      </c>
      <c r="P1110" s="12"/>
      <c r="Q1110" s="12"/>
      <c r="R1110" s="12"/>
      <c r="S1110" s="12"/>
      <c r="V1110">
        <v>0.17483363581367201</v>
      </c>
      <c r="W1110" s="12"/>
      <c r="X1110" s="12"/>
      <c r="AY1110" t="str">
        <v>21/05/2020</v>
      </c>
      <c r="AZ1110">
        <v>50.5</v>
      </c>
      <c r="BA1110">
        <v>23.8</v>
      </c>
    </row>
    <row r="1111" spans="1:53" x14ac:dyDescent="0.3">
      <c r="A1111" s="11">
        <v>43915</v>
      </c>
      <c r="B1111">
        <v>0.122448979591837</v>
      </c>
      <c r="C1111">
        <v>2447.33</v>
      </c>
      <c r="D1111">
        <v>162.91</v>
      </c>
      <c r="E1111">
        <v>1627.8</v>
      </c>
      <c r="F1111">
        <v>86.47</v>
      </c>
      <c r="G1111">
        <v>35.549999999999997</v>
      </c>
      <c r="H1111" s="12">
        <f t="shared" si="164"/>
        <v>57.108390811242089</v>
      </c>
      <c r="I1111" s="12">
        <f t="shared" si="165"/>
        <v>60.346886695988125</v>
      </c>
      <c r="J1111" s="12">
        <f t="shared" si="166"/>
        <v>81.271992818317628</v>
      </c>
      <c r="K1111" s="12">
        <f t="shared" si="167"/>
        <v>110.92350411531876</v>
      </c>
      <c r="P1111" s="12"/>
      <c r="Q1111" s="12"/>
      <c r="R1111" s="12"/>
      <c r="S1111" s="12"/>
      <c r="V1111">
        <v>0.17503059975520199</v>
      </c>
      <c r="W1111" s="12"/>
      <c r="X1111" s="12"/>
      <c r="AY1111" t="str">
        <v>20/05/2020</v>
      </c>
      <c r="AZ1111">
        <v>50.5</v>
      </c>
      <c r="BA1111">
        <v>23.8</v>
      </c>
    </row>
    <row r="1112" spans="1:53" x14ac:dyDescent="0.3">
      <c r="A1112" s="11">
        <v>43914</v>
      </c>
      <c r="B1112">
        <v>0.128205128205128</v>
      </c>
      <c r="C1112">
        <v>2237.4</v>
      </c>
      <c r="D1112">
        <v>166</v>
      </c>
      <c r="E1112">
        <v>1554.05</v>
      </c>
      <c r="F1112">
        <v>86.59</v>
      </c>
      <c r="G1112">
        <v>32.799999999999997</v>
      </c>
      <c r="H1112" s="12">
        <f t="shared" si="164"/>
        <v>51.336056091930004</v>
      </c>
      <c r="I1112" s="12">
        <f t="shared" si="165"/>
        <v>57.672552115000443</v>
      </c>
      <c r="J1112" s="12">
        <f t="shared" si="166"/>
        <v>74.206529535409572</v>
      </c>
      <c r="K1112" s="12">
        <f t="shared" si="167"/>
        <v>109.8267528889163</v>
      </c>
      <c r="P1112" s="12"/>
      <c r="Q1112" s="12"/>
      <c r="R1112" s="12"/>
      <c r="S1112" s="12"/>
      <c r="V1112">
        <v>0.187116564417178</v>
      </c>
      <c r="W1112" s="12"/>
      <c r="X1112" s="12"/>
      <c r="AY1112" t="str">
        <v>19/05/2020</v>
      </c>
      <c r="AZ1112">
        <v>50.5</v>
      </c>
      <c r="BA1112">
        <v>23.8</v>
      </c>
    </row>
    <row r="1113" spans="1:53" x14ac:dyDescent="0.3">
      <c r="A1113" s="11">
        <v>43911</v>
      </c>
      <c r="B1113">
        <v>0.140845070422535</v>
      </c>
      <c r="C1113">
        <v>2304.92</v>
      </c>
      <c r="D1113">
        <v>159.43</v>
      </c>
      <c r="E1113">
        <v>1498.6</v>
      </c>
      <c r="F1113">
        <v>86.49</v>
      </c>
      <c r="G1113">
        <v>33.42</v>
      </c>
      <c r="H1113" s="12">
        <f t="shared" si="164"/>
        <v>55.229941881007612</v>
      </c>
      <c r="I1113" s="12">
        <f t="shared" si="165"/>
        <v>61.767427387336852</v>
      </c>
      <c r="J1113" s="12">
        <f t="shared" si="166"/>
        <v>76.53708858088244</v>
      </c>
      <c r="K1113" s="12">
        <f t="shared" si="167"/>
        <v>111.01933288144694</v>
      </c>
      <c r="P1113" s="12"/>
      <c r="Q1113" s="12"/>
      <c r="R1113" s="12"/>
      <c r="S1113" s="12"/>
      <c r="V1113">
        <v>0.19665012406947899</v>
      </c>
      <c r="W1113" s="12"/>
      <c r="X1113" s="12"/>
      <c r="AY1113" t="str">
        <v>18/05/2020</v>
      </c>
      <c r="AZ1113">
        <v>50.5</v>
      </c>
      <c r="BA1113">
        <v>23.8</v>
      </c>
    </row>
    <row r="1114" spans="1:53" x14ac:dyDescent="0.3">
      <c r="A1114" s="11">
        <v>43910</v>
      </c>
      <c r="B1114">
        <v>0.14858490566037699</v>
      </c>
      <c r="C1114">
        <v>2409.39</v>
      </c>
      <c r="D1114">
        <v>148.28</v>
      </c>
      <c r="E1114">
        <v>1471</v>
      </c>
      <c r="F1114">
        <v>86.26</v>
      </c>
      <c r="G1114">
        <v>33.67</v>
      </c>
      <c r="H1114" s="12">
        <f t="shared" si="164"/>
        <v>62.658416635317636</v>
      </c>
      <c r="I1114" s="12">
        <f t="shared" si="165"/>
        <v>65.858720538360984</v>
      </c>
      <c r="J1114" s="12">
        <f t="shared" si="166"/>
        <v>80.229732632135821</v>
      </c>
      <c r="K1114" s="12">
        <f t="shared" si="167"/>
        <v>115.15746038152642</v>
      </c>
      <c r="P1114" s="12"/>
      <c r="Q1114" s="12"/>
      <c r="R1114" s="12"/>
      <c r="S1114" s="12"/>
      <c r="V1114">
        <v>0.201492537313433</v>
      </c>
      <c r="W1114" s="12"/>
      <c r="X1114" s="12"/>
      <c r="AY1114" t="str">
        <v>15/05/2020</v>
      </c>
      <c r="AZ1114">
        <v>49</v>
      </c>
      <c r="BA1114">
        <v>24.1</v>
      </c>
    </row>
    <row r="1115" spans="1:53" x14ac:dyDescent="0.3">
      <c r="A1115" s="11">
        <v>43909</v>
      </c>
      <c r="B1115">
        <v>0.16666666666666699</v>
      </c>
      <c r="C1115">
        <v>2398.1</v>
      </c>
      <c r="D1115">
        <v>144.35</v>
      </c>
      <c r="E1115">
        <v>1486.3</v>
      </c>
      <c r="F1115">
        <v>86.11</v>
      </c>
      <c r="G1115">
        <v>33.17</v>
      </c>
      <c r="H1115" s="12">
        <f t="shared" si="164"/>
        <v>64.101836130489261</v>
      </c>
      <c r="I1115" s="12">
        <f t="shared" si="165"/>
        <v>64.885316697751293</v>
      </c>
      <c r="J1115" s="12">
        <f t="shared" si="166"/>
        <v>79.992480072679768</v>
      </c>
      <c r="K1115" s="12">
        <f t="shared" si="167"/>
        <v>116.3636826121171</v>
      </c>
      <c r="P1115" s="12"/>
      <c r="Q1115" s="12"/>
      <c r="R1115" s="12"/>
      <c r="S1115" s="12"/>
      <c r="V1115">
        <v>0.21215880893300201</v>
      </c>
      <c r="W1115" s="12"/>
      <c r="X1115" s="12"/>
      <c r="AY1115" t="str">
        <v>14/05/2020</v>
      </c>
      <c r="AZ1115">
        <v>49</v>
      </c>
      <c r="BA1115">
        <v>24.1</v>
      </c>
    </row>
    <row r="1116" spans="1:53" x14ac:dyDescent="0.3">
      <c r="A1116" s="11">
        <v>43908</v>
      </c>
      <c r="B1116">
        <v>0.17307692307692299</v>
      </c>
      <c r="C1116">
        <v>2529.19</v>
      </c>
      <c r="D1116">
        <v>152.97999999999999</v>
      </c>
      <c r="E1116">
        <v>1528.5</v>
      </c>
      <c r="F1116">
        <v>86.22</v>
      </c>
      <c r="G1116">
        <v>35.57</v>
      </c>
      <c r="H1116" s="12">
        <f t="shared" si="164"/>
        <v>63.809475175806774</v>
      </c>
      <c r="I1116" s="12">
        <f t="shared" si="165"/>
        <v>66.495986236198135</v>
      </c>
      <c r="J1116" s="12">
        <f t="shared" si="166"/>
        <v>84.251832938510759</v>
      </c>
      <c r="K1116" s="12">
        <f t="shared" si="167"/>
        <v>114.57158076092689</v>
      </c>
      <c r="P1116" s="12"/>
      <c r="Q1116" s="12"/>
      <c r="R1116" s="12"/>
      <c r="S1116" s="12"/>
      <c r="V1116">
        <v>0.22764227642276399</v>
      </c>
      <c r="W1116" s="12"/>
      <c r="X1116" s="12"/>
      <c r="AY1116" t="str">
        <v>13/05/2020</v>
      </c>
      <c r="AZ1116">
        <v>49</v>
      </c>
      <c r="BA1116">
        <v>24.1</v>
      </c>
    </row>
    <row r="1117" spans="1:53" x14ac:dyDescent="0.3">
      <c r="A1117" s="11">
        <v>43907</v>
      </c>
      <c r="B1117">
        <v>0.186440677966102</v>
      </c>
      <c r="C1117">
        <v>2386.13</v>
      </c>
      <c r="D1117">
        <v>163.91</v>
      </c>
      <c r="E1117">
        <v>1514.6</v>
      </c>
      <c r="F1117">
        <v>86.42</v>
      </c>
      <c r="G1117">
        <v>33.75</v>
      </c>
      <c r="H1117" s="12">
        <f t="shared" si="164"/>
        <v>56.637082081312101</v>
      </c>
      <c r="I1117" s="12">
        <f t="shared" si="165"/>
        <v>63.282652507122584</v>
      </c>
      <c r="J1117" s="12">
        <f t="shared" si="166"/>
        <v>79.313078796875828</v>
      </c>
      <c r="K1117" s="12">
        <f t="shared" si="167"/>
        <v>113.88498002422625</v>
      </c>
      <c r="P1117" s="12"/>
      <c r="Q1117" s="12"/>
      <c r="R1117" s="12"/>
      <c r="S1117" s="12"/>
      <c r="V1117">
        <v>0.22750000000000001</v>
      </c>
      <c r="W1117" s="12"/>
      <c r="X1117" s="12"/>
      <c r="AY1117" t="str">
        <v>12/05/2020</v>
      </c>
      <c r="AZ1117">
        <v>49</v>
      </c>
      <c r="BA1117">
        <v>24.1</v>
      </c>
    </row>
    <row r="1118" spans="1:53" x14ac:dyDescent="0.3">
      <c r="A1118" s="11">
        <v>43904</v>
      </c>
      <c r="B1118">
        <v>0.21078431372549</v>
      </c>
      <c r="C1118">
        <v>2711.02</v>
      </c>
      <c r="D1118">
        <v>153.94</v>
      </c>
      <c r="E1118">
        <v>1529.7</v>
      </c>
      <c r="F1118">
        <v>86.28</v>
      </c>
      <c r="G1118">
        <v>37.9</v>
      </c>
      <c r="H1118" s="12">
        <f t="shared" si="164"/>
        <v>69.459772570734458</v>
      </c>
      <c r="I1118" s="12">
        <f t="shared" si="165"/>
        <v>71.101650235272601</v>
      </c>
      <c r="J1118" s="12">
        <f t="shared" si="166"/>
        <v>90.278599818611113</v>
      </c>
      <c r="K1118" s="12">
        <f t="shared" si="167"/>
        <v>115.07506588348407</v>
      </c>
      <c r="P1118" s="12"/>
      <c r="Q1118" s="12"/>
      <c r="R1118" s="12"/>
      <c r="S1118" s="12"/>
      <c r="V1118">
        <v>0.239198497182217</v>
      </c>
      <c r="W1118" s="12"/>
      <c r="X1118" s="12"/>
      <c r="AY1118" t="str">
        <v>11/05/2020</v>
      </c>
      <c r="AZ1118">
        <v>49</v>
      </c>
      <c r="BA1118">
        <v>24.1</v>
      </c>
    </row>
    <row r="1119" spans="1:53" x14ac:dyDescent="0.3">
      <c r="A1119" s="11">
        <v>43903</v>
      </c>
      <c r="B1119">
        <v>0.24009900990099001</v>
      </c>
      <c r="C1119">
        <v>2480.64</v>
      </c>
      <c r="D1119">
        <v>157.5</v>
      </c>
      <c r="E1119">
        <v>1577.1</v>
      </c>
      <c r="F1119">
        <v>86.17</v>
      </c>
      <c r="G1119">
        <v>35.549999999999997</v>
      </c>
      <c r="H1119" s="12">
        <f t="shared" si="164"/>
        <v>62.269268118355235</v>
      </c>
      <c r="I1119" s="12">
        <f t="shared" si="165"/>
        <v>63.318177243582717</v>
      </c>
      <c r="J1119" s="12">
        <f t="shared" si="166"/>
        <v>82.703410070829918</v>
      </c>
      <c r="K1119" s="12">
        <f t="shared" si="167"/>
        <v>112.07513769799199</v>
      </c>
      <c r="P1119" s="12"/>
      <c r="Q1119" s="12"/>
      <c r="R1119" s="12"/>
      <c r="S1119" s="12"/>
      <c r="V1119">
        <v>0.25416409623689101</v>
      </c>
      <c r="W1119" s="12"/>
      <c r="X1119" s="12"/>
      <c r="AY1119" t="str">
        <v>08/05/2020</v>
      </c>
      <c r="AZ1119">
        <v>47.1</v>
      </c>
      <c r="BA1119">
        <v>26</v>
      </c>
    </row>
    <row r="1120" spans="1:53" x14ac:dyDescent="0.3">
      <c r="A1120" s="11">
        <v>43902</v>
      </c>
      <c r="B1120">
        <v>0.26054590570719599</v>
      </c>
      <c r="C1120">
        <v>2741.38</v>
      </c>
      <c r="D1120">
        <v>156.53</v>
      </c>
      <c r="E1120">
        <v>1635</v>
      </c>
      <c r="F1120">
        <v>86.19</v>
      </c>
      <c r="G1120">
        <v>40</v>
      </c>
      <c r="H1120" s="12">
        <f t="shared" si="164"/>
        <v>69.288896855229694</v>
      </c>
      <c r="I1120" s="12">
        <f t="shared" si="165"/>
        <v>67.338260373932698</v>
      </c>
      <c r="J1120" s="12">
        <f t="shared" si="166"/>
        <v>91.37293186768909</v>
      </c>
      <c r="K1120" s="12">
        <f t="shared" si="167"/>
        <v>110.29526772066585</v>
      </c>
      <c r="P1120" s="12"/>
      <c r="Q1120" s="12"/>
      <c r="R1120" s="12"/>
      <c r="S1120" s="12"/>
      <c r="V1120">
        <v>0.26043613707165097</v>
      </c>
      <c r="W1120" s="12"/>
      <c r="X1120" s="12"/>
      <c r="AY1120" t="str">
        <v>07/05/2020</v>
      </c>
      <c r="AZ1120">
        <v>47.1</v>
      </c>
      <c r="BA1120">
        <v>26</v>
      </c>
    </row>
    <row r="1121" spans="1:53" x14ac:dyDescent="0.3">
      <c r="A1121" s="11">
        <v>43901</v>
      </c>
      <c r="B1121">
        <v>0.28428927680798</v>
      </c>
      <c r="C1121">
        <v>2882.23</v>
      </c>
      <c r="D1121">
        <v>162.51</v>
      </c>
      <c r="E1121">
        <v>1649.4</v>
      </c>
      <c r="F1121">
        <v>86.29</v>
      </c>
      <c r="G1121">
        <v>42.1</v>
      </c>
      <c r="H1121" s="12">
        <f t="shared" si="164"/>
        <v>70.135479461408622</v>
      </c>
      <c r="I1121" s="12">
        <f t="shared" si="165"/>
        <v>70.15410320658647</v>
      </c>
      <c r="J1121" s="12">
        <f t="shared" si="166"/>
        <v>95.950694207365871</v>
      </c>
      <c r="K1121" s="12">
        <f t="shared" si="167"/>
        <v>110.18367102818644</v>
      </c>
      <c r="P1121" s="12"/>
      <c r="Q1121" s="12"/>
      <c r="R1121" s="12"/>
      <c r="S1121" s="12"/>
      <c r="V1121">
        <v>0.279347143753923</v>
      </c>
      <c r="W1121" s="12"/>
      <c r="X1121" s="12"/>
      <c r="AY1121" t="str">
        <v>06/05/2020</v>
      </c>
      <c r="AZ1121">
        <v>47.1</v>
      </c>
      <c r="BA1121">
        <v>26</v>
      </c>
    </row>
    <row r="1122" spans="1:53" x14ac:dyDescent="0.3">
      <c r="A1122" s="11">
        <v>43900</v>
      </c>
      <c r="B1122">
        <v>0.30150753768844202</v>
      </c>
      <c r="C1122">
        <v>2746.56</v>
      </c>
      <c r="D1122">
        <v>171.29</v>
      </c>
      <c r="E1122">
        <v>1679.8</v>
      </c>
      <c r="F1122">
        <v>86.67</v>
      </c>
      <c r="G1122">
        <v>40.5</v>
      </c>
      <c r="H1122" s="12">
        <f t="shared" si="164"/>
        <v>63.721616124439024</v>
      </c>
      <c r="I1122" s="12">
        <f t="shared" si="165"/>
        <v>65.71851557062466</v>
      </c>
      <c r="J1122" s="12">
        <f t="shared" si="166"/>
        <v>91.053752163529353</v>
      </c>
      <c r="K1122" s="12">
        <f t="shared" si="167"/>
        <v>109.10460867086944</v>
      </c>
      <c r="P1122" s="12"/>
      <c r="Q1122" s="12"/>
      <c r="R1122" s="12"/>
      <c r="S1122" s="12"/>
      <c r="V1122">
        <v>0.286972938955318</v>
      </c>
      <c r="W1122" s="12"/>
      <c r="X1122" s="12"/>
      <c r="AY1122" t="str">
        <v>05/05/2020</v>
      </c>
      <c r="AZ1122">
        <v>47.1</v>
      </c>
      <c r="BA1122">
        <v>26</v>
      </c>
    </row>
    <row r="1123" spans="1:53" x14ac:dyDescent="0.3">
      <c r="A1123" s="11">
        <v>43897</v>
      </c>
      <c r="B1123">
        <v>0.30534351145038202</v>
      </c>
      <c r="C1123">
        <v>2972.37</v>
      </c>
      <c r="D1123">
        <v>166.77</v>
      </c>
      <c r="E1123">
        <v>1673.75</v>
      </c>
      <c r="F1123">
        <v>86.2</v>
      </c>
      <c r="G1123">
        <v>44.02</v>
      </c>
      <c r="H1123" s="12">
        <f t="shared" si="164"/>
        <v>71.044362997467388</v>
      </c>
      <c r="I1123" s="12">
        <f t="shared" si="165"/>
        <v>71.400908192954418</v>
      </c>
      <c r="J1123" s="12">
        <f t="shared" si="166"/>
        <v>99.124694643925295</v>
      </c>
      <c r="K1123" s="12">
        <f t="shared" si="167"/>
        <v>108.67058139793089</v>
      </c>
      <c r="P1123" s="12"/>
      <c r="Q1123" s="12"/>
      <c r="R1123" s="12"/>
      <c r="S1123" s="12"/>
      <c r="V1123">
        <v>0.29741650913673601</v>
      </c>
      <c r="W1123" s="12"/>
      <c r="X1123" s="12"/>
      <c r="AY1123" t="str">
        <v>04/05/2020</v>
      </c>
      <c r="AZ1123">
        <v>47.1</v>
      </c>
      <c r="BA1123">
        <v>26</v>
      </c>
    </row>
    <row r="1124" spans="1:53" x14ac:dyDescent="0.3">
      <c r="A1124" s="11">
        <v>43896</v>
      </c>
      <c r="B1124">
        <v>0.32051282051282098</v>
      </c>
      <c r="C1124">
        <v>3023.94</v>
      </c>
      <c r="D1124">
        <v>158.52000000000001</v>
      </c>
      <c r="E1124">
        <v>1672.35</v>
      </c>
      <c r="F1124">
        <v>86.1</v>
      </c>
      <c r="G1124">
        <v>44.67</v>
      </c>
      <c r="H1124" s="12">
        <f t="shared" si="164"/>
        <v>76.317753050024905</v>
      </c>
      <c r="I1124" s="12">
        <f t="shared" si="165"/>
        <v>72.701616827969659</v>
      </c>
      <c r="J1124" s="12">
        <f t="shared" si="166"/>
        <v>100.96378532957738</v>
      </c>
      <c r="K1124" s="12">
        <f t="shared" si="167"/>
        <v>108.94323984323975</v>
      </c>
      <c r="P1124" s="12"/>
      <c r="Q1124" s="12"/>
      <c r="R1124" s="12"/>
      <c r="S1124" s="12"/>
      <c r="V1124">
        <v>0.29968652037617599</v>
      </c>
      <c r="W1124" s="12"/>
      <c r="X1124" s="12"/>
      <c r="AY1124" t="str">
        <v>01/05/2020</v>
      </c>
      <c r="AZ1124">
        <v>48.1</v>
      </c>
      <c r="BA1124">
        <v>26.9</v>
      </c>
    </row>
    <row r="1125" spans="1:53" x14ac:dyDescent="0.3">
      <c r="A1125" s="11">
        <v>43895</v>
      </c>
      <c r="B1125">
        <v>0.33587786259542002</v>
      </c>
      <c r="C1125">
        <v>3130.12</v>
      </c>
      <c r="D1125">
        <v>154.66999999999999</v>
      </c>
      <c r="E1125">
        <v>1636.85</v>
      </c>
      <c r="F1125">
        <v>85.92</v>
      </c>
      <c r="G1125">
        <v>45.76</v>
      </c>
      <c r="H1125" s="12">
        <f t="shared" si="164"/>
        <v>81.086768098704113</v>
      </c>
      <c r="I1125" s="12">
        <f t="shared" si="165"/>
        <v>76.982622012233094</v>
      </c>
      <c r="J1125" s="12">
        <f t="shared" si="166"/>
        <v>104.73606352479705</v>
      </c>
      <c r="K1125" s="12">
        <f t="shared" si="167"/>
        <v>110.05502584922201</v>
      </c>
      <c r="P1125" s="12"/>
      <c r="Q1125" s="12"/>
      <c r="R1125" s="12"/>
      <c r="S1125" s="12"/>
      <c r="V1125">
        <v>0.30538172715894901</v>
      </c>
      <c r="W1125" s="12"/>
      <c r="X1125" s="12"/>
      <c r="AY1125" t="str">
        <v>30/04/2020</v>
      </c>
      <c r="AZ1125">
        <v>48.1</v>
      </c>
      <c r="BA1125">
        <v>26.9</v>
      </c>
    </row>
    <row r="1126" spans="1:53" x14ac:dyDescent="0.3">
      <c r="A1126" s="11">
        <v>43894</v>
      </c>
      <c r="B1126">
        <v>0.35025380710659898</v>
      </c>
      <c r="C1126">
        <v>3003.37</v>
      </c>
      <c r="D1126">
        <v>156.33000000000001</v>
      </c>
      <c r="E1126">
        <v>1640.75</v>
      </c>
      <c r="F1126">
        <v>85.905000000000001</v>
      </c>
      <c r="G1126">
        <v>44.7</v>
      </c>
      <c r="H1126" s="12">
        <f t="shared" si="164"/>
        <v>77.018558810683558</v>
      </c>
      <c r="I1126" s="12">
        <f t="shared" si="165"/>
        <v>73.697232254296424</v>
      </c>
      <c r="J1126" s="12">
        <f t="shared" si="166"/>
        <v>100.51175730535164</v>
      </c>
      <c r="K1126" s="12">
        <f t="shared" si="167"/>
        <v>108.05716281308</v>
      </c>
      <c r="P1126" s="12"/>
      <c r="Q1126" s="12"/>
      <c r="R1126" s="12"/>
      <c r="S1126" s="12"/>
      <c r="V1126">
        <v>0.30759493670886101</v>
      </c>
      <c r="W1126" s="12"/>
      <c r="X1126" s="12"/>
      <c r="AY1126" t="str">
        <v>29/04/2020</v>
      </c>
      <c r="AZ1126">
        <v>48.1</v>
      </c>
      <c r="BA1126">
        <v>26.9</v>
      </c>
    </row>
    <row r="1127" spans="1:53" x14ac:dyDescent="0.3">
      <c r="A1127" s="11">
        <v>43893</v>
      </c>
      <c r="B1127">
        <v>0.36363636363636398</v>
      </c>
      <c r="C1127">
        <v>3090.23</v>
      </c>
      <c r="D1127">
        <v>153.94</v>
      </c>
      <c r="E1127">
        <v>1589.55</v>
      </c>
      <c r="F1127">
        <v>85.57</v>
      </c>
      <c r="G1127">
        <v>44.99</v>
      </c>
      <c r="H1127" s="12">
        <f t="shared" si="164"/>
        <v>80.532469888397145</v>
      </c>
      <c r="I1127" s="12">
        <f t="shared" si="165"/>
        <v>78.427869104249609</v>
      </c>
      <c r="J1127" s="12">
        <f t="shared" si="166"/>
        <v>103.83691259830267</v>
      </c>
      <c r="K1127" s="12">
        <f t="shared" si="167"/>
        <v>110.44973189962587</v>
      </c>
      <c r="P1127" s="12"/>
      <c r="Q1127" s="12"/>
      <c r="R1127" s="12"/>
      <c r="S1127" s="12"/>
      <c r="V1127">
        <v>0.31344221105527598</v>
      </c>
      <c r="W1127" s="12"/>
      <c r="X1127" s="12"/>
      <c r="AY1127" t="str">
        <v>28/04/2020</v>
      </c>
      <c r="AZ1127">
        <v>48.1</v>
      </c>
      <c r="BA1127">
        <v>26.9</v>
      </c>
    </row>
    <row r="1128" spans="1:53" x14ac:dyDescent="0.3">
      <c r="A1128" s="11">
        <v>43890</v>
      </c>
      <c r="B1128">
        <v>0.67602040816326503</v>
      </c>
      <c r="C1128">
        <v>2954.22</v>
      </c>
      <c r="D1128">
        <v>155.31</v>
      </c>
      <c r="E1128">
        <v>1585.85</v>
      </c>
      <c r="F1128">
        <v>85.73</v>
      </c>
      <c r="G1128">
        <v>44.28</v>
      </c>
      <c r="H1128" s="12">
        <f t="shared" si="164"/>
        <v>76.344204478192239</v>
      </c>
      <c r="I1128" s="12">
        <f t="shared" si="165"/>
        <v>75.143634530803027</v>
      </c>
      <c r="J1128" s="12">
        <f t="shared" si="166"/>
        <v>99.089953882742506</v>
      </c>
      <c r="K1128" s="12">
        <f t="shared" si="167"/>
        <v>107.23223946701924</v>
      </c>
      <c r="P1128" s="12"/>
      <c r="Q1128" s="12"/>
      <c r="R1128" s="12"/>
      <c r="S1128" s="12"/>
      <c r="V1128">
        <v>0.41328175370728598</v>
      </c>
      <c r="W1128" s="12"/>
      <c r="X1128" s="12"/>
      <c r="AY1128" t="str">
        <v>27/04/2020</v>
      </c>
      <c r="AZ1128">
        <v>48.1</v>
      </c>
      <c r="BA1128">
        <v>26.9</v>
      </c>
    </row>
    <row r="1129" spans="1:53" x14ac:dyDescent="0.3">
      <c r="A1129" s="11">
        <v>43889</v>
      </c>
      <c r="B1129">
        <v>0.67587939698492505</v>
      </c>
      <c r="C1129">
        <v>2978.76</v>
      </c>
      <c r="D1129">
        <v>151.88</v>
      </c>
      <c r="E1129">
        <v>1644.8</v>
      </c>
      <c r="F1129">
        <v>85.42</v>
      </c>
      <c r="G1129">
        <v>44.55</v>
      </c>
      <c r="H1129" s="12">
        <f t="shared" si="164"/>
        <v>78.77211433277742</v>
      </c>
      <c r="I1129" s="12">
        <f t="shared" si="165"/>
        <v>73.125239254309875</v>
      </c>
      <c r="J1129" s="12">
        <f t="shared" si="166"/>
        <v>100.28002243875264</v>
      </c>
      <c r="K1129" s="12">
        <f t="shared" si="167"/>
        <v>107.46627105421248</v>
      </c>
      <c r="P1129" s="12"/>
      <c r="Q1129" s="12"/>
      <c r="R1129" s="12"/>
      <c r="S1129" s="12"/>
      <c r="V1129">
        <v>0.411498708010336</v>
      </c>
      <c r="W1129" s="12"/>
      <c r="X1129" s="12"/>
      <c r="AY1129" t="str">
        <v>24/04/2020</v>
      </c>
      <c r="AZ1129">
        <v>46.6</v>
      </c>
      <c r="BA1129">
        <v>29.1</v>
      </c>
    </row>
    <row r="1130" spans="1:53" x14ac:dyDescent="0.3">
      <c r="A1130" s="11">
        <v>43888</v>
      </c>
      <c r="B1130">
        <v>0.65569620253164596</v>
      </c>
      <c r="C1130">
        <v>3116.39</v>
      </c>
      <c r="D1130">
        <v>150.25</v>
      </c>
      <c r="E1130">
        <v>1640.95</v>
      </c>
      <c r="F1130">
        <v>85.32</v>
      </c>
      <c r="G1130">
        <v>45.88</v>
      </c>
      <c r="H1130" s="12">
        <f t="shared" si="164"/>
        <v>83.3577812901177</v>
      </c>
      <c r="I1130" s="12">
        <f t="shared" si="165"/>
        <v>76.69215137797616</v>
      </c>
      <c r="J1130" s="12">
        <f t="shared" si="166"/>
        <v>105.04214338735582</v>
      </c>
      <c r="K1130" s="12">
        <f t="shared" si="167"/>
        <v>109.12215751844185</v>
      </c>
      <c r="P1130" s="12"/>
      <c r="Q1130" s="12"/>
      <c r="R1130" s="12"/>
      <c r="S1130" s="12"/>
      <c r="V1130">
        <v>0.41268803139306698</v>
      </c>
      <c r="W1130" s="12"/>
      <c r="X1130" s="12"/>
      <c r="AY1130" t="str">
        <v>23/04/2020</v>
      </c>
      <c r="AZ1130">
        <v>46.6</v>
      </c>
      <c r="BA1130">
        <v>29.1</v>
      </c>
    </row>
    <row r="1131" spans="1:53" x14ac:dyDescent="0.3">
      <c r="A1131" s="11">
        <v>43887</v>
      </c>
      <c r="B1131">
        <v>0.65038560411311097</v>
      </c>
      <c r="C1131">
        <v>3128.21</v>
      </c>
      <c r="D1131">
        <v>151.05000000000001</v>
      </c>
      <c r="E1131">
        <v>1634.95</v>
      </c>
      <c r="F1131">
        <v>85.26</v>
      </c>
      <c r="G1131">
        <v>45.73</v>
      </c>
      <c r="H1131" s="12">
        <f t="shared" si="164"/>
        <v>83.231457510284429</v>
      </c>
      <c r="I1131" s="12">
        <f t="shared" si="165"/>
        <v>77.267668457036564</v>
      </c>
      <c r="J1131" s="12">
        <f t="shared" si="166"/>
        <v>105.51508823049284</v>
      </c>
      <c r="K1131" s="12">
        <f t="shared" si="167"/>
        <v>109.89788726930163</v>
      </c>
      <c r="P1131" s="12"/>
      <c r="Q1131" s="12"/>
      <c r="R1131" s="12"/>
      <c r="S1131" s="12"/>
      <c r="V1131">
        <v>0.41121495327102803</v>
      </c>
      <c r="W1131" s="12"/>
      <c r="X1131" s="12"/>
      <c r="AY1131" t="str">
        <v>22/04/2020</v>
      </c>
      <c r="AZ1131">
        <v>46.6</v>
      </c>
      <c r="BA1131">
        <v>29.1</v>
      </c>
    </row>
    <row r="1132" spans="1:53" x14ac:dyDescent="0.3">
      <c r="A1132" s="11">
        <v>43886</v>
      </c>
      <c r="B1132">
        <v>0.64766839378238295</v>
      </c>
      <c r="C1132">
        <v>3225.89</v>
      </c>
      <c r="D1132">
        <v>150.25</v>
      </c>
      <c r="E1132">
        <v>1659.25</v>
      </c>
      <c r="F1132">
        <v>85.17</v>
      </c>
      <c r="G1132">
        <v>46.4</v>
      </c>
      <c r="H1132" s="12">
        <f t="shared" si="164"/>
        <v>86.304275943989182</v>
      </c>
      <c r="I1132" s="12">
        <f t="shared" si="165"/>
        <v>78.494924412841968</v>
      </c>
      <c r="J1132" s="12">
        <f t="shared" si="166"/>
        <v>108.92855241551429</v>
      </c>
      <c r="K1132" s="12">
        <f t="shared" si="167"/>
        <v>111.66672851320128</v>
      </c>
      <c r="P1132" s="12"/>
      <c r="Q1132" s="12"/>
      <c r="R1132" s="12"/>
      <c r="S1132" s="12"/>
      <c r="V1132">
        <v>0.41778975741239899</v>
      </c>
      <c r="W1132" s="12"/>
      <c r="X1132" s="12"/>
      <c r="AY1132" t="str">
        <v>21/04/2020</v>
      </c>
      <c r="AZ1132">
        <v>46.6</v>
      </c>
      <c r="BA1132">
        <v>29.1</v>
      </c>
    </row>
    <row r="1133" spans="1:53" x14ac:dyDescent="0.3">
      <c r="A1133" s="11">
        <v>43883</v>
      </c>
      <c r="B1133">
        <v>0.65625</v>
      </c>
      <c r="C1133">
        <v>3337.75</v>
      </c>
      <c r="D1133">
        <v>148.04</v>
      </c>
      <c r="E1133">
        <v>1643.45</v>
      </c>
      <c r="F1133">
        <v>85.03</v>
      </c>
      <c r="G1133">
        <v>48.18</v>
      </c>
      <c r="H1133" s="12">
        <f t="shared" si="164"/>
        <v>90.697861021762691</v>
      </c>
      <c r="I1133" s="12">
        <f t="shared" si="165"/>
        <v>82.032795131855138</v>
      </c>
      <c r="J1133" s="12">
        <f t="shared" si="166"/>
        <v>112.89805622369801</v>
      </c>
      <c r="K1133" s="12">
        <f t="shared" si="167"/>
        <v>111.28488826284898</v>
      </c>
      <c r="P1133" s="12"/>
      <c r="Q1133" s="12"/>
      <c r="R1133" s="12"/>
      <c r="S1133" s="12"/>
      <c r="V1133">
        <v>0.41008626410086302</v>
      </c>
      <c r="W1133" s="12"/>
      <c r="X1133" s="12"/>
      <c r="AY1133" t="str">
        <v>20/04/2020</v>
      </c>
      <c r="AZ1133">
        <v>46.6</v>
      </c>
      <c r="BA1133">
        <v>29.1</v>
      </c>
    </row>
    <row r="1134" spans="1:53" x14ac:dyDescent="0.3">
      <c r="A1134" s="11">
        <v>43882</v>
      </c>
      <c r="B1134">
        <v>0.66097560975609804</v>
      </c>
      <c r="C1134">
        <v>3373.23</v>
      </c>
      <c r="D1134">
        <v>146.66999999999999</v>
      </c>
      <c r="E1134">
        <v>1619.8</v>
      </c>
      <c r="F1134">
        <v>84.96</v>
      </c>
      <c r="G1134">
        <v>48.43</v>
      </c>
      <c r="H1134" s="12">
        <f t="shared" si="164"/>
        <v>92.535505635447606</v>
      </c>
      <c r="I1134" s="12">
        <f t="shared" si="165"/>
        <v>84.146442416702129</v>
      </c>
      <c r="J1134" s="12">
        <f t="shared" si="166"/>
        <v>114.19323889615191</v>
      </c>
      <c r="K1134" s="12">
        <f t="shared" si="167"/>
        <v>111.88414186842955</v>
      </c>
      <c r="P1134" s="12"/>
      <c r="Q1134" s="12"/>
      <c r="R1134" s="12"/>
      <c r="S1134" s="12"/>
      <c r="V1134">
        <v>0.40878828229028003</v>
      </c>
      <c r="W1134" s="12"/>
      <c r="X1134" s="12"/>
      <c r="AY1134" t="str">
        <v>17/04/2020</v>
      </c>
      <c r="AZ1134">
        <v>43.3</v>
      </c>
      <c r="BA1134">
        <v>30.8</v>
      </c>
    </row>
    <row r="1135" spans="1:53" x14ac:dyDescent="0.3">
      <c r="A1135" s="11">
        <v>43881</v>
      </c>
      <c r="B1135">
        <v>0.66331658291457296</v>
      </c>
      <c r="C1135">
        <v>3386.15</v>
      </c>
      <c r="D1135">
        <v>145.53</v>
      </c>
      <c r="E1135">
        <v>1611.4</v>
      </c>
      <c r="F1135">
        <v>84.94</v>
      </c>
      <c r="G1135">
        <v>48.83</v>
      </c>
      <c r="H1135" s="12">
        <f t="shared" si="164"/>
        <v>93.6261547582845</v>
      </c>
      <c r="I1135" s="12">
        <f t="shared" si="165"/>
        <v>84.913071687337521</v>
      </c>
      <c r="J1135" s="12">
        <f t="shared" si="166"/>
        <v>114.65771766015075</v>
      </c>
      <c r="K1135" s="12">
        <f t="shared" si="167"/>
        <v>111.39665421176295</v>
      </c>
      <c r="P1135" s="12"/>
      <c r="Q1135" s="12"/>
      <c r="R1135" s="12"/>
      <c r="S1135" s="12"/>
      <c r="V1135">
        <v>0.40146471371504699</v>
      </c>
      <c r="W1135" s="12"/>
      <c r="X1135" s="12"/>
      <c r="AY1135" t="str">
        <v>16/04/2020</v>
      </c>
      <c r="AZ1135">
        <v>43.3</v>
      </c>
      <c r="BA1135">
        <v>30.8</v>
      </c>
    </row>
    <row r="1136" spans="1:53" x14ac:dyDescent="0.3">
      <c r="A1136" s="11">
        <v>43880</v>
      </c>
      <c r="B1136">
        <v>0.65809768637532096</v>
      </c>
      <c r="C1136">
        <v>3370.29</v>
      </c>
      <c r="D1136">
        <v>145.54</v>
      </c>
      <c r="E1136">
        <v>1601.45</v>
      </c>
      <c r="F1136">
        <v>84.93</v>
      </c>
      <c r="G1136">
        <v>48.58</v>
      </c>
      <c r="H1136" s="12">
        <f t="shared" si="164"/>
        <v>93.18125747738496</v>
      </c>
      <c r="I1136" s="12">
        <f t="shared" si="165"/>
        <v>85.041253761853369</v>
      </c>
      <c r="J1136" s="12">
        <f t="shared" si="166"/>
        <v>114.13406117403942</v>
      </c>
      <c r="K1136" s="12">
        <f t="shared" si="167"/>
        <v>111.4457264596261</v>
      </c>
      <c r="P1136" s="12"/>
      <c r="Q1136" s="12"/>
      <c r="R1136" s="12"/>
      <c r="S1136" s="12"/>
      <c r="V1136">
        <v>0.40080699394754499</v>
      </c>
      <c r="W1136" s="12"/>
      <c r="X1136" s="12"/>
      <c r="AY1136" t="str">
        <v>15/04/2020</v>
      </c>
      <c r="AZ1136">
        <v>43.3</v>
      </c>
      <c r="BA1136">
        <v>30.8</v>
      </c>
    </row>
    <row r="1137" spans="1:53" x14ac:dyDescent="0.3">
      <c r="A1137" s="11">
        <v>43876</v>
      </c>
      <c r="B1137">
        <v>0.66331658291457296</v>
      </c>
      <c r="C1137">
        <v>3380.16</v>
      </c>
      <c r="D1137">
        <v>144.55000000000001</v>
      </c>
      <c r="E1137">
        <v>1583.8</v>
      </c>
      <c r="F1137">
        <v>84.894999999999996</v>
      </c>
      <c r="G1137">
        <v>48.91</v>
      </c>
      <c r="H1137" s="12">
        <f t="shared" si="164"/>
        <v>94.100508534265458</v>
      </c>
      <c r="I1137" s="12">
        <f t="shared" si="165"/>
        <v>86.254340321677091</v>
      </c>
      <c r="J1137" s="12">
        <f t="shared" si="166"/>
        <v>114.51565644027593</v>
      </c>
      <c r="K1137" s="12">
        <f t="shared" si="167"/>
        <v>111.02083790411383</v>
      </c>
      <c r="P1137" s="12"/>
      <c r="Q1137" s="12"/>
      <c r="R1137" s="12"/>
      <c r="S1137" s="12"/>
      <c r="V1137">
        <v>0.41176470588235298</v>
      </c>
      <c r="W1137" s="12"/>
      <c r="X1137" s="12"/>
      <c r="AY1137" t="str">
        <v>14/04/2020</v>
      </c>
      <c r="AZ1137">
        <v>43.3</v>
      </c>
      <c r="BA1137">
        <v>30.8</v>
      </c>
    </row>
    <row r="1138" spans="1:53" x14ac:dyDescent="0.3">
      <c r="A1138" s="11">
        <v>43875</v>
      </c>
      <c r="B1138">
        <v>0.655612244897959</v>
      </c>
      <c r="C1138">
        <v>3373.94</v>
      </c>
      <c r="D1138">
        <v>143.91999999999999</v>
      </c>
      <c r="E1138">
        <v>1576.05</v>
      </c>
      <c r="F1138">
        <v>84.86</v>
      </c>
      <c r="G1138">
        <v>48.93</v>
      </c>
      <c r="H1138" s="12">
        <f t="shared" si="164"/>
        <v>94.339554582085299</v>
      </c>
      <c r="I1138" s="12">
        <f t="shared" si="165"/>
        <v>86.520287654682619</v>
      </c>
      <c r="J1138" s="12">
        <f t="shared" si="166"/>
        <v>114.35200751716889</v>
      </c>
      <c r="K1138" s="12">
        <f t="shared" si="167"/>
        <v>110.77134879580922</v>
      </c>
      <c r="P1138" s="12"/>
      <c r="Q1138" s="12"/>
      <c r="R1138" s="12"/>
      <c r="S1138" s="12"/>
      <c r="V1138">
        <v>0.41683366733466898</v>
      </c>
      <c r="W1138" s="12"/>
      <c r="X1138" s="12"/>
      <c r="AY1138" t="str">
        <v>13/04/2020</v>
      </c>
      <c r="AZ1138">
        <v>43.3</v>
      </c>
      <c r="BA1138">
        <v>30.8</v>
      </c>
    </row>
    <row r="1139" spans="1:53" x14ac:dyDescent="0.3">
      <c r="A1139" s="11">
        <v>43874</v>
      </c>
      <c r="B1139">
        <v>0.66052631578947396</v>
      </c>
      <c r="C1139">
        <v>3379.45</v>
      </c>
      <c r="D1139">
        <v>143.37</v>
      </c>
      <c r="E1139">
        <v>1565.9</v>
      </c>
      <c r="F1139">
        <v>84.84</v>
      </c>
      <c r="G1139">
        <v>49.36</v>
      </c>
      <c r="H1139" s="12">
        <f t="shared" si="164"/>
        <v>94.858112653371961</v>
      </c>
      <c r="I1139" s="12">
        <f t="shared" si="165"/>
        <v>87.227909962448024</v>
      </c>
      <c r="J1139" s="12">
        <f t="shared" si="166"/>
        <v>114.56580801502298</v>
      </c>
      <c r="K1139" s="12">
        <f t="shared" si="167"/>
        <v>109.9924849189029</v>
      </c>
      <c r="P1139" s="12"/>
      <c r="Q1139" s="12"/>
      <c r="R1139" s="12"/>
      <c r="S1139" s="12"/>
      <c r="V1139">
        <v>0.41353887399463801</v>
      </c>
      <c r="W1139" s="12"/>
      <c r="X1139" s="12"/>
      <c r="AY1139" t="str">
        <v>10/04/2020</v>
      </c>
      <c r="AZ1139">
        <v>40.9</v>
      </c>
      <c r="BA1139">
        <v>32.4</v>
      </c>
    </row>
    <row r="1140" spans="1:53" x14ac:dyDescent="0.3">
      <c r="A1140" s="11">
        <v>43873</v>
      </c>
      <c r="B1140">
        <v>0.64973262032085599</v>
      </c>
      <c r="C1140">
        <v>3357.75</v>
      </c>
      <c r="D1140">
        <v>144.1</v>
      </c>
      <c r="E1140">
        <v>1568</v>
      </c>
      <c r="F1140">
        <v>84.88</v>
      </c>
      <c r="G1140">
        <v>49</v>
      </c>
      <c r="H1140" s="12">
        <f t="shared" si="164"/>
        <v>93.776996350328204</v>
      </c>
      <c r="I1140" s="12">
        <f t="shared" si="165"/>
        <v>86.552630947114991</v>
      </c>
      <c r="J1140" s="12">
        <f t="shared" si="166"/>
        <v>113.77688879123113</v>
      </c>
      <c r="K1140" s="12">
        <f t="shared" si="167"/>
        <v>110.08983491233204</v>
      </c>
      <c r="P1140" s="12"/>
      <c r="Q1140" s="12"/>
      <c r="R1140" s="12"/>
      <c r="S1140" s="12"/>
      <c r="V1140">
        <v>0.403924221921516</v>
      </c>
      <c r="W1140" s="12"/>
      <c r="X1140" s="12"/>
      <c r="AY1140" t="str">
        <v>09/04/2020</v>
      </c>
      <c r="AZ1140">
        <v>40.9</v>
      </c>
      <c r="BA1140">
        <v>32.4</v>
      </c>
    </row>
    <row r="1141" spans="1:53" x14ac:dyDescent="0.3">
      <c r="A1141" s="11">
        <v>43872</v>
      </c>
      <c r="B1141">
        <v>0.64577656675749295</v>
      </c>
      <c r="C1141">
        <v>3352.09</v>
      </c>
      <c r="D1141">
        <v>144.83000000000001</v>
      </c>
      <c r="E1141">
        <v>1572.15</v>
      </c>
      <c r="F1141">
        <v>84.92</v>
      </c>
      <c r="G1141">
        <v>48.66</v>
      </c>
      <c r="H1141" s="12">
        <f t="shared" si="164"/>
        <v>93.150198815766529</v>
      </c>
      <c r="I1141" s="12">
        <f t="shared" si="165"/>
        <v>86.17962861918798</v>
      </c>
      <c r="J1141" s="12">
        <f t="shared" si="166"/>
        <v>113.53171360702675</v>
      </c>
      <c r="K1141" s="12">
        <f t="shared" si="167"/>
        <v>110.67628193606349</v>
      </c>
      <c r="P1141" s="12"/>
      <c r="Q1141" s="12"/>
      <c r="R1141" s="12"/>
      <c r="S1141" s="12"/>
      <c r="V1141">
        <v>0.405149051490515</v>
      </c>
      <c r="W1141" s="12"/>
      <c r="X1141" s="12"/>
      <c r="AY1141" t="str">
        <v>08/04/2020</v>
      </c>
      <c r="AZ1141">
        <v>40.9</v>
      </c>
      <c r="BA1141">
        <v>32.4</v>
      </c>
    </row>
    <row r="1142" spans="1:53" x14ac:dyDescent="0.3">
      <c r="A1142" s="11">
        <v>43869</v>
      </c>
      <c r="B1142">
        <v>0.62933333333333297</v>
      </c>
      <c r="C1142">
        <v>3327.71</v>
      </c>
      <c r="D1142">
        <v>144.43</v>
      </c>
      <c r="E1142">
        <v>1574.85</v>
      </c>
      <c r="F1142">
        <v>84.88</v>
      </c>
      <c r="G1142">
        <v>48.52</v>
      </c>
      <c r="H1142" s="12">
        <f t="shared" si="164"/>
        <v>92.727652640416693</v>
      </c>
      <c r="I1142" s="12">
        <f t="shared" si="165"/>
        <v>85.407475978950544</v>
      </c>
      <c r="J1142" s="12">
        <f t="shared" si="166"/>
        <v>112.7587404847222</v>
      </c>
      <c r="K1142" s="12">
        <f t="shared" si="167"/>
        <v>110.18694704944633</v>
      </c>
      <c r="P1142" s="12"/>
      <c r="Q1142" s="12"/>
      <c r="R1142" s="12"/>
      <c r="S1142" s="12"/>
      <c r="V1142">
        <v>0.41071428571428598</v>
      </c>
      <c r="W1142" s="12"/>
      <c r="X1142" s="12"/>
      <c r="AY1142" t="str">
        <v>07/04/2020</v>
      </c>
      <c r="AZ1142">
        <v>40.9</v>
      </c>
      <c r="BA1142">
        <v>32.4</v>
      </c>
    </row>
    <row r="1143" spans="1:53" x14ac:dyDescent="0.3">
      <c r="A1143" s="11">
        <v>43868</v>
      </c>
      <c r="B1143">
        <v>0.62162162162162204</v>
      </c>
      <c r="C1143">
        <v>3345.78</v>
      </c>
      <c r="D1143">
        <v>142.65</v>
      </c>
      <c r="E1143">
        <v>1566.45</v>
      </c>
      <c r="F1143">
        <v>84.83</v>
      </c>
      <c r="G1143">
        <v>49.02</v>
      </c>
      <c r="H1143" s="12">
        <f t="shared" si="164"/>
        <v>94.415704076279127</v>
      </c>
      <c r="I1143" s="12">
        <f t="shared" si="165"/>
        <v>86.336742253757635</v>
      </c>
      <c r="J1143" s="12">
        <f t="shared" si="166"/>
        <v>113.43826375044613</v>
      </c>
      <c r="K1143" s="12">
        <f t="shared" si="167"/>
        <v>109.6606761312364</v>
      </c>
      <c r="P1143" s="12"/>
      <c r="Q1143" s="12"/>
      <c r="R1143" s="12"/>
      <c r="S1143" s="12"/>
      <c r="V1143">
        <v>0.41849634065202901</v>
      </c>
      <c r="W1143" s="12"/>
      <c r="X1143" s="12"/>
      <c r="AY1143" t="str">
        <v>06/04/2020</v>
      </c>
      <c r="AZ1143">
        <v>40.9</v>
      </c>
      <c r="BA1143">
        <v>32.4</v>
      </c>
    </row>
    <row r="1144" spans="1:53" x14ac:dyDescent="0.3">
      <c r="A1144" s="11">
        <v>43867</v>
      </c>
      <c r="B1144">
        <v>0.60821917808219195</v>
      </c>
      <c r="C1144">
        <v>3334.69</v>
      </c>
      <c r="D1144">
        <v>142.01</v>
      </c>
      <c r="E1144">
        <v>1556.25</v>
      </c>
      <c r="F1144">
        <v>84.81</v>
      </c>
      <c r="G1144">
        <v>48.89</v>
      </c>
      <c r="H1144" s="12">
        <f t="shared" si="164"/>
        <v>94.527348287123232</v>
      </c>
      <c r="I1144" s="12">
        <f t="shared" si="165"/>
        <v>86.616389365099977</v>
      </c>
      <c r="J1144" s="12">
        <f t="shared" si="166"/>
        <v>113.08883900422416</v>
      </c>
      <c r="K1144" s="12">
        <f t="shared" si="167"/>
        <v>109.58762326977265</v>
      </c>
      <c r="P1144" s="12"/>
      <c r="Q1144" s="12"/>
      <c r="R1144" s="12"/>
      <c r="S1144" s="12"/>
      <c r="V1144">
        <v>0.420629604822505</v>
      </c>
      <c r="W1144" s="12"/>
      <c r="X1144" s="12"/>
      <c r="AY1144" t="str">
        <v>03/04/2020</v>
      </c>
      <c r="AZ1144">
        <v>33.299999999999997</v>
      </c>
      <c r="BA1144">
        <v>36.200000000000003</v>
      </c>
    </row>
    <row r="1145" spans="1:53" x14ac:dyDescent="0.3">
      <c r="A1145" s="11">
        <v>43866</v>
      </c>
      <c r="B1145">
        <v>0.60393258426966301</v>
      </c>
      <c r="C1145">
        <v>3297.59</v>
      </c>
      <c r="D1145">
        <v>143.58000000000001</v>
      </c>
      <c r="E1145">
        <v>1552.65</v>
      </c>
      <c r="F1145">
        <v>84.87</v>
      </c>
      <c r="G1145">
        <v>48.47</v>
      </c>
      <c r="H1145" s="12">
        <f t="shared" si="164"/>
        <v>92.475745104789212</v>
      </c>
      <c r="I1145" s="12">
        <f t="shared" si="165"/>
        <v>85.849578861122225</v>
      </c>
      <c r="J1145" s="12">
        <f t="shared" si="166"/>
        <v>111.75254628619189</v>
      </c>
      <c r="K1145" s="12">
        <f t="shared" si="167"/>
        <v>109.30501657954873</v>
      </c>
      <c r="P1145" s="12"/>
      <c r="Q1145" s="12"/>
      <c r="R1145" s="12"/>
      <c r="S1145" s="12"/>
      <c r="V1145">
        <v>0.42001361470387999</v>
      </c>
      <c r="W1145" s="12"/>
      <c r="X1145" s="12"/>
      <c r="AY1145" t="str">
        <v>02/04/2020</v>
      </c>
      <c r="AZ1145">
        <v>33.299999999999997</v>
      </c>
      <c r="BA1145">
        <v>36.200000000000003</v>
      </c>
    </row>
    <row r="1146" spans="1:53" x14ac:dyDescent="0.3">
      <c r="A1146" s="11">
        <v>43865</v>
      </c>
      <c r="B1146">
        <v>0.59826589595375701</v>
      </c>
      <c r="C1146">
        <v>3248.92</v>
      </c>
      <c r="D1146">
        <v>145.54</v>
      </c>
      <c r="E1146">
        <v>1576.85</v>
      </c>
      <c r="F1146">
        <v>84.96</v>
      </c>
      <c r="G1146">
        <v>47.57</v>
      </c>
      <c r="H1146" s="12">
        <f t="shared" si="164"/>
        <v>89.917812556853249</v>
      </c>
      <c r="I1146" s="12">
        <f t="shared" si="165"/>
        <v>83.322619179269608</v>
      </c>
      <c r="J1146" s="12">
        <f t="shared" si="166"/>
        <v>109.98836754579533</v>
      </c>
      <c r="K1146" s="12">
        <f t="shared" si="167"/>
        <v>109.7372853943635</v>
      </c>
      <c r="P1146" s="12"/>
      <c r="Q1146" s="12"/>
      <c r="R1146" s="12"/>
      <c r="S1146" s="12"/>
      <c r="V1146">
        <v>0.42026009582477802</v>
      </c>
      <c r="W1146" s="12"/>
      <c r="X1146" s="12"/>
      <c r="AY1146" t="str">
        <v>01/04/2020</v>
      </c>
      <c r="AZ1146">
        <v>33.299999999999997</v>
      </c>
      <c r="BA1146">
        <v>36.200000000000003</v>
      </c>
    </row>
    <row r="1147" spans="1:53" x14ac:dyDescent="0.3">
      <c r="A1147" s="11">
        <v>43861</v>
      </c>
      <c r="B1147">
        <v>0.61807580174927101</v>
      </c>
      <c r="C1147">
        <v>3225.52</v>
      </c>
      <c r="D1147">
        <v>145.9</v>
      </c>
      <c r="E1147">
        <v>1589.65</v>
      </c>
      <c r="F1147">
        <v>85.12</v>
      </c>
      <c r="G1147">
        <v>47.44</v>
      </c>
      <c r="H1147" s="12">
        <f t="shared" si="164"/>
        <v>89.05204080919637</v>
      </c>
      <c r="I1147" s="12">
        <f t="shared" si="165"/>
        <v>82.066450091304972</v>
      </c>
      <c r="J1147" s="12">
        <f t="shared" si="166"/>
        <v>108.99278996751104</v>
      </c>
      <c r="K1147" s="12">
        <f t="shared" si="167"/>
        <v>109.24412021937962</v>
      </c>
      <c r="P1147" s="12"/>
      <c r="Q1147" s="12"/>
      <c r="R1147" s="12"/>
      <c r="S1147" s="12"/>
      <c r="V1147">
        <v>0.42116040955631401</v>
      </c>
      <c r="W1147" s="12"/>
      <c r="X1147" s="12"/>
      <c r="AY1147" t="str">
        <v>31/03/2020</v>
      </c>
      <c r="AZ1147">
        <v>33.299999999999997</v>
      </c>
      <c r="BA1147">
        <v>36.200000000000003</v>
      </c>
    </row>
    <row r="1148" spans="1:53" x14ac:dyDescent="0.3">
      <c r="A1148" s="11">
        <v>43861</v>
      </c>
      <c r="B1148">
        <v>0.60606060606060597</v>
      </c>
      <c r="C1148">
        <v>3283.66</v>
      </c>
      <c r="D1148">
        <v>144.58000000000001</v>
      </c>
      <c r="E1148">
        <v>1574</v>
      </c>
      <c r="F1148">
        <v>85.01</v>
      </c>
      <c r="G1148">
        <v>48.23</v>
      </c>
      <c r="H1148" s="12">
        <f t="shared" si="164"/>
        <v>91.507718714841388</v>
      </c>
      <c r="I1148" s="12">
        <f t="shared" si="165"/>
        <v>84.399998077699394</v>
      </c>
      <c r="J1148" s="12">
        <f t="shared" si="166"/>
        <v>111.10374082582196</v>
      </c>
      <c r="K1148" s="12">
        <f t="shared" si="167"/>
        <v>109.38917092151461</v>
      </c>
      <c r="P1148" s="12"/>
      <c r="Q1148" s="12"/>
      <c r="R1148" s="12"/>
      <c r="S1148" s="12"/>
      <c r="V1148">
        <v>0.423553719008264</v>
      </c>
      <c r="W1148" s="12"/>
      <c r="X1148" s="12"/>
      <c r="AY1148" t="str">
        <v>30/03/2020</v>
      </c>
      <c r="AZ1148">
        <v>33.299999999999997</v>
      </c>
      <c r="BA1148">
        <v>36.200000000000003</v>
      </c>
    </row>
    <row r="1149" spans="1:53" x14ac:dyDescent="0.3">
      <c r="A1149" s="11">
        <v>43860</v>
      </c>
      <c r="B1149">
        <v>0.56050955414012704</v>
      </c>
      <c r="C1149">
        <v>3273.4</v>
      </c>
      <c r="D1149">
        <v>144.56</v>
      </c>
      <c r="E1149">
        <v>1577.05</v>
      </c>
      <c r="F1149">
        <v>85</v>
      </c>
      <c r="G1149">
        <v>48.42</v>
      </c>
      <c r="H1149" s="12">
        <f t="shared" si="164"/>
        <v>91.234380068938776</v>
      </c>
      <c r="I1149" s="12">
        <f t="shared" si="165"/>
        <v>83.974386797140014</v>
      </c>
      <c r="J1149" s="12">
        <f t="shared" si="166"/>
        <v>110.76958127107523</v>
      </c>
      <c r="K1149" s="12">
        <f t="shared" si="167"/>
        <v>108.62247503346822</v>
      </c>
      <c r="P1149" s="12"/>
      <c r="Q1149" s="12"/>
      <c r="R1149" s="12"/>
      <c r="S1149" s="12"/>
      <c r="V1149">
        <v>0.42422145328719701</v>
      </c>
      <c r="W1149" s="12"/>
      <c r="X1149" s="12"/>
      <c r="AY1149" t="str">
        <v>27/03/2020</v>
      </c>
      <c r="AZ1149">
        <v>31.4</v>
      </c>
      <c r="BA1149">
        <v>36.299999999999997</v>
      </c>
    </row>
    <row r="1150" spans="1:53" x14ac:dyDescent="0.3">
      <c r="A1150" s="11">
        <v>43859</v>
      </c>
      <c r="B1150">
        <v>0.52980132450331097</v>
      </c>
      <c r="C1150">
        <v>3276.24</v>
      </c>
      <c r="D1150">
        <v>143.16</v>
      </c>
      <c r="E1150">
        <v>1567.2</v>
      </c>
      <c r="F1150">
        <v>84.92</v>
      </c>
      <c r="G1150">
        <v>48.39</v>
      </c>
      <c r="H1150" s="12">
        <f t="shared" si="164"/>
        <v>92.216123554064055</v>
      </c>
      <c r="I1150" s="12">
        <f t="shared" si="165"/>
        <v>84.579292977794822</v>
      </c>
      <c r="J1150" s="12">
        <f t="shared" si="166"/>
        <v>110.97031663979594</v>
      </c>
      <c r="K1150" s="12">
        <f t="shared" si="167"/>
        <v>108.78421651224416</v>
      </c>
      <c r="P1150" s="12"/>
      <c r="Q1150" s="12"/>
      <c r="R1150" s="12"/>
      <c r="S1150" s="12"/>
      <c r="V1150">
        <v>0.42307692307692302</v>
      </c>
      <c r="W1150" s="12"/>
      <c r="X1150" s="12"/>
      <c r="AY1150" t="str">
        <v>26/03/2020</v>
      </c>
      <c r="AZ1150">
        <v>31.4</v>
      </c>
      <c r="BA1150">
        <v>36.299999999999997</v>
      </c>
    </row>
    <row r="1151" spans="1:53" x14ac:dyDescent="0.3">
      <c r="A1151" s="11">
        <v>43858</v>
      </c>
      <c r="B1151">
        <v>0.52920962199312704</v>
      </c>
      <c r="C1151">
        <v>3243.63</v>
      </c>
      <c r="D1151">
        <v>144.29</v>
      </c>
      <c r="E1151">
        <v>1581.85</v>
      </c>
      <c r="F1151">
        <v>84.96</v>
      </c>
      <c r="G1151">
        <v>47.97</v>
      </c>
      <c r="H1151" s="12">
        <f t="shared" si="164"/>
        <v>90.595817212378321</v>
      </c>
      <c r="I1151" s="12">
        <f t="shared" si="165"/>
        <v>82.976611421564556</v>
      </c>
      <c r="J1151" s="12">
        <f t="shared" si="166"/>
        <v>109.81458827989859</v>
      </c>
      <c r="K1151" s="12">
        <f t="shared" si="167"/>
        <v>108.64318907610379</v>
      </c>
      <c r="P1151" s="12"/>
      <c r="Q1151" s="12"/>
      <c r="R1151" s="12"/>
      <c r="S1151" s="12"/>
      <c r="V1151">
        <v>0.42464788732394398</v>
      </c>
      <c r="W1151" s="12"/>
      <c r="X1151" s="12"/>
      <c r="AY1151" t="str">
        <v>25/03/2020</v>
      </c>
      <c r="AZ1151">
        <v>31.4</v>
      </c>
      <c r="BA1151">
        <v>36.299999999999997</v>
      </c>
    </row>
    <row r="1152" spans="1:53" x14ac:dyDescent="0.3">
      <c r="A1152" s="11">
        <v>43855</v>
      </c>
      <c r="B1152">
        <v>0.52447552447552404</v>
      </c>
      <c r="C1152">
        <v>3295.47</v>
      </c>
      <c r="D1152">
        <v>142.08000000000001</v>
      </c>
      <c r="E1152">
        <v>1571.85</v>
      </c>
      <c r="F1152">
        <v>84.87</v>
      </c>
      <c r="G1152">
        <v>49.1</v>
      </c>
      <c r="H1152" s="12">
        <f t="shared" si="164"/>
        <v>93.521670927747635</v>
      </c>
      <c r="I1152" s="12">
        <f t="shared" si="165"/>
        <v>84.851196237316643</v>
      </c>
      <c r="J1152" s="12">
        <f t="shared" si="166"/>
        <v>111.68998943864996</v>
      </c>
      <c r="K1152" s="12">
        <f t="shared" si="167"/>
        <v>107.85760050191431</v>
      </c>
      <c r="P1152" s="12"/>
      <c r="Q1152" s="12"/>
      <c r="R1152" s="12"/>
      <c r="S1152" s="12"/>
      <c r="V1152">
        <v>0.42067988668555201</v>
      </c>
      <c r="W1152" s="12"/>
      <c r="X1152" s="12"/>
      <c r="AY1152" t="str">
        <v>24/03/2020</v>
      </c>
      <c r="AZ1152">
        <v>31.4</v>
      </c>
      <c r="BA1152">
        <v>36.299999999999997</v>
      </c>
    </row>
    <row r="1153" spans="1:53" x14ac:dyDescent="0.3">
      <c r="A1153" s="11">
        <v>43854</v>
      </c>
      <c r="B1153">
        <v>0.52264808362369297</v>
      </c>
      <c r="C1153">
        <v>3325.54</v>
      </c>
      <c r="D1153">
        <v>140.94</v>
      </c>
      <c r="E1153">
        <v>1562.95</v>
      </c>
      <c r="F1153">
        <v>84.84</v>
      </c>
      <c r="G1153">
        <v>49.39</v>
      </c>
      <c r="H1153" s="12">
        <f t="shared" si="164"/>
        <v>95.151684833515887</v>
      </c>
      <c r="I1153" s="12">
        <f t="shared" si="165"/>
        <v>86.120308206469204</v>
      </c>
      <c r="J1153" s="12">
        <f t="shared" si="166"/>
        <v>112.74935387747659</v>
      </c>
      <c r="K1153" s="12">
        <f t="shared" si="167"/>
        <v>108.20065138021728</v>
      </c>
      <c r="P1153" s="12"/>
      <c r="Q1153" s="12"/>
      <c r="R1153" s="12"/>
      <c r="S1153" s="12"/>
      <c r="V1153">
        <v>0.42969307637401899</v>
      </c>
      <c r="W1153" s="12"/>
      <c r="X1153" s="12"/>
      <c r="AY1153" t="str">
        <v>23/03/2020</v>
      </c>
      <c r="AZ1153">
        <v>31.4</v>
      </c>
      <c r="BA1153">
        <v>36.299999999999997</v>
      </c>
    </row>
    <row r="1154" spans="1:53" x14ac:dyDescent="0.3">
      <c r="A1154" s="11">
        <v>43853</v>
      </c>
      <c r="B1154">
        <v>0.51056338028169002</v>
      </c>
      <c r="C1154">
        <v>3321.75</v>
      </c>
      <c r="D1154">
        <v>139.96</v>
      </c>
      <c r="E1154">
        <v>1558.75</v>
      </c>
      <c r="F1154">
        <v>84.805000000000007</v>
      </c>
      <c r="G1154">
        <v>49.57</v>
      </c>
      <c r="H1154" s="12">
        <f t="shared" ref="H1154:H1217" si="168">H1155*(1+((C1154/C1155)-(D1154/D1155)))</f>
        <v>95.712660153409502</v>
      </c>
      <c r="I1154" s="12">
        <f t="shared" ref="I1154:I1217" si="169">I1155*(1+((C1154/C1155)-(E1154/E1155)))</f>
        <v>86.254304429459978</v>
      </c>
      <c r="J1154" s="12">
        <f t="shared" si="166"/>
        <v>112.66730353756796</v>
      </c>
      <c r="K1154" s="12">
        <f t="shared" si="167"/>
        <v>107.68674938354641</v>
      </c>
      <c r="P1154" s="12"/>
      <c r="Q1154" s="12"/>
      <c r="R1154" s="12"/>
      <c r="S1154" s="12"/>
      <c r="V1154">
        <v>0.43898916967509</v>
      </c>
      <c r="W1154" s="12"/>
      <c r="X1154" s="12"/>
      <c r="AY1154" t="str">
        <v>20/03/2020</v>
      </c>
      <c r="AZ1154">
        <v>30.1</v>
      </c>
      <c r="BA1154">
        <v>41.7</v>
      </c>
    </row>
    <row r="1155" spans="1:53" x14ac:dyDescent="0.3">
      <c r="A1155" s="11">
        <v>43852</v>
      </c>
      <c r="B1155">
        <v>0.50714285714285701</v>
      </c>
      <c r="C1155">
        <v>3320.79</v>
      </c>
      <c r="D1155">
        <v>139.47</v>
      </c>
      <c r="E1155">
        <v>1558.5</v>
      </c>
      <c r="F1155">
        <v>84.79</v>
      </c>
      <c r="G1155">
        <v>49.39</v>
      </c>
      <c r="H1155" s="12">
        <f t="shared" si="168"/>
        <v>96.022256313819597</v>
      </c>
      <c r="I1155" s="12">
        <f t="shared" si="169"/>
        <v>86.243206896262066</v>
      </c>
      <c r="J1155" s="12">
        <f t="shared" ref="J1155:J1218" si="170">J1156*(1+((C1155/C1156)-(F1155/F1156)))</f>
        <v>112.65466591649268</v>
      </c>
      <c r="K1155" s="12">
        <f t="shared" ref="K1155:K1218" si="171">K1156*(1+((C1155/C1156)-(G1155/G1156)))</f>
        <v>108.04929524481877</v>
      </c>
      <c r="P1155" s="12"/>
      <c r="Q1155" s="12"/>
      <c r="R1155" s="12"/>
      <c r="S1155" s="12"/>
      <c r="V1155">
        <v>0.44306569343065699</v>
      </c>
      <c r="W1155" s="12"/>
      <c r="X1155" s="12"/>
      <c r="AY1155" t="str">
        <v>19/03/2020</v>
      </c>
      <c r="AZ1155">
        <v>30.1</v>
      </c>
      <c r="BA1155">
        <v>41.7</v>
      </c>
    </row>
    <row r="1156" spans="1:53" x14ac:dyDescent="0.3">
      <c r="A1156" s="11">
        <v>43848</v>
      </c>
      <c r="B1156">
        <v>0.5</v>
      </c>
      <c r="C1156">
        <v>3329.62</v>
      </c>
      <c r="D1156">
        <v>138.02000000000001</v>
      </c>
      <c r="E1156">
        <v>1557.3</v>
      </c>
      <c r="F1156">
        <v>84.77</v>
      </c>
      <c r="G1156">
        <v>50</v>
      </c>
      <c r="H1156" s="12">
        <f t="shared" si="168"/>
        <v>97.302531702841364</v>
      </c>
      <c r="I1156" s="12">
        <f t="shared" si="169"/>
        <v>86.53938957671771</v>
      </c>
      <c r="J1156" s="12">
        <f t="shared" si="170"/>
        <v>112.98094208784076</v>
      </c>
      <c r="K1156" s="12">
        <f t="shared" si="171"/>
        <v>107.0273928047128</v>
      </c>
      <c r="P1156" s="12"/>
      <c r="Q1156" s="12"/>
      <c r="R1156" s="12"/>
      <c r="S1156" s="12"/>
      <c r="V1156">
        <v>0.42572062084257201</v>
      </c>
      <c r="W1156" s="12"/>
      <c r="X1156" s="12"/>
      <c r="AY1156" t="str">
        <v>18/03/2020</v>
      </c>
      <c r="AZ1156">
        <v>30.1</v>
      </c>
      <c r="BA1156">
        <v>41.7</v>
      </c>
    </row>
    <row r="1157" spans="1:53" x14ac:dyDescent="0.3">
      <c r="A1157" s="11">
        <v>43847</v>
      </c>
      <c r="B1157">
        <v>0.50709219858155996</v>
      </c>
      <c r="C1157">
        <v>3316.81</v>
      </c>
      <c r="D1157">
        <v>139.21</v>
      </c>
      <c r="E1157">
        <v>1552.55</v>
      </c>
      <c r="F1157">
        <v>84.74</v>
      </c>
      <c r="G1157">
        <v>49.83</v>
      </c>
      <c r="H1157" s="12">
        <f t="shared" si="168"/>
        <v>96.109772792334212</v>
      </c>
      <c r="I1157" s="12">
        <f t="shared" si="169"/>
        <v>86.469983418590559</v>
      </c>
      <c r="J1157" s="12">
        <f t="shared" si="170"/>
        <v>112.58597690553199</v>
      </c>
      <c r="K1157" s="12">
        <f t="shared" si="171"/>
        <v>106.97919384104293</v>
      </c>
      <c r="P1157" s="12"/>
      <c r="Q1157" s="12"/>
      <c r="R1157" s="12"/>
      <c r="S1157" s="12"/>
      <c r="V1157">
        <v>0.426119402985075</v>
      </c>
      <c r="W1157" s="12"/>
      <c r="X1157" s="12"/>
      <c r="AY1157" t="str">
        <v>17/03/2020</v>
      </c>
      <c r="AZ1157">
        <v>30.1</v>
      </c>
      <c r="BA1157">
        <v>41.7</v>
      </c>
    </row>
    <row r="1158" spans="1:53" x14ac:dyDescent="0.3">
      <c r="A1158" s="11">
        <v>43846</v>
      </c>
      <c r="B1158">
        <v>0.50359712230215803</v>
      </c>
      <c r="C1158">
        <v>3289.29</v>
      </c>
      <c r="D1158">
        <v>139.65</v>
      </c>
      <c r="E1158">
        <v>1556.4</v>
      </c>
      <c r="F1158">
        <v>84.74</v>
      </c>
      <c r="G1158">
        <v>49.57</v>
      </c>
      <c r="H1158" s="12">
        <f t="shared" si="168"/>
        <v>95.015453103841708</v>
      </c>
      <c r="I1158" s="12">
        <f t="shared" si="169"/>
        <v>85.542683251874593</v>
      </c>
      <c r="J1158" s="12">
        <f t="shared" si="170"/>
        <v>111.6518365464399</v>
      </c>
      <c r="K1158" s="12">
        <f t="shared" si="171"/>
        <v>106.64630388119426</v>
      </c>
      <c r="P1158" s="12"/>
      <c r="Q1158" s="12"/>
      <c r="R1158" s="12"/>
      <c r="S1158" s="12"/>
      <c r="V1158">
        <v>0.43847874720357899</v>
      </c>
      <c r="W1158" s="12"/>
      <c r="X1158" s="12"/>
      <c r="AY1158" t="str">
        <v>16/03/2020</v>
      </c>
      <c r="AZ1158">
        <v>30.1</v>
      </c>
      <c r="BA1158">
        <v>41.7</v>
      </c>
    </row>
    <row r="1159" spans="1:53" x14ac:dyDescent="0.3">
      <c r="A1159" s="11">
        <v>43845</v>
      </c>
      <c r="B1159">
        <v>0.50184501845018403</v>
      </c>
      <c r="C1159">
        <v>3283.15</v>
      </c>
      <c r="D1159">
        <v>138.72999999999999</v>
      </c>
      <c r="E1159">
        <v>1546.5</v>
      </c>
      <c r="F1159">
        <v>84.7</v>
      </c>
      <c r="G1159">
        <v>49.68</v>
      </c>
      <c r="H1159" s="12">
        <f t="shared" si="168"/>
        <v>95.470027083655808</v>
      </c>
      <c r="I1159" s="12">
        <f t="shared" si="169"/>
        <v>85.932075575996677</v>
      </c>
      <c r="J1159" s="12">
        <f t="shared" si="170"/>
        <v>111.49597630236627</v>
      </c>
      <c r="K1159" s="12">
        <f t="shared" si="171"/>
        <v>106.21249742929585</v>
      </c>
      <c r="P1159" s="12"/>
      <c r="Q1159" s="12"/>
      <c r="R1159" s="12"/>
      <c r="S1159" s="12"/>
      <c r="V1159">
        <v>0.44063926940639297</v>
      </c>
      <c r="W1159" s="12"/>
      <c r="X1159" s="12"/>
      <c r="AY1159" t="str">
        <v>13/03/2020</v>
      </c>
      <c r="AZ1159">
        <v>34.6</v>
      </c>
      <c r="BA1159">
        <v>32.700000000000003</v>
      </c>
    </row>
    <row r="1160" spans="1:53" x14ac:dyDescent="0.3">
      <c r="A1160" s="11">
        <v>43844</v>
      </c>
      <c r="B1160">
        <v>0.51503759398496196</v>
      </c>
      <c r="C1160">
        <v>3288.13</v>
      </c>
      <c r="D1160">
        <v>138.02000000000001</v>
      </c>
      <c r="E1160">
        <v>1548.1</v>
      </c>
      <c r="F1160">
        <v>84.69</v>
      </c>
      <c r="G1160">
        <v>49.73</v>
      </c>
      <c r="H1160" s="12">
        <f t="shared" si="168"/>
        <v>96.10999670447508</v>
      </c>
      <c r="I1160" s="12">
        <f t="shared" si="169"/>
        <v>85.97342997301898</v>
      </c>
      <c r="J1160" s="12">
        <f t="shared" si="170"/>
        <v>111.67830412805874</v>
      </c>
      <c r="K1160" s="12">
        <f t="shared" si="171"/>
        <v>106.26659874729408</v>
      </c>
      <c r="P1160" s="12"/>
      <c r="Q1160" s="12"/>
      <c r="R1160" s="12"/>
      <c r="S1160" s="12"/>
      <c r="V1160">
        <v>0.43325526932084302</v>
      </c>
      <c r="W1160" s="12"/>
      <c r="X1160" s="12"/>
      <c r="AY1160" t="str">
        <v>12/03/2020</v>
      </c>
      <c r="AZ1160">
        <v>34.6</v>
      </c>
      <c r="BA1160">
        <v>32.700000000000003</v>
      </c>
    </row>
    <row r="1161" spans="1:53" x14ac:dyDescent="0.3">
      <c r="A1161" s="11">
        <v>43841</v>
      </c>
      <c r="B1161">
        <v>0.50557620817843896</v>
      </c>
      <c r="C1161">
        <v>3265.35</v>
      </c>
      <c r="D1161">
        <v>138.44</v>
      </c>
      <c r="E1161">
        <v>1562.34</v>
      </c>
      <c r="F1161">
        <v>84.7</v>
      </c>
      <c r="G1161">
        <v>49.3</v>
      </c>
      <c r="H1161" s="12">
        <f t="shared" si="168"/>
        <v>95.157462274576204</v>
      </c>
      <c r="I1161" s="12">
        <f t="shared" si="169"/>
        <v>84.611954698341492</v>
      </c>
      <c r="J1161" s="12">
        <f t="shared" si="170"/>
        <v>110.89160085282573</v>
      </c>
      <c r="K1161" s="12">
        <f t="shared" si="171"/>
        <v>106.45244643846858</v>
      </c>
      <c r="P1161" s="12"/>
      <c r="Q1161" s="12"/>
      <c r="R1161" s="12"/>
      <c r="S1161" s="12"/>
      <c r="V1161">
        <v>0.41172051089406497</v>
      </c>
      <c r="W1161" s="12"/>
      <c r="X1161" s="12"/>
      <c r="AY1161" t="str">
        <v>11/03/2020</v>
      </c>
      <c r="AZ1161">
        <v>34.6</v>
      </c>
      <c r="BA1161">
        <v>32.700000000000003</v>
      </c>
    </row>
    <row r="1162" spans="1:53" x14ac:dyDescent="0.3">
      <c r="A1162" s="11">
        <v>43840</v>
      </c>
      <c r="B1162">
        <v>0.5</v>
      </c>
      <c r="C1162">
        <v>3274.7</v>
      </c>
      <c r="D1162">
        <v>137.22</v>
      </c>
      <c r="E1162">
        <v>1551.8</v>
      </c>
      <c r="F1162">
        <v>84.68</v>
      </c>
      <c r="G1162">
        <v>49.36</v>
      </c>
      <c r="H1162" s="12">
        <f t="shared" si="168"/>
        <v>96.288472022462841</v>
      </c>
      <c r="I1162" s="12">
        <f t="shared" si="169"/>
        <v>85.436186273793695</v>
      </c>
      <c r="J1162" s="12">
        <f t="shared" si="170"/>
        <v>111.23547494060335</v>
      </c>
      <c r="K1162" s="12">
        <f t="shared" si="171"/>
        <v>106.62727937354963</v>
      </c>
      <c r="P1162" s="12"/>
      <c r="Q1162" s="12"/>
      <c r="R1162" s="12"/>
      <c r="S1162" s="12"/>
      <c r="V1162">
        <v>0.41056603773584899</v>
      </c>
      <c r="W1162" s="12"/>
      <c r="X1162" s="12"/>
      <c r="AY1162" t="str">
        <v>10/03/2020</v>
      </c>
      <c r="AZ1162">
        <v>34.6</v>
      </c>
      <c r="BA1162">
        <v>32.700000000000003</v>
      </c>
    </row>
    <row r="1163" spans="1:53" x14ac:dyDescent="0.3">
      <c r="A1163" s="11">
        <v>43839</v>
      </c>
      <c r="B1163">
        <v>0.51893939393939403</v>
      </c>
      <c r="C1163">
        <v>3253.05</v>
      </c>
      <c r="D1163">
        <v>136.74</v>
      </c>
      <c r="E1163">
        <v>1556.6</v>
      </c>
      <c r="F1163">
        <v>84.67</v>
      </c>
      <c r="G1163">
        <v>49.23</v>
      </c>
      <c r="H1163" s="12">
        <f t="shared" si="168"/>
        <v>95.986595984067378</v>
      </c>
      <c r="I1163" s="12">
        <f t="shared" si="169"/>
        <v>84.6121538746293</v>
      </c>
      <c r="J1163" s="12">
        <f t="shared" si="170"/>
        <v>110.51303057842586</v>
      </c>
      <c r="K1163" s="12">
        <f t="shared" si="171"/>
        <v>106.20092234012847</v>
      </c>
      <c r="P1163" s="12"/>
      <c r="Q1163" s="12"/>
      <c r="R1163" s="12"/>
      <c r="S1163" s="12"/>
      <c r="V1163">
        <v>0.40726722180166502</v>
      </c>
      <c r="W1163" s="12"/>
      <c r="X1163" s="12"/>
      <c r="AY1163" t="str">
        <v>09/03/2020</v>
      </c>
      <c r="AZ1163">
        <v>34.6</v>
      </c>
      <c r="BA1163">
        <v>32.700000000000003</v>
      </c>
    </row>
    <row r="1164" spans="1:53" x14ac:dyDescent="0.3">
      <c r="A1164" s="11">
        <v>43838</v>
      </c>
      <c r="B1164">
        <v>0.51600000000000001</v>
      </c>
      <c r="C1164">
        <v>3237.18</v>
      </c>
      <c r="D1164">
        <v>137.64500000000001</v>
      </c>
      <c r="E1164">
        <v>1574.3</v>
      </c>
      <c r="F1164">
        <v>84.71</v>
      </c>
      <c r="G1164">
        <v>49.1</v>
      </c>
      <c r="H1164" s="12">
        <f t="shared" si="168"/>
        <v>94.897429739150709</v>
      </c>
      <c r="I1164" s="12">
        <f t="shared" si="169"/>
        <v>83.26775375412376</v>
      </c>
      <c r="J1164" s="12">
        <f t="shared" si="170"/>
        <v>109.92224092681901</v>
      </c>
      <c r="K1164" s="12">
        <f t="shared" si="171"/>
        <v>105.96200374672971</v>
      </c>
      <c r="P1164" s="12"/>
      <c r="Q1164" s="12"/>
      <c r="R1164" s="12"/>
      <c r="S1164" s="12"/>
      <c r="V1164">
        <v>0.40141955835962101</v>
      </c>
      <c r="W1164" s="12"/>
      <c r="X1164" s="12"/>
      <c r="AY1164" t="str">
        <v>06/03/2020</v>
      </c>
      <c r="AZ1164">
        <v>36.200000000000003</v>
      </c>
      <c r="BA1164">
        <v>22.9</v>
      </c>
    </row>
    <row r="1165" spans="1:53" x14ac:dyDescent="0.3">
      <c r="A1165" s="11">
        <v>43837</v>
      </c>
      <c r="B1165">
        <v>0.51452282157676299</v>
      </c>
      <c r="C1165">
        <v>3246.28</v>
      </c>
      <c r="D1165">
        <v>138.33000000000001</v>
      </c>
      <c r="E1165">
        <v>1565.9</v>
      </c>
      <c r="F1165">
        <v>84.71</v>
      </c>
      <c r="G1165">
        <v>49.2</v>
      </c>
      <c r="H1165" s="12">
        <f t="shared" si="168"/>
        <v>94.693959128773812</v>
      </c>
      <c r="I1165" s="12">
        <f t="shared" si="169"/>
        <v>83.953446535888332</v>
      </c>
      <c r="J1165" s="12">
        <f t="shared" si="170"/>
        <v>110.23124209216481</v>
      </c>
      <c r="K1165" s="12">
        <f t="shared" si="171"/>
        <v>106.04373040591167</v>
      </c>
      <c r="P1165" s="12"/>
      <c r="Q1165" s="12"/>
      <c r="R1165" s="12"/>
      <c r="S1165" s="12"/>
      <c r="V1165">
        <v>0.40141955835962101</v>
      </c>
      <c r="W1165" s="12"/>
      <c r="X1165" s="12"/>
      <c r="AY1165" t="str">
        <v>05/03/2020</v>
      </c>
      <c r="AZ1165">
        <v>36.200000000000003</v>
      </c>
      <c r="BA1165">
        <v>22.9</v>
      </c>
    </row>
    <row r="1166" spans="1:53" x14ac:dyDescent="0.3">
      <c r="A1166" s="11">
        <v>43834</v>
      </c>
      <c r="B1166">
        <v>0.54716981132075504</v>
      </c>
      <c r="C1166">
        <v>3234.85</v>
      </c>
      <c r="D1166">
        <v>139.12</v>
      </c>
      <c r="E1166">
        <v>1552.35</v>
      </c>
      <c r="F1166">
        <v>84.74</v>
      </c>
      <c r="G1166">
        <v>49.08</v>
      </c>
      <c r="H1166" s="12">
        <f t="shared" si="168"/>
        <v>93.829605957364251</v>
      </c>
      <c r="I1166" s="12">
        <f t="shared" si="169"/>
        <v>84.391888347738956</v>
      </c>
      <c r="J1166" s="12">
        <f t="shared" si="170"/>
        <v>109.8043865212116</v>
      </c>
      <c r="K1166" s="12">
        <f t="shared" si="171"/>
        <v>105.92843722171766</v>
      </c>
      <c r="P1166" s="12"/>
      <c r="Q1166" s="12"/>
      <c r="R1166" s="12"/>
      <c r="S1166" s="12"/>
      <c r="V1166">
        <v>0.39648586707410199</v>
      </c>
      <c r="W1166" s="12"/>
      <c r="X1166" s="12"/>
      <c r="AY1166" t="str">
        <v>04/03/2020</v>
      </c>
      <c r="AZ1166">
        <v>36.200000000000003</v>
      </c>
      <c r="BA1166">
        <v>22.9</v>
      </c>
    </row>
    <row r="1167" spans="1:53" x14ac:dyDescent="0.3">
      <c r="A1167" s="11">
        <v>43833</v>
      </c>
      <c r="B1167">
        <v>0.52569169960474305</v>
      </c>
      <c r="C1167">
        <v>3257.85</v>
      </c>
      <c r="D1167">
        <v>137.01499999999999</v>
      </c>
      <c r="E1167">
        <v>1529.15</v>
      </c>
      <c r="F1167">
        <v>84.67</v>
      </c>
      <c r="G1167">
        <v>49.72</v>
      </c>
      <c r="H1167" s="12">
        <f t="shared" si="168"/>
        <v>95.981820933343315</v>
      </c>
      <c r="I1167" s="12">
        <f t="shared" si="169"/>
        <v>86.310722282075972</v>
      </c>
      <c r="J1167" s="12">
        <f t="shared" si="170"/>
        <v>110.67725485264995</v>
      </c>
      <c r="K1167" s="12">
        <f t="shared" si="171"/>
        <v>105.3163163696732</v>
      </c>
      <c r="P1167" s="12"/>
      <c r="Q1167" s="12"/>
      <c r="R1167" s="12"/>
      <c r="S1167" s="12"/>
      <c r="V1167">
        <v>0.396512509476876</v>
      </c>
      <c r="W1167" s="12"/>
      <c r="X1167" s="12"/>
      <c r="AY1167" t="str">
        <v>03/03/2020</v>
      </c>
      <c r="AZ1167">
        <v>36.200000000000003</v>
      </c>
      <c r="BA1167">
        <v>22.9</v>
      </c>
    </row>
    <row r="1168" spans="1:53" x14ac:dyDescent="0.3">
      <c r="A1168" s="11">
        <v>43830</v>
      </c>
      <c r="B1168">
        <v>0.53149606299212604</v>
      </c>
      <c r="C1168">
        <v>3230.78</v>
      </c>
      <c r="D1168">
        <v>135.47999999999999</v>
      </c>
      <c r="E1168">
        <v>1517.3</v>
      </c>
      <c r="F1168">
        <v>84.63</v>
      </c>
      <c r="G1168">
        <v>49.12</v>
      </c>
      <c r="H1168" s="12">
        <f t="shared" si="168"/>
        <v>96.265930963053279</v>
      </c>
      <c r="I1168" s="12">
        <f t="shared" si="169"/>
        <v>86.26165181792318</v>
      </c>
      <c r="J1168" s="12">
        <f t="shared" si="170"/>
        <v>109.80908926322508</v>
      </c>
      <c r="K1168" s="12">
        <f t="shared" si="171"/>
        <v>105.72188689618976</v>
      </c>
      <c r="P1168" s="12"/>
      <c r="Q1168" s="12"/>
      <c r="R1168" s="12"/>
      <c r="S1168" s="12"/>
      <c r="V1168">
        <v>0.40317700453857802</v>
      </c>
      <c r="W1168" s="12"/>
      <c r="X1168" s="12"/>
      <c r="AY1168" t="str">
        <v>02/03/2020</v>
      </c>
      <c r="AZ1168">
        <v>36.200000000000003</v>
      </c>
      <c r="BA1168">
        <v>22.9</v>
      </c>
    </row>
    <row r="1169" spans="1:53" x14ac:dyDescent="0.3">
      <c r="A1169" s="11">
        <v>43830</v>
      </c>
      <c r="B1169">
        <v>0.53386454183266896</v>
      </c>
      <c r="C1169">
        <v>3221.29</v>
      </c>
      <c r="D1169">
        <v>136.82</v>
      </c>
      <c r="E1169">
        <v>1514.95</v>
      </c>
      <c r="F1169">
        <v>84.64</v>
      </c>
      <c r="G1169">
        <v>48.92</v>
      </c>
      <c r="H1169" s="12">
        <f t="shared" si="168"/>
        <v>95.054939164213067</v>
      </c>
      <c r="I1169" s="12">
        <f t="shared" si="169"/>
        <v>86.141500067008025</v>
      </c>
      <c r="J1169" s="12">
        <f t="shared" si="170"/>
        <v>109.47364317167747</v>
      </c>
      <c r="K1169" s="12">
        <f t="shared" si="171"/>
        <v>105.84278928452598</v>
      </c>
      <c r="P1169" s="12"/>
      <c r="Q1169" s="12"/>
      <c r="R1169" s="12"/>
      <c r="S1169" s="12"/>
      <c r="V1169">
        <v>0.407884761182714</v>
      </c>
      <c r="W1169" s="12"/>
      <c r="X1169" s="12"/>
      <c r="AY1169" t="str">
        <v>28/02/2020</v>
      </c>
      <c r="AZ1169">
        <v>41.7</v>
      </c>
      <c r="BA1169">
        <v>20.399999999999999</v>
      </c>
    </row>
    <row r="1170" spans="1:53" x14ac:dyDescent="0.3">
      <c r="A1170" s="11">
        <v>43827</v>
      </c>
      <c r="B1170">
        <v>0.52380952380952395</v>
      </c>
      <c r="C1170">
        <v>3240.02</v>
      </c>
      <c r="D1170">
        <v>137.32</v>
      </c>
      <c r="E1170">
        <v>1511.4</v>
      </c>
      <c r="F1170">
        <v>84.61</v>
      </c>
      <c r="G1170">
        <v>49.22</v>
      </c>
      <c r="H1170" s="12">
        <f t="shared" si="168"/>
        <v>95.258764180618002</v>
      </c>
      <c r="I1170" s="12">
        <f t="shared" si="169"/>
        <v>86.847539662458857</v>
      </c>
      <c r="J1170" s="12">
        <f t="shared" si="170"/>
        <v>110.14945374813598</v>
      </c>
      <c r="K1170" s="12">
        <f t="shared" si="171"/>
        <v>105.80953813075679</v>
      </c>
      <c r="P1170" s="12"/>
      <c r="Q1170" s="12"/>
      <c r="R1170" s="12"/>
      <c r="S1170" s="12"/>
      <c r="V1170">
        <v>0.40648567119155399</v>
      </c>
      <c r="W1170" s="12"/>
      <c r="X1170" s="12"/>
      <c r="AY1170" t="str">
        <v>27/02/2020</v>
      </c>
      <c r="AZ1170">
        <v>41.7</v>
      </c>
      <c r="BA1170">
        <v>20.399999999999999</v>
      </c>
    </row>
    <row r="1171" spans="1:53" x14ac:dyDescent="0.3">
      <c r="A1171" s="11">
        <v>43826</v>
      </c>
      <c r="B1171">
        <v>0.52549019607843095</v>
      </c>
      <c r="C1171">
        <v>3239.91</v>
      </c>
      <c r="D1171">
        <v>137.16999999999999</v>
      </c>
      <c r="E1171">
        <v>1511</v>
      </c>
      <c r="F1171">
        <v>84.55</v>
      </c>
      <c r="G1171">
        <v>49.13</v>
      </c>
      <c r="H1171" s="12">
        <f t="shared" si="168"/>
        <v>95.359805715335767</v>
      </c>
      <c r="I1171" s="12">
        <f t="shared" si="169"/>
        <v>86.867586424351572</v>
      </c>
      <c r="J1171" s="12">
        <f t="shared" si="170"/>
        <v>110.22393070305466</v>
      </c>
      <c r="K1171" s="12">
        <f t="shared" si="171"/>
        <v>106.00011818739415</v>
      </c>
      <c r="P1171" s="12"/>
      <c r="Q1171" s="12"/>
      <c r="R1171" s="12"/>
      <c r="S1171" s="12"/>
      <c r="V1171">
        <v>0.413333333333333</v>
      </c>
      <c r="W1171" s="12"/>
      <c r="X1171" s="12"/>
      <c r="AY1171" t="str">
        <v>26/02/2020</v>
      </c>
      <c r="AZ1171">
        <v>41.7</v>
      </c>
      <c r="BA1171">
        <v>20.399999999999999</v>
      </c>
    </row>
    <row r="1172" spans="1:53" x14ac:dyDescent="0.3">
      <c r="A1172" s="11">
        <v>43824</v>
      </c>
      <c r="B1172">
        <v>0.51923076923076905</v>
      </c>
      <c r="C1172">
        <v>3223.38</v>
      </c>
      <c r="D1172">
        <v>136.84</v>
      </c>
      <c r="E1172">
        <v>1499.55</v>
      </c>
      <c r="F1172">
        <v>84.52</v>
      </c>
      <c r="G1172">
        <v>48.92</v>
      </c>
      <c r="H1172" s="12">
        <f t="shared" si="168"/>
        <v>95.101454830443018</v>
      </c>
      <c r="I1172" s="12">
        <f t="shared" si="169"/>
        <v>87.085951540958789</v>
      </c>
      <c r="J1172" s="12">
        <f t="shared" si="170"/>
        <v>109.7003078962001</v>
      </c>
      <c r="K1172" s="12">
        <f t="shared" si="171"/>
        <v>105.91163594353569</v>
      </c>
      <c r="P1172" s="12"/>
      <c r="Q1172" s="12"/>
      <c r="R1172" s="12"/>
      <c r="S1172" s="12"/>
      <c r="V1172">
        <v>0.417952314165498</v>
      </c>
      <c r="W1172" s="12"/>
      <c r="X1172" s="12"/>
      <c r="AY1172" t="str">
        <v>25/02/2020</v>
      </c>
      <c r="AZ1172">
        <v>41.7</v>
      </c>
      <c r="BA1172">
        <v>20.399999999999999</v>
      </c>
    </row>
    <row r="1173" spans="1:53" x14ac:dyDescent="0.3">
      <c r="A1173" s="11">
        <v>43823</v>
      </c>
      <c r="B1173">
        <v>0.522900763358779</v>
      </c>
      <c r="C1173">
        <v>3224.01</v>
      </c>
      <c r="D1173">
        <v>136.44999999999999</v>
      </c>
      <c r="E1173">
        <v>1485.55</v>
      </c>
      <c r="F1173">
        <v>84.51</v>
      </c>
      <c r="G1173">
        <v>48.97</v>
      </c>
      <c r="H1173" s="12">
        <f t="shared" si="168"/>
        <v>95.39274598950874</v>
      </c>
      <c r="I1173" s="12">
        <f t="shared" si="169"/>
        <v>87.931814074144341</v>
      </c>
      <c r="J1173" s="12">
        <f t="shared" si="170"/>
        <v>109.73473585440198</v>
      </c>
      <c r="K1173" s="12">
        <f t="shared" si="171"/>
        <v>105.82426484175505</v>
      </c>
      <c r="P1173" s="12"/>
      <c r="Q1173" s="12"/>
      <c r="R1173" s="12"/>
      <c r="S1173" s="12"/>
      <c r="V1173">
        <v>0.41783707865168501</v>
      </c>
      <c r="W1173" s="12"/>
      <c r="X1173" s="12"/>
      <c r="AY1173" t="str">
        <v>24/02/2020</v>
      </c>
      <c r="AZ1173">
        <v>41.7</v>
      </c>
      <c r="BA1173">
        <v>20.399999999999999</v>
      </c>
    </row>
    <row r="1174" spans="1:53" x14ac:dyDescent="0.3">
      <c r="A1174" s="11">
        <v>43820</v>
      </c>
      <c r="B1174">
        <v>0.53333333333333299</v>
      </c>
      <c r="C1174">
        <v>3221.22</v>
      </c>
      <c r="D1174">
        <v>136.65</v>
      </c>
      <c r="E1174">
        <v>1478.05</v>
      </c>
      <c r="F1174">
        <v>84.53</v>
      </c>
      <c r="G1174">
        <v>48.85</v>
      </c>
      <c r="H1174" s="12">
        <f t="shared" si="168"/>
        <v>95.171023715604662</v>
      </c>
      <c r="I1174" s="12">
        <f t="shared" si="169"/>
        <v>88.303405557732518</v>
      </c>
      <c r="J1174" s="12">
        <f t="shared" si="170"/>
        <v>109.61386093892328</v>
      </c>
      <c r="K1174" s="12">
        <f t="shared" si="171"/>
        <v>105.99283245310384</v>
      </c>
      <c r="P1174" s="12"/>
      <c r="Q1174" s="12"/>
      <c r="R1174" s="12"/>
      <c r="S1174" s="12"/>
      <c r="V1174">
        <v>0.408809359944941</v>
      </c>
      <c r="W1174" s="12"/>
      <c r="X1174" s="12"/>
      <c r="AY1174" t="str">
        <v>21/02/2020</v>
      </c>
      <c r="AZ1174">
        <v>49.1</v>
      </c>
      <c r="BA1174">
        <v>19.2</v>
      </c>
    </row>
    <row r="1175" spans="1:53" x14ac:dyDescent="0.3">
      <c r="A1175" s="11">
        <v>43819</v>
      </c>
      <c r="B1175">
        <v>0.52877697841726601</v>
      </c>
      <c r="C1175">
        <v>3205.37</v>
      </c>
      <c r="D1175">
        <v>136.47</v>
      </c>
      <c r="E1175">
        <v>1479.15</v>
      </c>
      <c r="F1175">
        <v>84.53</v>
      </c>
      <c r="G1175">
        <v>48.84</v>
      </c>
      <c r="H1175" s="12">
        <f t="shared" si="168"/>
        <v>94.827193988098031</v>
      </c>
      <c r="I1175" s="12">
        <f t="shared" si="169"/>
        <v>87.803933120066986</v>
      </c>
      <c r="J1175" s="12">
        <f t="shared" si="170"/>
        <v>109.07450637888644</v>
      </c>
      <c r="K1175" s="12">
        <f t="shared" si="171"/>
        <v>105.49278853807029</v>
      </c>
      <c r="P1175" s="12"/>
      <c r="Q1175" s="12"/>
      <c r="R1175" s="12"/>
      <c r="S1175" s="12"/>
      <c r="V1175">
        <v>0.41398217957505101</v>
      </c>
      <c r="W1175" s="12"/>
      <c r="X1175" s="12"/>
      <c r="AY1175" t="str">
        <v>20/02/2020</v>
      </c>
      <c r="AZ1175">
        <v>49.1</v>
      </c>
      <c r="BA1175">
        <v>19.2</v>
      </c>
    </row>
    <row r="1176" spans="1:53" x14ac:dyDescent="0.3">
      <c r="A1176" s="11">
        <v>43818</v>
      </c>
      <c r="B1176">
        <v>0.54316546762589901</v>
      </c>
      <c r="C1176">
        <v>3191.14</v>
      </c>
      <c r="D1176">
        <v>136.47</v>
      </c>
      <c r="E1176">
        <v>1475.45</v>
      </c>
      <c r="F1176">
        <v>84.65</v>
      </c>
      <c r="G1176">
        <v>48.82</v>
      </c>
      <c r="H1176" s="12">
        <f t="shared" si="168"/>
        <v>94.406215763914673</v>
      </c>
      <c r="I1176" s="12">
        <f t="shared" si="169"/>
        <v>87.632916435807729</v>
      </c>
      <c r="J1176" s="12">
        <f t="shared" si="170"/>
        <v>108.43723987454341</v>
      </c>
      <c r="K1176" s="12">
        <f t="shared" si="171"/>
        <v>105.06731285450881</v>
      </c>
      <c r="P1176" s="12"/>
      <c r="Q1176" s="12"/>
      <c r="R1176" s="12"/>
      <c r="S1176" s="12"/>
      <c r="V1176">
        <v>0.419157608695652</v>
      </c>
      <c r="W1176" s="12"/>
      <c r="X1176" s="12"/>
      <c r="AY1176" t="str">
        <v>19/02/2020</v>
      </c>
      <c r="AZ1176">
        <v>49.1</v>
      </c>
      <c r="BA1176">
        <v>19.2</v>
      </c>
    </row>
    <row r="1177" spans="1:53" x14ac:dyDescent="0.3">
      <c r="A1177" s="11">
        <v>43817</v>
      </c>
      <c r="B1177">
        <v>0.56939501779359403</v>
      </c>
      <c r="C1177">
        <v>3192.52</v>
      </c>
      <c r="D1177">
        <v>137.6</v>
      </c>
      <c r="E1177">
        <v>1476.3</v>
      </c>
      <c r="F1177">
        <v>84.64</v>
      </c>
      <c r="G1177">
        <v>48.79</v>
      </c>
      <c r="H1177" s="12">
        <f t="shared" si="168"/>
        <v>93.677410299299424</v>
      </c>
      <c r="I1177" s="12">
        <f t="shared" si="169"/>
        <v>87.620342625307472</v>
      </c>
      <c r="J1177" s="12">
        <f t="shared" si="170"/>
        <v>108.49695745235546</v>
      </c>
      <c r="K1177" s="12">
        <f t="shared" si="171"/>
        <v>105.17744842118259</v>
      </c>
      <c r="P1177" s="12"/>
      <c r="Q1177" s="12"/>
      <c r="R1177" s="12"/>
      <c r="S1177" s="12"/>
      <c r="V1177">
        <v>0.422086720867209</v>
      </c>
      <c r="W1177" s="12"/>
      <c r="X1177" s="12"/>
      <c r="AY1177" t="str">
        <v>18/02/2020</v>
      </c>
      <c r="AZ1177">
        <v>49.1</v>
      </c>
      <c r="BA1177">
        <v>19.2</v>
      </c>
    </row>
    <row r="1178" spans="1:53" x14ac:dyDescent="0.3">
      <c r="A1178" s="11">
        <v>43816</v>
      </c>
      <c r="B1178">
        <v>0.55311355311355304</v>
      </c>
      <c r="C1178">
        <v>3191.45</v>
      </c>
      <c r="D1178">
        <v>137.79</v>
      </c>
      <c r="E1178">
        <v>1475.9</v>
      </c>
      <c r="F1178">
        <v>84.62</v>
      </c>
      <c r="G1178">
        <v>48.82</v>
      </c>
      <c r="H1178" s="12">
        <f t="shared" si="168"/>
        <v>93.517105079185001</v>
      </c>
      <c r="I1178" s="12">
        <f t="shared" si="169"/>
        <v>87.614713403646093</v>
      </c>
      <c r="J1178" s="12">
        <f t="shared" si="170"/>
        <v>108.48622598867868</v>
      </c>
      <c r="K1178" s="12">
        <f t="shared" si="171"/>
        <v>105.07764850196861</v>
      </c>
      <c r="P1178" s="12"/>
      <c r="Q1178" s="12"/>
      <c r="R1178" s="12"/>
      <c r="S1178" s="12"/>
      <c r="V1178">
        <v>0.42750170183798503</v>
      </c>
      <c r="W1178" s="12"/>
      <c r="X1178" s="12"/>
      <c r="AY1178" t="str">
        <v>17/02/2020</v>
      </c>
      <c r="AZ1178">
        <v>49.1</v>
      </c>
      <c r="BA1178">
        <v>19.2</v>
      </c>
    </row>
    <row r="1179" spans="1:53" x14ac:dyDescent="0.3">
      <c r="A1179" s="11">
        <v>43813</v>
      </c>
      <c r="B1179">
        <v>0.54181818181818198</v>
      </c>
      <c r="C1179">
        <v>3168.8</v>
      </c>
      <c r="D1179">
        <v>139.04</v>
      </c>
      <c r="E1179">
        <v>1475.9</v>
      </c>
      <c r="F1179">
        <v>84.67</v>
      </c>
      <c r="G1179">
        <v>49.24</v>
      </c>
      <c r="H1179" s="12">
        <f t="shared" si="168"/>
        <v>92.031891211489196</v>
      </c>
      <c r="I1179" s="12">
        <f t="shared" si="169"/>
        <v>86.992904113639185</v>
      </c>
      <c r="J1179" s="12">
        <f t="shared" si="170"/>
        <v>107.65316872135146</v>
      </c>
      <c r="K1179" s="12">
        <f t="shared" si="171"/>
        <v>103.45572480093912</v>
      </c>
      <c r="P1179" s="12"/>
      <c r="Q1179" s="12"/>
      <c r="R1179" s="12"/>
      <c r="S1179" s="12"/>
      <c r="V1179">
        <v>0.43589743589743601</v>
      </c>
      <c r="W1179" s="12"/>
      <c r="X1179" s="12"/>
      <c r="AY1179" t="str">
        <v>14/02/2020</v>
      </c>
      <c r="AZ1179">
        <v>54.7</v>
      </c>
      <c r="BA1179">
        <v>18.899999999999999</v>
      </c>
    </row>
    <row r="1180" spans="1:53" x14ac:dyDescent="0.3">
      <c r="A1180" s="11">
        <v>43812</v>
      </c>
      <c r="B1180">
        <v>0.57090909090909103</v>
      </c>
      <c r="C1180">
        <v>3168.57</v>
      </c>
      <c r="D1180">
        <v>137.44999999999999</v>
      </c>
      <c r="E1180">
        <v>1469.6</v>
      </c>
      <c r="F1180">
        <v>84.57</v>
      </c>
      <c r="G1180">
        <v>48.99</v>
      </c>
      <c r="H1180" s="12">
        <f t="shared" si="168"/>
        <v>93.102123857161317</v>
      </c>
      <c r="I1180" s="12">
        <f t="shared" si="169"/>
        <v>87.36106924172546</v>
      </c>
      <c r="J1180" s="12">
        <f t="shared" si="170"/>
        <v>107.77278190136423</v>
      </c>
      <c r="K1180" s="12">
        <f t="shared" si="171"/>
        <v>103.97878951012983</v>
      </c>
      <c r="P1180" s="12"/>
      <c r="Q1180" s="12"/>
      <c r="R1180" s="12"/>
      <c r="S1180" s="12"/>
      <c r="V1180">
        <v>0.43716577540106999</v>
      </c>
      <c r="W1180" s="12"/>
      <c r="X1180" s="12"/>
      <c r="AY1180" t="str">
        <v>13/02/2020</v>
      </c>
      <c r="AZ1180">
        <v>54.7</v>
      </c>
      <c r="BA1180">
        <v>18.899999999999999</v>
      </c>
    </row>
    <row r="1181" spans="1:53" x14ac:dyDescent="0.3">
      <c r="A1181" s="11">
        <v>43811</v>
      </c>
      <c r="B1181">
        <v>0.55797101449275399</v>
      </c>
      <c r="C1181">
        <v>3141.63</v>
      </c>
      <c r="D1181">
        <v>139.75</v>
      </c>
      <c r="E1181">
        <v>1474.94</v>
      </c>
      <c r="F1181">
        <v>84.65</v>
      </c>
      <c r="G1181">
        <v>48.53</v>
      </c>
      <c r="H1181" s="12">
        <f t="shared" si="168"/>
        <v>90.82840485960449</v>
      </c>
      <c r="I1181" s="12">
        <f t="shared" si="169"/>
        <v>86.308480986725584</v>
      </c>
      <c r="J1181" s="12">
        <f t="shared" si="170"/>
        <v>106.75643561896783</v>
      </c>
      <c r="K1181" s="12">
        <f t="shared" si="171"/>
        <v>104.0728199889616</v>
      </c>
      <c r="P1181" s="12"/>
      <c r="Q1181" s="12"/>
      <c r="R1181" s="12"/>
      <c r="S1181" s="12"/>
      <c r="V1181">
        <v>0.44592790387182901</v>
      </c>
      <c r="W1181" s="12"/>
      <c r="X1181" s="12"/>
      <c r="AY1181" t="str">
        <v>12/02/2020</v>
      </c>
      <c r="AZ1181">
        <v>54.7</v>
      </c>
      <c r="BA1181">
        <v>18.899999999999999</v>
      </c>
    </row>
    <row r="1182" spans="1:53" x14ac:dyDescent="0.3">
      <c r="A1182" s="11">
        <v>43810</v>
      </c>
      <c r="B1182">
        <v>0.56338028169014098</v>
      </c>
      <c r="C1182">
        <v>3132.52</v>
      </c>
      <c r="D1182">
        <v>138.66</v>
      </c>
      <c r="E1182">
        <v>1464.44</v>
      </c>
      <c r="F1182">
        <v>84.58</v>
      </c>
      <c r="G1182">
        <v>48.19</v>
      </c>
      <c r="H1182" s="12">
        <f t="shared" si="168"/>
        <v>91.280494616867969</v>
      </c>
      <c r="I1182" s="12">
        <f t="shared" si="169"/>
        <v>86.677882579296252</v>
      </c>
      <c r="J1182" s="12">
        <f t="shared" si="170"/>
        <v>106.5347811770194</v>
      </c>
      <c r="K1182" s="12">
        <f t="shared" si="171"/>
        <v>104.50622863654932</v>
      </c>
      <c r="P1182" s="12"/>
      <c r="Q1182" s="12"/>
      <c r="R1182" s="12"/>
      <c r="S1182" s="12"/>
      <c r="V1182">
        <v>0.43944407677035102</v>
      </c>
      <c r="W1182" s="12"/>
      <c r="X1182" s="12"/>
      <c r="AY1182" t="str">
        <v>11/02/2020</v>
      </c>
      <c r="AZ1182">
        <v>54.7</v>
      </c>
      <c r="BA1182">
        <v>18.899999999999999</v>
      </c>
    </row>
    <row r="1183" spans="1:53" x14ac:dyDescent="0.3">
      <c r="A1183" s="11">
        <v>43809</v>
      </c>
      <c r="B1183">
        <v>0.56785714285714295</v>
      </c>
      <c r="C1183">
        <v>3135.96</v>
      </c>
      <c r="D1183">
        <v>138.65</v>
      </c>
      <c r="E1183">
        <v>1461.51</v>
      </c>
      <c r="F1183">
        <v>84.62</v>
      </c>
      <c r="G1183">
        <v>48.11</v>
      </c>
      <c r="H1183" s="12">
        <f t="shared" si="168"/>
        <v>91.387333430079934</v>
      </c>
      <c r="I1183" s="12">
        <f t="shared" si="169"/>
        <v>86.947570349273221</v>
      </c>
      <c r="J1183" s="12">
        <f t="shared" si="170"/>
        <v>106.60132719178148</v>
      </c>
      <c r="K1183" s="12">
        <f t="shared" si="171"/>
        <v>104.79544401701081</v>
      </c>
      <c r="P1183" s="12"/>
      <c r="Q1183" s="12"/>
      <c r="R1183" s="12"/>
      <c r="S1183" s="12"/>
      <c r="V1183">
        <v>0.44170552964690202</v>
      </c>
      <c r="W1183" s="12"/>
      <c r="X1183" s="12"/>
      <c r="AY1183" t="str">
        <v>10/02/2020</v>
      </c>
      <c r="AZ1183">
        <v>54.7</v>
      </c>
      <c r="BA1183">
        <v>18.899999999999999</v>
      </c>
    </row>
    <row r="1184" spans="1:53" x14ac:dyDescent="0.3">
      <c r="A1184" s="11">
        <v>43806</v>
      </c>
      <c r="B1184">
        <v>0.56291390728476798</v>
      </c>
      <c r="C1184">
        <v>3145.91</v>
      </c>
      <c r="D1184">
        <v>138.35</v>
      </c>
      <c r="E1184">
        <v>1460.25</v>
      </c>
      <c r="F1184">
        <v>84.62</v>
      </c>
      <c r="G1184">
        <v>48.29</v>
      </c>
      <c r="H1184" s="12">
        <f t="shared" si="168"/>
        <v>91.877153529677855</v>
      </c>
      <c r="I1184" s="12">
        <f t="shared" si="169"/>
        <v>87.299010216856715</v>
      </c>
      <c r="J1184" s="12">
        <f t="shared" si="170"/>
        <v>106.93955956896684</v>
      </c>
      <c r="K1184" s="12">
        <f t="shared" si="171"/>
        <v>104.73630539707617</v>
      </c>
      <c r="P1184" s="12"/>
      <c r="Q1184" s="12"/>
      <c r="R1184" s="12"/>
      <c r="S1184" s="12"/>
      <c r="V1184">
        <v>0.44964262508122199</v>
      </c>
      <c r="W1184" s="12"/>
      <c r="X1184" s="12"/>
      <c r="AY1184" t="str">
        <v>07/02/2020</v>
      </c>
      <c r="AZ1184">
        <v>52.9</v>
      </c>
      <c r="BA1184">
        <v>19.2</v>
      </c>
    </row>
    <row r="1185" spans="1:53" x14ac:dyDescent="0.3">
      <c r="A1185" s="11">
        <v>43805</v>
      </c>
      <c r="B1185">
        <v>0.54248366013071903</v>
      </c>
      <c r="C1185">
        <v>3117.43</v>
      </c>
      <c r="D1185">
        <v>139.12</v>
      </c>
      <c r="E1185">
        <v>1476.01</v>
      </c>
      <c r="F1185">
        <v>84.65</v>
      </c>
      <c r="G1185">
        <v>47.95</v>
      </c>
      <c r="H1185" s="12">
        <f t="shared" si="168"/>
        <v>90.548756146154119</v>
      </c>
      <c r="I1185" s="12">
        <f t="shared" si="169"/>
        <v>85.602944958626594</v>
      </c>
      <c r="J1185" s="12">
        <f t="shared" si="170"/>
        <v>105.934229864382</v>
      </c>
      <c r="K1185" s="12">
        <f t="shared" si="171"/>
        <v>104.52255563215783</v>
      </c>
      <c r="P1185" s="12"/>
      <c r="Q1185" s="12"/>
      <c r="R1185" s="12"/>
      <c r="S1185" s="12"/>
      <c r="V1185">
        <v>0.448900388098318</v>
      </c>
      <c r="W1185" s="12"/>
      <c r="X1185" s="12"/>
      <c r="AY1185" t="str">
        <v>06/02/2020</v>
      </c>
      <c r="AZ1185">
        <v>52.9</v>
      </c>
      <c r="BA1185">
        <v>19.2</v>
      </c>
    </row>
    <row r="1186" spans="1:53" x14ac:dyDescent="0.3">
      <c r="A1186" s="11">
        <v>43804</v>
      </c>
      <c r="B1186">
        <v>0.54545454545454497</v>
      </c>
      <c r="C1186">
        <v>3112.76</v>
      </c>
      <c r="D1186">
        <v>139.80000000000001</v>
      </c>
      <c r="E1186">
        <v>1474.56</v>
      </c>
      <c r="F1186">
        <v>84.69</v>
      </c>
      <c r="G1186">
        <v>47.94</v>
      </c>
      <c r="H1186" s="12">
        <f t="shared" si="168"/>
        <v>89.976115053006538</v>
      </c>
      <c r="I1186" s="12">
        <f t="shared" si="169"/>
        <v>85.55871691158157</v>
      </c>
      <c r="J1186" s="12">
        <f t="shared" si="170"/>
        <v>105.7256767622125</v>
      </c>
      <c r="K1186" s="12">
        <f t="shared" si="171"/>
        <v>104.38771987185218</v>
      </c>
      <c r="P1186" s="12"/>
      <c r="Q1186" s="12"/>
      <c r="R1186" s="12"/>
      <c r="S1186" s="12"/>
      <c r="V1186">
        <v>0.453541260558804</v>
      </c>
      <c r="W1186" s="12"/>
      <c r="X1186" s="12"/>
      <c r="AY1186" t="str">
        <v>05/02/2020</v>
      </c>
      <c r="AZ1186">
        <v>52.9</v>
      </c>
      <c r="BA1186">
        <v>19.2</v>
      </c>
    </row>
    <row r="1187" spans="1:53" x14ac:dyDescent="0.3">
      <c r="A1187" s="11">
        <v>43803</v>
      </c>
      <c r="B1187">
        <v>0.52960526315789502</v>
      </c>
      <c r="C1187">
        <v>3093.2</v>
      </c>
      <c r="D1187">
        <v>141.21</v>
      </c>
      <c r="E1187">
        <v>1477.54</v>
      </c>
      <c r="F1187">
        <v>84.73</v>
      </c>
      <c r="G1187">
        <v>47.51</v>
      </c>
      <c r="H1187" s="12">
        <f t="shared" si="168"/>
        <v>88.532270847155516</v>
      </c>
      <c r="I1187" s="12">
        <f t="shared" si="169"/>
        <v>84.851024215803136</v>
      </c>
      <c r="J1187" s="12">
        <f t="shared" si="170"/>
        <v>105.01205304917463</v>
      </c>
      <c r="K1187" s="12">
        <f t="shared" si="171"/>
        <v>104.67318224382508</v>
      </c>
      <c r="P1187" s="12"/>
      <c r="Q1187" s="12"/>
      <c r="R1187" s="12"/>
      <c r="S1187" s="12"/>
      <c r="V1187">
        <v>0.46143875567077097</v>
      </c>
      <c r="W1187" s="12"/>
      <c r="X1187" s="12"/>
      <c r="AY1187" t="str">
        <v>04/02/2020</v>
      </c>
      <c r="AZ1187">
        <v>52.9</v>
      </c>
      <c r="BA1187">
        <v>19.2</v>
      </c>
    </row>
    <row r="1188" spans="1:53" x14ac:dyDescent="0.3">
      <c r="A1188" s="11">
        <v>43802</v>
      </c>
      <c r="B1188">
        <v>0.53465346534653502</v>
      </c>
      <c r="C1188">
        <v>3113.87</v>
      </c>
      <c r="D1188">
        <v>138.31</v>
      </c>
      <c r="E1188">
        <v>1462.69</v>
      </c>
      <c r="F1188">
        <v>84.61</v>
      </c>
      <c r="G1188">
        <v>47.71</v>
      </c>
      <c r="H1188" s="12">
        <f t="shared" si="168"/>
        <v>91.045624847696516</v>
      </c>
      <c r="I1188" s="12">
        <f t="shared" si="169"/>
        <v>86.300051201224875</v>
      </c>
      <c r="J1188" s="12">
        <f t="shared" si="170"/>
        <v>105.86493421375062</v>
      </c>
      <c r="K1188" s="12">
        <f t="shared" si="171"/>
        <v>104.92984576270452</v>
      </c>
      <c r="P1188" s="12"/>
      <c r="Q1188" s="12"/>
      <c r="R1188" s="12"/>
      <c r="S1188" s="12"/>
      <c r="V1188">
        <v>0.46023468057366401</v>
      </c>
      <c r="W1188" s="12"/>
      <c r="X1188" s="12"/>
      <c r="AY1188" t="str">
        <v>03/02/2020</v>
      </c>
      <c r="AZ1188">
        <v>52.9</v>
      </c>
      <c r="BA1188">
        <v>19.2</v>
      </c>
    </row>
    <row r="1189" spans="1:53" x14ac:dyDescent="0.3">
      <c r="A1189" s="11">
        <v>43799</v>
      </c>
      <c r="B1189">
        <v>0.56793478260869601</v>
      </c>
      <c r="C1189">
        <v>3140.98</v>
      </c>
      <c r="D1189">
        <v>140.41999999999999</v>
      </c>
      <c r="E1189">
        <v>1466.48</v>
      </c>
      <c r="F1189">
        <v>84.77</v>
      </c>
      <c r="G1189">
        <v>47.94</v>
      </c>
      <c r="H1189" s="12">
        <f t="shared" si="168"/>
        <v>90.46706217189589</v>
      </c>
      <c r="I1189" s="12">
        <f t="shared" si="169"/>
        <v>86.825051408186567</v>
      </c>
      <c r="J1189" s="12">
        <f t="shared" si="170"/>
        <v>106.58369242874979</v>
      </c>
      <c r="K1189" s="12">
        <f t="shared" si="171"/>
        <v>105.33363175341594</v>
      </c>
      <c r="P1189" s="12"/>
      <c r="Q1189" s="12"/>
      <c r="R1189" s="12"/>
      <c r="S1189" s="12"/>
      <c r="V1189">
        <v>0.46278924327704801</v>
      </c>
      <c r="W1189" s="12"/>
      <c r="X1189" s="12"/>
      <c r="AY1189" t="str">
        <v>31/01/2020</v>
      </c>
      <c r="AZ1189">
        <v>47.6</v>
      </c>
      <c r="BA1189">
        <v>19.100000000000001</v>
      </c>
    </row>
    <row r="1190" spans="1:53" x14ac:dyDescent="0.3">
      <c r="A1190" s="11">
        <v>43797</v>
      </c>
      <c r="B1190">
        <v>0.57029177718832902</v>
      </c>
      <c r="C1190">
        <v>3153.63</v>
      </c>
      <c r="D1190">
        <v>140.72</v>
      </c>
      <c r="E1190">
        <v>1454.41</v>
      </c>
      <c r="F1190">
        <v>84.74</v>
      </c>
      <c r="G1190">
        <v>48.35</v>
      </c>
      <c r="H1190" s="12">
        <f t="shared" si="168"/>
        <v>90.637402245072906</v>
      </c>
      <c r="I1190" s="12">
        <f t="shared" si="169"/>
        <v>87.907202108229939</v>
      </c>
      <c r="J1190" s="12">
        <f t="shared" si="170"/>
        <v>107.05099943758572</v>
      </c>
      <c r="K1190" s="12">
        <f t="shared" si="171"/>
        <v>104.86503354104906</v>
      </c>
      <c r="P1190" s="12"/>
      <c r="Q1190" s="12"/>
      <c r="R1190" s="12"/>
      <c r="S1190" s="12"/>
      <c r="V1190">
        <v>0.45887445887445899</v>
      </c>
      <c r="W1190" s="12"/>
      <c r="X1190" s="12"/>
      <c r="AY1190" t="str">
        <v>30/01/2020</v>
      </c>
      <c r="AZ1190">
        <v>47.6</v>
      </c>
      <c r="BA1190">
        <v>19.100000000000001</v>
      </c>
    </row>
    <row r="1191" spans="1:53" x14ac:dyDescent="0.3">
      <c r="A1191" s="11">
        <v>43796</v>
      </c>
      <c r="B1191">
        <v>0.56648936170212805</v>
      </c>
      <c r="C1191">
        <v>3140.52</v>
      </c>
      <c r="D1191">
        <v>141.13</v>
      </c>
      <c r="E1191">
        <v>1461.38</v>
      </c>
      <c r="F1191">
        <v>84.79</v>
      </c>
      <c r="G1191">
        <v>48.21</v>
      </c>
      <c r="H1191" s="12">
        <f t="shared" si="168"/>
        <v>90.000237387175972</v>
      </c>
      <c r="I1191" s="12">
        <f t="shared" si="169"/>
        <v>87.127935740701162</v>
      </c>
      <c r="J1191" s="12">
        <f t="shared" si="170"/>
        <v>106.54340957642371</v>
      </c>
      <c r="K1191" s="12">
        <f t="shared" si="171"/>
        <v>104.73197093427818</v>
      </c>
      <c r="P1191" s="12"/>
      <c r="Q1191" s="12"/>
      <c r="R1191" s="12"/>
      <c r="S1191" s="12"/>
      <c r="V1191">
        <v>0.45394736842105299</v>
      </c>
      <c r="W1191" s="12"/>
      <c r="X1191" s="12"/>
      <c r="AY1191" t="str">
        <v>29/01/2020</v>
      </c>
      <c r="AZ1191">
        <v>47.6</v>
      </c>
      <c r="BA1191">
        <v>19.100000000000001</v>
      </c>
    </row>
    <row r="1192" spans="1:53" x14ac:dyDescent="0.3">
      <c r="A1192" s="11">
        <v>43795</v>
      </c>
      <c r="B1192">
        <v>0.56684491978609597</v>
      </c>
      <c r="C1192">
        <v>3133.64</v>
      </c>
      <c r="D1192">
        <v>140.31</v>
      </c>
      <c r="E1192">
        <v>1455.3</v>
      </c>
      <c r="F1192">
        <v>84.75</v>
      </c>
      <c r="G1192">
        <v>48.24</v>
      </c>
      <c r="H1192" s="12">
        <f t="shared" si="168"/>
        <v>90.329821306267391</v>
      </c>
      <c r="I1192" s="12">
        <f t="shared" si="169"/>
        <v>87.300992756184073</v>
      </c>
      <c r="J1192" s="12">
        <f t="shared" si="170"/>
        <v>106.36009227796313</v>
      </c>
      <c r="K1192" s="12">
        <f t="shared" si="171"/>
        <v>104.4377259602183</v>
      </c>
      <c r="P1192" s="12"/>
      <c r="Q1192" s="12"/>
      <c r="R1192" s="12"/>
      <c r="S1192" s="12"/>
      <c r="V1192">
        <v>0.454061251664447</v>
      </c>
      <c r="W1192" s="12"/>
      <c r="X1192" s="12"/>
      <c r="AY1192" t="str">
        <v>28/01/2020</v>
      </c>
      <c r="AZ1192">
        <v>47.6</v>
      </c>
      <c r="BA1192">
        <v>19.100000000000001</v>
      </c>
    </row>
    <row r="1193" spans="1:53" x14ac:dyDescent="0.3">
      <c r="A1193" s="11">
        <v>43792</v>
      </c>
      <c r="B1193">
        <v>0.57311320754716999</v>
      </c>
      <c r="C1193">
        <v>3110.29</v>
      </c>
      <c r="D1193">
        <v>139.9</v>
      </c>
      <c r="E1193">
        <v>1462.05</v>
      </c>
      <c r="F1193">
        <v>84.734999999999999</v>
      </c>
      <c r="G1193">
        <v>47.9</v>
      </c>
      <c r="H1193" s="12">
        <f t="shared" si="168"/>
        <v>89.918294604697437</v>
      </c>
      <c r="I1193" s="12">
        <f t="shared" si="169"/>
        <v>86.255222047921691</v>
      </c>
      <c r="J1193" s="12">
        <f t="shared" si="170"/>
        <v>105.58611270009877</v>
      </c>
      <c r="K1193" s="12">
        <f t="shared" si="171"/>
        <v>104.39500570131564</v>
      </c>
      <c r="P1193" s="12"/>
      <c r="Q1193" s="12"/>
      <c r="R1193" s="12"/>
      <c r="S1193" s="12"/>
      <c r="V1193">
        <v>0.44769330734243001</v>
      </c>
      <c r="W1193" s="12"/>
      <c r="X1193" s="12"/>
      <c r="AY1193" t="str">
        <v>27/01/2020</v>
      </c>
      <c r="AZ1193">
        <v>47.6</v>
      </c>
      <c r="BA1193">
        <v>19.100000000000001</v>
      </c>
    </row>
    <row r="1194" spans="1:53" x14ac:dyDescent="0.3">
      <c r="A1194" s="11">
        <v>43791</v>
      </c>
      <c r="B1194">
        <v>0.57345971563981002</v>
      </c>
      <c r="C1194">
        <v>3103.54</v>
      </c>
      <c r="D1194">
        <v>139.72</v>
      </c>
      <c r="E1194">
        <v>1464.63</v>
      </c>
      <c r="F1194">
        <v>84.75</v>
      </c>
      <c r="G1194">
        <v>47.83</v>
      </c>
      <c r="H1194" s="12">
        <f t="shared" si="168"/>
        <v>89.838639637431527</v>
      </c>
      <c r="I1194" s="12">
        <f t="shared" si="169"/>
        <v>85.9170120701108</v>
      </c>
      <c r="J1194" s="12">
        <f t="shared" si="170"/>
        <v>105.3383645701288</v>
      </c>
      <c r="K1194" s="12">
        <f t="shared" si="171"/>
        <v>104.32078989914649</v>
      </c>
      <c r="P1194" s="12"/>
      <c r="Q1194" s="12"/>
      <c r="R1194" s="12"/>
      <c r="S1194" s="12"/>
      <c r="V1194">
        <v>0.44908616187989597</v>
      </c>
      <c r="W1194" s="12"/>
      <c r="X1194" s="12"/>
      <c r="AY1194" t="str">
        <v>24/01/2020</v>
      </c>
      <c r="AZ1194">
        <v>52.8</v>
      </c>
      <c r="BA1194">
        <v>18.899999999999999</v>
      </c>
    </row>
    <row r="1195" spans="1:53" x14ac:dyDescent="0.3">
      <c r="A1195" s="11">
        <v>43790</v>
      </c>
      <c r="B1195">
        <v>0.57845433255269296</v>
      </c>
      <c r="C1195">
        <v>3108.46</v>
      </c>
      <c r="D1195">
        <v>140.6</v>
      </c>
      <c r="E1195">
        <v>1471.44</v>
      </c>
      <c r="F1195">
        <v>84.79</v>
      </c>
      <c r="G1195">
        <v>47.88</v>
      </c>
      <c r="H1195" s="12">
        <f t="shared" si="168"/>
        <v>89.420499265331046</v>
      </c>
      <c r="I1195" s="12">
        <f t="shared" si="169"/>
        <v>85.656159763278055</v>
      </c>
      <c r="J1195" s="12">
        <f t="shared" si="170"/>
        <v>105.45552814846656</v>
      </c>
      <c r="K1195" s="12">
        <f t="shared" si="171"/>
        <v>104.37699690819815</v>
      </c>
      <c r="P1195" s="12"/>
      <c r="Q1195" s="12"/>
      <c r="R1195" s="12"/>
      <c r="S1195" s="12"/>
      <c r="V1195">
        <v>0.44937949052906601</v>
      </c>
      <c r="W1195" s="12"/>
      <c r="X1195" s="12"/>
      <c r="AY1195" t="str">
        <v>23/01/2020</v>
      </c>
      <c r="AZ1195">
        <v>52.8</v>
      </c>
      <c r="BA1195">
        <v>18.899999999999999</v>
      </c>
    </row>
    <row r="1196" spans="1:53" x14ac:dyDescent="0.3">
      <c r="A1196" s="11">
        <v>43789</v>
      </c>
      <c r="B1196">
        <v>0.57882352941176496</v>
      </c>
      <c r="C1196">
        <v>3120.18</v>
      </c>
      <c r="D1196">
        <v>139.16</v>
      </c>
      <c r="E1196">
        <v>1472.64</v>
      </c>
      <c r="F1196">
        <v>84.75</v>
      </c>
      <c r="G1196">
        <v>48.15</v>
      </c>
      <c r="H1196" s="12">
        <f t="shared" si="168"/>
        <v>90.699727739693131</v>
      </c>
      <c r="I1196" s="12">
        <f t="shared" si="169"/>
        <v>85.908846068137237</v>
      </c>
      <c r="J1196" s="12">
        <f t="shared" si="170"/>
        <v>105.90330532207091</v>
      </c>
      <c r="K1196" s="12">
        <f t="shared" si="171"/>
        <v>104.18412260454711</v>
      </c>
      <c r="P1196" s="12"/>
      <c r="Q1196" s="12"/>
      <c r="R1196" s="12"/>
      <c r="S1196" s="12"/>
      <c r="V1196">
        <v>0.447800393959291</v>
      </c>
      <c r="W1196" s="12"/>
      <c r="X1196" s="12"/>
      <c r="AY1196" t="str">
        <v>22/01/2020</v>
      </c>
      <c r="AZ1196">
        <v>52.8</v>
      </c>
      <c r="BA1196">
        <v>18.899999999999999</v>
      </c>
    </row>
    <row r="1197" spans="1:53" x14ac:dyDescent="0.3">
      <c r="A1197" s="11">
        <v>43788</v>
      </c>
      <c r="B1197">
        <v>0.58056872037914697</v>
      </c>
      <c r="C1197">
        <v>3122.03</v>
      </c>
      <c r="D1197">
        <v>138.01</v>
      </c>
      <c r="E1197">
        <v>1471.33</v>
      </c>
      <c r="F1197">
        <v>84.76</v>
      </c>
      <c r="G1197">
        <v>48.19</v>
      </c>
      <c r="H1197" s="12">
        <f t="shared" si="168"/>
        <v>91.516539641455992</v>
      </c>
      <c r="I1197" s="12">
        <f t="shared" si="169"/>
        <v>86.036430702536506</v>
      </c>
      <c r="J1197" s="12">
        <f t="shared" si="170"/>
        <v>105.95358909347114</v>
      </c>
      <c r="K1197" s="12">
        <f t="shared" si="171"/>
        <v>104.15938635895509</v>
      </c>
      <c r="P1197" s="12"/>
      <c r="Q1197" s="12"/>
      <c r="R1197" s="12"/>
      <c r="S1197" s="12"/>
      <c r="V1197">
        <v>0.43815104166666702</v>
      </c>
      <c r="W1197" s="12"/>
      <c r="X1197" s="12"/>
      <c r="AY1197" t="str">
        <v>21/01/2020</v>
      </c>
      <c r="AZ1197">
        <v>52.8</v>
      </c>
      <c r="BA1197">
        <v>18.899999999999999</v>
      </c>
    </row>
    <row r="1198" spans="1:53" x14ac:dyDescent="0.3">
      <c r="A1198" s="11">
        <v>43785</v>
      </c>
      <c r="B1198">
        <v>0.578231292517007</v>
      </c>
      <c r="C1198">
        <v>3120.46</v>
      </c>
      <c r="D1198">
        <v>137.76</v>
      </c>
      <c r="E1198">
        <v>1466.55</v>
      </c>
      <c r="F1198">
        <v>84.72</v>
      </c>
      <c r="G1198">
        <v>48.2</v>
      </c>
      <c r="H1198" s="12">
        <f t="shared" si="168"/>
        <v>91.636732151758054</v>
      </c>
      <c r="I1198" s="12">
        <f t="shared" si="169"/>
        <v>86.274221370266503</v>
      </c>
      <c r="J1198" s="12">
        <f t="shared" si="170"/>
        <v>105.95030596715795</v>
      </c>
      <c r="K1198" s="12">
        <f t="shared" si="171"/>
        <v>104.08542327504624</v>
      </c>
      <c r="P1198" s="12"/>
      <c r="Q1198" s="12"/>
      <c r="R1198" s="12"/>
      <c r="S1198" s="12"/>
      <c r="V1198">
        <v>0.43815104166666702</v>
      </c>
      <c r="W1198" s="12"/>
      <c r="X1198" s="12"/>
      <c r="AY1198" t="str">
        <v>20/01/2020</v>
      </c>
      <c r="AZ1198">
        <v>52.8</v>
      </c>
      <c r="BA1198">
        <v>18.899999999999999</v>
      </c>
    </row>
    <row r="1199" spans="1:53" x14ac:dyDescent="0.3">
      <c r="A1199" s="11">
        <v>43784</v>
      </c>
      <c r="B1199">
        <v>0.57305936073059405</v>
      </c>
      <c r="C1199">
        <v>3096.63</v>
      </c>
      <c r="D1199">
        <v>137.91</v>
      </c>
      <c r="E1199">
        <v>1471.17</v>
      </c>
      <c r="F1199">
        <v>84.75</v>
      </c>
      <c r="G1199">
        <v>47.84</v>
      </c>
      <c r="H1199" s="12">
        <f t="shared" si="168"/>
        <v>90.838882586315549</v>
      </c>
      <c r="I1199" s="12">
        <f t="shared" si="169"/>
        <v>85.349390721544736</v>
      </c>
      <c r="J1199" s="12">
        <f t="shared" si="170"/>
        <v>105.10427490934246</v>
      </c>
      <c r="K1199" s="12">
        <f t="shared" si="171"/>
        <v>104.0676923387435</v>
      </c>
      <c r="P1199" s="12"/>
      <c r="Q1199" s="12"/>
      <c r="R1199" s="12"/>
      <c r="S1199" s="12"/>
      <c r="V1199">
        <v>0.43300330033003298</v>
      </c>
      <c r="W1199" s="12"/>
      <c r="X1199" s="12"/>
      <c r="AY1199" t="str">
        <v>17/01/2020</v>
      </c>
      <c r="AZ1199">
        <v>59.4</v>
      </c>
      <c r="BA1199">
        <v>17.899999999999999</v>
      </c>
    </row>
    <row r="1200" spans="1:53" x14ac:dyDescent="0.3">
      <c r="A1200" s="11">
        <v>43783</v>
      </c>
      <c r="B1200">
        <v>0.56979405034324904</v>
      </c>
      <c r="C1200">
        <v>3094.04</v>
      </c>
      <c r="D1200">
        <v>136.5</v>
      </c>
      <c r="E1200">
        <v>1463.56</v>
      </c>
      <c r="F1200">
        <v>84.67</v>
      </c>
      <c r="G1200">
        <v>47.92</v>
      </c>
      <c r="H1200" s="12">
        <f t="shared" si="168"/>
        <v>91.709441528939706</v>
      </c>
      <c r="I1200" s="12">
        <f t="shared" si="169"/>
        <v>85.723363775202287</v>
      </c>
      <c r="J1200" s="12">
        <f t="shared" si="170"/>
        <v>105.11560126684057</v>
      </c>
      <c r="K1200" s="12">
        <f t="shared" si="171"/>
        <v>103.80749445949654</v>
      </c>
      <c r="P1200" s="12"/>
      <c r="Q1200" s="12"/>
      <c r="R1200" s="12"/>
      <c r="S1200" s="12"/>
      <c r="V1200">
        <v>0.42617449664429502</v>
      </c>
      <c r="W1200" s="12"/>
      <c r="X1200" s="12"/>
      <c r="AY1200" t="str">
        <v>16/01/2020</v>
      </c>
      <c r="AZ1200">
        <v>59.4</v>
      </c>
      <c r="BA1200">
        <v>17.899999999999999</v>
      </c>
    </row>
    <row r="1201" spans="1:53" x14ac:dyDescent="0.3">
      <c r="A1201" s="11">
        <v>43782</v>
      </c>
      <c r="B1201">
        <v>0.56422018348623804</v>
      </c>
      <c r="C1201">
        <v>3091.84</v>
      </c>
      <c r="D1201">
        <v>135.62</v>
      </c>
      <c r="E1201">
        <v>1456.44</v>
      </c>
      <c r="F1201">
        <v>84.63</v>
      </c>
      <c r="G1201">
        <v>48.14</v>
      </c>
      <c r="H1201" s="12">
        <f t="shared" si="168"/>
        <v>92.242341036690107</v>
      </c>
      <c r="I1201" s="12">
        <f t="shared" si="169"/>
        <v>86.082939284518304</v>
      </c>
      <c r="J1201" s="12">
        <f t="shared" si="170"/>
        <v>105.09049464641869</v>
      </c>
      <c r="K1201" s="12">
        <f t="shared" si="171"/>
        <v>103.26210999178089</v>
      </c>
      <c r="P1201" s="12"/>
      <c r="Q1201" s="12"/>
      <c r="R1201" s="12"/>
      <c r="S1201" s="12"/>
      <c r="V1201">
        <v>0.42318059299191402</v>
      </c>
      <c r="W1201" s="12"/>
      <c r="X1201" s="12"/>
      <c r="AY1201" t="str">
        <v>15/01/2020</v>
      </c>
      <c r="AZ1201">
        <v>59.4</v>
      </c>
      <c r="BA1201">
        <v>17.899999999999999</v>
      </c>
    </row>
    <row r="1202" spans="1:53" x14ac:dyDescent="0.3">
      <c r="A1202" s="11">
        <v>43781</v>
      </c>
      <c r="B1202">
        <v>0.56581986143187102</v>
      </c>
      <c r="C1202">
        <v>3087.01</v>
      </c>
      <c r="D1202">
        <v>135</v>
      </c>
      <c r="E1202">
        <v>1455.81</v>
      </c>
      <c r="F1202">
        <v>84.62</v>
      </c>
      <c r="G1202">
        <v>48.19</v>
      </c>
      <c r="H1202" s="12">
        <f t="shared" si="168"/>
        <v>92.522496548090643</v>
      </c>
      <c r="I1202" s="12">
        <f t="shared" si="169"/>
        <v>85.985614574729766</v>
      </c>
      <c r="J1202" s="12">
        <f t="shared" si="170"/>
        <v>104.93870653605299</v>
      </c>
      <c r="K1202" s="12">
        <f t="shared" si="171"/>
        <v>102.99410075719015</v>
      </c>
      <c r="P1202" s="12"/>
      <c r="Q1202" s="12"/>
      <c r="R1202" s="12"/>
      <c r="S1202" s="12"/>
      <c r="V1202">
        <v>0.41862567811934898</v>
      </c>
      <c r="W1202" s="12"/>
      <c r="X1202" s="12"/>
      <c r="AY1202" t="str">
        <v>14/01/2020</v>
      </c>
      <c r="AZ1202">
        <v>59.4</v>
      </c>
      <c r="BA1202">
        <v>17.899999999999999</v>
      </c>
    </row>
    <row r="1203" spans="1:53" x14ac:dyDescent="0.3">
      <c r="A1203" s="11">
        <v>43778</v>
      </c>
      <c r="B1203">
        <v>0.55402298850574705</v>
      </c>
      <c r="C1203">
        <v>3093.08</v>
      </c>
      <c r="D1203">
        <v>134.91</v>
      </c>
      <c r="E1203">
        <v>1458.75</v>
      </c>
      <c r="F1203">
        <v>84.6</v>
      </c>
      <c r="G1203">
        <v>48.35</v>
      </c>
      <c r="H1203" s="12">
        <f t="shared" si="168"/>
        <v>92.766431130056134</v>
      </c>
      <c r="I1203" s="12">
        <f t="shared" si="169"/>
        <v>85.981059387256494</v>
      </c>
      <c r="J1203" s="12">
        <f t="shared" si="170"/>
        <v>105.16995969329592</v>
      </c>
      <c r="K1203" s="12">
        <f t="shared" si="171"/>
        <v>102.85557912940057</v>
      </c>
      <c r="P1203" s="12"/>
      <c r="Q1203" s="12"/>
      <c r="R1203" s="12"/>
      <c r="S1203" s="12"/>
      <c r="V1203">
        <v>0.41541186891053999</v>
      </c>
      <c r="W1203" s="12"/>
      <c r="X1203" s="12"/>
      <c r="AY1203" t="str">
        <v>13/01/2020</v>
      </c>
      <c r="AZ1203">
        <v>59.4</v>
      </c>
      <c r="BA1203">
        <v>17.899999999999999</v>
      </c>
    </row>
    <row r="1204" spans="1:53" x14ac:dyDescent="0.3">
      <c r="A1204" s="11">
        <v>43777</v>
      </c>
      <c r="B1204">
        <v>0.54883720930232605</v>
      </c>
      <c r="C1204">
        <v>3085.18</v>
      </c>
      <c r="D1204">
        <v>135.47999999999999</v>
      </c>
      <c r="E1204">
        <v>1468.8</v>
      </c>
      <c r="F1204">
        <v>84.59</v>
      </c>
      <c r="G1204">
        <v>48.49</v>
      </c>
      <c r="H1204" s="12">
        <f t="shared" si="168"/>
        <v>92.142818520935265</v>
      </c>
      <c r="I1204" s="12">
        <f t="shared" si="169"/>
        <v>85.180115124707328</v>
      </c>
      <c r="J1204" s="12">
        <f t="shared" si="170"/>
        <v>104.91371724792138</v>
      </c>
      <c r="K1204" s="12">
        <f t="shared" si="171"/>
        <v>102.29827635052145</v>
      </c>
      <c r="P1204" s="12"/>
      <c r="Q1204" s="12"/>
      <c r="R1204" s="12"/>
      <c r="S1204" s="12"/>
      <c r="V1204">
        <v>0.42110009017132499</v>
      </c>
      <c r="W1204" s="12"/>
      <c r="X1204" s="12"/>
      <c r="AY1204" t="str">
        <v>10/01/2020</v>
      </c>
      <c r="AZ1204">
        <v>57</v>
      </c>
      <c r="BA1204">
        <v>17.8</v>
      </c>
    </row>
    <row r="1205" spans="1:53" x14ac:dyDescent="0.3">
      <c r="A1205" s="11">
        <v>43776</v>
      </c>
      <c r="B1205">
        <v>0.52235294117647102</v>
      </c>
      <c r="C1205">
        <v>3076.78</v>
      </c>
      <c r="D1205">
        <v>137.97999999999999</v>
      </c>
      <c r="E1205">
        <v>1490.49</v>
      </c>
      <c r="F1205">
        <v>84.69</v>
      </c>
      <c r="G1205">
        <v>48.29</v>
      </c>
      <c r="H1205" s="12">
        <f t="shared" si="168"/>
        <v>90.260994587092455</v>
      </c>
      <c r="I1205" s="12">
        <f t="shared" si="169"/>
        <v>83.733008754901135</v>
      </c>
      <c r="J1205" s="12">
        <f t="shared" si="170"/>
        <v>104.50500820354527</v>
      </c>
      <c r="K1205" s="12">
        <f t="shared" si="171"/>
        <v>102.44287624073843</v>
      </c>
      <c r="P1205" s="12"/>
      <c r="Q1205" s="12"/>
      <c r="R1205" s="12"/>
      <c r="S1205" s="12"/>
      <c r="V1205">
        <v>0.42124212421242102</v>
      </c>
      <c r="W1205" s="12"/>
      <c r="X1205" s="12"/>
      <c r="AY1205" t="str">
        <v>09/01/2020</v>
      </c>
      <c r="AZ1205">
        <v>57</v>
      </c>
      <c r="BA1205">
        <v>17.8</v>
      </c>
    </row>
    <row r="1206" spans="1:53" x14ac:dyDescent="0.3">
      <c r="A1206" s="11">
        <v>43775</v>
      </c>
      <c r="B1206">
        <v>0.523696682464455</v>
      </c>
      <c r="C1206">
        <v>3074.62</v>
      </c>
      <c r="D1206">
        <v>137.15</v>
      </c>
      <c r="E1206">
        <v>1483.75</v>
      </c>
      <c r="F1206">
        <v>84.64</v>
      </c>
      <c r="G1206">
        <v>48.33</v>
      </c>
      <c r="H1206" s="12">
        <f t="shared" si="168"/>
        <v>90.746419170775255</v>
      </c>
      <c r="I1206" s="12">
        <f t="shared" si="169"/>
        <v>84.055784513096043</v>
      </c>
      <c r="J1206" s="12">
        <f t="shared" si="170"/>
        <v>104.49332704075211</v>
      </c>
      <c r="K1206" s="12">
        <f t="shared" si="171"/>
        <v>102.2863608093827</v>
      </c>
      <c r="P1206" s="12"/>
      <c r="Q1206" s="12"/>
      <c r="R1206" s="12"/>
      <c r="S1206" s="12"/>
      <c r="V1206">
        <v>0.41826484018264798</v>
      </c>
      <c r="W1206" s="12"/>
      <c r="X1206" s="12"/>
      <c r="AY1206" t="str">
        <v>08/01/2020</v>
      </c>
      <c r="AZ1206">
        <v>57</v>
      </c>
      <c r="BA1206">
        <v>17.8</v>
      </c>
    </row>
    <row r="1207" spans="1:53" x14ac:dyDescent="0.3">
      <c r="A1207" s="11">
        <v>43774</v>
      </c>
      <c r="B1207">
        <v>0.50966183574879198</v>
      </c>
      <c r="C1207">
        <v>3078.27</v>
      </c>
      <c r="D1207">
        <v>138.71</v>
      </c>
      <c r="E1207">
        <v>1509.72</v>
      </c>
      <c r="F1207">
        <v>84.7</v>
      </c>
      <c r="G1207">
        <v>48.29</v>
      </c>
      <c r="H1207" s="12">
        <f t="shared" si="168"/>
        <v>89.842535475274218</v>
      </c>
      <c r="I1207" s="12">
        <f t="shared" si="169"/>
        <v>82.730757588791889</v>
      </c>
      <c r="J1207" s="12">
        <f t="shared" si="170"/>
        <v>104.54323058666444</v>
      </c>
      <c r="K1207" s="12">
        <f t="shared" si="171"/>
        <v>102.49278741156344</v>
      </c>
      <c r="P1207" s="12"/>
      <c r="Q1207" s="12"/>
      <c r="R1207" s="12"/>
      <c r="S1207" s="12"/>
      <c r="V1207">
        <v>0.41974169741697398</v>
      </c>
      <c r="W1207" s="12"/>
      <c r="X1207" s="12"/>
      <c r="AY1207" t="str">
        <v>07/01/2020</v>
      </c>
      <c r="AZ1207">
        <v>57</v>
      </c>
      <c r="BA1207">
        <v>17.8</v>
      </c>
    </row>
    <row r="1208" spans="1:53" x14ac:dyDescent="0.3">
      <c r="A1208" s="11">
        <v>43771</v>
      </c>
      <c r="B1208">
        <v>0.50602409638554202</v>
      </c>
      <c r="C1208">
        <v>3066.91</v>
      </c>
      <c r="D1208">
        <v>140.56</v>
      </c>
      <c r="E1208">
        <v>1513.95</v>
      </c>
      <c r="F1208">
        <v>84.76</v>
      </c>
      <c r="G1208">
        <v>47.99</v>
      </c>
      <c r="H1208" s="12">
        <f t="shared" si="168"/>
        <v>88.352410831739562</v>
      </c>
      <c r="I1208" s="12">
        <f t="shared" si="169"/>
        <v>82.196638115741578</v>
      </c>
      <c r="J1208" s="12">
        <f t="shared" si="170"/>
        <v>104.0840186624696</v>
      </c>
      <c r="K1208" s="12">
        <f t="shared" si="171"/>
        <v>102.75452872427118</v>
      </c>
      <c r="P1208" s="12"/>
      <c r="Q1208" s="12"/>
      <c r="R1208" s="12"/>
      <c r="S1208" s="12"/>
      <c r="V1208">
        <v>0.40888485947416098</v>
      </c>
      <c r="W1208" s="12"/>
      <c r="X1208" s="12"/>
      <c r="AY1208" t="str">
        <v>06/01/2020</v>
      </c>
      <c r="AZ1208">
        <v>57</v>
      </c>
      <c r="BA1208">
        <v>17.8</v>
      </c>
    </row>
    <row r="1209" spans="1:53" x14ac:dyDescent="0.3">
      <c r="A1209" s="11">
        <v>43769</v>
      </c>
      <c r="B1209">
        <v>0.49512195121951202</v>
      </c>
      <c r="C1209">
        <v>3037.56</v>
      </c>
      <c r="D1209">
        <v>141.24</v>
      </c>
      <c r="E1209">
        <v>1513</v>
      </c>
      <c r="F1209">
        <v>84.95</v>
      </c>
      <c r="G1209">
        <v>47.47</v>
      </c>
      <c r="H1209" s="12">
        <f t="shared" si="168"/>
        <v>87.091597899030475</v>
      </c>
      <c r="I1209" s="12">
        <f t="shared" si="169"/>
        <v>81.460684092801685</v>
      </c>
      <c r="J1209" s="12">
        <f t="shared" si="170"/>
        <v>102.860089507292</v>
      </c>
      <c r="K1209" s="12">
        <f t="shared" si="171"/>
        <v>102.88745173313509</v>
      </c>
      <c r="P1209" s="12"/>
      <c r="Q1209" s="12"/>
      <c r="R1209" s="12"/>
      <c r="S1209" s="12"/>
      <c r="V1209">
        <v>0.40513290559120102</v>
      </c>
      <c r="W1209" s="12"/>
      <c r="X1209" s="12"/>
      <c r="AY1209" t="str">
        <v>03/01/2020</v>
      </c>
      <c r="AZ1209">
        <v>55.1</v>
      </c>
      <c r="BA1209">
        <v>17.8</v>
      </c>
    </row>
    <row r="1210" spans="1:53" x14ac:dyDescent="0.3">
      <c r="A1210" s="11">
        <v>43769</v>
      </c>
      <c r="B1210">
        <v>0.47448979591836699</v>
      </c>
      <c r="C1210">
        <v>3046.77</v>
      </c>
      <c r="D1210">
        <v>139.36000000000001</v>
      </c>
      <c r="E1210">
        <v>1495.9</v>
      </c>
      <c r="F1210">
        <v>84.8</v>
      </c>
      <c r="G1210">
        <v>47.7</v>
      </c>
      <c r="H1210" s="12">
        <f t="shared" si="168"/>
        <v>88.553898565987268</v>
      </c>
      <c r="I1210" s="12">
        <f t="shared" si="169"/>
        <v>82.655394992118602</v>
      </c>
      <c r="J1210" s="12">
        <f t="shared" si="170"/>
        <v>103.35534156897475</v>
      </c>
      <c r="K1210" s="12">
        <f t="shared" si="171"/>
        <v>102.70269681887595</v>
      </c>
      <c r="P1210" s="12"/>
      <c r="Q1210" s="12"/>
      <c r="R1210" s="12"/>
      <c r="S1210" s="12"/>
      <c r="V1210">
        <v>0.39981273408239698</v>
      </c>
      <c r="W1210" s="12"/>
      <c r="X1210" s="12"/>
      <c r="AY1210" t="str">
        <v>02/01/2020</v>
      </c>
      <c r="AZ1210">
        <v>55.1</v>
      </c>
      <c r="BA1210">
        <v>17.8</v>
      </c>
    </row>
    <row r="1211" spans="1:53" x14ac:dyDescent="0.3">
      <c r="A1211" s="11">
        <v>43768</v>
      </c>
      <c r="B1211">
        <v>0.47545219638242903</v>
      </c>
      <c r="C1211">
        <v>3036.89</v>
      </c>
      <c r="D1211">
        <v>137.35</v>
      </c>
      <c r="E1211">
        <v>1487.82</v>
      </c>
      <c r="F1211">
        <v>84.75</v>
      </c>
      <c r="G1211">
        <v>47.48</v>
      </c>
      <c r="H1211" s="12">
        <f t="shared" si="168"/>
        <v>89.573316184188229</v>
      </c>
      <c r="I1211" s="12">
        <f t="shared" si="169"/>
        <v>82.835764587385157</v>
      </c>
      <c r="J1211" s="12">
        <f t="shared" si="170"/>
        <v>103.0808005211717</v>
      </c>
      <c r="K1211" s="12">
        <f t="shared" si="171"/>
        <v>102.84464316680913</v>
      </c>
      <c r="P1211" s="12"/>
      <c r="Q1211" s="12"/>
      <c r="R1211" s="12"/>
      <c r="S1211" s="12"/>
      <c r="V1211">
        <v>0.39339622641509397</v>
      </c>
      <c r="W1211" s="12"/>
      <c r="X1211" s="12"/>
      <c r="AY1211" t="str">
        <v>01/01/2020</v>
      </c>
      <c r="AZ1211">
        <v>55.1</v>
      </c>
      <c r="BA1211">
        <v>17.8</v>
      </c>
    </row>
    <row r="1212" spans="1:53" x14ac:dyDescent="0.3">
      <c r="A1212" s="11">
        <v>43767</v>
      </c>
      <c r="B1212">
        <v>0.47074468085106402</v>
      </c>
      <c r="C1212">
        <v>3039.42</v>
      </c>
      <c r="D1212">
        <v>137.26</v>
      </c>
      <c r="E1212">
        <v>1492.63</v>
      </c>
      <c r="F1212">
        <v>84.73</v>
      </c>
      <c r="G1212">
        <v>47.6</v>
      </c>
      <c r="H1212" s="12">
        <f t="shared" si="168"/>
        <v>89.706807591526868</v>
      </c>
      <c r="I1212" s="12">
        <f t="shared" si="169"/>
        <v>82.638250555311672</v>
      </c>
      <c r="J1212" s="12">
        <f t="shared" si="170"/>
        <v>103.19105392527912</v>
      </c>
      <c r="K1212" s="12">
        <f t="shared" si="171"/>
        <v>102.6712711493977</v>
      </c>
      <c r="P1212" s="12"/>
      <c r="Q1212" s="12"/>
      <c r="R1212" s="12"/>
      <c r="S1212" s="12"/>
      <c r="V1212">
        <v>0.38783269961977201</v>
      </c>
      <c r="W1212" s="12"/>
      <c r="X1212" s="12"/>
      <c r="AY1212" t="str">
        <v>31/12/2019</v>
      </c>
      <c r="AZ1212">
        <v>55.1</v>
      </c>
      <c r="BA1212">
        <v>17.8</v>
      </c>
    </row>
    <row r="1213" spans="1:53" x14ac:dyDescent="0.3">
      <c r="A1213" s="11">
        <v>43764</v>
      </c>
      <c r="B1213">
        <v>0.452380952380952</v>
      </c>
      <c r="C1213">
        <v>3022.55</v>
      </c>
      <c r="D1213">
        <v>138.52000000000001</v>
      </c>
      <c r="E1213">
        <v>1504.73</v>
      </c>
      <c r="F1213">
        <v>84.76</v>
      </c>
      <c r="G1213">
        <v>47.35</v>
      </c>
      <c r="H1213" s="12">
        <f t="shared" si="168"/>
        <v>88.40917839583723</v>
      </c>
      <c r="I1213" s="12">
        <f t="shared" si="169"/>
        <v>81.527625017937766</v>
      </c>
      <c r="J1213" s="12">
        <f t="shared" si="170"/>
        <v>102.58219571625114</v>
      </c>
      <c r="K1213" s="12">
        <f t="shared" si="171"/>
        <v>102.64032007222181</v>
      </c>
      <c r="P1213" s="12"/>
      <c r="Q1213" s="12"/>
      <c r="R1213" s="12"/>
      <c r="S1213" s="12"/>
      <c r="V1213">
        <v>0.39428571428571402</v>
      </c>
      <c r="W1213" s="12"/>
      <c r="X1213" s="12"/>
      <c r="AY1213" t="str">
        <v>30/12/2019</v>
      </c>
      <c r="AZ1213">
        <v>55.1</v>
      </c>
      <c r="BA1213">
        <v>17.8</v>
      </c>
    </row>
    <row r="1214" spans="1:53" x14ac:dyDescent="0.3">
      <c r="A1214" s="11">
        <v>43763</v>
      </c>
      <c r="B1214">
        <v>0.445623342175066</v>
      </c>
      <c r="C1214">
        <v>3010.29</v>
      </c>
      <c r="D1214">
        <v>139.19999999999999</v>
      </c>
      <c r="E1214">
        <v>1503.66</v>
      </c>
      <c r="F1214">
        <v>84.81</v>
      </c>
      <c r="G1214">
        <v>47.3</v>
      </c>
      <c r="H1214" s="12">
        <f t="shared" si="168"/>
        <v>87.624261745801704</v>
      </c>
      <c r="I1214" s="12">
        <f t="shared" si="169"/>
        <v>81.254520426717363</v>
      </c>
      <c r="J1214" s="12">
        <f t="shared" si="170"/>
        <v>102.10615126822633</v>
      </c>
      <c r="K1214" s="12">
        <f t="shared" si="171"/>
        <v>102.33172699539479</v>
      </c>
      <c r="P1214" s="12"/>
      <c r="Q1214" s="12"/>
      <c r="R1214" s="12"/>
      <c r="S1214" s="12"/>
      <c r="V1214">
        <v>0.38314176245210702</v>
      </c>
      <c r="W1214" s="12"/>
      <c r="X1214" s="12"/>
      <c r="AY1214" t="str">
        <v>27/12/2019</v>
      </c>
      <c r="AZ1214">
        <v>58.9</v>
      </c>
      <c r="BA1214">
        <v>17.8</v>
      </c>
    </row>
    <row r="1215" spans="1:53" x14ac:dyDescent="0.3">
      <c r="A1215" s="11">
        <v>43762</v>
      </c>
      <c r="B1215">
        <v>0.41239892183288401</v>
      </c>
      <c r="C1215">
        <v>3004.52</v>
      </c>
      <c r="D1215">
        <v>139.47999999999999</v>
      </c>
      <c r="E1215">
        <v>1492.1</v>
      </c>
      <c r="F1215">
        <v>84.81</v>
      </c>
      <c r="G1215">
        <v>47.16</v>
      </c>
      <c r="H1215" s="12">
        <f t="shared" si="168"/>
        <v>87.281429356623889</v>
      </c>
      <c r="I1215" s="12">
        <f t="shared" si="169"/>
        <v>81.730768075504827</v>
      </c>
      <c r="J1215" s="12">
        <f t="shared" si="170"/>
        <v>101.91043839909489</v>
      </c>
      <c r="K1215" s="12">
        <f t="shared" si="171"/>
        <v>102.43910136700023</v>
      </c>
      <c r="P1215" s="12"/>
      <c r="Q1215" s="12"/>
      <c r="R1215" s="12"/>
      <c r="S1215" s="12"/>
      <c r="V1215">
        <v>0.38834951456310701</v>
      </c>
      <c r="W1215" s="12"/>
      <c r="X1215" s="12"/>
      <c r="AY1215" t="str">
        <v>26/12/2019</v>
      </c>
      <c r="AZ1215">
        <v>58.9</v>
      </c>
      <c r="BA1215">
        <v>17.8</v>
      </c>
    </row>
    <row r="1216" spans="1:53" x14ac:dyDescent="0.3">
      <c r="A1216" s="11">
        <v>43761</v>
      </c>
      <c r="B1216">
        <v>0.36986301369863001</v>
      </c>
      <c r="C1216">
        <v>2995.99</v>
      </c>
      <c r="D1216">
        <v>139.34</v>
      </c>
      <c r="E1216">
        <v>1487.75</v>
      </c>
      <c r="F1216">
        <v>84.82</v>
      </c>
      <c r="G1216">
        <v>47.05</v>
      </c>
      <c r="H1216" s="12">
        <f t="shared" si="168"/>
        <v>87.120917569555061</v>
      </c>
      <c r="I1216" s="12">
        <f t="shared" si="169"/>
        <v>81.73704052128231</v>
      </c>
      <c r="J1216" s="12">
        <f t="shared" si="170"/>
        <v>101.60916359836638</v>
      </c>
      <c r="K1216" s="12">
        <f t="shared" si="171"/>
        <v>102.38696585787424</v>
      </c>
      <c r="P1216" s="12"/>
      <c r="Q1216" s="12"/>
      <c r="R1216" s="12"/>
      <c r="S1216" s="12"/>
      <c r="V1216">
        <v>0.39420289855072499</v>
      </c>
      <c r="W1216" s="12"/>
      <c r="X1216" s="12"/>
      <c r="AY1216" t="str">
        <v>25/12/2019</v>
      </c>
      <c r="AZ1216">
        <v>58.9</v>
      </c>
      <c r="BA1216">
        <v>17.8</v>
      </c>
    </row>
    <row r="1217" spans="1:53" x14ac:dyDescent="0.3">
      <c r="A1217" s="11">
        <v>43760</v>
      </c>
      <c r="B1217">
        <v>0.36592178770949702</v>
      </c>
      <c r="C1217">
        <v>3006.72</v>
      </c>
      <c r="D1217">
        <v>138.53</v>
      </c>
      <c r="E1217">
        <v>1484.5</v>
      </c>
      <c r="F1217">
        <v>84.79</v>
      </c>
      <c r="G1217">
        <v>47.14</v>
      </c>
      <c r="H1217" s="12">
        <f t="shared" si="168"/>
        <v>87.949026409016611</v>
      </c>
      <c r="I1217" s="12">
        <f t="shared" si="169"/>
        <v>82.210404922188943</v>
      </c>
      <c r="J1217" s="12">
        <f t="shared" si="170"/>
        <v>102.00929384444841</v>
      </c>
      <c r="K1217" s="12">
        <f t="shared" si="171"/>
        <v>102.55715599396015</v>
      </c>
      <c r="P1217" s="12"/>
      <c r="Q1217" s="12"/>
      <c r="R1217" s="12"/>
      <c r="S1217" s="12"/>
      <c r="V1217">
        <v>0.39244186046511598</v>
      </c>
      <c r="W1217" s="12"/>
      <c r="X1217" s="12"/>
      <c r="AY1217" t="str">
        <v>24/12/2019</v>
      </c>
      <c r="AZ1217">
        <v>58.9</v>
      </c>
      <c r="BA1217">
        <v>17.8</v>
      </c>
    </row>
    <row r="1218" spans="1:53" x14ac:dyDescent="0.3">
      <c r="A1218" s="11">
        <v>43757</v>
      </c>
      <c r="B1218">
        <v>0.36723163841807899</v>
      </c>
      <c r="C1218">
        <v>2986.2</v>
      </c>
      <c r="D1218">
        <v>139.58000000000001</v>
      </c>
      <c r="E1218">
        <v>1490.1</v>
      </c>
      <c r="F1218">
        <v>84.83</v>
      </c>
      <c r="G1218">
        <v>46.78</v>
      </c>
      <c r="H1218" s="12">
        <f t="shared" ref="H1218:H1281" si="172">H1219*(1+((C1218/C1219)-(D1218/D1219)))</f>
        <v>86.701036336681085</v>
      </c>
      <c r="I1218" s="12">
        <f t="shared" ref="I1218:I1281" si="173">I1219*(1+((C1218/C1219)-(E1218/E1219)))</f>
        <v>81.345720538798005</v>
      </c>
      <c r="J1218" s="12">
        <f t="shared" si="170"/>
        <v>101.26568566640211</v>
      </c>
      <c r="K1218" s="12">
        <f t="shared" si="171"/>
        <v>102.64173144689099</v>
      </c>
      <c r="P1218" s="12"/>
      <c r="Q1218" s="12"/>
      <c r="R1218" s="12"/>
      <c r="S1218" s="12"/>
      <c r="V1218">
        <v>0.39168278529980699</v>
      </c>
      <c r="W1218" s="12"/>
      <c r="X1218" s="12"/>
      <c r="AY1218" t="str">
        <v>23/12/2019</v>
      </c>
      <c r="AZ1218">
        <v>58.9</v>
      </c>
      <c r="BA1218">
        <v>17.8</v>
      </c>
    </row>
    <row r="1219" spans="1:53" x14ac:dyDescent="0.3">
      <c r="A1219" s="11">
        <v>43756</v>
      </c>
      <c r="B1219">
        <v>0.37078651685393299</v>
      </c>
      <c r="C1219">
        <v>2997.95</v>
      </c>
      <c r="D1219">
        <v>139.58000000000001</v>
      </c>
      <c r="E1219">
        <v>1491.9</v>
      </c>
      <c r="F1219">
        <v>84.8</v>
      </c>
      <c r="G1219">
        <v>46.87</v>
      </c>
      <c r="H1219" s="12">
        <f t="shared" si="172"/>
        <v>87.042184678036662</v>
      </c>
      <c r="I1219" s="12">
        <f t="shared" si="173"/>
        <v>81.566997913578717</v>
      </c>
      <c r="J1219" s="12">
        <f t="shared" ref="J1219:J1282" si="174">J1220*(1+((C1219/C1220)-(F1219/F1220)))</f>
        <v>101.7002629384269</v>
      </c>
      <c r="K1219" s="12">
        <f t="shared" ref="K1219:K1282" si="175">K1220*(1+((C1219/C1220)-(G1219/G1220)))</f>
        <v>102.84733768010496</v>
      </c>
      <c r="P1219" s="12"/>
      <c r="Q1219" s="12"/>
      <c r="R1219" s="12"/>
      <c r="S1219" s="12"/>
      <c r="V1219">
        <v>0.389597644749755</v>
      </c>
      <c r="W1219" s="12"/>
      <c r="X1219" s="12"/>
      <c r="AY1219" t="str">
        <v>20/12/2019</v>
      </c>
      <c r="AZ1219" t="e">
        <v>#N/A</v>
      </c>
      <c r="BA1219" t="e">
        <v>#N/A</v>
      </c>
    </row>
    <row r="1220" spans="1:53" x14ac:dyDescent="0.3">
      <c r="A1220" s="11">
        <v>43755</v>
      </c>
      <c r="B1220">
        <v>0.34647887323943699</v>
      </c>
      <c r="C1220">
        <v>2989.69</v>
      </c>
      <c r="D1220">
        <v>139.91999999999999</v>
      </c>
      <c r="E1220">
        <v>1490.08</v>
      </c>
      <c r="F1220">
        <v>84.8</v>
      </c>
      <c r="G1220">
        <v>46.75</v>
      </c>
      <c r="H1220" s="12">
        <f t="shared" si="172"/>
        <v>86.592528017720724</v>
      </c>
      <c r="I1220" s="12">
        <f t="shared" si="173"/>
        <v>81.441462632336837</v>
      </c>
      <c r="J1220" s="12">
        <f t="shared" si="174"/>
        <v>101.42005674023433</v>
      </c>
      <c r="K1220" s="12">
        <f t="shared" si="175"/>
        <v>102.82718526558168</v>
      </c>
      <c r="P1220" s="12"/>
      <c r="Q1220" s="12"/>
      <c r="R1220" s="12"/>
      <c r="S1220" s="12"/>
      <c r="V1220">
        <v>0.39882697947214102</v>
      </c>
      <c r="W1220" s="12"/>
      <c r="X1220" s="12"/>
      <c r="AY1220" t="str">
        <v>19/12/2019</v>
      </c>
      <c r="AZ1220" t="e">
        <v>#N/A</v>
      </c>
      <c r="BA1220" t="e">
        <v>#N/A</v>
      </c>
    </row>
    <row r="1221" spans="1:53" x14ac:dyDescent="0.3">
      <c r="A1221" s="11">
        <v>43754</v>
      </c>
      <c r="B1221">
        <v>0.365439093484419</v>
      </c>
      <c r="C1221">
        <v>2995.68</v>
      </c>
      <c r="D1221">
        <v>139.75</v>
      </c>
      <c r="E1221">
        <v>1481.26</v>
      </c>
      <c r="F1221">
        <v>84.76</v>
      </c>
      <c r="G1221">
        <v>46.69</v>
      </c>
      <c r="H1221" s="12">
        <f t="shared" si="172"/>
        <v>86.871908420392245</v>
      </c>
      <c r="I1221" s="12">
        <f t="shared" si="173"/>
        <v>82.09443654249938</v>
      </c>
      <c r="J1221" s="12">
        <f t="shared" si="174"/>
        <v>101.67133405978267</v>
      </c>
      <c r="K1221" s="12">
        <f t="shared" si="175"/>
        <v>103.16604629375233</v>
      </c>
      <c r="P1221" s="12"/>
      <c r="Q1221" s="12"/>
      <c r="R1221" s="12"/>
      <c r="S1221" s="12"/>
      <c r="V1221">
        <v>0.39244186046511598</v>
      </c>
      <c r="W1221" s="12"/>
      <c r="X1221" s="12"/>
      <c r="AY1221" t="str">
        <v>18/12/2019</v>
      </c>
      <c r="AZ1221" t="e">
        <v>#N/A</v>
      </c>
      <c r="BA1221" t="e">
        <v>#N/A</v>
      </c>
    </row>
    <row r="1222" spans="1:53" x14ac:dyDescent="0.3">
      <c r="A1222" s="11">
        <v>43753</v>
      </c>
      <c r="B1222">
        <v>0.36705202312138702</v>
      </c>
      <c r="C1222">
        <v>2966.15</v>
      </c>
      <c r="D1222">
        <v>141.46</v>
      </c>
      <c r="E1222">
        <v>1493.06</v>
      </c>
      <c r="F1222">
        <v>84.78</v>
      </c>
      <c r="G1222">
        <v>46.22</v>
      </c>
      <c r="H1222" s="12">
        <f t="shared" si="172"/>
        <v>84.998217134957628</v>
      </c>
      <c r="I1222" s="12">
        <f t="shared" si="173"/>
        <v>80.654044136556024</v>
      </c>
      <c r="J1222" s="12">
        <f t="shared" si="174"/>
        <v>100.64559729593998</v>
      </c>
      <c r="K1222" s="12">
        <f t="shared" si="175"/>
        <v>103.18803480514369</v>
      </c>
      <c r="P1222" s="12"/>
      <c r="Q1222" s="12"/>
      <c r="R1222" s="12"/>
      <c r="S1222" s="12"/>
      <c r="V1222">
        <v>0.392023346303502</v>
      </c>
      <c r="W1222" s="12"/>
      <c r="X1222" s="12"/>
      <c r="AY1222" t="str">
        <v>17/12/2019</v>
      </c>
      <c r="AZ1222" t="e">
        <v>#N/A</v>
      </c>
      <c r="BA1222" t="e">
        <v>#N/A</v>
      </c>
    </row>
    <row r="1223" spans="1:53" x14ac:dyDescent="0.3">
      <c r="A1223" s="11">
        <v>43750</v>
      </c>
      <c r="B1223">
        <v>0.33734939759036098</v>
      </c>
      <c r="C1223">
        <v>2970.27</v>
      </c>
      <c r="D1223">
        <v>140.44</v>
      </c>
      <c r="E1223">
        <v>1489.85</v>
      </c>
      <c r="F1223">
        <v>84.77</v>
      </c>
      <c r="G1223">
        <v>46.36</v>
      </c>
      <c r="H1223" s="12">
        <f t="shared" si="172"/>
        <v>85.739864160986556</v>
      </c>
      <c r="I1223" s="12">
        <f t="shared" si="173"/>
        <v>80.940708493623504</v>
      </c>
      <c r="J1223" s="12">
        <f t="shared" si="174"/>
        <v>100.79730182658042</v>
      </c>
      <c r="K1223" s="12">
        <f t="shared" si="175"/>
        <v>103.0198275946579</v>
      </c>
      <c r="P1223" s="12"/>
      <c r="Q1223" s="12"/>
      <c r="R1223" s="12"/>
      <c r="S1223" s="12"/>
      <c r="V1223">
        <v>0.39121951219512202</v>
      </c>
      <c r="W1223" s="12"/>
      <c r="X1223" s="12"/>
      <c r="AY1223" t="str">
        <v>16/12/2019</v>
      </c>
      <c r="AZ1223" t="e">
        <v>#N/A</v>
      </c>
      <c r="BA1223" t="e">
        <v>#N/A</v>
      </c>
    </row>
    <row r="1224" spans="1:53" x14ac:dyDescent="0.3">
      <c r="A1224" s="11">
        <v>43749</v>
      </c>
      <c r="B1224">
        <v>0.329113924050633</v>
      </c>
      <c r="C1224">
        <v>2938.13</v>
      </c>
      <c r="D1224">
        <v>142.19999999999999</v>
      </c>
      <c r="E1224">
        <v>1494.15</v>
      </c>
      <c r="F1224">
        <v>84.85</v>
      </c>
      <c r="G1224">
        <v>45.66</v>
      </c>
      <c r="H1224" s="12">
        <f t="shared" si="172"/>
        <v>83.786313825880043</v>
      </c>
      <c r="I1224" s="12">
        <f t="shared" si="173"/>
        <v>79.837606575803491</v>
      </c>
      <c r="J1224" s="12">
        <f t="shared" si="174"/>
        <v>99.613714497337909</v>
      </c>
      <c r="K1224" s="12">
        <f t="shared" si="175"/>
        <v>103.47426324277633</v>
      </c>
      <c r="P1224" s="12"/>
      <c r="Q1224" s="12"/>
      <c r="R1224" s="12"/>
      <c r="S1224" s="12"/>
      <c r="V1224">
        <v>0.39690222652468499</v>
      </c>
      <c r="W1224" s="12"/>
      <c r="X1224" s="12"/>
      <c r="AY1224" t="str">
        <v>13/12/2019</v>
      </c>
      <c r="AZ1224">
        <v>57.7</v>
      </c>
      <c r="BA1224">
        <v>17.3</v>
      </c>
    </row>
    <row r="1225" spans="1:53" x14ac:dyDescent="0.3">
      <c r="A1225" s="11">
        <v>43748</v>
      </c>
      <c r="B1225">
        <v>0.34615384615384598</v>
      </c>
      <c r="C1225">
        <v>2919.4</v>
      </c>
      <c r="D1225">
        <v>144.35</v>
      </c>
      <c r="E1225">
        <v>1505.41</v>
      </c>
      <c r="F1225">
        <v>84.95</v>
      </c>
      <c r="G1225">
        <v>45.28</v>
      </c>
      <c r="H1225" s="12">
        <f t="shared" si="172"/>
        <v>82.038077805425928</v>
      </c>
      <c r="I1225" s="12">
        <f t="shared" si="173"/>
        <v>78.743435687227276</v>
      </c>
      <c r="J1225" s="12">
        <f t="shared" si="174"/>
        <v>98.863060634966203</v>
      </c>
      <c r="K1225" s="12">
        <f t="shared" si="175"/>
        <v>103.67918767577822</v>
      </c>
      <c r="P1225" s="12"/>
      <c r="Q1225" s="12"/>
      <c r="R1225" s="12"/>
      <c r="S1225" s="12"/>
      <c r="V1225">
        <v>0.40522243713733103</v>
      </c>
      <c r="W1225" s="12"/>
      <c r="X1225" s="12"/>
      <c r="AY1225" t="str">
        <v>12/12/2019</v>
      </c>
      <c r="AZ1225">
        <v>57.7</v>
      </c>
      <c r="BA1225">
        <v>17.3</v>
      </c>
    </row>
    <row r="1226" spans="1:53" x14ac:dyDescent="0.3">
      <c r="A1226" s="11">
        <v>43747</v>
      </c>
      <c r="B1226">
        <v>0.38383838383838398</v>
      </c>
      <c r="C1226">
        <v>2893.06</v>
      </c>
      <c r="D1226">
        <v>145.16999999999999</v>
      </c>
      <c r="E1226">
        <v>1505.43</v>
      </c>
      <c r="F1226">
        <v>85</v>
      </c>
      <c r="G1226">
        <v>44.92</v>
      </c>
      <c r="H1226" s="12">
        <f t="shared" si="172"/>
        <v>80.845358413486878</v>
      </c>
      <c r="I1226" s="12">
        <f t="shared" si="173"/>
        <v>78.031953446346947</v>
      </c>
      <c r="J1226" s="12">
        <f t="shared" si="174"/>
        <v>97.91400155947845</v>
      </c>
      <c r="K1226" s="12">
        <f t="shared" si="175"/>
        <v>103.56626945590379</v>
      </c>
      <c r="P1226" s="12"/>
      <c r="Q1226" s="12"/>
      <c r="R1226" s="12"/>
      <c r="S1226" s="12"/>
      <c r="V1226">
        <v>0.41193455245428301</v>
      </c>
      <c r="W1226" s="12"/>
      <c r="X1226" s="12"/>
      <c r="AY1226" t="str">
        <v>11/12/2019</v>
      </c>
      <c r="AZ1226">
        <v>57.7</v>
      </c>
      <c r="BA1226">
        <v>17.3</v>
      </c>
    </row>
    <row r="1227" spans="1:53" x14ac:dyDescent="0.3">
      <c r="A1227" s="11">
        <v>43746</v>
      </c>
      <c r="B1227">
        <v>0.39249146757679199</v>
      </c>
      <c r="C1227">
        <v>2938.79</v>
      </c>
      <c r="D1227">
        <v>144.78</v>
      </c>
      <c r="E1227">
        <v>1493.55</v>
      </c>
      <c r="F1227">
        <v>84.95</v>
      </c>
      <c r="G1227">
        <v>45.37</v>
      </c>
      <c r="H1227" s="12">
        <f t="shared" si="172"/>
        <v>82.348596491214977</v>
      </c>
      <c r="I1227" s="12">
        <f t="shared" si="173"/>
        <v>79.911064454604542</v>
      </c>
      <c r="J1227" s="12">
        <f t="shared" si="174"/>
        <v>99.521210144236065</v>
      </c>
      <c r="K1227" s="12">
        <f t="shared" si="175"/>
        <v>104.15394535877063</v>
      </c>
      <c r="P1227" s="12"/>
      <c r="Q1227" s="12"/>
      <c r="R1227" s="12"/>
      <c r="S1227" s="12"/>
      <c r="V1227">
        <v>0.41666666666666702</v>
      </c>
      <c r="W1227" s="12"/>
      <c r="X1227" s="12"/>
      <c r="AY1227" t="str">
        <v>10/12/2019</v>
      </c>
      <c r="AZ1227">
        <v>57.7</v>
      </c>
      <c r="BA1227">
        <v>17.3</v>
      </c>
    </row>
    <row r="1228" spans="1:53" x14ac:dyDescent="0.3">
      <c r="A1228" s="11">
        <v>43743</v>
      </c>
      <c r="B1228">
        <v>0.42524916943521601</v>
      </c>
      <c r="C1228">
        <v>2952.01</v>
      </c>
      <c r="D1228">
        <v>145.99</v>
      </c>
      <c r="E1228">
        <v>1504.6</v>
      </c>
      <c r="F1228">
        <v>85.04</v>
      </c>
      <c r="G1228">
        <v>45.55</v>
      </c>
      <c r="H1228" s="12">
        <f t="shared" si="172"/>
        <v>82.036044550614832</v>
      </c>
      <c r="I1228" s="12">
        <f t="shared" si="173"/>
        <v>79.682706565993442</v>
      </c>
      <c r="J1228" s="12">
        <f t="shared" si="174"/>
        <v>99.862738625090444</v>
      </c>
      <c r="K1228" s="12">
        <f t="shared" si="175"/>
        <v>104.20882205645256</v>
      </c>
      <c r="P1228" s="12"/>
      <c r="Q1228" s="12"/>
      <c r="R1228" s="12"/>
      <c r="S1228" s="12"/>
      <c r="V1228">
        <v>0.41465766634522699</v>
      </c>
      <c r="W1228" s="12"/>
      <c r="X1228" s="12"/>
      <c r="AY1228" t="str">
        <v>09/12/2019</v>
      </c>
      <c r="AZ1228">
        <v>57.7</v>
      </c>
      <c r="BA1228">
        <v>17.3</v>
      </c>
    </row>
    <row r="1229" spans="1:53" x14ac:dyDescent="0.3">
      <c r="A1229" s="11">
        <v>43742</v>
      </c>
      <c r="B1229">
        <v>0.38487972508591101</v>
      </c>
      <c r="C1229">
        <v>2910.63</v>
      </c>
      <c r="D1229">
        <v>144.91999999999999</v>
      </c>
      <c r="E1229">
        <v>1505.06</v>
      </c>
      <c r="F1229">
        <v>85.05</v>
      </c>
      <c r="G1229">
        <v>45.19</v>
      </c>
      <c r="H1229" s="12">
        <f t="shared" si="172"/>
        <v>81.479258525852075</v>
      </c>
      <c r="I1229" s="12">
        <f t="shared" si="173"/>
        <v>78.542080068104937</v>
      </c>
      <c r="J1229" s="12">
        <f t="shared" si="174"/>
        <v>98.451492470737222</v>
      </c>
      <c r="K1229" s="12">
        <f t="shared" si="175"/>
        <v>103.56151194902334</v>
      </c>
      <c r="P1229" s="12"/>
      <c r="Q1229" s="12"/>
      <c r="R1229" s="12"/>
      <c r="S1229" s="12"/>
      <c r="V1229">
        <v>0.41439688715953299</v>
      </c>
      <c r="W1229" s="12"/>
      <c r="X1229" s="12"/>
      <c r="AY1229" t="str">
        <v>06/12/2019</v>
      </c>
      <c r="AZ1229">
        <v>53.3</v>
      </c>
      <c r="BA1229">
        <v>17.2</v>
      </c>
    </row>
    <row r="1230" spans="1:53" x14ac:dyDescent="0.3">
      <c r="A1230" s="11">
        <v>43741</v>
      </c>
      <c r="B1230">
        <v>0.38811188811188801</v>
      </c>
      <c r="C1230">
        <v>2887.61</v>
      </c>
      <c r="D1230">
        <v>143.61000000000001</v>
      </c>
      <c r="E1230">
        <v>1499.56</v>
      </c>
      <c r="F1230">
        <v>84.87</v>
      </c>
      <c r="G1230">
        <v>44.83</v>
      </c>
      <c r="H1230" s="12">
        <f t="shared" si="172"/>
        <v>81.573062389324505</v>
      </c>
      <c r="I1230" s="12">
        <f t="shared" si="173"/>
        <v>78.205464343697003</v>
      </c>
      <c r="J1230" s="12">
        <f t="shared" si="174"/>
        <v>97.878793869394229</v>
      </c>
      <c r="K1230" s="12">
        <f t="shared" si="175"/>
        <v>103.56755471716872</v>
      </c>
      <c r="P1230" s="12"/>
      <c r="Q1230" s="12"/>
      <c r="R1230" s="12"/>
      <c r="S1230" s="12"/>
      <c r="V1230">
        <v>0.40748031496062997</v>
      </c>
      <c r="W1230" s="12"/>
      <c r="X1230" s="12"/>
      <c r="AY1230" t="str">
        <v>05/12/2019</v>
      </c>
      <c r="AZ1230">
        <v>53.3</v>
      </c>
      <c r="BA1230">
        <v>17.2</v>
      </c>
    </row>
    <row r="1231" spans="1:53" x14ac:dyDescent="0.3">
      <c r="A1231" s="11">
        <v>43740</v>
      </c>
      <c r="B1231">
        <v>0.40213523131672602</v>
      </c>
      <c r="C1231">
        <v>2940.25</v>
      </c>
      <c r="D1231">
        <v>143.26</v>
      </c>
      <c r="E1231">
        <v>1479.19</v>
      </c>
      <c r="F1231">
        <v>84.78</v>
      </c>
      <c r="G1231">
        <v>45.66</v>
      </c>
      <c r="H1231" s="12">
        <f t="shared" si="172"/>
        <v>83.267246934752137</v>
      </c>
      <c r="I1231" s="12">
        <f t="shared" si="173"/>
        <v>80.763593827353773</v>
      </c>
      <c r="J1231" s="12">
        <f t="shared" si="174"/>
        <v>99.770930677642411</v>
      </c>
      <c r="K1231" s="12">
        <f t="shared" si="175"/>
        <v>103.53912321975166</v>
      </c>
      <c r="P1231" s="12"/>
      <c r="Q1231" s="12"/>
      <c r="R1231" s="12"/>
      <c r="S1231" s="12"/>
      <c r="V1231">
        <v>0.412573673870334</v>
      </c>
      <c r="W1231" s="12"/>
      <c r="X1231" s="12"/>
      <c r="AY1231" t="str">
        <v>04/12/2019</v>
      </c>
      <c r="AZ1231">
        <v>53.3</v>
      </c>
      <c r="BA1231">
        <v>17.2</v>
      </c>
    </row>
    <row r="1232" spans="1:53" x14ac:dyDescent="0.3">
      <c r="A1232" s="11">
        <v>43738</v>
      </c>
      <c r="B1232">
        <v>0.41304347826087001</v>
      </c>
      <c r="C1232">
        <v>2976.74</v>
      </c>
      <c r="D1232">
        <v>143.08000000000001</v>
      </c>
      <c r="E1232">
        <v>1472.59</v>
      </c>
      <c r="F1232">
        <v>84.82</v>
      </c>
      <c r="G1232">
        <v>46.05</v>
      </c>
      <c r="H1232" s="12">
        <f t="shared" si="172"/>
        <v>84.408142337884243</v>
      </c>
      <c r="I1232" s="12">
        <f t="shared" si="173"/>
        <v>82.138616932920698</v>
      </c>
      <c r="J1232" s="12">
        <f t="shared" si="174"/>
        <v>100.96093600056453</v>
      </c>
      <c r="K1232" s="12">
        <f t="shared" si="175"/>
        <v>103.93295858713192</v>
      </c>
      <c r="P1232" s="12"/>
      <c r="Q1232" s="12"/>
      <c r="R1232" s="12"/>
      <c r="S1232" s="12"/>
      <c r="V1232">
        <v>0.40990099009900999</v>
      </c>
      <c r="W1232" s="12"/>
      <c r="X1232" s="12"/>
      <c r="AY1232" t="str">
        <v>03/12/2019</v>
      </c>
      <c r="AZ1232">
        <v>53.3</v>
      </c>
      <c r="BA1232">
        <v>17.2</v>
      </c>
    </row>
    <row r="1233" spans="1:53" x14ac:dyDescent="0.3">
      <c r="A1233" s="11">
        <v>43736</v>
      </c>
      <c r="B1233">
        <v>0.442105263157895</v>
      </c>
      <c r="C1233">
        <v>2961.79</v>
      </c>
      <c r="D1233">
        <v>142.72999999999999</v>
      </c>
      <c r="E1233">
        <v>1496.95</v>
      </c>
      <c r="F1233">
        <v>84.78</v>
      </c>
      <c r="G1233">
        <v>45.87</v>
      </c>
      <c r="H1233" s="12">
        <f t="shared" si="172"/>
        <v>84.189633130343864</v>
      </c>
      <c r="I1233" s="12">
        <f t="shared" si="173"/>
        <v>80.423921673762351</v>
      </c>
      <c r="J1233" s="12">
        <f t="shared" si="174"/>
        <v>100.50106185092908</v>
      </c>
      <c r="K1233" s="12">
        <f t="shared" si="175"/>
        <v>103.81632200752415</v>
      </c>
      <c r="P1233" s="12"/>
      <c r="Q1233" s="12"/>
      <c r="R1233" s="12"/>
      <c r="S1233" s="12"/>
      <c r="V1233">
        <v>0.42314990512334</v>
      </c>
      <c r="W1233" s="12"/>
      <c r="X1233" s="12"/>
      <c r="AY1233" t="str">
        <v>02/12/2019</v>
      </c>
      <c r="AZ1233">
        <v>53.3</v>
      </c>
      <c r="BA1233">
        <v>17.2</v>
      </c>
    </row>
    <row r="1234" spans="1:53" x14ac:dyDescent="0.3">
      <c r="A1234" s="11">
        <v>43735</v>
      </c>
      <c r="B1234">
        <v>0.45070422535211302</v>
      </c>
      <c r="C1234">
        <v>2977.62</v>
      </c>
      <c r="D1234">
        <v>142.38</v>
      </c>
      <c r="E1234">
        <v>1504.75</v>
      </c>
      <c r="F1234">
        <v>84.73</v>
      </c>
      <c r="G1234">
        <v>46.16</v>
      </c>
      <c r="H1234" s="12">
        <f t="shared" si="172"/>
        <v>84.849297120463547</v>
      </c>
      <c r="I1234" s="12">
        <f t="shared" si="173"/>
        <v>80.434598654799004</v>
      </c>
      <c r="J1234" s="12">
        <f t="shared" si="174"/>
        <v>101.09819187343852</v>
      </c>
      <c r="K1234" s="12">
        <f t="shared" si="175"/>
        <v>103.71611469142933</v>
      </c>
      <c r="P1234" s="12"/>
      <c r="Q1234" s="12"/>
      <c r="R1234" s="12"/>
      <c r="S1234" s="12"/>
      <c r="V1234">
        <v>0.41869158878504698</v>
      </c>
      <c r="W1234" s="12"/>
      <c r="X1234" s="12"/>
      <c r="AY1234" t="str">
        <v>29/11/2019</v>
      </c>
      <c r="AZ1234">
        <v>54.8</v>
      </c>
      <c r="BA1234">
        <v>17.3</v>
      </c>
    </row>
    <row r="1235" spans="1:53" x14ac:dyDescent="0.3">
      <c r="A1235" s="11">
        <v>43734</v>
      </c>
      <c r="B1235">
        <v>0.47017543859649102</v>
      </c>
      <c r="C1235">
        <v>2984.87</v>
      </c>
      <c r="D1235">
        <v>141.47</v>
      </c>
      <c r="E1235">
        <v>1504.13</v>
      </c>
      <c r="F1235">
        <v>84.69</v>
      </c>
      <c r="G1235">
        <v>46.04</v>
      </c>
      <c r="H1235" s="12">
        <f t="shared" si="172"/>
        <v>85.607900891512273</v>
      </c>
      <c r="I1235" s="12">
        <f t="shared" si="173"/>
        <v>80.66377370544852</v>
      </c>
      <c r="J1235" s="12">
        <f t="shared" si="174"/>
        <v>101.39235413752149</v>
      </c>
      <c r="K1235" s="12">
        <f t="shared" si="175"/>
        <v>104.24100418300476</v>
      </c>
      <c r="P1235" s="12"/>
      <c r="Q1235" s="12"/>
      <c r="R1235" s="12"/>
      <c r="S1235" s="12"/>
      <c r="V1235">
        <v>0.41947565543071202</v>
      </c>
      <c r="W1235" s="12"/>
      <c r="X1235" s="12"/>
      <c r="AY1235" t="str">
        <v>28/11/2019</v>
      </c>
      <c r="AZ1235">
        <v>54.8</v>
      </c>
      <c r="BA1235">
        <v>17.3</v>
      </c>
    </row>
    <row r="1236" spans="1:53" x14ac:dyDescent="0.3">
      <c r="A1236" s="11">
        <v>43733</v>
      </c>
      <c r="B1236">
        <v>0.466192170818505</v>
      </c>
      <c r="C1236">
        <v>2966.6</v>
      </c>
      <c r="D1236">
        <v>143.57</v>
      </c>
      <c r="E1236">
        <v>1531.95</v>
      </c>
      <c r="F1236">
        <v>84.8</v>
      </c>
      <c r="G1236">
        <v>46.16</v>
      </c>
      <c r="H1236" s="12">
        <f t="shared" si="172"/>
        <v>83.864724243796445</v>
      </c>
      <c r="I1236" s="12">
        <f t="shared" si="173"/>
        <v>78.748728501975364</v>
      </c>
      <c r="J1236" s="12">
        <f t="shared" si="174"/>
        <v>100.64199408242671</v>
      </c>
      <c r="K1236" s="12">
        <f t="shared" si="175"/>
        <v>103.33596519604995</v>
      </c>
      <c r="P1236" s="12"/>
      <c r="Q1236" s="12"/>
      <c r="R1236" s="12"/>
      <c r="S1236" s="12"/>
      <c r="V1236">
        <v>0.41730038022813698</v>
      </c>
      <c r="W1236" s="12"/>
      <c r="X1236" s="12"/>
      <c r="AY1236" t="str">
        <v>27/11/2019</v>
      </c>
      <c r="AZ1236">
        <v>54.8</v>
      </c>
      <c r="BA1236">
        <v>17.3</v>
      </c>
    </row>
    <row r="1237" spans="1:53" x14ac:dyDescent="0.3">
      <c r="A1237" s="11">
        <v>43732</v>
      </c>
      <c r="B1237">
        <v>0.46762589928057602</v>
      </c>
      <c r="C1237">
        <v>2991.78</v>
      </c>
      <c r="D1237">
        <v>141.86000000000001</v>
      </c>
      <c r="E1237">
        <v>1522.31</v>
      </c>
      <c r="F1237">
        <v>84.71</v>
      </c>
      <c r="G1237">
        <v>46.39</v>
      </c>
      <c r="H1237" s="12">
        <f t="shared" si="172"/>
        <v>85.617357103789587</v>
      </c>
      <c r="I1237" s="12">
        <f t="shared" si="173"/>
        <v>79.927570310375742</v>
      </c>
      <c r="J1237" s="12">
        <f t="shared" si="174"/>
        <v>101.60509276479283</v>
      </c>
      <c r="K1237" s="12">
        <f t="shared" si="175"/>
        <v>103.69458557608623</v>
      </c>
      <c r="P1237" s="12"/>
      <c r="Q1237" s="12"/>
      <c r="R1237" s="12"/>
      <c r="S1237" s="12"/>
      <c r="V1237">
        <v>0.41913875598086098</v>
      </c>
      <c r="W1237" s="12"/>
      <c r="X1237" s="12"/>
      <c r="AY1237" t="str">
        <v>26/11/2019</v>
      </c>
      <c r="AZ1237">
        <v>54.8</v>
      </c>
      <c r="BA1237">
        <v>17.3</v>
      </c>
    </row>
    <row r="1238" spans="1:53" x14ac:dyDescent="0.3">
      <c r="A1238" s="11">
        <v>43729</v>
      </c>
      <c r="B1238">
        <v>0.47945205479452102</v>
      </c>
      <c r="C1238">
        <v>2992.07</v>
      </c>
      <c r="D1238">
        <v>141.88999999999999</v>
      </c>
      <c r="E1238">
        <v>1517.15</v>
      </c>
      <c r="F1238">
        <v>84.66</v>
      </c>
      <c r="G1238">
        <v>46.45</v>
      </c>
      <c r="H1238" s="12">
        <f t="shared" si="172"/>
        <v>85.607554309067794</v>
      </c>
      <c r="I1238" s="12">
        <f t="shared" si="173"/>
        <v>80.208141340189442</v>
      </c>
      <c r="J1238" s="12">
        <f t="shared" si="174"/>
        <v>101.67499641434713</v>
      </c>
      <c r="K1238" s="12">
        <f t="shared" si="175"/>
        <v>103.57084031144009</v>
      </c>
      <c r="P1238" s="12"/>
      <c r="Q1238" s="12"/>
      <c r="R1238" s="12"/>
      <c r="S1238" s="12"/>
      <c r="V1238">
        <v>0.40552995391705099</v>
      </c>
      <c r="W1238" s="12"/>
      <c r="X1238" s="12"/>
      <c r="AY1238" t="str">
        <v>25/11/2019</v>
      </c>
      <c r="AZ1238">
        <v>54.8</v>
      </c>
      <c r="BA1238">
        <v>17.3</v>
      </c>
    </row>
    <row r="1239" spans="1:53" x14ac:dyDescent="0.3">
      <c r="A1239" s="11">
        <v>43728</v>
      </c>
      <c r="B1239">
        <v>0.476190476190476</v>
      </c>
      <c r="C1239">
        <v>3006.79</v>
      </c>
      <c r="D1239">
        <v>140.04</v>
      </c>
      <c r="E1239">
        <v>1498.95</v>
      </c>
      <c r="F1239">
        <v>84.57</v>
      </c>
      <c r="G1239">
        <v>46.53</v>
      </c>
      <c r="H1239" s="12">
        <f t="shared" si="172"/>
        <v>87.18615534763569</v>
      </c>
      <c r="I1239" s="12">
        <f t="shared" si="173"/>
        <v>81.598366901844201</v>
      </c>
      <c r="J1239" s="12">
        <f t="shared" si="174"/>
        <v>102.28459145649543</v>
      </c>
      <c r="K1239" s="12">
        <f t="shared" si="175"/>
        <v>103.90085701428816</v>
      </c>
      <c r="P1239" s="12"/>
      <c r="Q1239" s="12"/>
      <c r="R1239" s="12"/>
      <c r="S1239" s="12"/>
      <c r="V1239">
        <v>0.40552995391705099</v>
      </c>
      <c r="W1239" s="12"/>
      <c r="X1239" s="12"/>
      <c r="AY1239" t="str">
        <v>22/11/2019</v>
      </c>
      <c r="AZ1239">
        <v>58.1</v>
      </c>
      <c r="BA1239">
        <v>17.100000000000001</v>
      </c>
    </row>
    <row r="1240" spans="1:53" x14ac:dyDescent="0.3">
      <c r="A1240" s="11">
        <v>43727</v>
      </c>
      <c r="B1240">
        <v>0.47959183673469402</v>
      </c>
      <c r="C1240">
        <v>3006.73</v>
      </c>
      <c r="D1240">
        <v>139.62</v>
      </c>
      <c r="E1240">
        <v>1494.13</v>
      </c>
      <c r="F1240">
        <v>84.56</v>
      </c>
      <c r="G1240">
        <v>46.47</v>
      </c>
      <c r="H1240" s="12">
        <f t="shared" si="172"/>
        <v>87.447466723422721</v>
      </c>
      <c r="I1240" s="12">
        <f t="shared" si="173"/>
        <v>81.860812859993032</v>
      </c>
      <c r="J1240" s="12">
        <f t="shared" si="174"/>
        <v>102.29464742854042</v>
      </c>
      <c r="K1240" s="12">
        <f t="shared" si="175"/>
        <v>104.03310393246957</v>
      </c>
      <c r="P1240" s="12"/>
      <c r="Q1240" s="12"/>
      <c r="R1240" s="12"/>
      <c r="S1240" s="12"/>
      <c r="V1240">
        <v>0.40182648401826498</v>
      </c>
      <c r="W1240" s="12"/>
      <c r="X1240" s="12"/>
      <c r="AY1240" t="str">
        <v>21/11/2019</v>
      </c>
      <c r="AZ1240">
        <v>58.1</v>
      </c>
      <c r="BA1240">
        <v>17.100000000000001</v>
      </c>
    </row>
    <row r="1241" spans="1:53" x14ac:dyDescent="0.3">
      <c r="A1241" s="11">
        <v>43726</v>
      </c>
      <c r="B1241">
        <v>0.45993031358885</v>
      </c>
      <c r="C1241">
        <v>3005.7</v>
      </c>
      <c r="D1241">
        <v>139.03</v>
      </c>
      <c r="E1241">
        <v>1501.65</v>
      </c>
      <c r="F1241">
        <v>84.61</v>
      </c>
      <c r="G1241">
        <v>46.54</v>
      </c>
      <c r="H1241" s="12">
        <f t="shared" si="172"/>
        <v>87.789935805144466</v>
      </c>
      <c r="I1241" s="12">
        <f t="shared" si="173"/>
        <v>81.425147043754407</v>
      </c>
      <c r="J1241" s="12">
        <f t="shared" si="174"/>
        <v>102.19923126922652</v>
      </c>
      <c r="K1241" s="12">
        <f t="shared" si="175"/>
        <v>103.84133341865626</v>
      </c>
      <c r="P1241" s="12"/>
      <c r="Q1241" s="12"/>
      <c r="R1241" s="12"/>
      <c r="S1241" s="12"/>
      <c r="V1241">
        <v>0.40386384544618198</v>
      </c>
      <c r="W1241" s="12"/>
      <c r="X1241" s="12"/>
      <c r="AY1241" t="str">
        <v>20/11/2019</v>
      </c>
      <c r="AZ1241">
        <v>58.1</v>
      </c>
      <c r="BA1241">
        <v>17.100000000000001</v>
      </c>
    </row>
    <row r="1242" spans="1:53" x14ac:dyDescent="0.3">
      <c r="A1242" s="11">
        <v>43725</v>
      </c>
      <c r="B1242">
        <v>0.46071428571428602</v>
      </c>
      <c r="C1242">
        <v>2997.96</v>
      </c>
      <c r="D1242">
        <v>138.28</v>
      </c>
      <c r="E1242">
        <v>1498.6</v>
      </c>
      <c r="F1242">
        <v>84.57</v>
      </c>
      <c r="G1242">
        <v>46.45</v>
      </c>
      <c r="H1242" s="12">
        <f t="shared" si="172"/>
        <v>88.040147864114019</v>
      </c>
      <c r="I1242" s="12">
        <f t="shared" si="173"/>
        <v>81.380670659102208</v>
      </c>
      <c r="J1242" s="12">
        <f t="shared" si="174"/>
        <v>101.98416963949784</v>
      </c>
      <c r="K1242" s="12">
        <f t="shared" si="175"/>
        <v>103.77448310901789</v>
      </c>
      <c r="P1242" s="12"/>
      <c r="Q1242" s="12"/>
      <c r="R1242" s="12"/>
      <c r="S1242" s="12"/>
      <c r="V1242">
        <v>0.39944392956441099</v>
      </c>
      <c r="W1242" s="12"/>
      <c r="X1242" s="12"/>
      <c r="AY1242" t="str">
        <v>19/11/2019</v>
      </c>
      <c r="AZ1242">
        <v>58.1</v>
      </c>
      <c r="BA1242">
        <v>17.100000000000001</v>
      </c>
    </row>
    <row r="1243" spans="1:53" x14ac:dyDescent="0.3">
      <c r="A1243" s="11">
        <v>43722</v>
      </c>
      <c r="B1243">
        <v>0.48322147651006703</v>
      </c>
      <c r="C1243">
        <v>3007.39</v>
      </c>
      <c r="D1243">
        <v>136.54</v>
      </c>
      <c r="E1243">
        <v>1483.25</v>
      </c>
      <c r="F1243">
        <v>84.5</v>
      </c>
      <c r="G1243">
        <v>46.75</v>
      </c>
      <c r="H1243" s="12">
        <f t="shared" si="172"/>
        <v>89.460705833070463</v>
      </c>
      <c r="I1243" s="12">
        <f t="shared" si="173"/>
        <v>82.493048609285893</v>
      </c>
      <c r="J1243" s="12">
        <f t="shared" si="174"/>
        <v>102.39004497053661</v>
      </c>
      <c r="K1243" s="12">
        <f t="shared" si="175"/>
        <v>103.43506064544653</v>
      </c>
      <c r="P1243" s="12"/>
      <c r="Q1243" s="12"/>
      <c r="R1243" s="12"/>
      <c r="S1243" s="12"/>
      <c r="V1243">
        <v>0.40904977375565599</v>
      </c>
      <c r="W1243" s="12"/>
      <c r="X1243" s="12"/>
      <c r="AY1243" t="str">
        <v>18/11/2019</v>
      </c>
      <c r="AZ1243">
        <v>58.1</v>
      </c>
      <c r="BA1243">
        <v>17.100000000000001</v>
      </c>
    </row>
    <row r="1244" spans="1:53" x14ac:dyDescent="0.3">
      <c r="A1244" s="11">
        <v>43721</v>
      </c>
      <c r="B1244">
        <v>0.48666666666666702</v>
      </c>
      <c r="C1244">
        <v>3009.57</v>
      </c>
      <c r="D1244">
        <v>139.52000000000001</v>
      </c>
      <c r="E1244">
        <v>1498.94</v>
      </c>
      <c r="F1244">
        <v>84.64</v>
      </c>
      <c r="G1244">
        <v>46.59</v>
      </c>
      <c r="H1244" s="12">
        <f t="shared" si="172"/>
        <v>87.652041973427274</v>
      </c>
      <c r="I1244" s="12">
        <f t="shared" si="173"/>
        <v>81.697070700734727</v>
      </c>
      <c r="J1244" s="12">
        <f t="shared" si="174"/>
        <v>102.29494051517985</v>
      </c>
      <c r="K1244" s="12">
        <f t="shared" si="175"/>
        <v>103.86699876001902</v>
      </c>
      <c r="P1244" s="12"/>
      <c r="Q1244" s="12"/>
      <c r="R1244" s="12"/>
      <c r="S1244" s="12"/>
      <c r="V1244">
        <v>0.41576086956521702</v>
      </c>
      <c r="W1244" s="12"/>
      <c r="X1244" s="12"/>
      <c r="AY1244" t="str">
        <v>15/11/2019</v>
      </c>
      <c r="AZ1244">
        <v>57.2</v>
      </c>
      <c r="BA1244">
        <v>17.100000000000001</v>
      </c>
    </row>
    <row r="1245" spans="1:53" x14ac:dyDescent="0.3">
      <c r="A1245" s="11">
        <v>43720</v>
      </c>
      <c r="B1245">
        <v>0.49829351535836203</v>
      </c>
      <c r="C1245">
        <v>3000.93</v>
      </c>
      <c r="D1245">
        <v>140.44</v>
      </c>
      <c r="E1245">
        <v>1497.09</v>
      </c>
      <c r="F1245">
        <v>84.66</v>
      </c>
      <c r="G1245">
        <v>46.32</v>
      </c>
      <c r="H1245" s="12">
        <f t="shared" si="172"/>
        <v>86.833209351217405</v>
      </c>
      <c r="I1245" s="12">
        <f t="shared" si="173"/>
        <v>81.563031904254245</v>
      </c>
      <c r="J1245" s="12">
        <f t="shared" si="174"/>
        <v>101.977246053445</v>
      </c>
      <c r="K1245" s="12">
        <f t="shared" si="175"/>
        <v>104.1743033779652</v>
      </c>
      <c r="P1245" s="12"/>
      <c r="Q1245" s="12"/>
      <c r="R1245" s="12"/>
      <c r="S1245" s="12"/>
      <c r="V1245">
        <v>0.41239892183288401</v>
      </c>
      <c r="W1245" s="12"/>
      <c r="X1245" s="12"/>
      <c r="AY1245" t="str">
        <v>14/11/2019</v>
      </c>
      <c r="AZ1245">
        <v>57.2</v>
      </c>
      <c r="BA1245">
        <v>17.100000000000001</v>
      </c>
    </row>
    <row r="1246" spans="1:53" x14ac:dyDescent="0.3">
      <c r="A1246" s="11">
        <v>43719</v>
      </c>
      <c r="B1246">
        <v>0.50173010380622796</v>
      </c>
      <c r="C1246">
        <v>2979.39</v>
      </c>
      <c r="D1246">
        <v>140.69</v>
      </c>
      <c r="E1246">
        <v>1485.85</v>
      </c>
      <c r="F1246">
        <v>84.66</v>
      </c>
      <c r="G1246">
        <v>45.99</v>
      </c>
      <c r="H1246" s="12">
        <f t="shared" si="172"/>
        <v>86.058116234890477</v>
      </c>
      <c r="I1246" s="12">
        <f t="shared" si="173"/>
        <v>81.590366781489223</v>
      </c>
      <c r="J1246" s="12">
        <f t="shared" si="174"/>
        <v>101.24527633739324</v>
      </c>
      <c r="K1246" s="12">
        <f t="shared" si="175"/>
        <v>104.16865796910808</v>
      </c>
      <c r="P1246" s="12"/>
      <c r="Q1246" s="12"/>
      <c r="R1246" s="12"/>
      <c r="S1246" s="12"/>
      <c r="V1246">
        <v>0.40577096483318298</v>
      </c>
      <c r="W1246" s="12"/>
      <c r="X1246" s="12"/>
      <c r="AY1246" t="str">
        <v>13/11/2019</v>
      </c>
      <c r="AZ1246">
        <v>57.2</v>
      </c>
      <c r="BA1246">
        <v>17.100000000000001</v>
      </c>
    </row>
    <row r="1247" spans="1:53" x14ac:dyDescent="0.3">
      <c r="A1247" s="11">
        <v>43718</v>
      </c>
      <c r="B1247">
        <v>0.5</v>
      </c>
      <c r="C1247">
        <v>2978.43</v>
      </c>
      <c r="D1247">
        <v>143.19999999999999</v>
      </c>
      <c r="E1247">
        <v>1499.05</v>
      </c>
      <c r="F1247">
        <v>84.8</v>
      </c>
      <c r="G1247">
        <v>45.95</v>
      </c>
      <c r="H1247" s="12">
        <f t="shared" si="172"/>
        <v>84.548897246022463</v>
      </c>
      <c r="I1247" s="12">
        <f t="shared" si="173"/>
        <v>80.852355028625766</v>
      </c>
      <c r="J1247" s="12">
        <f t="shared" si="174"/>
        <v>101.04588644473091</v>
      </c>
      <c r="K1247" s="12">
        <f t="shared" si="175"/>
        <v>104.22579392011424</v>
      </c>
      <c r="P1247" s="12"/>
      <c r="Q1247" s="12"/>
      <c r="R1247" s="12"/>
      <c r="S1247" s="12"/>
      <c r="V1247">
        <v>0.40528233151184001</v>
      </c>
      <c r="W1247" s="12"/>
      <c r="X1247" s="12"/>
      <c r="AY1247" t="str">
        <v>12/11/2019</v>
      </c>
      <c r="AZ1247">
        <v>57.2</v>
      </c>
      <c r="BA1247">
        <v>17.100000000000001</v>
      </c>
    </row>
    <row r="1248" spans="1:53" x14ac:dyDescent="0.3">
      <c r="A1248" s="11">
        <v>43715</v>
      </c>
      <c r="B1248">
        <v>0.49526813880126203</v>
      </c>
      <c r="C1248">
        <v>2978.71</v>
      </c>
      <c r="D1248">
        <v>145.79</v>
      </c>
      <c r="E1248">
        <v>1502.15</v>
      </c>
      <c r="F1248">
        <v>84.89</v>
      </c>
      <c r="G1248">
        <v>45.83</v>
      </c>
      <c r="H1248" s="12">
        <f t="shared" si="172"/>
        <v>83.080754110233741</v>
      </c>
      <c r="I1248" s="12">
        <f t="shared" si="173"/>
        <v>80.693412547305513</v>
      </c>
      <c r="J1248" s="12">
        <f t="shared" si="174"/>
        <v>100.94835064054831</v>
      </c>
      <c r="K1248" s="12">
        <f t="shared" si="175"/>
        <v>104.50926198590446</v>
      </c>
      <c r="P1248" s="12"/>
      <c r="Q1248" s="12"/>
      <c r="R1248" s="12"/>
      <c r="S1248" s="12"/>
      <c r="V1248">
        <v>0.40196078431372601</v>
      </c>
      <c r="W1248" s="12"/>
      <c r="X1248" s="12"/>
      <c r="AY1248" t="str">
        <v>11/11/2019</v>
      </c>
      <c r="AZ1248">
        <v>57.2</v>
      </c>
      <c r="BA1248">
        <v>17.100000000000001</v>
      </c>
    </row>
    <row r="1249" spans="1:53" x14ac:dyDescent="0.3">
      <c r="A1249" s="11">
        <v>43714</v>
      </c>
      <c r="B1249">
        <v>0.50461538461538502</v>
      </c>
      <c r="C1249">
        <v>2976</v>
      </c>
      <c r="D1249">
        <v>144.76</v>
      </c>
      <c r="E1249">
        <v>1519.27</v>
      </c>
      <c r="F1249">
        <v>84.88</v>
      </c>
      <c r="G1249">
        <v>45.7</v>
      </c>
      <c r="H1249" s="12">
        <f t="shared" si="172"/>
        <v>83.599455872713492</v>
      </c>
      <c r="I1249" s="12">
        <f t="shared" si="173"/>
        <v>79.722457742396685</v>
      </c>
      <c r="J1249" s="12">
        <f t="shared" si="174"/>
        <v>100.86838169369302</v>
      </c>
      <c r="K1249" s="12">
        <f t="shared" si="175"/>
        <v>104.71177672649658</v>
      </c>
      <c r="P1249" s="12"/>
      <c r="Q1249" s="12"/>
      <c r="R1249" s="12"/>
      <c r="S1249" s="12"/>
      <c r="V1249">
        <v>0.40685413005272397</v>
      </c>
      <c r="W1249" s="12"/>
      <c r="X1249" s="12"/>
      <c r="AY1249" t="str">
        <v>08/11/2019</v>
      </c>
      <c r="AZ1249">
        <v>57.6</v>
      </c>
      <c r="BA1249">
        <v>17.899999999999999</v>
      </c>
    </row>
    <row r="1250" spans="1:53" x14ac:dyDescent="0.3">
      <c r="A1250" s="11">
        <v>43713</v>
      </c>
      <c r="B1250">
        <v>0.495412844036697</v>
      </c>
      <c r="C1250">
        <v>2937.78</v>
      </c>
      <c r="D1250">
        <v>147.43</v>
      </c>
      <c r="E1250">
        <v>1552.6</v>
      </c>
      <c r="F1250">
        <v>85.07</v>
      </c>
      <c r="G1250">
        <v>45.33</v>
      </c>
      <c r="H1250" s="12">
        <f t="shared" si="172"/>
        <v>81.07635064862383</v>
      </c>
      <c r="I1250" s="12">
        <f t="shared" si="173"/>
        <v>77.065468500228292</v>
      </c>
      <c r="J1250" s="12">
        <f t="shared" si="174"/>
        <v>99.353902483466882</v>
      </c>
      <c r="K1250" s="12">
        <f t="shared" si="175"/>
        <v>104.20663932892211</v>
      </c>
      <c r="P1250" s="12"/>
      <c r="Q1250" s="12"/>
      <c r="R1250" s="12"/>
      <c r="S1250" s="12"/>
      <c r="V1250">
        <v>0.40976460331299003</v>
      </c>
      <c r="W1250" s="12"/>
      <c r="X1250" s="12"/>
      <c r="AY1250" t="str">
        <v>07/11/2019</v>
      </c>
      <c r="AZ1250">
        <v>57.6</v>
      </c>
      <c r="BA1250">
        <v>17.899999999999999</v>
      </c>
    </row>
    <row r="1251" spans="1:53" x14ac:dyDescent="0.3">
      <c r="A1251" s="11">
        <v>43712</v>
      </c>
      <c r="B1251">
        <v>0.49375000000000002</v>
      </c>
      <c r="C1251">
        <v>2906.27</v>
      </c>
      <c r="D1251">
        <v>147.21</v>
      </c>
      <c r="E1251">
        <v>1547.43</v>
      </c>
      <c r="F1251">
        <v>85</v>
      </c>
      <c r="G1251">
        <v>44.7</v>
      </c>
      <c r="H1251" s="12">
        <f t="shared" si="172"/>
        <v>80.325499031164</v>
      </c>
      <c r="I1251" s="12">
        <f t="shared" si="173"/>
        <v>76.491700246827946</v>
      </c>
      <c r="J1251" s="12">
        <f t="shared" si="174"/>
        <v>98.368394151181917</v>
      </c>
      <c r="K1251" s="12">
        <f t="shared" si="175"/>
        <v>104.54661276595252</v>
      </c>
      <c r="P1251" s="12"/>
      <c r="Q1251" s="12"/>
      <c r="R1251" s="12"/>
      <c r="S1251" s="12"/>
      <c r="V1251">
        <v>0.40649692712906099</v>
      </c>
      <c r="W1251" s="12"/>
      <c r="X1251" s="12"/>
      <c r="AY1251" t="str">
        <v>06/11/2019</v>
      </c>
      <c r="AZ1251">
        <v>57.6</v>
      </c>
      <c r="BA1251">
        <v>17.899999999999999</v>
      </c>
    </row>
    <row r="1252" spans="1:53" x14ac:dyDescent="0.3">
      <c r="A1252" s="11">
        <v>43708</v>
      </c>
      <c r="B1252">
        <v>0.54617414248021101</v>
      </c>
      <c r="C1252">
        <v>2926.46</v>
      </c>
      <c r="D1252">
        <v>147.28</v>
      </c>
      <c r="E1252">
        <v>1520.25</v>
      </c>
      <c r="F1252">
        <v>85.08</v>
      </c>
      <c r="G1252">
        <v>44.85</v>
      </c>
      <c r="H1252" s="12">
        <f t="shared" si="172"/>
        <v>80.844832920105773</v>
      </c>
      <c r="I1252" s="12">
        <f t="shared" si="173"/>
        <v>78.43514741249443</v>
      </c>
      <c r="J1252" s="12">
        <f t="shared" si="174"/>
        <v>98.958068353591443</v>
      </c>
      <c r="K1252" s="12">
        <f t="shared" si="175"/>
        <v>104.91956392228317</v>
      </c>
      <c r="P1252" s="12"/>
      <c r="Q1252" s="12"/>
      <c r="R1252" s="12"/>
      <c r="S1252" s="12"/>
      <c r="V1252">
        <v>0.40443686006825902</v>
      </c>
      <c r="W1252" s="12"/>
      <c r="X1252" s="12"/>
      <c r="AY1252" t="str">
        <v>05/11/2019</v>
      </c>
      <c r="AZ1252">
        <v>57.6</v>
      </c>
      <c r="BA1252">
        <v>17.899999999999999</v>
      </c>
    </row>
    <row r="1253" spans="1:53" x14ac:dyDescent="0.3">
      <c r="A1253" s="11">
        <v>43707</v>
      </c>
      <c r="B1253">
        <v>0.55412371134020599</v>
      </c>
      <c r="C1253">
        <v>2924.58</v>
      </c>
      <c r="D1253">
        <v>147.24</v>
      </c>
      <c r="E1253">
        <v>1527.7</v>
      </c>
      <c r="F1253">
        <v>85.05</v>
      </c>
      <c r="G1253">
        <v>44.62</v>
      </c>
      <c r="H1253" s="12">
        <f t="shared" si="172"/>
        <v>80.814837520326535</v>
      </c>
      <c r="I1253" s="12">
        <f t="shared" si="173"/>
        <v>78.004605730227738</v>
      </c>
      <c r="J1253" s="12">
        <f t="shared" si="174"/>
        <v>98.929369570683093</v>
      </c>
      <c r="K1253" s="12">
        <f t="shared" si="175"/>
        <v>105.3950867212822</v>
      </c>
      <c r="P1253" s="12"/>
      <c r="Q1253" s="12"/>
      <c r="R1253" s="12"/>
      <c r="S1253" s="12"/>
      <c r="V1253">
        <v>0.41025641025641002</v>
      </c>
      <c r="W1253" s="12"/>
      <c r="X1253" s="12"/>
      <c r="AY1253" t="str">
        <v>04/11/2019</v>
      </c>
      <c r="AZ1253">
        <v>57.6</v>
      </c>
      <c r="BA1253">
        <v>17.899999999999999</v>
      </c>
    </row>
    <row r="1254" spans="1:53" x14ac:dyDescent="0.3">
      <c r="A1254" s="11">
        <v>43706</v>
      </c>
      <c r="B1254">
        <v>0.54683544303797504</v>
      </c>
      <c r="C1254">
        <v>2887.94</v>
      </c>
      <c r="D1254">
        <v>147.80000000000001</v>
      </c>
      <c r="E1254">
        <v>1539.1</v>
      </c>
      <c r="F1254">
        <v>85.09</v>
      </c>
      <c r="G1254">
        <v>44.22</v>
      </c>
      <c r="H1254" s="12">
        <f t="shared" si="172"/>
        <v>79.504902962919118</v>
      </c>
      <c r="I1254" s="12">
        <f t="shared" si="173"/>
        <v>76.468043833366011</v>
      </c>
      <c r="J1254" s="12">
        <f t="shared" si="174"/>
        <v>97.644626538899857</v>
      </c>
      <c r="K1254" s="12">
        <f t="shared" si="175"/>
        <v>105.01267639112687</v>
      </c>
      <c r="P1254" s="12"/>
      <c r="Q1254" s="12"/>
      <c r="R1254" s="12"/>
      <c r="S1254" s="12"/>
      <c r="V1254">
        <v>0.40775862068965502</v>
      </c>
      <c r="W1254" s="12"/>
      <c r="X1254" s="12"/>
      <c r="AY1254" t="str">
        <v>01/11/2019</v>
      </c>
      <c r="AZ1254">
        <v>57.1</v>
      </c>
      <c r="BA1254">
        <v>18.100000000000001</v>
      </c>
    </row>
    <row r="1255" spans="1:53" x14ac:dyDescent="0.3">
      <c r="A1255" s="11">
        <v>43705</v>
      </c>
      <c r="B1255">
        <v>0.547557840616967</v>
      </c>
      <c r="C1255">
        <v>2869.16</v>
      </c>
      <c r="D1255">
        <v>147.61000000000001</v>
      </c>
      <c r="E1255">
        <v>1542.78</v>
      </c>
      <c r="F1255">
        <v>85.07</v>
      </c>
      <c r="G1255">
        <v>44.2</v>
      </c>
      <c r="H1255" s="12">
        <f t="shared" si="172"/>
        <v>79.089029586172359</v>
      </c>
      <c r="I1255" s="12">
        <f t="shared" si="173"/>
        <v>75.791170007326485</v>
      </c>
      <c r="J1255" s="12">
        <f t="shared" si="174"/>
        <v>97.032316790887904</v>
      </c>
      <c r="K1255" s="12">
        <f t="shared" si="175"/>
        <v>104.37671106682041</v>
      </c>
      <c r="P1255" s="12"/>
      <c r="Q1255" s="12"/>
      <c r="R1255" s="12"/>
      <c r="S1255" s="12"/>
      <c r="V1255">
        <v>0.411453744493392</v>
      </c>
      <c r="W1255" s="12"/>
      <c r="X1255" s="12"/>
      <c r="AY1255" t="str">
        <v>31/10/2019</v>
      </c>
      <c r="AZ1255">
        <v>57.1</v>
      </c>
      <c r="BA1255">
        <v>18.100000000000001</v>
      </c>
    </row>
    <row r="1256" spans="1:53" x14ac:dyDescent="0.3">
      <c r="A1256" s="11">
        <v>43704</v>
      </c>
      <c r="B1256">
        <v>0.55208333333333304</v>
      </c>
      <c r="C1256">
        <v>2878.38</v>
      </c>
      <c r="D1256">
        <v>145.37</v>
      </c>
      <c r="E1256">
        <v>1527.33</v>
      </c>
      <c r="F1256">
        <v>85.04</v>
      </c>
      <c r="G1256">
        <v>44.2</v>
      </c>
      <c r="H1256" s="12">
        <f t="shared" si="172"/>
        <v>80.588963227591179</v>
      </c>
      <c r="I1256" s="12">
        <f t="shared" si="173"/>
        <v>76.814249998410105</v>
      </c>
      <c r="J1256" s="12">
        <f t="shared" si="174"/>
        <v>97.378591737459587</v>
      </c>
      <c r="K1256" s="12">
        <f t="shared" si="175"/>
        <v>104.71212396677583</v>
      </c>
      <c r="P1256" s="12"/>
      <c r="Q1256" s="12"/>
      <c r="R1256" s="12"/>
      <c r="S1256" s="12"/>
      <c r="V1256">
        <v>0.41223404255319201</v>
      </c>
      <c r="W1256" s="12"/>
      <c r="X1256" s="12"/>
      <c r="AY1256" t="str">
        <v>30/10/2019</v>
      </c>
      <c r="AZ1256">
        <v>57.1</v>
      </c>
      <c r="BA1256">
        <v>18.100000000000001</v>
      </c>
    </row>
    <row r="1257" spans="1:53" x14ac:dyDescent="0.3">
      <c r="A1257" s="11">
        <v>43701</v>
      </c>
      <c r="B1257">
        <v>0.56908665105386402</v>
      </c>
      <c r="C1257">
        <v>2847.11</v>
      </c>
      <c r="D1257">
        <v>145.96</v>
      </c>
      <c r="E1257">
        <v>1526.85</v>
      </c>
      <c r="F1257">
        <v>85.08</v>
      </c>
      <c r="G1257">
        <v>43.87</v>
      </c>
      <c r="H1257" s="12">
        <f t="shared" si="172"/>
        <v>79.396016610659643</v>
      </c>
      <c r="I1257" s="12">
        <f t="shared" si="173"/>
        <v>76.003393031501616</v>
      </c>
      <c r="J1257" s="12">
        <f t="shared" si="174"/>
        <v>96.275923104067573</v>
      </c>
      <c r="K1257" s="12">
        <f t="shared" si="175"/>
        <v>104.35098167691206</v>
      </c>
      <c r="P1257" s="12"/>
      <c r="Q1257" s="12"/>
      <c r="R1257" s="12"/>
      <c r="S1257" s="12"/>
      <c r="V1257">
        <v>0.40361445783132499</v>
      </c>
      <c r="W1257" s="12"/>
      <c r="X1257" s="12"/>
      <c r="AY1257" t="str">
        <v>29/10/2019</v>
      </c>
      <c r="AZ1257">
        <v>57.1</v>
      </c>
      <c r="BA1257">
        <v>18.100000000000001</v>
      </c>
    </row>
    <row r="1258" spans="1:53" x14ac:dyDescent="0.3">
      <c r="A1258" s="11">
        <v>43700</v>
      </c>
      <c r="B1258">
        <v>0.568129330254042</v>
      </c>
      <c r="C1258">
        <v>2922.95</v>
      </c>
      <c r="D1258">
        <v>143.6</v>
      </c>
      <c r="E1258">
        <v>1498.25</v>
      </c>
      <c r="F1258">
        <v>84.94</v>
      </c>
      <c r="G1258">
        <v>44.44</v>
      </c>
      <c r="H1258" s="12">
        <f t="shared" si="172"/>
        <v>82.909811543895685</v>
      </c>
      <c r="I1258" s="12">
        <f t="shared" si="173"/>
        <v>79.587648810557639</v>
      </c>
      <c r="J1258" s="12">
        <f t="shared" si="174"/>
        <v>99.008010750775199</v>
      </c>
      <c r="K1258" s="12">
        <f t="shared" si="175"/>
        <v>105.73827923018281</v>
      </c>
      <c r="P1258" s="12"/>
      <c r="Q1258" s="12"/>
      <c r="R1258" s="12"/>
      <c r="S1258" s="12"/>
      <c r="V1258">
        <v>0.41444539982803102</v>
      </c>
      <c r="W1258" s="12"/>
      <c r="X1258" s="12"/>
      <c r="AY1258" t="str">
        <v>28/10/2019</v>
      </c>
      <c r="AZ1258">
        <v>57.1</v>
      </c>
      <c r="BA1258">
        <v>18.100000000000001</v>
      </c>
    </row>
    <row r="1259" spans="1:53" x14ac:dyDescent="0.3">
      <c r="A1259" s="11">
        <v>43699</v>
      </c>
      <c r="B1259">
        <v>0.56036446469248302</v>
      </c>
      <c r="C1259">
        <v>2924.43</v>
      </c>
      <c r="D1259">
        <v>144.56</v>
      </c>
      <c r="E1259">
        <v>1502.58</v>
      </c>
      <c r="F1259">
        <v>84.98</v>
      </c>
      <c r="G1259">
        <v>44.7</v>
      </c>
      <c r="H1259" s="12">
        <f t="shared" si="172"/>
        <v>82.404281085616134</v>
      </c>
      <c r="I1259" s="12">
        <f t="shared" si="173"/>
        <v>79.39902621321211</v>
      </c>
      <c r="J1259" s="12">
        <f t="shared" si="174"/>
        <v>99.011514029531909</v>
      </c>
      <c r="K1259" s="12">
        <f t="shared" si="175"/>
        <v>105.1797251100887</v>
      </c>
      <c r="P1259" s="12"/>
      <c r="Q1259" s="12"/>
      <c r="R1259" s="12"/>
      <c r="S1259" s="12"/>
      <c r="V1259">
        <v>0.41938250428816498</v>
      </c>
      <c r="W1259" s="12"/>
      <c r="X1259" s="12"/>
      <c r="AY1259" t="str">
        <v>25/10/2019</v>
      </c>
      <c r="AZ1259">
        <v>54.2</v>
      </c>
      <c r="BA1259">
        <v>17.8</v>
      </c>
    </row>
    <row r="1260" spans="1:53" x14ac:dyDescent="0.3">
      <c r="A1260" s="11">
        <v>43698</v>
      </c>
      <c r="B1260">
        <v>0.55606407322654505</v>
      </c>
      <c r="C1260">
        <v>2900.51</v>
      </c>
      <c r="D1260">
        <v>145.53</v>
      </c>
      <c r="E1260">
        <v>1507.23</v>
      </c>
      <c r="F1260">
        <v>85.06</v>
      </c>
      <c r="G1260">
        <v>44.3</v>
      </c>
      <c r="H1260" s="12">
        <f t="shared" si="172"/>
        <v>81.193513831571934</v>
      </c>
      <c r="I1260" s="12">
        <f t="shared" si="173"/>
        <v>78.509361641698874</v>
      </c>
      <c r="J1260" s="12">
        <f t="shared" si="174"/>
        <v>98.110142971324166</v>
      </c>
      <c r="K1260" s="12">
        <f t="shared" si="175"/>
        <v>105.26209478494178</v>
      </c>
      <c r="P1260" s="12"/>
      <c r="Q1260" s="12"/>
      <c r="R1260" s="12"/>
      <c r="S1260" s="12"/>
      <c r="V1260">
        <v>0.42218400687876201</v>
      </c>
      <c r="W1260" s="12"/>
      <c r="X1260" s="12"/>
      <c r="AY1260" t="str">
        <v>24/10/2019</v>
      </c>
      <c r="AZ1260">
        <v>54.2</v>
      </c>
      <c r="BA1260">
        <v>17.8</v>
      </c>
    </row>
    <row r="1261" spans="1:53" x14ac:dyDescent="0.3">
      <c r="A1261" s="11">
        <v>43697</v>
      </c>
      <c r="B1261">
        <v>0.56064073226544597</v>
      </c>
      <c r="C1261">
        <v>2923.65</v>
      </c>
      <c r="D1261">
        <v>144.04</v>
      </c>
      <c r="E1261">
        <v>1495.85</v>
      </c>
      <c r="F1261">
        <v>85</v>
      </c>
      <c r="G1261">
        <v>44.45</v>
      </c>
      <c r="H1261" s="12">
        <f t="shared" si="172"/>
        <v>82.703608351309882</v>
      </c>
      <c r="I1261" s="12">
        <f t="shared" si="173"/>
        <v>79.747236424989097</v>
      </c>
      <c r="J1261" s="12">
        <f t="shared" si="174"/>
        <v>98.963270334642331</v>
      </c>
      <c r="K1261" s="12">
        <f t="shared" si="175"/>
        <v>105.742183957732</v>
      </c>
      <c r="P1261" s="12"/>
      <c r="Q1261" s="12"/>
      <c r="R1261" s="12"/>
      <c r="S1261" s="12"/>
      <c r="V1261">
        <v>0.42046431642304399</v>
      </c>
      <c r="W1261" s="12"/>
      <c r="X1261" s="12"/>
      <c r="AY1261" t="str">
        <v>23/10/2019</v>
      </c>
      <c r="AZ1261">
        <v>54.2</v>
      </c>
      <c r="BA1261">
        <v>17.8</v>
      </c>
    </row>
    <row r="1262" spans="1:53" x14ac:dyDescent="0.3">
      <c r="A1262" s="11">
        <v>43694</v>
      </c>
      <c r="B1262">
        <v>0.55748373101952298</v>
      </c>
      <c r="C1262">
        <v>2888.68</v>
      </c>
      <c r="D1262">
        <v>146.13</v>
      </c>
      <c r="E1262">
        <v>1514.15</v>
      </c>
      <c r="F1262">
        <v>85.09</v>
      </c>
      <c r="G1262">
        <v>44.16</v>
      </c>
      <c r="H1262" s="12">
        <f t="shared" si="172"/>
        <v>80.575747188370357</v>
      </c>
      <c r="I1262" s="12">
        <f t="shared" si="173"/>
        <v>77.863571478698077</v>
      </c>
      <c r="J1262" s="12">
        <f t="shared" si="174"/>
        <v>97.677485048003646</v>
      </c>
      <c r="K1262" s="12">
        <f t="shared" si="175"/>
        <v>105.15972042279691</v>
      </c>
      <c r="P1262" s="12"/>
      <c r="Q1262" s="12"/>
      <c r="R1262" s="12"/>
      <c r="S1262" s="12"/>
      <c r="V1262">
        <v>0.40168776371308001</v>
      </c>
      <c r="W1262" s="12"/>
      <c r="X1262" s="12"/>
      <c r="AY1262" t="str">
        <v>22/10/2019</v>
      </c>
      <c r="AZ1262">
        <v>54.2</v>
      </c>
      <c r="BA1262">
        <v>17.8</v>
      </c>
    </row>
    <row r="1263" spans="1:53" x14ac:dyDescent="0.3">
      <c r="A1263" s="11">
        <v>43693</v>
      </c>
      <c r="B1263">
        <v>0.55991285403050095</v>
      </c>
      <c r="C1263">
        <v>2847.6</v>
      </c>
      <c r="D1263">
        <v>147.31</v>
      </c>
      <c r="E1263">
        <v>1523.21</v>
      </c>
      <c r="F1263">
        <v>85.1</v>
      </c>
      <c r="G1263">
        <v>43.62</v>
      </c>
      <c r="H1263" s="12">
        <f t="shared" si="172"/>
        <v>78.80758075854645</v>
      </c>
      <c r="I1263" s="12">
        <f t="shared" si="173"/>
        <v>76.308843756114513</v>
      </c>
      <c r="J1263" s="12">
        <f t="shared" si="174"/>
        <v>96.277258232072469</v>
      </c>
      <c r="K1263" s="12">
        <f t="shared" si="175"/>
        <v>104.94494627838148</v>
      </c>
      <c r="P1263" s="12"/>
      <c r="Q1263" s="12"/>
      <c r="R1263" s="12"/>
      <c r="S1263" s="12"/>
      <c r="V1263">
        <v>0.39932603201347899</v>
      </c>
      <c r="W1263" s="12"/>
      <c r="X1263" s="12"/>
      <c r="AY1263" t="str">
        <v>21/10/2019</v>
      </c>
      <c r="AZ1263">
        <v>54.2</v>
      </c>
      <c r="BA1263">
        <v>17.8</v>
      </c>
    </row>
    <row r="1264" spans="1:53" x14ac:dyDescent="0.3">
      <c r="A1264" s="11">
        <v>43692</v>
      </c>
      <c r="B1264">
        <v>0.55097613882863306</v>
      </c>
      <c r="C1264">
        <v>2840.6</v>
      </c>
      <c r="D1264">
        <v>145.69</v>
      </c>
      <c r="E1264">
        <v>1516.34</v>
      </c>
      <c r="F1264">
        <v>84.915000000000006</v>
      </c>
      <c r="G1264">
        <v>43.46</v>
      </c>
      <c r="H1264" s="12">
        <f t="shared" si="172"/>
        <v>79.495633928808616</v>
      </c>
      <c r="I1264" s="12">
        <f t="shared" si="173"/>
        <v>76.466853182991173</v>
      </c>
      <c r="J1264" s="12">
        <f t="shared" si="174"/>
        <v>96.249767481775137</v>
      </c>
      <c r="K1264" s="12">
        <f t="shared" si="175"/>
        <v>105.0728491604625</v>
      </c>
      <c r="P1264" s="12"/>
      <c r="Q1264" s="12"/>
      <c r="R1264" s="12"/>
      <c r="S1264" s="12"/>
      <c r="V1264">
        <v>0.40569991617770301</v>
      </c>
      <c r="W1264" s="12"/>
      <c r="X1264" s="12"/>
      <c r="AY1264" t="str">
        <v>18/10/2019</v>
      </c>
      <c r="AZ1264">
        <v>52.8</v>
      </c>
      <c r="BA1264">
        <v>17.899999999999999</v>
      </c>
    </row>
    <row r="1265" spans="1:53" x14ac:dyDescent="0.3">
      <c r="A1265" s="11">
        <v>43691</v>
      </c>
      <c r="B1265">
        <v>0.55555555555555602</v>
      </c>
      <c r="C1265">
        <v>2926.32</v>
      </c>
      <c r="D1265">
        <v>142.47999999999999</v>
      </c>
      <c r="E1265">
        <v>1501.39</v>
      </c>
      <c r="F1265">
        <v>84.81</v>
      </c>
      <c r="G1265">
        <v>44.71</v>
      </c>
      <c r="H1265" s="12">
        <f t="shared" si="172"/>
        <v>83.840433094122744</v>
      </c>
      <c r="I1265" s="12">
        <f t="shared" si="173"/>
        <v>79.590808580447614</v>
      </c>
      <c r="J1265" s="12">
        <f t="shared" si="174"/>
        <v>99.280895132483536</v>
      </c>
      <c r="K1265" s="12">
        <f t="shared" si="175"/>
        <v>105.21328915992189</v>
      </c>
      <c r="P1265" s="12"/>
      <c r="Q1265" s="12"/>
      <c r="R1265" s="12"/>
      <c r="S1265" s="12"/>
      <c r="V1265">
        <v>0.40675105485232099</v>
      </c>
      <c r="W1265" s="12"/>
      <c r="X1265" s="12"/>
      <c r="AY1265" t="str">
        <v>17/10/2019</v>
      </c>
      <c r="AZ1265">
        <v>52.8</v>
      </c>
      <c r="BA1265">
        <v>17.899999999999999</v>
      </c>
    </row>
    <row r="1266" spans="1:53" x14ac:dyDescent="0.3">
      <c r="A1266" s="11">
        <v>43690</v>
      </c>
      <c r="B1266">
        <v>0.55194805194805197</v>
      </c>
      <c r="C1266">
        <v>2883.75</v>
      </c>
      <c r="D1266">
        <v>142.97</v>
      </c>
      <c r="E1266">
        <v>1511.41</v>
      </c>
      <c r="F1266">
        <v>84.91</v>
      </c>
      <c r="G1266">
        <v>44.2</v>
      </c>
      <c r="H1266" s="12">
        <f t="shared" si="172"/>
        <v>82.342675729366505</v>
      </c>
      <c r="I1266" s="12">
        <f t="shared" si="173"/>
        <v>77.923891880505124</v>
      </c>
      <c r="J1266" s="12">
        <f t="shared" si="174"/>
        <v>97.723211937147568</v>
      </c>
      <c r="K1266" s="12">
        <f t="shared" si="175"/>
        <v>104.87521686436611</v>
      </c>
      <c r="P1266" s="12"/>
      <c r="Q1266" s="12"/>
      <c r="R1266" s="12"/>
      <c r="S1266" s="12"/>
      <c r="V1266">
        <v>0.40238704177323098</v>
      </c>
      <c r="W1266" s="12"/>
      <c r="X1266" s="12"/>
      <c r="AY1266" t="str">
        <v>16/10/2019</v>
      </c>
      <c r="AZ1266">
        <v>52.8</v>
      </c>
      <c r="BA1266">
        <v>17.899999999999999</v>
      </c>
    </row>
    <row r="1267" spans="1:53" x14ac:dyDescent="0.3">
      <c r="A1267" s="11">
        <v>43687</v>
      </c>
      <c r="B1267">
        <v>0.54310344827586199</v>
      </c>
      <c r="C1267">
        <v>2918.65</v>
      </c>
      <c r="D1267">
        <v>140.05000000000001</v>
      </c>
      <c r="E1267">
        <v>1495.25</v>
      </c>
      <c r="F1267">
        <v>84.82</v>
      </c>
      <c r="G1267">
        <v>44.71</v>
      </c>
      <c r="H1267" s="12">
        <f t="shared" si="172"/>
        <v>85.13574802438842</v>
      </c>
      <c r="I1267" s="12">
        <f t="shared" si="173"/>
        <v>79.739165170500598</v>
      </c>
      <c r="J1267" s="12">
        <f t="shared" si="174"/>
        <v>99.012217704724776</v>
      </c>
      <c r="K1267" s="12">
        <f t="shared" si="175"/>
        <v>104.93300756640458</v>
      </c>
      <c r="P1267" s="12"/>
      <c r="Q1267" s="12"/>
      <c r="R1267" s="12"/>
      <c r="S1267" s="12"/>
      <c r="V1267">
        <v>0.40828402366863897</v>
      </c>
      <c r="W1267" s="12"/>
      <c r="X1267" s="12"/>
      <c r="AY1267" t="str">
        <v>15/10/2019</v>
      </c>
      <c r="AZ1267">
        <v>52.8</v>
      </c>
      <c r="BA1267">
        <v>17.899999999999999</v>
      </c>
    </row>
    <row r="1268" spans="1:53" x14ac:dyDescent="0.3">
      <c r="A1268" s="11">
        <v>43686</v>
      </c>
      <c r="B1268">
        <v>0.53563714902807802</v>
      </c>
      <c r="C1268">
        <v>2938.09</v>
      </c>
      <c r="D1268">
        <v>140.33000000000001</v>
      </c>
      <c r="E1268">
        <v>1500.65</v>
      </c>
      <c r="F1268">
        <v>84.87</v>
      </c>
      <c r="G1268">
        <v>44.99</v>
      </c>
      <c r="H1268" s="12">
        <f t="shared" si="172"/>
        <v>85.531007903879797</v>
      </c>
      <c r="I1268" s="12">
        <f t="shared" si="173"/>
        <v>79.980554700584435</v>
      </c>
      <c r="J1268" s="12">
        <f t="shared" si="174"/>
        <v>99.61262353653828</v>
      </c>
      <c r="K1268" s="12">
        <f t="shared" si="175"/>
        <v>104.97425595686639</v>
      </c>
      <c r="P1268" s="12"/>
      <c r="Q1268" s="12"/>
      <c r="R1268" s="12"/>
      <c r="S1268" s="12"/>
      <c r="V1268">
        <v>0.40340425531914897</v>
      </c>
      <c r="W1268" s="12"/>
      <c r="X1268" s="12"/>
      <c r="AY1268" t="str">
        <v>14/10/2019</v>
      </c>
      <c r="AZ1268">
        <v>52.8</v>
      </c>
      <c r="BA1268">
        <v>17.899999999999999</v>
      </c>
    </row>
    <row r="1269" spans="1:53" x14ac:dyDescent="0.3">
      <c r="A1269" s="11">
        <v>43685</v>
      </c>
      <c r="B1269">
        <v>0.52360515021459197</v>
      </c>
      <c r="C1269">
        <v>2883.98</v>
      </c>
      <c r="D1269">
        <v>140.03</v>
      </c>
      <c r="E1269">
        <v>1501.3</v>
      </c>
      <c r="F1269">
        <v>84.9</v>
      </c>
      <c r="G1269">
        <v>44.48</v>
      </c>
      <c r="H1269" s="12">
        <f t="shared" si="172"/>
        <v>84.132732989010066</v>
      </c>
      <c r="I1269" s="12">
        <f t="shared" si="173"/>
        <v>78.47422437464877</v>
      </c>
      <c r="J1269" s="12">
        <f t="shared" si="174"/>
        <v>97.744182598809303</v>
      </c>
      <c r="K1269" s="12">
        <f t="shared" si="175"/>
        <v>104.21386587314534</v>
      </c>
      <c r="P1269" s="12"/>
      <c r="Q1269" s="12"/>
      <c r="R1269" s="12"/>
      <c r="S1269" s="12"/>
      <c r="V1269">
        <v>0.41738382099827898</v>
      </c>
      <c r="W1269" s="12"/>
      <c r="X1269" s="12"/>
      <c r="AY1269" t="str">
        <v>11/10/2019</v>
      </c>
      <c r="AZ1269">
        <v>49.1</v>
      </c>
      <c r="BA1269">
        <v>17</v>
      </c>
    </row>
    <row r="1270" spans="1:53" x14ac:dyDescent="0.3">
      <c r="A1270" s="11">
        <v>43684</v>
      </c>
      <c r="B1270">
        <v>0.506493506493506</v>
      </c>
      <c r="C1270">
        <v>2881.77</v>
      </c>
      <c r="D1270">
        <v>139.97999999999999</v>
      </c>
      <c r="E1270">
        <v>1474.38</v>
      </c>
      <c r="F1270">
        <v>84.89</v>
      </c>
      <c r="G1270">
        <v>44.32</v>
      </c>
      <c r="H1270" s="12">
        <f t="shared" si="172"/>
        <v>84.098278268484435</v>
      </c>
      <c r="I1270" s="12">
        <f t="shared" si="173"/>
        <v>79.871303863767537</v>
      </c>
      <c r="J1270" s="12">
        <f t="shared" si="174"/>
        <v>97.680778953848161</v>
      </c>
      <c r="K1270" s="12">
        <f t="shared" si="175"/>
        <v>104.5110135212694</v>
      </c>
      <c r="P1270" s="12"/>
      <c r="Q1270" s="12"/>
      <c r="R1270" s="12"/>
      <c r="S1270" s="12"/>
      <c r="V1270">
        <v>0.415584415584416</v>
      </c>
      <c r="W1270" s="12"/>
      <c r="X1270" s="12"/>
      <c r="AY1270" t="str">
        <v>10/10/2019</v>
      </c>
      <c r="AZ1270">
        <v>49.1</v>
      </c>
      <c r="BA1270">
        <v>17</v>
      </c>
    </row>
    <row r="1271" spans="1:53" x14ac:dyDescent="0.3">
      <c r="A1271" s="11">
        <v>43683</v>
      </c>
      <c r="B1271">
        <v>0.50877192982456099</v>
      </c>
      <c r="C1271">
        <v>2844.74</v>
      </c>
      <c r="D1271">
        <v>138.87</v>
      </c>
      <c r="E1271">
        <v>1464.09</v>
      </c>
      <c r="F1271">
        <v>84.85</v>
      </c>
      <c r="G1271">
        <v>43.95</v>
      </c>
      <c r="H1271" s="12">
        <f t="shared" si="172"/>
        <v>83.677887276552156</v>
      </c>
      <c r="I1271" s="12">
        <f t="shared" si="173"/>
        <v>79.395822104998715</v>
      </c>
      <c r="J1271" s="12">
        <f t="shared" si="174"/>
        <v>96.470499935479182</v>
      </c>
      <c r="K1271" s="12">
        <f t="shared" si="175"/>
        <v>104.03263513037496</v>
      </c>
      <c r="P1271" s="12"/>
      <c r="Q1271" s="12"/>
      <c r="R1271" s="12"/>
      <c r="S1271" s="12"/>
      <c r="V1271">
        <v>0.42247386759581901</v>
      </c>
      <c r="W1271" s="12"/>
      <c r="X1271" s="12"/>
      <c r="AY1271" t="str">
        <v>09/10/2019</v>
      </c>
      <c r="AZ1271">
        <v>49.1</v>
      </c>
      <c r="BA1271">
        <v>17</v>
      </c>
    </row>
    <row r="1272" spans="1:53" x14ac:dyDescent="0.3">
      <c r="A1272" s="11">
        <v>43680</v>
      </c>
      <c r="B1272">
        <v>0.50436681222707402</v>
      </c>
      <c r="C1272">
        <v>2932.05</v>
      </c>
      <c r="D1272">
        <v>136.51</v>
      </c>
      <c r="E1272">
        <v>1440.71</v>
      </c>
      <c r="F1272">
        <v>84.68</v>
      </c>
      <c r="G1272">
        <v>45.21</v>
      </c>
      <c r="H1272" s="12">
        <f t="shared" si="172"/>
        <v>87.810781738964522</v>
      </c>
      <c r="I1272" s="12">
        <f t="shared" si="173"/>
        <v>83.224647782852713</v>
      </c>
      <c r="J1272" s="12">
        <f t="shared" si="174"/>
        <v>99.637514026906842</v>
      </c>
      <c r="K1272" s="12">
        <f t="shared" si="175"/>
        <v>104.23149425363147</v>
      </c>
      <c r="P1272" s="12"/>
      <c r="Q1272" s="12"/>
      <c r="R1272" s="12"/>
      <c r="S1272" s="12"/>
      <c r="V1272">
        <v>0.41176470588235298</v>
      </c>
      <c r="W1272" s="12"/>
      <c r="X1272" s="12"/>
      <c r="AY1272" t="str">
        <v>08/10/2019</v>
      </c>
      <c r="AZ1272">
        <v>49.1</v>
      </c>
      <c r="BA1272">
        <v>17</v>
      </c>
    </row>
    <row r="1273" spans="1:53" x14ac:dyDescent="0.3">
      <c r="A1273" s="11">
        <v>43679</v>
      </c>
      <c r="B1273">
        <v>0.50111358574610199</v>
      </c>
      <c r="C1273">
        <v>2953.56</v>
      </c>
      <c r="D1273">
        <v>135.26</v>
      </c>
      <c r="E1273">
        <v>1446.05</v>
      </c>
      <c r="F1273">
        <v>84.66</v>
      </c>
      <c r="G1273">
        <v>45.55</v>
      </c>
      <c r="H1273" s="12">
        <f t="shared" si="172"/>
        <v>89.286163960121655</v>
      </c>
      <c r="I1273" s="12">
        <f t="shared" si="173"/>
        <v>83.524493900175869</v>
      </c>
      <c r="J1273" s="12">
        <f t="shared" si="174"/>
        <v>100.39236176947843</v>
      </c>
      <c r="K1273" s="12">
        <f t="shared" si="175"/>
        <v>104.21257048548463</v>
      </c>
      <c r="P1273" s="12"/>
      <c r="Q1273" s="12"/>
      <c r="R1273" s="12"/>
      <c r="S1273" s="12"/>
      <c r="V1273">
        <v>0.42045454545454503</v>
      </c>
      <c r="W1273" s="12"/>
      <c r="X1273" s="12"/>
      <c r="AY1273" t="str">
        <v>07/10/2019</v>
      </c>
      <c r="AZ1273">
        <v>49.1</v>
      </c>
      <c r="BA1273">
        <v>17</v>
      </c>
    </row>
    <row r="1274" spans="1:53" x14ac:dyDescent="0.3">
      <c r="A1274" s="11">
        <v>43677</v>
      </c>
      <c r="B1274">
        <v>0.479545454545455</v>
      </c>
      <c r="C1274">
        <v>2980.38</v>
      </c>
      <c r="D1274">
        <v>132.88999999999999</v>
      </c>
      <c r="E1274">
        <v>1413.8</v>
      </c>
      <c r="F1274">
        <v>84.57</v>
      </c>
      <c r="G1274">
        <v>45.95</v>
      </c>
      <c r="H1274" s="12">
        <f t="shared" si="172"/>
        <v>91.748053379932529</v>
      </c>
      <c r="I1274" s="12">
        <f t="shared" si="173"/>
        <v>86.26867605707173</v>
      </c>
      <c r="J1274" s="12">
        <f t="shared" si="174"/>
        <v>101.41288568855461</v>
      </c>
      <c r="K1274" s="12">
        <f t="shared" si="175"/>
        <v>104.24319069692434</v>
      </c>
      <c r="P1274" s="12"/>
      <c r="Q1274" s="12"/>
      <c r="R1274" s="12"/>
      <c r="S1274" s="12"/>
      <c r="V1274">
        <v>0.41482789055604602</v>
      </c>
      <c r="W1274" s="12"/>
      <c r="X1274" s="12"/>
      <c r="AY1274" t="str">
        <v>04/10/2019</v>
      </c>
      <c r="AZ1274">
        <v>47.6</v>
      </c>
      <c r="BA1274">
        <v>17.2</v>
      </c>
    </row>
    <row r="1275" spans="1:53" x14ac:dyDescent="0.3">
      <c r="A1275" s="11">
        <v>43677</v>
      </c>
      <c r="B1275">
        <v>0.44572748267898399</v>
      </c>
      <c r="C1275">
        <v>3013.18</v>
      </c>
      <c r="D1275">
        <v>131.83000000000001</v>
      </c>
      <c r="E1275">
        <v>1430.85</v>
      </c>
      <c r="F1275">
        <v>84.58</v>
      </c>
      <c r="G1275">
        <v>46.32</v>
      </c>
      <c r="H1275" s="12">
        <f t="shared" si="172"/>
        <v>93.517990588750862</v>
      </c>
      <c r="I1275" s="12">
        <f t="shared" si="173"/>
        <v>86.179869052563916</v>
      </c>
      <c r="J1275" s="12">
        <f t="shared" si="174"/>
        <v>102.51671166374652</v>
      </c>
      <c r="K1275" s="12">
        <f t="shared" si="175"/>
        <v>104.54612348903154</v>
      </c>
      <c r="P1275" s="12"/>
      <c r="Q1275" s="12"/>
      <c r="R1275" s="12"/>
      <c r="S1275" s="12"/>
      <c r="V1275">
        <v>0.40941385435168698</v>
      </c>
      <c r="W1275" s="12"/>
      <c r="X1275" s="12"/>
      <c r="AY1275" t="str">
        <v>03/10/2019</v>
      </c>
      <c r="AZ1275">
        <v>47.6</v>
      </c>
      <c r="BA1275">
        <v>17.2</v>
      </c>
    </row>
    <row r="1276" spans="1:53" x14ac:dyDescent="0.3">
      <c r="A1276" s="11">
        <v>43676</v>
      </c>
      <c r="B1276">
        <v>0.44705882352941201</v>
      </c>
      <c r="C1276">
        <v>3020.97</v>
      </c>
      <c r="D1276">
        <v>131.51</v>
      </c>
      <c r="E1276">
        <v>1426.94</v>
      </c>
      <c r="F1276">
        <v>84.57</v>
      </c>
      <c r="G1276">
        <v>46.75</v>
      </c>
      <c r="H1276" s="12">
        <f t="shared" si="172"/>
        <v>93.98905593558446</v>
      </c>
      <c r="I1276" s="12">
        <f t="shared" si="173"/>
        <v>86.640691063811403</v>
      </c>
      <c r="J1276" s="12">
        <f t="shared" si="174"/>
        <v>102.7939353121274</v>
      </c>
      <c r="K1276" s="12">
        <f t="shared" si="175"/>
        <v>103.85866027131715</v>
      </c>
      <c r="P1276" s="12"/>
      <c r="Q1276" s="12"/>
      <c r="R1276" s="12"/>
      <c r="S1276" s="12"/>
      <c r="V1276">
        <v>0.40790655884995503</v>
      </c>
      <c r="W1276" s="12"/>
      <c r="X1276" s="12"/>
      <c r="AY1276" t="str">
        <v>02/10/2019</v>
      </c>
      <c r="AZ1276">
        <v>47.6</v>
      </c>
      <c r="BA1276">
        <v>17.2</v>
      </c>
    </row>
    <row r="1277" spans="1:53" x14ac:dyDescent="0.3">
      <c r="A1277" s="11">
        <v>43673</v>
      </c>
      <c r="B1277">
        <v>0.44180522565320701</v>
      </c>
      <c r="C1277">
        <v>3025.86</v>
      </c>
      <c r="D1277">
        <v>131.47</v>
      </c>
      <c r="E1277">
        <v>1418.7</v>
      </c>
      <c r="F1277">
        <v>84.57</v>
      </c>
      <c r="G1277">
        <v>46.77</v>
      </c>
      <c r="H1277" s="12">
        <f t="shared" si="172"/>
        <v>94.169892395343595</v>
      </c>
      <c r="I1277" s="12">
        <f t="shared" si="173"/>
        <v>87.288740452639729</v>
      </c>
      <c r="J1277" s="12">
        <f t="shared" si="174"/>
        <v>102.96032635330833</v>
      </c>
      <c r="K1277" s="12">
        <f t="shared" si="175"/>
        <v>103.98223743477058</v>
      </c>
      <c r="P1277" s="12"/>
      <c r="Q1277" s="12"/>
      <c r="R1277" s="12"/>
      <c r="S1277" s="12"/>
      <c r="V1277">
        <v>0.40301151461470303</v>
      </c>
      <c r="W1277" s="12"/>
      <c r="X1277" s="12"/>
      <c r="AY1277" t="str">
        <v>01/10/2019</v>
      </c>
      <c r="AZ1277">
        <v>47.6</v>
      </c>
      <c r="BA1277">
        <v>17.2</v>
      </c>
    </row>
    <row r="1278" spans="1:53" x14ac:dyDescent="0.3">
      <c r="A1278" s="11">
        <v>43672</v>
      </c>
      <c r="B1278">
        <v>0.43632075471698101</v>
      </c>
      <c r="C1278">
        <v>3003.67</v>
      </c>
      <c r="D1278">
        <v>131.16</v>
      </c>
      <c r="E1278">
        <v>1414.7</v>
      </c>
      <c r="F1278">
        <v>84.56</v>
      </c>
      <c r="G1278">
        <v>46.66</v>
      </c>
      <c r="H1278" s="12">
        <f t="shared" si="172"/>
        <v>93.699138211310341</v>
      </c>
      <c r="I1278" s="12">
        <f t="shared" si="173"/>
        <v>86.892495506074539</v>
      </c>
      <c r="J1278" s="12">
        <f t="shared" si="174"/>
        <v>102.21727119783428</v>
      </c>
      <c r="K1278" s="12">
        <f t="shared" si="175"/>
        <v>103.46180906826397</v>
      </c>
      <c r="P1278" s="12"/>
      <c r="Q1278" s="12"/>
      <c r="R1278" s="12"/>
      <c r="S1278" s="12"/>
      <c r="V1278">
        <v>0.40925266903914598</v>
      </c>
      <c r="W1278" s="12"/>
      <c r="X1278" s="12"/>
      <c r="AY1278" t="str">
        <v>30/09/2019</v>
      </c>
      <c r="AZ1278">
        <v>47.6</v>
      </c>
      <c r="BA1278">
        <v>17.2</v>
      </c>
    </row>
    <row r="1279" spans="1:53" x14ac:dyDescent="0.3">
      <c r="A1279" s="11">
        <v>43671</v>
      </c>
      <c r="B1279">
        <v>0.43230403800475098</v>
      </c>
      <c r="C1279">
        <v>3019.56</v>
      </c>
      <c r="D1279">
        <v>131.79</v>
      </c>
      <c r="E1279">
        <v>1425.57</v>
      </c>
      <c r="F1279">
        <v>84.61</v>
      </c>
      <c r="G1279">
        <v>47.07</v>
      </c>
      <c r="H1279" s="12">
        <f t="shared" si="172"/>
        <v>93.744325203231043</v>
      </c>
      <c r="I1279" s="12">
        <f t="shared" si="173"/>
        <v>86.687681636010936</v>
      </c>
      <c r="J1279" s="12">
        <f t="shared" si="174"/>
        <v>102.6970109811312</v>
      </c>
      <c r="K1279" s="12">
        <f t="shared" si="175"/>
        <v>103.10629082722792</v>
      </c>
      <c r="P1279" s="12"/>
      <c r="Q1279" s="12"/>
      <c r="R1279" s="12"/>
      <c r="S1279" s="12"/>
      <c r="V1279">
        <v>0.40427426536064098</v>
      </c>
      <c r="W1279" s="12"/>
      <c r="X1279" s="12"/>
      <c r="AY1279" t="str">
        <v>27/09/2019</v>
      </c>
      <c r="AZ1279">
        <v>55.3</v>
      </c>
      <c r="BA1279">
        <v>17.100000000000001</v>
      </c>
    </row>
    <row r="1280" spans="1:53" x14ac:dyDescent="0.3">
      <c r="A1280" s="11">
        <v>43670</v>
      </c>
      <c r="B1280">
        <v>0.42822966507177002</v>
      </c>
      <c r="C1280">
        <v>3005.47</v>
      </c>
      <c r="D1280">
        <v>131.22</v>
      </c>
      <c r="E1280">
        <v>1417.5</v>
      </c>
      <c r="F1280">
        <v>84.59</v>
      </c>
      <c r="G1280">
        <v>47.09</v>
      </c>
      <c r="H1280" s="12">
        <f t="shared" si="172"/>
        <v>93.712063078650786</v>
      </c>
      <c r="I1280" s="12">
        <f t="shared" si="173"/>
        <v>86.774890664011494</v>
      </c>
      <c r="J1280" s="12">
        <f t="shared" si="174"/>
        <v>102.24186250776762</v>
      </c>
      <c r="K1280" s="12">
        <f t="shared" si="175"/>
        <v>102.58180674069999</v>
      </c>
      <c r="P1280" s="12"/>
      <c r="Q1280" s="12"/>
      <c r="R1280" s="12"/>
      <c r="S1280" s="12"/>
      <c r="V1280">
        <v>0.40691489361702099</v>
      </c>
      <c r="W1280" s="12"/>
      <c r="X1280" s="12"/>
      <c r="AY1280" t="str">
        <v>26/09/2019</v>
      </c>
      <c r="AZ1280">
        <v>55.3</v>
      </c>
      <c r="BA1280">
        <v>17.100000000000001</v>
      </c>
    </row>
    <row r="1281" spans="1:53" x14ac:dyDescent="0.3">
      <c r="A1281" s="11">
        <v>43669</v>
      </c>
      <c r="B1281">
        <v>0.42615012106537498</v>
      </c>
      <c r="C1281">
        <v>2985.03</v>
      </c>
      <c r="D1281">
        <v>131.94</v>
      </c>
      <c r="E1281">
        <v>1425.03</v>
      </c>
      <c r="F1281">
        <v>84.61</v>
      </c>
      <c r="G1281">
        <v>46.81</v>
      </c>
      <c r="H1281" s="12">
        <f t="shared" si="172"/>
        <v>92.572996030013755</v>
      </c>
      <c r="I1281" s="12">
        <f t="shared" si="173"/>
        <v>85.734790339866422</v>
      </c>
      <c r="J1281" s="12">
        <f t="shared" si="174"/>
        <v>101.52268786318999</v>
      </c>
      <c r="K1281" s="12">
        <f t="shared" si="175"/>
        <v>102.49306061177074</v>
      </c>
      <c r="P1281" s="12"/>
      <c r="Q1281" s="12"/>
      <c r="R1281" s="12"/>
      <c r="S1281" s="12"/>
      <c r="V1281">
        <v>0.41002685765443198</v>
      </c>
      <c r="W1281" s="12"/>
      <c r="X1281" s="12"/>
      <c r="AY1281" t="str">
        <v>25/09/2019</v>
      </c>
      <c r="AZ1281">
        <v>55.3</v>
      </c>
      <c r="BA1281">
        <v>17.100000000000001</v>
      </c>
    </row>
    <row r="1282" spans="1:53" x14ac:dyDescent="0.3">
      <c r="A1282" s="11">
        <v>43666</v>
      </c>
      <c r="B1282">
        <v>0.41888619854721498</v>
      </c>
      <c r="C1282">
        <v>2976.61</v>
      </c>
      <c r="D1282">
        <v>131.69</v>
      </c>
      <c r="E1282">
        <v>1425.3</v>
      </c>
      <c r="F1282">
        <v>84.6</v>
      </c>
      <c r="G1282">
        <v>46.84</v>
      </c>
      <c r="H1282" s="12">
        <f t="shared" ref="H1282:H1345" si="176">H1283*(1+((C1282/C1283)-(D1282/D1283)))</f>
        <v>92.486953242936877</v>
      </c>
      <c r="I1282" s="12">
        <f t="shared" ref="I1282:I1345" si="177">I1283*(1+((C1282/C1283)-(E1282/E1283)))</f>
        <v>85.476808078465325</v>
      </c>
      <c r="J1282" s="12">
        <f t="shared" si="174"/>
        <v>101.24825265657769</v>
      </c>
      <c r="K1282" s="12">
        <f t="shared" si="175"/>
        <v>102.13872101320936</v>
      </c>
      <c r="P1282" s="12"/>
      <c r="Q1282" s="12"/>
      <c r="R1282" s="12"/>
      <c r="S1282" s="12"/>
      <c r="V1282">
        <v>0.41437444543034602</v>
      </c>
      <c r="W1282" s="12"/>
      <c r="X1282" s="12"/>
      <c r="AY1282" t="str">
        <v>24/09/2019</v>
      </c>
      <c r="AZ1282">
        <v>55.3</v>
      </c>
      <c r="BA1282">
        <v>17.100000000000001</v>
      </c>
    </row>
    <row r="1283" spans="1:53" x14ac:dyDescent="0.3">
      <c r="A1283" s="11">
        <v>43665</v>
      </c>
      <c r="B1283">
        <v>0.41379310344827602</v>
      </c>
      <c r="C1283">
        <v>2995.11</v>
      </c>
      <c r="D1283">
        <v>132</v>
      </c>
      <c r="E1283">
        <v>1446.09</v>
      </c>
      <c r="F1283">
        <v>84.69</v>
      </c>
      <c r="G1283">
        <v>46.94</v>
      </c>
      <c r="H1283" s="12">
        <f t="shared" si="176"/>
        <v>92.842377063256521</v>
      </c>
      <c r="I1283" s="12">
        <f t="shared" si="177"/>
        <v>84.781602010948006</v>
      </c>
      <c r="J1283" s="12">
        <f t="shared" ref="J1283:J1346" si="178">J1284*(1+((C1283/C1284)-(F1283/F1284)))</f>
        <v>101.76870140716086</v>
      </c>
      <c r="K1283" s="12">
        <f t="shared" ref="K1283:K1346" si="179">K1284*(1+((C1283/C1284)-(G1283/G1284)))</f>
        <v>102.55368970335994</v>
      </c>
      <c r="P1283" s="12"/>
      <c r="Q1283" s="12"/>
      <c r="R1283" s="12"/>
      <c r="S1283" s="12"/>
      <c r="V1283">
        <v>0.40605520926090799</v>
      </c>
      <c r="W1283" s="12"/>
      <c r="X1283" s="12"/>
      <c r="AY1283" t="str">
        <v>23/09/2019</v>
      </c>
      <c r="AZ1283">
        <v>55.3</v>
      </c>
      <c r="BA1283">
        <v>17.100000000000001</v>
      </c>
    </row>
    <row r="1284" spans="1:53" x14ac:dyDescent="0.3">
      <c r="A1284" s="11">
        <v>43664</v>
      </c>
      <c r="B1284">
        <v>0.41666666666666702</v>
      </c>
      <c r="C1284">
        <v>2984.42</v>
      </c>
      <c r="D1284">
        <v>131.99</v>
      </c>
      <c r="E1284">
        <v>1426.51</v>
      </c>
      <c r="F1284">
        <v>84.59</v>
      </c>
      <c r="G1284">
        <v>46.7</v>
      </c>
      <c r="H1284" s="12">
        <f t="shared" si="176"/>
        <v>92.517993047749925</v>
      </c>
      <c r="I1284" s="12">
        <f t="shared" si="177"/>
        <v>85.650428897367973</v>
      </c>
      <c r="J1284" s="12">
        <f t="shared" si="178"/>
        <v>101.52506534377791</v>
      </c>
      <c r="K1284" s="12">
        <f t="shared" si="179"/>
        <v>102.71364059999728</v>
      </c>
      <c r="P1284" s="12"/>
      <c r="Q1284" s="12"/>
      <c r="R1284" s="12"/>
      <c r="S1284" s="12"/>
      <c r="V1284">
        <v>0.408514492753623</v>
      </c>
      <c r="W1284" s="12"/>
      <c r="X1284" s="12"/>
      <c r="AY1284" t="str">
        <v>20/09/2019</v>
      </c>
      <c r="AZ1284">
        <v>55.1</v>
      </c>
      <c r="BA1284">
        <v>16.8</v>
      </c>
    </row>
    <row r="1285" spans="1:53" x14ac:dyDescent="0.3">
      <c r="A1285" s="11">
        <v>43663</v>
      </c>
      <c r="B1285">
        <v>0.41414141414141398</v>
      </c>
      <c r="C1285">
        <v>3004.04</v>
      </c>
      <c r="D1285">
        <v>130.58000000000001</v>
      </c>
      <c r="E1285">
        <v>1406.21</v>
      </c>
      <c r="F1285">
        <v>84.51</v>
      </c>
      <c r="G1285">
        <v>46.78</v>
      </c>
      <c r="H1285" s="12">
        <f t="shared" si="176"/>
        <v>94.149527428056103</v>
      </c>
      <c r="I1285" s="12">
        <f t="shared" si="177"/>
        <v>87.4847363079422</v>
      </c>
      <c r="J1285" s="12">
        <f t="shared" si="178"/>
        <v>102.28997321077262</v>
      </c>
      <c r="K1285" s="12">
        <f t="shared" si="179"/>
        <v>103.21122937930798</v>
      </c>
      <c r="P1285" s="12"/>
      <c r="Q1285" s="12"/>
      <c r="R1285" s="12"/>
      <c r="S1285" s="12"/>
      <c r="V1285">
        <v>0.40415913200723302</v>
      </c>
      <c r="W1285" s="12"/>
      <c r="X1285" s="12"/>
      <c r="AY1285" t="str">
        <v>19/09/2019</v>
      </c>
      <c r="AZ1285">
        <v>55.1</v>
      </c>
      <c r="BA1285">
        <v>16.8</v>
      </c>
    </row>
    <row r="1286" spans="1:53" x14ac:dyDescent="0.3">
      <c r="A1286" s="11">
        <v>43662</v>
      </c>
      <c r="B1286">
        <v>0.42487046632124398</v>
      </c>
      <c r="C1286">
        <v>3014.3</v>
      </c>
      <c r="D1286">
        <v>130.97</v>
      </c>
      <c r="E1286">
        <v>1413.94</v>
      </c>
      <c r="F1286">
        <v>84.54</v>
      </c>
      <c r="G1286">
        <v>46.93</v>
      </c>
      <c r="H1286" s="12">
        <f t="shared" si="176"/>
        <v>94.189651670193186</v>
      </c>
      <c r="I1286" s="12">
        <f t="shared" si="177"/>
        <v>87.304607903991155</v>
      </c>
      <c r="J1286" s="12">
        <f t="shared" si="178"/>
        <v>102.60280029770439</v>
      </c>
      <c r="K1286" s="12">
        <f t="shared" si="179"/>
        <v>103.23265279792329</v>
      </c>
      <c r="P1286" s="12"/>
      <c r="Q1286" s="12"/>
      <c r="R1286" s="12"/>
      <c r="S1286" s="12"/>
      <c r="V1286">
        <v>0.40381125226860298</v>
      </c>
      <c r="W1286" s="12"/>
      <c r="X1286" s="12"/>
      <c r="AY1286" t="str">
        <v>18/09/2019</v>
      </c>
      <c r="AZ1286">
        <v>55.1</v>
      </c>
      <c r="BA1286">
        <v>16.8</v>
      </c>
    </row>
    <row r="1287" spans="1:53" x14ac:dyDescent="0.3">
      <c r="A1287" s="11">
        <v>43659</v>
      </c>
      <c r="B1287">
        <v>0.41298701298701301</v>
      </c>
      <c r="C1287">
        <v>3013.77</v>
      </c>
      <c r="D1287">
        <v>130.22</v>
      </c>
      <c r="E1287">
        <v>1415.75</v>
      </c>
      <c r="F1287">
        <v>84.52</v>
      </c>
      <c r="G1287">
        <v>46.88</v>
      </c>
      <c r="H1287" s="12">
        <f t="shared" si="176"/>
        <v>94.718524341276932</v>
      </c>
      <c r="I1287" s="12">
        <f t="shared" si="177"/>
        <v>87.177822252345123</v>
      </c>
      <c r="J1287" s="12">
        <f t="shared" si="178"/>
        <v>102.60903594236211</v>
      </c>
      <c r="K1287" s="12">
        <f t="shared" si="179"/>
        <v>103.32468341452845</v>
      </c>
      <c r="P1287" s="12"/>
      <c r="Q1287" s="12"/>
      <c r="R1287" s="12"/>
      <c r="S1287" s="12"/>
      <c r="V1287">
        <v>0.391855203619909</v>
      </c>
      <c r="W1287" s="12"/>
      <c r="X1287" s="12"/>
      <c r="AY1287" t="str">
        <v>17/09/2019</v>
      </c>
      <c r="AZ1287">
        <v>55.1</v>
      </c>
      <c r="BA1287">
        <v>16.8</v>
      </c>
    </row>
    <row r="1288" spans="1:53" x14ac:dyDescent="0.3">
      <c r="A1288" s="11">
        <v>43658</v>
      </c>
      <c r="B1288">
        <v>0.40848806366047702</v>
      </c>
      <c r="C1288">
        <v>2999.91</v>
      </c>
      <c r="D1288">
        <v>130.07</v>
      </c>
      <c r="E1288">
        <v>1403.85</v>
      </c>
      <c r="F1288">
        <v>84.51</v>
      </c>
      <c r="G1288">
        <v>46.84</v>
      </c>
      <c r="H1288" s="12">
        <f t="shared" si="176"/>
        <v>94.391277953225142</v>
      </c>
      <c r="I1288" s="12">
        <f t="shared" si="177"/>
        <v>87.515329540311768</v>
      </c>
      <c r="J1288" s="12">
        <f t="shared" si="178"/>
        <v>102.1491798032603</v>
      </c>
      <c r="K1288" s="12">
        <f t="shared" si="179"/>
        <v>102.9370053959331</v>
      </c>
      <c r="P1288" s="12"/>
      <c r="Q1288" s="12"/>
      <c r="R1288" s="12"/>
      <c r="S1288" s="12"/>
      <c r="V1288">
        <v>0.38669064748201398</v>
      </c>
      <c r="W1288" s="12"/>
      <c r="X1288" s="12"/>
      <c r="AY1288" t="str">
        <v>16/09/2019</v>
      </c>
      <c r="AZ1288">
        <v>55.1</v>
      </c>
      <c r="BA1288">
        <v>16.8</v>
      </c>
    </row>
    <row r="1289" spans="1:53" x14ac:dyDescent="0.3">
      <c r="A1289" s="11">
        <v>43657</v>
      </c>
      <c r="B1289">
        <v>0.39285714285714302</v>
      </c>
      <c r="C1289">
        <v>2993.07</v>
      </c>
      <c r="D1289">
        <v>131.83000000000001</v>
      </c>
      <c r="E1289">
        <v>1418.89</v>
      </c>
      <c r="F1289">
        <v>84.55</v>
      </c>
      <c r="G1289">
        <v>46.83</v>
      </c>
      <c r="H1289" s="12">
        <f t="shared" si="176"/>
        <v>92.938115590321999</v>
      </c>
      <c r="I1289" s="12">
        <f t="shared" si="177"/>
        <v>86.402029533305452</v>
      </c>
      <c r="J1289" s="12">
        <f t="shared" si="178"/>
        <v>101.86818945817429</v>
      </c>
      <c r="K1289" s="12">
        <f t="shared" si="179"/>
        <v>102.72418751943708</v>
      </c>
      <c r="P1289" s="12"/>
      <c r="Q1289" s="12"/>
      <c r="R1289" s="12"/>
      <c r="S1289" s="12"/>
      <c r="V1289">
        <v>0.37716894977169002</v>
      </c>
      <c r="W1289" s="12"/>
      <c r="X1289" s="12"/>
      <c r="AY1289" t="str">
        <v>13/09/2019</v>
      </c>
      <c r="AZ1289">
        <v>53.8</v>
      </c>
      <c r="BA1289">
        <v>17</v>
      </c>
    </row>
    <row r="1290" spans="1:53" x14ac:dyDescent="0.3">
      <c r="A1290" s="11">
        <v>43656</v>
      </c>
      <c r="B1290">
        <v>0.39779005524861899</v>
      </c>
      <c r="C1290">
        <v>2979.63</v>
      </c>
      <c r="D1290">
        <v>132.56</v>
      </c>
      <c r="E1290">
        <v>1397.68</v>
      </c>
      <c r="F1290">
        <v>84.4</v>
      </c>
      <c r="G1290">
        <v>46.58</v>
      </c>
      <c r="H1290" s="12">
        <f t="shared" si="176"/>
        <v>92.016335744012565</v>
      </c>
      <c r="I1290" s="12">
        <f t="shared" si="177"/>
        <v>87.333398326397827</v>
      </c>
      <c r="J1290" s="12">
        <f t="shared" si="178"/>
        <v>101.5905044142653</v>
      </c>
      <c r="K1290" s="12">
        <f t="shared" si="179"/>
        <v>102.81224447849566</v>
      </c>
      <c r="P1290" s="12"/>
      <c r="Q1290" s="12"/>
      <c r="R1290" s="12"/>
      <c r="S1290" s="12"/>
      <c r="V1290">
        <v>0.37258509659613598</v>
      </c>
      <c r="W1290" s="12"/>
      <c r="X1290" s="12"/>
      <c r="AY1290" t="str">
        <v>12/09/2019</v>
      </c>
      <c r="AZ1290">
        <v>53.8</v>
      </c>
      <c r="BA1290">
        <v>17</v>
      </c>
    </row>
    <row r="1291" spans="1:53" x14ac:dyDescent="0.3">
      <c r="A1291" s="11">
        <v>43655</v>
      </c>
      <c r="B1291">
        <v>0.38968481375358199</v>
      </c>
      <c r="C1291">
        <v>2975.95</v>
      </c>
      <c r="D1291">
        <v>132.61000000000001</v>
      </c>
      <c r="E1291">
        <v>1395.6</v>
      </c>
      <c r="F1291">
        <v>84.43</v>
      </c>
      <c r="G1291">
        <v>46.74</v>
      </c>
      <c r="H1291" s="12">
        <f t="shared" si="176"/>
        <v>91.868095053547478</v>
      </c>
      <c r="I1291" s="12">
        <f t="shared" si="177"/>
        <v>87.355570784532603</v>
      </c>
      <c r="J1291" s="12">
        <f t="shared" si="178"/>
        <v>101.42903913609433</v>
      </c>
      <c r="K1291" s="12">
        <f t="shared" si="179"/>
        <v>102.33538491293874</v>
      </c>
      <c r="P1291" s="12"/>
      <c r="Q1291" s="12"/>
      <c r="R1291" s="12"/>
      <c r="S1291" s="12"/>
      <c r="V1291">
        <v>0.37108655616942898</v>
      </c>
      <c r="W1291" s="12"/>
      <c r="X1291" s="12"/>
      <c r="AY1291" t="str">
        <v>11/09/2019</v>
      </c>
      <c r="AZ1291">
        <v>53.8</v>
      </c>
      <c r="BA1291">
        <v>17</v>
      </c>
    </row>
    <row r="1292" spans="1:53" x14ac:dyDescent="0.3">
      <c r="A1292" s="11">
        <v>43652</v>
      </c>
      <c r="B1292">
        <v>0.39828080229226398</v>
      </c>
      <c r="C1292">
        <v>2990.41</v>
      </c>
      <c r="D1292">
        <v>132.43</v>
      </c>
      <c r="E1292">
        <v>1399.95</v>
      </c>
      <c r="F1292">
        <v>84.47</v>
      </c>
      <c r="G1292">
        <v>47.05</v>
      </c>
      <c r="H1292" s="12">
        <f t="shared" si="176"/>
        <v>92.440734527244587</v>
      </c>
      <c r="I1292" s="12">
        <f t="shared" si="177"/>
        <v>87.50680034445854</v>
      </c>
      <c r="J1292" s="12">
        <f t="shared" si="178"/>
        <v>101.87340240517207</v>
      </c>
      <c r="K1292" s="12">
        <f t="shared" si="179"/>
        <v>102.15627655634167</v>
      </c>
      <c r="P1292" s="12"/>
      <c r="Q1292" s="12"/>
      <c r="R1292" s="12"/>
      <c r="S1292" s="12"/>
      <c r="V1292">
        <v>0.37235023041474702</v>
      </c>
      <c r="W1292" s="12"/>
      <c r="X1292" s="12"/>
      <c r="AY1292" t="str">
        <v>10/09/2019</v>
      </c>
      <c r="AZ1292">
        <v>53.8</v>
      </c>
      <c r="BA1292">
        <v>17</v>
      </c>
    </row>
    <row r="1293" spans="1:53" x14ac:dyDescent="0.3">
      <c r="A1293" s="11">
        <v>43650</v>
      </c>
      <c r="B1293">
        <v>0.39940828402366901</v>
      </c>
      <c r="C1293">
        <v>2995.82</v>
      </c>
      <c r="D1293">
        <v>134.21</v>
      </c>
      <c r="E1293">
        <v>1418.88</v>
      </c>
      <c r="F1293">
        <v>84.64</v>
      </c>
      <c r="G1293">
        <v>47.36</v>
      </c>
      <c r="H1293" s="12">
        <f t="shared" si="176"/>
        <v>91.393642353506451</v>
      </c>
      <c r="I1293" s="12">
        <f t="shared" si="177"/>
        <v>86.508863566877906</v>
      </c>
      <c r="J1293" s="12">
        <f t="shared" si="178"/>
        <v>101.85276121663212</v>
      </c>
      <c r="K1293" s="12">
        <f t="shared" si="179"/>
        <v>101.67436460979243</v>
      </c>
      <c r="P1293" s="12"/>
      <c r="Q1293" s="12"/>
      <c r="R1293" s="12"/>
      <c r="S1293" s="12"/>
      <c r="V1293">
        <v>0.37323279924599401</v>
      </c>
      <c r="W1293" s="12"/>
      <c r="X1293" s="12"/>
      <c r="AY1293" t="str">
        <v>09/09/2019</v>
      </c>
      <c r="AZ1293">
        <v>53.8</v>
      </c>
      <c r="BA1293">
        <v>17</v>
      </c>
    </row>
    <row r="1294" spans="1:53" x14ac:dyDescent="0.3">
      <c r="A1294" s="11">
        <v>43649</v>
      </c>
      <c r="B1294">
        <v>0.41348973607038098</v>
      </c>
      <c r="C1294">
        <v>2973.01</v>
      </c>
      <c r="D1294">
        <v>133.26</v>
      </c>
      <c r="E1294">
        <v>1418.44</v>
      </c>
      <c r="F1294">
        <v>84.62</v>
      </c>
      <c r="G1294">
        <v>47.15</v>
      </c>
      <c r="H1294" s="12">
        <f t="shared" si="176"/>
        <v>91.344002543851104</v>
      </c>
      <c r="I1294" s="12">
        <f t="shared" si="177"/>
        <v>85.876626186068322</v>
      </c>
      <c r="J1294" s="12">
        <f t="shared" si="178"/>
        <v>101.10097354376236</v>
      </c>
      <c r="K1294" s="12">
        <f t="shared" si="179"/>
        <v>101.34817668242258</v>
      </c>
      <c r="P1294" s="12"/>
      <c r="Q1294" s="12"/>
      <c r="R1294" s="12"/>
      <c r="S1294" s="12"/>
      <c r="V1294">
        <v>0.37558685446009399</v>
      </c>
      <c r="W1294" s="12"/>
      <c r="X1294" s="12"/>
      <c r="AY1294" t="str">
        <v>06/09/2019</v>
      </c>
      <c r="AZ1294">
        <v>50</v>
      </c>
      <c r="BA1294">
        <v>17.899999999999999</v>
      </c>
    </row>
    <row r="1295" spans="1:53" x14ac:dyDescent="0.3">
      <c r="A1295" s="11">
        <v>43648</v>
      </c>
      <c r="B1295">
        <v>0.40762463343108502</v>
      </c>
      <c r="C1295">
        <v>2964.33</v>
      </c>
      <c r="D1295">
        <v>132.24</v>
      </c>
      <c r="E1295">
        <v>1384.31</v>
      </c>
      <c r="F1295">
        <v>84.57</v>
      </c>
      <c r="G1295">
        <v>47.094999999999999</v>
      </c>
      <c r="H1295" s="12">
        <f t="shared" si="176"/>
        <v>91.783194271293155</v>
      </c>
      <c r="I1295" s="12">
        <f t="shared" si="177"/>
        <v>87.783883194659893</v>
      </c>
      <c r="J1295" s="12">
        <f t="shared" si="178"/>
        <v>100.86525921754007</v>
      </c>
      <c r="K1295" s="12">
        <f t="shared" si="179"/>
        <v>101.17008730031522</v>
      </c>
      <c r="P1295" s="12"/>
      <c r="Q1295" s="12"/>
      <c r="R1295" s="12"/>
      <c r="S1295" s="12"/>
      <c r="V1295">
        <v>0.37830188679245302</v>
      </c>
      <c r="W1295" s="12"/>
      <c r="X1295" s="12"/>
      <c r="AY1295" t="str">
        <v>05/09/2019</v>
      </c>
      <c r="AZ1295">
        <v>50</v>
      </c>
      <c r="BA1295">
        <v>17.899999999999999</v>
      </c>
    </row>
    <row r="1296" spans="1:53" x14ac:dyDescent="0.3">
      <c r="A1296" s="11">
        <v>43645</v>
      </c>
      <c r="B1296">
        <v>0.40117994100295001</v>
      </c>
      <c r="C1296">
        <v>2941.76</v>
      </c>
      <c r="D1296">
        <v>132.81</v>
      </c>
      <c r="E1296">
        <v>1409.5</v>
      </c>
      <c r="F1296">
        <v>84.78</v>
      </c>
      <c r="G1296">
        <v>46.76</v>
      </c>
      <c r="H1296" s="12">
        <f t="shared" si="176"/>
        <v>90.69807136121797</v>
      </c>
      <c r="I1296" s="12">
        <f t="shared" si="177"/>
        <v>85.597395021244012</v>
      </c>
      <c r="J1296" s="12">
        <f t="shared" si="178"/>
        <v>99.851835271194346</v>
      </c>
      <c r="K1296" s="12">
        <f t="shared" si="179"/>
        <v>101.11871546610114</v>
      </c>
      <c r="P1296" s="12"/>
      <c r="Q1296" s="12"/>
      <c r="R1296" s="12"/>
      <c r="S1296" s="12"/>
      <c r="V1296">
        <v>0.37798165137614698</v>
      </c>
      <c r="W1296" s="12"/>
      <c r="X1296" s="12"/>
      <c r="AY1296" t="str">
        <v>04/09/2019</v>
      </c>
      <c r="AZ1296">
        <v>50</v>
      </c>
      <c r="BA1296">
        <v>17.899999999999999</v>
      </c>
    </row>
    <row r="1297" spans="1:53" x14ac:dyDescent="0.3">
      <c r="A1297" s="11">
        <v>43644</v>
      </c>
      <c r="B1297">
        <v>0.39039039039038997</v>
      </c>
      <c r="C1297">
        <v>2924.92</v>
      </c>
      <c r="D1297">
        <v>132.9</v>
      </c>
      <c r="E1297">
        <v>1409.75</v>
      </c>
      <c r="F1297">
        <v>84.78</v>
      </c>
      <c r="G1297">
        <v>46.71</v>
      </c>
      <c r="H1297" s="12">
        <f t="shared" si="176"/>
        <v>90.118194723160357</v>
      </c>
      <c r="I1297" s="12">
        <f t="shared" si="177"/>
        <v>85.092392195094703</v>
      </c>
      <c r="J1297" s="12">
        <f t="shared" si="178"/>
        <v>99.280237008260954</v>
      </c>
      <c r="K1297" s="12">
        <f t="shared" si="179"/>
        <v>100.64698427579678</v>
      </c>
      <c r="P1297" s="12"/>
      <c r="Q1297" s="12"/>
      <c r="R1297" s="12"/>
      <c r="S1297" s="12"/>
      <c r="V1297">
        <v>0.37857802400738699</v>
      </c>
      <c r="W1297" s="12"/>
      <c r="X1297" s="12"/>
      <c r="AY1297" t="str">
        <v>03/09/2019</v>
      </c>
      <c r="AZ1297">
        <v>50</v>
      </c>
      <c r="BA1297">
        <v>17.899999999999999</v>
      </c>
    </row>
    <row r="1298" spans="1:53" x14ac:dyDescent="0.3">
      <c r="A1298" s="11">
        <v>43643</v>
      </c>
      <c r="B1298">
        <v>0.40909090909090901</v>
      </c>
      <c r="C1298">
        <v>2913.78</v>
      </c>
      <c r="D1298">
        <v>131.97</v>
      </c>
      <c r="E1298">
        <v>1408.75</v>
      </c>
      <c r="F1298">
        <v>84.71</v>
      </c>
      <c r="G1298">
        <v>46.49</v>
      </c>
      <c r="H1298" s="12">
        <f t="shared" si="176"/>
        <v>90.409661339357896</v>
      </c>
      <c r="I1298" s="12">
        <f t="shared" si="177"/>
        <v>84.828290907182122</v>
      </c>
      <c r="J1298" s="12">
        <f t="shared" si="178"/>
        <v>98.98359665656065</v>
      </c>
      <c r="K1298" s="12">
        <f t="shared" si="179"/>
        <v>100.73855441428722</v>
      </c>
      <c r="P1298" s="12"/>
      <c r="Q1298" s="12"/>
      <c r="R1298" s="12"/>
      <c r="S1298" s="12"/>
      <c r="V1298">
        <v>0.37924701561065199</v>
      </c>
      <c r="W1298" s="12"/>
      <c r="X1298" s="12"/>
      <c r="AY1298" t="str">
        <v>02/09/2019</v>
      </c>
      <c r="AZ1298">
        <v>50</v>
      </c>
      <c r="BA1298">
        <v>17.899999999999999</v>
      </c>
    </row>
    <row r="1299" spans="1:53" x14ac:dyDescent="0.3">
      <c r="A1299" s="11">
        <v>43642</v>
      </c>
      <c r="B1299">
        <v>0.40909090909090901</v>
      </c>
      <c r="C1299">
        <v>2917.38</v>
      </c>
      <c r="D1299">
        <v>132.82</v>
      </c>
      <c r="E1299">
        <v>1423.27</v>
      </c>
      <c r="F1299">
        <v>84.81</v>
      </c>
      <c r="G1299">
        <v>46.33</v>
      </c>
      <c r="H1299" s="12">
        <f t="shared" si="176"/>
        <v>89.945036340402922</v>
      </c>
      <c r="I1299" s="12">
        <f t="shared" si="177"/>
        <v>84.074322873636774</v>
      </c>
      <c r="J1299" s="12">
        <f t="shared" si="178"/>
        <v>98.989028944775413</v>
      </c>
      <c r="K1299" s="12">
        <f t="shared" si="179"/>
        <v>101.21298723322258</v>
      </c>
      <c r="P1299" s="12"/>
      <c r="Q1299" s="12"/>
      <c r="R1299" s="12"/>
      <c r="S1299" s="12"/>
      <c r="V1299">
        <v>0.371877890841813</v>
      </c>
      <c r="W1299" s="12"/>
      <c r="X1299" s="12"/>
      <c r="AY1299" t="str">
        <v>30/08/2019</v>
      </c>
      <c r="AZ1299">
        <v>44.9</v>
      </c>
      <c r="BA1299">
        <v>18.7</v>
      </c>
    </row>
    <row r="1300" spans="1:53" x14ac:dyDescent="0.3">
      <c r="A1300" s="11">
        <v>43641</v>
      </c>
      <c r="B1300">
        <v>0.41304347826087001</v>
      </c>
      <c r="C1300">
        <v>2945.35</v>
      </c>
      <c r="D1300">
        <v>132.41</v>
      </c>
      <c r="E1300">
        <v>1419.65</v>
      </c>
      <c r="F1300">
        <v>84.79</v>
      </c>
      <c r="G1300">
        <v>46.73</v>
      </c>
      <c r="H1300" s="12">
        <f t="shared" si="176"/>
        <v>91.092138468694017</v>
      </c>
      <c r="I1300" s="12">
        <f t="shared" si="177"/>
        <v>85.099452062290794</v>
      </c>
      <c r="J1300" s="12">
        <f t="shared" si="178"/>
        <v>99.961878093446089</v>
      </c>
      <c r="K1300" s="12">
        <f t="shared" si="179"/>
        <v>101.30786336741765</v>
      </c>
      <c r="P1300" s="12"/>
      <c r="Q1300" s="12"/>
      <c r="R1300" s="12"/>
      <c r="S1300" s="12"/>
      <c r="V1300">
        <v>0.37231057062675399</v>
      </c>
      <c r="W1300" s="12"/>
      <c r="X1300" s="12"/>
      <c r="AY1300" t="str">
        <v>29/08/2019</v>
      </c>
      <c r="AZ1300">
        <v>44.9</v>
      </c>
      <c r="BA1300">
        <v>18.7</v>
      </c>
    </row>
    <row r="1301" spans="1:53" x14ac:dyDescent="0.3">
      <c r="A1301" s="11">
        <v>43638</v>
      </c>
      <c r="B1301">
        <v>0.42477876106194701</v>
      </c>
      <c r="C1301">
        <v>2950.46</v>
      </c>
      <c r="D1301">
        <v>131.43</v>
      </c>
      <c r="E1301">
        <v>1399.05</v>
      </c>
      <c r="F1301">
        <v>84.74</v>
      </c>
      <c r="G1301">
        <v>46.62</v>
      </c>
      <c r="H1301" s="12">
        <f t="shared" si="176"/>
        <v>91.936888990654779</v>
      </c>
      <c r="I1301" s="12">
        <f t="shared" si="177"/>
        <v>86.523297662975963</v>
      </c>
      <c r="J1301" s="12">
        <f t="shared" si="178"/>
        <v>100.19452712510352</v>
      </c>
      <c r="K1301" s="12">
        <f t="shared" si="179"/>
        <v>101.72406081989489</v>
      </c>
      <c r="P1301" s="12"/>
      <c r="Q1301" s="12"/>
      <c r="R1301" s="12"/>
      <c r="S1301" s="12"/>
      <c r="V1301">
        <v>0.36986301369863001</v>
      </c>
      <c r="W1301" s="12"/>
      <c r="X1301" s="12"/>
      <c r="AY1301" t="str">
        <v>28/08/2019</v>
      </c>
      <c r="AZ1301">
        <v>44.9</v>
      </c>
      <c r="BA1301">
        <v>18.7</v>
      </c>
    </row>
    <row r="1302" spans="1:53" x14ac:dyDescent="0.3">
      <c r="A1302" s="11">
        <v>43637</v>
      </c>
      <c r="B1302">
        <v>0.43108504398827002</v>
      </c>
      <c r="C1302">
        <v>2954.18</v>
      </c>
      <c r="D1302">
        <v>132.88999999999999</v>
      </c>
      <c r="E1302">
        <v>1388.5</v>
      </c>
      <c r="F1302">
        <v>84.78</v>
      </c>
      <c r="G1302">
        <v>46.85</v>
      </c>
      <c r="H1302" s="12">
        <f t="shared" si="176"/>
        <v>91.051206811309356</v>
      </c>
      <c r="I1302" s="12">
        <f t="shared" si="177"/>
        <v>87.296514330781619</v>
      </c>
      <c r="J1302" s="12">
        <f t="shared" si="178"/>
        <v>100.27348480255353</v>
      </c>
      <c r="K1302" s="12">
        <f t="shared" si="179"/>
        <v>101.35411300947862</v>
      </c>
      <c r="P1302" s="12"/>
      <c r="Q1302" s="12"/>
      <c r="R1302" s="12"/>
      <c r="S1302" s="12"/>
      <c r="V1302">
        <v>0.36962488563586499</v>
      </c>
      <c r="W1302" s="12"/>
      <c r="X1302" s="12"/>
      <c r="AY1302" t="str">
        <v>27/08/2019</v>
      </c>
      <c r="AZ1302">
        <v>44.9</v>
      </c>
      <c r="BA1302">
        <v>18.7</v>
      </c>
    </row>
    <row r="1303" spans="1:53" x14ac:dyDescent="0.3">
      <c r="A1303" s="11">
        <v>43636</v>
      </c>
      <c r="B1303">
        <v>0.41993957703927498</v>
      </c>
      <c r="C1303">
        <v>2926.46</v>
      </c>
      <c r="D1303">
        <v>132.54</v>
      </c>
      <c r="E1303">
        <v>1360.27</v>
      </c>
      <c r="F1303">
        <v>84.74</v>
      </c>
      <c r="G1303">
        <v>46.32</v>
      </c>
      <c r="H1303" s="12">
        <f t="shared" si="176"/>
        <v>90.433412505842426</v>
      </c>
      <c r="I1303" s="12">
        <f t="shared" si="177"/>
        <v>88.292545872827276</v>
      </c>
      <c r="J1303" s="12">
        <f t="shared" si="178"/>
        <v>99.3790570922135</v>
      </c>
      <c r="K1303" s="12">
        <f t="shared" si="179"/>
        <v>101.55416929473716</v>
      </c>
      <c r="P1303" s="12"/>
      <c r="Q1303" s="12"/>
      <c r="R1303" s="12"/>
      <c r="S1303" s="12"/>
      <c r="V1303">
        <v>0.37077625570776301</v>
      </c>
      <c r="W1303" s="12"/>
      <c r="X1303" s="12"/>
      <c r="AY1303" t="str">
        <v>26/08/2019</v>
      </c>
      <c r="AZ1303">
        <v>44.9</v>
      </c>
      <c r="BA1303">
        <v>18.7</v>
      </c>
    </row>
    <row r="1304" spans="1:53" x14ac:dyDescent="0.3">
      <c r="A1304" s="11">
        <v>43635</v>
      </c>
      <c r="B1304">
        <v>0.43119266055045902</v>
      </c>
      <c r="C1304">
        <v>2917.75</v>
      </c>
      <c r="D1304">
        <v>132.35</v>
      </c>
      <c r="E1304">
        <v>1346.52</v>
      </c>
      <c r="F1304">
        <v>84.56</v>
      </c>
      <c r="G1304">
        <v>45.99</v>
      </c>
      <c r="H1304" s="12">
        <f t="shared" si="176"/>
        <v>90.293494656700489</v>
      </c>
      <c r="I1304" s="12">
        <f t="shared" si="177"/>
        <v>88.935221241289142</v>
      </c>
      <c r="J1304" s="12">
        <f t="shared" si="178"/>
        <v>99.294010689918622</v>
      </c>
      <c r="K1304" s="12">
        <f t="shared" si="179"/>
        <v>101.98150197398368</v>
      </c>
      <c r="P1304" s="12"/>
      <c r="Q1304" s="12"/>
      <c r="R1304" s="12"/>
      <c r="S1304" s="12"/>
      <c r="V1304">
        <v>0.37534498620055201</v>
      </c>
      <c r="W1304" s="12"/>
      <c r="X1304" s="12"/>
      <c r="AY1304" t="str">
        <v>23/08/2019</v>
      </c>
      <c r="AZ1304">
        <v>43.9</v>
      </c>
      <c r="BA1304">
        <v>18.7</v>
      </c>
    </row>
    <row r="1305" spans="1:53" x14ac:dyDescent="0.3">
      <c r="A1305" s="11">
        <v>43634</v>
      </c>
      <c r="B1305">
        <v>0.42946708463949801</v>
      </c>
      <c r="C1305">
        <v>2889.67</v>
      </c>
      <c r="D1305">
        <v>131.69</v>
      </c>
      <c r="E1305">
        <v>1339.54</v>
      </c>
      <c r="F1305">
        <v>84.55</v>
      </c>
      <c r="G1305">
        <v>45.25</v>
      </c>
      <c r="H1305" s="12">
        <f t="shared" si="176"/>
        <v>89.870599339243867</v>
      </c>
      <c r="I1305" s="12">
        <f t="shared" si="177"/>
        <v>88.536221375212875</v>
      </c>
      <c r="J1305" s="12">
        <f t="shared" si="178"/>
        <v>98.349939845212106</v>
      </c>
      <c r="K1305" s="12">
        <f t="shared" si="179"/>
        <v>102.66279472063212</v>
      </c>
      <c r="P1305" s="12"/>
      <c r="Q1305" s="12"/>
      <c r="R1305" s="12"/>
      <c r="S1305" s="12"/>
      <c r="V1305">
        <v>0.36685288640595898</v>
      </c>
      <c r="W1305" s="12"/>
      <c r="X1305" s="12"/>
      <c r="AY1305" t="str">
        <v>22/08/2019</v>
      </c>
      <c r="AZ1305">
        <v>43.9</v>
      </c>
      <c r="BA1305">
        <v>18.7</v>
      </c>
    </row>
    <row r="1306" spans="1:53" x14ac:dyDescent="0.3">
      <c r="A1306" s="11">
        <v>43631</v>
      </c>
      <c r="B1306">
        <v>0.471471471471471</v>
      </c>
      <c r="C1306">
        <v>2886.98</v>
      </c>
      <c r="D1306">
        <v>131.46</v>
      </c>
      <c r="E1306">
        <v>1341.58</v>
      </c>
      <c r="F1306">
        <v>84.59</v>
      </c>
      <c r="G1306">
        <v>45.98</v>
      </c>
      <c r="H1306" s="12">
        <f t="shared" si="176"/>
        <v>89.944156758155131</v>
      </c>
      <c r="I1306" s="12">
        <f t="shared" si="177"/>
        <v>88.319629438079801</v>
      </c>
      <c r="J1306" s="12">
        <f t="shared" si="178"/>
        <v>98.211987490289673</v>
      </c>
      <c r="K1306" s="12">
        <f t="shared" si="179"/>
        <v>100.96573860077233</v>
      </c>
      <c r="P1306" s="12"/>
      <c r="Q1306" s="12"/>
      <c r="R1306" s="12"/>
      <c r="S1306" s="12"/>
      <c r="V1306">
        <v>0.380779691749773</v>
      </c>
      <c r="W1306" s="12"/>
      <c r="X1306" s="12"/>
      <c r="AY1306" t="str">
        <v>21/08/2019</v>
      </c>
      <c r="AZ1306">
        <v>43.9</v>
      </c>
      <c r="BA1306">
        <v>18.7</v>
      </c>
    </row>
    <row r="1307" spans="1:53" x14ac:dyDescent="0.3">
      <c r="A1307" s="11">
        <v>43630</v>
      </c>
      <c r="B1307">
        <v>0.48148148148148101</v>
      </c>
      <c r="C1307">
        <v>2891.64</v>
      </c>
      <c r="D1307">
        <v>131.13</v>
      </c>
      <c r="E1307">
        <v>1342.36</v>
      </c>
      <c r="F1307">
        <v>84.62</v>
      </c>
      <c r="G1307">
        <v>46.28</v>
      </c>
      <c r="H1307" s="12">
        <f t="shared" si="176"/>
        <v>90.316996957356267</v>
      </c>
      <c r="I1307" s="12">
        <f t="shared" si="177"/>
        <v>88.410734583254751</v>
      </c>
      <c r="J1307" s="12">
        <f t="shared" si="178"/>
        <v>98.33559692101035</v>
      </c>
      <c r="K1307" s="12">
        <f t="shared" si="179"/>
        <v>100.47634449837948</v>
      </c>
      <c r="P1307" s="12"/>
      <c r="Q1307" s="12"/>
      <c r="R1307" s="12"/>
      <c r="S1307" s="12"/>
      <c r="V1307">
        <v>0.39055404178019998</v>
      </c>
      <c r="W1307" s="12"/>
      <c r="X1307" s="12"/>
      <c r="AY1307" t="str">
        <v>20/08/2019</v>
      </c>
      <c r="AZ1307">
        <v>43.9</v>
      </c>
      <c r="BA1307">
        <v>18.7</v>
      </c>
    </row>
    <row r="1308" spans="1:53" x14ac:dyDescent="0.3">
      <c r="A1308" s="11">
        <v>43629</v>
      </c>
      <c r="B1308">
        <v>0.49074074074074098</v>
      </c>
      <c r="C1308">
        <v>2879.84</v>
      </c>
      <c r="D1308">
        <v>130.68</v>
      </c>
      <c r="E1308">
        <v>1333.55</v>
      </c>
      <c r="F1308">
        <v>84.53</v>
      </c>
      <c r="G1308">
        <v>46.3</v>
      </c>
      <c r="H1308" s="12">
        <f t="shared" si="176"/>
        <v>90.25797512943096</v>
      </c>
      <c r="I1308" s="12">
        <f t="shared" si="177"/>
        <v>88.633112989497945</v>
      </c>
      <c r="J1308" s="12">
        <f t="shared" si="178"/>
        <v>98.038272418485008</v>
      </c>
      <c r="K1308" s="12">
        <f t="shared" si="179"/>
        <v>100.02329744446905</v>
      </c>
      <c r="P1308" s="12"/>
      <c r="Q1308" s="12"/>
      <c r="R1308" s="12"/>
      <c r="S1308" s="12"/>
      <c r="V1308">
        <v>0.39711191335740098</v>
      </c>
      <c r="W1308" s="12"/>
      <c r="X1308" s="12"/>
      <c r="AY1308" t="str">
        <v>19/08/2019</v>
      </c>
      <c r="AZ1308">
        <v>43.9</v>
      </c>
      <c r="BA1308">
        <v>18.7</v>
      </c>
    </row>
    <row r="1309" spans="1:53" x14ac:dyDescent="0.3">
      <c r="A1309" s="11">
        <v>43628</v>
      </c>
      <c r="B1309">
        <v>0.48902821316614398</v>
      </c>
      <c r="C1309">
        <v>2885.72</v>
      </c>
      <c r="D1309">
        <v>130.58000000000001</v>
      </c>
      <c r="E1309">
        <v>1329.55</v>
      </c>
      <c r="F1309">
        <v>84.46</v>
      </c>
      <c r="G1309">
        <v>46.7</v>
      </c>
      <c r="H1309" s="12">
        <f t="shared" si="176"/>
        <v>90.51171873994123</v>
      </c>
      <c r="I1309" s="12">
        <f t="shared" si="177"/>
        <v>89.082637917447002</v>
      </c>
      <c r="J1309" s="12">
        <f t="shared" si="178"/>
        <v>98.320098567108175</v>
      </c>
      <c r="K1309" s="12">
        <f t="shared" si="179"/>
        <v>99.374610715821916</v>
      </c>
      <c r="P1309" s="12"/>
      <c r="Q1309" s="12"/>
      <c r="R1309" s="12"/>
      <c r="S1309" s="12"/>
      <c r="V1309">
        <v>0.40036396724294798</v>
      </c>
      <c r="W1309" s="12"/>
      <c r="X1309" s="12"/>
      <c r="AY1309" t="str">
        <v>16/08/2019</v>
      </c>
      <c r="AZ1309">
        <v>49.1</v>
      </c>
      <c r="BA1309">
        <v>17.899999999999999</v>
      </c>
    </row>
    <row r="1310" spans="1:53" x14ac:dyDescent="0.3">
      <c r="A1310" s="11">
        <v>43627</v>
      </c>
      <c r="B1310">
        <v>0.49681528662420399</v>
      </c>
      <c r="C1310">
        <v>2886.73</v>
      </c>
      <c r="D1310">
        <v>130.5</v>
      </c>
      <c r="E1310">
        <v>1328.09</v>
      </c>
      <c r="F1310">
        <v>84.49</v>
      </c>
      <c r="G1310">
        <v>46.41</v>
      </c>
      <c r="H1310" s="12">
        <f t="shared" si="176"/>
        <v>90.598956807967951</v>
      </c>
      <c r="I1310" s="12">
        <f t="shared" si="177"/>
        <v>89.211923831961769</v>
      </c>
      <c r="J1310" s="12">
        <f t="shared" si="178"/>
        <v>98.3195878208561</v>
      </c>
      <c r="K1310" s="12">
        <f t="shared" si="179"/>
        <v>100.0346926521085</v>
      </c>
      <c r="P1310" s="12"/>
      <c r="Q1310" s="12"/>
      <c r="R1310" s="12"/>
      <c r="S1310" s="12"/>
      <c r="V1310">
        <v>0.40382862351868698</v>
      </c>
      <c r="W1310" s="12"/>
      <c r="X1310" s="12"/>
      <c r="AY1310" t="str">
        <v>15/08/2019</v>
      </c>
      <c r="AZ1310">
        <v>49.1</v>
      </c>
      <c r="BA1310">
        <v>17.899999999999999</v>
      </c>
    </row>
    <row r="1311" spans="1:53" x14ac:dyDescent="0.3">
      <c r="A1311" s="11">
        <v>43624</v>
      </c>
      <c r="B1311">
        <v>0.51367781155015202</v>
      </c>
      <c r="C1311">
        <v>2873.34</v>
      </c>
      <c r="D1311">
        <v>131.74</v>
      </c>
      <c r="E1311">
        <v>1340.7</v>
      </c>
      <c r="F1311">
        <v>84.57</v>
      </c>
      <c r="G1311">
        <v>46.16</v>
      </c>
      <c r="H1311" s="12">
        <f t="shared" si="176"/>
        <v>89.34169040905806</v>
      </c>
      <c r="I1311" s="12">
        <f t="shared" si="177"/>
        <v>87.974508145865002</v>
      </c>
      <c r="J1311" s="12">
        <f t="shared" si="178"/>
        <v>97.77147662873243</v>
      </c>
      <c r="K1311" s="12">
        <f t="shared" si="179"/>
        <v>100.11036232541257</v>
      </c>
      <c r="P1311" s="12"/>
      <c r="Q1311" s="12"/>
      <c r="R1311" s="12"/>
      <c r="S1311" s="12"/>
      <c r="V1311">
        <v>0.402678571428571</v>
      </c>
      <c r="W1311" s="12"/>
      <c r="X1311" s="12"/>
      <c r="AY1311" t="str">
        <v>14/08/2019</v>
      </c>
      <c r="AZ1311">
        <v>49.1</v>
      </c>
      <c r="BA1311">
        <v>17.899999999999999</v>
      </c>
    </row>
    <row r="1312" spans="1:53" x14ac:dyDescent="0.3">
      <c r="A1312" s="11">
        <v>43623</v>
      </c>
      <c r="B1312">
        <v>0.514880952380952</v>
      </c>
      <c r="C1312">
        <v>2843.49</v>
      </c>
      <c r="D1312">
        <v>130.61000000000001</v>
      </c>
      <c r="E1312">
        <v>1335.55</v>
      </c>
      <c r="F1312">
        <v>84.48</v>
      </c>
      <c r="G1312">
        <v>45.65</v>
      </c>
      <c r="H1312" s="12">
        <f t="shared" si="176"/>
        <v>89.17707382182715</v>
      </c>
      <c r="I1312" s="12">
        <f t="shared" si="177"/>
        <v>87.394073951288661</v>
      </c>
      <c r="J1312" s="12">
        <f t="shared" si="178"/>
        <v>96.857881881737327</v>
      </c>
      <c r="K1312" s="12">
        <f t="shared" si="179"/>
        <v>100.17791203970459</v>
      </c>
      <c r="P1312" s="12"/>
      <c r="Q1312" s="12"/>
      <c r="R1312" s="12"/>
      <c r="S1312" s="12"/>
      <c r="V1312">
        <v>0.40953221535745798</v>
      </c>
      <c r="W1312" s="12"/>
      <c r="X1312" s="12"/>
      <c r="AY1312" t="str">
        <v>13/08/2019</v>
      </c>
      <c r="AZ1312">
        <v>49.1</v>
      </c>
      <c r="BA1312">
        <v>17.899999999999999</v>
      </c>
    </row>
    <row r="1313" spans="1:53" x14ac:dyDescent="0.3">
      <c r="A1313" s="11">
        <v>43622</v>
      </c>
      <c r="B1313">
        <v>0.52941176470588203</v>
      </c>
      <c r="C1313">
        <v>2826.15</v>
      </c>
      <c r="D1313">
        <v>130.19</v>
      </c>
      <c r="E1313">
        <v>1330.25</v>
      </c>
      <c r="F1313">
        <v>84.53</v>
      </c>
      <c r="G1313">
        <v>45.55</v>
      </c>
      <c r="H1313" s="12">
        <f t="shared" si="176"/>
        <v>88.918365729220213</v>
      </c>
      <c r="I1313" s="12">
        <f t="shared" si="177"/>
        <v>87.206463029593479</v>
      </c>
      <c r="J1313" s="12">
        <f t="shared" si="178"/>
        <v>96.210666817583316</v>
      </c>
      <c r="K1313" s="12">
        <f t="shared" si="179"/>
        <v>99.784743609967251</v>
      </c>
      <c r="P1313" s="12"/>
      <c r="Q1313" s="12"/>
      <c r="R1313" s="12"/>
      <c r="S1313" s="12"/>
      <c r="V1313">
        <v>0.41098317094774101</v>
      </c>
      <c r="W1313" s="12"/>
      <c r="X1313" s="12"/>
      <c r="AY1313" t="str">
        <v>12/08/2019</v>
      </c>
      <c r="AZ1313">
        <v>49.1</v>
      </c>
      <c r="BA1313">
        <v>17.899999999999999</v>
      </c>
    </row>
    <row r="1314" spans="1:53" x14ac:dyDescent="0.3">
      <c r="A1314" s="11">
        <v>43621</v>
      </c>
      <c r="B1314">
        <v>0.53254437869822502</v>
      </c>
      <c r="C1314">
        <v>2803.27</v>
      </c>
      <c r="D1314">
        <v>130.93</v>
      </c>
      <c r="E1314">
        <v>1325.43</v>
      </c>
      <c r="F1314">
        <v>84.49</v>
      </c>
      <c r="G1314">
        <v>45.61</v>
      </c>
      <c r="H1314" s="12">
        <f t="shared" si="176"/>
        <v>87.706803963618498</v>
      </c>
      <c r="I1314" s="12">
        <f t="shared" si="177"/>
        <v>86.813601881260936</v>
      </c>
      <c r="J1314" s="12">
        <f t="shared" si="178"/>
        <v>95.47659806446562</v>
      </c>
      <c r="K1314" s="12">
        <f t="shared" si="179"/>
        <v>98.847922543247876</v>
      </c>
      <c r="P1314" s="12"/>
      <c r="Q1314" s="12"/>
      <c r="R1314" s="12"/>
      <c r="S1314" s="12"/>
      <c r="V1314">
        <v>0.40945584299732402</v>
      </c>
      <c r="W1314" s="12"/>
      <c r="X1314" s="12"/>
      <c r="AY1314" t="str">
        <v>09/08/2019</v>
      </c>
      <c r="AZ1314">
        <v>49.5</v>
      </c>
      <c r="BA1314">
        <v>18.100000000000001</v>
      </c>
    </row>
    <row r="1315" spans="1:53" x14ac:dyDescent="0.3">
      <c r="A1315" s="11">
        <v>43620</v>
      </c>
      <c r="B1315">
        <v>0.53293413173652704</v>
      </c>
      <c r="C1315">
        <v>2744.45</v>
      </c>
      <c r="D1315">
        <v>132.44</v>
      </c>
      <c r="E1315">
        <v>1324.99</v>
      </c>
      <c r="F1315">
        <v>84.55</v>
      </c>
      <c r="G1315">
        <v>45.17</v>
      </c>
      <c r="H1315" s="12">
        <f t="shared" si="176"/>
        <v>84.918608897576576</v>
      </c>
      <c r="I1315" s="12">
        <f t="shared" si="177"/>
        <v>85.019664239981026</v>
      </c>
      <c r="J1315" s="12">
        <f t="shared" si="178"/>
        <v>93.408351782881553</v>
      </c>
      <c r="K1315" s="12">
        <f t="shared" si="179"/>
        <v>97.70561041801696</v>
      </c>
      <c r="P1315" s="12"/>
      <c r="Q1315" s="12"/>
      <c r="R1315" s="12"/>
      <c r="S1315" s="12"/>
      <c r="V1315">
        <v>0.41704035874439499</v>
      </c>
      <c r="W1315" s="12"/>
      <c r="X1315" s="12"/>
      <c r="AY1315" t="str">
        <v>08/08/2019</v>
      </c>
      <c r="AZ1315">
        <v>49.5</v>
      </c>
      <c r="BA1315">
        <v>18.100000000000001</v>
      </c>
    </row>
    <row r="1316" spans="1:53" x14ac:dyDescent="0.3">
      <c r="A1316" s="11">
        <v>43616</v>
      </c>
      <c r="B1316">
        <v>0.57772020725388595</v>
      </c>
      <c r="C1316">
        <v>2752.06</v>
      </c>
      <c r="D1316">
        <v>131.83000000000001</v>
      </c>
      <c r="E1316">
        <v>1305.6500000000001</v>
      </c>
      <c r="F1316">
        <v>84.56</v>
      </c>
      <c r="G1316">
        <v>44.9</v>
      </c>
      <c r="H1316" s="12">
        <f t="shared" si="176"/>
        <v>85.551034025720213</v>
      </c>
      <c r="I1316" s="12">
        <f t="shared" si="177"/>
        <v>86.540857522713324</v>
      </c>
      <c r="J1316" s="12">
        <f t="shared" si="178"/>
        <v>93.656254467245304</v>
      </c>
      <c r="K1316" s="12">
        <f t="shared" si="179"/>
        <v>98.570921598182238</v>
      </c>
      <c r="P1316" s="12"/>
      <c r="Q1316" s="12"/>
      <c r="R1316" s="12"/>
      <c r="S1316" s="12"/>
      <c r="V1316">
        <v>0.411663807890223</v>
      </c>
      <c r="W1316" s="12"/>
      <c r="X1316" s="12"/>
      <c r="AY1316" t="str">
        <v>07/08/2019</v>
      </c>
      <c r="AZ1316">
        <v>49.5</v>
      </c>
      <c r="BA1316">
        <v>18.100000000000001</v>
      </c>
    </row>
    <row r="1317" spans="1:53" x14ac:dyDescent="0.3">
      <c r="A1317" s="11">
        <v>43616</v>
      </c>
      <c r="B1317">
        <v>0.57519788918205805</v>
      </c>
      <c r="C1317">
        <v>2788.86</v>
      </c>
      <c r="D1317">
        <v>130.19999999999999</v>
      </c>
      <c r="E1317">
        <v>1288.8499999999999</v>
      </c>
      <c r="F1317">
        <v>84.38</v>
      </c>
      <c r="G1317">
        <v>45.14</v>
      </c>
      <c r="H1317" s="12">
        <f t="shared" si="176"/>
        <v>87.809003658694181</v>
      </c>
      <c r="I1317" s="12">
        <f t="shared" si="177"/>
        <v>88.871990437824849</v>
      </c>
      <c r="J1317" s="12">
        <f t="shared" si="178"/>
        <v>95.114218735605021</v>
      </c>
      <c r="K1317" s="12">
        <f t="shared" si="179"/>
        <v>99.353685932333249</v>
      </c>
      <c r="P1317" s="12"/>
      <c r="Q1317" s="12"/>
      <c r="R1317" s="12"/>
      <c r="S1317" s="12"/>
      <c r="V1317">
        <v>0.41457068516912399</v>
      </c>
      <c r="W1317" s="12"/>
      <c r="X1317" s="12"/>
      <c r="AY1317" t="str">
        <v>06/08/2019</v>
      </c>
      <c r="AZ1317">
        <v>49.5</v>
      </c>
      <c r="BA1317">
        <v>18.100000000000001</v>
      </c>
    </row>
    <row r="1318" spans="1:53" x14ac:dyDescent="0.3">
      <c r="A1318" s="11">
        <v>43615</v>
      </c>
      <c r="B1318">
        <v>0.58115183246073299</v>
      </c>
      <c r="C1318">
        <v>2783.02</v>
      </c>
      <c r="D1318">
        <v>129.09</v>
      </c>
      <c r="E1318">
        <v>1279.5999999999999</v>
      </c>
      <c r="F1318">
        <v>84.31</v>
      </c>
      <c r="G1318">
        <v>44.95</v>
      </c>
      <c r="H1318" s="12">
        <f t="shared" si="176"/>
        <v>88.383515269896861</v>
      </c>
      <c r="I1318" s="12">
        <f t="shared" si="177"/>
        <v>89.330288915757947</v>
      </c>
      <c r="J1318" s="12">
        <f t="shared" si="178"/>
        <v>94.993750456001536</v>
      </c>
      <c r="K1318" s="12">
        <f t="shared" si="179"/>
        <v>99.565609238160206</v>
      </c>
      <c r="P1318" s="12"/>
      <c r="Q1318" s="12"/>
      <c r="R1318" s="12"/>
      <c r="S1318" s="12"/>
      <c r="V1318">
        <v>0.42204995693367803</v>
      </c>
      <c r="W1318" s="12"/>
      <c r="X1318" s="12"/>
      <c r="AY1318" t="str">
        <v>05/08/2019</v>
      </c>
      <c r="AZ1318">
        <v>49.5</v>
      </c>
      <c r="BA1318">
        <v>18.100000000000001</v>
      </c>
    </row>
    <row r="1319" spans="1:53" x14ac:dyDescent="0.3">
      <c r="A1319" s="11">
        <v>43614</v>
      </c>
      <c r="B1319">
        <v>0.57922077922077897</v>
      </c>
      <c r="C1319">
        <v>2802.39</v>
      </c>
      <c r="D1319">
        <v>128.79</v>
      </c>
      <c r="E1319">
        <v>1279.5</v>
      </c>
      <c r="F1319">
        <v>84.3</v>
      </c>
      <c r="G1319">
        <v>45.12</v>
      </c>
      <c r="H1319" s="12">
        <f t="shared" si="176"/>
        <v>89.207915113821088</v>
      </c>
      <c r="I1319" s="12">
        <f t="shared" si="177"/>
        <v>89.959113266959989</v>
      </c>
      <c r="J1319" s="12">
        <f t="shared" si="178"/>
        <v>95.666340435865237</v>
      </c>
      <c r="K1319" s="12">
        <f t="shared" si="179"/>
        <v>99.879653521250987</v>
      </c>
      <c r="P1319" s="12"/>
      <c r="Q1319" s="12"/>
      <c r="R1319" s="12"/>
      <c r="S1319" s="12"/>
      <c r="V1319">
        <v>0.415700267618198</v>
      </c>
      <c r="W1319" s="12"/>
      <c r="X1319" s="12"/>
      <c r="AY1319" t="str">
        <v>02/08/2019</v>
      </c>
      <c r="AZ1319">
        <v>48.1</v>
      </c>
      <c r="BA1319">
        <v>17.899999999999999</v>
      </c>
    </row>
    <row r="1320" spans="1:53" x14ac:dyDescent="0.3">
      <c r="A1320" s="11">
        <v>43610</v>
      </c>
      <c r="B1320">
        <v>0.606714628297362</v>
      </c>
      <c r="C1320">
        <v>2826.06</v>
      </c>
      <c r="D1320">
        <v>127.78</v>
      </c>
      <c r="E1320">
        <v>1284.9000000000001</v>
      </c>
      <c r="F1320">
        <v>84.23</v>
      </c>
      <c r="G1320">
        <v>45.38</v>
      </c>
      <c r="H1320" s="12">
        <f t="shared" si="176"/>
        <v>90.684238991628945</v>
      </c>
      <c r="I1320" s="12">
        <f t="shared" si="177"/>
        <v>90.336081821807312</v>
      </c>
      <c r="J1320" s="12">
        <f t="shared" si="178"/>
        <v>96.555293757987656</v>
      </c>
      <c r="K1320" s="12">
        <f t="shared" si="179"/>
        <v>100.14465853409376</v>
      </c>
      <c r="P1320" s="12"/>
      <c r="Q1320" s="12"/>
      <c r="R1320" s="12"/>
      <c r="S1320" s="12"/>
      <c r="V1320">
        <v>0.42300884955752199</v>
      </c>
      <c r="W1320" s="12"/>
      <c r="X1320" s="12"/>
      <c r="AY1320" t="str">
        <v>01/08/2019</v>
      </c>
      <c r="AZ1320">
        <v>48.1</v>
      </c>
      <c r="BA1320">
        <v>17.899999999999999</v>
      </c>
    </row>
    <row r="1321" spans="1:53" x14ac:dyDescent="0.3">
      <c r="A1321" s="11">
        <v>43609</v>
      </c>
      <c r="B1321">
        <v>0.59164733178654305</v>
      </c>
      <c r="C1321">
        <v>2822.24</v>
      </c>
      <c r="D1321">
        <v>127.67</v>
      </c>
      <c r="E1321">
        <v>1283.75</v>
      </c>
      <c r="F1321">
        <v>84.26</v>
      </c>
      <c r="G1321">
        <v>45.02</v>
      </c>
      <c r="H1321" s="12">
        <f t="shared" si="176"/>
        <v>90.639649860237981</v>
      </c>
      <c r="I1321" s="12">
        <f t="shared" si="177"/>
        <v>90.294751951447822</v>
      </c>
      <c r="J1321" s="12">
        <f t="shared" si="178"/>
        <v>96.390506898657165</v>
      </c>
      <c r="K1321" s="12">
        <f t="shared" si="179"/>
        <v>100.81435937545552</v>
      </c>
      <c r="P1321" s="12"/>
      <c r="Q1321" s="12"/>
      <c r="R1321" s="12"/>
      <c r="S1321" s="12"/>
      <c r="V1321">
        <v>0.435828877005348</v>
      </c>
      <c r="W1321" s="12"/>
      <c r="X1321" s="12"/>
      <c r="AY1321" t="str">
        <v>31/07/2019</v>
      </c>
      <c r="AZ1321">
        <v>48.1</v>
      </c>
      <c r="BA1321">
        <v>17.899999999999999</v>
      </c>
    </row>
    <row r="1322" spans="1:53" x14ac:dyDescent="0.3">
      <c r="A1322" s="11">
        <v>43608</v>
      </c>
      <c r="B1322">
        <v>0.58755760368663601</v>
      </c>
      <c r="C1322">
        <v>2856.27</v>
      </c>
      <c r="D1322">
        <v>126.25</v>
      </c>
      <c r="E1322">
        <v>1273.6199999999999</v>
      </c>
      <c r="F1322">
        <v>84.11</v>
      </c>
      <c r="G1322">
        <v>45.54</v>
      </c>
      <c r="H1322" s="12">
        <f t="shared" si="176"/>
        <v>92.788792749315235</v>
      </c>
      <c r="I1322" s="12">
        <f t="shared" si="177"/>
        <v>92.125078879904706</v>
      </c>
      <c r="J1322" s="12">
        <f t="shared" si="178"/>
        <v>97.729153808358859</v>
      </c>
      <c r="K1322" s="12">
        <f t="shared" si="179"/>
        <v>100.86434841344796</v>
      </c>
      <c r="P1322" s="12"/>
      <c r="Q1322" s="12"/>
      <c r="R1322" s="12"/>
      <c r="S1322" s="12"/>
      <c r="V1322">
        <v>0.437444543034605</v>
      </c>
      <c r="W1322" s="12"/>
      <c r="X1322" s="12"/>
      <c r="AY1322" t="str">
        <v>30/07/2019</v>
      </c>
      <c r="AZ1322">
        <v>48.1</v>
      </c>
      <c r="BA1322">
        <v>17.899999999999999</v>
      </c>
    </row>
    <row r="1323" spans="1:53" x14ac:dyDescent="0.3">
      <c r="A1323" s="11">
        <v>43607</v>
      </c>
      <c r="B1323">
        <v>0.59276018099547501</v>
      </c>
      <c r="C1323">
        <v>2864.36</v>
      </c>
      <c r="D1323">
        <v>125.53</v>
      </c>
      <c r="E1323">
        <v>1274.98</v>
      </c>
      <c r="F1323">
        <v>84.07</v>
      </c>
      <c r="G1323">
        <v>45.68</v>
      </c>
      <c r="H1323" s="12">
        <f t="shared" si="176"/>
        <v>93.589926862662892</v>
      </c>
      <c r="I1323" s="12">
        <f t="shared" si="177"/>
        <v>92.287290612829878</v>
      </c>
      <c r="J1323" s="12">
        <f t="shared" si="178"/>
        <v>98.052743514465931</v>
      </c>
      <c r="K1323" s="12">
        <f t="shared" si="179"/>
        <v>100.8401031303182</v>
      </c>
      <c r="P1323" s="12"/>
      <c r="Q1323" s="12"/>
      <c r="R1323" s="12"/>
      <c r="S1323" s="12"/>
      <c r="V1323">
        <v>0.42857142857142899</v>
      </c>
      <c r="W1323" s="12"/>
      <c r="X1323" s="12"/>
      <c r="AY1323" t="str">
        <v>29/07/2019</v>
      </c>
      <c r="AZ1323">
        <v>48.1</v>
      </c>
      <c r="BA1323">
        <v>17.899999999999999</v>
      </c>
    </row>
    <row r="1324" spans="1:53" x14ac:dyDescent="0.3">
      <c r="A1324" s="11">
        <v>43606</v>
      </c>
      <c r="B1324">
        <v>0.594533029612756</v>
      </c>
      <c r="C1324">
        <v>2840.23</v>
      </c>
      <c r="D1324">
        <v>125.73</v>
      </c>
      <c r="E1324">
        <v>1277.75</v>
      </c>
      <c r="F1324">
        <v>84.11</v>
      </c>
      <c r="G1324">
        <v>45.34</v>
      </c>
      <c r="H1324" s="12">
        <f t="shared" si="176"/>
        <v>92.655358488646357</v>
      </c>
      <c r="I1324" s="12">
        <f t="shared" si="177"/>
        <v>91.313553554650554</v>
      </c>
      <c r="J1324" s="12">
        <f t="shared" si="178"/>
        <v>97.180898827572832</v>
      </c>
      <c r="K1324" s="12">
        <f t="shared" si="179"/>
        <v>100.73967639036465</v>
      </c>
      <c r="P1324" s="12"/>
      <c r="Q1324" s="12"/>
      <c r="R1324" s="12"/>
      <c r="S1324" s="12"/>
      <c r="V1324">
        <v>0.43228699551569499</v>
      </c>
      <c r="W1324" s="12"/>
      <c r="X1324" s="12"/>
      <c r="AY1324" t="str">
        <v>26/07/2019</v>
      </c>
      <c r="AZ1324">
        <v>57.2</v>
      </c>
      <c r="BA1324">
        <v>17.100000000000001</v>
      </c>
    </row>
    <row r="1325" spans="1:53" x14ac:dyDescent="0.3">
      <c r="A1325" s="11">
        <v>43603</v>
      </c>
      <c r="B1325">
        <v>0.60491071428571397</v>
      </c>
      <c r="C1325">
        <v>2859.53</v>
      </c>
      <c r="D1325">
        <v>125.99</v>
      </c>
      <c r="E1325">
        <v>1277.55</v>
      </c>
      <c r="F1325">
        <v>84.15</v>
      </c>
      <c r="G1325">
        <v>45.51</v>
      </c>
      <c r="H1325" s="12">
        <f t="shared" si="176"/>
        <v>93.091558073658732</v>
      </c>
      <c r="I1325" s="12">
        <f t="shared" si="177"/>
        <v>91.94854196107498</v>
      </c>
      <c r="J1325" s="12">
        <f t="shared" si="178"/>
        <v>97.794463172761212</v>
      </c>
      <c r="K1325" s="12">
        <f t="shared" si="179"/>
        <v>101.0442153849778</v>
      </c>
      <c r="P1325" s="12"/>
      <c r="Q1325" s="12"/>
      <c r="R1325" s="12"/>
      <c r="S1325" s="12"/>
      <c r="V1325">
        <v>0.44523597506678497</v>
      </c>
      <c r="W1325" s="12"/>
      <c r="X1325" s="12"/>
      <c r="AY1325" t="str">
        <v>25/07/2019</v>
      </c>
      <c r="AZ1325">
        <v>57.2</v>
      </c>
      <c r="BA1325">
        <v>17.100000000000001</v>
      </c>
    </row>
    <row r="1326" spans="1:53" x14ac:dyDescent="0.3">
      <c r="A1326" s="11">
        <v>43602</v>
      </c>
      <c r="B1326">
        <v>0.60444444444444401</v>
      </c>
      <c r="C1326">
        <v>2876.32</v>
      </c>
      <c r="D1326">
        <v>125.71</v>
      </c>
      <c r="E1326">
        <v>1286.6500000000001</v>
      </c>
      <c r="F1326">
        <v>84.13</v>
      </c>
      <c r="G1326">
        <v>45.92</v>
      </c>
      <c r="H1326" s="12">
        <f t="shared" si="176"/>
        <v>93.84841443171905</v>
      </c>
      <c r="I1326" s="12">
        <f t="shared" si="177"/>
        <v>91.835097095329587</v>
      </c>
      <c r="J1326" s="12">
        <f t="shared" si="178"/>
        <v>98.39220043802986</v>
      </c>
      <c r="K1326" s="12">
        <f t="shared" si="179"/>
        <v>100.73282488695234</v>
      </c>
      <c r="P1326" s="12"/>
      <c r="Q1326" s="12"/>
      <c r="R1326" s="12"/>
      <c r="S1326" s="12"/>
      <c r="V1326">
        <v>0.44968833481745302</v>
      </c>
      <c r="W1326" s="12"/>
      <c r="X1326" s="12"/>
      <c r="AY1326" t="str">
        <v>24/07/2019</v>
      </c>
      <c r="AZ1326">
        <v>57.2</v>
      </c>
      <c r="BA1326">
        <v>17.100000000000001</v>
      </c>
    </row>
    <row r="1327" spans="1:53" x14ac:dyDescent="0.3">
      <c r="A1327" s="11">
        <v>43601</v>
      </c>
      <c r="B1327">
        <v>0.61622807017543901</v>
      </c>
      <c r="C1327">
        <v>2850.96</v>
      </c>
      <c r="D1327">
        <v>126.13</v>
      </c>
      <c r="E1327">
        <v>1296.67</v>
      </c>
      <c r="F1327">
        <v>84.18</v>
      </c>
      <c r="G1327">
        <v>45.78</v>
      </c>
      <c r="H1327" s="12">
        <f t="shared" si="176"/>
        <v>92.714960407549086</v>
      </c>
      <c r="I1327" s="12">
        <f t="shared" si="177"/>
        <v>90.333507066141294</v>
      </c>
      <c r="J1327" s="12">
        <f t="shared" si="178"/>
        <v>97.46731219303058</v>
      </c>
      <c r="K1327" s="12">
        <f t="shared" si="179"/>
        <v>100.14824502479684</v>
      </c>
      <c r="P1327" s="12"/>
      <c r="Q1327" s="12"/>
      <c r="R1327" s="12"/>
      <c r="S1327" s="12"/>
      <c r="V1327">
        <v>0.44701691896705298</v>
      </c>
      <c r="W1327" s="12"/>
      <c r="X1327" s="12"/>
      <c r="AY1327" t="str">
        <v>23/07/2019</v>
      </c>
      <c r="AZ1327">
        <v>57.2</v>
      </c>
      <c r="BA1327">
        <v>17.100000000000001</v>
      </c>
    </row>
    <row r="1328" spans="1:53" x14ac:dyDescent="0.3">
      <c r="A1328" s="11">
        <v>43600</v>
      </c>
      <c r="B1328">
        <v>0.62121212121212099</v>
      </c>
      <c r="C1328">
        <v>2834.41</v>
      </c>
      <c r="D1328">
        <v>125.36</v>
      </c>
      <c r="E1328">
        <v>1297.03</v>
      </c>
      <c r="F1328">
        <v>84.12</v>
      </c>
      <c r="G1328">
        <v>45.58</v>
      </c>
      <c r="H1328" s="12">
        <f t="shared" si="176"/>
        <v>92.743094255203772</v>
      </c>
      <c r="I1328" s="12">
        <f t="shared" si="177"/>
        <v>89.784339817896921</v>
      </c>
      <c r="J1328" s="12">
        <f t="shared" si="178"/>
        <v>96.97027254898002</v>
      </c>
      <c r="K1328" s="12">
        <f t="shared" si="179"/>
        <v>100.00313365350293</v>
      </c>
      <c r="P1328" s="12"/>
      <c r="Q1328" s="12"/>
      <c r="R1328" s="12"/>
      <c r="S1328" s="12"/>
      <c r="V1328">
        <v>0.44614003590664297</v>
      </c>
      <c r="W1328" s="12"/>
      <c r="X1328" s="12"/>
      <c r="AY1328" t="str">
        <v>22/07/2019</v>
      </c>
      <c r="AZ1328">
        <v>57.2</v>
      </c>
      <c r="BA1328">
        <v>17.100000000000001</v>
      </c>
    </row>
    <row r="1329" spans="1:53" x14ac:dyDescent="0.3">
      <c r="A1329" s="11">
        <v>43599</v>
      </c>
      <c r="B1329">
        <v>0.62472885032537995</v>
      </c>
      <c r="C1329">
        <v>2811.87</v>
      </c>
      <c r="D1329">
        <v>125.73</v>
      </c>
      <c r="E1329">
        <v>1299.9100000000001</v>
      </c>
      <c r="F1329">
        <v>84.12</v>
      </c>
      <c r="G1329">
        <v>45.1</v>
      </c>
      <c r="H1329" s="12">
        <f t="shared" si="176"/>
        <v>91.737755623755803</v>
      </c>
      <c r="I1329" s="12">
        <f t="shared" si="177"/>
        <v>88.875010191101552</v>
      </c>
      <c r="J1329" s="12">
        <f t="shared" si="178"/>
        <v>96.199138541107473</v>
      </c>
      <c r="K1329" s="12">
        <f t="shared" si="179"/>
        <v>100.26653360776564</v>
      </c>
      <c r="P1329" s="12"/>
      <c r="Q1329" s="12"/>
      <c r="R1329" s="12"/>
      <c r="S1329" s="12"/>
      <c r="V1329">
        <v>0.45085662759242601</v>
      </c>
      <c r="W1329" s="12"/>
      <c r="X1329" s="12"/>
      <c r="AY1329" t="str">
        <v>19/07/2019</v>
      </c>
      <c r="AZ1329">
        <v>54.2</v>
      </c>
      <c r="BA1329">
        <v>16.8</v>
      </c>
    </row>
    <row r="1330" spans="1:53" x14ac:dyDescent="0.3">
      <c r="A1330" s="11">
        <v>43596</v>
      </c>
      <c r="B1330">
        <v>0.62179487179487203</v>
      </c>
      <c r="C1330">
        <v>2881.4</v>
      </c>
      <c r="D1330">
        <v>124.75</v>
      </c>
      <c r="E1330">
        <v>1286</v>
      </c>
      <c r="F1330">
        <v>84.02</v>
      </c>
      <c r="G1330">
        <v>46.28</v>
      </c>
      <c r="H1330" s="12">
        <f t="shared" si="176"/>
        <v>94.769071593465355</v>
      </c>
      <c r="I1330" s="12">
        <f t="shared" si="177"/>
        <v>92.093409262996033</v>
      </c>
      <c r="J1330" s="12">
        <f t="shared" si="178"/>
        <v>98.698259781924094</v>
      </c>
      <c r="K1330" s="12">
        <f t="shared" si="179"/>
        <v>100.12972196375129</v>
      </c>
      <c r="P1330" s="12"/>
      <c r="Q1330" s="12"/>
      <c r="R1330" s="12"/>
      <c r="S1330" s="12"/>
      <c r="V1330">
        <v>0.44014401440144002</v>
      </c>
      <c r="W1330" s="12"/>
      <c r="X1330" s="12"/>
      <c r="AY1330" t="str">
        <v>18/07/2019</v>
      </c>
      <c r="AZ1330">
        <v>54.2</v>
      </c>
      <c r="BA1330">
        <v>16.8</v>
      </c>
    </row>
    <row r="1331" spans="1:53" x14ac:dyDescent="0.3">
      <c r="A1331" s="11">
        <v>43595</v>
      </c>
      <c r="B1331">
        <v>0.608602150537634</v>
      </c>
      <c r="C1331">
        <v>2870.72</v>
      </c>
      <c r="D1331">
        <v>124.92</v>
      </c>
      <c r="E1331">
        <v>1284.1300000000001</v>
      </c>
      <c r="F1331">
        <v>84</v>
      </c>
      <c r="G1331">
        <v>45.95</v>
      </c>
      <c r="H1331" s="12">
        <f t="shared" si="176"/>
        <v>94.289966172437474</v>
      </c>
      <c r="I1331" s="12">
        <f t="shared" si="177"/>
        <v>91.885373226859159</v>
      </c>
      <c r="J1331" s="12">
        <f t="shared" si="178"/>
        <v>98.355762807456344</v>
      </c>
      <c r="K1331" s="12">
        <f t="shared" si="179"/>
        <v>100.47751465469182</v>
      </c>
      <c r="P1331" s="12"/>
      <c r="Q1331" s="12"/>
      <c r="R1331" s="12"/>
      <c r="S1331" s="12"/>
      <c r="V1331">
        <v>0.43981900452488698</v>
      </c>
      <c r="W1331" s="12"/>
      <c r="X1331" s="12"/>
      <c r="AY1331" t="str">
        <v>17/07/2019</v>
      </c>
      <c r="AZ1331">
        <v>54.2</v>
      </c>
      <c r="BA1331">
        <v>16.8</v>
      </c>
    </row>
    <row r="1332" spans="1:53" x14ac:dyDescent="0.3">
      <c r="A1332" s="11">
        <v>43594</v>
      </c>
      <c r="B1332">
        <v>0.61437908496731997</v>
      </c>
      <c r="C1332">
        <v>2879.42</v>
      </c>
      <c r="D1332">
        <v>124.41</v>
      </c>
      <c r="E1332">
        <v>1280.8800000000001</v>
      </c>
      <c r="F1332">
        <v>83.95</v>
      </c>
      <c r="G1332">
        <v>46.33</v>
      </c>
      <c r="H1332" s="12">
        <f t="shared" si="176"/>
        <v>94.966200614871184</v>
      </c>
      <c r="I1332" s="12">
        <f t="shared" si="177"/>
        <v>92.398997067663686</v>
      </c>
      <c r="J1332" s="12">
        <f t="shared" si="178"/>
        <v>98.712810441782281</v>
      </c>
      <c r="K1332" s="12">
        <f t="shared" si="179"/>
        <v>99.959664903691618</v>
      </c>
      <c r="P1332" s="12"/>
      <c r="Q1332" s="12"/>
      <c r="R1332" s="12"/>
      <c r="S1332" s="12"/>
      <c r="V1332">
        <v>0.44183949504057701</v>
      </c>
      <c r="W1332" s="12"/>
      <c r="X1332" s="12"/>
      <c r="AY1332" t="str">
        <v>16/07/2019</v>
      </c>
      <c r="AZ1332">
        <v>54.2</v>
      </c>
      <c r="BA1332">
        <v>16.8</v>
      </c>
    </row>
    <row r="1333" spans="1:53" x14ac:dyDescent="0.3">
      <c r="A1333" s="11">
        <v>43593</v>
      </c>
      <c r="B1333">
        <v>0.61388286334056397</v>
      </c>
      <c r="C1333">
        <v>2884.05</v>
      </c>
      <c r="D1333">
        <v>124.95</v>
      </c>
      <c r="E1333">
        <v>1285.8499999999999</v>
      </c>
      <c r="F1333">
        <v>83.96</v>
      </c>
      <c r="G1333">
        <v>46.29</v>
      </c>
      <c r="H1333" s="12">
        <f t="shared" si="176"/>
        <v>94.708938239561945</v>
      </c>
      <c r="I1333" s="12">
        <f t="shared" si="177"/>
        <v>92.190667708547366</v>
      </c>
      <c r="J1333" s="12">
        <f t="shared" si="178"/>
        <v>98.859743403245176</v>
      </c>
      <c r="K1333" s="12">
        <f t="shared" si="179"/>
        <v>100.20712628595363</v>
      </c>
      <c r="P1333" s="12"/>
      <c r="Q1333" s="12"/>
      <c r="R1333" s="12"/>
      <c r="S1333" s="12"/>
      <c r="V1333">
        <v>0.438580527752502</v>
      </c>
      <c r="W1333" s="12"/>
      <c r="X1333" s="12"/>
      <c r="AY1333" t="str">
        <v>15/07/2019</v>
      </c>
      <c r="AZ1333">
        <v>54.2</v>
      </c>
      <c r="BA1333">
        <v>16.8</v>
      </c>
    </row>
    <row r="1334" spans="1:53" x14ac:dyDescent="0.3">
      <c r="A1334" s="11">
        <v>43592</v>
      </c>
      <c r="B1334">
        <v>0.61184210526315796</v>
      </c>
      <c r="C1334">
        <v>2932.47</v>
      </c>
      <c r="D1334">
        <v>124</v>
      </c>
      <c r="E1334">
        <v>1280.33</v>
      </c>
      <c r="F1334">
        <v>83.92</v>
      </c>
      <c r="G1334">
        <v>47.11</v>
      </c>
      <c r="H1334" s="12">
        <f t="shared" si="176"/>
        <v>97.055046798641087</v>
      </c>
      <c r="I1334" s="12">
        <f t="shared" si="177"/>
        <v>94.151184060125544</v>
      </c>
      <c r="J1334" s="12">
        <f t="shared" si="178"/>
        <v>100.56822888793788</v>
      </c>
      <c r="K1334" s="12">
        <f t="shared" si="179"/>
        <v>100.11758181868751</v>
      </c>
      <c r="P1334" s="12"/>
      <c r="Q1334" s="12"/>
      <c r="R1334" s="12"/>
      <c r="S1334" s="12"/>
      <c r="V1334">
        <v>0.42988084326306097</v>
      </c>
      <c r="W1334" s="12"/>
      <c r="X1334" s="12"/>
      <c r="AY1334" t="str">
        <v>12/07/2019</v>
      </c>
      <c r="AZ1334">
        <v>58</v>
      </c>
      <c r="BA1334">
        <v>16.8</v>
      </c>
    </row>
    <row r="1335" spans="1:53" x14ac:dyDescent="0.3">
      <c r="A1335" s="11">
        <v>43589</v>
      </c>
      <c r="B1335">
        <v>0.60262008733624495</v>
      </c>
      <c r="C1335">
        <v>2945.64</v>
      </c>
      <c r="D1335">
        <v>123.66</v>
      </c>
      <c r="E1335">
        <v>1276.6500000000001</v>
      </c>
      <c r="F1335">
        <v>83.87</v>
      </c>
      <c r="G1335">
        <v>47.73</v>
      </c>
      <c r="H1335" s="12">
        <f t="shared" si="176"/>
        <v>97.760928522640967</v>
      </c>
      <c r="I1335" s="12">
        <f t="shared" si="177"/>
        <v>94.848659267042009</v>
      </c>
      <c r="J1335" s="12">
        <f t="shared" si="178"/>
        <v>101.08042112268328</v>
      </c>
      <c r="K1335" s="12">
        <f t="shared" si="179"/>
        <v>99.271912280274449</v>
      </c>
      <c r="P1335" s="12"/>
      <c r="Q1335" s="12"/>
      <c r="R1335" s="12"/>
      <c r="S1335" s="12"/>
      <c r="V1335">
        <v>0.43339416058394198</v>
      </c>
      <c r="W1335" s="12"/>
      <c r="X1335" s="12"/>
      <c r="AY1335" t="str">
        <v>11/07/2019</v>
      </c>
      <c r="AZ1335">
        <v>58</v>
      </c>
      <c r="BA1335">
        <v>16.8</v>
      </c>
    </row>
    <row r="1336" spans="1:53" x14ac:dyDescent="0.3">
      <c r="A1336" s="11">
        <v>43588</v>
      </c>
      <c r="B1336">
        <v>0.58849557522123896</v>
      </c>
      <c r="C1336">
        <v>2917.52</v>
      </c>
      <c r="D1336">
        <v>123.31</v>
      </c>
      <c r="E1336">
        <v>1270.54</v>
      </c>
      <c r="F1336">
        <v>83.84</v>
      </c>
      <c r="G1336">
        <v>47.2</v>
      </c>
      <c r="H1336" s="12">
        <f t="shared" si="176"/>
        <v>97.100649144915181</v>
      </c>
      <c r="I1336" s="12">
        <f t="shared" si="177"/>
        <v>94.392803936284693</v>
      </c>
      <c r="J1336" s="12">
        <f t="shared" si="178"/>
        <v>100.15097019087406</v>
      </c>
      <c r="K1336" s="12">
        <f t="shared" si="179"/>
        <v>99.430054847877059</v>
      </c>
      <c r="P1336" s="12"/>
      <c r="Q1336" s="12"/>
      <c r="R1336" s="12"/>
      <c r="S1336" s="12"/>
      <c r="V1336">
        <v>0.42607897153351698</v>
      </c>
      <c r="W1336" s="12"/>
      <c r="X1336" s="12"/>
      <c r="AY1336" t="str">
        <v>10/07/2019</v>
      </c>
      <c r="AZ1336">
        <v>58</v>
      </c>
      <c r="BA1336">
        <v>16.8</v>
      </c>
    </row>
    <row r="1337" spans="1:53" x14ac:dyDescent="0.3">
      <c r="A1337" s="11">
        <v>43587</v>
      </c>
      <c r="B1337">
        <v>0.56152125279642096</v>
      </c>
      <c r="C1337">
        <v>2923.73</v>
      </c>
      <c r="D1337">
        <v>123.9</v>
      </c>
      <c r="E1337">
        <v>1276.6099999999999</v>
      </c>
      <c r="F1337">
        <v>83.88</v>
      </c>
      <c r="G1337">
        <v>47.3</v>
      </c>
      <c r="H1337" s="12">
        <f t="shared" si="176"/>
        <v>96.845180698112031</v>
      </c>
      <c r="I1337" s="12">
        <f t="shared" si="177"/>
        <v>94.145128710995905</v>
      </c>
      <c r="J1337" s="12">
        <f t="shared" si="178"/>
        <v>100.31620376041512</v>
      </c>
      <c r="K1337" s="12">
        <f t="shared" si="179"/>
        <v>99.431032675842189</v>
      </c>
      <c r="P1337" s="12"/>
      <c r="Q1337" s="12"/>
      <c r="R1337" s="12"/>
      <c r="S1337" s="12"/>
      <c r="V1337">
        <v>0.42896678966789697</v>
      </c>
      <c r="W1337" s="12"/>
      <c r="X1337" s="12"/>
      <c r="AY1337" t="str">
        <v>09/07/2019</v>
      </c>
      <c r="AZ1337">
        <v>58</v>
      </c>
      <c r="BA1337">
        <v>16.8</v>
      </c>
    </row>
    <row r="1338" spans="1:53" x14ac:dyDescent="0.3">
      <c r="A1338" s="11">
        <v>43585</v>
      </c>
      <c r="B1338">
        <v>0.54606741573033701</v>
      </c>
      <c r="C1338">
        <v>2945.83</v>
      </c>
      <c r="D1338">
        <v>123.65</v>
      </c>
      <c r="E1338">
        <v>1283.5999999999999</v>
      </c>
      <c r="F1338">
        <v>84.11</v>
      </c>
      <c r="G1338">
        <v>47.57</v>
      </c>
      <c r="H1338" s="12">
        <f t="shared" si="176"/>
        <v>97.77639980118127</v>
      </c>
      <c r="I1338" s="12">
        <f t="shared" si="177"/>
        <v>94.339137944467922</v>
      </c>
      <c r="J1338" s="12">
        <f t="shared" si="178"/>
        <v>100.79676400540187</v>
      </c>
      <c r="K1338" s="12">
        <f t="shared" si="179"/>
        <v>99.612954221146182</v>
      </c>
      <c r="P1338" s="12"/>
      <c r="Q1338" s="12"/>
      <c r="R1338" s="12"/>
      <c r="S1338" s="12"/>
      <c r="V1338">
        <v>0.43169398907103801</v>
      </c>
      <c r="W1338" s="12"/>
      <c r="X1338" s="12"/>
      <c r="AY1338" t="str">
        <v>08/07/2019</v>
      </c>
      <c r="AZ1338">
        <v>58</v>
      </c>
      <c r="BA1338">
        <v>16.8</v>
      </c>
    </row>
    <row r="1339" spans="1:53" x14ac:dyDescent="0.3">
      <c r="A1339" s="11">
        <v>43585</v>
      </c>
      <c r="B1339">
        <v>0.53318077803203701</v>
      </c>
      <c r="C1339">
        <v>2943.03</v>
      </c>
      <c r="D1339">
        <v>123.02</v>
      </c>
      <c r="E1339">
        <v>1279.8</v>
      </c>
      <c r="F1339">
        <v>84.05</v>
      </c>
      <c r="G1339">
        <v>47.52</v>
      </c>
      <c r="H1339" s="12">
        <f t="shared" si="176"/>
        <v>98.185806936532416</v>
      </c>
      <c r="I1339" s="12">
        <f t="shared" si="177"/>
        <v>94.529881616903779</v>
      </c>
      <c r="J1339" s="12">
        <f t="shared" si="178"/>
        <v>100.77282646545839</v>
      </c>
      <c r="K1339" s="12">
        <f t="shared" si="179"/>
        <v>99.622995035996652</v>
      </c>
      <c r="P1339" s="12"/>
      <c r="Q1339" s="12"/>
      <c r="R1339" s="12"/>
      <c r="S1339" s="12"/>
      <c r="V1339">
        <v>0.42124542124542103</v>
      </c>
      <c r="W1339" s="12"/>
      <c r="X1339" s="12"/>
      <c r="AY1339" t="str">
        <v>05/07/2019</v>
      </c>
      <c r="AZ1339">
        <v>56.7</v>
      </c>
      <c r="BA1339">
        <v>18.3</v>
      </c>
    </row>
    <row r="1340" spans="1:53" x14ac:dyDescent="0.3">
      <c r="A1340" s="11">
        <v>43582</v>
      </c>
      <c r="B1340">
        <v>0.52860411899313497</v>
      </c>
      <c r="C1340">
        <v>2939.88</v>
      </c>
      <c r="D1340">
        <v>123.81</v>
      </c>
      <c r="E1340">
        <v>1286.25</v>
      </c>
      <c r="F1340">
        <v>84.08</v>
      </c>
      <c r="G1340">
        <v>47.4</v>
      </c>
      <c r="H1340" s="12">
        <f t="shared" si="176"/>
        <v>97.459517464216091</v>
      </c>
      <c r="I1340" s="12">
        <f t="shared" si="177"/>
        <v>93.958048278102623</v>
      </c>
      <c r="J1340" s="12">
        <f t="shared" si="178"/>
        <v>100.62910040189075</v>
      </c>
      <c r="K1340" s="12">
        <f t="shared" si="179"/>
        <v>99.768674587276379</v>
      </c>
      <c r="P1340" s="12"/>
      <c r="Q1340" s="12"/>
      <c r="R1340" s="12"/>
      <c r="S1340" s="12"/>
      <c r="V1340">
        <v>0.42424242424242398</v>
      </c>
      <c r="W1340" s="12"/>
      <c r="X1340" s="12"/>
      <c r="AY1340" t="str">
        <v>04/07/2019</v>
      </c>
      <c r="AZ1340">
        <v>56.7</v>
      </c>
      <c r="BA1340">
        <v>18.3</v>
      </c>
    </row>
    <row r="1341" spans="1:53" x14ac:dyDescent="0.3">
      <c r="A1341" s="11">
        <v>43581</v>
      </c>
      <c r="B1341">
        <v>0.52534562211981595</v>
      </c>
      <c r="C1341">
        <v>2926.17</v>
      </c>
      <c r="D1341">
        <v>123.39</v>
      </c>
      <c r="E1341">
        <v>1277.21</v>
      </c>
      <c r="F1341">
        <v>83.99</v>
      </c>
      <c r="G1341">
        <v>47.18</v>
      </c>
      <c r="H1341" s="12">
        <f t="shared" si="176"/>
        <v>97.334786450451062</v>
      </c>
      <c r="I1341" s="12">
        <f t="shared" si="177"/>
        <v>94.183393566351086</v>
      </c>
      <c r="J1341" s="12">
        <f t="shared" si="178"/>
        <v>100.26676147009449</v>
      </c>
      <c r="K1341" s="12">
        <f t="shared" si="179"/>
        <v>99.766448541262307</v>
      </c>
      <c r="P1341" s="12"/>
      <c r="Q1341" s="12"/>
      <c r="R1341" s="12"/>
      <c r="S1341" s="12"/>
      <c r="V1341">
        <v>0.42022263450834901</v>
      </c>
      <c r="W1341" s="12"/>
      <c r="X1341" s="12"/>
      <c r="AY1341" t="str">
        <v>03/07/2019</v>
      </c>
      <c r="AZ1341">
        <v>56.7</v>
      </c>
      <c r="BA1341">
        <v>18.3</v>
      </c>
    </row>
    <row r="1342" spans="1:53" x14ac:dyDescent="0.3">
      <c r="A1342" s="11">
        <v>43580</v>
      </c>
      <c r="B1342">
        <v>0.52112676056338003</v>
      </c>
      <c r="C1342">
        <v>2927.25</v>
      </c>
      <c r="D1342">
        <v>123.57</v>
      </c>
      <c r="E1342">
        <v>1275.5</v>
      </c>
      <c r="F1342">
        <v>83.99</v>
      </c>
      <c r="G1342">
        <v>47.22</v>
      </c>
      <c r="H1342" s="12">
        <f t="shared" si="176"/>
        <v>97.229028756239586</v>
      </c>
      <c r="I1342" s="12">
        <f t="shared" si="177"/>
        <v>94.344685021841386</v>
      </c>
      <c r="J1342" s="12">
        <f t="shared" si="178"/>
        <v>100.30376824085207</v>
      </c>
      <c r="K1342" s="12">
        <f t="shared" si="179"/>
        <v>99.71876784059161</v>
      </c>
      <c r="P1342" s="12"/>
      <c r="Q1342" s="12"/>
      <c r="R1342" s="12"/>
      <c r="S1342" s="12"/>
      <c r="V1342">
        <v>0.41651205936920199</v>
      </c>
      <c r="W1342" s="12"/>
      <c r="X1342" s="12"/>
      <c r="AY1342" t="str">
        <v>02/07/2019</v>
      </c>
      <c r="AZ1342">
        <v>56.7</v>
      </c>
      <c r="BA1342">
        <v>18.3</v>
      </c>
    </row>
    <row r="1343" spans="1:53" x14ac:dyDescent="0.3">
      <c r="A1343" s="11">
        <v>43579</v>
      </c>
      <c r="B1343">
        <v>0.50721153846153799</v>
      </c>
      <c r="C1343">
        <v>2933.68</v>
      </c>
      <c r="D1343">
        <v>122.57</v>
      </c>
      <c r="E1343">
        <v>1272.4000000000001</v>
      </c>
      <c r="F1343">
        <v>83.94</v>
      </c>
      <c r="G1343">
        <v>47.664999999999999</v>
      </c>
      <c r="H1343" s="12">
        <f t="shared" si="176"/>
        <v>98.245912231553106</v>
      </c>
      <c r="I1343" s="12">
        <f t="shared" si="177"/>
        <v>94.783354442509633</v>
      </c>
      <c r="J1343" s="12">
        <f t="shared" si="178"/>
        <v>100.58414150553411</v>
      </c>
      <c r="K1343" s="12">
        <f t="shared" si="179"/>
        <v>99.011410094521693</v>
      </c>
      <c r="P1343" s="12"/>
      <c r="Q1343" s="12"/>
      <c r="R1343" s="12"/>
      <c r="S1343" s="12"/>
      <c r="V1343">
        <v>0.41682419659735298</v>
      </c>
      <c r="W1343" s="12"/>
      <c r="X1343" s="12"/>
      <c r="AY1343" t="str">
        <v>01/07/2019</v>
      </c>
      <c r="AZ1343">
        <v>56.7</v>
      </c>
      <c r="BA1343">
        <v>18.3</v>
      </c>
    </row>
    <row r="1344" spans="1:53" x14ac:dyDescent="0.3">
      <c r="A1344" s="11">
        <v>43578</v>
      </c>
      <c r="B1344">
        <v>0.5</v>
      </c>
      <c r="C1344">
        <v>2907.97</v>
      </c>
      <c r="D1344">
        <v>122.31</v>
      </c>
      <c r="E1344">
        <v>1273.25</v>
      </c>
      <c r="F1344">
        <v>83.9</v>
      </c>
      <c r="G1344">
        <v>47.56</v>
      </c>
      <c r="H1344" s="12">
        <f t="shared" si="176"/>
        <v>97.590545550326382</v>
      </c>
      <c r="I1344" s="12">
        <f t="shared" si="177"/>
        <v>93.890567616992627</v>
      </c>
      <c r="J1344" s="12">
        <f t="shared" si="178"/>
        <v>99.749788283008897</v>
      </c>
      <c r="K1344" s="12">
        <f t="shared" si="179"/>
        <v>98.358947830030502</v>
      </c>
      <c r="P1344" s="12"/>
      <c r="Q1344" s="12"/>
      <c r="R1344" s="12"/>
      <c r="S1344" s="12"/>
      <c r="V1344">
        <v>0.417867435158501</v>
      </c>
      <c r="W1344" s="12"/>
      <c r="X1344" s="12"/>
      <c r="AY1344" t="str">
        <v>28/06/2019</v>
      </c>
      <c r="AZ1344">
        <v>55.2</v>
      </c>
      <c r="BA1344">
        <v>18.100000000000001</v>
      </c>
    </row>
    <row r="1345" spans="1:53" x14ac:dyDescent="0.3">
      <c r="A1345" s="11">
        <v>43574</v>
      </c>
      <c r="B1345">
        <v>0.49382716049382702</v>
      </c>
      <c r="C1345">
        <v>2905.03</v>
      </c>
      <c r="D1345">
        <v>122.9</v>
      </c>
      <c r="E1345">
        <v>1275.4000000000001</v>
      </c>
      <c r="F1345">
        <v>83.89</v>
      </c>
      <c r="G1345">
        <v>47.67</v>
      </c>
      <c r="H1345" s="12">
        <f t="shared" si="176"/>
        <v>97.026560361529647</v>
      </c>
      <c r="I1345" s="12">
        <f t="shared" si="177"/>
        <v>93.637952703528669</v>
      </c>
      <c r="J1345" s="12">
        <f t="shared" si="178"/>
        <v>99.660807723185883</v>
      </c>
      <c r="K1345" s="12">
        <f t="shared" si="179"/>
        <v>98.033518831002766</v>
      </c>
      <c r="P1345" s="12"/>
      <c r="Q1345" s="12"/>
      <c r="R1345" s="12"/>
      <c r="S1345" s="12"/>
      <c r="V1345">
        <v>0.416745061147695</v>
      </c>
      <c r="W1345" s="12"/>
      <c r="X1345" s="12"/>
      <c r="AY1345" t="str">
        <v>27/06/2019</v>
      </c>
      <c r="AZ1345">
        <v>55.2</v>
      </c>
      <c r="BA1345">
        <v>18.100000000000001</v>
      </c>
    </row>
    <row r="1346" spans="1:53" x14ac:dyDescent="0.3">
      <c r="A1346" s="11">
        <v>43573</v>
      </c>
      <c r="B1346">
        <v>0.48860759493670902</v>
      </c>
      <c r="C1346">
        <v>2900.45</v>
      </c>
      <c r="D1346">
        <v>122.26</v>
      </c>
      <c r="E1346">
        <v>1274.03</v>
      </c>
      <c r="F1346">
        <v>83.87</v>
      </c>
      <c r="G1346">
        <v>47.73</v>
      </c>
      <c r="H1346" s="12">
        <f t="shared" ref="H1346:H1409" si="180">H1347*(1+((C1346/C1347)-(D1346/D1347)))</f>
        <v>97.382559867847661</v>
      </c>
      <c r="I1346" s="12">
        <f t="shared" ref="I1346:I1409" si="181">I1347*(1+((C1346/C1347)-(E1346/E1347)))</f>
        <v>93.590807511529746</v>
      </c>
      <c r="J1346" s="12">
        <f t="shared" si="178"/>
        <v>99.527381213668605</v>
      </c>
      <c r="K1346" s="12">
        <f t="shared" si="179"/>
        <v>97.756268724618124</v>
      </c>
      <c r="P1346" s="12"/>
      <c r="Q1346" s="12"/>
      <c r="R1346" s="12"/>
      <c r="S1346" s="12"/>
      <c r="V1346">
        <v>0.41415094339622599</v>
      </c>
      <c r="W1346" s="12"/>
      <c r="X1346" s="12"/>
      <c r="AY1346" t="str">
        <v>26/06/2019</v>
      </c>
      <c r="AZ1346">
        <v>55.2</v>
      </c>
      <c r="BA1346">
        <v>18.100000000000001</v>
      </c>
    </row>
    <row r="1347" spans="1:53" x14ac:dyDescent="0.3">
      <c r="A1347" s="11">
        <v>43572</v>
      </c>
      <c r="B1347">
        <v>0.48571428571428599</v>
      </c>
      <c r="C1347">
        <v>2907.06</v>
      </c>
      <c r="D1347">
        <v>122.21</v>
      </c>
      <c r="E1347">
        <v>1276.9000000000001</v>
      </c>
      <c r="F1347">
        <v>83.84</v>
      </c>
      <c r="G1347">
        <v>47.63</v>
      </c>
      <c r="H1347" s="12">
        <f t="shared" si="180"/>
        <v>97.644531034511374</v>
      </c>
      <c r="I1347" s="12">
        <f t="shared" si="181"/>
        <v>93.593254404008093</v>
      </c>
      <c r="J1347" s="12">
        <f t="shared" ref="J1347:J1410" si="182">J1348*(1+((C1347/C1348)-(F1347/F1348)))</f>
        <v>99.789988478150178</v>
      </c>
      <c r="K1347" s="12">
        <f t="shared" ref="K1347:K1410" si="183">K1348*(1+((C1347/C1348)-(G1347/G1348)))</f>
        <v>98.185663299473447</v>
      </c>
      <c r="P1347" s="12"/>
      <c r="Q1347" s="12"/>
      <c r="R1347" s="12"/>
      <c r="S1347" s="12"/>
      <c r="V1347">
        <v>0.40645773979107302</v>
      </c>
      <c r="W1347" s="12"/>
      <c r="X1347" s="12"/>
      <c r="AY1347" t="str">
        <v>25/06/2019</v>
      </c>
      <c r="AZ1347">
        <v>55.2</v>
      </c>
      <c r="BA1347">
        <v>18.100000000000001</v>
      </c>
    </row>
    <row r="1348" spans="1:53" x14ac:dyDescent="0.3">
      <c r="A1348" s="11">
        <v>43571</v>
      </c>
      <c r="B1348">
        <v>0.47169811320754701</v>
      </c>
      <c r="C1348">
        <v>2905.58</v>
      </c>
      <c r="D1348">
        <v>122.98</v>
      </c>
      <c r="E1348">
        <v>1287.8900000000001</v>
      </c>
      <c r="F1348">
        <v>83.85</v>
      </c>
      <c r="G1348">
        <v>47.44</v>
      </c>
      <c r="H1348" s="12">
        <f t="shared" si="180"/>
        <v>96.987870253831261</v>
      </c>
      <c r="I1348" s="12">
        <f t="shared" si="181"/>
        <v>92.754503053880242</v>
      </c>
      <c r="J1348" s="12">
        <f t="shared" si="182"/>
        <v>99.727297373532409</v>
      </c>
      <c r="K1348" s="12">
        <f t="shared" si="183"/>
        <v>98.530094387061951</v>
      </c>
      <c r="P1348" s="12"/>
      <c r="Q1348" s="12"/>
      <c r="R1348" s="12"/>
      <c r="S1348" s="12"/>
      <c r="V1348">
        <v>0.39770554493307803</v>
      </c>
      <c r="W1348" s="12"/>
      <c r="X1348" s="12"/>
      <c r="AY1348" t="str">
        <v>24/06/2019</v>
      </c>
      <c r="AZ1348">
        <v>55.2</v>
      </c>
      <c r="BA1348">
        <v>18.100000000000001</v>
      </c>
    </row>
    <row r="1349" spans="1:53" x14ac:dyDescent="0.3">
      <c r="A1349" s="11">
        <v>43568</v>
      </c>
      <c r="B1349">
        <v>0.44623655913978499</v>
      </c>
      <c r="C1349">
        <v>2907.41</v>
      </c>
      <c r="D1349">
        <v>122.67</v>
      </c>
      <c r="E1349">
        <v>1290.4000000000001</v>
      </c>
      <c r="F1349">
        <v>83.84</v>
      </c>
      <c r="G1349">
        <v>47.52</v>
      </c>
      <c r="H1349" s="12">
        <f t="shared" si="180"/>
        <v>97.29498493194744</v>
      </c>
      <c r="I1349" s="12">
        <f t="shared" si="181"/>
        <v>92.632625650464476</v>
      </c>
      <c r="J1349" s="12">
        <f t="shared" si="182"/>
        <v>99.802019245091415</v>
      </c>
      <c r="K1349" s="12">
        <f t="shared" si="183"/>
        <v>98.426345588293927</v>
      </c>
      <c r="P1349" s="12"/>
      <c r="Q1349" s="12"/>
      <c r="R1349" s="12"/>
      <c r="S1349" s="12"/>
      <c r="V1349">
        <v>0.391223155929038</v>
      </c>
      <c r="W1349" s="12"/>
      <c r="X1349" s="12"/>
      <c r="AY1349" t="str">
        <v>21/06/2019</v>
      </c>
      <c r="AZ1349">
        <v>53.3</v>
      </c>
      <c r="BA1349">
        <v>18.100000000000001</v>
      </c>
    </row>
    <row r="1350" spans="1:53" x14ac:dyDescent="0.3">
      <c r="A1350" s="11">
        <v>43567</v>
      </c>
      <c r="B1350">
        <v>0.44474393530997303</v>
      </c>
      <c r="C1350">
        <v>2888.32</v>
      </c>
      <c r="D1350">
        <v>123.55</v>
      </c>
      <c r="E1350">
        <v>1292.5999999999999</v>
      </c>
      <c r="F1350">
        <v>83.89</v>
      </c>
      <c r="G1350">
        <v>47.15</v>
      </c>
      <c r="H1350" s="12">
        <f t="shared" si="180"/>
        <v>95.97702829472442</v>
      </c>
      <c r="I1350" s="12">
        <f t="shared" si="181"/>
        <v>91.869067431648872</v>
      </c>
      <c r="J1350" s="12">
        <f t="shared" si="182"/>
        <v>99.088050497553368</v>
      </c>
      <c r="K1350" s="12">
        <f t="shared" si="183"/>
        <v>98.548340293685925</v>
      </c>
      <c r="P1350" s="12"/>
      <c r="Q1350" s="12"/>
      <c r="R1350" s="12"/>
      <c r="S1350" s="12"/>
      <c r="V1350">
        <v>0.39040451552210698</v>
      </c>
      <c r="W1350" s="12"/>
      <c r="X1350" s="12"/>
      <c r="AY1350" t="str">
        <v>20/06/2019</v>
      </c>
      <c r="AZ1350">
        <v>53.3</v>
      </c>
      <c r="BA1350">
        <v>18.100000000000001</v>
      </c>
    </row>
    <row r="1351" spans="1:53" x14ac:dyDescent="0.3">
      <c r="A1351" s="11">
        <v>43566</v>
      </c>
      <c r="B1351">
        <v>0.434540389972145</v>
      </c>
      <c r="C1351">
        <v>2888.21</v>
      </c>
      <c r="D1351">
        <v>124.28</v>
      </c>
      <c r="E1351">
        <v>1308.05</v>
      </c>
      <c r="F1351">
        <v>83.94</v>
      </c>
      <c r="G1351">
        <v>47.37</v>
      </c>
      <c r="H1351" s="12">
        <f t="shared" si="180"/>
        <v>95.412954620861967</v>
      </c>
      <c r="I1351" s="12">
        <f t="shared" si="181"/>
        <v>90.793207780413425</v>
      </c>
      <c r="J1351" s="12">
        <f t="shared" si="182"/>
        <v>99.02529327315078</v>
      </c>
      <c r="K1351" s="12">
        <f t="shared" si="183"/>
        <v>98.089050525895871</v>
      </c>
      <c r="P1351" s="12"/>
      <c r="Q1351" s="12"/>
      <c r="R1351" s="12"/>
      <c r="S1351" s="12"/>
      <c r="V1351">
        <v>0.397759103641457</v>
      </c>
      <c r="W1351" s="12"/>
      <c r="X1351" s="12"/>
      <c r="AY1351" t="str">
        <v>19/06/2019</v>
      </c>
      <c r="AZ1351">
        <v>53.3</v>
      </c>
      <c r="BA1351">
        <v>18.100000000000001</v>
      </c>
    </row>
    <row r="1352" spans="1:53" x14ac:dyDescent="0.3">
      <c r="A1352" s="11">
        <v>43565</v>
      </c>
      <c r="B1352">
        <v>0.44101123595505598</v>
      </c>
      <c r="C1352">
        <v>2878.2</v>
      </c>
      <c r="D1352">
        <v>123.98</v>
      </c>
      <c r="E1352">
        <v>1304.1400000000001</v>
      </c>
      <c r="F1352">
        <v>83.87</v>
      </c>
      <c r="G1352">
        <v>47.24</v>
      </c>
      <c r="H1352" s="12">
        <f t="shared" si="180"/>
        <v>95.312102693601844</v>
      </c>
      <c r="I1352" s="12">
        <f t="shared" si="181"/>
        <v>90.749673007782562</v>
      </c>
      <c r="J1352" s="12">
        <f t="shared" si="182"/>
        <v>98.764235389715509</v>
      </c>
      <c r="K1352" s="12">
        <f t="shared" si="183"/>
        <v>98.017893167323166</v>
      </c>
      <c r="P1352" s="12"/>
      <c r="Q1352" s="12"/>
      <c r="R1352" s="12"/>
      <c r="S1352" s="12"/>
      <c r="V1352">
        <v>0.39601139601139601</v>
      </c>
      <c r="W1352" s="12"/>
      <c r="X1352" s="12"/>
      <c r="AY1352" t="str">
        <v>18/06/2019</v>
      </c>
      <c r="AZ1352">
        <v>53.3</v>
      </c>
      <c r="BA1352">
        <v>18.100000000000001</v>
      </c>
    </row>
    <row r="1353" spans="1:53" x14ac:dyDescent="0.3">
      <c r="A1353" s="11">
        <v>43564</v>
      </c>
      <c r="B1353">
        <v>0.42979942693409701</v>
      </c>
      <c r="C1353">
        <v>2895.77</v>
      </c>
      <c r="D1353">
        <v>123.59</v>
      </c>
      <c r="E1353">
        <v>1297.42</v>
      </c>
      <c r="F1353">
        <v>83.86</v>
      </c>
      <c r="G1353">
        <v>47.4</v>
      </c>
      <c r="H1353" s="12">
        <f t="shared" si="180"/>
        <v>96.19935569465656</v>
      </c>
      <c r="I1353" s="12">
        <f t="shared" si="181"/>
        <v>91.781942768071161</v>
      </c>
      <c r="J1353" s="12">
        <f t="shared" si="182"/>
        <v>99.379065563072515</v>
      </c>
      <c r="K1353" s="12">
        <f t="shared" si="183"/>
        <v>98.282463997812286</v>
      </c>
      <c r="P1353" s="12"/>
      <c r="Q1353" s="12"/>
      <c r="R1353" s="12"/>
      <c r="S1353" s="12"/>
      <c r="V1353">
        <v>0.40019193857965502</v>
      </c>
      <c r="W1353" s="12"/>
      <c r="X1353" s="12"/>
      <c r="AY1353" t="str">
        <v>17/06/2019</v>
      </c>
      <c r="AZ1353">
        <v>53.3</v>
      </c>
      <c r="BA1353">
        <v>18.100000000000001</v>
      </c>
    </row>
    <row r="1354" spans="1:53" x14ac:dyDescent="0.3">
      <c r="A1354" s="11">
        <v>43561</v>
      </c>
      <c r="B1354">
        <v>0.43646408839779</v>
      </c>
      <c r="C1354">
        <v>2892.74</v>
      </c>
      <c r="D1354">
        <v>124.03</v>
      </c>
      <c r="E1354">
        <v>1290.1500000000001</v>
      </c>
      <c r="F1354">
        <v>83.88</v>
      </c>
      <c r="G1354">
        <v>47.38</v>
      </c>
      <c r="H1354" s="12">
        <f t="shared" si="180"/>
        <v>95.75934355583081</v>
      </c>
      <c r="I1354" s="12">
        <f t="shared" si="181"/>
        <v>92.204937886699796</v>
      </c>
      <c r="J1354" s="12">
        <f t="shared" si="182"/>
        <v>99.251439557886897</v>
      </c>
      <c r="K1354" s="12">
        <f t="shared" si="183"/>
        <v>98.221043355658239</v>
      </c>
      <c r="P1354" s="12"/>
      <c r="Q1354" s="12"/>
      <c r="R1354" s="12"/>
      <c r="S1354" s="12"/>
      <c r="V1354">
        <v>0.39309056956115801</v>
      </c>
      <c r="W1354" s="12"/>
      <c r="X1354" s="12"/>
      <c r="AY1354" t="str">
        <v>14/06/2019</v>
      </c>
      <c r="AZ1354">
        <v>50.5</v>
      </c>
      <c r="BA1354">
        <v>18.399999999999999</v>
      </c>
    </row>
    <row r="1355" spans="1:53" x14ac:dyDescent="0.3">
      <c r="A1355" s="11">
        <v>43560</v>
      </c>
      <c r="B1355">
        <v>0.45070422535211302</v>
      </c>
      <c r="C1355">
        <v>2879.39</v>
      </c>
      <c r="D1355">
        <v>123.87</v>
      </c>
      <c r="E1355">
        <v>1292.3800000000001</v>
      </c>
      <c r="F1355">
        <v>83.89</v>
      </c>
      <c r="G1355">
        <v>47.25</v>
      </c>
      <c r="H1355" s="12">
        <f t="shared" si="180"/>
        <v>95.44012288441165</v>
      </c>
      <c r="I1355" s="12">
        <f t="shared" si="181"/>
        <v>91.622047821265184</v>
      </c>
      <c r="J1355" s="12">
        <f t="shared" si="182"/>
        <v>98.781673195680398</v>
      </c>
      <c r="K1355" s="12">
        <f t="shared" si="183"/>
        <v>98.036237603849898</v>
      </c>
      <c r="P1355" s="12"/>
      <c r="Q1355" s="12"/>
      <c r="R1355" s="12"/>
      <c r="S1355" s="12"/>
      <c r="V1355">
        <v>0.39044943820224698</v>
      </c>
      <c r="W1355" s="12"/>
      <c r="X1355" s="12"/>
      <c r="AY1355" t="str">
        <v>13/06/2019</v>
      </c>
      <c r="AZ1355">
        <v>50.5</v>
      </c>
      <c r="BA1355">
        <v>18.399999999999999</v>
      </c>
    </row>
    <row r="1356" spans="1:53" x14ac:dyDescent="0.3">
      <c r="A1356" s="11">
        <v>43559</v>
      </c>
      <c r="B1356">
        <v>0.45244956772334299</v>
      </c>
      <c r="C1356">
        <v>2873.4</v>
      </c>
      <c r="D1356">
        <v>123.52</v>
      </c>
      <c r="E1356">
        <v>1289.9100000000001</v>
      </c>
      <c r="F1356">
        <v>83.87</v>
      </c>
      <c r="G1356">
        <v>47.21</v>
      </c>
      <c r="H1356" s="12">
        <f t="shared" si="180"/>
        <v>95.511652594029982</v>
      </c>
      <c r="I1356" s="12">
        <f t="shared" si="181"/>
        <v>91.606495225000273</v>
      </c>
      <c r="J1356" s="12">
        <f t="shared" si="182"/>
        <v>98.599641090305767</v>
      </c>
      <c r="K1356" s="12">
        <f t="shared" si="183"/>
        <v>97.915081370524689</v>
      </c>
      <c r="P1356" s="12"/>
      <c r="Q1356" s="12"/>
      <c r="R1356" s="12"/>
      <c r="S1356" s="12"/>
      <c r="V1356">
        <v>0.39215686274509798</v>
      </c>
      <c r="W1356" s="12"/>
      <c r="X1356" s="12"/>
      <c r="AY1356" t="str">
        <v>12/06/2019</v>
      </c>
      <c r="AZ1356">
        <v>50.5</v>
      </c>
      <c r="BA1356">
        <v>18.399999999999999</v>
      </c>
    </row>
    <row r="1357" spans="1:53" x14ac:dyDescent="0.3">
      <c r="A1357" s="11">
        <v>43558</v>
      </c>
      <c r="B1357">
        <v>0.464497041420118</v>
      </c>
      <c r="C1357">
        <v>2867.24</v>
      </c>
      <c r="D1357">
        <v>124.6</v>
      </c>
      <c r="E1357">
        <v>1293.1500000000001</v>
      </c>
      <c r="F1357">
        <v>83.91</v>
      </c>
      <c r="G1357">
        <v>46.88</v>
      </c>
      <c r="H1357" s="12">
        <f t="shared" si="180"/>
        <v>94.489639024859741</v>
      </c>
      <c r="I1357" s="12">
        <f t="shared" si="181"/>
        <v>91.182141078499242</v>
      </c>
      <c r="J1357" s="12">
        <f t="shared" si="182"/>
        <v>98.341483999648858</v>
      </c>
      <c r="K1357" s="12">
        <f t="shared" si="183"/>
        <v>98.396322198284736</v>
      </c>
      <c r="P1357" s="12"/>
      <c r="Q1357" s="12"/>
      <c r="R1357" s="12"/>
      <c r="S1357" s="12"/>
      <c r="V1357">
        <v>0.39130434782608697</v>
      </c>
      <c r="W1357" s="12"/>
      <c r="X1357" s="12"/>
      <c r="AY1357" t="str">
        <v>11/06/2019</v>
      </c>
      <c r="AZ1357">
        <v>50.5</v>
      </c>
      <c r="BA1357">
        <v>18.399999999999999</v>
      </c>
    </row>
    <row r="1358" spans="1:53" x14ac:dyDescent="0.3">
      <c r="A1358" s="11">
        <v>43557</v>
      </c>
      <c r="B1358">
        <v>0.46646341463414598</v>
      </c>
      <c r="C1358">
        <v>2867.19</v>
      </c>
      <c r="D1358">
        <v>124.37</v>
      </c>
      <c r="E1358">
        <v>1287.67</v>
      </c>
      <c r="F1358">
        <v>83.87</v>
      </c>
      <c r="G1358">
        <v>46.88</v>
      </c>
      <c r="H1358" s="12">
        <f t="shared" si="180"/>
        <v>94.663050553655026</v>
      </c>
      <c r="I1358" s="12">
        <f t="shared" si="181"/>
        <v>91.570244167254245</v>
      </c>
      <c r="J1358" s="12">
        <f t="shared" si="182"/>
        <v>98.386691691075654</v>
      </c>
      <c r="K1358" s="12">
        <f t="shared" si="183"/>
        <v>98.394606326537044</v>
      </c>
      <c r="P1358" s="12"/>
      <c r="Q1358" s="12"/>
      <c r="R1358" s="12"/>
      <c r="S1358" s="12"/>
      <c r="V1358">
        <v>0.39541547277937</v>
      </c>
      <c r="W1358" s="12"/>
      <c r="X1358" s="12"/>
      <c r="AY1358" t="str">
        <v>10/06/2019</v>
      </c>
      <c r="AZ1358">
        <v>50.5</v>
      </c>
      <c r="BA1358">
        <v>18.399999999999999</v>
      </c>
    </row>
    <row r="1359" spans="1:53" x14ac:dyDescent="0.3">
      <c r="A1359" s="11">
        <v>43554</v>
      </c>
      <c r="B1359">
        <v>0.44545454545454499</v>
      </c>
      <c r="C1359">
        <v>2834.4</v>
      </c>
      <c r="D1359">
        <v>126.44</v>
      </c>
      <c r="E1359">
        <v>1292.1500000000001</v>
      </c>
      <c r="F1359">
        <v>84.12</v>
      </c>
      <c r="G1359">
        <v>46.27</v>
      </c>
      <c r="H1359" s="12">
        <f t="shared" si="180"/>
        <v>92.090055561656811</v>
      </c>
      <c r="I1359" s="12">
        <f t="shared" si="181"/>
        <v>90.213818451321018</v>
      </c>
      <c r="J1359" s="12">
        <f t="shared" si="182"/>
        <v>96.976600446870833</v>
      </c>
      <c r="K1359" s="12">
        <f t="shared" si="183"/>
        <v>98.55376101963374</v>
      </c>
      <c r="P1359" s="12"/>
      <c r="Q1359" s="12"/>
      <c r="R1359" s="12"/>
      <c r="S1359" s="12"/>
      <c r="V1359">
        <v>0.39364773820981702</v>
      </c>
      <c r="W1359" s="12"/>
      <c r="X1359" s="12"/>
      <c r="AY1359" t="str">
        <v>07/06/2019</v>
      </c>
      <c r="AZ1359">
        <v>48.1</v>
      </c>
      <c r="BA1359">
        <v>18.3</v>
      </c>
    </row>
    <row r="1360" spans="1:53" x14ac:dyDescent="0.3">
      <c r="A1360" s="11">
        <v>43553</v>
      </c>
      <c r="B1360">
        <v>0.43312101910827999</v>
      </c>
      <c r="C1360">
        <v>2815.44</v>
      </c>
      <c r="D1360">
        <v>126.56</v>
      </c>
      <c r="E1360">
        <v>1290.5</v>
      </c>
      <c r="F1360">
        <v>84.17</v>
      </c>
      <c r="G1360">
        <v>46</v>
      </c>
      <c r="H1360" s="12">
        <f t="shared" si="180"/>
        <v>91.38797107193534</v>
      </c>
      <c r="I1360" s="12">
        <f t="shared" si="181"/>
        <v>89.724307790699086</v>
      </c>
      <c r="J1360" s="12">
        <f t="shared" si="182"/>
        <v>96.271094135076765</v>
      </c>
      <c r="K1360" s="12">
        <f t="shared" si="183"/>
        <v>98.468612400767029</v>
      </c>
      <c r="P1360" s="12"/>
      <c r="Q1360" s="12"/>
      <c r="R1360" s="12"/>
      <c r="S1360" s="12"/>
      <c r="V1360">
        <v>0.39229249011857698</v>
      </c>
      <c r="W1360" s="12"/>
      <c r="X1360" s="12"/>
      <c r="AY1360" t="str">
        <v>06/06/2019</v>
      </c>
      <c r="AZ1360">
        <v>48.1</v>
      </c>
      <c r="BA1360">
        <v>18.3</v>
      </c>
    </row>
    <row r="1361" spans="1:53" x14ac:dyDescent="0.3">
      <c r="A1361" s="11">
        <v>43552</v>
      </c>
      <c r="B1361">
        <v>0.44267515923566902</v>
      </c>
      <c r="C1361">
        <v>2805.37</v>
      </c>
      <c r="D1361">
        <v>126.12</v>
      </c>
      <c r="E1361">
        <v>1309.78</v>
      </c>
      <c r="F1361">
        <v>84.18</v>
      </c>
      <c r="G1361">
        <v>45.96</v>
      </c>
      <c r="H1361" s="12">
        <f t="shared" si="180"/>
        <v>91.378759777100939</v>
      </c>
      <c r="I1361" s="12">
        <f t="shared" si="181"/>
        <v>88.111032353902004</v>
      </c>
      <c r="J1361" s="12">
        <f t="shared" si="182"/>
        <v>95.91540744235823</v>
      </c>
      <c r="K1361" s="12">
        <f t="shared" si="183"/>
        <v>98.201580471384915</v>
      </c>
      <c r="P1361" s="12"/>
      <c r="Q1361" s="12"/>
      <c r="R1361" s="12"/>
      <c r="S1361" s="12"/>
      <c r="V1361">
        <v>0.39405940594059402</v>
      </c>
      <c r="W1361" s="12"/>
      <c r="X1361" s="12"/>
      <c r="AY1361" t="str">
        <v>05/06/2019</v>
      </c>
      <c r="AZ1361">
        <v>48.1</v>
      </c>
      <c r="BA1361">
        <v>18.3</v>
      </c>
    </row>
    <row r="1362" spans="1:53" x14ac:dyDescent="0.3">
      <c r="A1362" s="11">
        <v>43551</v>
      </c>
      <c r="B1362">
        <v>0.4375</v>
      </c>
      <c r="C1362">
        <v>2818.46</v>
      </c>
      <c r="D1362">
        <v>124.97</v>
      </c>
      <c r="E1362">
        <v>1315.51</v>
      </c>
      <c r="F1362">
        <v>84.11</v>
      </c>
      <c r="G1362">
        <v>46.12</v>
      </c>
      <c r="H1362" s="12">
        <f t="shared" si="180"/>
        <v>92.661809753709832</v>
      </c>
      <c r="I1362" s="12">
        <f t="shared" si="181"/>
        <v>88.136473397182399</v>
      </c>
      <c r="J1362" s="12">
        <f t="shared" si="182"/>
        <v>96.443592713235532</v>
      </c>
      <c r="K1362" s="12">
        <f t="shared" si="183"/>
        <v>98.317119752814335</v>
      </c>
      <c r="P1362" s="12"/>
      <c r="Q1362" s="12"/>
      <c r="R1362" s="12"/>
      <c r="S1362" s="12"/>
      <c r="V1362">
        <v>0.39177277179235998</v>
      </c>
      <c r="W1362" s="12"/>
      <c r="X1362" s="12"/>
      <c r="AY1362" t="str">
        <v>04/06/2019</v>
      </c>
      <c r="AZ1362">
        <v>48.1</v>
      </c>
      <c r="BA1362">
        <v>18.3</v>
      </c>
    </row>
    <row r="1363" spans="1:53" x14ac:dyDescent="0.3">
      <c r="A1363" s="11">
        <v>43550</v>
      </c>
      <c r="B1363">
        <v>0.43613707165109</v>
      </c>
      <c r="C1363">
        <v>2798.36</v>
      </c>
      <c r="D1363">
        <v>125.06</v>
      </c>
      <c r="E1363">
        <v>1321.9</v>
      </c>
      <c r="F1363">
        <v>84.12</v>
      </c>
      <c r="G1363">
        <v>45.9</v>
      </c>
      <c r="H1363" s="12">
        <f t="shared" si="180"/>
        <v>91.935297222445485</v>
      </c>
      <c r="I1363" s="12">
        <f t="shared" si="181"/>
        <v>87.089937169980814</v>
      </c>
      <c r="J1363" s="12">
        <f t="shared" si="182"/>
        <v>95.74449928890256</v>
      </c>
      <c r="K1363" s="12">
        <f t="shared" si="183"/>
        <v>98.082726541163296</v>
      </c>
      <c r="P1363" s="12"/>
      <c r="Q1363" s="12"/>
      <c r="R1363" s="12"/>
      <c r="S1363" s="12"/>
      <c r="V1363">
        <v>0.38856015779092701</v>
      </c>
      <c r="W1363" s="12"/>
      <c r="X1363" s="12"/>
      <c r="AY1363" t="str">
        <v>03/06/2019</v>
      </c>
      <c r="AZ1363">
        <v>48.1</v>
      </c>
      <c r="BA1363">
        <v>18.3</v>
      </c>
    </row>
    <row r="1364" spans="1:53" x14ac:dyDescent="0.3">
      <c r="A1364" s="11">
        <v>43547</v>
      </c>
      <c r="B1364">
        <v>0.44794952681388001</v>
      </c>
      <c r="C1364">
        <v>2800.71</v>
      </c>
      <c r="D1364">
        <v>124.86</v>
      </c>
      <c r="E1364">
        <v>1313.38</v>
      </c>
      <c r="F1364">
        <v>84.03</v>
      </c>
      <c r="G1364">
        <v>45.83</v>
      </c>
      <c r="H1364" s="12">
        <f t="shared" si="180"/>
        <v>92.160248126999647</v>
      </c>
      <c r="I1364" s="12">
        <f t="shared" si="181"/>
        <v>87.732680127744104</v>
      </c>
      <c r="J1364" s="12">
        <f t="shared" si="182"/>
        <v>95.927732674126617</v>
      </c>
      <c r="K1364" s="12">
        <f t="shared" si="183"/>
        <v>98.315385650057493</v>
      </c>
      <c r="P1364" s="12"/>
      <c r="Q1364" s="12"/>
      <c r="R1364" s="12"/>
      <c r="S1364" s="12"/>
      <c r="V1364">
        <v>0.39002932551319602</v>
      </c>
      <c r="W1364" s="12"/>
      <c r="X1364" s="12"/>
      <c r="AY1364" t="str">
        <v>31/05/2019</v>
      </c>
      <c r="AZ1364">
        <v>42.7</v>
      </c>
      <c r="BA1364">
        <v>18.5</v>
      </c>
    </row>
    <row r="1365" spans="1:53" x14ac:dyDescent="0.3">
      <c r="A1365" s="11">
        <v>43546</v>
      </c>
      <c r="B1365">
        <v>0.45283018867924502</v>
      </c>
      <c r="C1365">
        <v>2854.88</v>
      </c>
      <c r="D1365">
        <v>122.95</v>
      </c>
      <c r="E1365">
        <v>1309.3900000000001</v>
      </c>
      <c r="F1365">
        <v>83.89</v>
      </c>
      <c r="G1365">
        <v>46.87</v>
      </c>
      <c r="H1365" s="12">
        <f t="shared" si="180"/>
        <v>95.454309338880321</v>
      </c>
      <c r="I1365" s="12">
        <f t="shared" si="181"/>
        <v>89.708211787037698</v>
      </c>
      <c r="J1365" s="12">
        <f t="shared" si="182"/>
        <v>97.949746501704112</v>
      </c>
      <c r="K1365" s="12">
        <f t="shared" si="183"/>
        <v>98.000362927679333</v>
      </c>
      <c r="P1365" s="12"/>
      <c r="Q1365" s="12"/>
      <c r="R1365" s="12"/>
      <c r="S1365" s="12"/>
      <c r="V1365">
        <v>0.377268385864374</v>
      </c>
      <c r="W1365" s="12"/>
      <c r="X1365" s="12"/>
      <c r="AY1365" t="str">
        <v>30/05/2019</v>
      </c>
      <c r="AZ1365">
        <v>42.7</v>
      </c>
      <c r="BA1365">
        <v>18.5</v>
      </c>
    </row>
    <row r="1366" spans="1:53" x14ac:dyDescent="0.3">
      <c r="A1366" s="11">
        <v>43545</v>
      </c>
      <c r="B1366">
        <v>0.43167701863354002</v>
      </c>
      <c r="C1366">
        <v>2824.23</v>
      </c>
      <c r="D1366">
        <v>122.68</v>
      </c>
      <c r="E1366">
        <v>1312.49</v>
      </c>
      <c r="F1366">
        <v>83.89</v>
      </c>
      <c r="G1366">
        <v>46.84</v>
      </c>
      <c r="H1366" s="12">
        <f t="shared" si="180"/>
        <v>94.635553962135731</v>
      </c>
      <c r="I1366" s="12">
        <f t="shared" si="181"/>
        <v>88.538228824127543</v>
      </c>
      <c r="J1366" s="12">
        <f t="shared" si="182"/>
        <v>96.898157737806073</v>
      </c>
      <c r="K1366" s="12">
        <f t="shared" si="183"/>
        <v>97.009696287895764</v>
      </c>
      <c r="P1366" s="12"/>
      <c r="Q1366" s="12"/>
      <c r="R1366" s="12"/>
      <c r="S1366" s="12"/>
      <c r="V1366">
        <v>0.37082936129647298</v>
      </c>
      <c r="W1366" s="12"/>
      <c r="X1366" s="12"/>
      <c r="AY1366" t="str">
        <v>29/05/2019</v>
      </c>
      <c r="AZ1366">
        <v>42.7</v>
      </c>
      <c r="BA1366">
        <v>18.5</v>
      </c>
    </row>
    <row r="1367" spans="1:53" x14ac:dyDescent="0.3">
      <c r="A1367" s="11">
        <v>43544</v>
      </c>
      <c r="B1367">
        <v>0.437308868501529</v>
      </c>
      <c r="C1367">
        <v>2832.57</v>
      </c>
      <c r="D1367">
        <v>121.41</v>
      </c>
      <c r="E1367">
        <v>1306.55</v>
      </c>
      <c r="F1367">
        <v>83.77</v>
      </c>
      <c r="G1367">
        <v>46.82</v>
      </c>
      <c r="H1367" s="12">
        <f t="shared" si="180"/>
        <v>95.921355367366559</v>
      </c>
      <c r="I1367" s="12">
        <f t="shared" si="181"/>
        <v>89.206442791502624</v>
      </c>
      <c r="J1367" s="12">
        <f t="shared" si="182"/>
        <v>97.324127573516179</v>
      </c>
      <c r="K1367" s="12">
        <f t="shared" si="183"/>
        <v>97.33786999419786</v>
      </c>
      <c r="P1367" s="12"/>
      <c r="Q1367" s="12"/>
      <c r="R1367" s="12"/>
      <c r="S1367" s="12"/>
      <c r="V1367">
        <v>0.382436260623229</v>
      </c>
      <c r="W1367" s="12"/>
      <c r="X1367" s="12"/>
      <c r="AY1367" t="str">
        <v>28/05/2019</v>
      </c>
      <c r="AZ1367">
        <v>42.7</v>
      </c>
      <c r="BA1367">
        <v>18.5</v>
      </c>
    </row>
    <row r="1368" spans="1:53" x14ac:dyDescent="0.3">
      <c r="A1368" s="11">
        <v>43543</v>
      </c>
      <c r="B1368">
        <v>0.42857142857142899</v>
      </c>
      <c r="C1368">
        <v>2832.94</v>
      </c>
      <c r="D1368">
        <v>121.68</v>
      </c>
      <c r="E1368">
        <v>1303.68</v>
      </c>
      <c r="F1368">
        <v>83.78</v>
      </c>
      <c r="G1368">
        <v>46.78</v>
      </c>
      <c r="H1368" s="12">
        <f t="shared" si="180"/>
        <v>95.721457515295938</v>
      </c>
      <c r="I1368" s="12">
        <f t="shared" si="181"/>
        <v>89.414964465815402</v>
      </c>
      <c r="J1368" s="12">
        <f t="shared" si="182"/>
        <v>97.32522210633249</v>
      </c>
      <c r="K1368" s="12">
        <f t="shared" si="183"/>
        <v>97.433907930885226</v>
      </c>
      <c r="P1368" s="12"/>
      <c r="Q1368" s="12"/>
      <c r="R1368" s="12"/>
      <c r="S1368" s="12"/>
      <c r="V1368">
        <v>0.38099717779868297</v>
      </c>
      <c r="W1368" s="12"/>
      <c r="X1368" s="12"/>
      <c r="AY1368" t="str">
        <v>27/05/2019</v>
      </c>
      <c r="AZ1368">
        <v>42.7</v>
      </c>
      <c r="BA1368">
        <v>18.5</v>
      </c>
    </row>
    <row r="1369" spans="1:53" x14ac:dyDescent="0.3">
      <c r="A1369" s="11">
        <v>43540</v>
      </c>
      <c r="B1369">
        <v>0.43695014662756598</v>
      </c>
      <c r="C1369">
        <v>2822.48</v>
      </c>
      <c r="D1369">
        <v>121.75</v>
      </c>
      <c r="E1369">
        <v>1301.3800000000001</v>
      </c>
      <c r="F1369">
        <v>83.8</v>
      </c>
      <c r="G1369">
        <v>46.47</v>
      </c>
      <c r="H1369" s="12">
        <f t="shared" si="180"/>
        <v>95.313429361436164</v>
      </c>
      <c r="I1369" s="12">
        <f t="shared" si="181"/>
        <v>89.241959462296521</v>
      </c>
      <c r="J1369" s="12">
        <f t="shared" si="182"/>
        <v>96.942819116042159</v>
      </c>
      <c r="K1369" s="12">
        <f t="shared" si="183"/>
        <v>97.723659539425668</v>
      </c>
      <c r="P1369" s="12"/>
      <c r="Q1369" s="12"/>
      <c r="R1369" s="12"/>
      <c r="S1369" s="12"/>
      <c r="V1369">
        <v>0.38108614232209698</v>
      </c>
      <c r="W1369" s="12"/>
      <c r="X1369" s="12"/>
      <c r="AY1369" t="str">
        <v>24/05/2019</v>
      </c>
      <c r="AZ1369">
        <v>49</v>
      </c>
      <c r="BA1369">
        <v>17.3</v>
      </c>
    </row>
    <row r="1370" spans="1:53" x14ac:dyDescent="0.3">
      <c r="A1370" s="11">
        <v>43539</v>
      </c>
      <c r="B1370">
        <v>0.418879056047198</v>
      </c>
      <c r="C1370">
        <v>2808.48</v>
      </c>
      <c r="D1370">
        <v>120.95</v>
      </c>
      <c r="E1370">
        <v>1296.28</v>
      </c>
      <c r="F1370">
        <v>83.77</v>
      </c>
      <c r="G1370">
        <v>45.96</v>
      </c>
      <c r="H1370" s="12">
        <f t="shared" si="180"/>
        <v>95.468986582166849</v>
      </c>
      <c r="I1370" s="12">
        <f t="shared" si="181"/>
        <v>89.148303135305497</v>
      </c>
      <c r="J1370" s="12">
        <f t="shared" si="182"/>
        <v>96.496351780323607</v>
      </c>
      <c r="K1370" s="12">
        <f t="shared" si="183"/>
        <v>98.324590220505456</v>
      </c>
      <c r="P1370" s="12"/>
      <c r="Q1370" s="12"/>
      <c r="R1370" s="12"/>
      <c r="S1370" s="12"/>
      <c r="V1370">
        <v>0.37023255813953498</v>
      </c>
      <c r="W1370" s="12"/>
      <c r="X1370" s="12"/>
      <c r="AY1370" t="str">
        <v>23/05/2019</v>
      </c>
      <c r="AZ1370">
        <v>49</v>
      </c>
      <c r="BA1370">
        <v>17.3</v>
      </c>
    </row>
    <row r="1371" spans="1:53" x14ac:dyDescent="0.3">
      <c r="A1371" s="11">
        <v>43538</v>
      </c>
      <c r="B1371">
        <v>0.42559523809523803</v>
      </c>
      <c r="C1371">
        <v>2810.92</v>
      </c>
      <c r="D1371">
        <v>121.83</v>
      </c>
      <c r="E1371">
        <v>1309.18</v>
      </c>
      <c r="F1371">
        <v>83.75</v>
      </c>
      <c r="G1371">
        <v>46.05</v>
      </c>
      <c r="H1371" s="12">
        <f t="shared" si="180"/>
        <v>94.86609955718346</v>
      </c>
      <c r="I1371" s="12">
        <f t="shared" si="181"/>
        <v>88.354398847842987</v>
      </c>
      <c r="J1371" s="12">
        <f t="shared" si="182"/>
        <v>96.603277037630136</v>
      </c>
      <c r="K1371" s="12">
        <f t="shared" si="183"/>
        <v>98.217890803180637</v>
      </c>
      <c r="P1371" s="12"/>
      <c r="Q1371" s="12"/>
      <c r="R1371" s="12"/>
      <c r="S1371" s="12"/>
      <c r="V1371">
        <v>0.37430167597765401</v>
      </c>
      <c r="W1371" s="12"/>
      <c r="X1371" s="12"/>
      <c r="AY1371" t="str">
        <v>22/05/2019</v>
      </c>
      <c r="AZ1371">
        <v>49</v>
      </c>
      <c r="BA1371">
        <v>17.3</v>
      </c>
    </row>
    <row r="1372" spans="1:53" x14ac:dyDescent="0.3">
      <c r="A1372" s="11">
        <v>43537</v>
      </c>
      <c r="B1372">
        <v>0.42285714285714299</v>
      </c>
      <c r="C1372">
        <v>2791.52</v>
      </c>
      <c r="D1372">
        <v>122.06</v>
      </c>
      <c r="E1372">
        <v>1301.5999999999999</v>
      </c>
      <c r="F1372">
        <v>83.74</v>
      </c>
      <c r="G1372">
        <v>45.795000000000002</v>
      </c>
      <c r="H1372" s="12">
        <f t="shared" si="180"/>
        <v>94.035396689922521</v>
      </c>
      <c r="I1372" s="12">
        <f t="shared" si="181"/>
        <v>88.255022181526883</v>
      </c>
      <c r="J1372" s="12">
        <f t="shared" si="182"/>
        <v>95.947933309848125</v>
      </c>
      <c r="K1372" s="12">
        <f t="shared" si="183"/>
        <v>98.082407086526942</v>
      </c>
      <c r="P1372" s="12"/>
      <c r="Q1372" s="12"/>
      <c r="R1372" s="12"/>
      <c r="S1372" s="12"/>
      <c r="V1372">
        <v>0.36558139534883699</v>
      </c>
      <c r="W1372" s="12"/>
      <c r="X1372" s="12"/>
      <c r="AY1372" t="str">
        <v>21/05/2019</v>
      </c>
      <c r="AZ1372">
        <v>49</v>
      </c>
      <c r="BA1372">
        <v>17.3</v>
      </c>
    </row>
    <row r="1373" spans="1:53" x14ac:dyDescent="0.3">
      <c r="A1373" s="11">
        <v>43536</v>
      </c>
      <c r="B1373">
        <v>0.41899441340782101</v>
      </c>
      <c r="C1373">
        <v>2783.3</v>
      </c>
      <c r="D1373">
        <v>121.21</v>
      </c>
      <c r="E1373">
        <v>1293.6099999999999</v>
      </c>
      <c r="F1373">
        <v>83.71</v>
      </c>
      <c r="G1373">
        <v>45.73</v>
      </c>
      <c r="H1373" s="12">
        <f t="shared" si="180"/>
        <v>94.418669824022018</v>
      </c>
      <c r="I1373" s="12">
        <f t="shared" si="181"/>
        <v>88.540404284920896</v>
      </c>
      <c r="J1373" s="12">
        <f t="shared" si="182"/>
        <v>95.699597766809745</v>
      </c>
      <c r="K1373" s="12">
        <f t="shared" si="183"/>
        <v>97.93238032234953</v>
      </c>
      <c r="P1373" s="12"/>
      <c r="Q1373" s="12"/>
      <c r="R1373" s="12"/>
      <c r="S1373" s="12"/>
      <c r="V1373">
        <v>0.37095282146161002</v>
      </c>
      <c r="W1373" s="12"/>
      <c r="X1373" s="12"/>
      <c r="AY1373" t="str">
        <v>20/05/2019</v>
      </c>
      <c r="AZ1373">
        <v>49</v>
      </c>
      <c r="BA1373">
        <v>17.3</v>
      </c>
    </row>
    <row r="1374" spans="1:53" x14ac:dyDescent="0.3">
      <c r="A1374" s="11">
        <v>43533</v>
      </c>
      <c r="B1374">
        <v>0.41551246537396103</v>
      </c>
      <c r="C1374">
        <v>2743.07</v>
      </c>
      <c r="D1374">
        <v>121.57</v>
      </c>
      <c r="E1374">
        <v>1299.2750000000001</v>
      </c>
      <c r="F1374">
        <v>83.73</v>
      </c>
      <c r="G1374">
        <v>45.19</v>
      </c>
      <c r="H1374" s="12">
        <f t="shared" si="180"/>
        <v>92.783152775896923</v>
      </c>
      <c r="I1374" s="12">
        <f t="shared" si="181"/>
        <v>86.887271993132956</v>
      </c>
      <c r="J1374" s="12">
        <f t="shared" si="182"/>
        <v>94.294151699152422</v>
      </c>
      <c r="K1374" s="12">
        <f t="shared" si="183"/>
        <v>97.667067441264564</v>
      </c>
      <c r="P1374" s="12"/>
      <c r="Q1374" s="12"/>
      <c r="R1374" s="12"/>
      <c r="S1374" s="12"/>
      <c r="V1374">
        <v>0.36861652739090101</v>
      </c>
      <c r="W1374" s="12"/>
      <c r="X1374" s="12"/>
      <c r="AY1374" t="str">
        <v>17/05/2019</v>
      </c>
      <c r="AZ1374">
        <v>49.5</v>
      </c>
      <c r="BA1374">
        <v>17.2</v>
      </c>
    </row>
    <row r="1375" spans="1:53" x14ac:dyDescent="0.3">
      <c r="A1375" s="11">
        <v>43532</v>
      </c>
      <c r="B1375">
        <v>0.410810810810811</v>
      </c>
      <c r="C1375">
        <v>2748.93</v>
      </c>
      <c r="D1375">
        <v>121.06</v>
      </c>
      <c r="E1375">
        <v>1285.78</v>
      </c>
      <c r="F1375">
        <v>83.7</v>
      </c>
      <c r="G1375">
        <v>45.27</v>
      </c>
      <c r="H1375" s="12">
        <f t="shared" si="180"/>
        <v>93.375576509490685</v>
      </c>
      <c r="I1375" s="12">
        <f t="shared" si="181"/>
        <v>87.998456059049573</v>
      </c>
      <c r="J1375" s="12">
        <f t="shared" si="182"/>
        <v>94.529545531216542</v>
      </c>
      <c r="K1375" s="12">
        <f t="shared" si="183"/>
        <v>97.702686304009148</v>
      </c>
      <c r="P1375" s="12"/>
      <c r="Q1375" s="12"/>
      <c r="R1375" s="12"/>
      <c r="S1375" s="12"/>
      <c r="V1375">
        <v>0.37395348837209302</v>
      </c>
      <c r="W1375" s="12"/>
      <c r="X1375" s="12"/>
      <c r="AY1375" t="str">
        <v>16/05/2019</v>
      </c>
      <c r="AZ1375">
        <v>49.5</v>
      </c>
      <c r="BA1375">
        <v>17.2</v>
      </c>
    </row>
    <row r="1376" spans="1:53" x14ac:dyDescent="0.3">
      <c r="A1376" s="11">
        <v>43531</v>
      </c>
      <c r="B1376">
        <v>0.41688654353561999</v>
      </c>
      <c r="C1376">
        <v>2771.45</v>
      </c>
      <c r="D1376">
        <v>120.28</v>
      </c>
      <c r="E1376">
        <v>1286.3900000000001</v>
      </c>
      <c r="F1376">
        <v>83.63</v>
      </c>
      <c r="G1376">
        <v>45.96</v>
      </c>
      <c r="H1376" s="12">
        <f t="shared" si="180"/>
        <v>94.760076087983876</v>
      </c>
      <c r="I1376" s="12">
        <f t="shared" si="181"/>
        <v>88.676969231669375</v>
      </c>
      <c r="J1376" s="12">
        <f t="shared" si="182"/>
        <v>95.38445066368142</v>
      </c>
      <c r="K1376" s="12">
        <f t="shared" si="183"/>
        <v>97.034377124093254</v>
      </c>
      <c r="P1376" s="12"/>
      <c r="Q1376" s="12"/>
      <c r="R1376" s="12"/>
      <c r="S1376" s="12"/>
      <c r="V1376">
        <v>0.36363636363636398</v>
      </c>
      <c r="W1376" s="12"/>
      <c r="X1376" s="12"/>
      <c r="AY1376" t="str">
        <v>15/05/2019</v>
      </c>
      <c r="AZ1376">
        <v>49.5</v>
      </c>
      <c r="BA1376">
        <v>17.2</v>
      </c>
    </row>
    <row r="1377" spans="1:53" x14ac:dyDescent="0.3">
      <c r="A1377" s="11">
        <v>43530</v>
      </c>
      <c r="B1377">
        <v>0.41131105398457601</v>
      </c>
      <c r="C1377">
        <v>2789.65</v>
      </c>
      <c r="D1377">
        <v>119.84</v>
      </c>
      <c r="E1377">
        <v>1287.83</v>
      </c>
      <c r="F1377">
        <v>83.57</v>
      </c>
      <c r="G1377">
        <v>46.13</v>
      </c>
      <c r="H1377" s="12">
        <f t="shared" si="180"/>
        <v>95.736171264228489</v>
      </c>
      <c r="I1377" s="12">
        <f t="shared" si="181"/>
        <v>89.158958632169316</v>
      </c>
      <c r="J1377" s="12">
        <f t="shared" si="182"/>
        <v>96.080271379439282</v>
      </c>
      <c r="K1377" s="12">
        <f t="shared" si="183"/>
        <v>97.310630185385619</v>
      </c>
      <c r="P1377" s="12"/>
      <c r="Q1377" s="12"/>
      <c r="R1377" s="12"/>
      <c r="S1377" s="12"/>
      <c r="V1377">
        <v>0.36421435059037199</v>
      </c>
      <c r="W1377" s="12"/>
      <c r="X1377" s="12"/>
      <c r="AY1377" t="str">
        <v>14/05/2019</v>
      </c>
      <c r="AZ1377">
        <v>49.5</v>
      </c>
      <c r="BA1377">
        <v>17.2</v>
      </c>
    </row>
    <row r="1378" spans="1:53" x14ac:dyDescent="0.3">
      <c r="A1378" s="11">
        <v>43529</v>
      </c>
      <c r="B1378">
        <v>0.40609137055837602</v>
      </c>
      <c r="C1378">
        <v>2792.81</v>
      </c>
      <c r="D1378">
        <v>119.59</v>
      </c>
      <c r="E1378">
        <v>1286.8399999999999</v>
      </c>
      <c r="F1378">
        <v>83.56</v>
      </c>
      <c r="G1378">
        <v>45.98</v>
      </c>
      <c r="H1378" s="12">
        <f t="shared" si="180"/>
        <v>96.045625726583509</v>
      </c>
      <c r="I1378" s="12">
        <f t="shared" si="181"/>
        <v>89.328755025542605</v>
      </c>
      <c r="J1378" s="12">
        <f t="shared" si="182"/>
        <v>96.200632934574173</v>
      </c>
      <c r="K1378" s="12">
        <f t="shared" si="183"/>
        <v>97.740077100674171</v>
      </c>
      <c r="P1378" s="12"/>
      <c r="Q1378" s="12"/>
      <c r="R1378" s="12"/>
      <c r="S1378" s="12"/>
      <c r="V1378">
        <v>0.35727272727272702</v>
      </c>
      <c r="W1378" s="12"/>
      <c r="X1378" s="12"/>
      <c r="AY1378" t="str">
        <v>13/05/2019</v>
      </c>
      <c r="AZ1378">
        <v>49.5</v>
      </c>
      <c r="BA1378">
        <v>17.2</v>
      </c>
    </row>
    <row r="1379" spans="1:53" x14ac:dyDescent="0.3">
      <c r="A1379" s="11">
        <v>43526</v>
      </c>
      <c r="B1379">
        <v>0.39698492462311602</v>
      </c>
      <c r="C1379">
        <v>2803.69</v>
      </c>
      <c r="D1379">
        <v>118.66</v>
      </c>
      <c r="E1379">
        <v>1292.7650000000001</v>
      </c>
      <c r="F1379">
        <v>83.54</v>
      </c>
      <c r="G1379">
        <v>46.07</v>
      </c>
      <c r="H1379" s="12">
        <f t="shared" si="180"/>
        <v>97.18444463030454</v>
      </c>
      <c r="I1379" s="12">
        <f t="shared" si="181"/>
        <v>89.266036764608941</v>
      </c>
      <c r="J1379" s="12">
        <f t="shared" si="182"/>
        <v>96.598619874556903</v>
      </c>
      <c r="K1379" s="12">
        <f t="shared" si="183"/>
        <v>97.928790900741674</v>
      </c>
      <c r="P1379" s="12"/>
      <c r="Q1379" s="12"/>
      <c r="R1379" s="12"/>
      <c r="S1379" s="12"/>
      <c r="V1379">
        <v>0.356498194945848</v>
      </c>
      <c r="W1379" s="12"/>
      <c r="X1379" s="12"/>
      <c r="AY1379" t="str">
        <v>10/05/2019</v>
      </c>
      <c r="AZ1379">
        <v>51.4</v>
      </c>
      <c r="BA1379">
        <v>17.5</v>
      </c>
    </row>
    <row r="1380" spans="1:53" x14ac:dyDescent="0.3">
      <c r="A1380" s="11">
        <v>43524</v>
      </c>
      <c r="B1380">
        <v>0.67253521126760596</v>
      </c>
      <c r="C1380">
        <v>2784.49</v>
      </c>
      <c r="D1380">
        <v>120.02</v>
      </c>
      <c r="E1380">
        <v>1313.57</v>
      </c>
      <c r="F1380">
        <v>83.75</v>
      </c>
      <c r="G1380">
        <v>45.83</v>
      </c>
      <c r="H1380" s="12">
        <f t="shared" si="180"/>
        <v>95.444793110755356</v>
      </c>
      <c r="I1380" s="12">
        <f t="shared" si="181"/>
        <v>87.28178535459331</v>
      </c>
      <c r="J1380" s="12">
        <f t="shared" si="182"/>
        <v>95.698783279385182</v>
      </c>
      <c r="K1380" s="12">
        <f t="shared" si="183"/>
        <v>97.766635782921483</v>
      </c>
      <c r="P1380" s="12"/>
      <c r="Q1380" s="12"/>
      <c r="R1380" s="12"/>
      <c r="S1380" s="12"/>
      <c r="V1380">
        <v>0.45301681503461899</v>
      </c>
      <c r="W1380" s="12"/>
      <c r="X1380" s="12"/>
      <c r="AY1380" t="str">
        <v>09/05/2019</v>
      </c>
      <c r="AZ1380">
        <v>51.4</v>
      </c>
      <c r="BA1380">
        <v>17.5</v>
      </c>
    </row>
    <row r="1381" spans="1:53" x14ac:dyDescent="0.3">
      <c r="A1381" s="11">
        <v>43524</v>
      </c>
      <c r="B1381">
        <v>0.66189111747851004</v>
      </c>
      <c r="C1381">
        <v>2792.38</v>
      </c>
      <c r="D1381">
        <v>120.43</v>
      </c>
      <c r="E1381">
        <v>1319.85</v>
      </c>
      <c r="F1381">
        <v>83.77</v>
      </c>
      <c r="G1381">
        <v>46.1</v>
      </c>
      <c r="H1381" s="12">
        <f t="shared" si="180"/>
        <v>95.38957011794831</v>
      </c>
      <c r="I1381" s="12">
        <f t="shared" si="181"/>
        <v>87.113432566830085</v>
      </c>
      <c r="J1381" s="12">
        <f t="shared" si="182"/>
        <v>95.946978704256637</v>
      </c>
      <c r="K1381" s="12">
        <f t="shared" si="183"/>
        <v>97.471172751776464</v>
      </c>
      <c r="P1381" s="12"/>
      <c r="Q1381" s="12"/>
      <c r="R1381" s="12"/>
      <c r="S1381" s="12"/>
      <c r="V1381">
        <v>0.43055555555555602</v>
      </c>
      <c r="W1381" s="12"/>
      <c r="X1381" s="12"/>
      <c r="AY1381" t="str">
        <v>08/05/2019</v>
      </c>
      <c r="AZ1381">
        <v>51.4</v>
      </c>
      <c r="BA1381">
        <v>17.5</v>
      </c>
    </row>
    <row r="1382" spans="1:53" x14ac:dyDescent="0.3">
      <c r="A1382" s="11">
        <v>43523</v>
      </c>
      <c r="B1382">
        <v>0.65476190476190499</v>
      </c>
      <c r="C1382">
        <v>2793.9</v>
      </c>
      <c r="D1382">
        <v>121.81</v>
      </c>
      <c r="E1382">
        <v>1329.05</v>
      </c>
      <c r="F1382">
        <v>83.79</v>
      </c>
      <c r="G1382">
        <v>46.28</v>
      </c>
      <c r="H1382" s="12">
        <f t="shared" si="180"/>
        <v>94.371763407331542</v>
      </c>
      <c r="I1382" s="12">
        <f t="shared" si="181"/>
        <v>86.561327513608944</v>
      </c>
      <c r="J1382" s="12">
        <f t="shared" si="182"/>
        <v>95.976285102265038</v>
      </c>
      <c r="K1382" s="12">
        <f t="shared" si="183"/>
        <v>97.146187020489123</v>
      </c>
      <c r="P1382" s="12"/>
      <c r="Q1382" s="12"/>
      <c r="R1382" s="12"/>
      <c r="S1382" s="12"/>
      <c r="V1382">
        <v>0.43767572633551999</v>
      </c>
      <c r="W1382" s="12"/>
      <c r="X1382" s="12"/>
      <c r="AY1382" t="str">
        <v>07/05/2019</v>
      </c>
      <c r="AZ1382">
        <v>51.4</v>
      </c>
      <c r="BA1382">
        <v>17.5</v>
      </c>
    </row>
    <row r="1383" spans="1:53" x14ac:dyDescent="0.3">
      <c r="A1383" s="11">
        <v>43522</v>
      </c>
      <c r="B1383">
        <v>0.64970059880239495</v>
      </c>
      <c r="C1383">
        <v>2796.11</v>
      </c>
      <c r="D1383">
        <v>121.21</v>
      </c>
      <c r="E1383">
        <v>1327.44</v>
      </c>
      <c r="F1383">
        <v>83.75</v>
      </c>
      <c r="G1383">
        <v>46.15</v>
      </c>
      <c r="H1383" s="12">
        <f t="shared" si="180"/>
        <v>94.916629510424642</v>
      </c>
      <c r="I1383" s="12">
        <f t="shared" si="181"/>
        <v>86.735079094875232</v>
      </c>
      <c r="J1383" s="12">
        <f t="shared" si="182"/>
        <v>96.09813712917952</v>
      </c>
      <c r="K1383" s="12">
        <f t="shared" si="183"/>
        <v>97.497889714271096</v>
      </c>
      <c r="P1383" s="12"/>
      <c r="Q1383" s="12"/>
      <c r="R1383" s="12"/>
      <c r="S1383" s="12"/>
      <c r="V1383">
        <v>0.43909348441926299</v>
      </c>
      <c r="W1383" s="12"/>
      <c r="X1383" s="12"/>
      <c r="AY1383" t="str">
        <v>06/05/2019</v>
      </c>
      <c r="AZ1383">
        <v>51.4</v>
      </c>
      <c r="BA1383">
        <v>17.5</v>
      </c>
    </row>
    <row r="1384" spans="1:53" x14ac:dyDescent="0.3">
      <c r="A1384" s="11">
        <v>43519</v>
      </c>
      <c r="B1384">
        <v>0.63779527559055105</v>
      </c>
      <c r="C1384">
        <v>2792.67</v>
      </c>
      <c r="D1384">
        <v>121.57</v>
      </c>
      <c r="E1384">
        <v>1327.625</v>
      </c>
      <c r="F1384">
        <v>83.76</v>
      </c>
      <c r="G1384">
        <v>45.95</v>
      </c>
      <c r="H1384" s="12">
        <f t="shared" si="180"/>
        <v>94.520300880785669</v>
      </c>
      <c r="I1384" s="12">
        <f t="shared" si="181"/>
        <v>86.616315768207016</v>
      </c>
      <c r="J1384" s="12">
        <f t="shared" si="182"/>
        <v>95.968465994299336</v>
      </c>
      <c r="K1384" s="12">
        <f t="shared" si="183"/>
        <v>97.803109848346594</v>
      </c>
      <c r="P1384" s="12"/>
      <c r="Q1384" s="12"/>
      <c r="R1384" s="12"/>
      <c r="S1384" s="12"/>
      <c r="V1384">
        <v>0.431963470319635</v>
      </c>
      <c r="W1384" s="12"/>
      <c r="X1384" s="12"/>
      <c r="AY1384" t="str">
        <v>03/05/2019</v>
      </c>
      <c r="AZ1384">
        <v>55.5</v>
      </c>
      <c r="BA1384">
        <v>17.8</v>
      </c>
    </row>
    <row r="1385" spans="1:53" x14ac:dyDescent="0.3">
      <c r="A1385" s="11">
        <v>43518</v>
      </c>
      <c r="B1385">
        <v>0.63324538258575203</v>
      </c>
      <c r="C1385">
        <v>2774.88</v>
      </c>
      <c r="D1385">
        <v>120.85</v>
      </c>
      <c r="E1385">
        <v>1323.4</v>
      </c>
      <c r="F1385">
        <v>83.7</v>
      </c>
      <c r="G1385">
        <v>45.67</v>
      </c>
      <c r="H1385" s="12">
        <f t="shared" si="180"/>
        <v>94.477475268900037</v>
      </c>
      <c r="I1385" s="12">
        <f t="shared" si="181"/>
        <v>86.338430894941069</v>
      </c>
      <c r="J1385" s="12">
        <f t="shared" si="182"/>
        <v>95.425092409130698</v>
      </c>
      <c r="K1385" s="12">
        <f t="shared" si="183"/>
        <v>97.775718108070279</v>
      </c>
      <c r="P1385" s="12"/>
      <c r="Q1385" s="12"/>
      <c r="R1385" s="12"/>
      <c r="S1385" s="12"/>
      <c r="V1385">
        <v>0.41965105601469199</v>
      </c>
      <c r="W1385" s="12"/>
      <c r="X1385" s="12"/>
      <c r="AY1385" t="str">
        <v>02/05/2019</v>
      </c>
      <c r="AZ1385">
        <v>55.5</v>
      </c>
      <c r="BA1385">
        <v>17.8</v>
      </c>
    </row>
    <row r="1386" spans="1:53" x14ac:dyDescent="0.3">
      <c r="A1386" s="11">
        <v>43517</v>
      </c>
      <c r="B1386">
        <v>0.63143631436314396</v>
      </c>
      <c r="C1386">
        <v>2784.7</v>
      </c>
      <c r="D1386">
        <v>121.94</v>
      </c>
      <c r="E1386">
        <v>1338.52</v>
      </c>
      <c r="F1386">
        <v>83.724999999999994</v>
      </c>
      <c r="G1386">
        <v>45.83</v>
      </c>
      <c r="H1386" s="12">
        <f t="shared" si="180"/>
        <v>93.96887716053709</v>
      </c>
      <c r="I1386" s="12">
        <f t="shared" si="181"/>
        <v>85.672783680863446</v>
      </c>
      <c r="J1386" s="12">
        <f t="shared" si="182"/>
        <v>95.734104443454612</v>
      </c>
      <c r="K1386" s="12">
        <f t="shared" si="183"/>
        <v>97.779164744149966</v>
      </c>
      <c r="P1386" s="12"/>
      <c r="Q1386" s="12"/>
      <c r="R1386" s="12"/>
      <c r="S1386" s="12"/>
      <c r="V1386">
        <v>0.41458910433979701</v>
      </c>
      <c r="W1386" s="12"/>
      <c r="X1386" s="12"/>
      <c r="AY1386" t="str">
        <v>01/05/2019</v>
      </c>
      <c r="AZ1386">
        <v>55.5</v>
      </c>
      <c r="BA1386">
        <v>17.8</v>
      </c>
    </row>
    <row r="1387" spans="1:53" x14ac:dyDescent="0.3">
      <c r="A1387" s="11">
        <v>43516</v>
      </c>
      <c r="B1387">
        <v>0.624309392265193</v>
      </c>
      <c r="C1387">
        <v>2779.76</v>
      </c>
      <c r="D1387">
        <v>122.29</v>
      </c>
      <c r="E1387">
        <v>1341.55</v>
      </c>
      <c r="F1387">
        <v>83.74</v>
      </c>
      <c r="G1387">
        <v>45.61</v>
      </c>
      <c r="H1387" s="12">
        <f t="shared" si="180"/>
        <v>93.534951584141865</v>
      </c>
      <c r="I1387" s="12">
        <f t="shared" si="181"/>
        <v>85.328422628211186</v>
      </c>
      <c r="J1387" s="12">
        <f t="shared" si="182"/>
        <v>95.547189517817571</v>
      </c>
      <c r="K1387" s="12">
        <f t="shared" si="183"/>
        <v>98.077946632905693</v>
      </c>
      <c r="P1387" s="12"/>
      <c r="Q1387" s="12"/>
      <c r="R1387" s="12"/>
      <c r="S1387" s="12"/>
      <c r="V1387">
        <v>0.40774907749077499</v>
      </c>
      <c r="W1387" s="12"/>
      <c r="X1387" s="12"/>
      <c r="AY1387" t="str">
        <v>30/04/2019</v>
      </c>
      <c r="AZ1387">
        <v>55.5</v>
      </c>
      <c r="BA1387">
        <v>17.8</v>
      </c>
    </row>
    <row r="1388" spans="1:53" x14ac:dyDescent="0.3">
      <c r="A1388" s="11">
        <v>43512</v>
      </c>
      <c r="B1388">
        <v>0.60263157894736796</v>
      </c>
      <c r="C1388">
        <v>2775.6</v>
      </c>
      <c r="D1388">
        <v>121.98</v>
      </c>
      <c r="E1388">
        <v>1323.375</v>
      </c>
      <c r="F1388">
        <v>83.68</v>
      </c>
      <c r="G1388">
        <v>45.41</v>
      </c>
      <c r="H1388" s="12">
        <f t="shared" si="180"/>
        <v>93.632575265710486</v>
      </c>
      <c r="I1388" s="12">
        <f t="shared" si="181"/>
        <v>86.385351678803644</v>
      </c>
      <c r="J1388" s="12">
        <f t="shared" si="182"/>
        <v>95.47255310176385</v>
      </c>
      <c r="K1388" s="12">
        <f t="shared" si="183"/>
        <v>98.363746550136824</v>
      </c>
      <c r="P1388" s="12"/>
      <c r="Q1388" s="12"/>
      <c r="R1388" s="12"/>
      <c r="S1388" s="12"/>
      <c r="V1388">
        <v>0.39633027522935799</v>
      </c>
      <c r="W1388" s="12"/>
      <c r="X1388" s="12"/>
      <c r="AY1388" t="str">
        <v>29/04/2019</v>
      </c>
      <c r="AZ1388">
        <v>55.5</v>
      </c>
      <c r="BA1388">
        <v>17.8</v>
      </c>
    </row>
    <row r="1389" spans="1:53" x14ac:dyDescent="0.3">
      <c r="A1389" s="11">
        <v>43511</v>
      </c>
      <c r="B1389">
        <v>0.60263157894736796</v>
      </c>
      <c r="C1389">
        <v>2745.73</v>
      </c>
      <c r="D1389">
        <v>121.79</v>
      </c>
      <c r="E1389">
        <v>1312.49</v>
      </c>
      <c r="F1389">
        <v>83.72</v>
      </c>
      <c r="G1389">
        <v>44.94</v>
      </c>
      <c r="H1389" s="12">
        <f t="shared" si="180"/>
        <v>92.768102028413367</v>
      </c>
      <c r="I1389" s="12">
        <f t="shared" si="181"/>
        <v>86.162594375003053</v>
      </c>
      <c r="J1389" s="12">
        <f t="shared" si="182"/>
        <v>94.400494552060906</v>
      </c>
      <c r="K1389" s="12">
        <f t="shared" si="183"/>
        <v>98.322419583404155</v>
      </c>
      <c r="P1389" s="12"/>
      <c r="Q1389" s="12"/>
      <c r="R1389" s="12"/>
      <c r="S1389" s="12"/>
      <c r="V1389">
        <v>0.38688827331486603</v>
      </c>
      <c r="W1389" s="12"/>
      <c r="X1389" s="12"/>
      <c r="AY1389" t="str">
        <v>26/04/2019</v>
      </c>
      <c r="AZ1389">
        <v>56.4</v>
      </c>
      <c r="BA1389">
        <v>17.8</v>
      </c>
    </row>
    <row r="1390" spans="1:53" x14ac:dyDescent="0.3">
      <c r="A1390" s="11">
        <v>43510</v>
      </c>
      <c r="B1390">
        <v>0.579514824797844</v>
      </c>
      <c r="C1390">
        <v>2753.03</v>
      </c>
      <c r="D1390">
        <v>121.1</v>
      </c>
      <c r="E1390">
        <v>1306.18</v>
      </c>
      <c r="F1390">
        <v>83.61</v>
      </c>
      <c r="G1390">
        <v>44.89</v>
      </c>
      <c r="H1390" s="12">
        <f t="shared" si="180"/>
        <v>93.549181025821269</v>
      </c>
      <c r="I1390" s="12">
        <f t="shared" si="181"/>
        <v>86.812166824451978</v>
      </c>
      <c r="J1390" s="12">
        <f t="shared" si="182"/>
        <v>94.776497174263213</v>
      </c>
      <c r="K1390" s="12">
        <f t="shared" si="183"/>
        <v>98.694047842161069</v>
      </c>
      <c r="P1390" s="12"/>
      <c r="Q1390" s="12"/>
      <c r="R1390" s="12"/>
      <c r="S1390" s="12"/>
      <c r="V1390">
        <v>0.37908496732026098</v>
      </c>
      <c r="W1390" s="12"/>
      <c r="X1390" s="12"/>
      <c r="AY1390" t="str">
        <v>25/04/2019</v>
      </c>
      <c r="AZ1390">
        <v>56.4</v>
      </c>
      <c r="BA1390">
        <v>17.8</v>
      </c>
    </row>
    <row r="1391" spans="1:53" x14ac:dyDescent="0.3">
      <c r="A1391" s="11">
        <v>43509</v>
      </c>
      <c r="B1391">
        <v>0.556473829201102</v>
      </c>
      <c r="C1391">
        <v>2744.73</v>
      </c>
      <c r="D1391">
        <v>121.55500000000001</v>
      </c>
      <c r="E1391">
        <v>1310.8</v>
      </c>
      <c r="F1391">
        <v>83.67</v>
      </c>
      <c r="G1391">
        <v>44.95</v>
      </c>
      <c r="H1391" s="12">
        <f t="shared" si="180"/>
        <v>92.920375982364149</v>
      </c>
      <c r="I1391" s="12">
        <f t="shared" si="181"/>
        <v>86.247372283926097</v>
      </c>
      <c r="J1391" s="12">
        <f t="shared" si="182"/>
        <v>94.423252256210262</v>
      </c>
      <c r="K1391" s="12">
        <f t="shared" si="183"/>
        <v>98.265727844029414</v>
      </c>
      <c r="P1391" s="12"/>
      <c r="Q1391" s="12"/>
      <c r="R1391" s="12"/>
      <c r="S1391" s="12"/>
      <c r="V1391">
        <v>0.37441204139228601</v>
      </c>
      <c r="W1391" s="12"/>
      <c r="X1391" s="12"/>
      <c r="AY1391" t="str">
        <v>24/04/2019</v>
      </c>
      <c r="AZ1391">
        <v>56.4</v>
      </c>
      <c r="BA1391">
        <v>17.8</v>
      </c>
    </row>
    <row r="1392" spans="1:53" x14ac:dyDescent="0.3">
      <c r="A1392" s="11">
        <v>43508</v>
      </c>
      <c r="B1392">
        <v>0.54847645429362901</v>
      </c>
      <c r="C1392">
        <v>2709.8</v>
      </c>
      <c r="D1392">
        <v>121.87</v>
      </c>
      <c r="E1392">
        <v>1308.17</v>
      </c>
      <c r="F1392">
        <v>83.68</v>
      </c>
      <c r="G1392">
        <v>44.47</v>
      </c>
      <c r="H1392" s="12">
        <f t="shared" si="180"/>
        <v>91.504348781188284</v>
      </c>
      <c r="I1392" s="12">
        <f t="shared" si="181"/>
        <v>85.319116664366689</v>
      </c>
      <c r="J1392" s="12">
        <f t="shared" si="182"/>
        <v>93.210605297685589</v>
      </c>
      <c r="K1392" s="12">
        <f t="shared" si="183"/>
        <v>98.06014899411332</v>
      </c>
      <c r="P1392" s="12"/>
      <c r="Q1392" s="12"/>
      <c r="R1392" s="12"/>
      <c r="S1392" s="12"/>
      <c r="V1392">
        <v>0.36847103513770202</v>
      </c>
      <c r="W1392" s="12"/>
      <c r="X1392" s="12"/>
      <c r="AY1392" t="str">
        <v>23/04/2019</v>
      </c>
      <c r="AZ1392">
        <v>56.4</v>
      </c>
      <c r="BA1392">
        <v>17.8</v>
      </c>
    </row>
    <row r="1393" spans="1:53" x14ac:dyDescent="0.3">
      <c r="A1393" s="11">
        <v>43505</v>
      </c>
      <c r="B1393">
        <v>0.55013550135501399</v>
      </c>
      <c r="C1393">
        <v>2707.88</v>
      </c>
      <c r="D1393">
        <v>122.35</v>
      </c>
      <c r="E1393">
        <v>1314.93</v>
      </c>
      <c r="F1393">
        <v>83.71</v>
      </c>
      <c r="G1393">
        <v>44.59</v>
      </c>
      <c r="H1393" s="12">
        <f t="shared" si="180"/>
        <v>91.082435540147259</v>
      </c>
      <c r="I1393" s="12">
        <f t="shared" si="181"/>
        <v>84.822902697714923</v>
      </c>
      <c r="J1393" s="12">
        <f t="shared" si="182"/>
        <v>93.111216347946936</v>
      </c>
      <c r="K1393" s="12">
        <f t="shared" si="183"/>
        <v>97.727852003208355</v>
      </c>
      <c r="P1393" s="12"/>
      <c r="Q1393" s="12"/>
      <c r="R1393" s="12"/>
      <c r="S1393" s="12"/>
      <c r="V1393">
        <v>0.37804878048780499</v>
      </c>
      <c r="W1393" s="12"/>
      <c r="X1393" s="12"/>
      <c r="AY1393" t="str">
        <v>22/04/2019</v>
      </c>
      <c r="AZ1393">
        <v>56.4</v>
      </c>
      <c r="BA1393">
        <v>17.8</v>
      </c>
    </row>
    <row r="1394" spans="1:53" x14ac:dyDescent="0.3">
      <c r="A1394" s="11">
        <v>43504</v>
      </c>
      <c r="B1394">
        <v>0.53571428571428603</v>
      </c>
      <c r="C1394">
        <v>2706.05</v>
      </c>
      <c r="D1394">
        <v>121.83</v>
      </c>
      <c r="E1394">
        <v>1310.2</v>
      </c>
      <c r="F1394">
        <v>83.68</v>
      </c>
      <c r="G1394">
        <v>44.76</v>
      </c>
      <c r="H1394" s="12">
        <f t="shared" si="180"/>
        <v>91.410781255039467</v>
      </c>
      <c r="I1394" s="12">
        <f t="shared" si="181"/>
        <v>85.072494627468629</v>
      </c>
      <c r="J1394" s="12">
        <f t="shared" si="182"/>
        <v>93.081639299183934</v>
      </c>
      <c r="K1394" s="12">
        <f t="shared" si="183"/>
        <v>97.292536357274528</v>
      </c>
      <c r="P1394" s="12"/>
      <c r="Q1394" s="12"/>
      <c r="R1394" s="12"/>
      <c r="S1394" s="12"/>
      <c r="V1394">
        <v>0.38634237605238497</v>
      </c>
      <c r="W1394" s="12"/>
      <c r="X1394" s="12"/>
      <c r="AY1394" t="str">
        <v>19/04/2019</v>
      </c>
      <c r="AZ1394">
        <v>53.4</v>
      </c>
      <c r="BA1394">
        <v>18.399999999999999</v>
      </c>
    </row>
    <row r="1395" spans="1:53" x14ac:dyDescent="0.3">
      <c r="A1395" s="11">
        <v>43503</v>
      </c>
      <c r="B1395">
        <v>0.51404494382022503</v>
      </c>
      <c r="C1395">
        <v>2731.61</v>
      </c>
      <c r="D1395">
        <v>121.03</v>
      </c>
      <c r="E1395">
        <v>1306.5</v>
      </c>
      <c r="F1395">
        <v>83.62</v>
      </c>
      <c r="G1395">
        <v>45.28</v>
      </c>
      <c r="H1395" s="12">
        <f t="shared" si="180"/>
        <v>92.894024839274223</v>
      </c>
      <c r="I1395" s="12">
        <f t="shared" si="181"/>
        <v>86.122248440217305</v>
      </c>
      <c r="J1395" s="12">
        <f t="shared" si="182"/>
        <v>94.028948112050514</v>
      </c>
      <c r="K1395" s="12">
        <f t="shared" si="183"/>
        <v>97.086036311578113</v>
      </c>
      <c r="P1395" s="12"/>
      <c r="Q1395" s="12"/>
      <c r="R1395" s="12"/>
      <c r="S1395" s="12"/>
      <c r="V1395">
        <v>0.37204910292728999</v>
      </c>
      <c r="W1395" s="12"/>
      <c r="X1395" s="12"/>
      <c r="AY1395" t="str">
        <v>18/04/2019</v>
      </c>
      <c r="AZ1395">
        <v>53.4</v>
      </c>
      <c r="BA1395">
        <v>18.399999999999999</v>
      </c>
    </row>
    <row r="1396" spans="1:53" x14ac:dyDescent="0.3">
      <c r="A1396" s="11">
        <v>43502</v>
      </c>
      <c r="B1396">
        <v>0.51304347826087005</v>
      </c>
      <c r="C1396">
        <v>2737.7</v>
      </c>
      <c r="D1396">
        <v>120.97</v>
      </c>
      <c r="E1396">
        <v>1315.27</v>
      </c>
      <c r="F1396">
        <v>83.58</v>
      </c>
      <c r="G1396">
        <v>45.6</v>
      </c>
      <c r="H1396" s="12">
        <f t="shared" si="180"/>
        <v>93.147431098746196</v>
      </c>
      <c r="I1396" s="12">
        <f t="shared" si="181"/>
        <v>85.741271039921486</v>
      </c>
      <c r="J1396" s="12">
        <f t="shared" si="182"/>
        <v>94.283804628492263</v>
      </c>
      <c r="K1396" s="12">
        <f t="shared" si="183"/>
        <v>96.622917946258596</v>
      </c>
      <c r="P1396" s="12"/>
      <c r="Q1396" s="12"/>
      <c r="R1396" s="12"/>
      <c r="S1396" s="12"/>
      <c r="V1396">
        <v>0.36796949475691099</v>
      </c>
      <c r="W1396" s="12"/>
      <c r="X1396" s="12"/>
      <c r="AY1396" t="str">
        <v>17/04/2019</v>
      </c>
      <c r="AZ1396">
        <v>53.4</v>
      </c>
      <c r="BA1396">
        <v>18.399999999999999</v>
      </c>
    </row>
    <row r="1397" spans="1:53" x14ac:dyDescent="0.3">
      <c r="A1397" s="11">
        <v>43501</v>
      </c>
      <c r="B1397">
        <v>0.50588235294117601</v>
      </c>
      <c r="C1397">
        <v>2724.87</v>
      </c>
      <c r="D1397">
        <v>120.42</v>
      </c>
      <c r="E1397">
        <v>1312.15</v>
      </c>
      <c r="F1397">
        <v>83.58</v>
      </c>
      <c r="G1397">
        <v>45.2</v>
      </c>
      <c r="H1397" s="12">
        <f t="shared" si="180"/>
        <v>93.134286694678352</v>
      </c>
      <c r="I1397" s="12">
        <f t="shared" si="181"/>
        <v>85.541898146595642</v>
      </c>
      <c r="J1397" s="12">
        <f t="shared" si="182"/>
        <v>93.841951535244817</v>
      </c>
      <c r="K1397" s="12">
        <f t="shared" si="183"/>
        <v>97.024704623591532</v>
      </c>
      <c r="P1397" s="12"/>
      <c r="Q1397" s="12"/>
      <c r="R1397" s="12"/>
      <c r="S1397" s="12"/>
      <c r="V1397">
        <v>0.36389684813753598</v>
      </c>
      <c r="W1397" s="12"/>
      <c r="X1397" s="12"/>
      <c r="AY1397" t="str">
        <v>16/04/2019</v>
      </c>
      <c r="AZ1397">
        <v>53.4</v>
      </c>
      <c r="BA1397">
        <v>18.399999999999999</v>
      </c>
    </row>
    <row r="1398" spans="1:53" x14ac:dyDescent="0.3">
      <c r="A1398" s="11">
        <v>43498</v>
      </c>
      <c r="B1398">
        <v>0.49584487534625998</v>
      </c>
      <c r="C1398">
        <v>2706.53</v>
      </c>
      <c r="D1398">
        <v>120.96</v>
      </c>
      <c r="E1398">
        <v>1318.625</v>
      </c>
      <c r="F1398">
        <v>83.58</v>
      </c>
      <c r="G1398">
        <v>45.03</v>
      </c>
      <c r="H1398" s="12">
        <f t="shared" si="180"/>
        <v>92.099048269900408</v>
      </c>
      <c r="I1398" s="12">
        <f t="shared" si="181"/>
        <v>84.553750404419176</v>
      </c>
      <c r="J1398" s="12">
        <f t="shared" si="182"/>
        <v>93.210339241389931</v>
      </c>
      <c r="K1398" s="12">
        <f t="shared" si="183"/>
        <v>96.734410145515284</v>
      </c>
      <c r="P1398" s="12"/>
      <c r="Q1398" s="12"/>
      <c r="R1398" s="12"/>
      <c r="S1398" s="12"/>
      <c r="V1398">
        <v>0.341626794258373</v>
      </c>
      <c r="W1398" s="12"/>
      <c r="X1398" s="12"/>
      <c r="AY1398" t="str">
        <v>15/04/2019</v>
      </c>
      <c r="AZ1398">
        <v>53.4</v>
      </c>
      <c r="BA1398">
        <v>18.399999999999999</v>
      </c>
    </row>
    <row r="1399" spans="1:53" x14ac:dyDescent="0.3">
      <c r="A1399" s="11">
        <v>43496</v>
      </c>
      <c r="B1399">
        <v>0.46927374301676</v>
      </c>
      <c r="C1399">
        <v>2704.1</v>
      </c>
      <c r="D1399">
        <v>121.97</v>
      </c>
      <c r="E1399">
        <v>1322.08</v>
      </c>
      <c r="F1399">
        <v>83.83</v>
      </c>
      <c r="G1399">
        <v>45.12</v>
      </c>
      <c r="H1399" s="12">
        <f t="shared" si="180"/>
        <v>91.261327673241155</v>
      </c>
      <c r="I1399" s="12">
        <f t="shared" si="181"/>
        <v>84.257841775433519</v>
      </c>
      <c r="J1399" s="12">
        <f t="shared" si="182"/>
        <v>92.850001261175635</v>
      </c>
      <c r="K1399" s="12">
        <f t="shared" si="183"/>
        <v>96.455334358583741</v>
      </c>
      <c r="P1399" s="12"/>
      <c r="Q1399" s="12"/>
      <c r="R1399" s="12"/>
      <c r="S1399" s="12"/>
      <c r="V1399">
        <v>0.34110787172011697</v>
      </c>
      <c r="W1399" s="12"/>
      <c r="X1399" s="12"/>
      <c r="AY1399" t="str">
        <v>12/04/2019</v>
      </c>
      <c r="AZ1399">
        <v>54.8</v>
      </c>
      <c r="BA1399">
        <v>19.2</v>
      </c>
    </row>
    <row r="1400" spans="1:53" x14ac:dyDescent="0.3">
      <c r="A1400" s="11">
        <v>43496</v>
      </c>
      <c r="B1400">
        <v>0.451977401129944</v>
      </c>
      <c r="C1400">
        <v>2681.05</v>
      </c>
      <c r="D1400">
        <v>120.93</v>
      </c>
      <c r="E1400">
        <v>1319.71</v>
      </c>
      <c r="F1400">
        <v>83.76</v>
      </c>
      <c r="G1400">
        <v>45.03</v>
      </c>
      <c r="H1400" s="12">
        <f t="shared" si="180"/>
        <v>91.261568480168478</v>
      </c>
      <c r="I1400" s="12">
        <f t="shared" si="181"/>
        <v>83.688631140088845</v>
      </c>
      <c r="J1400" s="12">
        <f t="shared" si="182"/>
        <v>92.134881929705031</v>
      </c>
      <c r="K1400" s="12">
        <f t="shared" si="183"/>
        <v>95.82302596651752</v>
      </c>
      <c r="P1400" s="12"/>
      <c r="Q1400" s="12"/>
      <c r="R1400" s="12"/>
      <c r="S1400" s="12"/>
      <c r="V1400">
        <v>0.34246575342465801</v>
      </c>
      <c r="W1400" s="12"/>
      <c r="X1400" s="12"/>
      <c r="AY1400" t="str">
        <v>11/04/2019</v>
      </c>
      <c r="AZ1400">
        <v>54.8</v>
      </c>
      <c r="BA1400">
        <v>19.2</v>
      </c>
    </row>
    <row r="1401" spans="1:53" x14ac:dyDescent="0.3">
      <c r="A1401" s="11">
        <v>43495</v>
      </c>
      <c r="B1401">
        <v>0.43023255813953498</v>
      </c>
      <c r="C1401">
        <v>2640</v>
      </c>
      <c r="D1401">
        <v>121.02</v>
      </c>
      <c r="E1401">
        <v>1311.5</v>
      </c>
      <c r="F1401">
        <v>83.65</v>
      </c>
      <c r="G1401">
        <v>44.46</v>
      </c>
      <c r="H1401" s="12">
        <f t="shared" si="180"/>
        <v>89.798488782592784</v>
      </c>
      <c r="I1401" s="12">
        <f t="shared" si="181"/>
        <v>82.918382812953993</v>
      </c>
      <c r="J1401" s="12">
        <f t="shared" si="182"/>
        <v>90.84181774515541</v>
      </c>
      <c r="K1401" s="12">
        <f t="shared" si="183"/>
        <v>95.56226239212873</v>
      </c>
      <c r="P1401" s="12"/>
      <c r="Q1401" s="12"/>
      <c r="R1401" s="12"/>
      <c r="S1401" s="12"/>
      <c r="V1401">
        <v>0.33697813121272402</v>
      </c>
      <c r="W1401" s="12"/>
      <c r="X1401" s="12"/>
      <c r="AY1401" t="str">
        <v>10/04/2019</v>
      </c>
      <c r="AZ1401">
        <v>54.8</v>
      </c>
      <c r="BA1401">
        <v>19.2</v>
      </c>
    </row>
    <row r="1402" spans="1:53" x14ac:dyDescent="0.3">
      <c r="A1402" s="11">
        <v>43494</v>
      </c>
      <c r="B1402">
        <v>0.414201183431953</v>
      </c>
      <c r="C1402">
        <v>2643.85</v>
      </c>
      <c r="D1402">
        <v>120.41</v>
      </c>
      <c r="E1402">
        <v>1303.5</v>
      </c>
      <c r="F1402">
        <v>83.61</v>
      </c>
      <c r="G1402">
        <v>44.34</v>
      </c>
      <c r="H1402" s="12">
        <f t="shared" si="180"/>
        <v>90.388020613845626</v>
      </c>
      <c r="I1402" s="12">
        <f t="shared" si="181"/>
        <v>83.552844031798074</v>
      </c>
      <c r="J1402" s="12">
        <f t="shared" si="182"/>
        <v>91.017902924973711</v>
      </c>
      <c r="K1402" s="12">
        <f t="shared" si="183"/>
        <v>95.961709691499649</v>
      </c>
      <c r="P1402" s="12"/>
      <c r="Q1402" s="12"/>
      <c r="R1402" s="12"/>
      <c r="S1402" s="12"/>
      <c r="V1402">
        <v>0.33670374115267898</v>
      </c>
      <c r="W1402" s="12"/>
      <c r="X1402" s="12"/>
      <c r="AY1402" t="str">
        <v>09/04/2019</v>
      </c>
      <c r="AZ1402">
        <v>54.8</v>
      </c>
      <c r="BA1402">
        <v>19.2</v>
      </c>
    </row>
    <row r="1403" spans="1:53" x14ac:dyDescent="0.3">
      <c r="A1403" s="11">
        <v>43491</v>
      </c>
      <c r="B1403">
        <v>0.418879056047198</v>
      </c>
      <c r="C1403">
        <v>2664.76</v>
      </c>
      <c r="D1403">
        <v>120.53</v>
      </c>
      <c r="E1403">
        <v>1303.43</v>
      </c>
      <c r="F1403">
        <v>83.6</v>
      </c>
      <c r="G1403">
        <v>44.65</v>
      </c>
      <c r="H1403" s="12">
        <f t="shared" si="180"/>
        <v>91.011564299159076</v>
      </c>
      <c r="I1403" s="12">
        <f t="shared" si="181"/>
        <v>84.218215514450677</v>
      </c>
      <c r="J1403" s="12">
        <f t="shared" si="182"/>
        <v>91.748817839055391</v>
      </c>
      <c r="K1403" s="12">
        <f t="shared" si="183"/>
        <v>96.048534816866677</v>
      </c>
      <c r="P1403" s="12"/>
      <c r="Q1403" s="12"/>
      <c r="R1403" s="12"/>
      <c r="S1403" s="12"/>
      <c r="V1403">
        <v>0.35157041540020301</v>
      </c>
      <c r="W1403" s="12"/>
      <c r="X1403" s="12"/>
      <c r="AY1403" t="str">
        <v>08/04/2019</v>
      </c>
      <c r="AZ1403">
        <v>54.8</v>
      </c>
      <c r="BA1403">
        <v>19.2</v>
      </c>
    </row>
    <row r="1404" spans="1:53" x14ac:dyDescent="0.3">
      <c r="A1404" s="11">
        <v>43490</v>
      </c>
      <c r="B1404">
        <v>0.42121212121212098</v>
      </c>
      <c r="C1404">
        <v>2642.33</v>
      </c>
      <c r="D1404">
        <v>121.11</v>
      </c>
      <c r="E1404">
        <v>1281.17</v>
      </c>
      <c r="F1404">
        <v>83.66</v>
      </c>
      <c r="G1404">
        <v>44.09</v>
      </c>
      <c r="H1404" s="12">
        <f t="shared" si="180"/>
        <v>89.818970025802258</v>
      </c>
      <c r="I1404" s="12">
        <f t="shared" si="181"/>
        <v>84.973290143408818</v>
      </c>
      <c r="J1404" s="12">
        <f t="shared" si="182"/>
        <v>90.911891259000996</v>
      </c>
      <c r="K1404" s="12">
        <f t="shared" si="183"/>
        <v>96.454857911101513</v>
      </c>
      <c r="P1404" s="12"/>
      <c r="Q1404" s="12"/>
      <c r="R1404" s="12"/>
      <c r="S1404" s="12"/>
      <c r="V1404">
        <v>0.35149023638232302</v>
      </c>
      <c r="W1404" s="12"/>
      <c r="X1404" s="12"/>
      <c r="AY1404" t="str">
        <v>05/04/2019</v>
      </c>
      <c r="AZ1404">
        <v>53.9</v>
      </c>
      <c r="BA1404">
        <v>19.2</v>
      </c>
    </row>
    <row r="1405" spans="1:53" x14ac:dyDescent="0.3">
      <c r="A1405" s="11">
        <v>43489</v>
      </c>
      <c r="B1405">
        <v>0.41176470588235298</v>
      </c>
      <c r="C1405">
        <v>2638.7</v>
      </c>
      <c r="D1405">
        <v>120.32</v>
      </c>
      <c r="E1405">
        <v>1282.8</v>
      </c>
      <c r="F1405">
        <v>83.59</v>
      </c>
      <c r="G1405">
        <v>43.93</v>
      </c>
      <c r="H1405" s="12">
        <f t="shared" si="180"/>
        <v>90.287575821208463</v>
      </c>
      <c r="I1405" s="12">
        <f t="shared" si="181"/>
        <v>84.749015826722115</v>
      </c>
      <c r="J1405" s="12">
        <f t="shared" si="182"/>
        <v>90.862983651739768</v>
      </c>
      <c r="K1405" s="12">
        <f t="shared" si="183"/>
        <v>96.673967579442007</v>
      </c>
      <c r="P1405" s="12"/>
      <c r="Q1405" s="12"/>
      <c r="R1405" s="12"/>
      <c r="S1405" s="12"/>
      <c r="V1405">
        <v>0.35179487179487201</v>
      </c>
      <c r="W1405" s="12"/>
      <c r="X1405" s="12"/>
      <c r="AY1405" t="str">
        <v>04/04/2019</v>
      </c>
      <c r="AZ1405">
        <v>53.9</v>
      </c>
      <c r="BA1405">
        <v>19.2</v>
      </c>
    </row>
    <row r="1406" spans="1:53" x14ac:dyDescent="0.3">
      <c r="A1406" s="11">
        <v>43488</v>
      </c>
      <c r="B1406">
        <v>0.40705128205128199</v>
      </c>
      <c r="C1406">
        <v>2632.9</v>
      </c>
      <c r="D1406">
        <v>120.37</v>
      </c>
      <c r="E1406">
        <v>1285.18</v>
      </c>
      <c r="F1406">
        <v>83.61</v>
      </c>
      <c r="G1406">
        <v>43.71</v>
      </c>
      <c r="H1406" s="12">
        <f t="shared" si="180"/>
        <v>90.051795003727037</v>
      </c>
      <c r="I1406" s="12">
        <f t="shared" si="181"/>
        <v>84.40676539994756</v>
      </c>
      <c r="J1406" s="12">
        <f t="shared" si="182"/>
        <v>90.641627734122267</v>
      </c>
      <c r="K1406" s="12">
        <f t="shared" si="183"/>
        <v>96.948358486406761</v>
      </c>
      <c r="P1406" s="12"/>
      <c r="Q1406" s="12"/>
      <c r="R1406" s="12"/>
      <c r="S1406" s="12"/>
      <c r="V1406">
        <v>0.36363636363636398</v>
      </c>
      <c r="W1406" s="12"/>
      <c r="X1406" s="12"/>
      <c r="AY1406" t="str">
        <v>03/04/2019</v>
      </c>
      <c r="AZ1406">
        <v>53.9</v>
      </c>
      <c r="BA1406">
        <v>19.2</v>
      </c>
    </row>
    <row r="1407" spans="1:53" x14ac:dyDescent="0.3">
      <c r="A1407" s="11">
        <v>43484</v>
      </c>
      <c r="B1407">
        <v>0.39610389610389601</v>
      </c>
      <c r="C1407">
        <v>2670.71</v>
      </c>
      <c r="D1407">
        <v>119.56</v>
      </c>
      <c r="E1407">
        <v>1281.21</v>
      </c>
      <c r="F1407">
        <v>83.54</v>
      </c>
      <c r="G1407">
        <v>44.39</v>
      </c>
      <c r="H1407" s="12">
        <f t="shared" si="180"/>
        <v>91.977070551024099</v>
      </c>
      <c r="I1407" s="12">
        <f t="shared" si="181"/>
        <v>85.888856406638808</v>
      </c>
      <c r="J1407" s="12">
        <f t="shared" si="182"/>
        <v>92.021509218679611</v>
      </c>
      <c r="K1407" s="12">
        <f t="shared" si="183"/>
        <v>96.835885399920983</v>
      </c>
      <c r="P1407" s="12"/>
      <c r="Q1407" s="12"/>
      <c r="R1407" s="12"/>
      <c r="S1407" s="12"/>
      <c r="V1407">
        <v>0.38566912539515302</v>
      </c>
      <c r="W1407" s="12"/>
      <c r="X1407" s="12"/>
      <c r="AY1407" t="str">
        <v>02/04/2019</v>
      </c>
      <c r="AZ1407">
        <v>53.9</v>
      </c>
      <c r="BA1407">
        <v>19.2</v>
      </c>
    </row>
    <row r="1408" spans="1:53" x14ac:dyDescent="0.3">
      <c r="A1408" s="11">
        <v>43483</v>
      </c>
      <c r="B1408">
        <v>0.37458193979933102</v>
      </c>
      <c r="C1408">
        <v>2635.96</v>
      </c>
      <c r="D1408">
        <v>120.19</v>
      </c>
      <c r="E1408">
        <v>1291.99</v>
      </c>
      <c r="F1408">
        <v>83.61</v>
      </c>
      <c r="G1408">
        <v>43.96</v>
      </c>
      <c r="H1408" s="12">
        <f t="shared" si="180"/>
        <v>90.313074417571457</v>
      </c>
      <c r="I1408" s="12">
        <f t="shared" si="181"/>
        <v>84.078909012936037</v>
      </c>
      <c r="J1408" s="12">
        <f t="shared" si="182"/>
        <v>90.749180902330565</v>
      </c>
      <c r="K1408" s="12">
        <f t="shared" si="183"/>
        <v>96.507621173269214</v>
      </c>
      <c r="P1408" s="12"/>
      <c r="Q1408" s="12"/>
      <c r="R1408" s="12"/>
      <c r="S1408" s="12"/>
      <c r="V1408">
        <v>0.38682252922422999</v>
      </c>
      <c r="W1408" s="12"/>
      <c r="X1408" s="12"/>
      <c r="AY1408" t="str">
        <v>01/04/2019</v>
      </c>
      <c r="AZ1408">
        <v>53.9</v>
      </c>
      <c r="BA1408">
        <v>19.2</v>
      </c>
    </row>
    <row r="1409" spans="1:53" x14ac:dyDescent="0.3">
      <c r="A1409" s="11">
        <v>43482</v>
      </c>
      <c r="B1409">
        <v>0.367003367003367</v>
      </c>
      <c r="C1409">
        <v>2616.1</v>
      </c>
      <c r="D1409">
        <v>120.16</v>
      </c>
      <c r="E1409">
        <v>1293.6099999999999</v>
      </c>
      <c r="F1409">
        <v>83.62</v>
      </c>
      <c r="G1409">
        <v>43.81</v>
      </c>
      <c r="H1409" s="12">
        <f t="shared" si="180"/>
        <v>89.654847728221327</v>
      </c>
      <c r="I1409" s="12">
        <f t="shared" si="181"/>
        <v>83.341853466671196</v>
      </c>
      <c r="J1409" s="12">
        <f t="shared" si="182"/>
        <v>90.054764869432589</v>
      </c>
      <c r="K1409" s="12">
        <f t="shared" si="183"/>
        <v>96.10708747648188</v>
      </c>
      <c r="P1409" s="12"/>
      <c r="Q1409" s="12"/>
      <c r="R1409" s="12"/>
      <c r="S1409" s="12"/>
      <c r="V1409">
        <v>0.387473460721868</v>
      </c>
      <c r="W1409" s="12"/>
      <c r="X1409" s="12"/>
      <c r="AY1409" t="str">
        <v>29/03/2019</v>
      </c>
      <c r="AZ1409">
        <v>53.4</v>
      </c>
      <c r="BA1409">
        <v>19.399999999999999</v>
      </c>
    </row>
    <row r="1410" spans="1:53" x14ac:dyDescent="0.3">
      <c r="A1410" s="11">
        <v>43481</v>
      </c>
      <c r="B1410">
        <v>0.36912751677852401</v>
      </c>
      <c r="C1410">
        <v>2610.3000000000002</v>
      </c>
      <c r="D1410">
        <v>120.04</v>
      </c>
      <c r="E1410">
        <v>1289.8499999999999</v>
      </c>
      <c r="F1410">
        <v>83.64</v>
      </c>
      <c r="G1410">
        <v>43.62</v>
      </c>
      <c r="H1410" s="12">
        <f t="shared" ref="H1410:H1473" si="184">H1411*(1+((C1410/C1411)-(D1410/D1411)))</f>
        <v>89.545396386099881</v>
      </c>
      <c r="I1410" s="12">
        <f t="shared" ref="I1410:I1473" si="185">I1411*(1+((C1410/C1411)-(E1410/E1411)))</f>
        <v>83.399657837888654</v>
      </c>
      <c r="J1410" s="12">
        <f t="shared" si="182"/>
        <v>89.833676388707559</v>
      </c>
      <c r="K1410" s="12">
        <f t="shared" si="183"/>
        <v>96.31260251184591</v>
      </c>
      <c r="P1410" s="12"/>
      <c r="Q1410" s="12"/>
      <c r="R1410" s="12"/>
      <c r="S1410" s="12"/>
      <c r="V1410">
        <v>0.39032258064516101</v>
      </c>
      <c r="W1410" s="12"/>
      <c r="X1410" s="12"/>
      <c r="AY1410" t="str">
        <v>28/03/2019</v>
      </c>
      <c r="AZ1410">
        <v>53.4</v>
      </c>
      <c r="BA1410">
        <v>19.399999999999999</v>
      </c>
    </row>
    <row r="1411" spans="1:53" x14ac:dyDescent="0.3">
      <c r="A1411" s="11">
        <v>43480</v>
      </c>
      <c r="B1411">
        <v>0.37074829931972803</v>
      </c>
      <c r="C1411">
        <v>2582.61</v>
      </c>
      <c r="D1411">
        <v>120.48</v>
      </c>
      <c r="E1411">
        <v>1291.3</v>
      </c>
      <c r="F1411">
        <v>83.61</v>
      </c>
      <c r="G1411">
        <v>43.32</v>
      </c>
      <c r="H1411" s="12">
        <f t="shared" si="184"/>
        <v>88.276529833138895</v>
      </c>
      <c r="I1411" s="12">
        <f t="shared" si="185"/>
        <v>82.42338489330244</v>
      </c>
      <c r="J1411" s="12">
        <f t="shared" ref="J1411:J1474" si="186">J1412*(1+((C1411/C1412)-(F1411/F1412)))</f>
        <v>88.912286983036125</v>
      </c>
      <c r="K1411" s="12">
        <f t="shared" ref="K1411:K1474" si="187">K1412*(1+((C1411/C1412)-(G1411/G1412)))</f>
        <v>95.948334276924314</v>
      </c>
      <c r="P1411" s="12"/>
      <c r="Q1411" s="12"/>
      <c r="R1411" s="12"/>
      <c r="S1411" s="12"/>
      <c r="V1411">
        <v>0.393675027262814</v>
      </c>
      <c r="W1411" s="12"/>
      <c r="X1411" s="12"/>
      <c r="AY1411" t="str">
        <v>27/03/2019</v>
      </c>
      <c r="AZ1411">
        <v>53.4</v>
      </c>
      <c r="BA1411">
        <v>19.399999999999999</v>
      </c>
    </row>
    <row r="1412" spans="1:53" x14ac:dyDescent="0.3">
      <c r="A1412" s="11">
        <v>43477</v>
      </c>
      <c r="B1412">
        <v>0.37623762376237602</v>
      </c>
      <c r="C1412">
        <v>2596.2600000000002</v>
      </c>
      <c r="D1412">
        <v>120.93</v>
      </c>
      <c r="E1412">
        <v>1287.55</v>
      </c>
      <c r="F1412">
        <v>83.61</v>
      </c>
      <c r="G1412">
        <v>43.54</v>
      </c>
      <c r="H1412" s="12">
        <f t="shared" si="184"/>
        <v>88.412366752528257</v>
      </c>
      <c r="I1412" s="12">
        <f t="shared" si="185"/>
        <v>83.102336890449465</v>
      </c>
      <c r="J1412" s="12">
        <f t="shared" si="186"/>
        <v>89.382219616038583</v>
      </c>
      <c r="K1412" s="12">
        <f t="shared" si="187"/>
        <v>95.967982551824576</v>
      </c>
      <c r="P1412" s="12"/>
      <c r="Q1412" s="12"/>
      <c r="R1412" s="12"/>
      <c r="S1412" s="12"/>
      <c r="V1412">
        <v>0.38706256627783697</v>
      </c>
      <c r="W1412" s="12"/>
      <c r="X1412" s="12"/>
      <c r="AY1412" t="str">
        <v>26/03/2019</v>
      </c>
      <c r="AZ1412">
        <v>53.4</v>
      </c>
      <c r="BA1412">
        <v>19.399999999999999</v>
      </c>
    </row>
    <row r="1413" spans="1:53" x14ac:dyDescent="0.3">
      <c r="A1413" s="11">
        <v>43476</v>
      </c>
      <c r="B1413">
        <v>0.37883959044368598</v>
      </c>
      <c r="C1413">
        <v>2596.64</v>
      </c>
      <c r="D1413">
        <v>120.46</v>
      </c>
      <c r="E1413">
        <v>1286.4000000000001</v>
      </c>
      <c r="F1413">
        <v>83.56</v>
      </c>
      <c r="G1413">
        <v>43.78</v>
      </c>
      <c r="H1413" s="12">
        <f t="shared" si="184"/>
        <v>88.77171938438029</v>
      </c>
      <c r="I1413" s="12">
        <f t="shared" si="185"/>
        <v>83.188879165575685</v>
      </c>
      <c r="J1413" s="12">
        <f t="shared" si="186"/>
        <v>89.448833539287421</v>
      </c>
      <c r="K1413" s="12">
        <f t="shared" si="187"/>
        <v>95.458652196421852</v>
      </c>
      <c r="P1413" s="12"/>
      <c r="Q1413" s="12"/>
      <c r="R1413" s="12"/>
      <c r="S1413" s="12"/>
      <c r="V1413">
        <v>0.399570354457572</v>
      </c>
      <c r="W1413" s="12"/>
      <c r="X1413" s="12"/>
      <c r="AY1413" t="str">
        <v>25/03/2019</v>
      </c>
      <c r="AZ1413">
        <v>53.4</v>
      </c>
      <c r="BA1413">
        <v>19.399999999999999</v>
      </c>
    </row>
    <row r="1414" spans="1:53" x14ac:dyDescent="0.3">
      <c r="A1414" s="11">
        <v>43475</v>
      </c>
      <c r="B1414">
        <v>0.37113402061855699</v>
      </c>
      <c r="C1414">
        <v>2584.96</v>
      </c>
      <c r="D1414">
        <v>121.24</v>
      </c>
      <c r="E1414">
        <v>1293.1300000000001</v>
      </c>
      <c r="F1414">
        <v>83.55</v>
      </c>
      <c r="G1414">
        <v>43.58</v>
      </c>
      <c r="H1414" s="12">
        <f t="shared" si="184"/>
        <v>87.810027002483238</v>
      </c>
      <c r="I1414" s="12">
        <f t="shared" si="185"/>
        <v>82.387832843067272</v>
      </c>
      <c r="J1414" s="12">
        <f t="shared" si="186"/>
        <v>89.057093085511866</v>
      </c>
      <c r="K1414" s="12">
        <f t="shared" si="187"/>
        <v>95.465412672151558</v>
      </c>
      <c r="P1414" s="12"/>
      <c r="Q1414" s="12"/>
      <c r="R1414" s="12"/>
      <c r="S1414" s="12"/>
      <c r="V1414">
        <v>0.39572192513368998</v>
      </c>
      <c r="W1414" s="12"/>
      <c r="X1414" s="12"/>
      <c r="AY1414" t="str">
        <v>22/03/2019</v>
      </c>
      <c r="AZ1414">
        <v>52</v>
      </c>
      <c r="BA1414">
        <v>20.6</v>
      </c>
    </row>
    <row r="1415" spans="1:53" x14ac:dyDescent="0.3">
      <c r="A1415" s="11">
        <v>43474</v>
      </c>
      <c r="B1415">
        <v>0.38461538461538503</v>
      </c>
      <c r="C1415">
        <v>2574.41</v>
      </c>
      <c r="D1415">
        <v>121.43</v>
      </c>
      <c r="E1415">
        <v>1285.55</v>
      </c>
      <c r="F1415">
        <v>83.51</v>
      </c>
      <c r="G1415">
        <v>43.04</v>
      </c>
      <c r="H1415" s="12">
        <f t="shared" si="184"/>
        <v>87.315583839335048</v>
      </c>
      <c r="I1415" s="12">
        <f t="shared" si="185"/>
        <v>82.536256359133404</v>
      </c>
      <c r="J1415" s="12">
        <f t="shared" si="186"/>
        <v>88.735953959753743</v>
      </c>
      <c r="K1415" s="12">
        <f t="shared" si="187"/>
        <v>96.278818693254394</v>
      </c>
      <c r="P1415" s="12"/>
      <c r="Q1415" s="12"/>
      <c r="R1415" s="12"/>
      <c r="S1415" s="12"/>
      <c r="V1415">
        <v>0.39383938393839402</v>
      </c>
      <c r="W1415" s="12"/>
      <c r="X1415" s="12"/>
      <c r="AY1415" t="str">
        <v>21/03/2019</v>
      </c>
      <c r="AZ1415">
        <v>52</v>
      </c>
      <c r="BA1415">
        <v>20.6</v>
      </c>
    </row>
    <row r="1416" spans="1:53" x14ac:dyDescent="0.3">
      <c r="A1416" s="11">
        <v>43473</v>
      </c>
      <c r="B1416">
        <v>0.39051094890511001</v>
      </c>
      <c r="C1416">
        <v>2549.69</v>
      </c>
      <c r="D1416">
        <v>121.75</v>
      </c>
      <c r="E1416">
        <v>1289.1400000000001</v>
      </c>
      <c r="F1416">
        <v>83.56</v>
      </c>
      <c r="G1416">
        <v>42.76</v>
      </c>
      <c r="H1416" s="12">
        <f t="shared" si="184"/>
        <v>86.252637979576249</v>
      </c>
      <c r="I1416" s="12">
        <f t="shared" si="185"/>
        <v>81.518892545484093</v>
      </c>
      <c r="J1416" s="12">
        <f t="shared" si="186"/>
        <v>87.83184207455362</v>
      </c>
      <c r="K1416" s="12">
        <f t="shared" si="187"/>
        <v>95.97676824552326</v>
      </c>
      <c r="P1416" s="12"/>
      <c r="Q1416" s="12"/>
      <c r="R1416" s="12"/>
      <c r="S1416" s="12"/>
      <c r="V1416">
        <v>0.40224719101123602</v>
      </c>
      <c r="W1416" s="12"/>
      <c r="X1416" s="12"/>
      <c r="AY1416" t="str">
        <v>20/03/2019</v>
      </c>
      <c r="AZ1416">
        <v>52</v>
      </c>
      <c r="BA1416">
        <v>20.6</v>
      </c>
    </row>
    <row r="1417" spans="1:53" x14ac:dyDescent="0.3">
      <c r="A1417" s="11">
        <v>43470</v>
      </c>
      <c r="B1417">
        <v>0.39426523297491001</v>
      </c>
      <c r="C1417">
        <v>2531.94</v>
      </c>
      <c r="D1417">
        <v>122.11</v>
      </c>
      <c r="E1417">
        <v>1284.95</v>
      </c>
      <c r="F1417">
        <v>83.62</v>
      </c>
      <c r="G1417">
        <v>42.7</v>
      </c>
      <c r="H1417" s="12">
        <f t="shared" si="184"/>
        <v>85.402152430601632</v>
      </c>
      <c r="I1417" s="12">
        <f t="shared" si="185"/>
        <v>81.214370539350682</v>
      </c>
      <c r="J1417" s="12">
        <f t="shared" si="186"/>
        <v>87.158285772588712</v>
      </c>
      <c r="K1417" s="12">
        <f t="shared" si="187"/>
        <v>95.441790053629859</v>
      </c>
      <c r="P1417" s="12"/>
      <c r="Q1417" s="12"/>
      <c r="R1417" s="12"/>
      <c r="S1417" s="12"/>
      <c r="V1417">
        <v>0.399784482758621</v>
      </c>
      <c r="W1417" s="12"/>
      <c r="X1417" s="12"/>
      <c r="AY1417" t="str">
        <v>19/03/2019</v>
      </c>
      <c r="AZ1417">
        <v>52</v>
      </c>
      <c r="BA1417">
        <v>20.6</v>
      </c>
    </row>
    <row r="1418" spans="1:53" x14ac:dyDescent="0.3">
      <c r="A1418" s="11">
        <v>43469</v>
      </c>
      <c r="B1418">
        <v>0.41328413284132798</v>
      </c>
      <c r="C1418">
        <v>2447.89</v>
      </c>
      <c r="D1418">
        <v>123.54</v>
      </c>
      <c r="E1418">
        <v>1294.6600000000001</v>
      </c>
      <c r="F1418">
        <v>83.8</v>
      </c>
      <c r="G1418">
        <v>41.42</v>
      </c>
      <c r="H1418" s="12">
        <f t="shared" si="184"/>
        <v>81.653373269399665</v>
      </c>
      <c r="I1418" s="12">
        <f t="shared" si="185"/>
        <v>77.953143724810602</v>
      </c>
      <c r="J1418" s="12">
        <f t="shared" si="186"/>
        <v>84.090361241241396</v>
      </c>
      <c r="K1418" s="12">
        <f t="shared" si="187"/>
        <v>95.11528327878888</v>
      </c>
      <c r="P1418" s="12"/>
      <c r="Q1418" s="12"/>
      <c r="R1418" s="12"/>
      <c r="S1418" s="12"/>
      <c r="V1418">
        <v>0.40814081408140801</v>
      </c>
      <c r="W1418" s="12"/>
      <c r="X1418" s="12"/>
      <c r="AY1418" t="str">
        <v>18/03/2019</v>
      </c>
      <c r="AZ1418">
        <v>52</v>
      </c>
      <c r="BA1418">
        <v>20.6</v>
      </c>
    </row>
    <row r="1419" spans="1:53" x14ac:dyDescent="0.3">
      <c r="A1419" s="11">
        <v>43468</v>
      </c>
      <c r="B1419">
        <v>0.41221374045801501</v>
      </c>
      <c r="C1419">
        <v>2510.0300000000002</v>
      </c>
      <c r="D1419">
        <v>122.15</v>
      </c>
      <c r="E1419">
        <v>1284.55</v>
      </c>
      <c r="F1419">
        <v>83.63</v>
      </c>
      <c r="G1419">
        <v>41.81</v>
      </c>
      <c r="H1419" s="12">
        <f t="shared" si="184"/>
        <v>84.714632031311709</v>
      </c>
      <c r="I1419" s="12">
        <f t="shared" si="185"/>
        <v>80.582313894858373</v>
      </c>
      <c r="J1419" s="12">
        <f t="shared" si="186"/>
        <v>86.405105596810799</v>
      </c>
      <c r="K1419" s="12">
        <f t="shared" si="187"/>
        <v>96.605791255540197</v>
      </c>
      <c r="P1419" s="12"/>
      <c r="Q1419" s="12"/>
      <c r="R1419" s="12"/>
      <c r="S1419" s="12"/>
      <c r="V1419">
        <v>0.39869281045751598</v>
      </c>
      <c r="W1419" s="12"/>
      <c r="X1419" s="12"/>
      <c r="AY1419" t="str">
        <v>15/03/2019</v>
      </c>
      <c r="AZ1419">
        <v>53.9</v>
      </c>
      <c r="BA1419">
        <v>20.6</v>
      </c>
    </row>
    <row r="1420" spans="1:53" x14ac:dyDescent="0.3">
      <c r="A1420" s="11">
        <v>43465</v>
      </c>
      <c r="B1420">
        <v>0.41199999999999998</v>
      </c>
      <c r="C1420">
        <v>2506.85</v>
      </c>
      <c r="D1420">
        <v>121.51</v>
      </c>
      <c r="E1420">
        <v>1282.6199999999999</v>
      </c>
      <c r="F1420">
        <v>83.62</v>
      </c>
      <c r="G1420">
        <v>41.96</v>
      </c>
      <c r="H1420" s="12">
        <f t="shared" si="184"/>
        <v>85.054726072353759</v>
      </c>
      <c r="I1420" s="12">
        <f t="shared" si="185"/>
        <v>80.601352599875085</v>
      </c>
      <c r="J1420" s="12">
        <f t="shared" si="186"/>
        <v>86.305945620943362</v>
      </c>
      <c r="K1420" s="12">
        <f t="shared" si="187"/>
        <v>96.140150146159783</v>
      </c>
      <c r="P1420" s="12"/>
      <c r="Q1420" s="12"/>
      <c r="R1420" s="12"/>
      <c r="S1420" s="12"/>
      <c r="V1420">
        <v>0.4</v>
      </c>
      <c r="W1420" s="12"/>
      <c r="X1420" s="12"/>
      <c r="AY1420" t="str">
        <v>14/03/2019</v>
      </c>
      <c r="AZ1420">
        <v>53.9</v>
      </c>
      <c r="BA1420">
        <v>20.6</v>
      </c>
    </row>
    <row r="1421" spans="1:53" x14ac:dyDescent="0.3">
      <c r="A1421" s="11">
        <v>43463</v>
      </c>
      <c r="B1421">
        <v>0.43461538461538501</v>
      </c>
      <c r="C1421">
        <v>2485.7399999999998</v>
      </c>
      <c r="D1421">
        <v>121.05</v>
      </c>
      <c r="E1421">
        <v>1280.75</v>
      </c>
      <c r="F1421">
        <v>83.59</v>
      </c>
      <c r="G1421">
        <v>41.89</v>
      </c>
      <c r="H1421" s="12">
        <f t="shared" si="184"/>
        <v>84.657482832472382</v>
      </c>
      <c r="I1421" s="12">
        <f t="shared" si="185"/>
        <v>80.038493189981338</v>
      </c>
      <c r="J1421" s="12">
        <f t="shared" si="186"/>
        <v>85.609635687223388</v>
      </c>
      <c r="K1421" s="12">
        <f t="shared" si="187"/>
        <v>95.488783182627245</v>
      </c>
      <c r="P1421" s="12"/>
      <c r="Q1421" s="12"/>
      <c r="R1421" s="12"/>
      <c r="S1421" s="12"/>
      <c r="V1421">
        <v>0.38295577130528602</v>
      </c>
      <c r="W1421" s="12"/>
      <c r="X1421" s="12"/>
      <c r="AY1421" t="str">
        <v>13/03/2019</v>
      </c>
      <c r="AZ1421">
        <v>53.9</v>
      </c>
      <c r="BA1421">
        <v>20.6</v>
      </c>
    </row>
    <row r="1422" spans="1:53" x14ac:dyDescent="0.3">
      <c r="A1422" s="11">
        <v>43462</v>
      </c>
      <c r="B1422">
        <v>0.44106463878327001</v>
      </c>
      <c r="C1422">
        <v>2488.83</v>
      </c>
      <c r="D1422">
        <v>120.04</v>
      </c>
      <c r="E1422">
        <v>1274.8399999999999</v>
      </c>
      <c r="F1422">
        <v>83.47</v>
      </c>
      <c r="G1422">
        <v>41.7</v>
      </c>
      <c r="H1422" s="12">
        <f t="shared" si="184"/>
        <v>85.482854781729174</v>
      </c>
      <c r="I1422" s="12">
        <f t="shared" si="185"/>
        <v>80.511694483575724</v>
      </c>
      <c r="J1422" s="12">
        <f t="shared" si="186"/>
        <v>85.839616285836385</v>
      </c>
      <c r="K1422" s="12">
        <f t="shared" si="187"/>
        <v>96.045646442548602</v>
      </c>
      <c r="P1422" s="12"/>
      <c r="Q1422" s="12"/>
      <c r="R1422" s="12"/>
      <c r="S1422" s="12"/>
      <c r="V1422">
        <v>0.37606837606837601</v>
      </c>
      <c r="W1422" s="12"/>
      <c r="X1422" s="12"/>
      <c r="AY1422" t="str">
        <v>12/03/2019</v>
      </c>
      <c r="AZ1422">
        <v>53.9</v>
      </c>
      <c r="BA1422">
        <v>20.6</v>
      </c>
    </row>
    <row r="1423" spans="1:53" x14ac:dyDescent="0.3">
      <c r="A1423" s="11">
        <v>43461</v>
      </c>
      <c r="B1423">
        <v>0.439393939393939</v>
      </c>
      <c r="C1423">
        <v>2467.6999999999998</v>
      </c>
      <c r="D1423">
        <v>120.02</v>
      </c>
      <c r="E1423">
        <v>1267.05</v>
      </c>
      <c r="F1423">
        <v>83.38</v>
      </c>
      <c r="G1423">
        <v>41.65</v>
      </c>
      <c r="H1423" s="12">
        <f t="shared" si="184"/>
        <v>84.771117305204641</v>
      </c>
      <c r="I1423" s="12">
        <f t="shared" si="185"/>
        <v>80.31776805265784</v>
      </c>
      <c r="J1423" s="12">
        <f t="shared" si="186"/>
        <v>85.202029592613741</v>
      </c>
      <c r="K1423" s="12">
        <f t="shared" si="187"/>
        <v>95.343711832041478</v>
      </c>
      <c r="P1423" s="12"/>
      <c r="Q1423" s="12"/>
      <c r="R1423" s="12"/>
      <c r="S1423" s="12"/>
      <c r="V1423">
        <v>0.37526427061310802</v>
      </c>
      <c r="W1423" s="12"/>
      <c r="X1423" s="12"/>
      <c r="AY1423" t="str">
        <v>11/03/2019</v>
      </c>
      <c r="AZ1423">
        <v>53.9</v>
      </c>
      <c r="BA1423">
        <v>20.6</v>
      </c>
    </row>
    <row r="1424" spans="1:53" x14ac:dyDescent="0.3">
      <c r="A1424" s="11">
        <v>43459</v>
      </c>
      <c r="B1424">
        <v>0.43511450381679401</v>
      </c>
      <c r="C1424">
        <v>2351.1</v>
      </c>
      <c r="D1424">
        <v>121.32</v>
      </c>
      <c r="E1424">
        <v>1269.1300000000001</v>
      </c>
      <c r="F1424">
        <v>83.46</v>
      </c>
      <c r="G1424">
        <v>40.69</v>
      </c>
      <c r="H1424" s="12">
        <f t="shared" si="184"/>
        <v>79.949425768841138</v>
      </c>
      <c r="I1424" s="12">
        <f t="shared" si="185"/>
        <v>76.403412993982741</v>
      </c>
      <c r="J1424" s="12">
        <f t="shared" si="186"/>
        <v>81.102126494629744</v>
      </c>
      <c r="K1424" s="12">
        <f t="shared" si="187"/>
        <v>92.927523119647446</v>
      </c>
      <c r="P1424" s="12"/>
      <c r="Q1424" s="12"/>
      <c r="R1424" s="12"/>
      <c r="S1424" s="12"/>
      <c r="V1424">
        <v>0.37977296181630499</v>
      </c>
      <c r="W1424" s="12"/>
      <c r="X1424" s="12"/>
      <c r="AY1424" t="str">
        <v>08/03/2019</v>
      </c>
      <c r="AZ1424">
        <v>52.4</v>
      </c>
      <c r="BA1424">
        <v>21.4</v>
      </c>
    </row>
    <row r="1425" spans="1:53" x14ac:dyDescent="0.3">
      <c r="A1425" s="11">
        <v>43456</v>
      </c>
      <c r="B1425">
        <v>0.437037037037037</v>
      </c>
      <c r="C1425">
        <v>2416.62</v>
      </c>
      <c r="D1425">
        <v>120.72</v>
      </c>
      <c r="E1425">
        <v>1255.6600000000001</v>
      </c>
      <c r="F1425">
        <v>83.39</v>
      </c>
      <c r="G1425">
        <v>41.03</v>
      </c>
      <c r="H1425" s="12">
        <f t="shared" si="184"/>
        <v>82.599415453250046</v>
      </c>
      <c r="I1425" s="12">
        <f t="shared" si="185"/>
        <v>79.408193126800583</v>
      </c>
      <c r="J1425" s="12">
        <f t="shared" si="186"/>
        <v>83.434253796894978</v>
      </c>
      <c r="K1425" s="12">
        <f t="shared" si="187"/>
        <v>94.710507922569221</v>
      </c>
      <c r="P1425" s="12"/>
      <c r="Q1425" s="12"/>
      <c r="R1425" s="12"/>
      <c r="S1425" s="12"/>
      <c r="V1425">
        <v>0.38538538538538503</v>
      </c>
      <c r="W1425" s="12"/>
      <c r="X1425" s="12"/>
      <c r="AY1425" t="str">
        <v>07/03/2019</v>
      </c>
      <c r="AZ1425">
        <v>52.4</v>
      </c>
      <c r="BA1425">
        <v>21.4</v>
      </c>
    </row>
    <row r="1426" spans="1:53" x14ac:dyDescent="0.3">
      <c r="A1426" s="11">
        <v>43455</v>
      </c>
      <c r="B1426">
        <v>0.44402985074626899</v>
      </c>
      <c r="C1426">
        <v>2467.42</v>
      </c>
      <c r="D1426">
        <v>120.74</v>
      </c>
      <c r="E1426">
        <v>1259.8</v>
      </c>
      <c r="F1426">
        <v>83.33</v>
      </c>
      <c r="G1426">
        <v>41.71</v>
      </c>
      <c r="H1426" s="12">
        <f t="shared" si="184"/>
        <v>84.321484601093729</v>
      </c>
      <c r="I1426" s="12">
        <f t="shared" si="185"/>
        <v>80.806309625425712</v>
      </c>
      <c r="J1426" s="12">
        <f t="shared" si="186"/>
        <v>85.250806595325159</v>
      </c>
      <c r="K1426" s="12">
        <f t="shared" si="187"/>
        <v>95.118113960029618</v>
      </c>
      <c r="P1426" s="12"/>
      <c r="Q1426" s="12"/>
      <c r="R1426" s="12"/>
      <c r="S1426" s="12"/>
      <c r="V1426">
        <v>0.38615847542627901</v>
      </c>
      <c r="W1426" s="12"/>
      <c r="X1426" s="12"/>
      <c r="AY1426" t="str">
        <v>06/03/2019</v>
      </c>
      <c r="AZ1426">
        <v>52.4</v>
      </c>
      <c r="BA1426">
        <v>21.4</v>
      </c>
    </row>
    <row r="1427" spans="1:53" x14ac:dyDescent="0.3">
      <c r="A1427" s="11">
        <v>43454</v>
      </c>
      <c r="B1427">
        <v>0.45864661654135302</v>
      </c>
      <c r="C1427">
        <v>2506.96</v>
      </c>
      <c r="D1427">
        <v>121.18</v>
      </c>
      <c r="E1427">
        <v>1243.0999999999999</v>
      </c>
      <c r="F1427">
        <v>83.34</v>
      </c>
      <c r="G1427">
        <v>41.74</v>
      </c>
      <c r="H1427" s="12">
        <f t="shared" si="184"/>
        <v>85.357824904243714</v>
      </c>
      <c r="I1427" s="12">
        <f t="shared" si="185"/>
        <v>83.237360540681621</v>
      </c>
      <c r="J1427" s="12">
        <f t="shared" si="186"/>
        <v>86.606378297676486</v>
      </c>
      <c r="K1427" s="12">
        <f t="shared" si="187"/>
        <v>96.57184426043213</v>
      </c>
      <c r="P1427" s="12"/>
      <c r="Q1427" s="12"/>
      <c r="R1427" s="12"/>
      <c r="S1427" s="12"/>
      <c r="V1427">
        <v>0.37688442211055301</v>
      </c>
      <c r="W1427" s="12"/>
      <c r="X1427" s="12"/>
      <c r="AY1427" t="str">
        <v>05/03/2019</v>
      </c>
      <c r="AZ1427">
        <v>52.4</v>
      </c>
      <c r="BA1427">
        <v>21.4</v>
      </c>
    </row>
    <row r="1428" spans="1:53" x14ac:dyDescent="0.3">
      <c r="A1428" s="11">
        <v>43453</v>
      </c>
      <c r="B1428">
        <v>0.47037037037036999</v>
      </c>
      <c r="C1428">
        <v>2546.16</v>
      </c>
      <c r="D1428">
        <v>119.6</v>
      </c>
      <c r="E1428">
        <v>1249.49</v>
      </c>
      <c r="F1428">
        <v>83.32</v>
      </c>
      <c r="G1428">
        <v>42.22</v>
      </c>
      <c r="H1428" s="12">
        <f t="shared" si="184"/>
        <v>87.871515754027143</v>
      </c>
      <c r="I1428" s="12">
        <f t="shared" si="185"/>
        <v>84.102068288109976</v>
      </c>
      <c r="J1428" s="12">
        <f t="shared" si="186"/>
        <v>87.982045464462189</v>
      </c>
      <c r="K1428" s="12">
        <f t="shared" si="187"/>
        <v>96.962283622137377</v>
      </c>
      <c r="P1428" s="12"/>
      <c r="Q1428" s="12"/>
      <c r="R1428" s="12"/>
      <c r="S1428" s="12"/>
      <c r="V1428">
        <v>0.38232373386295898</v>
      </c>
      <c r="W1428" s="12"/>
      <c r="X1428" s="12"/>
      <c r="AY1428" t="str">
        <v>04/03/2019</v>
      </c>
      <c r="AZ1428">
        <v>52.4</v>
      </c>
      <c r="BA1428">
        <v>21.4</v>
      </c>
    </row>
    <row r="1429" spans="1:53" x14ac:dyDescent="0.3">
      <c r="A1429" s="11">
        <v>43452</v>
      </c>
      <c r="B1429">
        <v>0.47955390334572501</v>
      </c>
      <c r="C1429">
        <v>2545.94</v>
      </c>
      <c r="D1429">
        <v>119.17</v>
      </c>
      <c r="E1429">
        <v>1245.8800000000001</v>
      </c>
      <c r="F1429">
        <v>83.39</v>
      </c>
      <c r="G1429">
        <v>42.52</v>
      </c>
      <c r="H1429" s="12">
        <f t="shared" si="184"/>
        <v>88.182082341474683</v>
      </c>
      <c r="I1429" s="12">
        <f t="shared" si="185"/>
        <v>84.33915731790897</v>
      </c>
      <c r="J1429" s="12">
        <f t="shared" si="186"/>
        <v>87.900663401784087</v>
      </c>
      <c r="K1429" s="12">
        <f t="shared" si="187"/>
        <v>96.274697876287036</v>
      </c>
      <c r="P1429" s="12"/>
      <c r="Q1429" s="12"/>
      <c r="R1429" s="12"/>
      <c r="S1429" s="12"/>
      <c r="V1429">
        <v>0.39104477611940303</v>
      </c>
      <c r="W1429" s="12"/>
      <c r="X1429" s="12"/>
      <c r="AY1429" t="str">
        <v>01/03/2019</v>
      </c>
      <c r="AZ1429">
        <v>52.9</v>
      </c>
      <c r="BA1429">
        <v>20.6</v>
      </c>
    </row>
    <row r="1430" spans="1:53" x14ac:dyDescent="0.3">
      <c r="A1430" s="11">
        <v>43449</v>
      </c>
      <c r="B1430">
        <v>0.46953405017921102</v>
      </c>
      <c r="C1430">
        <v>2599.9499999999998</v>
      </c>
      <c r="D1430">
        <v>118.48</v>
      </c>
      <c r="E1430">
        <v>1238.42</v>
      </c>
      <c r="F1430">
        <v>83.305000000000007</v>
      </c>
      <c r="G1430">
        <v>42.95</v>
      </c>
      <c r="H1430" s="12">
        <f t="shared" si="184"/>
        <v>90.591568403092424</v>
      </c>
      <c r="I1430" s="12">
        <f t="shared" si="185"/>
        <v>86.661448499865031</v>
      </c>
      <c r="J1430" s="12">
        <f t="shared" si="186"/>
        <v>89.859035342734103</v>
      </c>
      <c r="K1430" s="12">
        <f t="shared" si="187"/>
        <v>97.322061844748674</v>
      </c>
      <c r="P1430" s="12"/>
      <c r="Q1430" s="12"/>
      <c r="R1430" s="12"/>
      <c r="S1430" s="12"/>
      <c r="V1430">
        <v>0.38364167478091499</v>
      </c>
      <c r="W1430" s="12"/>
      <c r="X1430" s="12"/>
      <c r="AY1430" t="str">
        <v>28/02/2019</v>
      </c>
      <c r="AZ1430">
        <v>52.9</v>
      </c>
      <c r="BA1430">
        <v>20.6</v>
      </c>
    </row>
    <row r="1431" spans="1:53" x14ac:dyDescent="0.3">
      <c r="A1431" s="11">
        <v>43448</v>
      </c>
      <c r="B1431">
        <v>0.46808510638297901</v>
      </c>
      <c r="C1431">
        <v>2650.54</v>
      </c>
      <c r="D1431">
        <v>118.07</v>
      </c>
      <c r="E1431">
        <v>1242.05</v>
      </c>
      <c r="F1431">
        <v>83.26</v>
      </c>
      <c r="G1431">
        <v>43.53</v>
      </c>
      <c r="H1431" s="12">
        <f t="shared" si="184"/>
        <v>92.682408747990891</v>
      </c>
      <c r="I1431" s="12">
        <f t="shared" si="185"/>
        <v>88.085266590355886</v>
      </c>
      <c r="J1431" s="12">
        <f t="shared" si="186"/>
        <v>91.658021285634319</v>
      </c>
      <c r="K1431" s="12">
        <f t="shared" si="187"/>
        <v>97.886133863517628</v>
      </c>
      <c r="P1431" s="12"/>
      <c r="Q1431" s="12"/>
      <c r="R1431" s="12"/>
      <c r="S1431" s="12"/>
      <c r="V1431">
        <v>0.38986354775828502</v>
      </c>
      <c r="W1431" s="12"/>
      <c r="X1431" s="12"/>
      <c r="AY1431" t="str">
        <v>27/02/2019</v>
      </c>
      <c r="AZ1431">
        <v>52.9</v>
      </c>
      <c r="BA1431">
        <v>20.6</v>
      </c>
    </row>
    <row r="1432" spans="1:53" x14ac:dyDescent="0.3">
      <c r="A1432" s="11">
        <v>43447</v>
      </c>
      <c r="B1432">
        <v>0.487544483985765</v>
      </c>
      <c r="C1432">
        <v>2651.07</v>
      </c>
      <c r="D1432">
        <v>118.35</v>
      </c>
      <c r="E1432">
        <v>1245.55</v>
      </c>
      <c r="F1432">
        <v>83.18</v>
      </c>
      <c r="G1432">
        <v>43.53</v>
      </c>
      <c r="H1432" s="12">
        <f t="shared" si="184"/>
        <v>92.482097640154578</v>
      </c>
      <c r="I1432" s="12">
        <f t="shared" si="185"/>
        <v>87.855955138114723</v>
      </c>
      <c r="J1432" s="12">
        <f t="shared" si="186"/>
        <v>91.764623232980767</v>
      </c>
      <c r="K1432" s="12">
        <f t="shared" si="187"/>
        <v>97.905707101781402</v>
      </c>
      <c r="P1432" s="12"/>
      <c r="Q1432" s="12"/>
      <c r="R1432" s="12"/>
      <c r="S1432" s="12"/>
      <c r="V1432">
        <v>0.38258317025440303</v>
      </c>
      <c r="W1432" s="12"/>
      <c r="X1432" s="12"/>
      <c r="AY1432" t="str">
        <v>26/02/2019</v>
      </c>
      <c r="AZ1432">
        <v>52.9</v>
      </c>
      <c r="BA1432">
        <v>20.6</v>
      </c>
    </row>
    <row r="1433" spans="1:53" x14ac:dyDescent="0.3">
      <c r="A1433" s="11">
        <v>43446</v>
      </c>
      <c r="B1433">
        <v>0.50170648464163803</v>
      </c>
      <c r="C1433">
        <v>2636.78</v>
      </c>
      <c r="D1433">
        <v>118.88</v>
      </c>
      <c r="E1433">
        <v>1242.52</v>
      </c>
      <c r="F1433">
        <v>83.19</v>
      </c>
      <c r="G1433">
        <v>42.93</v>
      </c>
      <c r="H1433" s="12">
        <f t="shared" si="184"/>
        <v>91.577516346660531</v>
      </c>
      <c r="I1433" s="12">
        <f t="shared" si="185"/>
        <v>87.594843984394075</v>
      </c>
      <c r="J1433" s="12">
        <f t="shared" si="186"/>
        <v>91.259075725631334</v>
      </c>
      <c r="K1433" s="12">
        <f t="shared" si="187"/>
        <v>98.750692232631479</v>
      </c>
      <c r="P1433" s="12"/>
      <c r="Q1433" s="12"/>
      <c r="R1433" s="12"/>
      <c r="S1433" s="12"/>
      <c r="V1433">
        <v>0.38544739429695202</v>
      </c>
      <c r="W1433" s="12"/>
      <c r="X1433" s="12"/>
      <c r="AY1433" t="str">
        <v>25/02/2019</v>
      </c>
      <c r="AZ1433">
        <v>52.9</v>
      </c>
      <c r="BA1433">
        <v>20.6</v>
      </c>
    </row>
    <row r="1434" spans="1:53" x14ac:dyDescent="0.3">
      <c r="A1434" s="11">
        <v>43445</v>
      </c>
      <c r="B1434">
        <v>0.50170648464163803</v>
      </c>
      <c r="C1434">
        <v>2637.72</v>
      </c>
      <c r="D1434">
        <v>118.9</v>
      </c>
      <c r="E1434">
        <v>1244.47</v>
      </c>
      <c r="F1434">
        <v>83.27</v>
      </c>
      <c r="G1434">
        <v>42.78</v>
      </c>
      <c r="H1434" s="12">
        <f t="shared" si="184"/>
        <v>91.594750796661884</v>
      </c>
      <c r="I1434" s="12">
        <f t="shared" si="185"/>
        <v>87.488933055357705</v>
      </c>
      <c r="J1434" s="12">
        <f t="shared" si="186"/>
        <v>91.203955541067131</v>
      </c>
      <c r="K1434" s="12">
        <f t="shared" si="187"/>
        <v>99.133613633487229</v>
      </c>
      <c r="P1434" s="12"/>
      <c r="Q1434" s="12"/>
      <c r="R1434" s="12"/>
      <c r="S1434" s="12"/>
      <c r="V1434">
        <v>0.385221674876847</v>
      </c>
      <c r="W1434" s="12"/>
      <c r="X1434" s="12"/>
      <c r="AY1434" t="str">
        <v>22/02/2019</v>
      </c>
      <c r="AZ1434">
        <v>52.4</v>
      </c>
      <c r="BA1434">
        <v>20.399999999999999</v>
      </c>
    </row>
    <row r="1435" spans="1:53" x14ac:dyDescent="0.3">
      <c r="A1435" s="11">
        <v>43442</v>
      </c>
      <c r="B1435">
        <v>0.53770491803278697</v>
      </c>
      <c r="C1435">
        <v>2633.08</v>
      </c>
      <c r="D1435">
        <v>118.41</v>
      </c>
      <c r="E1435">
        <v>1248.68</v>
      </c>
      <c r="F1435">
        <v>83.27</v>
      </c>
      <c r="G1435">
        <v>43.140999999999998</v>
      </c>
      <c r="H1435" s="12">
        <f t="shared" si="184"/>
        <v>91.812895404850565</v>
      </c>
      <c r="I1435" s="12">
        <f t="shared" si="185"/>
        <v>87.042080321858634</v>
      </c>
      <c r="J1435" s="12">
        <f t="shared" si="186"/>
        <v>91.043519121086788</v>
      </c>
      <c r="K1435" s="12">
        <f t="shared" si="187"/>
        <v>98.139450720430204</v>
      </c>
      <c r="P1435" s="12"/>
      <c r="Q1435" s="12"/>
      <c r="R1435" s="12"/>
      <c r="S1435" s="12"/>
      <c r="V1435">
        <v>0.39101338432122401</v>
      </c>
      <c r="W1435" s="12"/>
      <c r="X1435" s="12"/>
      <c r="AY1435" t="str">
        <v>21/02/2019</v>
      </c>
      <c r="AZ1435">
        <v>52.4</v>
      </c>
      <c r="BA1435">
        <v>20.399999999999999</v>
      </c>
    </row>
    <row r="1436" spans="1:53" x14ac:dyDescent="0.3">
      <c r="A1436" s="11">
        <v>43441</v>
      </c>
      <c r="B1436">
        <v>0.55882352941176505</v>
      </c>
      <c r="C1436">
        <v>2695.95</v>
      </c>
      <c r="D1436">
        <v>118.19</v>
      </c>
      <c r="E1436">
        <v>1237.8499999999999</v>
      </c>
      <c r="F1436">
        <v>83.18</v>
      </c>
      <c r="G1436">
        <v>43.64</v>
      </c>
      <c r="H1436" s="12">
        <f t="shared" si="184"/>
        <v>94.184612285608935</v>
      </c>
      <c r="I1436" s="12">
        <f t="shared" si="185"/>
        <v>89.925933621689879</v>
      </c>
      <c r="J1436" s="12">
        <f t="shared" si="186"/>
        <v>93.32074656446099</v>
      </c>
      <c r="K1436" s="12">
        <f t="shared" si="187"/>
        <v>99.319937868707044</v>
      </c>
      <c r="P1436" s="12"/>
      <c r="Q1436" s="12"/>
      <c r="R1436" s="12"/>
      <c r="S1436" s="12"/>
      <c r="V1436">
        <v>0.39769452449567699</v>
      </c>
      <c r="W1436" s="12"/>
      <c r="X1436" s="12"/>
      <c r="AY1436" t="str">
        <v>20/02/2019</v>
      </c>
      <c r="AZ1436">
        <v>52.4</v>
      </c>
      <c r="BA1436">
        <v>20.399999999999999</v>
      </c>
    </row>
    <row r="1437" spans="1:53" x14ac:dyDescent="0.3">
      <c r="A1437" s="11">
        <v>43439</v>
      </c>
      <c r="B1437">
        <v>0.56435643564356397</v>
      </c>
      <c r="C1437">
        <v>2700.06</v>
      </c>
      <c r="D1437">
        <v>117.82</v>
      </c>
      <c r="E1437">
        <v>1238.6300000000001</v>
      </c>
      <c r="F1437">
        <v>83.1</v>
      </c>
      <c r="G1437">
        <v>44.1</v>
      </c>
      <c r="H1437" s="12">
        <f t="shared" si="184"/>
        <v>94.625811949899386</v>
      </c>
      <c r="I1437" s="12">
        <f t="shared" si="185"/>
        <v>90.006260644155219</v>
      </c>
      <c r="J1437" s="12">
        <f t="shared" si="186"/>
        <v>93.553215447374626</v>
      </c>
      <c r="K1437" s="12">
        <f t="shared" si="187"/>
        <v>98.442944075269779</v>
      </c>
      <c r="P1437" s="12"/>
      <c r="Q1437" s="12"/>
      <c r="R1437" s="12"/>
      <c r="S1437" s="12"/>
      <c r="V1437">
        <v>0.38989513822688299</v>
      </c>
      <c r="W1437" s="12"/>
      <c r="X1437" s="12"/>
      <c r="AY1437" t="str">
        <v>19/02/2019</v>
      </c>
      <c r="AZ1437">
        <v>52.4</v>
      </c>
      <c r="BA1437">
        <v>20.399999999999999</v>
      </c>
    </row>
    <row r="1438" spans="1:53" x14ac:dyDescent="0.3">
      <c r="A1438" s="11">
        <v>43438</v>
      </c>
      <c r="B1438">
        <v>0.56902356902356899</v>
      </c>
      <c r="C1438">
        <v>2790.37</v>
      </c>
      <c r="D1438">
        <v>115.88</v>
      </c>
      <c r="E1438">
        <v>1230.82</v>
      </c>
      <c r="F1438">
        <v>83.04</v>
      </c>
      <c r="G1438">
        <v>45.18</v>
      </c>
      <c r="H1438" s="12">
        <f t="shared" si="184"/>
        <v>99.512506970281635</v>
      </c>
      <c r="I1438" s="12">
        <f t="shared" si="185"/>
        <v>93.630729279232426</v>
      </c>
      <c r="J1438" s="12">
        <f t="shared" si="186"/>
        <v>96.754575384022473</v>
      </c>
      <c r="K1438" s="12">
        <f t="shared" si="187"/>
        <v>99.282927385665744</v>
      </c>
      <c r="P1438" s="12"/>
      <c r="Q1438" s="12"/>
      <c r="R1438" s="12"/>
      <c r="S1438" s="12"/>
      <c r="V1438">
        <v>0.38623326959846999</v>
      </c>
      <c r="W1438" s="12"/>
      <c r="X1438" s="12"/>
      <c r="AY1438" t="str">
        <v>18/02/2019</v>
      </c>
      <c r="AZ1438">
        <v>52.4</v>
      </c>
      <c r="BA1438">
        <v>20.399999999999999</v>
      </c>
    </row>
    <row r="1439" spans="1:53" x14ac:dyDescent="0.3">
      <c r="A1439" s="11">
        <v>43434</v>
      </c>
      <c r="B1439">
        <v>0.61212121212121196</v>
      </c>
      <c r="C1439">
        <v>2760.17</v>
      </c>
      <c r="D1439">
        <v>115.33</v>
      </c>
      <c r="E1439">
        <v>1222.105</v>
      </c>
      <c r="F1439">
        <v>83.25</v>
      </c>
      <c r="G1439">
        <v>44.52</v>
      </c>
      <c r="H1439" s="12">
        <f t="shared" si="184"/>
        <v>98.902040936543614</v>
      </c>
      <c r="I1439" s="12">
        <f t="shared" si="185"/>
        <v>93.275330070559022</v>
      </c>
      <c r="J1439" s="12">
        <f t="shared" si="186"/>
        <v>95.469189898190919</v>
      </c>
      <c r="K1439" s="12">
        <f t="shared" si="187"/>
        <v>99.669990089280134</v>
      </c>
      <c r="P1439" s="12"/>
      <c r="Q1439" s="12"/>
      <c r="R1439" s="12"/>
      <c r="S1439" s="12"/>
      <c r="V1439">
        <v>0.39456419868790998</v>
      </c>
      <c r="W1439" s="12"/>
      <c r="X1439" s="12"/>
      <c r="AY1439" t="str">
        <v>15/02/2019</v>
      </c>
      <c r="AZ1439">
        <v>51.9</v>
      </c>
      <c r="BA1439">
        <v>20.7</v>
      </c>
    </row>
    <row r="1440" spans="1:53" x14ac:dyDescent="0.3">
      <c r="A1440" s="11">
        <v>43434</v>
      </c>
      <c r="B1440">
        <v>0.59130434782608698</v>
      </c>
      <c r="C1440">
        <v>2737.76</v>
      </c>
      <c r="D1440">
        <v>114.9</v>
      </c>
      <c r="E1440">
        <v>1223.97</v>
      </c>
      <c r="F1440">
        <v>83.22</v>
      </c>
      <c r="G1440">
        <v>44.7</v>
      </c>
      <c r="H1440" s="12">
        <f t="shared" si="184"/>
        <v>98.464549233147594</v>
      </c>
      <c r="I1440" s="12">
        <f t="shared" si="185"/>
        <v>92.378404667329775</v>
      </c>
      <c r="J1440" s="12">
        <f t="shared" si="186"/>
        <v>94.727940574162034</v>
      </c>
      <c r="K1440" s="12">
        <f t="shared" si="187"/>
        <v>98.46746896766804</v>
      </c>
      <c r="P1440" s="12"/>
      <c r="Q1440" s="12"/>
      <c r="R1440" s="12"/>
      <c r="S1440" s="12"/>
      <c r="V1440">
        <v>0.39613970588235298</v>
      </c>
      <c r="W1440" s="12"/>
      <c r="X1440" s="12"/>
      <c r="AY1440" t="str">
        <v>14/02/2019</v>
      </c>
      <c r="AZ1440">
        <v>51.9</v>
      </c>
      <c r="BA1440">
        <v>20.7</v>
      </c>
    </row>
    <row r="1441" spans="1:53" x14ac:dyDescent="0.3">
      <c r="A1441" s="11">
        <v>43433</v>
      </c>
      <c r="B1441">
        <v>0.61714285714285699</v>
      </c>
      <c r="C1441">
        <v>2743.79</v>
      </c>
      <c r="D1441">
        <v>114.45</v>
      </c>
      <c r="E1441">
        <v>1221.18</v>
      </c>
      <c r="F1441">
        <v>83.2</v>
      </c>
      <c r="G1441">
        <v>44.89</v>
      </c>
      <c r="H1441" s="12">
        <f t="shared" si="184"/>
        <v>99.071813682319075</v>
      </c>
      <c r="I1441" s="12">
        <f t="shared" si="185"/>
        <v>92.794342831412649</v>
      </c>
      <c r="J1441" s="12">
        <f t="shared" si="186"/>
        <v>94.959458825576235</v>
      </c>
      <c r="K1441" s="12">
        <f t="shared" si="187"/>
        <v>98.267506536838667</v>
      </c>
      <c r="P1441" s="12"/>
      <c r="Q1441" s="12"/>
      <c r="R1441" s="12"/>
      <c r="S1441" s="12"/>
      <c r="V1441">
        <v>0.38833181403828598</v>
      </c>
      <c r="W1441" s="12"/>
      <c r="X1441" s="12"/>
      <c r="AY1441" t="str">
        <v>13/02/2019</v>
      </c>
      <c r="AZ1441">
        <v>51.9</v>
      </c>
      <c r="BA1441">
        <v>20.7</v>
      </c>
    </row>
    <row r="1442" spans="1:53" x14ac:dyDescent="0.3">
      <c r="A1442" s="11">
        <v>43432</v>
      </c>
      <c r="B1442">
        <v>0.629737609329446</v>
      </c>
      <c r="C1442">
        <v>2682.17</v>
      </c>
      <c r="D1442">
        <v>115.01</v>
      </c>
      <c r="E1442">
        <v>1215.04</v>
      </c>
      <c r="F1442">
        <v>83.17</v>
      </c>
      <c r="G1442">
        <v>44.18</v>
      </c>
      <c r="H1442" s="12">
        <f t="shared" si="184"/>
        <v>96.388073130857208</v>
      </c>
      <c r="I1442" s="12">
        <f t="shared" si="185"/>
        <v>91.160688263460315</v>
      </c>
      <c r="J1442" s="12">
        <f t="shared" si="186"/>
        <v>92.859603413910875</v>
      </c>
      <c r="K1442" s="12">
        <f t="shared" si="187"/>
        <v>97.593785881718574</v>
      </c>
      <c r="P1442" s="12"/>
      <c r="Q1442" s="12"/>
      <c r="R1442" s="12"/>
      <c r="S1442" s="12"/>
      <c r="V1442">
        <v>0.39541284403669702</v>
      </c>
      <c r="W1442" s="12"/>
      <c r="X1442" s="12"/>
      <c r="AY1442" t="str">
        <v>12/02/2019</v>
      </c>
      <c r="AZ1442">
        <v>51.9</v>
      </c>
      <c r="BA1442">
        <v>20.7</v>
      </c>
    </row>
    <row r="1443" spans="1:53" x14ac:dyDescent="0.3">
      <c r="A1443" s="11">
        <v>43431</v>
      </c>
      <c r="B1443">
        <v>0.62790697674418605</v>
      </c>
      <c r="C1443">
        <v>2673.45</v>
      </c>
      <c r="D1443">
        <v>114.88</v>
      </c>
      <c r="E1443">
        <v>1222.27</v>
      </c>
      <c r="F1443">
        <v>83.16</v>
      </c>
      <c r="G1443">
        <v>44.22</v>
      </c>
      <c r="H1443" s="12">
        <f t="shared" si="184"/>
        <v>96.183194515895195</v>
      </c>
      <c r="I1443" s="12">
        <f t="shared" si="185"/>
        <v>90.331720714770398</v>
      </c>
      <c r="J1443" s="12">
        <f t="shared" si="186"/>
        <v>92.568802877566355</v>
      </c>
      <c r="K1443" s="12">
        <f t="shared" si="187"/>
        <v>97.188870697360031</v>
      </c>
      <c r="P1443" s="12"/>
      <c r="Q1443" s="12"/>
      <c r="R1443" s="12"/>
      <c r="S1443" s="12"/>
      <c r="V1443">
        <v>0.39391143911439103</v>
      </c>
      <c r="W1443" s="12"/>
      <c r="X1443" s="12"/>
      <c r="AY1443" t="str">
        <v>11/02/2019</v>
      </c>
      <c r="AZ1443">
        <v>51.9</v>
      </c>
      <c r="BA1443">
        <v>20.7</v>
      </c>
    </row>
    <row r="1444" spans="1:53" x14ac:dyDescent="0.3">
      <c r="A1444" s="11">
        <v>43428</v>
      </c>
      <c r="B1444">
        <v>0.64735516372795998</v>
      </c>
      <c r="C1444">
        <v>2632.56</v>
      </c>
      <c r="D1444">
        <v>115.14</v>
      </c>
      <c r="E1444">
        <v>1223.19</v>
      </c>
      <c r="F1444">
        <v>83.15</v>
      </c>
      <c r="G1444">
        <v>43.63</v>
      </c>
      <c r="H1444" s="12">
        <f t="shared" si="184"/>
        <v>94.501954650333232</v>
      </c>
      <c r="I1444" s="12">
        <f t="shared" si="185"/>
        <v>88.884280975732253</v>
      </c>
      <c r="J1444" s="12">
        <f t="shared" si="186"/>
        <v>91.16377358617531</v>
      </c>
      <c r="K1444" s="12">
        <f t="shared" si="187"/>
        <v>96.993951254408884</v>
      </c>
      <c r="P1444" s="12"/>
      <c r="Q1444" s="12"/>
      <c r="R1444" s="12"/>
      <c r="S1444" s="12"/>
      <c r="V1444">
        <v>0.38818181818181802</v>
      </c>
      <c r="W1444" s="12"/>
      <c r="X1444" s="12"/>
      <c r="AY1444" t="str">
        <v>08/02/2019</v>
      </c>
      <c r="AZ1444">
        <v>49.5</v>
      </c>
      <c r="BA1444">
        <v>21.5</v>
      </c>
    </row>
    <row r="1445" spans="1:53" x14ac:dyDescent="0.3">
      <c r="A1445" s="11">
        <v>43426</v>
      </c>
      <c r="B1445">
        <v>0.64114832535885202</v>
      </c>
      <c r="C1445">
        <v>2649.93</v>
      </c>
      <c r="D1445">
        <v>115.02</v>
      </c>
      <c r="E1445">
        <v>1226.02</v>
      </c>
      <c r="F1445">
        <v>83.17</v>
      </c>
      <c r="G1445">
        <v>43.98</v>
      </c>
      <c r="H1445" s="12">
        <f t="shared" si="184"/>
        <v>95.225495769320517</v>
      </c>
      <c r="I1445" s="12">
        <f t="shared" si="185"/>
        <v>89.263347425092292</v>
      </c>
      <c r="J1445" s="12">
        <f t="shared" si="186"/>
        <v>91.743077801911014</v>
      </c>
      <c r="K1445" s="12">
        <f t="shared" si="187"/>
        <v>96.858033023593535</v>
      </c>
      <c r="P1445" s="12"/>
      <c r="Q1445" s="12"/>
      <c r="R1445" s="12"/>
      <c r="S1445" s="12"/>
      <c r="V1445">
        <v>0.39266055045871601</v>
      </c>
      <c r="W1445" s="12"/>
      <c r="X1445" s="12"/>
      <c r="AY1445" t="str">
        <v>07/02/2019</v>
      </c>
      <c r="AZ1445">
        <v>49.5</v>
      </c>
      <c r="BA1445">
        <v>21.5</v>
      </c>
    </row>
    <row r="1446" spans="1:53" x14ac:dyDescent="0.3">
      <c r="A1446" s="11">
        <v>43425</v>
      </c>
      <c r="B1446">
        <v>0.64096385542168699</v>
      </c>
      <c r="C1446">
        <v>2641.89</v>
      </c>
      <c r="D1446">
        <v>115.06</v>
      </c>
      <c r="E1446">
        <v>1221.69</v>
      </c>
      <c r="F1446">
        <v>83.17</v>
      </c>
      <c r="G1446">
        <v>43.3</v>
      </c>
      <c r="H1446" s="12">
        <f t="shared" si="184"/>
        <v>94.903684914468712</v>
      </c>
      <c r="I1446" s="12">
        <f t="shared" si="185"/>
        <v>89.308090314372777</v>
      </c>
      <c r="J1446" s="12">
        <f t="shared" si="186"/>
        <v>91.464725413158334</v>
      </c>
      <c r="K1446" s="12">
        <f t="shared" si="187"/>
        <v>98.100089255995343</v>
      </c>
      <c r="P1446" s="12"/>
      <c r="Q1446" s="12"/>
      <c r="R1446" s="12"/>
      <c r="S1446" s="12"/>
      <c r="V1446">
        <v>0.38863428047662701</v>
      </c>
      <c r="W1446" s="12"/>
      <c r="X1446" s="12"/>
      <c r="AY1446" t="str">
        <v>06/02/2019</v>
      </c>
      <c r="AZ1446">
        <v>49.5</v>
      </c>
      <c r="BA1446">
        <v>21.5</v>
      </c>
    </row>
    <row r="1447" spans="1:53" x14ac:dyDescent="0.3">
      <c r="A1447" s="11">
        <v>43424</v>
      </c>
      <c r="B1447">
        <v>0.63990267639902698</v>
      </c>
      <c r="C1447">
        <v>2690.73</v>
      </c>
      <c r="D1447">
        <v>115.02</v>
      </c>
      <c r="E1447">
        <v>1224.1600000000001</v>
      </c>
      <c r="F1447">
        <v>83.19</v>
      </c>
      <c r="G1447">
        <v>44.15</v>
      </c>
      <c r="H1447" s="12">
        <f t="shared" si="184"/>
        <v>96.692394980642177</v>
      </c>
      <c r="I1447" s="12">
        <f t="shared" si="185"/>
        <v>90.772569374774349</v>
      </c>
      <c r="J1447" s="12">
        <f t="shared" si="186"/>
        <v>93.132808000819793</v>
      </c>
      <c r="K1447" s="12">
        <f t="shared" si="187"/>
        <v>97.992166553984362</v>
      </c>
      <c r="P1447" s="12"/>
      <c r="Q1447" s="12"/>
      <c r="R1447" s="12"/>
      <c r="S1447" s="12"/>
      <c r="V1447">
        <v>0.39098436062557501</v>
      </c>
      <c r="W1447" s="12"/>
      <c r="X1447" s="12"/>
      <c r="AY1447" t="str">
        <v>05/02/2019</v>
      </c>
      <c r="AZ1447">
        <v>49.5</v>
      </c>
      <c r="BA1447">
        <v>21.5</v>
      </c>
    </row>
    <row r="1448" spans="1:53" x14ac:dyDescent="0.3">
      <c r="A1448" s="11">
        <v>43421</v>
      </c>
      <c r="B1448">
        <v>0.645308924485126</v>
      </c>
      <c r="C1448">
        <v>2736.27</v>
      </c>
      <c r="D1448">
        <v>114.7</v>
      </c>
      <c r="E1448">
        <v>1221.2249999999999</v>
      </c>
      <c r="F1448">
        <v>83.12</v>
      </c>
      <c r="G1448">
        <v>44.58</v>
      </c>
      <c r="H1448" s="12">
        <f t="shared" si="184"/>
        <v>98.608655110952924</v>
      </c>
      <c r="I1448" s="12">
        <f t="shared" si="185"/>
        <v>92.53503033113806</v>
      </c>
      <c r="J1448" s="12">
        <f t="shared" si="186"/>
        <v>94.790239061607451</v>
      </c>
      <c r="K1448" s="12">
        <f t="shared" si="187"/>
        <v>98.682700075384986</v>
      </c>
      <c r="P1448" s="12"/>
      <c r="Q1448" s="12"/>
      <c r="R1448" s="12"/>
      <c r="S1448" s="12"/>
      <c r="V1448">
        <v>0.39130434782608697</v>
      </c>
      <c r="W1448" s="12"/>
      <c r="X1448" s="12"/>
      <c r="AY1448" t="str">
        <v>04/02/2019</v>
      </c>
      <c r="AZ1448">
        <v>49.5</v>
      </c>
      <c r="BA1448">
        <v>21.5</v>
      </c>
    </row>
    <row r="1449" spans="1:53" x14ac:dyDescent="0.3">
      <c r="A1449" s="11">
        <v>43420</v>
      </c>
      <c r="B1449">
        <v>0.65068493150684903</v>
      </c>
      <c r="C1449">
        <v>2730.2</v>
      </c>
      <c r="D1449">
        <v>114.04</v>
      </c>
      <c r="E1449">
        <v>1213.3800000000001</v>
      </c>
      <c r="F1449">
        <v>83.06</v>
      </c>
      <c r="G1449">
        <v>44.56</v>
      </c>
      <c r="H1449" s="12">
        <f t="shared" si="184"/>
        <v>98.961369528682241</v>
      </c>
      <c r="I1449" s="12">
        <f t="shared" si="185"/>
        <v>92.929248313512034</v>
      </c>
      <c r="J1449" s="12">
        <f t="shared" si="186"/>
        <v>94.648180568701591</v>
      </c>
      <c r="K1449" s="12">
        <f t="shared" si="187"/>
        <v>98.507902991744913</v>
      </c>
      <c r="P1449" s="12"/>
      <c r="Q1449" s="12"/>
      <c r="R1449" s="12"/>
      <c r="S1449" s="12"/>
      <c r="V1449">
        <v>0.39655172413793099</v>
      </c>
      <c r="W1449" s="12"/>
      <c r="X1449" s="12"/>
      <c r="AY1449" t="str">
        <v>01/02/2019</v>
      </c>
      <c r="AZ1449">
        <v>48.6</v>
      </c>
      <c r="BA1449">
        <v>20.6</v>
      </c>
    </row>
    <row r="1450" spans="1:53" x14ac:dyDescent="0.3">
      <c r="A1450" s="11">
        <v>43419</v>
      </c>
      <c r="B1450">
        <v>0.64678899082568797</v>
      </c>
      <c r="C1450">
        <v>2701.58</v>
      </c>
      <c r="D1450">
        <v>114.09</v>
      </c>
      <c r="E1450">
        <v>1210.9000000000001</v>
      </c>
      <c r="F1450">
        <v>83.02</v>
      </c>
      <c r="G1450">
        <v>44.22</v>
      </c>
      <c r="H1450" s="12">
        <f t="shared" si="184"/>
        <v>97.881535421433838</v>
      </c>
      <c r="I1450" s="12">
        <f t="shared" si="185"/>
        <v>92.141828458608998</v>
      </c>
      <c r="J1450" s="12">
        <f t="shared" si="186"/>
        <v>93.700680315084043</v>
      </c>
      <c r="K1450" s="12">
        <f t="shared" si="187"/>
        <v>98.222569170634642</v>
      </c>
      <c r="P1450" s="12"/>
      <c r="Q1450" s="12"/>
      <c r="R1450" s="12"/>
      <c r="S1450" s="12"/>
      <c r="V1450">
        <v>0.4</v>
      </c>
      <c r="W1450" s="12"/>
      <c r="X1450" s="12"/>
      <c r="AY1450" t="str">
        <v>31/01/2019</v>
      </c>
      <c r="AZ1450">
        <v>48.6</v>
      </c>
      <c r="BA1450">
        <v>20.6</v>
      </c>
    </row>
    <row r="1451" spans="1:53" x14ac:dyDescent="0.3">
      <c r="A1451" s="11">
        <v>43418</v>
      </c>
      <c r="B1451">
        <v>0.65057471264367805</v>
      </c>
      <c r="C1451">
        <v>2722.18</v>
      </c>
      <c r="D1451">
        <v>114.02</v>
      </c>
      <c r="E1451">
        <v>1202.1400000000001</v>
      </c>
      <c r="F1451">
        <v>82.96</v>
      </c>
      <c r="G1451">
        <v>44.07</v>
      </c>
      <c r="H1451" s="12">
        <f t="shared" si="184"/>
        <v>98.688948363753397</v>
      </c>
      <c r="I1451" s="12">
        <f t="shared" si="185"/>
        <v>93.531184554421586</v>
      </c>
      <c r="J1451" s="12">
        <f t="shared" si="186"/>
        <v>94.484019392984933</v>
      </c>
      <c r="K1451" s="12">
        <f t="shared" si="187"/>
        <v>99.312136552430559</v>
      </c>
      <c r="P1451" s="12"/>
      <c r="Q1451" s="12"/>
      <c r="R1451" s="12"/>
      <c r="S1451" s="12"/>
      <c r="V1451">
        <v>0.39037927844588299</v>
      </c>
      <c r="W1451" s="12"/>
      <c r="X1451" s="12"/>
      <c r="AY1451" t="str">
        <v>30/01/2019</v>
      </c>
      <c r="AZ1451">
        <v>48.6</v>
      </c>
      <c r="BA1451">
        <v>20.6</v>
      </c>
    </row>
    <row r="1452" spans="1:53" x14ac:dyDescent="0.3">
      <c r="A1452" s="11">
        <v>43417</v>
      </c>
      <c r="B1452">
        <v>0.64883720930232602</v>
      </c>
      <c r="C1452">
        <v>2726.22</v>
      </c>
      <c r="D1452">
        <v>114.09</v>
      </c>
      <c r="E1452">
        <v>1200.6600000000001</v>
      </c>
      <c r="F1452">
        <v>82.95</v>
      </c>
      <c r="G1452">
        <v>43.86</v>
      </c>
      <c r="H1452" s="12">
        <f t="shared" si="184"/>
        <v>98.774719850367688</v>
      </c>
      <c r="I1452" s="12">
        <f t="shared" si="185"/>
        <v>93.785771726602718</v>
      </c>
      <c r="J1452" s="12">
        <f t="shared" si="186"/>
        <v>94.635669258055287</v>
      </c>
      <c r="K1452" s="12">
        <f t="shared" si="187"/>
        <v>99.93873915961673</v>
      </c>
      <c r="P1452" s="12"/>
      <c r="Q1452" s="12"/>
      <c r="R1452" s="12"/>
      <c r="S1452" s="12"/>
      <c r="V1452">
        <v>0.397779833487512</v>
      </c>
      <c r="W1452" s="12"/>
      <c r="X1452" s="12"/>
      <c r="AY1452" t="str">
        <v>29/01/2019</v>
      </c>
      <c r="AZ1452">
        <v>48.6</v>
      </c>
      <c r="BA1452">
        <v>20.6</v>
      </c>
    </row>
    <row r="1453" spans="1:53" x14ac:dyDescent="0.3">
      <c r="A1453" s="11">
        <v>43414</v>
      </c>
      <c r="B1453">
        <v>0.64801864801864795</v>
      </c>
      <c r="C1453">
        <v>2781.01</v>
      </c>
      <c r="D1453">
        <v>113.35</v>
      </c>
      <c r="E1453">
        <v>1209.7249999999999</v>
      </c>
      <c r="F1453">
        <v>82.89</v>
      </c>
      <c r="G1453">
        <v>44.56</v>
      </c>
      <c r="H1453" s="12">
        <f t="shared" si="184"/>
        <v>101.43536199701093</v>
      </c>
      <c r="I1453" s="12">
        <f t="shared" si="185"/>
        <v>94.944862094348963</v>
      </c>
      <c r="J1453" s="12">
        <f t="shared" si="186"/>
        <v>96.60893834236272</v>
      </c>
      <c r="K1453" s="12">
        <f t="shared" si="187"/>
        <v>100.33932577334348</v>
      </c>
      <c r="P1453" s="12"/>
      <c r="Q1453" s="12"/>
      <c r="R1453" s="12"/>
      <c r="S1453" s="12"/>
      <c r="V1453">
        <v>0.39388322520852598</v>
      </c>
      <c r="W1453" s="12"/>
      <c r="X1453" s="12"/>
      <c r="AY1453" t="str">
        <v>28/01/2019</v>
      </c>
      <c r="AZ1453">
        <v>48.6</v>
      </c>
      <c r="BA1453">
        <v>20.6</v>
      </c>
    </row>
    <row r="1454" spans="1:53" x14ac:dyDescent="0.3">
      <c r="A1454" s="11">
        <v>43413</v>
      </c>
      <c r="B1454">
        <v>0.63425925925925897</v>
      </c>
      <c r="C1454">
        <v>2806.83</v>
      </c>
      <c r="D1454">
        <v>112.51</v>
      </c>
      <c r="E1454">
        <v>1223.49</v>
      </c>
      <c r="F1454">
        <v>82.85</v>
      </c>
      <c r="G1454">
        <v>44.96</v>
      </c>
      <c r="H1454" s="12">
        <f t="shared" si="184"/>
        <v>103.1544298094807</v>
      </c>
      <c r="I1454" s="12">
        <f t="shared" si="185"/>
        <v>94.750470780031605</v>
      </c>
      <c r="J1454" s="12">
        <f t="shared" si="186"/>
        <v>97.553430152134368</v>
      </c>
      <c r="K1454" s="12">
        <f t="shared" si="187"/>
        <v>100.36965672626373</v>
      </c>
      <c r="P1454" s="12"/>
      <c r="Q1454" s="12"/>
      <c r="R1454" s="12"/>
      <c r="S1454" s="12"/>
      <c r="V1454">
        <v>0.39698965192850399</v>
      </c>
      <c r="W1454" s="12"/>
      <c r="X1454" s="12"/>
      <c r="AY1454" t="str">
        <v>25/01/2019</v>
      </c>
      <c r="AZ1454">
        <v>45.8</v>
      </c>
      <c r="BA1454">
        <v>20.6</v>
      </c>
    </row>
    <row r="1455" spans="1:53" x14ac:dyDescent="0.3">
      <c r="A1455" s="11">
        <v>43412</v>
      </c>
      <c r="B1455">
        <v>0.62616822429906505</v>
      </c>
      <c r="C1455">
        <v>2813.89</v>
      </c>
      <c r="D1455">
        <v>112.52</v>
      </c>
      <c r="E1455">
        <v>1224.82</v>
      </c>
      <c r="F1455">
        <v>82.86</v>
      </c>
      <c r="G1455">
        <v>45.61</v>
      </c>
      <c r="H1455" s="12">
        <f t="shared" si="184"/>
        <v>103.40468042150368</v>
      </c>
      <c r="I1455" s="12">
        <f t="shared" si="185"/>
        <v>94.885503135135693</v>
      </c>
      <c r="J1455" s="12">
        <f t="shared" si="186"/>
        <v>97.786974463859124</v>
      </c>
      <c r="K1455" s="12">
        <f t="shared" si="187"/>
        <v>99.204766730654299</v>
      </c>
      <c r="P1455" s="12"/>
      <c r="Q1455" s="12"/>
      <c r="R1455" s="12"/>
      <c r="S1455" s="12"/>
      <c r="V1455">
        <v>0.387947269303202</v>
      </c>
      <c r="W1455" s="12"/>
      <c r="X1455" s="12"/>
      <c r="AY1455" t="str">
        <v>24/01/2019</v>
      </c>
      <c r="AZ1455">
        <v>45.8</v>
      </c>
      <c r="BA1455">
        <v>20.6</v>
      </c>
    </row>
    <row r="1456" spans="1:53" x14ac:dyDescent="0.3">
      <c r="A1456" s="11">
        <v>43411</v>
      </c>
      <c r="B1456">
        <v>0.61666666666666703</v>
      </c>
      <c r="C1456">
        <v>2755.45</v>
      </c>
      <c r="D1456">
        <v>112.37</v>
      </c>
      <c r="E1456">
        <v>1226.6500000000001</v>
      </c>
      <c r="F1456">
        <v>82.89</v>
      </c>
      <c r="G1456">
        <v>44.98</v>
      </c>
      <c r="H1456" s="12">
        <f t="shared" si="184"/>
        <v>101.38966216448287</v>
      </c>
      <c r="I1456" s="12">
        <f t="shared" si="185"/>
        <v>92.779342925570276</v>
      </c>
      <c r="J1456" s="12">
        <f t="shared" si="186"/>
        <v>95.722170440344883</v>
      </c>
      <c r="K1456" s="12">
        <f t="shared" si="187"/>
        <v>98.495339083155883</v>
      </c>
      <c r="P1456" s="12"/>
      <c r="Q1456" s="12"/>
      <c r="R1456" s="12"/>
      <c r="S1456" s="12"/>
      <c r="V1456">
        <v>0.395593869731801</v>
      </c>
      <c r="W1456" s="12"/>
      <c r="X1456" s="12"/>
      <c r="AY1456" t="str">
        <v>23/01/2019</v>
      </c>
      <c r="AZ1456">
        <v>45.8</v>
      </c>
      <c r="BA1456">
        <v>20.6</v>
      </c>
    </row>
    <row r="1457" spans="1:53" x14ac:dyDescent="0.3">
      <c r="A1457" s="11">
        <v>43410</v>
      </c>
      <c r="B1457">
        <v>0.60869565217391297</v>
      </c>
      <c r="C1457">
        <v>2738.31</v>
      </c>
      <c r="D1457">
        <v>112.44</v>
      </c>
      <c r="E1457">
        <v>1231.68</v>
      </c>
      <c r="F1457">
        <v>82.91</v>
      </c>
      <c r="G1457">
        <v>44.83</v>
      </c>
      <c r="H1457" s="12">
        <f t="shared" si="184"/>
        <v>100.6966787594687</v>
      </c>
      <c r="I1457" s="12">
        <f t="shared" si="185"/>
        <v>91.82953279599495</v>
      </c>
      <c r="J1457" s="12">
        <f t="shared" si="186"/>
        <v>95.103941508831838</v>
      </c>
      <c r="K1457" s="12">
        <f t="shared" si="187"/>
        <v>98.209220126318925</v>
      </c>
      <c r="P1457" s="12"/>
      <c r="Q1457" s="12"/>
      <c r="R1457" s="12"/>
      <c r="S1457" s="12"/>
      <c r="V1457">
        <v>0.4</v>
      </c>
      <c r="W1457" s="12"/>
      <c r="X1457" s="12"/>
      <c r="AY1457" t="str">
        <v>22/01/2019</v>
      </c>
      <c r="AZ1457">
        <v>45.8</v>
      </c>
      <c r="BA1457">
        <v>20.6</v>
      </c>
    </row>
    <row r="1458" spans="1:53" x14ac:dyDescent="0.3">
      <c r="A1458" s="11">
        <v>43407</v>
      </c>
      <c r="B1458">
        <v>0.6</v>
      </c>
      <c r="C1458">
        <v>2723.06</v>
      </c>
      <c r="D1458">
        <v>112</v>
      </c>
      <c r="E1458">
        <v>1232.8900000000001</v>
      </c>
      <c r="F1458">
        <v>82.88</v>
      </c>
      <c r="G1458">
        <v>44.79</v>
      </c>
      <c r="H1458" s="12">
        <f t="shared" si="184"/>
        <v>100.52862045425839</v>
      </c>
      <c r="I1458" s="12">
        <f t="shared" si="185"/>
        <v>91.229085655938277</v>
      </c>
      <c r="J1458" s="12">
        <f t="shared" si="186"/>
        <v>94.60835003081128</v>
      </c>
      <c r="K1458" s="12">
        <f t="shared" si="187"/>
        <v>97.749089667870848</v>
      </c>
      <c r="P1458" s="12"/>
      <c r="Q1458" s="12"/>
      <c r="R1458" s="12"/>
      <c r="S1458" s="12"/>
      <c r="V1458">
        <v>0.40360873694207</v>
      </c>
      <c r="W1458" s="12"/>
      <c r="X1458" s="12"/>
      <c r="AY1458" t="str">
        <v>21/01/2019</v>
      </c>
      <c r="AZ1458">
        <v>45.8</v>
      </c>
      <c r="BA1458">
        <v>20.6</v>
      </c>
    </row>
    <row r="1459" spans="1:53" x14ac:dyDescent="0.3">
      <c r="A1459" s="11">
        <v>43406</v>
      </c>
      <c r="B1459">
        <v>0.58737864077669899</v>
      </c>
      <c r="C1459">
        <v>2740.37</v>
      </c>
      <c r="D1459">
        <v>113.41</v>
      </c>
      <c r="E1459">
        <v>1233.24</v>
      </c>
      <c r="F1459">
        <v>82.98</v>
      </c>
      <c r="G1459">
        <v>44.69</v>
      </c>
      <c r="H1459" s="12">
        <f t="shared" si="184"/>
        <v>99.917514861462109</v>
      </c>
      <c r="I1459" s="12">
        <f t="shared" si="185"/>
        <v>91.782798429906521</v>
      </c>
      <c r="J1459" s="12">
        <f t="shared" si="186"/>
        <v>95.094430499832441</v>
      </c>
      <c r="K1459" s="12">
        <f t="shared" si="187"/>
        <v>98.592479544679946</v>
      </c>
      <c r="P1459" s="12"/>
      <c r="Q1459" s="12"/>
      <c r="R1459" s="12"/>
      <c r="S1459" s="12"/>
      <c r="V1459">
        <v>0.40421455938697298</v>
      </c>
      <c r="W1459" s="12"/>
      <c r="X1459" s="12"/>
      <c r="AY1459" t="str">
        <v>18/01/2019</v>
      </c>
      <c r="AZ1459">
        <v>45.4</v>
      </c>
      <c r="BA1459">
        <v>21.3</v>
      </c>
    </row>
    <row r="1460" spans="1:53" x14ac:dyDescent="0.3">
      <c r="A1460" s="11">
        <v>43404</v>
      </c>
      <c r="B1460">
        <v>0.57070707070707105</v>
      </c>
      <c r="C1460">
        <v>2711.74</v>
      </c>
      <c r="D1460">
        <v>113.58</v>
      </c>
      <c r="E1460">
        <v>1214.72</v>
      </c>
      <c r="F1460">
        <v>83.08</v>
      </c>
      <c r="G1460">
        <v>43.89</v>
      </c>
      <c r="H1460" s="12">
        <f t="shared" si="184"/>
        <v>98.727401527350708</v>
      </c>
      <c r="I1460" s="12">
        <f t="shared" si="185"/>
        <v>92.215150552802641</v>
      </c>
      <c r="J1460" s="12">
        <f t="shared" si="186"/>
        <v>93.988983212799326</v>
      </c>
      <c r="K1460" s="12">
        <f t="shared" si="187"/>
        <v>99.354487711158455</v>
      </c>
      <c r="P1460" s="12"/>
      <c r="Q1460" s="12"/>
      <c r="R1460" s="12"/>
      <c r="S1460" s="12"/>
      <c r="V1460">
        <v>0.397299903567985</v>
      </c>
      <c r="W1460" s="12"/>
      <c r="X1460" s="12"/>
      <c r="AY1460" t="str">
        <v>17/01/2019</v>
      </c>
      <c r="AZ1460">
        <v>45.4</v>
      </c>
      <c r="BA1460">
        <v>21.3</v>
      </c>
    </row>
    <row r="1461" spans="1:53" x14ac:dyDescent="0.3">
      <c r="A1461" s="11">
        <v>43404</v>
      </c>
      <c r="B1461">
        <v>0.55699481865285005</v>
      </c>
      <c r="C1461">
        <v>2682.63</v>
      </c>
      <c r="D1461">
        <v>114.16</v>
      </c>
      <c r="E1461">
        <v>1223.1500000000001</v>
      </c>
      <c r="F1461">
        <v>83.12</v>
      </c>
      <c r="G1461">
        <v>43.5</v>
      </c>
      <c r="H1461" s="12">
        <f t="shared" si="184"/>
        <v>97.179154883141493</v>
      </c>
      <c r="I1461" s="12">
        <f t="shared" si="185"/>
        <v>90.60747204941832</v>
      </c>
      <c r="J1461" s="12">
        <f t="shared" si="186"/>
        <v>92.935786239582768</v>
      </c>
      <c r="K1461" s="12">
        <f t="shared" si="187"/>
        <v>99.167480233952986</v>
      </c>
      <c r="P1461" s="12"/>
      <c r="Q1461" s="12"/>
      <c r="R1461" s="12"/>
      <c r="S1461" s="12"/>
      <c r="V1461">
        <v>0.39941118743866499</v>
      </c>
      <c r="W1461" s="12"/>
      <c r="X1461" s="12"/>
      <c r="AY1461" t="str">
        <v>16/01/2019</v>
      </c>
      <c r="AZ1461">
        <v>45.4</v>
      </c>
      <c r="BA1461">
        <v>21.3</v>
      </c>
    </row>
    <row r="1462" spans="1:53" x14ac:dyDescent="0.3">
      <c r="A1462" s="11">
        <v>43403</v>
      </c>
      <c r="B1462">
        <v>0.54308093994778095</v>
      </c>
      <c r="C1462">
        <v>2641.25</v>
      </c>
      <c r="D1462">
        <v>114.73</v>
      </c>
      <c r="E1462">
        <v>1229.75</v>
      </c>
      <c r="F1462">
        <v>83.16</v>
      </c>
      <c r="G1462">
        <v>42.94</v>
      </c>
      <c r="H1462" s="12">
        <f t="shared" si="184"/>
        <v>95.214404634568155</v>
      </c>
      <c r="I1462" s="12">
        <f t="shared" si="185"/>
        <v>88.740916125775797</v>
      </c>
      <c r="J1462" s="12">
        <f t="shared" si="186"/>
        <v>91.45892355633768</v>
      </c>
      <c r="K1462" s="12">
        <f t="shared" si="187"/>
        <v>98.907810513831691</v>
      </c>
      <c r="P1462" s="12"/>
      <c r="Q1462" s="12"/>
      <c r="R1462" s="12"/>
      <c r="S1462" s="12"/>
      <c r="V1462">
        <v>0.40059642147117303</v>
      </c>
      <c r="W1462" s="12"/>
      <c r="X1462" s="12"/>
      <c r="AY1462" t="str">
        <v>15/01/2019</v>
      </c>
      <c r="AZ1462">
        <v>45.4</v>
      </c>
      <c r="BA1462">
        <v>21.3</v>
      </c>
    </row>
    <row r="1463" spans="1:53" x14ac:dyDescent="0.3">
      <c r="A1463" s="11">
        <v>43400</v>
      </c>
      <c r="B1463">
        <v>0.53092783505154595</v>
      </c>
      <c r="C1463">
        <v>2658.69</v>
      </c>
      <c r="D1463">
        <v>114.99</v>
      </c>
      <c r="E1463">
        <v>1233.5899999999999</v>
      </c>
      <c r="F1463">
        <v>83.13</v>
      </c>
      <c r="G1463">
        <v>43.21</v>
      </c>
      <c r="H1463" s="12">
        <f t="shared" si="184"/>
        <v>95.625455943887715</v>
      </c>
      <c r="I1463" s="12">
        <f t="shared" si="185"/>
        <v>89.047842289708385</v>
      </c>
      <c r="J1463" s="12">
        <f t="shared" si="186"/>
        <v>92.096276020225105</v>
      </c>
      <c r="K1463" s="12">
        <f t="shared" si="187"/>
        <v>98.938587131583404</v>
      </c>
      <c r="P1463" s="12"/>
      <c r="Q1463" s="12"/>
      <c r="R1463" s="12"/>
      <c r="S1463" s="12"/>
      <c r="V1463">
        <v>0.41164856860809501</v>
      </c>
      <c r="W1463" s="12"/>
      <c r="X1463" s="12"/>
      <c r="AY1463" t="str">
        <v>14/01/2019</v>
      </c>
      <c r="AZ1463">
        <v>45.4</v>
      </c>
      <c r="BA1463">
        <v>21.3</v>
      </c>
    </row>
    <row r="1464" spans="1:53" x14ac:dyDescent="0.3">
      <c r="A1464" s="11">
        <v>43399</v>
      </c>
      <c r="B1464">
        <v>0.52105263157894699</v>
      </c>
      <c r="C1464">
        <v>2705.57</v>
      </c>
      <c r="D1464">
        <v>114.3</v>
      </c>
      <c r="E1464">
        <v>1232.23</v>
      </c>
      <c r="F1464">
        <v>83.08</v>
      </c>
      <c r="G1464">
        <v>43.54</v>
      </c>
      <c r="H1464" s="12">
        <f t="shared" si="184"/>
        <v>97.913093841876773</v>
      </c>
      <c r="I1464" s="12">
        <f t="shared" si="185"/>
        <v>90.719892242264976</v>
      </c>
      <c r="J1464" s="12">
        <f t="shared" si="186"/>
        <v>93.777619376524783</v>
      </c>
      <c r="K1464" s="12">
        <f t="shared" si="187"/>
        <v>99.912532507420948</v>
      </c>
      <c r="P1464" s="12"/>
      <c r="Q1464" s="12"/>
      <c r="R1464" s="12"/>
      <c r="S1464" s="12"/>
      <c r="V1464">
        <v>0.41147378832838799</v>
      </c>
      <c r="W1464" s="12"/>
      <c r="X1464" s="12"/>
      <c r="AY1464" t="str">
        <v>11/01/2019</v>
      </c>
      <c r="AZ1464">
        <v>42.1</v>
      </c>
      <c r="BA1464">
        <v>25.2</v>
      </c>
    </row>
    <row r="1465" spans="1:53" x14ac:dyDescent="0.3">
      <c r="A1465" s="11">
        <v>43398</v>
      </c>
      <c r="B1465">
        <v>0.50928381962864699</v>
      </c>
      <c r="C1465">
        <v>2656.1</v>
      </c>
      <c r="D1465">
        <v>114.78</v>
      </c>
      <c r="E1465">
        <v>1234.7750000000001</v>
      </c>
      <c r="F1465">
        <v>83.11</v>
      </c>
      <c r="G1465">
        <v>42.96</v>
      </c>
      <c r="H1465" s="12">
        <f t="shared" si="184"/>
        <v>95.729787920004597</v>
      </c>
      <c r="I1465" s="12">
        <f t="shared" si="185"/>
        <v>88.881280212758369</v>
      </c>
      <c r="J1465" s="12">
        <f t="shared" si="186"/>
        <v>92.030329772147425</v>
      </c>
      <c r="K1465" s="12">
        <f t="shared" si="187"/>
        <v>99.403178625269575</v>
      </c>
      <c r="P1465" s="12"/>
      <c r="Q1465" s="12"/>
      <c r="R1465" s="12"/>
      <c r="S1465" s="12"/>
      <c r="V1465">
        <v>0.39879759519038099</v>
      </c>
      <c r="W1465" s="12"/>
      <c r="X1465" s="12"/>
      <c r="AY1465" t="str">
        <v>10/01/2019</v>
      </c>
      <c r="AZ1465">
        <v>42.1</v>
      </c>
      <c r="BA1465">
        <v>25.2</v>
      </c>
    </row>
    <row r="1466" spans="1:53" x14ac:dyDescent="0.3">
      <c r="A1466" s="11">
        <v>43397</v>
      </c>
      <c r="B1466">
        <v>0.49184782608695699</v>
      </c>
      <c r="C1466">
        <v>2740.69</v>
      </c>
      <c r="D1466">
        <v>113.92</v>
      </c>
      <c r="E1466">
        <v>1230.49</v>
      </c>
      <c r="F1466">
        <v>82.98</v>
      </c>
      <c r="G1466">
        <v>44.18</v>
      </c>
      <c r="H1466" s="12">
        <f t="shared" si="184"/>
        <v>99.554021003215496</v>
      </c>
      <c r="I1466" s="12">
        <f t="shared" si="185"/>
        <v>92.042654816725801</v>
      </c>
      <c r="J1466" s="12">
        <f t="shared" si="186"/>
        <v>95.115017546366076</v>
      </c>
      <c r="K1466" s="12">
        <f t="shared" si="187"/>
        <v>99.727310856411265</v>
      </c>
      <c r="P1466" s="12"/>
      <c r="Q1466" s="12"/>
      <c r="R1466" s="12"/>
      <c r="S1466" s="12"/>
      <c r="V1466">
        <v>0.4</v>
      </c>
      <c r="W1466" s="12"/>
      <c r="X1466" s="12"/>
      <c r="AY1466" t="str">
        <v>09/01/2019</v>
      </c>
      <c r="AZ1466">
        <v>42.1</v>
      </c>
      <c r="BA1466">
        <v>25.2</v>
      </c>
    </row>
    <row r="1467" spans="1:53" x14ac:dyDescent="0.3">
      <c r="A1467" s="11">
        <v>43396</v>
      </c>
      <c r="B1467">
        <v>0.483240223463687</v>
      </c>
      <c r="C1467">
        <v>2755.88</v>
      </c>
      <c r="D1467">
        <v>113.56</v>
      </c>
      <c r="E1467">
        <v>1222.17</v>
      </c>
      <c r="F1467">
        <v>82.93</v>
      </c>
      <c r="G1467">
        <v>44.6</v>
      </c>
      <c r="H1467" s="12">
        <f t="shared" si="184"/>
        <v>100.42591694131455</v>
      </c>
      <c r="I1467" s="12">
        <f t="shared" si="185"/>
        <v>93.19070980959215</v>
      </c>
      <c r="J1467" s="12">
        <f t="shared" si="186"/>
        <v>95.700202190148119</v>
      </c>
      <c r="K1467" s="12">
        <f t="shared" si="187"/>
        <v>99.339371801132501</v>
      </c>
      <c r="P1467" s="12"/>
      <c r="Q1467" s="12"/>
      <c r="R1467" s="12"/>
      <c r="S1467" s="12"/>
      <c r="V1467">
        <v>0.39733059548254601</v>
      </c>
      <c r="W1467" s="12"/>
      <c r="X1467" s="12"/>
      <c r="AY1467" t="str">
        <v>08/01/2019</v>
      </c>
      <c r="AZ1467">
        <v>42.1</v>
      </c>
      <c r="BA1467">
        <v>25.2</v>
      </c>
    </row>
    <row r="1468" spans="1:53" x14ac:dyDescent="0.3">
      <c r="A1468" s="11">
        <v>43393</v>
      </c>
      <c r="B1468">
        <v>0.497206703910615</v>
      </c>
      <c r="C1468">
        <v>2767.78</v>
      </c>
      <c r="D1468">
        <v>113.71</v>
      </c>
      <c r="E1468">
        <v>1226.32</v>
      </c>
      <c r="F1468">
        <v>82.95</v>
      </c>
      <c r="G1468">
        <v>44.63</v>
      </c>
      <c r="H1468" s="12">
        <f t="shared" si="184"/>
        <v>100.72611394764668</v>
      </c>
      <c r="I1468" s="12">
        <f t="shared" si="185"/>
        <v>93.276091583336253</v>
      </c>
      <c r="J1468" s="12">
        <f t="shared" si="186"/>
        <v>96.090171232439673</v>
      </c>
      <c r="K1468" s="12">
        <f t="shared" si="187"/>
        <v>99.701015407726004</v>
      </c>
      <c r="P1468" s="12"/>
      <c r="Q1468" s="12"/>
      <c r="R1468" s="12"/>
      <c r="S1468" s="12"/>
      <c r="V1468">
        <v>0.40080971659919001</v>
      </c>
      <c r="W1468" s="12"/>
      <c r="X1468" s="12"/>
      <c r="AY1468" t="str">
        <v>07/01/2019</v>
      </c>
      <c r="AZ1468">
        <v>42.1</v>
      </c>
      <c r="BA1468">
        <v>25.2</v>
      </c>
    </row>
    <row r="1469" spans="1:53" x14ac:dyDescent="0.3">
      <c r="A1469" s="11">
        <v>43392</v>
      </c>
      <c r="B1469">
        <v>0.49572649572649602</v>
      </c>
      <c r="C1469">
        <v>2768.78</v>
      </c>
      <c r="D1469">
        <v>113.96</v>
      </c>
      <c r="E1469">
        <v>1225.75</v>
      </c>
      <c r="F1469">
        <v>83</v>
      </c>
      <c r="G1469">
        <v>44.33</v>
      </c>
      <c r="H1469" s="12">
        <f t="shared" si="184"/>
        <v>100.54186271041804</v>
      </c>
      <c r="I1469" s="12">
        <f t="shared" si="185"/>
        <v>93.353219202455776</v>
      </c>
      <c r="J1469" s="12">
        <f t="shared" si="186"/>
        <v>96.06699605557597</v>
      </c>
      <c r="K1469" s="12">
        <f t="shared" si="187"/>
        <v>100.41684654069958</v>
      </c>
      <c r="P1469" s="12"/>
      <c r="Q1469" s="12"/>
      <c r="R1469" s="12"/>
      <c r="S1469" s="12"/>
      <c r="V1469">
        <v>0.400839454354669</v>
      </c>
      <c r="W1469" s="12"/>
      <c r="X1469" s="12"/>
      <c r="AY1469" t="str">
        <v>04/01/2019</v>
      </c>
      <c r="AZ1469">
        <v>34.799999999999997</v>
      </c>
      <c r="BA1469">
        <v>29.4</v>
      </c>
    </row>
    <row r="1470" spans="1:53" x14ac:dyDescent="0.3">
      <c r="A1470" s="11">
        <v>43391</v>
      </c>
      <c r="B1470">
        <v>0.49421965317919098</v>
      </c>
      <c r="C1470">
        <v>2809.21</v>
      </c>
      <c r="D1470">
        <v>114</v>
      </c>
      <c r="E1470">
        <v>1222.67</v>
      </c>
      <c r="F1470">
        <v>82.944999999999993</v>
      </c>
      <c r="G1470">
        <v>45.19</v>
      </c>
      <c r="H1470" s="12">
        <f t="shared" si="184"/>
        <v>101.9736822493837</v>
      </c>
      <c r="I1470" s="12">
        <f t="shared" si="185"/>
        <v>94.959074349051548</v>
      </c>
      <c r="J1470" s="12">
        <f t="shared" si="186"/>
        <v>97.535394986128637</v>
      </c>
      <c r="K1470" s="12">
        <f t="shared" si="187"/>
        <v>99.953182465745257</v>
      </c>
      <c r="P1470" s="12"/>
      <c r="Q1470" s="12"/>
      <c r="R1470" s="12"/>
      <c r="S1470" s="12"/>
      <c r="V1470">
        <v>0.41033755274261602</v>
      </c>
      <c r="W1470" s="12"/>
      <c r="X1470" s="12"/>
      <c r="AY1470" t="str">
        <v>03/01/2019</v>
      </c>
      <c r="AZ1470">
        <v>34.799999999999997</v>
      </c>
      <c r="BA1470">
        <v>29.4</v>
      </c>
    </row>
    <row r="1471" spans="1:53" x14ac:dyDescent="0.3">
      <c r="A1471" s="11">
        <v>43390</v>
      </c>
      <c r="B1471">
        <v>0.48695652173913001</v>
      </c>
      <c r="C1471">
        <v>2809.92</v>
      </c>
      <c r="D1471">
        <v>114.68</v>
      </c>
      <c r="E1471">
        <v>1224.43</v>
      </c>
      <c r="F1471">
        <v>82.95</v>
      </c>
      <c r="G1471">
        <v>45.54</v>
      </c>
      <c r="H1471" s="12">
        <f t="shared" si="184"/>
        <v>101.39805897040806</v>
      </c>
      <c r="I1471" s="12">
        <f t="shared" si="185"/>
        <v>94.846706866702974</v>
      </c>
      <c r="J1471" s="12">
        <f t="shared" si="186"/>
        <v>97.554164305622095</v>
      </c>
      <c r="K1471" s="12">
        <f t="shared" si="187"/>
        <v>99.215724395124099</v>
      </c>
      <c r="P1471" s="12"/>
      <c r="Q1471" s="12"/>
      <c r="R1471" s="12"/>
      <c r="S1471" s="12"/>
      <c r="V1471">
        <v>0.417721518987342</v>
      </c>
      <c r="W1471" s="12"/>
      <c r="X1471" s="12"/>
      <c r="AY1471" t="str">
        <v>02/01/2019</v>
      </c>
      <c r="AZ1471">
        <v>34.799999999999997</v>
      </c>
      <c r="BA1471">
        <v>29.4</v>
      </c>
    </row>
    <row r="1472" spans="1:53" x14ac:dyDescent="0.3">
      <c r="A1472" s="11">
        <v>43389</v>
      </c>
      <c r="B1472">
        <v>0.48358208955223903</v>
      </c>
      <c r="C1472">
        <v>2750.79</v>
      </c>
      <c r="D1472">
        <v>114.42</v>
      </c>
      <c r="E1472">
        <v>1226.94</v>
      </c>
      <c r="F1472">
        <v>82.98</v>
      </c>
      <c r="G1472">
        <v>44.7</v>
      </c>
      <c r="H1472" s="12">
        <f t="shared" si="184"/>
        <v>99.485615832533782</v>
      </c>
      <c r="I1472" s="12">
        <f t="shared" si="185"/>
        <v>92.665238996035697</v>
      </c>
      <c r="J1472" s="12">
        <f t="shared" si="186"/>
        <v>95.46751405164342</v>
      </c>
      <c r="K1472" s="12">
        <f t="shared" si="187"/>
        <v>98.948198471401838</v>
      </c>
      <c r="P1472" s="12"/>
      <c r="Q1472" s="12"/>
      <c r="R1472" s="12"/>
      <c r="S1472" s="12"/>
      <c r="V1472">
        <v>0.42857142857142899</v>
      </c>
      <c r="W1472" s="12"/>
      <c r="X1472" s="12"/>
      <c r="AY1472" t="str">
        <v>01/01/2019</v>
      </c>
      <c r="AZ1472">
        <v>34.799999999999997</v>
      </c>
      <c r="BA1472">
        <v>29.4</v>
      </c>
    </row>
    <row r="1473" spans="1:53" x14ac:dyDescent="0.3">
      <c r="A1473" s="11">
        <v>43386</v>
      </c>
      <c r="B1473">
        <v>0.48048048048047998</v>
      </c>
      <c r="C1473">
        <v>2767.13</v>
      </c>
      <c r="D1473">
        <v>114.47</v>
      </c>
      <c r="E1473">
        <v>1217.93</v>
      </c>
      <c r="F1473">
        <v>82.95</v>
      </c>
      <c r="G1473">
        <v>44.83</v>
      </c>
      <c r="H1473" s="12">
        <f t="shared" si="184"/>
        <v>100.03261814776509</v>
      </c>
      <c r="I1473" s="12">
        <f t="shared" si="185"/>
        <v>93.914568829314234</v>
      </c>
      <c r="J1473" s="12">
        <f t="shared" si="186"/>
        <v>96.069553007425128</v>
      </c>
      <c r="K1473" s="12">
        <f t="shared" si="187"/>
        <v>99.246453051276958</v>
      </c>
      <c r="P1473" s="12"/>
      <c r="Q1473" s="12"/>
      <c r="R1473" s="12"/>
      <c r="S1473" s="12"/>
      <c r="V1473">
        <v>0.43007360672975797</v>
      </c>
      <c r="W1473" s="12"/>
      <c r="X1473" s="12"/>
      <c r="AY1473" t="str">
        <v>31/12/2018</v>
      </c>
      <c r="AZ1473">
        <v>34.799999999999997</v>
      </c>
      <c r="BA1473">
        <v>29.4</v>
      </c>
    </row>
    <row r="1474" spans="1:53" x14ac:dyDescent="0.3">
      <c r="A1474" s="11">
        <v>43385</v>
      </c>
      <c r="B1474">
        <v>0.47575757575757599</v>
      </c>
      <c r="C1474">
        <v>2728.37</v>
      </c>
      <c r="D1474">
        <v>114.87</v>
      </c>
      <c r="E1474">
        <v>1224.33</v>
      </c>
      <c r="F1474">
        <v>82.95</v>
      </c>
      <c r="G1474">
        <v>44.43</v>
      </c>
      <c r="H1474" s="12">
        <f t="shared" ref="H1474:H1498" si="188">H1475*(1+((C1474/C1475)-(D1474/D1475)))</f>
        <v>98.293947466152474</v>
      </c>
      <c r="I1474" s="12">
        <f t="shared" ref="I1474:I1498" si="189">I1475*(1+((C1474/C1475)-(E1474/E1475)))</f>
        <v>92.124259758740493</v>
      </c>
      <c r="J1474" s="12">
        <f t="shared" si="186"/>
        <v>94.723878653647816</v>
      </c>
      <c r="K1474" s="12">
        <f t="shared" si="187"/>
        <v>98.732711369468419</v>
      </c>
      <c r="P1474" s="12"/>
      <c r="Q1474" s="12"/>
      <c r="R1474" s="12"/>
      <c r="S1474" s="12"/>
      <c r="V1474">
        <v>0.42588726513569902</v>
      </c>
      <c r="W1474" s="12"/>
      <c r="X1474" s="12"/>
      <c r="AY1474" t="str">
        <v>28/12/2018</v>
      </c>
      <c r="AZ1474">
        <v>29.9</v>
      </c>
      <c r="BA1474">
        <v>34.6</v>
      </c>
    </row>
    <row r="1475" spans="1:53" x14ac:dyDescent="0.3">
      <c r="A1475" s="11">
        <v>43384</v>
      </c>
      <c r="B1475">
        <v>0.45987654320987698</v>
      </c>
      <c r="C1475">
        <v>2785.68</v>
      </c>
      <c r="D1475">
        <v>113.49</v>
      </c>
      <c r="E1475">
        <v>1194.78</v>
      </c>
      <c r="F1475">
        <v>82.92</v>
      </c>
      <c r="G1475">
        <v>44.99</v>
      </c>
      <c r="H1475" s="12">
        <f t="shared" si="188"/>
        <v>101.62025642742117</v>
      </c>
      <c r="I1475" s="12">
        <f t="shared" si="189"/>
        <v>96.496078320010994</v>
      </c>
      <c r="J1475" s="12">
        <f t="shared" ref="J1475:J1499" si="190">J1476*(1+((C1475/C1476)-(F1475/F1476)))</f>
        <v>96.749312766856079</v>
      </c>
      <c r="K1475" s="12">
        <f t="shared" ref="K1475:K1499" si="191">K1476*(1+((C1475/C1476)-(G1475/G1476)))</f>
        <v>99.541572573768732</v>
      </c>
      <c r="P1475" s="12"/>
      <c r="Q1475" s="12"/>
      <c r="R1475" s="12"/>
      <c r="S1475" s="12"/>
      <c r="V1475">
        <v>0.42962184873949599</v>
      </c>
      <c r="W1475" s="12"/>
      <c r="X1475" s="12"/>
      <c r="AY1475" t="str">
        <v>27/12/2018</v>
      </c>
      <c r="AZ1475">
        <v>29.9</v>
      </c>
      <c r="BA1475">
        <v>34.6</v>
      </c>
    </row>
    <row r="1476" spans="1:53" x14ac:dyDescent="0.3">
      <c r="A1476" s="11">
        <v>43383</v>
      </c>
      <c r="B1476">
        <v>0.46302250803858502</v>
      </c>
      <c r="C1476">
        <v>2880.34</v>
      </c>
      <c r="D1476">
        <v>113.8</v>
      </c>
      <c r="E1476">
        <v>1189.6199999999999</v>
      </c>
      <c r="F1476">
        <v>82.9</v>
      </c>
      <c r="G1476">
        <v>46.1</v>
      </c>
      <c r="H1476" s="12">
        <f t="shared" si="188"/>
        <v>104.77828422718554</v>
      </c>
      <c r="I1476" s="12">
        <f t="shared" si="189"/>
        <v>100.22460348035939</v>
      </c>
      <c r="J1476" s="12">
        <f t="shared" si="190"/>
        <v>100.06190519296075</v>
      </c>
      <c r="K1476" s="12">
        <f t="shared" si="191"/>
        <v>100.42390550852436</v>
      </c>
      <c r="P1476" s="12"/>
      <c r="Q1476" s="12"/>
      <c r="R1476" s="12"/>
      <c r="S1476" s="12"/>
      <c r="V1476">
        <v>0.43065693430656898</v>
      </c>
      <c r="W1476" s="12"/>
      <c r="X1476" s="12"/>
      <c r="AY1476" t="str">
        <v>26/12/2018</v>
      </c>
      <c r="AZ1476">
        <v>29.9</v>
      </c>
      <c r="BA1476">
        <v>34.6</v>
      </c>
    </row>
    <row r="1477" spans="1:53" x14ac:dyDescent="0.3">
      <c r="A1477" s="11">
        <v>43382</v>
      </c>
      <c r="B1477">
        <v>0.46710526315789502</v>
      </c>
      <c r="C1477">
        <v>2884.43</v>
      </c>
      <c r="D1477">
        <v>112.66</v>
      </c>
      <c r="E1477">
        <v>1188.01</v>
      </c>
      <c r="F1477">
        <v>82.87</v>
      </c>
      <c r="G1477">
        <v>46.25</v>
      </c>
      <c r="H1477" s="12">
        <f t="shared" si="188"/>
        <v>106.0012095544858</v>
      </c>
      <c r="I1477" s="12">
        <f t="shared" si="189"/>
        <v>100.50331578237638</v>
      </c>
      <c r="J1477" s="12">
        <f t="shared" si="190"/>
        <v>100.24033003186882</v>
      </c>
      <c r="K1477" s="12">
        <f t="shared" si="191"/>
        <v>100.24093718447182</v>
      </c>
      <c r="P1477" s="12"/>
      <c r="Q1477" s="12"/>
      <c r="R1477" s="12"/>
      <c r="S1477" s="12"/>
      <c r="V1477">
        <v>0.43597883597883602</v>
      </c>
      <c r="W1477" s="12"/>
      <c r="X1477" s="12"/>
      <c r="AY1477" t="str">
        <v>25/12/2018</v>
      </c>
      <c r="AZ1477">
        <v>29.9</v>
      </c>
      <c r="BA1477">
        <v>34.6</v>
      </c>
    </row>
    <row r="1478" spans="1:53" x14ac:dyDescent="0.3">
      <c r="A1478" s="11">
        <v>43379</v>
      </c>
      <c r="B1478">
        <v>0.47666666666666702</v>
      </c>
      <c r="C1478">
        <v>2885.57</v>
      </c>
      <c r="D1478">
        <v>113.04</v>
      </c>
      <c r="E1478">
        <v>1202.8599999999999</v>
      </c>
      <c r="F1478">
        <v>82.89</v>
      </c>
      <c r="G1478">
        <v>46.39</v>
      </c>
      <c r="H1478" s="12">
        <f t="shared" si="188"/>
        <v>105.6876793766458</v>
      </c>
      <c r="I1478" s="12">
        <f t="shared" si="189"/>
        <v>99.316434030570633</v>
      </c>
      <c r="J1478" s="12">
        <f t="shared" si="190"/>
        <v>100.25574792517527</v>
      </c>
      <c r="K1478" s="12">
        <f t="shared" si="191"/>
        <v>99.97871076948428</v>
      </c>
      <c r="P1478" s="12"/>
      <c r="Q1478" s="12"/>
      <c r="R1478" s="12"/>
      <c r="S1478" s="12"/>
      <c r="V1478">
        <v>0.43828451882845199</v>
      </c>
      <c r="W1478" s="12"/>
      <c r="X1478" s="12"/>
      <c r="AY1478" t="str">
        <v>24/12/2018</v>
      </c>
      <c r="AZ1478">
        <v>29.9</v>
      </c>
      <c r="BA1478">
        <v>34.6</v>
      </c>
    </row>
    <row r="1479" spans="1:53" x14ac:dyDescent="0.3">
      <c r="A1479" s="11">
        <v>43378</v>
      </c>
      <c r="B1479">
        <v>0.50337837837837796</v>
      </c>
      <c r="C1479">
        <v>2901.61</v>
      </c>
      <c r="D1479">
        <v>114.02</v>
      </c>
      <c r="E1479">
        <v>1199.6600000000001</v>
      </c>
      <c r="F1479">
        <v>82.9</v>
      </c>
      <c r="G1479">
        <v>46.67</v>
      </c>
      <c r="H1479" s="12">
        <f t="shared" si="188"/>
        <v>105.36452450161823</v>
      </c>
      <c r="I1479" s="12">
        <f t="shared" si="189"/>
        <v>100.13709638313233</v>
      </c>
      <c r="J1479" s="12">
        <f t="shared" si="190"/>
        <v>100.8008120112969</v>
      </c>
      <c r="K1479" s="12">
        <f t="shared" si="191"/>
        <v>99.931582440574644</v>
      </c>
      <c r="P1479" s="12"/>
      <c r="Q1479" s="12"/>
      <c r="R1479" s="12"/>
      <c r="S1479" s="12"/>
      <c r="V1479">
        <v>0.442226890756303</v>
      </c>
      <c r="W1479" s="12"/>
      <c r="X1479" s="12"/>
      <c r="AY1479" t="str">
        <v>21/12/2018</v>
      </c>
      <c r="AZ1479" t="e">
        <v>#N/A</v>
      </c>
      <c r="BA1479" t="e">
        <v>#N/A</v>
      </c>
    </row>
    <row r="1480" spans="1:53" x14ac:dyDescent="0.3">
      <c r="A1480" s="11">
        <v>43377</v>
      </c>
      <c r="B1480">
        <v>0.52173913043478304</v>
      </c>
      <c r="C1480">
        <v>2925.51</v>
      </c>
      <c r="D1480">
        <v>114.83</v>
      </c>
      <c r="E1480">
        <v>1197.3699999999999</v>
      </c>
      <c r="F1480">
        <v>82.92</v>
      </c>
      <c r="G1480">
        <v>47.32</v>
      </c>
      <c r="H1480" s="12">
        <f t="shared" si="188"/>
        <v>105.4822014971396</v>
      </c>
      <c r="I1480" s="12">
        <f t="shared" si="189"/>
        <v>101.15696502086021</v>
      </c>
      <c r="J1480" s="12">
        <f t="shared" si="190"/>
        <v>101.60637984467107</v>
      </c>
      <c r="K1480" s="12">
        <f t="shared" si="191"/>
        <v>99.378368109284168</v>
      </c>
      <c r="P1480" s="12"/>
      <c r="Q1480" s="12"/>
      <c r="R1480" s="12"/>
      <c r="S1480" s="12"/>
      <c r="V1480">
        <v>0.434332988624612</v>
      </c>
      <c r="W1480" s="12"/>
      <c r="X1480" s="12"/>
      <c r="AY1480" t="str">
        <v>20/12/2018</v>
      </c>
      <c r="AZ1480" t="e">
        <v>#N/A</v>
      </c>
      <c r="BA1480" t="e">
        <v>#N/A</v>
      </c>
    </row>
    <row r="1481" spans="1:53" x14ac:dyDescent="0.3">
      <c r="A1481" s="11">
        <v>43376</v>
      </c>
      <c r="B1481">
        <v>0.512280701754386</v>
      </c>
      <c r="C1481">
        <v>2923.43</v>
      </c>
      <c r="D1481">
        <v>116.86</v>
      </c>
      <c r="E1481">
        <v>1203.0999999999999</v>
      </c>
      <c r="F1481">
        <v>82.96</v>
      </c>
      <c r="G1481">
        <v>47.44</v>
      </c>
      <c r="H1481" s="12">
        <f t="shared" si="188"/>
        <v>103.60867622200999</v>
      </c>
      <c r="I1481" s="12">
        <f t="shared" si="189"/>
        <v>100.6062274794121</v>
      </c>
      <c r="J1481" s="12">
        <f t="shared" si="190"/>
        <v>101.4852416730033</v>
      </c>
      <c r="K1481" s="12">
        <f t="shared" si="191"/>
        <v>99.057322932628111</v>
      </c>
      <c r="P1481" s="12"/>
      <c r="Q1481" s="12"/>
      <c r="R1481" s="12"/>
      <c r="S1481" s="12"/>
      <c r="V1481">
        <v>0.43958333333333299</v>
      </c>
      <c r="W1481" s="12"/>
      <c r="X1481" s="12"/>
      <c r="AY1481" t="str">
        <v>19/12/2018</v>
      </c>
      <c r="AZ1481" t="e">
        <v>#N/A</v>
      </c>
      <c r="BA1481" t="e">
        <v>#N/A</v>
      </c>
    </row>
    <row r="1482" spans="1:53" x14ac:dyDescent="0.3">
      <c r="A1482" s="11">
        <v>43375</v>
      </c>
      <c r="B1482">
        <v>0.50896057347670298</v>
      </c>
      <c r="C1482">
        <v>2924.59</v>
      </c>
      <c r="D1482">
        <v>116.15</v>
      </c>
      <c r="E1482">
        <v>1188.47</v>
      </c>
      <c r="F1482">
        <v>82.93</v>
      </c>
      <c r="G1482">
        <v>47.84</v>
      </c>
      <c r="H1482" s="12">
        <f t="shared" si="188"/>
        <v>104.28752774790351</v>
      </c>
      <c r="I1482" s="12">
        <f t="shared" si="189"/>
        <v>101.90104136774714</v>
      </c>
      <c r="J1482" s="12">
        <f t="shared" si="190"/>
        <v>101.56226524247343</v>
      </c>
      <c r="K1482" s="12">
        <f t="shared" si="191"/>
        <v>98.274608209539352</v>
      </c>
      <c r="P1482" s="12"/>
      <c r="Q1482" s="12"/>
      <c r="R1482" s="12"/>
      <c r="S1482" s="12"/>
      <c r="V1482">
        <v>0.43756558237145898</v>
      </c>
      <c r="W1482" s="12"/>
      <c r="X1482" s="12"/>
      <c r="AY1482" t="str">
        <v>18/12/2018</v>
      </c>
      <c r="AZ1482" t="e">
        <v>#N/A</v>
      </c>
      <c r="BA1482" t="e">
        <v>#N/A</v>
      </c>
    </row>
    <row r="1483" spans="1:53" x14ac:dyDescent="0.3">
      <c r="A1483" s="11">
        <v>43372</v>
      </c>
      <c r="B1483">
        <v>0.52961672473867605</v>
      </c>
      <c r="C1483">
        <v>2913.98</v>
      </c>
      <c r="D1483">
        <v>117.27</v>
      </c>
      <c r="E1483">
        <v>1192.0899999999999</v>
      </c>
      <c r="F1483">
        <v>83.09</v>
      </c>
      <c r="G1483">
        <v>47.69</v>
      </c>
      <c r="H1483" s="12">
        <f t="shared" si="188"/>
        <v>102.9297121355912</v>
      </c>
      <c r="I1483" s="12">
        <f t="shared" si="189"/>
        <v>101.2250853815964</v>
      </c>
      <c r="J1483" s="12">
        <f t="shared" si="190"/>
        <v>101.00002928357875</v>
      </c>
      <c r="K1483" s="12">
        <f t="shared" si="191"/>
        <v>98.225912247284384</v>
      </c>
      <c r="P1483" s="12"/>
      <c r="Q1483" s="12"/>
      <c r="R1483" s="12"/>
      <c r="S1483" s="12"/>
      <c r="V1483">
        <v>0.44321608040200999</v>
      </c>
      <c r="W1483" s="12"/>
      <c r="X1483" s="12"/>
      <c r="AY1483" t="str">
        <v>17/12/2018</v>
      </c>
      <c r="AZ1483" t="e">
        <v>#N/A</v>
      </c>
      <c r="BA1483" t="e">
        <v>#N/A</v>
      </c>
    </row>
    <row r="1484" spans="1:53" x14ac:dyDescent="0.3">
      <c r="A1484" s="11">
        <v>43371</v>
      </c>
      <c r="B1484">
        <v>0.53900709219858201</v>
      </c>
      <c r="C1484">
        <v>2914</v>
      </c>
      <c r="D1484">
        <v>117.58</v>
      </c>
      <c r="E1484">
        <v>1182.8</v>
      </c>
      <c r="F1484">
        <v>83.05</v>
      </c>
      <c r="G1484">
        <v>48.07</v>
      </c>
      <c r="H1484" s="12">
        <f t="shared" si="188"/>
        <v>102.65975400283955</v>
      </c>
      <c r="I1484" s="12">
        <f t="shared" si="189"/>
        <v>102.02713163994237</v>
      </c>
      <c r="J1484" s="12">
        <f t="shared" si="190"/>
        <v>101.04939201118187</v>
      </c>
      <c r="K1484" s="12">
        <f t="shared" si="191"/>
        <v>97.456176571878657</v>
      </c>
      <c r="P1484" s="12"/>
      <c r="Q1484" s="12"/>
      <c r="R1484" s="12"/>
      <c r="S1484" s="12"/>
      <c r="V1484">
        <v>0.437311935807422</v>
      </c>
      <c r="W1484" s="12"/>
      <c r="X1484" s="12"/>
      <c r="AY1484" t="str">
        <v>14/12/2018</v>
      </c>
      <c r="AZ1484">
        <v>39.299999999999997</v>
      </c>
      <c r="BA1484">
        <v>21.4</v>
      </c>
    </row>
    <row r="1485" spans="1:53" x14ac:dyDescent="0.3">
      <c r="A1485" s="11">
        <v>43370</v>
      </c>
      <c r="B1485">
        <v>0.55430711610486905</v>
      </c>
      <c r="C1485">
        <v>2905.97</v>
      </c>
      <c r="D1485">
        <v>117.5</v>
      </c>
      <c r="E1485">
        <v>1194.46</v>
      </c>
      <c r="F1485">
        <v>83.05</v>
      </c>
      <c r="G1485">
        <v>48.09</v>
      </c>
      <c r="H1485" s="12">
        <f t="shared" si="188"/>
        <v>102.44641692940336</v>
      </c>
      <c r="I1485" s="12">
        <f t="shared" si="189"/>
        <v>100.76504836985458</v>
      </c>
      <c r="J1485" s="12">
        <f t="shared" si="190"/>
        <v>100.77093400917437</v>
      </c>
      <c r="K1485" s="12">
        <f t="shared" si="191"/>
        <v>97.14732929379808</v>
      </c>
      <c r="P1485" s="12"/>
      <c r="Q1485" s="12"/>
      <c r="R1485" s="12"/>
      <c r="S1485" s="12"/>
      <c r="V1485">
        <v>0.440394088669951</v>
      </c>
      <c r="W1485" s="12"/>
      <c r="X1485" s="12"/>
      <c r="AY1485" t="str">
        <v>13/12/2018</v>
      </c>
      <c r="AZ1485">
        <v>39.299999999999997</v>
      </c>
      <c r="BA1485">
        <v>21.4</v>
      </c>
    </row>
    <row r="1486" spans="1:53" x14ac:dyDescent="0.3">
      <c r="A1486" s="11">
        <v>43369</v>
      </c>
      <c r="B1486">
        <v>0.55471698113207502</v>
      </c>
      <c r="C1486">
        <v>2915.56</v>
      </c>
      <c r="D1486">
        <v>116.68</v>
      </c>
      <c r="E1486">
        <v>1201.28</v>
      </c>
      <c r="F1486">
        <v>83.04</v>
      </c>
      <c r="G1486">
        <v>48.08</v>
      </c>
      <c r="H1486" s="12">
        <f t="shared" si="188"/>
        <v>103.5143764373295</v>
      </c>
      <c r="I1486" s="12">
        <f t="shared" si="189"/>
        <v>100.524991720529</v>
      </c>
      <c r="J1486" s="12">
        <f t="shared" si="190"/>
        <v>101.1157053912036</v>
      </c>
      <c r="K1486" s="12">
        <f t="shared" si="191"/>
        <v>97.488268652065386</v>
      </c>
      <c r="P1486" s="12"/>
      <c r="Q1486" s="12"/>
      <c r="R1486" s="12"/>
      <c r="S1486" s="12"/>
      <c r="V1486">
        <v>0.44047619047619002</v>
      </c>
      <c r="W1486" s="12"/>
      <c r="X1486" s="12"/>
      <c r="AY1486" t="str">
        <v>12/12/2018</v>
      </c>
      <c r="AZ1486">
        <v>39.299999999999997</v>
      </c>
      <c r="BA1486">
        <v>21.4</v>
      </c>
    </row>
    <row r="1487" spans="1:53" x14ac:dyDescent="0.3">
      <c r="A1487" s="11">
        <v>43368</v>
      </c>
      <c r="B1487">
        <v>0.57312252964426902</v>
      </c>
      <c r="C1487">
        <v>2919.37</v>
      </c>
      <c r="D1487">
        <v>116.8</v>
      </c>
      <c r="E1487">
        <v>1198.8599999999999</v>
      </c>
      <c r="F1487">
        <v>83.03</v>
      </c>
      <c r="G1487">
        <v>47.85</v>
      </c>
      <c r="H1487" s="12">
        <f t="shared" si="188"/>
        <v>103.5431281725235</v>
      </c>
      <c r="I1487" s="12">
        <f t="shared" si="189"/>
        <v>100.86021683085545</v>
      </c>
      <c r="J1487" s="12">
        <f t="shared" si="190"/>
        <v>101.26005306420055</v>
      </c>
      <c r="K1487" s="12">
        <f t="shared" si="191"/>
        <v>98.087757846007861</v>
      </c>
      <c r="P1487" s="12"/>
      <c r="Q1487" s="12"/>
      <c r="R1487" s="12"/>
      <c r="S1487" s="12"/>
      <c r="V1487">
        <v>0.44466600199401801</v>
      </c>
      <c r="W1487" s="12"/>
      <c r="X1487" s="12"/>
      <c r="AY1487" t="str">
        <v>11/12/2018</v>
      </c>
      <c r="AZ1487">
        <v>39.299999999999997</v>
      </c>
      <c r="BA1487">
        <v>21.4</v>
      </c>
    </row>
    <row r="1488" spans="1:53" x14ac:dyDescent="0.3">
      <c r="A1488" s="11">
        <v>43365</v>
      </c>
      <c r="B1488">
        <v>0.58582089552238803</v>
      </c>
      <c r="C1488">
        <v>2929.67</v>
      </c>
      <c r="D1488">
        <v>117.1</v>
      </c>
      <c r="E1488">
        <v>1199.55</v>
      </c>
      <c r="F1488">
        <v>83.03</v>
      </c>
      <c r="G1488">
        <v>48.15</v>
      </c>
      <c r="H1488" s="12">
        <f t="shared" si="188"/>
        <v>103.64198619379037</v>
      </c>
      <c r="I1488" s="12">
        <f t="shared" si="189"/>
        <v>101.15767488138469</v>
      </c>
      <c r="J1488" s="12">
        <f t="shared" si="190"/>
        <v>101.61731457834959</v>
      </c>
      <c r="K1488" s="12">
        <f t="shared" si="191"/>
        <v>97.822192577630204</v>
      </c>
      <c r="P1488" s="12"/>
      <c r="Q1488" s="12"/>
      <c r="R1488" s="12"/>
      <c r="S1488" s="12"/>
      <c r="V1488">
        <v>0.46255924170616097</v>
      </c>
      <c r="W1488" s="12"/>
      <c r="X1488" s="12"/>
      <c r="AY1488" t="str">
        <v>10/12/2018</v>
      </c>
      <c r="AZ1488">
        <v>39.299999999999997</v>
      </c>
      <c r="BA1488">
        <v>21.4</v>
      </c>
    </row>
    <row r="1489" spans="1:53" x14ac:dyDescent="0.3">
      <c r="A1489" s="11">
        <v>43364</v>
      </c>
      <c r="B1489">
        <v>0.56985294117647101</v>
      </c>
      <c r="C1489">
        <v>2930.75</v>
      </c>
      <c r="D1489">
        <v>117.15</v>
      </c>
      <c r="E1489">
        <v>1207.58</v>
      </c>
      <c r="F1489">
        <v>83.05</v>
      </c>
      <c r="G1489">
        <v>48.1</v>
      </c>
      <c r="H1489" s="12">
        <f t="shared" si="188"/>
        <v>103.63594454066863</v>
      </c>
      <c r="I1489" s="12">
        <f t="shared" si="189"/>
        <v>100.52625373851198</v>
      </c>
      <c r="J1489" s="12">
        <f t="shared" si="190"/>
        <v>101.6302915034283</v>
      </c>
      <c r="K1489" s="12">
        <f t="shared" si="191"/>
        <v>97.960121152582047</v>
      </c>
      <c r="P1489" s="12"/>
      <c r="Q1489" s="12"/>
      <c r="R1489" s="12"/>
      <c r="S1489" s="12"/>
      <c r="V1489">
        <v>0.45722433460076001</v>
      </c>
      <c r="W1489" s="12"/>
      <c r="X1489" s="12"/>
      <c r="AY1489" t="str">
        <v>07/12/2018</v>
      </c>
      <c r="AZ1489">
        <v>45.4</v>
      </c>
      <c r="BA1489">
        <v>20.399999999999999</v>
      </c>
    </row>
    <row r="1490" spans="1:53" x14ac:dyDescent="0.3">
      <c r="A1490" s="11">
        <v>43363</v>
      </c>
      <c r="B1490">
        <v>0.60583941605839398</v>
      </c>
      <c r="C1490">
        <v>2907.95</v>
      </c>
      <c r="D1490">
        <v>116.61</v>
      </c>
      <c r="E1490">
        <v>1203.99</v>
      </c>
      <c r="F1490">
        <v>83.02</v>
      </c>
      <c r="G1490">
        <v>47.52</v>
      </c>
      <c r="H1490" s="12">
        <f t="shared" si="188"/>
        <v>103.30436291849485</v>
      </c>
      <c r="I1490" s="12">
        <f t="shared" si="189"/>
        <v>100.0401762656269</v>
      </c>
      <c r="J1490" s="12">
        <f t="shared" si="190"/>
        <v>100.87581943379699</v>
      </c>
      <c r="K1490" s="12">
        <f t="shared" si="191"/>
        <v>98.389573164825435</v>
      </c>
      <c r="P1490" s="12"/>
      <c r="Q1490" s="12"/>
      <c r="R1490" s="12"/>
      <c r="S1490" s="12"/>
      <c r="V1490">
        <v>0.47008547008547003</v>
      </c>
      <c r="W1490" s="12"/>
      <c r="X1490" s="12"/>
      <c r="AY1490" t="str">
        <v>06/12/2018</v>
      </c>
      <c r="AZ1490">
        <v>45.4</v>
      </c>
      <c r="BA1490">
        <v>20.399999999999999</v>
      </c>
    </row>
    <row r="1491" spans="1:53" x14ac:dyDescent="0.3">
      <c r="A1491" s="11">
        <v>43362</v>
      </c>
      <c r="B1491">
        <v>0.61048689138576795</v>
      </c>
      <c r="C1491">
        <v>2904.31</v>
      </c>
      <c r="D1491">
        <v>117.31</v>
      </c>
      <c r="E1491">
        <v>1198.3499999999999</v>
      </c>
      <c r="F1491">
        <v>83.04</v>
      </c>
      <c r="G1491">
        <v>47.24</v>
      </c>
      <c r="H1491" s="12">
        <f t="shared" si="188"/>
        <v>102.56381061973526</v>
      </c>
      <c r="I1491" s="12">
        <f t="shared" si="189"/>
        <v>100.38682821217425</v>
      </c>
      <c r="J1491" s="12">
        <f t="shared" si="190"/>
        <v>100.72531993951266</v>
      </c>
      <c r="K1491" s="12">
        <f t="shared" si="191"/>
        <v>98.851592719720159</v>
      </c>
      <c r="P1491" s="12"/>
      <c r="Q1491" s="12"/>
      <c r="R1491" s="12"/>
      <c r="S1491" s="12"/>
      <c r="V1491">
        <v>0.47014218009478698</v>
      </c>
      <c r="W1491" s="12"/>
      <c r="X1491" s="12"/>
      <c r="AY1491" t="str">
        <v>05/12/2018</v>
      </c>
      <c r="AZ1491">
        <v>45.4</v>
      </c>
      <c r="BA1491">
        <v>20.399999999999999</v>
      </c>
    </row>
    <row r="1492" spans="1:53" x14ac:dyDescent="0.3">
      <c r="A1492" s="11">
        <v>43361</v>
      </c>
      <c r="B1492">
        <v>0.61685823754789304</v>
      </c>
      <c r="C1492">
        <v>2888.8</v>
      </c>
      <c r="D1492">
        <v>118.55</v>
      </c>
      <c r="E1492">
        <v>1200.93</v>
      </c>
      <c r="F1492">
        <v>83.05</v>
      </c>
      <c r="G1492">
        <v>46.79</v>
      </c>
      <c r="H1492" s="12">
        <f t="shared" si="188"/>
        <v>100.96565226874789</v>
      </c>
      <c r="I1492" s="12">
        <f t="shared" si="189"/>
        <v>99.637816233551192</v>
      </c>
      <c r="J1492" s="12">
        <f t="shared" si="190"/>
        <v>100.17541493849728</v>
      </c>
      <c r="K1492" s="12">
        <f t="shared" si="191"/>
        <v>99.273348419569245</v>
      </c>
      <c r="P1492" s="12"/>
      <c r="Q1492" s="12"/>
      <c r="R1492" s="12"/>
      <c r="S1492" s="12"/>
      <c r="V1492">
        <v>0.47591522157996102</v>
      </c>
      <c r="W1492" s="12"/>
      <c r="X1492" s="12"/>
      <c r="AY1492" t="str">
        <v>04/12/2018</v>
      </c>
      <c r="AZ1492">
        <v>45.4</v>
      </c>
      <c r="BA1492">
        <v>20.399999999999999</v>
      </c>
    </row>
    <row r="1493" spans="1:53" x14ac:dyDescent="0.3">
      <c r="A1493" s="11">
        <v>43358</v>
      </c>
      <c r="B1493">
        <v>0.62545454545454504</v>
      </c>
      <c r="C1493">
        <v>2904.98</v>
      </c>
      <c r="D1493">
        <v>118.55</v>
      </c>
      <c r="E1493">
        <v>1193.71</v>
      </c>
      <c r="F1493">
        <v>83.07</v>
      </c>
      <c r="G1493">
        <v>46.84</v>
      </c>
      <c r="H1493" s="12">
        <f t="shared" si="188"/>
        <v>101.53115498742288</v>
      </c>
      <c r="I1493" s="12">
        <f t="shared" si="189"/>
        <v>100.80902720079283</v>
      </c>
      <c r="J1493" s="12">
        <f t="shared" si="190"/>
        <v>100.71210824690445</v>
      </c>
      <c r="K1493" s="12">
        <f t="shared" si="191"/>
        <v>99.722326459045064</v>
      </c>
      <c r="P1493" s="12"/>
      <c r="Q1493" s="12"/>
      <c r="R1493" s="12"/>
      <c r="S1493" s="12"/>
      <c r="V1493">
        <v>0.48037383177570098</v>
      </c>
      <c r="W1493" s="12"/>
      <c r="X1493" s="12"/>
      <c r="AY1493" t="str">
        <v>03/12/2018</v>
      </c>
      <c r="AZ1493">
        <v>45.4</v>
      </c>
      <c r="BA1493">
        <v>20.399999999999999</v>
      </c>
    </row>
    <row r="1494" spans="1:53" x14ac:dyDescent="0.3">
      <c r="A1494" s="11">
        <v>43357</v>
      </c>
      <c r="B1494">
        <v>0.63928571428571401</v>
      </c>
      <c r="C1494">
        <v>2904.18</v>
      </c>
      <c r="D1494">
        <v>119.12</v>
      </c>
      <c r="E1494">
        <v>1201.44</v>
      </c>
      <c r="F1494">
        <v>83.1</v>
      </c>
      <c r="G1494">
        <v>46.82</v>
      </c>
      <c r="H1494" s="12">
        <f t="shared" si="188"/>
        <v>101.01993796612463</v>
      </c>
      <c r="I1494" s="12">
        <f t="shared" si="189"/>
        <v>100.13716580395223</v>
      </c>
      <c r="J1494" s="12">
        <f t="shared" si="190"/>
        <v>100.64804819490786</v>
      </c>
      <c r="K1494" s="12">
        <f t="shared" si="191"/>
        <v>99.737456916267988</v>
      </c>
      <c r="P1494" s="12"/>
      <c r="Q1494" s="12"/>
      <c r="R1494" s="12"/>
      <c r="S1494" s="12"/>
      <c r="V1494">
        <v>0.47582938388625601</v>
      </c>
      <c r="W1494" s="12"/>
      <c r="X1494" s="12"/>
      <c r="AY1494" t="str">
        <v>30/11/2018</v>
      </c>
      <c r="AZ1494">
        <v>46.7</v>
      </c>
      <c r="BA1494">
        <v>21.5</v>
      </c>
    </row>
    <row r="1495" spans="1:53" x14ac:dyDescent="0.3">
      <c r="A1495" s="11">
        <v>43356</v>
      </c>
      <c r="B1495">
        <v>0.64436619718309895</v>
      </c>
      <c r="C1495">
        <v>2888.92</v>
      </c>
      <c r="D1495">
        <v>118.94</v>
      </c>
      <c r="E1495">
        <v>1206.19</v>
      </c>
      <c r="F1495">
        <v>83.09</v>
      </c>
      <c r="G1495">
        <v>46.43</v>
      </c>
      <c r="H1495" s="12">
        <f t="shared" si="188"/>
        <v>100.64063521495393</v>
      </c>
      <c r="I1495" s="12">
        <f t="shared" si="189"/>
        <v>99.222309270708351</v>
      </c>
      <c r="J1495" s="12">
        <f t="shared" si="190"/>
        <v>100.13118111316454</v>
      </c>
      <c r="K1495" s="12">
        <f t="shared" si="191"/>
        <v>100.04935986919152</v>
      </c>
      <c r="P1495" s="12"/>
      <c r="Q1495" s="12"/>
      <c r="R1495" s="12"/>
      <c r="S1495" s="12"/>
      <c r="V1495">
        <v>0.47916666666666702</v>
      </c>
      <c r="W1495" s="12"/>
      <c r="X1495" s="12"/>
      <c r="AY1495" t="str">
        <v>29/11/2018</v>
      </c>
      <c r="AZ1495">
        <v>46.7</v>
      </c>
      <c r="BA1495">
        <v>21.5</v>
      </c>
    </row>
    <row r="1496" spans="1:53" x14ac:dyDescent="0.3">
      <c r="A1496" s="11">
        <v>43355</v>
      </c>
      <c r="B1496">
        <v>0.64748201438848896</v>
      </c>
      <c r="C1496">
        <v>2887.89</v>
      </c>
      <c r="D1496">
        <v>118.66</v>
      </c>
      <c r="E1496">
        <v>1198.29</v>
      </c>
      <c r="F1496">
        <v>83.09</v>
      </c>
      <c r="G1496">
        <v>46.22</v>
      </c>
      <c r="H1496" s="12">
        <f t="shared" si="188"/>
        <v>100.84262514551108</v>
      </c>
      <c r="I1496" s="12">
        <f t="shared" si="189"/>
        <v>99.844948980939449</v>
      </c>
      <c r="J1496" s="12">
        <f t="shared" si="190"/>
        <v>100.09548088036247</v>
      </c>
      <c r="K1496" s="12">
        <f t="shared" si="191"/>
        <v>100.47001030886489</v>
      </c>
      <c r="P1496" s="12"/>
      <c r="Q1496" s="12"/>
      <c r="R1496" s="12"/>
      <c r="S1496" s="12"/>
      <c r="V1496">
        <v>0.47900763358778597</v>
      </c>
      <c r="W1496" s="12"/>
      <c r="X1496" s="12"/>
      <c r="AY1496" t="str">
        <v>28/11/2018</v>
      </c>
      <c r="AZ1496">
        <v>46.7</v>
      </c>
      <c r="BA1496">
        <v>21.5</v>
      </c>
    </row>
    <row r="1497" spans="1:53" x14ac:dyDescent="0.3">
      <c r="A1497" s="11">
        <v>43354</v>
      </c>
      <c r="B1497">
        <v>0.65441176470588203</v>
      </c>
      <c r="C1497">
        <v>2877.13</v>
      </c>
      <c r="D1497">
        <v>119.57</v>
      </c>
      <c r="E1497">
        <v>1195.8800000000001</v>
      </c>
      <c r="F1497">
        <v>83.14</v>
      </c>
      <c r="G1497">
        <v>46.15</v>
      </c>
      <c r="H1497" s="12">
        <f t="shared" si="188"/>
        <v>99.710862718610912</v>
      </c>
      <c r="I1497" s="12">
        <f t="shared" si="189"/>
        <v>99.673054267134575</v>
      </c>
      <c r="J1497" s="12">
        <f t="shared" si="190"/>
        <v>99.66282133154489</v>
      </c>
      <c r="K1497" s="12">
        <f t="shared" si="191"/>
        <v>100.24715637939309</v>
      </c>
      <c r="P1497" s="12"/>
      <c r="Q1497" s="12"/>
      <c r="R1497" s="12"/>
      <c r="S1497" s="12"/>
      <c r="V1497">
        <v>0.47591522157996102</v>
      </c>
      <c r="W1497" s="12"/>
      <c r="X1497" s="12"/>
      <c r="AY1497" t="str">
        <v>27/11/2018</v>
      </c>
      <c r="AZ1497">
        <v>46.7</v>
      </c>
      <c r="BA1497">
        <v>21.5</v>
      </c>
    </row>
    <row r="1498" spans="1:53" x14ac:dyDescent="0.3">
      <c r="A1498" s="11">
        <v>43351</v>
      </c>
      <c r="B1498">
        <v>0.64309764309764295</v>
      </c>
      <c r="C1498">
        <v>2871.68</v>
      </c>
      <c r="D1498">
        <v>119.13</v>
      </c>
      <c r="E1498">
        <v>1195.8599999999999</v>
      </c>
      <c r="F1498">
        <v>83.13</v>
      </c>
      <c r="G1498">
        <v>46.05</v>
      </c>
      <c r="H1498" s="12">
        <f t="shared" si="188"/>
        <v>99.890225644314043</v>
      </c>
      <c r="I1498" s="12">
        <f t="shared" si="189"/>
        <v>99.485909392435943</v>
      </c>
      <c r="J1498" s="12">
        <f t="shared" si="190"/>
        <v>99.485980002451029</v>
      </c>
      <c r="K1498" s="12">
        <f t="shared" si="191"/>
        <v>100.27460242944485</v>
      </c>
      <c r="P1498" s="12"/>
      <c r="Q1498" s="12"/>
      <c r="R1498" s="12"/>
      <c r="S1498" s="12"/>
      <c r="V1498">
        <v>0.47725162488393702</v>
      </c>
      <c r="W1498" s="12"/>
      <c r="X1498" s="12"/>
      <c r="AY1498" t="str">
        <v>26/11/2018</v>
      </c>
      <c r="AZ1498">
        <v>46.7</v>
      </c>
      <c r="BA1498">
        <v>21.5</v>
      </c>
    </row>
    <row r="1499" spans="1:53" x14ac:dyDescent="0.3">
      <c r="A1499" s="11">
        <v>43350</v>
      </c>
      <c r="B1499">
        <v>0.65231788079470199</v>
      </c>
      <c r="C1499">
        <v>2878.05</v>
      </c>
      <c r="D1499">
        <v>120.15</v>
      </c>
      <c r="E1499">
        <v>1200.1500000000001</v>
      </c>
      <c r="F1499">
        <v>83.22</v>
      </c>
      <c r="G1499">
        <v>46.38</v>
      </c>
      <c r="H1499" s="12">
        <f>H1500*(1+((C1499/C1500)-(D1499/D1500)))</f>
        <v>99.267216245024002</v>
      </c>
      <c r="I1499" s="12">
        <f>I1500*(1+((C1499/C1500)-(E1499/E1500)))</f>
        <v>99.350668391066577</v>
      </c>
      <c r="J1499" s="12">
        <f t="shared" si="190"/>
        <v>99.598709142738755</v>
      </c>
      <c r="K1499" s="12">
        <f t="shared" si="191"/>
        <v>99.785470846496764</v>
      </c>
      <c r="P1499" s="12"/>
      <c r="Q1499" s="12"/>
      <c r="R1499" s="12"/>
      <c r="S1499" s="12"/>
      <c r="V1499">
        <v>0.46703806870937797</v>
      </c>
      <c r="W1499" s="12"/>
      <c r="X1499" s="12"/>
      <c r="AY1499" t="str">
        <v>23/11/2018</v>
      </c>
      <c r="AZ1499">
        <v>38.299999999999997</v>
      </c>
      <c r="BA1499">
        <v>20.6</v>
      </c>
    </row>
    <row r="1500" spans="1:53" x14ac:dyDescent="0.3">
      <c r="A1500" s="11">
        <v>43349</v>
      </c>
      <c r="B1500">
        <v>0.63754045307443397</v>
      </c>
      <c r="C1500">
        <v>2888.6</v>
      </c>
      <c r="D1500">
        <v>119.71</v>
      </c>
      <c r="E1500">
        <v>1196.75</v>
      </c>
      <c r="F1500">
        <v>83.19</v>
      </c>
      <c r="G1500">
        <v>46.45</v>
      </c>
      <c r="H1500">
        <v>100</v>
      </c>
      <c r="I1500">
        <v>100</v>
      </c>
      <c r="J1500" s="12">
        <v>100</v>
      </c>
      <c r="K1500" s="12">
        <v>100</v>
      </c>
      <c r="P1500" s="12"/>
      <c r="S1500" s="12"/>
      <c r="V1500">
        <v>0.47309833024118703</v>
      </c>
      <c r="W1500" s="12"/>
      <c r="X1500" s="12"/>
      <c r="AY1500" t="str">
        <v>22/11/2018</v>
      </c>
      <c r="AZ1500">
        <v>38.299999999999997</v>
      </c>
      <c r="BA1500">
        <v>20.6</v>
      </c>
    </row>
    <row r="1501" spans="1:53" x14ac:dyDescent="0.3">
      <c r="A1501" s="11">
        <v>43348</v>
      </c>
      <c r="B1501">
        <v>0.63843648208469095</v>
      </c>
      <c r="C1501">
        <v>2896.72</v>
      </c>
      <c r="D1501">
        <v>120.03</v>
      </c>
      <c r="E1501">
        <v>1191.31</v>
      </c>
      <c r="F1501">
        <v>83.19</v>
      </c>
      <c r="G1501">
        <v>46.9</v>
      </c>
      <c r="V1501">
        <v>0.474178403755869</v>
      </c>
      <c r="AY1501" t="str">
        <v>21/11/2018</v>
      </c>
      <c r="AZ1501">
        <v>38.299999999999997</v>
      </c>
      <c r="BA1501">
        <v>20.6</v>
      </c>
    </row>
    <row r="1502" spans="1:53" x14ac:dyDescent="0.3">
      <c r="A1502" s="11">
        <v>43343</v>
      </c>
      <c r="B1502">
        <v>0.668604651162791</v>
      </c>
      <c r="C1502">
        <v>2901.52</v>
      </c>
      <c r="D1502">
        <v>120.995</v>
      </c>
      <c r="E1502">
        <v>1201.0899999999999</v>
      </c>
      <c r="F1502">
        <v>83.34</v>
      </c>
      <c r="G1502">
        <v>47.48</v>
      </c>
      <c r="V1502">
        <v>0.47802197802197799</v>
      </c>
      <c r="AY1502" t="str">
        <v>20/11/2018</v>
      </c>
      <c r="AZ1502">
        <v>38.299999999999997</v>
      </c>
      <c r="BA1502">
        <v>20.6</v>
      </c>
    </row>
    <row r="1503" spans="1:53" x14ac:dyDescent="0.3">
      <c r="A1503" s="11">
        <v>43343</v>
      </c>
      <c r="B1503">
        <v>0.67696629213483195</v>
      </c>
      <c r="C1503">
        <v>2901.13</v>
      </c>
      <c r="D1503">
        <v>121.28</v>
      </c>
      <c r="E1503">
        <v>1199.8800000000001</v>
      </c>
      <c r="F1503">
        <v>83.32</v>
      </c>
      <c r="G1503">
        <v>47.7</v>
      </c>
      <c r="V1503">
        <v>0.48094373865698697</v>
      </c>
      <c r="AY1503" t="str">
        <v>19/11/2018</v>
      </c>
      <c r="AZ1503">
        <v>38.299999999999997</v>
      </c>
      <c r="BA1503">
        <v>20.6</v>
      </c>
    </row>
    <row r="1504" spans="1:53" x14ac:dyDescent="0.3">
      <c r="A1504" s="11">
        <v>43342</v>
      </c>
      <c r="B1504">
        <v>0.66850828729281797</v>
      </c>
      <c r="C1504">
        <v>2914.04</v>
      </c>
      <c r="D1504">
        <v>121.02</v>
      </c>
      <c r="E1504">
        <v>1206.6600000000001</v>
      </c>
      <c r="F1504">
        <v>83.26</v>
      </c>
      <c r="G1504">
        <v>48.3</v>
      </c>
      <c r="V1504">
        <v>0.48961156278229501</v>
      </c>
      <c r="AY1504" t="str">
        <v>16/11/2018</v>
      </c>
      <c r="AZ1504">
        <v>39.6</v>
      </c>
      <c r="BA1504">
        <v>19.8</v>
      </c>
    </row>
    <row r="1505" spans="1:53" x14ac:dyDescent="0.3">
      <c r="A1505" s="11">
        <v>43341</v>
      </c>
      <c r="B1505">
        <v>0.66481994459833804</v>
      </c>
      <c r="C1505">
        <v>2897.52</v>
      </c>
      <c r="D1505">
        <v>120.86</v>
      </c>
      <c r="E1505">
        <v>1201.0999999999999</v>
      </c>
      <c r="F1505">
        <v>83.27</v>
      </c>
      <c r="G1505">
        <v>48.06</v>
      </c>
      <c r="V1505">
        <v>0.48631386861313902</v>
      </c>
      <c r="AY1505" t="str">
        <v>15/11/2018</v>
      </c>
      <c r="AZ1505">
        <v>39.6</v>
      </c>
      <c r="BA1505">
        <v>19.8</v>
      </c>
    </row>
    <row r="1506" spans="1:53" x14ac:dyDescent="0.3">
      <c r="A1506" s="11">
        <v>43340</v>
      </c>
      <c r="B1506">
        <v>0.66016713091921997</v>
      </c>
      <c r="C1506">
        <v>2896.74</v>
      </c>
      <c r="D1506">
        <v>121.59</v>
      </c>
      <c r="E1506">
        <v>1211.3499999999999</v>
      </c>
      <c r="F1506">
        <v>83.3</v>
      </c>
      <c r="G1506">
        <v>48.16</v>
      </c>
      <c r="V1506">
        <v>0.49174311926605502</v>
      </c>
      <c r="AY1506" t="str">
        <v>14/11/2018</v>
      </c>
      <c r="AZ1506">
        <v>39.6</v>
      </c>
      <c r="BA1506">
        <v>19.8</v>
      </c>
    </row>
    <row r="1507" spans="1:53" x14ac:dyDescent="0.3">
      <c r="A1507" s="11">
        <v>43337</v>
      </c>
      <c r="B1507">
        <v>0.67481662591686997</v>
      </c>
      <c r="C1507">
        <v>2874.69</v>
      </c>
      <c r="D1507">
        <v>122.29</v>
      </c>
      <c r="E1507">
        <v>1205.97</v>
      </c>
      <c r="F1507">
        <v>83.33</v>
      </c>
      <c r="G1507">
        <v>47.57</v>
      </c>
      <c r="V1507">
        <v>0.48154815481548202</v>
      </c>
      <c r="AY1507" t="str">
        <v>13/11/2018</v>
      </c>
      <c r="AZ1507">
        <v>39.6</v>
      </c>
      <c r="BA1507">
        <v>19.8</v>
      </c>
    </row>
    <row r="1508" spans="1:53" x14ac:dyDescent="0.3">
      <c r="A1508" s="11">
        <v>43336</v>
      </c>
      <c r="B1508">
        <v>0.67772511848341199</v>
      </c>
      <c r="C1508">
        <v>2856.98</v>
      </c>
      <c r="D1508">
        <v>122.05</v>
      </c>
      <c r="E1508">
        <v>1185.31</v>
      </c>
      <c r="F1508">
        <v>83.32</v>
      </c>
      <c r="G1508">
        <v>47.13</v>
      </c>
      <c r="V1508">
        <v>0.48366606170598903</v>
      </c>
      <c r="AY1508" t="str">
        <v>12/11/2018</v>
      </c>
      <c r="AZ1508">
        <v>39.6</v>
      </c>
      <c r="BA1508">
        <v>19.8</v>
      </c>
    </row>
    <row r="1509" spans="1:53" x14ac:dyDescent="0.3">
      <c r="A1509" s="11">
        <v>43335</v>
      </c>
      <c r="B1509">
        <v>0.67061611374407604</v>
      </c>
      <c r="C1509">
        <v>2861.82</v>
      </c>
      <c r="D1509">
        <v>121.86</v>
      </c>
      <c r="E1509">
        <v>1195.51</v>
      </c>
      <c r="F1509">
        <v>83.33</v>
      </c>
      <c r="G1509">
        <v>47.56</v>
      </c>
      <c r="V1509">
        <v>0.48018018018017999</v>
      </c>
      <c r="AY1509" t="str">
        <v>09/11/2018</v>
      </c>
      <c r="AZ1509">
        <v>42.9</v>
      </c>
      <c r="BA1509">
        <v>19</v>
      </c>
    </row>
    <row r="1510" spans="1:53" x14ac:dyDescent="0.3">
      <c r="A1510" s="11">
        <v>43334</v>
      </c>
      <c r="B1510">
        <v>0.67064439140811505</v>
      </c>
      <c r="C1510">
        <v>2862.96</v>
      </c>
      <c r="D1510">
        <v>121.38</v>
      </c>
      <c r="E1510">
        <v>1196.17</v>
      </c>
      <c r="F1510">
        <v>83.31</v>
      </c>
      <c r="G1510">
        <v>47.3</v>
      </c>
      <c r="V1510">
        <v>0.48269581056466299</v>
      </c>
      <c r="AY1510" t="str">
        <v>08/11/2018</v>
      </c>
      <c r="AZ1510">
        <v>42.9</v>
      </c>
      <c r="BA1510">
        <v>19</v>
      </c>
    </row>
    <row r="1511" spans="1:53" x14ac:dyDescent="0.3">
      <c r="A1511" s="11">
        <v>43333</v>
      </c>
      <c r="B1511">
        <v>0.66825775656324604</v>
      </c>
      <c r="C1511">
        <v>2857.05</v>
      </c>
      <c r="D1511">
        <v>121.79</v>
      </c>
      <c r="E1511">
        <v>1191.875</v>
      </c>
      <c r="F1511">
        <v>83.33</v>
      </c>
      <c r="G1511">
        <v>47.02</v>
      </c>
      <c r="V1511">
        <v>0.48490393412625798</v>
      </c>
      <c r="AY1511" t="str">
        <v>07/11/2018</v>
      </c>
      <c r="AZ1511">
        <v>42.9</v>
      </c>
      <c r="BA1511">
        <v>19</v>
      </c>
    </row>
    <row r="1512" spans="1:53" x14ac:dyDescent="0.3">
      <c r="A1512" s="11">
        <v>43330</v>
      </c>
      <c r="B1512">
        <v>0.67865168539325804</v>
      </c>
      <c r="C1512">
        <v>2850.13</v>
      </c>
      <c r="D1512">
        <v>120.98</v>
      </c>
      <c r="E1512">
        <v>1184.77</v>
      </c>
      <c r="F1512">
        <v>83.28</v>
      </c>
      <c r="G1512">
        <v>46.76</v>
      </c>
      <c r="V1512">
        <v>0.48864668483197099</v>
      </c>
      <c r="AY1512" t="str">
        <v>06/11/2018</v>
      </c>
      <c r="AZ1512">
        <v>42.9</v>
      </c>
      <c r="BA1512">
        <v>19</v>
      </c>
    </row>
    <row r="1513" spans="1:53" x14ac:dyDescent="0.3">
      <c r="A1513" s="11">
        <v>43329</v>
      </c>
      <c r="B1513">
        <v>0.68468468468468502</v>
      </c>
      <c r="C1513">
        <v>2840.69</v>
      </c>
      <c r="D1513">
        <v>120.83</v>
      </c>
      <c r="E1513">
        <v>1174.1600000000001</v>
      </c>
      <c r="F1513">
        <v>83.25</v>
      </c>
      <c r="G1513">
        <v>46.47</v>
      </c>
      <c r="V1513">
        <v>0.487826871055004</v>
      </c>
      <c r="AY1513" t="str">
        <v>05/11/2018</v>
      </c>
      <c r="AZ1513">
        <v>42.9</v>
      </c>
      <c r="BA1513">
        <v>19</v>
      </c>
    </row>
    <row r="1514" spans="1:53" x14ac:dyDescent="0.3">
      <c r="A1514" s="11">
        <v>43328</v>
      </c>
      <c r="B1514">
        <v>0.68243243243243201</v>
      </c>
      <c r="C1514">
        <v>2818.37</v>
      </c>
      <c r="D1514">
        <v>120.84</v>
      </c>
      <c r="E1514">
        <v>1174.8800000000001</v>
      </c>
      <c r="F1514">
        <v>83.27</v>
      </c>
      <c r="G1514">
        <v>46.07</v>
      </c>
      <c r="V1514">
        <v>0.48550724637681197</v>
      </c>
      <c r="AY1514" t="str">
        <v>02/11/2018</v>
      </c>
      <c r="AZ1514">
        <v>42.5</v>
      </c>
      <c r="BA1514">
        <v>19.8</v>
      </c>
    </row>
    <row r="1515" spans="1:53" x14ac:dyDescent="0.3">
      <c r="A1515" s="11">
        <v>43327</v>
      </c>
      <c r="B1515">
        <v>0.67954545454545501</v>
      </c>
      <c r="C1515">
        <v>2839.96</v>
      </c>
      <c r="D1515">
        <v>120.14</v>
      </c>
      <c r="E1515">
        <v>1194.03</v>
      </c>
      <c r="F1515">
        <v>83.23</v>
      </c>
      <c r="G1515">
        <v>46.96</v>
      </c>
      <c r="V1515">
        <v>0.48729582577132502</v>
      </c>
      <c r="AY1515" t="str">
        <v>01/11/2018</v>
      </c>
      <c r="AZ1515">
        <v>42.5</v>
      </c>
      <c r="BA1515">
        <v>19.8</v>
      </c>
    </row>
    <row r="1516" spans="1:53" x14ac:dyDescent="0.3">
      <c r="A1516" s="11">
        <v>43326</v>
      </c>
      <c r="B1516">
        <v>0.677345537757437</v>
      </c>
      <c r="C1516">
        <v>2821.93</v>
      </c>
      <c r="D1516">
        <v>120.41</v>
      </c>
      <c r="E1516">
        <v>1193.6400000000001</v>
      </c>
      <c r="F1516">
        <v>83.23</v>
      </c>
      <c r="G1516">
        <v>46.84</v>
      </c>
      <c r="V1516">
        <v>0.49084249084249099</v>
      </c>
      <c r="AY1516" t="str">
        <v>31/10/2018</v>
      </c>
      <c r="AZ1516">
        <v>42.5</v>
      </c>
      <c r="BA1516">
        <v>19.8</v>
      </c>
    </row>
    <row r="1517" spans="1:53" x14ac:dyDescent="0.3">
      <c r="A1517" s="11">
        <v>43323</v>
      </c>
      <c r="B1517">
        <v>0.65995525727069304</v>
      </c>
      <c r="C1517">
        <v>2833.28</v>
      </c>
      <c r="D1517">
        <v>120.66</v>
      </c>
      <c r="E1517">
        <v>1211.3</v>
      </c>
      <c r="F1517">
        <v>83.25</v>
      </c>
      <c r="G1517">
        <v>47.17</v>
      </c>
      <c r="V1517">
        <v>0.48228882833787501</v>
      </c>
      <c r="AY1517" t="str">
        <v>30/10/2018</v>
      </c>
      <c r="AZ1517">
        <v>42.5</v>
      </c>
      <c r="BA1517">
        <v>19.8</v>
      </c>
    </row>
    <row r="1518" spans="1:53" x14ac:dyDescent="0.3">
      <c r="A1518" s="11">
        <v>43322</v>
      </c>
      <c r="B1518">
        <v>0.66966292134831495</v>
      </c>
      <c r="C1518">
        <v>2853.58</v>
      </c>
      <c r="D1518">
        <v>119.79</v>
      </c>
      <c r="E1518">
        <v>1212.3499999999999</v>
      </c>
      <c r="F1518">
        <v>83.17</v>
      </c>
      <c r="G1518">
        <v>48.11</v>
      </c>
      <c r="V1518">
        <v>0.48196114708603099</v>
      </c>
      <c r="AY1518" t="str">
        <v>29/10/2018</v>
      </c>
      <c r="AZ1518">
        <v>42.5</v>
      </c>
      <c r="BA1518">
        <v>19.8</v>
      </c>
    </row>
    <row r="1519" spans="1:53" x14ac:dyDescent="0.3">
      <c r="A1519" s="11">
        <v>43321</v>
      </c>
      <c r="B1519">
        <v>0.66365688487584695</v>
      </c>
      <c r="C1519">
        <v>2857.7</v>
      </c>
      <c r="D1519">
        <v>118.79</v>
      </c>
      <c r="E1519">
        <v>1213.6099999999999</v>
      </c>
      <c r="F1519">
        <v>83.12</v>
      </c>
      <c r="G1519">
        <v>48.25</v>
      </c>
      <c r="V1519">
        <v>0.47962962962963002</v>
      </c>
      <c r="AY1519" t="str">
        <v>26/10/2018</v>
      </c>
      <c r="AZ1519">
        <v>44.3</v>
      </c>
      <c r="BA1519">
        <v>19.8</v>
      </c>
    </row>
    <row r="1520" spans="1:53" x14ac:dyDescent="0.3">
      <c r="A1520" s="11">
        <v>43320</v>
      </c>
      <c r="B1520">
        <v>0.65306122448979598</v>
      </c>
      <c r="C1520">
        <v>2858.45</v>
      </c>
      <c r="D1520">
        <v>118.67</v>
      </c>
      <c r="E1520">
        <v>1211.02</v>
      </c>
      <c r="F1520">
        <v>83.11</v>
      </c>
      <c r="G1520">
        <v>48.21</v>
      </c>
      <c r="V1520">
        <v>0.476547842401501</v>
      </c>
      <c r="AY1520" t="str">
        <v>25/10/2018</v>
      </c>
      <c r="AZ1520">
        <v>44.3</v>
      </c>
      <c r="BA1520">
        <v>19.8</v>
      </c>
    </row>
    <row r="1521" spans="1:53" x14ac:dyDescent="0.3">
      <c r="A1521" s="11">
        <v>43319</v>
      </c>
      <c r="B1521">
        <v>0.65831435079726697</v>
      </c>
      <c r="C1521">
        <v>2850.4</v>
      </c>
      <c r="D1521">
        <v>119.29</v>
      </c>
      <c r="E1521">
        <v>1206.94</v>
      </c>
      <c r="F1521">
        <v>83.14</v>
      </c>
      <c r="G1521">
        <v>47.91</v>
      </c>
      <c r="V1521">
        <v>0.48113207547169801</v>
      </c>
      <c r="AY1521" t="str">
        <v>24/10/2018</v>
      </c>
      <c r="AZ1521">
        <v>44.3</v>
      </c>
      <c r="BA1521">
        <v>19.8</v>
      </c>
    </row>
    <row r="1522" spans="1:53" x14ac:dyDescent="0.3">
      <c r="A1522" s="11">
        <v>43316</v>
      </c>
      <c r="B1522">
        <v>0.66359447004608296</v>
      </c>
      <c r="C1522">
        <v>2840.35</v>
      </c>
      <c r="D1522">
        <v>119.22</v>
      </c>
      <c r="E1522">
        <v>1213.43</v>
      </c>
      <c r="F1522">
        <v>83.12</v>
      </c>
      <c r="G1522">
        <v>48.11</v>
      </c>
      <c r="V1522">
        <v>0.47761194029850701</v>
      </c>
      <c r="AY1522" t="str">
        <v>23/10/2018</v>
      </c>
      <c r="AZ1522">
        <v>44.3</v>
      </c>
      <c r="BA1522">
        <v>19.8</v>
      </c>
    </row>
    <row r="1523" spans="1:53" x14ac:dyDescent="0.3">
      <c r="A1523" s="11">
        <v>43315</v>
      </c>
      <c r="B1523">
        <v>0.65011820330969305</v>
      </c>
      <c r="C1523">
        <v>2827.22</v>
      </c>
      <c r="D1523">
        <v>118.63</v>
      </c>
      <c r="E1523">
        <v>1207.8599999999999</v>
      </c>
      <c r="F1523">
        <v>83.11</v>
      </c>
      <c r="G1523">
        <v>48</v>
      </c>
      <c r="V1523">
        <v>0.46398503274087899</v>
      </c>
      <c r="AY1523" t="str">
        <v>22/10/2018</v>
      </c>
      <c r="AZ1523">
        <v>44.3</v>
      </c>
      <c r="BA1523">
        <v>19.8</v>
      </c>
    </row>
    <row r="1524" spans="1:53" x14ac:dyDescent="0.3">
      <c r="A1524" s="11">
        <v>43314</v>
      </c>
      <c r="B1524">
        <v>0.63438256658595604</v>
      </c>
      <c r="C1524">
        <v>2813.36</v>
      </c>
      <c r="D1524">
        <v>118.46</v>
      </c>
      <c r="E1524">
        <v>1216.06</v>
      </c>
      <c r="F1524">
        <v>83.06</v>
      </c>
      <c r="G1524">
        <v>48.38</v>
      </c>
      <c r="V1524">
        <v>0.45664206642066402</v>
      </c>
      <c r="AY1524" t="str">
        <v>19/10/2018</v>
      </c>
      <c r="AZ1524">
        <v>50.5</v>
      </c>
      <c r="BA1524">
        <v>19</v>
      </c>
    </row>
    <row r="1525" spans="1:53" x14ac:dyDescent="0.3">
      <c r="A1525" s="11">
        <v>43312</v>
      </c>
      <c r="B1525">
        <v>0.60493827160493796</v>
      </c>
      <c r="C1525">
        <v>2816.29</v>
      </c>
      <c r="D1525">
        <v>119.7</v>
      </c>
      <c r="E1525">
        <v>1223.83</v>
      </c>
      <c r="F1525">
        <v>83.19</v>
      </c>
      <c r="G1525">
        <v>48.6</v>
      </c>
      <c r="V1525">
        <v>0.45505617977528101</v>
      </c>
      <c r="AY1525" t="str">
        <v>18/10/2018</v>
      </c>
      <c r="AZ1525">
        <v>50.5</v>
      </c>
      <c r="BA1525">
        <v>19</v>
      </c>
    </row>
    <row r="1526" spans="1:53" x14ac:dyDescent="0.3">
      <c r="A1526" s="11">
        <v>43312</v>
      </c>
      <c r="B1526">
        <v>0.59398496240601495</v>
      </c>
      <c r="C1526">
        <v>2802.6</v>
      </c>
      <c r="D1526">
        <v>119.05</v>
      </c>
      <c r="E1526">
        <v>1221.8</v>
      </c>
      <c r="F1526">
        <v>83.19</v>
      </c>
      <c r="G1526">
        <v>48.52</v>
      </c>
      <c r="V1526">
        <v>0.461685823754789</v>
      </c>
      <c r="AY1526" t="str">
        <v>17/10/2018</v>
      </c>
      <c r="AZ1526">
        <v>50.5</v>
      </c>
      <c r="BA1526">
        <v>19</v>
      </c>
    </row>
    <row r="1527" spans="1:53" x14ac:dyDescent="0.3">
      <c r="A1527" s="11">
        <v>43309</v>
      </c>
      <c r="B1527">
        <v>0.59250000000000003</v>
      </c>
      <c r="C1527">
        <v>2818.82</v>
      </c>
      <c r="D1527">
        <v>119.46</v>
      </c>
      <c r="E1527">
        <v>1223.3800000000001</v>
      </c>
      <c r="F1527">
        <v>83.19</v>
      </c>
      <c r="G1527">
        <v>48.53</v>
      </c>
      <c r="V1527">
        <v>0.45943396226415101</v>
      </c>
      <c r="AY1527" t="str">
        <v>16/10/2018</v>
      </c>
      <c r="AZ1527">
        <v>50.5</v>
      </c>
      <c r="BA1527">
        <v>19</v>
      </c>
    </row>
    <row r="1528" spans="1:53" x14ac:dyDescent="0.3">
      <c r="A1528" s="11">
        <v>43308</v>
      </c>
      <c r="B1528">
        <v>0.58656330749354002</v>
      </c>
      <c r="C1528">
        <v>2837.44</v>
      </c>
      <c r="D1528">
        <v>119.26</v>
      </c>
      <c r="E1528">
        <v>1222.68</v>
      </c>
      <c r="F1528">
        <v>83.18</v>
      </c>
      <c r="G1528">
        <v>48.44</v>
      </c>
      <c r="V1528">
        <v>0.45585412667946301</v>
      </c>
      <c r="AY1528" t="str">
        <v>15/10/2018</v>
      </c>
      <c r="AZ1528">
        <v>50.5</v>
      </c>
      <c r="BA1528">
        <v>19</v>
      </c>
    </row>
    <row r="1529" spans="1:53" x14ac:dyDescent="0.3">
      <c r="A1529" s="11">
        <v>43307</v>
      </c>
      <c r="B1529">
        <v>0.56282722513089001</v>
      </c>
      <c r="C1529">
        <v>2846.07</v>
      </c>
      <c r="D1529">
        <v>119.49</v>
      </c>
      <c r="E1529">
        <v>1231.6099999999999</v>
      </c>
      <c r="F1529">
        <v>83.18</v>
      </c>
      <c r="G1529">
        <v>48.74</v>
      </c>
      <c r="V1529">
        <v>0.45736434108527102</v>
      </c>
      <c r="AY1529" t="str">
        <v>12/10/2018</v>
      </c>
      <c r="AZ1529">
        <v>51.9</v>
      </c>
      <c r="BA1529">
        <v>18.3</v>
      </c>
    </row>
    <row r="1530" spans="1:53" x14ac:dyDescent="0.3">
      <c r="A1530" s="11">
        <v>43306</v>
      </c>
      <c r="B1530">
        <v>0.539083557951482</v>
      </c>
      <c r="C1530">
        <v>2820.4</v>
      </c>
      <c r="D1530">
        <v>119.68</v>
      </c>
      <c r="E1530">
        <v>1224.55</v>
      </c>
      <c r="F1530">
        <v>83.21</v>
      </c>
      <c r="G1530">
        <v>48.26</v>
      </c>
      <c r="V1530">
        <v>0.459825750242014</v>
      </c>
      <c r="AY1530" t="str">
        <v>11/10/2018</v>
      </c>
      <c r="AZ1530">
        <v>51.9</v>
      </c>
      <c r="BA1530">
        <v>18.3</v>
      </c>
    </row>
    <row r="1531" spans="1:53" x14ac:dyDescent="0.3">
      <c r="A1531" s="11">
        <v>43305</v>
      </c>
      <c r="B1531">
        <v>0.52185792349726801</v>
      </c>
      <c r="C1531">
        <v>2806.98</v>
      </c>
      <c r="D1531">
        <v>119.27</v>
      </c>
      <c r="E1531">
        <v>1224.54</v>
      </c>
      <c r="F1531">
        <v>83.2</v>
      </c>
      <c r="G1531">
        <v>47.88</v>
      </c>
      <c r="V1531">
        <v>0.45650048875855298</v>
      </c>
      <c r="AY1531" t="str">
        <v>10/10/2018</v>
      </c>
      <c r="AZ1531">
        <v>51.9</v>
      </c>
      <c r="BA1531">
        <v>18.3</v>
      </c>
    </row>
    <row r="1532" spans="1:53" x14ac:dyDescent="0.3">
      <c r="A1532" s="11">
        <v>43302</v>
      </c>
      <c r="B1532">
        <v>0.543010752688172</v>
      </c>
      <c r="C1532">
        <v>2801.83</v>
      </c>
      <c r="D1532">
        <v>120.76</v>
      </c>
      <c r="E1532">
        <v>1231.77</v>
      </c>
      <c r="F1532">
        <v>83.25</v>
      </c>
      <c r="G1532">
        <v>48</v>
      </c>
      <c r="V1532">
        <v>0.47348119575699099</v>
      </c>
      <c r="AY1532" t="str">
        <v>09/10/2018</v>
      </c>
      <c r="AZ1532">
        <v>51.9</v>
      </c>
      <c r="BA1532">
        <v>18.3</v>
      </c>
    </row>
    <row r="1533" spans="1:53" x14ac:dyDescent="0.3">
      <c r="A1533" s="11">
        <v>43301</v>
      </c>
      <c r="B1533">
        <v>0.53739612188365604</v>
      </c>
      <c r="C1533">
        <v>2804.49</v>
      </c>
      <c r="D1533">
        <v>122.26</v>
      </c>
      <c r="E1533">
        <v>1222.8</v>
      </c>
      <c r="F1533">
        <v>83.25</v>
      </c>
      <c r="G1533">
        <v>47.62</v>
      </c>
      <c r="V1533">
        <v>0.47972972972972999</v>
      </c>
      <c r="AY1533" t="str">
        <v>08/10/2018</v>
      </c>
      <c r="AZ1533">
        <v>51.9</v>
      </c>
      <c r="BA1533">
        <v>18.3</v>
      </c>
    </row>
    <row r="1534" spans="1:53" x14ac:dyDescent="0.3">
      <c r="A1534" s="11">
        <v>43300</v>
      </c>
      <c r="B1534">
        <v>0.53257790368271996</v>
      </c>
      <c r="C1534">
        <v>2815.62</v>
      </c>
      <c r="D1534">
        <v>121.49</v>
      </c>
      <c r="E1534">
        <v>1227.18</v>
      </c>
      <c r="F1534">
        <v>83.21</v>
      </c>
      <c r="G1534">
        <v>47.89</v>
      </c>
      <c r="V1534">
        <v>0.468992248062016</v>
      </c>
      <c r="AY1534" t="str">
        <v>05/10/2018</v>
      </c>
      <c r="AZ1534">
        <v>56.3</v>
      </c>
      <c r="BA1534">
        <v>18.5</v>
      </c>
    </row>
    <row r="1535" spans="1:53" x14ac:dyDescent="0.3">
      <c r="A1535" s="11">
        <v>43299</v>
      </c>
      <c r="B1535">
        <v>0.52</v>
      </c>
      <c r="C1535">
        <v>2809.55</v>
      </c>
      <c r="D1535">
        <v>121.98</v>
      </c>
      <c r="E1535">
        <v>1227.52</v>
      </c>
      <c r="F1535">
        <v>83.215000000000003</v>
      </c>
      <c r="G1535">
        <v>47.88</v>
      </c>
      <c r="V1535">
        <v>0.470359572400389</v>
      </c>
      <c r="AY1535" t="str">
        <v>04/10/2018</v>
      </c>
      <c r="AZ1535">
        <v>56.3</v>
      </c>
      <c r="BA1535">
        <v>18.5</v>
      </c>
    </row>
    <row r="1536" spans="1:53" x14ac:dyDescent="0.3">
      <c r="A1536" s="11">
        <v>43298</v>
      </c>
      <c r="B1536">
        <v>0.51296829971181601</v>
      </c>
      <c r="C1536">
        <v>2798.43</v>
      </c>
      <c r="D1536">
        <v>122.21</v>
      </c>
      <c r="E1536">
        <v>1240.82</v>
      </c>
      <c r="F1536">
        <v>83.23</v>
      </c>
      <c r="G1536">
        <v>47.73</v>
      </c>
      <c r="V1536">
        <v>0.46568627450980399</v>
      </c>
      <c r="AY1536" t="str">
        <v>03/10/2018</v>
      </c>
      <c r="AZ1536">
        <v>56.3</v>
      </c>
      <c r="BA1536">
        <v>18.5</v>
      </c>
    </row>
    <row r="1537" spans="1:53" x14ac:dyDescent="0.3">
      <c r="A1537" s="11">
        <v>43295</v>
      </c>
      <c r="B1537">
        <v>0.51906158357771304</v>
      </c>
      <c r="C1537">
        <v>2801.31</v>
      </c>
      <c r="D1537">
        <v>122.72</v>
      </c>
      <c r="E1537">
        <v>1241.52</v>
      </c>
      <c r="F1537">
        <v>83.25</v>
      </c>
      <c r="G1537">
        <v>47.83</v>
      </c>
      <c r="V1537">
        <v>0.464980544747082</v>
      </c>
      <c r="AY1537" t="str">
        <v>02/10/2018</v>
      </c>
      <c r="AZ1537">
        <v>56.3</v>
      </c>
      <c r="BA1537">
        <v>18.5</v>
      </c>
    </row>
    <row r="1538" spans="1:53" x14ac:dyDescent="0.3">
      <c r="A1538" s="11">
        <v>43294</v>
      </c>
      <c r="B1538">
        <v>0.49554896142433202</v>
      </c>
      <c r="C1538">
        <v>2798.29</v>
      </c>
      <c r="D1538">
        <v>122.41</v>
      </c>
      <c r="E1538">
        <v>1247.1500000000001</v>
      </c>
      <c r="F1538">
        <v>83.23</v>
      </c>
      <c r="G1538">
        <v>47.69</v>
      </c>
      <c r="V1538">
        <v>0.46608527131782901</v>
      </c>
      <c r="AY1538" t="str">
        <v>01/10/2018</v>
      </c>
      <c r="AZ1538">
        <v>56.3</v>
      </c>
      <c r="BA1538">
        <v>18.5</v>
      </c>
    </row>
    <row r="1539" spans="1:53" x14ac:dyDescent="0.3">
      <c r="A1539" s="11">
        <v>43293</v>
      </c>
      <c r="B1539">
        <v>0.50299401197604798</v>
      </c>
      <c r="C1539">
        <v>2774.02</v>
      </c>
      <c r="D1539">
        <v>122.42</v>
      </c>
      <c r="E1539">
        <v>1242.1600000000001</v>
      </c>
      <c r="F1539">
        <v>83.24</v>
      </c>
      <c r="G1539">
        <v>47.27</v>
      </c>
      <c r="V1539">
        <v>0.473275024295432</v>
      </c>
      <c r="AY1539" t="str">
        <v>28/09/2018</v>
      </c>
      <c r="AZ1539">
        <v>61.8</v>
      </c>
      <c r="BA1539">
        <v>18.600000000000001</v>
      </c>
    </row>
    <row r="1540" spans="1:53" x14ac:dyDescent="0.3">
      <c r="A1540" s="11">
        <v>43292</v>
      </c>
      <c r="B1540">
        <v>0.50920245398773001</v>
      </c>
      <c r="C1540">
        <v>2793.84</v>
      </c>
      <c r="D1540">
        <v>121.95</v>
      </c>
      <c r="E1540">
        <v>1255.6500000000001</v>
      </c>
      <c r="F1540">
        <v>83.21</v>
      </c>
      <c r="G1540">
        <v>48.11</v>
      </c>
      <c r="V1540">
        <v>0.47064579256360101</v>
      </c>
      <c r="AY1540" t="str">
        <v>27/09/2018</v>
      </c>
      <c r="AZ1540">
        <v>61.8</v>
      </c>
      <c r="BA1540">
        <v>18.600000000000001</v>
      </c>
    </row>
    <row r="1541" spans="1:53" x14ac:dyDescent="0.3">
      <c r="A1541" s="11">
        <v>43291</v>
      </c>
      <c r="B1541">
        <v>0.49235474006116198</v>
      </c>
      <c r="C1541">
        <v>2784.17</v>
      </c>
      <c r="D1541">
        <v>121.96</v>
      </c>
      <c r="E1541">
        <v>1257.72</v>
      </c>
      <c r="F1541">
        <v>83.22</v>
      </c>
      <c r="G1541">
        <v>48.06</v>
      </c>
      <c r="V1541">
        <v>0.46686449060336299</v>
      </c>
      <c r="AY1541" t="str">
        <v>26/09/2018</v>
      </c>
      <c r="AZ1541">
        <v>61.8</v>
      </c>
      <c r="BA1541">
        <v>18.600000000000001</v>
      </c>
    </row>
    <row r="1542" spans="1:53" x14ac:dyDescent="0.3">
      <c r="A1542" s="11">
        <v>43288</v>
      </c>
      <c r="B1542">
        <v>0.52515723270440295</v>
      </c>
      <c r="C1542">
        <v>2759.82</v>
      </c>
      <c r="D1542">
        <v>122.75</v>
      </c>
      <c r="E1542">
        <v>1254.99</v>
      </c>
      <c r="F1542">
        <v>83.27</v>
      </c>
      <c r="G1542">
        <v>47.58</v>
      </c>
      <c r="V1542">
        <v>0.4755859375</v>
      </c>
      <c r="AY1542" t="str">
        <v>25/09/2018</v>
      </c>
      <c r="AZ1542">
        <v>61.8</v>
      </c>
      <c r="BA1542">
        <v>18.600000000000001</v>
      </c>
    </row>
    <row r="1543" spans="1:53" x14ac:dyDescent="0.3">
      <c r="A1543" s="11">
        <v>43287</v>
      </c>
      <c r="B1543">
        <v>0.54193548387096802</v>
      </c>
      <c r="C1543">
        <v>2736.61</v>
      </c>
      <c r="D1543">
        <v>122.35</v>
      </c>
      <c r="E1543">
        <v>1257.76</v>
      </c>
      <c r="F1543">
        <v>83.25</v>
      </c>
      <c r="G1543">
        <v>47.22</v>
      </c>
      <c r="V1543">
        <v>0.47804391217564901</v>
      </c>
      <c r="AY1543" t="str">
        <v>24/09/2018</v>
      </c>
      <c r="AZ1543">
        <v>61.8</v>
      </c>
      <c r="BA1543">
        <v>18.600000000000001</v>
      </c>
    </row>
    <row r="1544" spans="1:53" x14ac:dyDescent="0.3">
      <c r="A1544" s="11">
        <v>43285</v>
      </c>
      <c r="B1544">
        <v>0.52922077922077904</v>
      </c>
      <c r="C1544">
        <v>2713.22</v>
      </c>
      <c r="D1544">
        <v>122</v>
      </c>
      <c r="E1544">
        <v>1252.93</v>
      </c>
      <c r="F1544">
        <v>83.26</v>
      </c>
      <c r="G1544">
        <v>46.9</v>
      </c>
      <c r="V1544">
        <v>0.47534516765286</v>
      </c>
      <c r="AY1544" t="str">
        <v>21/09/2018</v>
      </c>
      <c r="AZ1544">
        <v>60.6</v>
      </c>
      <c r="BA1544">
        <v>18.3</v>
      </c>
    </row>
    <row r="1545" spans="1:53" x14ac:dyDescent="0.3">
      <c r="A1545" s="11">
        <v>43284</v>
      </c>
      <c r="B1545">
        <v>0.53642384105960295</v>
      </c>
      <c r="C1545">
        <v>2726.71</v>
      </c>
      <c r="D1545">
        <v>121.35</v>
      </c>
      <c r="E1545">
        <v>1241.97</v>
      </c>
      <c r="F1545">
        <v>83.23</v>
      </c>
      <c r="G1545">
        <v>46.8</v>
      </c>
      <c r="V1545">
        <v>0.47652347652347699</v>
      </c>
      <c r="AY1545" t="str">
        <v>20/09/2018</v>
      </c>
      <c r="AZ1545">
        <v>60.6</v>
      </c>
      <c r="BA1545">
        <v>18.3</v>
      </c>
    </row>
    <row r="1546" spans="1:53" x14ac:dyDescent="0.3">
      <c r="A1546" s="11">
        <v>43281</v>
      </c>
      <c r="B1546">
        <v>0.53773584905660399</v>
      </c>
      <c r="C1546">
        <v>2718.37</v>
      </c>
      <c r="D1546">
        <v>121.72</v>
      </c>
      <c r="E1546">
        <v>1253</v>
      </c>
      <c r="F1546">
        <v>83.37</v>
      </c>
      <c r="G1546">
        <v>47.25</v>
      </c>
      <c r="V1546">
        <v>0.48899521531100498</v>
      </c>
      <c r="AY1546" t="str">
        <v>19/09/2018</v>
      </c>
      <c r="AZ1546">
        <v>60.6</v>
      </c>
      <c r="BA1546">
        <v>18.3</v>
      </c>
    </row>
    <row r="1547" spans="1:53" x14ac:dyDescent="0.3">
      <c r="A1547" s="11">
        <v>43280</v>
      </c>
      <c r="B1547">
        <v>0.54716981132075504</v>
      </c>
      <c r="C1547">
        <v>2716.31</v>
      </c>
      <c r="D1547">
        <v>122.14</v>
      </c>
      <c r="E1547">
        <v>1248.25</v>
      </c>
      <c r="F1547">
        <v>83.39</v>
      </c>
      <c r="G1547">
        <v>46.85</v>
      </c>
      <c r="V1547">
        <v>0.50146627565982405</v>
      </c>
      <c r="AY1547" t="str">
        <v>18/09/2018</v>
      </c>
      <c r="AZ1547">
        <v>60.6</v>
      </c>
      <c r="BA1547">
        <v>18.3</v>
      </c>
    </row>
    <row r="1548" spans="1:53" x14ac:dyDescent="0.3">
      <c r="A1548" s="11">
        <v>43279</v>
      </c>
      <c r="B1548">
        <v>0.529968454258675</v>
      </c>
      <c r="C1548">
        <v>2699.63</v>
      </c>
      <c r="D1548">
        <v>122.11</v>
      </c>
      <c r="E1548">
        <v>1252.02</v>
      </c>
      <c r="F1548">
        <v>83.39</v>
      </c>
      <c r="G1548">
        <v>46.54</v>
      </c>
      <c r="V1548">
        <v>0.50291828793774296</v>
      </c>
      <c r="AY1548" t="str">
        <v>17/09/2018</v>
      </c>
      <c r="AZ1548">
        <v>60.6</v>
      </c>
      <c r="BA1548">
        <v>18.3</v>
      </c>
    </row>
    <row r="1549" spans="1:53" x14ac:dyDescent="0.3">
      <c r="A1549" s="11">
        <v>43278</v>
      </c>
      <c r="B1549">
        <v>0.52131147540983602</v>
      </c>
      <c r="C1549">
        <v>2723.06</v>
      </c>
      <c r="D1549">
        <v>120.97</v>
      </c>
      <c r="E1549">
        <v>1258.99</v>
      </c>
      <c r="F1549">
        <v>83.34</v>
      </c>
      <c r="G1549">
        <v>47.15</v>
      </c>
      <c r="V1549">
        <v>0.49404761904761901</v>
      </c>
      <c r="AY1549" t="str">
        <v>14/09/2018</v>
      </c>
      <c r="AZ1549">
        <v>59</v>
      </c>
      <c r="BA1549">
        <v>18.100000000000001</v>
      </c>
    </row>
    <row r="1550" spans="1:53" x14ac:dyDescent="0.3">
      <c r="A1550" s="11">
        <v>43277</v>
      </c>
      <c r="B1550">
        <v>0.52684563758389302</v>
      </c>
      <c r="C1550">
        <v>2717.07</v>
      </c>
      <c r="D1550">
        <v>120.8</v>
      </c>
      <c r="E1550">
        <v>1266</v>
      </c>
      <c r="F1550">
        <v>83.34</v>
      </c>
      <c r="G1550">
        <v>47.11</v>
      </c>
      <c r="V1550">
        <v>0.49498997995992</v>
      </c>
      <c r="AY1550" t="str">
        <v>13/09/2018</v>
      </c>
      <c r="AZ1550">
        <v>59</v>
      </c>
      <c r="BA1550">
        <v>18.100000000000001</v>
      </c>
    </row>
    <row r="1551" spans="1:53" x14ac:dyDescent="0.3">
      <c r="A1551" s="11">
        <v>43274</v>
      </c>
      <c r="B1551">
        <v>0.54754098360655701</v>
      </c>
      <c r="C1551">
        <v>2754.88</v>
      </c>
      <c r="D1551">
        <v>120.53</v>
      </c>
      <c r="E1551">
        <v>1269.28</v>
      </c>
      <c r="F1551">
        <v>83.31</v>
      </c>
      <c r="G1551">
        <v>47.82</v>
      </c>
      <c r="V1551">
        <v>0.50146056475170397</v>
      </c>
      <c r="AY1551" t="str">
        <v>12/09/2018</v>
      </c>
      <c r="AZ1551">
        <v>59</v>
      </c>
      <c r="BA1551">
        <v>18.100000000000001</v>
      </c>
    </row>
    <row r="1552" spans="1:53" x14ac:dyDescent="0.3">
      <c r="A1552" s="11">
        <v>43273</v>
      </c>
      <c r="B1552">
        <v>0.55593220338983096</v>
      </c>
      <c r="C1552">
        <v>2749.76</v>
      </c>
      <c r="D1552">
        <v>120.54</v>
      </c>
      <c r="E1552">
        <v>1267.2</v>
      </c>
      <c r="F1552">
        <v>83.3</v>
      </c>
      <c r="G1552">
        <v>47.35</v>
      </c>
      <c r="V1552">
        <v>0.49423076923076897</v>
      </c>
      <c r="AY1552" t="str">
        <v>11/09/2018</v>
      </c>
      <c r="AZ1552">
        <v>59</v>
      </c>
      <c r="BA1552">
        <v>18.100000000000001</v>
      </c>
    </row>
    <row r="1553" spans="1:53" x14ac:dyDescent="0.3">
      <c r="A1553" s="11">
        <v>43272</v>
      </c>
      <c r="B1553">
        <v>0.54452054794520499</v>
      </c>
      <c r="C1553">
        <v>2767.32</v>
      </c>
      <c r="D1553">
        <v>119.91</v>
      </c>
      <c r="E1553">
        <v>1268.03</v>
      </c>
      <c r="F1553">
        <v>83.25</v>
      </c>
      <c r="G1553">
        <v>47.77</v>
      </c>
      <c r="V1553">
        <v>0.48942307692307702</v>
      </c>
      <c r="AY1553" t="str">
        <v>10/09/2018</v>
      </c>
      <c r="AZ1553">
        <v>59</v>
      </c>
      <c r="BA1553">
        <v>18.100000000000001</v>
      </c>
    </row>
    <row r="1554" spans="1:53" x14ac:dyDescent="0.3">
      <c r="A1554" s="11">
        <v>43271</v>
      </c>
      <c r="B1554">
        <v>0.55160142348754404</v>
      </c>
      <c r="C1554">
        <v>2762.59</v>
      </c>
      <c r="D1554">
        <v>120.97</v>
      </c>
      <c r="E1554">
        <v>1274.72</v>
      </c>
      <c r="F1554">
        <v>83.29</v>
      </c>
      <c r="G1554">
        <v>47.63</v>
      </c>
      <c r="V1554">
        <v>0.49124513618677002</v>
      </c>
      <c r="AY1554" t="str">
        <v>07/09/2018</v>
      </c>
      <c r="AZ1554">
        <v>57.7</v>
      </c>
      <c r="BA1554">
        <v>18.3</v>
      </c>
    </row>
    <row r="1555" spans="1:53" x14ac:dyDescent="0.3">
      <c r="A1555" s="11">
        <v>43270</v>
      </c>
      <c r="B1555">
        <v>0.55319148936170204</v>
      </c>
      <c r="C1555">
        <v>2773.75</v>
      </c>
      <c r="D1555">
        <v>120.27</v>
      </c>
      <c r="E1555">
        <v>1278.31</v>
      </c>
      <c r="F1555">
        <v>83.26</v>
      </c>
      <c r="G1555">
        <v>48.84</v>
      </c>
      <c r="V1555">
        <v>0.496592015579357</v>
      </c>
      <c r="AY1555" t="str">
        <v>06/09/2018</v>
      </c>
      <c r="AZ1555">
        <v>57.7</v>
      </c>
      <c r="BA1555">
        <v>18.3</v>
      </c>
    </row>
    <row r="1556" spans="1:53" x14ac:dyDescent="0.3">
      <c r="A1556" s="11">
        <v>43267</v>
      </c>
      <c r="B1556">
        <v>0.56996587030716706</v>
      </c>
      <c r="C1556">
        <v>2779.66</v>
      </c>
      <c r="D1556">
        <v>120.38</v>
      </c>
      <c r="E1556">
        <v>1279.8399999999999</v>
      </c>
      <c r="F1556">
        <v>83.24</v>
      </c>
      <c r="G1556">
        <v>49.23</v>
      </c>
      <c r="V1556">
        <v>0.502857142857143</v>
      </c>
      <c r="AY1556" t="str">
        <v>05/09/2018</v>
      </c>
      <c r="AZ1556">
        <v>57.7</v>
      </c>
      <c r="BA1556">
        <v>18.3</v>
      </c>
    </row>
    <row r="1557" spans="1:53" x14ac:dyDescent="0.3">
      <c r="A1557" s="11">
        <v>43266</v>
      </c>
      <c r="B1557">
        <v>0.56146179401993401</v>
      </c>
      <c r="C1557">
        <v>2782.49</v>
      </c>
      <c r="D1557">
        <v>120.27</v>
      </c>
      <c r="E1557">
        <v>1302.22</v>
      </c>
      <c r="F1557">
        <v>83.2</v>
      </c>
      <c r="G1557">
        <v>49.515000000000001</v>
      </c>
      <c r="V1557">
        <v>0.50331125827814605</v>
      </c>
      <c r="AY1557" t="str">
        <v>04/09/2018</v>
      </c>
      <c r="AZ1557">
        <v>57.7</v>
      </c>
      <c r="BA1557">
        <v>18.3</v>
      </c>
    </row>
    <row r="1558" spans="1:53" x14ac:dyDescent="0.3">
      <c r="A1558" s="11">
        <v>43265</v>
      </c>
      <c r="B1558">
        <v>0.57236842105263197</v>
      </c>
      <c r="C1558">
        <v>2775.63</v>
      </c>
      <c r="D1558">
        <v>119.28</v>
      </c>
      <c r="E1558">
        <v>1299.71</v>
      </c>
      <c r="F1558">
        <v>83.17</v>
      </c>
      <c r="G1558">
        <v>49.67</v>
      </c>
      <c r="V1558">
        <v>0.51469194312796196</v>
      </c>
      <c r="AY1558" t="str">
        <v>03/09/2018</v>
      </c>
      <c r="AZ1558">
        <v>57.7</v>
      </c>
      <c r="BA1558">
        <v>18.3</v>
      </c>
    </row>
    <row r="1559" spans="1:53" x14ac:dyDescent="0.3">
      <c r="A1559" s="11">
        <v>43264</v>
      </c>
      <c r="B1559">
        <v>0.57894736842105299</v>
      </c>
      <c r="C1559">
        <v>2786.85</v>
      </c>
      <c r="D1559">
        <v>119.34</v>
      </c>
      <c r="E1559">
        <v>1295.97</v>
      </c>
      <c r="F1559">
        <v>83.21</v>
      </c>
      <c r="G1559">
        <v>49.72</v>
      </c>
      <c r="V1559">
        <v>0.51296829971181601</v>
      </c>
      <c r="AY1559" t="str">
        <v>31/08/2018</v>
      </c>
      <c r="AZ1559">
        <v>60</v>
      </c>
      <c r="BA1559">
        <v>18.100000000000001</v>
      </c>
    </row>
    <row r="1560" spans="1:53" x14ac:dyDescent="0.3">
      <c r="A1560" s="11">
        <v>43263</v>
      </c>
      <c r="B1560">
        <v>0.57912457912457904</v>
      </c>
      <c r="C1560">
        <v>2782</v>
      </c>
      <c r="D1560">
        <v>119.31</v>
      </c>
      <c r="E1560">
        <v>1300.1500000000001</v>
      </c>
      <c r="F1560">
        <v>83.25</v>
      </c>
      <c r="G1560">
        <v>49.95</v>
      </c>
      <c r="V1560">
        <v>0.51063829787234005</v>
      </c>
      <c r="AY1560" t="str">
        <v>30/08/2018</v>
      </c>
      <c r="AZ1560">
        <v>60</v>
      </c>
      <c r="BA1560">
        <v>18.100000000000001</v>
      </c>
    </row>
    <row r="1561" spans="1:53" x14ac:dyDescent="0.3">
      <c r="A1561" s="11">
        <v>43260</v>
      </c>
      <c r="B1561">
        <v>0.59878419452887499</v>
      </c>
      <c r="C1561">
        <v>2779.03</v>
      </c>
      <c r="D1561">
        <v>119.53</v>
      </c>
      <c r="E1561">
        <v>1298.75</v>
      </c>
      <c r="F1561">
        <v>83.28</v>
      </c>
      <c r="G1561">
        <v>49.73</v>
      </c>
      <c r="V1561">
        <v>0.52287581699346397</v>
      </c>
      <c r="AY1561" t="str">
        <v>29/08/2018</v>
      </c>
      <c r="AZ1561">
        <v>60</v>
      </c>
      <c r="BA1561">
        <v>18.100000000000001</v>
      </c>
    </row>
    <row r="1562" spans="1:53" x14ac:dyDescent="0.3">
      <c r="A1562" s="11">
        <v>43259</v>
      </c>
      <c r="B1562">
        <v>0.60119047619047605</v>
      </c>
      <c r="C1562">
        <v>2770.37</v>
      </c>
      <c r="D1562">
        <v>119.89</v>
      </c>
      <c r="E1562">
        <v>1297.125</v>
      </c>
      <c r="F1562">
        <v>83.3</v>
      </c>
      <c r="G1562">
        <v>49.7</v>
      </c>
      <c r="V1562">
        <v>0.51958955223880599</v>
      </c>
      <c r="AY1562" t="str">
        <v>28/08/2018</v>
      </c>
      <c r="AZ1562">
        <v>60</v>
      </c>
      <c r="BA1562">
        <v>18.100000000000001</v>
      </c>
    </row>
    <row r="1563" spans="1:53" x14ac:dyDescent="0.3">
      <c r="A1563" s="11">
        <v>43258</v>
      </c>
      <c r="B1563">
        <v>0.60526315789473695</v>
      </c>
      <c r="C1563">
        <v>2772.35</v>
      </c>
      <c r="D1563">
        <v>118.74</v>
      </c>
      <c r="E1563">
        <v>1297</v>
      </c>
      <c r="F1563">
        <v>83.22</v>
      </c>
      <c r="G1563">
        <v>50.04</v>
      </c>
      <c r="V1563">
        <v>0.51470588235294101</v>
      </c>
      <c r="AY1563" t="str">
        <v>27/08/2018</v>
      </c>
      <c r="AZ1563">
        <v>60</v>
      </c>
      <c r="BA1563">
        <v>18.100000000000001</v>
      </c>
    </row>
    <row r="1564" spans="1:53" x14ac:dyDescent="0.3">
      <c r="A1564" s="11">
        <v>43257</v>
      </c>
      <c r="B1564">
        <v>0.60534124629080099</v>
      </c>
      <c r="C1564">
        <v>2748.8</v>
      </c>
      <c r="D1564">
        <v>119.71</v>
      </c>
      <c r="E1564">
        <v>1296.1400000000001</v>
      </c>
      <c r="F1564">
        <v>83.25</v>
      </c>
      <c r="G1564">
        <v>49.6</v>
      </c>
      <c r="V1564">
        <v>0.516158818097876</v>
      </c>
      <c r="AY1564" t="str">
        <v>24/08/2018</v>
      </c>
      <c r="AZ1564">
        <v>59.6</v>
      </c>
      <c r="BA1564">
        <v>18.3</v>
      </c>
    </row>
    <row r="1565" spans="1:53" x14ac:dyDescent="0.3">
      <c r="A1565" s="11">
        <v>43256</v>
      </c>
      <c r="B1565">
        <v>0.61424332344213695</v>
      </c>
      <c r="C1565">
        <v>2746.87</v>
      </c>
      <c r="D1565">
        <v>119.43</v>
      </c>
      <c r="E1565">
        <v>1292.06</v>
      </c>
      <c r="F1565">
        <v>83.2</v>
      </c>
      <c r="G1565">
        <v>49.69</v>
      </c>
      <c r="V1565">
        <v>0.51848428835489802</v>
      </c>
      <c r="AY1565" t="str">
        <v>23/08/2018</v>
      </c>
      <c r="AZ1565">
        <v>59.6</v>
      </c>
      <c r="BA1565">
        <v>18.3</v>
      </c>
    </row>
    <row r="1566" spans="1:53" x14ac:dyDescent="0.3">
      <c r="A1566" s="11">
        <v>43253</v>
      </c>
      <c r="B1566">
        <v>0.65945945945945905</v>
      </c>
      <c r="C1566">
        <v>2734.62</v>
      </c>
      <c r="D1566">
        <v>120.3</v>
      </c>
      <c r="E1566">
        <v>1293.1500000000001</v>
      </c>
      <c r="F1566">
        <v>83.27</v>
      </c>
      <c r="G1566">
        <v>49.4</v>
      </c>
      <c r="V1566">
        <v>0.51215121512151196</v>
      </c>
      <c r="AY1566" t="str">
        <v>22/08/2018</v>
      </c>
      <c r="AZ1566">
        <v>59.6</v>
      </c>
      <c r="BA1566">
        <v>18.3</v>
      </c>
    </row>
    <row r="1567" spans="1:53" x14ac:dyDescent="0.3">
      <c r="A1567" s="11">
        <v>43251</v>
      </c>
      <c r="B1567">
        <v>0.66578947368421004</v>
      </c>
      <c r="C1567">
        <v>2705.27</v>
      </c>
      <c r="D1567">
        <v>121.22</v>
      </c>
      <c r="E1567">
        <v>1297.75</v>
      </c>
      <c r="F1567">
        <v>83.46</v>
      </c>
      <c r="G1567">
        <v>49.04</v>
      </c>
      <c r="V1567">
        <v>0.51463644948064202</v>
      </c>
      <c r="AY1567" t="str">
        <v>21/08/2018</v>
      </c>
      <c r="AZ1567">
        <v>59.6</v>
      </c>
      <c r="BA1567">
        <v>18.3</v>
      </c>
    </row>
    <row r="1568" spans="1:53" x14ac:dyDescent="0.3">
      <c r="A1568" s="11">
        <v>43251</v>
      </c>
      <c r="B1568">
        <v>0.659517426273458</v>
      </c>
      <c r="C1568">
        <v>2724.01</v>
      </c>
      <c r="D1568">
        <v>121.42</v>
      </c>
      <c r="E1568">
        <v>1301.48</v>
      </c>
      <c r="F1568">
        <v>83.5</v>
      </c>
      <c r="G1568">
        <v>49.24</v>
      </c>
      <c r="V1568">
        <v>0.50618458610846795</v>
      </c>
      <c r="AY1568" t="str">
        <v>20/08/2018</v>
      </c>
      <c r="AZ1568">
        <v>59.6</v>
      </c>
      <c r="BA1568">
        <v>18.3</v>
      </c>
    </row>
    <row r="1569" spans="1:53" x14ac:dyDescent="0.3">
      <c r="A1569" s="11">
        <v>43250</v>
      </c>
      <c r="B1569">
        <v>0.66230366492146597</v>
      </c>
      <c r="C1569">
        <v>2689.86</v>
      </c>
      <c r="D1569">
        <v>122.24</v>
      </c>
      <c r="E1569">
        <v>1298.8599999999999</v>
      </c>
      <c r="F1569">
        <v>83.6</v>
      </c>
      <c r="G1569">
        <v>48.67</v>
      </c>
      <c r="V1569">
        <v>0.51051625239005705</v>
      </c>
      <c r="AY1569" t="str">
        <v>17/08/2018</v>
      </c>
      <c r="AZ1569">
        <v>57.7</v>
      </c>
      <c r="BA1569">
        <v>18.3</v>
      </c>
    </row>
    <row r="1570" spans="1:53" x14ac:dyDescent="0.3">
      <c r="A1570" s="11">
        <v>43246</v>
      </c>
      <c r="B1570">
        <v>0.67710843373494001</v>
      </c>
      <c r="C1570">
        <v>2721.33</v>
      </c>
      <c r="D1570">
        <v>119.62</v>
      </c>
      <c r="E1570">
        <v>1301.6099999999999</v>
      </c>
      <c r="F1570">
        <v>83.36</v>
      </c>
      <c r="G1570">
        <v>49.64</v>
      </c>
      <c r="V1570">
        <v>0.50046948356807497</v>
      </c>
      <c r="AY1570" t="str">
        <v>16/08/2018</v>
      </c>
      <c r="AZ1570">
        <v>57.7</v>
      </c>
      <c r="BA1570">
        <v>18.3</v>
      </c>
    </row>
    <row r="1571" spans="1:53" x14ac:dyDescent="0.3">
      <c r="A1571" s="11">
        <v>43245</v>
      </c>
      <c r="B1571">
        <v>0.67058823529411804</v>
      </c>
      <c r="C1571">
        <v>2727.76</v>
      </c>
      <c r="D1571">
        <v>118.88</v>
      </c>
      <c r="E1571">
        <v>1304.8800000000001</v>
      </c>
      <c r="F1571">
        <v>83.29</v>
      </c>
      <c r="G1571">
        <v>49.88</v>
      </c>
      <c r="V1571">
        <v>0.49673811742777302</v>
      </c>
      <c r="AY1571" t="str">
        <v>15/08/2018</v>
      </c>
      <c r="AZ1571">
        <v>57.7</v>
      </c>
      <c r="BA1571">
        <v>18.3</v>
      </c>
    </row>
    <row r="1572" spans="1:53" x14ac:dyDescent="0.3">
      <c r="A1572" s="11">
        <v>43244</v>
      </c>
      <c r="B1572">
        <v>0.67447306791569095</v>
      </c>
      <c r="C1572">
        <v>2733.29</v>
      </c>
      <c r="D1572">
        <v>117.94</v>
      </c>
      <c r="E1572">
        <v>1293.75</v>
      </c>
      <c r="F1572">
        <v>83.24</v>
      </c>
      <c r="G1572">
        <v>50.05</v>
      </c>
      <c r="V1572">
        <v>0.491129785247432</v>
      </c>
      <c r="AY1572" t="str">
        <v>14/08/2018</v>
      </c>
      <c r="AZ1572">
        <v>57.7</v>
      </c>
      <c r="BA1572">
        <v>18.3</v>
      </c>
    </row>
    <row r="1573" spans="1:53" x14ac:dyDescent="0.3">
      <c r="A1573" s="11">
        <v>43243</v>
      </c>
      <c r="B1573">
        <v>0.68691588785046698</v>
      </c>
      <c r="C1573">
        <v>2724.44</v>
      </c>
      <c r="D1573">
        <v>117.09</v>
      </c>
      <c r="E1573">
        <v>1291.32</v>
      </c>
      <c r="F1573">
        <v>83.17</v>
      </c>
      <c r="G1573">
        <v>50.47</v>
      </c>
      <c r="V1573">
        <v>0.49017773620205801</v>
      </c>
      <c r="AY1573" t="str">
        <v>13/08/2018</v>
      </c>
      <c r="AZ1573">
        <v>57.7</v>
      </c>
      <c r="BA1573">
        <v>18.3</v>
      </c>
    </row>
    <row r="1574" spans="1:53" x14ac:dyDescent="0.3">
      <c r="A1574" s="11">
        <v>43242</v>
      </c>
      <c r="B1574">
        <v>0.68997668997669004</v>
      </c>
      <c r="C1574">
        <v>2733.01</v>
      </c>
      <c r="D1574">
        <v>117.27</v>
      </c>
      <c r="E1574">
        <v>1294.68</v>
      </c>
      <c r="F1574">
        <v>83.17</v>
      </c>
      <c r="G1574">
        <v>50.49</v>
      </c>
      <c r="V1574">
        <v>0.491541353383459</v>
      </c>
      <c r="AY1574" t="str">
        <v>10/08/2018</v>
      </c>
      <c r="AZ1574">
        <v>57.3</v>
      </c>
      <c r="BA1574">
        <v>18.399999999999999</v>
      </c>
    </row>
    <row r="1575" spans="1:53" x14ac:dyDescent="0.3">
      <c r="A1575" s="11">
        <v>43239</v>
      </c>
      <c r="B1575">
        <v>0.71559633027522895</v>
      </c>
      <c r="C1575">
        <v>2712.97</v>
      </c>
      <c r="D1575">
        <v>117.21</v>
      </c>
      <c r="E1575">
        <v>1292.5</v>
      </c>
      <c r="F1575">
        <v>83.17</v>
      </c>
      <c r="G1575">
        <v>50.15</v>
      </c>
      <c r="V1575">
        <v>0.48220973782771498</v>
      </c>
      <c r="AY1575" t="str">
        <v>09/08/2018</v>
      </c>
      <c r="AZ1575">
        <v>57.3</v>
      </c>
      <c r="BA1575">
        <v>18.399999999999999</v>
      </c>
    </row>
    <row r="1576" spans="1:53" x14ac:dyDescent="0.3">
      <c r="A1576" s="11">
        <v>43238</v>
      </c>
      <c r="B1576">
        <v>0.71201814058956903</v>
      </c>
      <c r="C1576">
        <v>2720.13</v>
      </c>
      <c r="D1576">
        <v>116.21</v>
      </c>
      <c r="E1576">
        <v>1291</v>
      </c>
      <c r="F1576">
        <v>83.13</v>
      </c>
      <c r="G1576">
        <v>50.405000000000001</v>
      </c>
      <c r="V1576">
        <v>0.48262910798122099</v>
      </c>
      <c r="AY1576" t="str">
        <v>08/08/2018</v>
      </c>
      <c r="AZ1576">
        <v>57.3</v>
      </c>
      <c r="BA1576">
        <v>18.399999999999999</v>
      </c>
    </row>
    <row r="1577" spans="1:53" x14ac:dyDescent="0.3">
      <c r="A1577" s="11">
        <v>43237</v>
      </c>
      <c r="B1577">
        <v>0.71004566210045705</v>
      </c>
      <c r="C1577">
        <v>2722.46</v>
      </c>
      <c r="D1577">
        <v>116.8</v>
      </c>
      <c r="E1577">
        <v>1291.03</v>
      </c>
      <c r="F1577">
        <v>83.11</v>
      </c>
      <c r="G1577">
        <v>50.52</v>
      </c>
      <c r="V1577">
        <v>0.47457627118644102</v>
      </c>
      <c r="AY1577" t="str">
        <v>07/08/2018</v>
      </c>
      <c r="AZ1577">
        <v>57.3</v>
      </c>
      <c r="BA1577">
        <v>18.399999999999999</v>
      </c>
    </row>
    <row r="1578" spans="1:53" x14ac:dyDescent="0.3">
      <c r="A1578" s="11">
        <v>43236</v>
      </c>
      <c r="B1578">
        <v>0.69457013574660598</v>
      </c>
      <c r="C1578">
        <v>2711.45</v>
      </c>
      <c r="D1578">
        <v>117.25</v>
      </c>
      <c r="E1578">
        <v>1290.67</v>
      </c>
      <c r="F1578">
        <v>83.11</v>
      </c>
      <c r="G1578">
        <v>50.27</v>
      </c>
      <c r="V1578">
        <v>0.47432306255835699</v>
      </c>
      <c r="AY1578" t="str">
        <v>06/08/2018</v>
      </c>
      <c r="AZ1578">
        <v>57.3</v>
      </c>
      <c r="BA1578">
        <v>18.399999999999999</v>
      </c>
    </row>
    <row r="1579" spans="1:53" x14ac:dyDescent="0.3">
      <c r="A1579" s="11">
        <v>43235</v>
      </c>
      <c r="B1579">
        <v>0.69476082004555795</v>
      </c>
      <c r="C1579">
        <v>2730.13</v>
      </c>
      <c r="D1579">
        <v>118.6</v>
      </c>
      <c r="E1579">
        <v>1312.82</v>
      </c>
      <c r="F1579">
        <v>83.16</v>
      </c>
      <c r="G1579">
        <v>50.78</v>
      </c>
      <c r="V1579">
        <v>0.46936852026390202</v>
      </c>
      <c r="AY1579" t="str">
        <v>03/08/2018</v>
      </c>
      <c r="AZ1579">
        <v>54.9</v>
      </c>
      <c r="BA1579">
        <v>18.600000000000001</v>
      </c>
    </row>
    <row r="1580" spans="1:53" x14ac:dyDescent="0.3">
      <c r="A1580" s="11">
        <v>43232</v>
      </c>
      <c r="B1580">
        <v>0.69248291571753995</v>
      </c>
      <c r="C1580">
        <v>2727.72</v>
      </c>
      <c r="D1580">
        <v>119.23</v>
      </c>
      <c r="E1580">
        <v>1318.22</v>
      </c>
      <c r="F1580">
        <v>83.16</v>
      </c>
      <c r="G1580">
        <v>50.68</v>
      </c>
      <c r="V1580">
        <v>0.45915492957746501</v>
      </c>
      <c r="AY1580" t="str">
        <v>02/08/2018</v>
      </c>
      <c r="AZ1580">
        <v>54.9</v>
      </c>
      <c r="BA1580">
        <v>18.600000000000001</v>
      </c>
    </row>
    <row r="1581" spans="1:53" x14ac:dyDescent="0.3">
      <c r="A1581" s="11">
        <v>43231</v>
      </c>
      <c r="B1581">
        <v>0.68264840182648401</v>
      </c>
      <c r="C1581">
        <v>2723.07</v>
      </c>
      <c r="D1581">
        <v>118.93</v>
      </c>
      <c r="E1581">
        <v>1321.4</v>
      </c>
      <c r="F1581">
        <v>83.16</v>
      </c>
      <c r="G1581">
        <v>50.62</v>
      </c>
      <c r="V1581">
        <v>0.45963912630579301</v>
      </c>
      <c r="AY1581" t="str">
        <v>01/08/2018</v>
      </c>
      <c r="AZ1581">
        <v>54.9</v>
      </c>
      <c r="BA1581">
        <v>18.600000000000001</v>
      </c>
    </row>
    <row r="1582" spans="1:53" x14ac:dyDescent="0.3">
      <c r="A1582" s="11">
        <v>43230</v>
      </c>
      <c r="B1582">
        <v>0.67129629629629595</v>
      </c>
      <c r="C1582">
        <v>2697.79</v>
      </c>
      <c r="D1582">
        <v>117.98</v>
      </c>
      <c r="E1582">
        <v>1312.78</v>
      </c>
      <c r="F1582">
        <v>83.16</v>
      </c>
      <c r="G1582">
        <v>50.11</v>
      </c>
      <c r="V1582">
        <v>0.44284341978866498</v>
      </c>
      <c r="AY1582" t="str">
        <v>31/07/2018</v>
      </c>
      <c r="AZ1582">
        <v>54.9</v>
      </c>
      <c r="BA1582">
        <v>18.600000000000001</v>
      </c>
    </row>
    <row r="1583" spans="1:53" x14ac:dyDescent="0.3">
      <c r="A1583" s="11">
        <v>43229</v>
      </c>
      <c r="B1583">
        <v>0.67447306791569095</v>
      </c>
      <c r="C1583">
        <v>2671.92</v>
      </c>
      <c r="D1583">
        <v>118.69</v>
      </c>
      <c r="E1583">
        <v>1315.71</v>
      </c>
      <c r="F1583">
        <v>83.194999999999993</v>
      </c>
      <c r="G1583">
        <v>49.96</v>
      </c>
      <c r="V1583">
        <v>0.43646944713870001</v>
      </c>
      <c r="AY1583" t="str">
        <v>30/07/2018</v>
      </c>
      <c r="AZ1583">
        <v>54.9</v>
      </c>
      <c r="BA1583">
        <v>18.600000000000001</v>
      </c>
    </row>
    <row r="1584" spans="1:53" x14ac:dyDescent="0.3">
      <c r="A1584" s="11">
        <v>43228</v>
      </c>
      <c r="B1584">
        <v>0.67142857142857104</v>
      </c>
      <c r="C1584">
        <v>2672.63</v>
      </c>
      <c r="D1584">
        <v>118.8</v>
      </c>
      <c r="E1584">
        <v>1314.3</v>
      </c>
      <c r="F1584">
        <v>83.19</v>
      </c>
      <c r="G1584">
        <v>49.93</v>
      </c>
      <c r="V1584">
        <v>0.43304007820136903</v>
      </c>
      <c r="AY1584" t="str">
        <v>27/07/2018</v>
      </c>
      <c r="AZ1584">
        <v>54.5</v>
      </c>
      <c r="BA1584">
        <v>18.8</v>
      </c>
    </row>
    <row r="1585" spans="1:53" x14ac:dyDescent="0.3">
      <c r="A1585" s="11">
        <v>43225</v>
      </c>
      <c r="B1585">
        <v>0.66823529411764704</v>
      </c>
      <c r="C1585">
        <v>2663.42</v>
      </c>
      <c r="D1585">
        <v>118.99</v>
      </c>
      <c r="E1585">
        <v>1315.05</v>
      </c>
      <c r="F1585">
        <v>83.19</v>
      </c>
      <c r="G1585">
        <v>49.93</v>
      </c>
      <c r="V1585">
        <v>0.42801932367149798</v>
      </c>
      <c r="AY1585" t="str">
        <v>26/07/2018</v>
      </c>
      <c r="AZ1585">
        <v>54.5</v>
      </c>
      <c r="BA1585">
        <v>18.8</v>
      </c>
    </row>
    <row r="1586" spans="1:53" x14ac:dyDescent="0.3">
      <c r="A1586" s="11">
        <v>43224</v>
      </c>
      <c r="B1586">
        <v>0.64648910411622296</v>
      </c>
      <c r="C1586">
        <v>2629.73</v>
      </c>
      <c r="D1586">
        <v>118.81</v>
      </c>
      <c r="E1586">
        <v>1312.09</v>
      </c>
      <c r="F1586">
        <v>83.22</v>
      </c>
      <c r="G1586">
        <v>49.73</v>
      </c>
      <c r="V1586">
        <v>0.43079922027290402</v>
      </c>
      <c r="AY1586" t="str">
        <v>25/07/2018</v>
      </c>
      <c r="AZ1586">
        <v>54.5</v>
      </c>
      <c r="BA1586">
        <v>18.8</v>
      </c>
    </row>
    <row r="1587" spans="1:53" x14ac:dyDescent="0.3">
      <c r="A1587" s="11">
        <v>43223</v>
      </c>
      <c r="B1587">
        <v>0.614427860696517</v>
      </c>
      <c r="C1587">
        <v>2635.67</v>
      </c>
      <c r="D1587">
        <v>118.28</v>
      </c>
      <c r="E1587">
        <v>1304.8499999999999</v>
      </c>
      <c r="F1587">
        <v>83.16</v>
      </c>
      <c r="G1587">
        <v>49.685000000000002</v>
      </c>
      <c r="V1587">
        <v>0.42379547689282199</v>
      </c>
      <c r="AY1587" t="str">
        <v>24/07/2018</v>
      </c>
      <c r="AZ1587">
        <v>54.5</v>
      </c>
      <c r="BA1587">
        <v>18.8</v>
      </c>
    </row>
    <row r="1588" spans="1:53" x14ac:dyDescent="0.3">
      <c r="A1588" s="11">
        <v>43222</v>
      </c>
      <c r="B1588">
        <v>0.60050251256281395</v>
      </c>
      <c r="C1588">
        <v>2654.8</v>
      </c>
      <c r="D1588">
        <v>118.41</v>
      </c>
      <c r="E1588">
        <v>1303.98</v>
      </c>
      <c r="F1588">
        <v>83.13</v>
      </c>
      <c r="G1588">
        <v>49.8</v>
      </c>
      <c r="V1588">
        <v>0.42671984047856398</v>
      </c>
      <c r="AY1588" t="str">
        <v>23/07/2018</v>
      </c>
      <c r="AZ1588">
        <v>54.5</v>
      </c>
      <c r="BA1588">
        <v>18.8</v>
      </c>
    </row>
    <row r="1589" spans="1:53" x14ac:dyDescent="0.3">
      <c r="A1589" s="11">
        <v>43220</v>
      </c>
      <c r="B1589">
        <v>0.59743589743589698</v>
      </c>
      <c r="C1589">
        <v>2648.05</v>
      </c>
      <c r="D1589">
        <v>119.1</v>
      </c>
      <c r="E1589">
        <v>1315.36</v>
      </c>
      <c r="F1589">
        <v>83.27</v>
      </c>
      <c r="G1589">
        <v>49.97</v>
      </c>
      <c r="V1589">
        <v>0.42427281845536602</v>
      </c>
      <c r="AY1589" t="str">
        <v>20/07/2018</v>
      </c>
      <c r="AZ1589">
        <v>54.9</v>
      </c>
      <c r="BA1589">
        <v>18.600000000000001</v>
      </c>
    </row>
    <row r="1590" spans="1:53" x14ac:dyDescent="0.3">
      <c r="A1590" s="11">
        <v>43218</v>
      </c>
      <c r="B1590">
        <v>0.60358056265984605</v>
      </c>
      <c r="C1590">
        <v>2669.91</v>
      </c>
      <c r="D1590">
        <v>118.89</v>
      </c>
      <c r="E1590">
        <v>1322.8</v>
      </c>
      <c r="F1590">
        <v>83.3</v>
      </c>
      <c r="G1590">
        <v>50.25</v>
      </c>
      <c r="V1590">
        <v>0.42561576354679798</v>
      </c>
      <c r="AY1590" t="str">
        <v>19/07/2018</v>
      </c>
      <c r="AZ1590">
        <v>54.9</v>
      </c>
      <c r="BA1590">
        <v>18.600000000000001</v>
      </c>
    </row>
    <row r="1591" spans="1:53" x14ac:dyDescent="0.3">
      <c r="A1591" s="11">
        <v>43217</v>
      </c>
      <c r="B1591">
        <v>0.59895833333333304</v>
      </c>
      <c r="C1591">
        <v>2666.94</v>
      </c>
      <c r="D1591">
        <v>117.98</v>
      </c>
      <c r="E1591">
        <v>1317.27</v>
      </c>
      <c r="F1591">
        <v>83.275000000000006</v>
      </c>
      <c r="G1591">
        <v>50.11</v>
      </c>
      <c r="V1591">
        <v>0.42829076620825102</v>
      </c>
      <c r="AY1591" t="str">
        <v>18/07/2018</v>
      </c>
      <c r="AZ1591">
        <v>54.9</v>
      </c>
      <c r="BA1591">
        <v>18.600000000000001</v>
      </c>
    </row>
    <row r="1592" spans="1:53" x14ac:dyDescent="0.3">
      <c r="A1592" s="11">
        <v>43216</v>
      </c>
      <c r="B1592">
        <v>0.58620689655172398</v>
      </c>
      <c r="C1592">
        <v>2639.4</v>
      </c>
      <c r="D1592">
        <v>117.16</v>
      </c>
      <c r="E1592">
        <v>1323.33</v>
      </c>
      <c r="F1592">
        <v>83.26</v>
      </c>
      <c r="G1592">
        <v>49.8</v>
      </c>
      <c r="V1592">
        <v>0.42715559960356803</v>
      </c>
      <c r="AY1592" t="str">
        <v>17/07/2018</v>
      </c>
      <c r="AZ1592">
        <v>54.9</v>
      </c>
      <c r="BA1592">
        <v>18.600000000000001</v>
      </c>
    </row>
    <row r="1593" spans="1:53" x14ac:dyDescent="0.3">
      <c r="A1593" s="11">
        <v>43215</v>
      </c>
      <c r="B1593">
        <v>0.55555555555555602</v>
      </c>
      <c r="C1593">
        <v>2634.56</v>
      </c>
      <c r="D1593">
        <v>117.95</v>
      </c>
      <c r="E1593">
        <v>1330.68</v>
      </c>
      <c r="F1593">
        <v>83.27</v>
      </c>
      <c r="G1593">
        <v>49.9</v>
      </c>
      <c r="V1593">
        <v>0.43386773547094198</v>
      </c>
      <c r="AY1593" t="str">
        <v>16/07/2018</v>
      </c>
      <c r="AZ1593">
        <v>54.9</v>
      </c>
      <c r="BA1593">
        <v>18.600000000000001</v>
      </c>
    </row>
    <row r="1594" spans="1:53" x14ac:dyDescent="0.3">
      <c r="A1594" s="11">
        <v>43214</v>
      </c>
      <c r="B1594">
        <v>0.54570637119113596</v>
      </c>
      <c r="C1594">
        <v>2670.29</v>
      </c>
      <c r="D1594">
        <v>118.49</v>
      </c>
      <c r="E1594">
        <v>1325</v>
      </c>
      <c r="F1594">
        <v>83.25</v>
      </c>
      <c r="G1594">
        <v>50.11</v>
      </c>
      <c r="V1594">
        <v>0.43979591836734699</v>
      </c>
      <c r="AY1594" t="str">
        <v>13/07/2018</v>
      </c>
      <c r="AZ1594">
        <v>55.3</v>
      </c>
      <c r="BA1594">
        <v>18.5</v>
      </c>
    </row>
    <row r="1595" spans="1:53" x14ac:dyDescent="0.3">
      <c r="A1595" s="11">
        <v>43211</v>
      </c>
      <c r="B1595">
        <v>0.55040871934604896</v>
      </c>
      <c r="C1595">
        <v>2670.14</v>
      </c>
      <c r="D1595">
        <v>118.46</v>
      </c>
      <c r="E1595">
        <v>1335.13</v>
      </c>
      <c r="F1595">
        <v>83.26</v>
      </c>
      <c r="G1595">
        <v>50.23</v>
      </c>
      <c r="V1595">
        <v>0.44209466263846903</v>
      </c>
      <c r="AY1595" t="str">
        <v>12/07/2018</v>
      </c>
      <c r="AZ1595">
        <v>55.3</v>
      </c>
      <c r="BA1595">
        <v>18.5</v>
      </c>
    </row>
    <row r="1596" spans="1:53" x14ac:dyDescent="0.3">
      <c r="A1596" s="11">
        <v>43210</v>
      </c>
      <c r="B1596">
        <v>0.54395604395604402</v>
      </c>
      <c r="C1596">
        <v>2693.13</v>
      </c>
      <c r="D1596">
        <v>119.32</v>
      </c>
      <c r="E1596">
        <v>1345.6</v>
      </c>
      <c r="F1596">
        <v>83.29</v>
      </c>
      <c r="G1596">
        <v>50.56</v>
      </c>
      <c r="V1596">
        <v>0.44153225806451601</v>
      </c>
      <c r="AY1596" t="str">
        <v>11/07/2018</v>
      </c>
      <c r="AZ1596">
        <v>55.3</v>
      </c>
      <c r="BA1596">
        <v>18.5</v>
      </c>
    </row>
    <row r="1597" spans="1:53" x14ac:dyDescent="0.3">
      <c r="A1597" s="11">
        <v>43209</v>
      </c>
      <c r="B1597">
        <v>0.54390934844192595</v>
      </c>
      <c r="C1597">
        <v>2708.64</v>
      </c>
      <c r="D1597">
        <v>120.3</v>
      </c>
      <c r="E1597">
        <v>1349.32</v>
      </c>
      <c r="F1597">
        <v>83.29</v>
      </c>
      <c r="G1597">
        <v>50.79</v>
      </c>
      <c r="V1597">
        <v>0.43343343343343299</v>
      </c>
      <c r="AY1597" t="str">
        <v>10/07/2018</v>
      </c>
      <c r="AZ1597">
        <v>55.3</v>
      </c>
      <c r="BA1597">
        <v>18.5</v>
      </c>
    </row>
    <row r="1598" spans="1:53" x14ac:dyDescent="0.3">
      <c r="A1598" s="11">
        <v>43208</v>
      </c>
      <c r="B1598">
        <v>0.53314121037464002</v>
      </c>
      <c r="C1598">
        <v>2706.39</v>
      </c>
      <c r="D1598">
        <v>121.27</v>
      </c>
      <c r="E1598">
        <v>1347.29</v>
      </c>
      <c r="F1598">
        <v>83.36</v>
      </c>
      <c r="G1598">
        <v>50.4</v>
      </c>
      <c r="V1598">
        <v>0.429735234215886</v>
      </c>
      <c r="AY1598" t="str">
        <v>09/07/2018</v>
      </c>
      <c r="AZ1598">
        <v>55.3</v>
      </c>
      <c r="BA1598">
        <v>18.5</v>
      </c>
    </row>
    <row r="1599" spans="1:53" x14ac:dyDescent="0.3">
      <c r="A1599" s="11">
        <v>43207</v>
      </c>
      <c r="B1599">
        <v>0.53216374269005895</v>
      </c>
      <c r="C1599">
        <v>2677.84</v>
      </c>
      <c r="D1599">
        <v>120.94</v>
      </c>
      <c r="E1599">
        <v>1345.92</v>
      </c>
      <c r="F1599">
        <v>83.36</v>
      </c>
      <c r="G1599">
        <v>50.21</v>
      </c>
      <c r="V1599">
        <v>0.43076923076923102</v>
      </c>
      <c r="AY1599" t="str">
        <v>06/07/2018</v>
      </c>
      <c r="AZ1599">
        <v>52.4</v>
      </c>
      <c r="BA1599">
        <v>18.5</v>
      </c>
    </row>
    <row r="1600" spans="1:53" x14ac:dyDescent="0.3">
      <c r="A1600" s="11">
        <v>43204</v>
      </c>
      <c r="B1600">
        <v>0.53221288515406195</v>
      </c>
      <c r="C1600">
        <v>2656.3</v>
      </c>
      <c r="D1600">
        <v>120.9</v>
      </c>
      <c r="E1600">
        <v>1345.46</v>
      </c>
      <c r="F1600">
        <v>83.37</v>
      </c>
      <c r="G1600">
        <v>50.15</v>
      </c>
      <c r="V1600">
        <v>0.44744744744744702</v>
      </c>
      <c r="AY1600" t="str">
        <v>05/07/2018</v>
      </c>
      <c r="AZ1600">
        <v>52.4</v>
      </c>
      <c r="BA1600">
        <v>18.5</v>
      </c>
    </row>
    <row r="1601" spans="1:53" x14ac:dyDescent="0.3">
      <c r="A1601" s="11">
        <v>43203</v>
      </c>
      <c r="B1601">
        <v>0.51820728291316498</v>
      </c>
      <c r="C1601">
        <v>2663.99</v>
      </c>
      <c r="D1601">
        <v>120.62</v>
      </c>
      <c r="E1601">
        <v>1335.47</v>
      </c>
      <c r="F1601">
        <v>83.39</v>
      </c>
      <c r="G1601">
        <v>50.26</v>
      </c>
      <c r="V1601">
        <v>0.452905811623247</v>
      </c>
      <c r="AY1601" t="str">
        <v>04/07/2018</v>
      </c>
      <c r="AZ1601">
        <v>52.4</v>
      </c>
      <c r="BA1601">
        <v>18.5</v>
      </c>
    </row>
    <row r="1602" spans="1:53" x14ac:dyDescent="0.3">
      <c r="A1602" s="11">
        <v>43202</v>
      </c>
      <c r="B1602">
        <v>0.51714285714285702</v>
      </c>
      <c r="C1602">
        <v>2642.19</v>
      </c>
      <c r="D1602">
        <v>121.51</v>
      </c>
      <c r="E1602">
        <v>1353.29</v>
      </c>
      <c r="F1602">
        <v>83.44</v>
      </c>
      <c r="G1602">
        <v>50.12</v>
      </c>
      <c r="V1602">
        <v>0.46787148594377498</v>
      </c>
      <c r="AY1602" t="str">
        <v>03/07/2018</v>
      </c>
      <c r="AZ1602">
        <v>52.4</v>
      </c>
      <c r="BA1602">
        <v>18.5</v>
      </c>
    </row>
    <row r="1603" spans="1:53" x14ac:dyDescent="0.3">
      <c r="A1603" s="11">
        <v>43201</v>
      </c>
      <c r="B1603">
        <v>0.52958579881656798</v>
      </c>
      <c r="C1603">
        <v>2656.87</v>
      </c>
      <c r="D1603">
        <v>121.08</v>
      </c>
      <c r="E1603">
        <v>1340.875</v>
      </c>
      <c r="F1603">
        <v>83.44</v>
      </c>
      <c r="G1603">
        <v>50.27</v>
      </c>
      <c r="V1603">
        <v>0.46348884381338701</v>
      </c>
      <c r="AY1603" t="str">
        <v>02/07/2018</v>
      </c>
      <c r="AZ1603">
        <v>52.4</v>
      </c>
      <c r="BA1603">
        <v>18.5</v>
      </c>
    </row>
    <row r="1604" spans="1:53" x14ac:dyDescent="0.3">
      <c r="A1604" s="11">
        <v>43200</v>
      </c>
      <c r="B1604">
        <v>0.53191489361702105</v>
      </c>
      <c r="C1604">
        <v>2613.16</v>
      </c>
      <c r="D1604">
        <v>121.3</v>
      </c>
      <c r="E1604">
        <v>1336.25</v>
      </c>
      <c r="F1604">
        <v>83.48</v>
      </c>
      <c r="G1604">
        <v>49.62</v>
      </c>
      <c r="V1604">
        <v>0.46775844421699098</v>
      </c>
      <c r="AY1604" t="str">
        <v>29/06/2018</v>
      </c>
      <c r="AZ1604">
        <v>47.1</v>
      </c>
      <c r="BA1604">
        <v>18.600000000000001</v>
      </c>
    </row>
    <row r="1605" spans="1:53" x14ac:dyDescent="0.3">
      <c r="A1605" s="11">
        <v>43197</v>
      </c>
      <c r="B1605">
        <v>0.54755043227665701</v>
      </c>
      <c r="C1605">
        <v>2604.4699999999998</v>
      </c>
      <c r="D1605">
        <v>121.1</v>
      </c>
      <c r="E1605">
        <v>1333</v>
      </c>
      <c r="F1605">
        <v>83.49</v>
      </c>
      <c r="G1605">
        <v>49.29</v>
      </c>
      <c r="V1605">
        <v>0.453346855983773</v>
      </c>
      <c r="AY1605" t="str">
        <v>28/06/2018</v>
      </c>
      <c r="AZ1605">
        <v>47.1</v>
      </c>
      <c r="BA1605">
        <v>18.600000000000001</v>
      </c>
    </row>
    <row r="1606" spans="1:53" x14ac:dyDescent="0.3">
      <c r="A1606" s="11">
        <v>43196</v>
      </c>
      <c r="B1606">
        <v>0.54227405247813398</v>
      </c>
      <c r="C1606">
        <v>2662.84</v>
      </c>
      <c r="D1606">
        <v>119.79</v>
      </c>
      <c r="E1606">
        <v>1326.55</v>
      </c>
      <c r="F1606">
        <v>83.42</v>
      </c>
      <c r="G1606">
        <v>49.83</v>
      </c>
      <c r="V1606">
        <v>0.455366098294885</v>
      </c>
      <c r="AY1606" t="str">
        <v>27/06/2018</v>
      </c>
      <c r="AZ1606">
        <v>47.1</v>
      </c>
      <c r="BA1606">
        <v>18.600000000000001</v>
      </c>
    </row>
    <row r="1607" spans="1:53" x14ac:dyDescent="0.3">
      <c r="A1607" s="11">
        <v>43195</v>
      </c>
      <c r="B1607">
        <v>0.55555555555555602</v>
      </c>
      <c r="C1607">
        <v>2644.69</v>
      </c>
      <c r="D1607">
        <v>120.69</v>
      </c>
      <c r="E1607">
        <v>1333.35</v>
      </c>
      <c r="F1607">
        <v>83.4</v>
      </c>
      <c r="G1607">
        <v>49.49</v>
      </c>
      <c r="V1607">
        <v>0.453731343283582</v>
      </c>
      <c r="AY1607" t="str">
        <v>26/06/2018</v>
      </c>
      <c r="AZ1607">
        <v>47.1</v>
      </c>
      <c r="BA1607">
        <v>18.600000000000001</v>
      </c>
    </row>
    <row r="1608" spans="1:53" x14ac:dyDescent="0.3">
      <c r="A1608" s="11">
        <v>43194</v>
      </c>
      <c r="B1608">
        <v>0.55489614243323404</v>
      </c>
      <c r="C1608">
        <v>2614.4499999999998</v>
      </c>
      <c r="D1608">
        <v>120.94</v>
      </c>
      <c r="E1608">
        <v>1332.8</v>
      </c>
      <c r="F1608">
        <v>83.45</v>
      </c>
      <c r="G1608">
        <v>49.36</v>
      </c>
      <c r="V1608">
        <v>0.45754245754245798</v>
      </c>
      <c r="AY1608" t="str">
        <v>25/06/2018</v>
      </c>
      <c r="AZ1608">
        <v>47.1</v>
      </c>
      <c r="BA1608">
        <v>18.600000000000001</v>
      </c>
    </row>
    <row r="1609" spans="1:53" x14ac:dyDescent="0.3">
      <c r="A1609" s="11">
        <v>43193</v>
      </c>
      <c r="B1609">
        <v>0.55351681957186505</v>
      </c>
      <c r="C1609">
        <v>2581.88</v>
      </c>
      <c r="D1609">
        <v>121.88</v>
      </c>
      <c r="E1609">
        <v>1336.4</v>
      </c>
      <c r="F1609">
        <v>83.49</v>
      </c>
      <c r="G1609">
        <v>49</v>
      </c>
      <c r="V1609">
        <v>0.46038114343029102</v>
      </c>
      <c r="AY1609" t="str">
        <v>22/06/2018</v>
      </c>
      <c r="AZ1609">
        <v>47.6</v>
      </c>
      <c r="BA1609">
        <v>18.399999999999999</v>
      </c>
    </row>
    <row r="1610" spans="1:53" x14ac:dyDescent="0.3">
      <c r="A1610" s="11">
        <v>43189</v>
      </c>
      <c r="B1610">
        <v>0.56797583081571001</v>
      </c>
      <c r="C1610">
        <v>2640.87</v>
      </c>
      <c r="D1610">
        <v>121.9</v>
      </c>
      <c r="E1610">
        <v>1325</v>
      </c>
      <c r="F1610">
        <v>83.56</v>
      </c>
      <c r="G1610">
        <v>49.69</v>
      </c>
      <c r="V1610">
        <v>0.46492985971943901</v>
      </c>
      <c r="AY1610" t="str">
        <v>21/06/2018</v>
      </c>
      <c r="AZ1610">
        <v>47.6</v>
      </c>
      <c r="BA1610">
        <v>18.399999999999999</v>
      </c>
    </row>
    <row r="1611" spans="1:53" x14ac:dyDescent="0.3">
      <c r="A1611" s="11">
        <v>43188</v>
      </c>
      <c r="B1611">
        <v>0.56969696969697003</v>
      </c>
      <c r="C1611">
        <v>2605</v>
      </c>
      <c r="D1611">
        <v>121.31</v>
      </c>
      <c r="E1611">
        <v>1325</v>
      </c>
      <c r="F1611">
        <v>83.53</v>
      </c>
      <c r="G1611">
        <v>49.19</v>
      </c>
      <c r="V1611">
        <v>0.48016276703967398</v>
      </c>
      <c r="AY1611" t="str">
        <v>20/06/2018</v>
      </c>
      <c r="AZ1611">
        <v>47.6</v>
      </c>
      <c r="BA1611">
        <v>18.399999999999999</v>
      </c>
    </row>
    <row r="1612" spans="1:53" x14ac:dyDescent="0.3">
      <c r="A1612" s="11">
        <v>43187</v>
      </c>
      <c r="B1612">
        <v>0.596330275229358</v>
      </c>
      <c r="C1612">
        <v>2612.62</v>
      </c>
      <c r="D1612">
        <v>120.99</v>
      </c>
      <c r="E1612">
        <v>1344.71</v>
      </c>
      <c r="F1612">
        <v>83.52</v>
      </c>
      <c r="G1612">
        <v>49.07</v>
      </c>
      <c r="V1612">
        <v>0.49327817993795198</v>
      </c>
      <c r="AY1612" t="str">
        <v>19/06/2018</v>
      </c>
      <c r="AZ1612">
        <v>47.6</v>
      </c>
      <c r="BA1612">
        <v>18.399999999999999</v>
      </c>
    </row>
    <row r="1613" spans="1:53" x14ac:dyDescent="0.3">
      <c r="A1613" s="11">
        <v>43186</v>
      </c>
      <c r="B1613">
        <v>0.60122699386503098</v>
      </c>
      <c r="C1613">
        <v>2658.55</v>
      </c>
      <c r="D1613">
        <v>119.71</v>
      </c>
      <c r="E1613">
        <v>1353.5</v>
      </c>
      <c r="F1613">
        <v>83.46</v>
      </c>
      <c r="G1613">
        <v>49.55</v>
      </c>
      <c r="V1613">
        <v>0.487309644670051</v>
      </c>
      <c r="AY1613" t="str">
        <v>18/06/2018</v>
      </c>
      <c r="AZ1613">
        <v>47.6</v>
      </c>
      <c r="BA1613">
        <v>18.399999999999999</v>
      </c>
    </row>
    <row r="1614" spans="1:53" x14ac:dyDescent="0.3">
      <c r="A1614" s="11">
        <v>43183</v>
      </c>
      <c r="B1614">
        <v>0.59270516717325195</v>
      </c>
      <c r="C1614">
        <v>2588.2600000000002</v>
      </c>
      <c r="D1614">
        <v>120.17</v>
      </c>
      <c r="E1614">
        <v>1347.22</v>
      </c>
      <c r="F1614">
        <v>83.5</v>
      </c>
      <c r="G1614">
        <v>48.55</v>
      </c>
      <c r="V1614">
        <v>0.49337410805300702</v>
      </c>
      <c r="AY1614" t="str">
        <v>15/06/2018</v>
      </c>
      <c r="AZ1614">
        <v>52</v>
      </c>
      <c r="BA1614">
        <v>17.600000000000001</v>
      </c>
    </row>
    <row r="1615" spans="1:53" x14ac:dyDescent="0.3">
      <c r="A1615" s="11">
        <v>43182</v>
      </c>
      <c r="B1615">
        <v>0.60179640718562899</v>
      </c>
      <c r="C1615">
        <v>2643.69</v>
      </c>
      <c r="D1615">
        <v>120.26</v>
      </c>
      <c r="E1615">
        <v>1330.65</v>
      </c>
      <c r="F1615">
        <v>83.48</v>
      </c>
      <c r="G1615">
        <v>49.2</v>
      </c>
      <c r="V1615">
        <v>0.49949443882709799</v>
      </c>
      <c r="AY1615" t="str">
        <v>14/06/2018</v>
      </c>
      <c r="AZ1615">
        <v>52</v>
      </c>
      <c r="BA1615">
        <v>17.600000000000001</v>
      </c>
    </row>
    <row r="1616" spans="1:53" x14ac:dyDescent="0.3">
      <c r="A1616" s="11">
        <v>43181</v>
      </c>
      <c r="B1616">
        <v>0.62241887905604698</v>
      </c>
      <c r="C1616">
        <v>2711.93</v>
      </c>
      <c r="D1616">
        <v>119.08</v>
      </c>
      <c r="E1616">
        <v>1332.18</v>
      </c>
      <c r="F1616">
        <v>83.44</v>
      </c>
      <c r="G1616">
        <v>50.27</v>
      </c>
      <c r="V1616">
        <v>0.50050352467270898</v>
      </c>
      <c r="AY1616" t="str">
        <v>13/06/2018</v>
      </c>
      <c r="AZ1616">
        <v>52</v>
      </c>
      <c r="BA1616">
        <v>17.600000000000001</v>
      </c>
    </row>
    <row r="1617" spans="1:53" x14ac:dyDescent="0.3">
      <c r="A1617" s="11">
        <v>43180</v>
      </c>
      <c r="B1617">
        <v>0.619760479041916</v>
      </c>
      <c r="C1617">
        <v>2716.94</v>
      </c>
      <c r="D1617">
        <v>118.95</v>
      </c>
      <c r="E1617">
        <v>1308.5</v>
      </c>
      <c r="F1617">
        <v>83.38</v>
      </c>
      <c r="G1617">
        <v>50.13</v>
      </c>
      <c r="V1617">
        <v>0.50645481628599798</v>
      </c>
      <c r="AY1617" t="str">
        <v>12/06/2018</v>
      </c>
      <c r="AZ1617">
        <v>52</v>
      </c>
      <c r="BA1617">
        <v>17.600000000000001</v>
      </c>
    </row>
    <row r="1618" spans="1:53" x14ac:dyDescent="0.3">
      <c r="A1618" s="11">
        <v>43179</v>
      </c>
      <c r="B1618">
        <v>0.629411764705882</v>
      </c>
      <c r="C1618">
        <v>2712.92</v>
      </c>
      <c r="D1618">
        <v>119.43</v>
      </c>
      <c r="E1618">
        <v>1314.5</v>
      </c>
      <c r="F1618">
        <v>83.41</v>
      </c>
      <c r="G1618">
        <v>49.98</v>
      </c>
      <c r="V1618">
        <v>0.49800796812748999</v>
      </c>
      <c r="AY1618" t="str">
        <v>11/06/2018</v>
      </c>
      <c r="AZ1618">
        <v>52</v>
      </c>
      <c r="BA1618">
        <v>17.600000000000001</v>
      </c>
    </row>
    <row r="1619" spans="1:53" x14ac:dyDescent="0.3">
      <c r="A1619" s="11">
        <v>43176</v>
      </c>
      <c r="B1619">
        <v>0.62865497076023402</v>
      </c>
      <c r="C1619">
        <v>2752.01</v>
      </c>
      <c r="D1619">
        <v>119.81</v>
      </c>
      <c r="E1619">
        <v>1313.85</v>
      </c>
      <c r="F1619">
        <v>83.41</v>
      </c>
      <c r="G1619">
        <v>50.45</v>
      </c>
      <c r="V1619">
        <v>0.52</v>
      </c>
      <c r="AY1619" t="str">
        <v>08/06/2018</v>
      </c>
      <c r="AZ1619">
        <v>55.5</v>
      </c>
      <c r="BA1619">
        <v>17.8</v>
      </c>
    </row>
    <row r="1620" spans="1:53" x14ac:dyDescent="0.3">
      <c r="A1620" s="11">
        <v>43175</v>
      </c>
      <c r="B1620">
        <v>0.64872521246458903</v>
      </c>
      <c r="C1620">
        <v>2747.33</v>
      </c>
      <c r="D1620">
        <v>120.24</v>
      </c>
      <c r="E1620">
        <v>1313.125</v>
      </c>
      <c r="F1620">
        <v>83.45</v>
      </c>
      <c r="G1620">
        <v>50.54</v>
      </c>
      <c r="V1620">
        <v>0.52243270189431701</v>
      </c>
      <c r="AY1620" t="str">
        <v>07/06/2018</v>
      </c>
      <c r="AZ1620">
        <v>55.5</v>
      </c>
      <c r="BA1620">
        <v>17.8</v>
      </c>
    </row>
    <row r="1621" spans="1:53" x14ac:dyDescent="0.3">
      <c r="A1621" s="11">
        <v>43174</v>
      </c>
      <c r="B1621">
        <v>0.65449438202247201</v>
      </c>
      <c r="C1621">
        <v>2749.48</v>
      </c>
      <c r="D1621">
        <v>120.24</v>
      </c>
      <c r="E1621">
        <v>1325</v>
      </c>
      <c r="F1621">
        <v>83.44</v>
      </c>
      <c r="G1621">
        <v>50.555</v>
      </c>
      <c r="V1621">
        <v>0.52465483234714005</v>
      </c>
      <c r="AY1621" t="str">
        <v>06/06/2018</v>
      </c>
      <c r="AZ1621">
        <v>55.5</v>
      </c>
      <c r="BA1621">
        <v>17.8</v>
      </c>
    </row>
    <row r="1622" spans="1:53" x14ac:dyDescent="0.3">
      <c r="A1622" s="11">
        <v>43173</v>
      </c>
      <c r="B1622">
        <v>0.66016713091921997</v>
      </c>
      <c r="C1622">
        <v>2765.31</v>
      </c>
      <c r="D1622">
        <v>119.19</v>
      </c>
      <c r="E1622">
        <v>1331.5</v>
      </c>
      <c r="F1622">
        <v>83.45</v>
      </c>
      <c r="G1622">
        <v>50.41</v>
      </c>
      <c r="V1622">
        <v>0.524752475247525</v>
      </c>
      <c r="AY1622" t="str">
        <v>05/06/2018</v>
      </c>
      <c r="AZ1622">
        <v>55.5</v>
      </c>
      <c r="BA1622">
        <v>17.8</v>
      </c>
    </row>
    <row r="1623" spans="1:53" x14ac:dyDescent="0.3">
      <c r="A1623" s="11">
        <v>43172</v>
      </c>
      <c r="B1623">
        <v>0.67217630853994503</v>
      </c>
      <c r="C1623">
        <v>2783.02</v>
      </c>
      <c r="D1623">
        <v>118.59</v>
      </c>
      <c r="E1623">
        <v>1323.05</v>
      </c>
      <c r="F1623">
        <v>83.43</v>
      </c>
      <c r="G1623">
        <v>50.82</v>
      </c>
      <c r="V1623">
        <v>0.52818991097922896</v>
      </c>
      <c r="AY1623" t="str">
        <v>04/06/2018</v>
      </c>
      <c r="AZ1623">
        <v>55.5</v>
      </c>
      <c r="BA1623">
        <v>17.8</v>
      </c>
    </row>
    <row r="1624" spans="1:53" x14ac:dyDescent="0.3">
      <c r="A1624" s="11">
        <v>43169</v>
      </c>
      <c r="B1624">
        <v>0.65826330532212896</v>
      </c>
      <c r="C1624">
        <v>2786.57</v>
      </c>
      <c r="D1624">
        <v>117.91</v>
      </c>
      <c r="E1624">
        <v>1323.5</v>
      </c>
      <c r="F1624">
        <v>83.39</v>
      </c>
      <c r="G1624">
        <v>50.74</v>
      </c>
      <c r="V1624">
        <v>0.53128103277060601</v>
      </c>
      <c r="AY1624" t="str">
        <v>01/06/2018</v>
      </c>
      <c r="AZ1624">
        <v>52.9</v>
      </c>
      <c r="BA1624">
        <v>17.7</v>
      </c>
    </row>
    <row r="1625" spans="1:53" x14ac:dyDescent="0.3">
      <c r="A1625" s="11">
        <v>43168</v>
      </c>
      <c r="B1625">
        <v>0.68292682926829296</v>
      </c>
      <c r="C1625">
        <v>2738.97</v>
      </c>
      <c r="D1625">
        <v>118.69</v>
      </c>
      <c r="E1625">
        <v>1322.07</v>
      </c>
      <c r="F1625">
        <v>83.43</v>
      </c>
      <c r="G1625">
        <v>50.24</v>
      </c>
      <c r="V1625">
        <v>0.53937007874015797</v>
      </c>
      <c r="AY1625" t="str">
        <v>31/05/2018</v>
      </c>
      <c r="AZ1625">
        <v>52.9</v>
      </c>
      <c r="BA1625">
        <v>17.7</v>
      </c>
    </row>
    <row r="1626" spans="1:53" x14ac:dyDescent="0.3">
      <c r="A1626" s="11">
        <v>43167</v>
      </c>
      <c r="B1626">
        <v>0.68489583333333304</v>
      </c>
      <c r="C1626">
        <v>2726.8</v>
      </c>
      <c r="D1626">
        <v>118.01</v>
      </c>
      <c r="E1626">
        <v>1323.85</v>
      </c>
      <c r="F1626">
        <v>83.41</v>
      </c>
      <c r="G1626">
        <v>50.13</v>
      </c>
      <c r="V1626">
        <v>0.53274682306940402</v>
      </c>
      <c r="AY1626" t="str">
        <v>30/05/2018</v>
      </c>
      <c r="AZ1626">
        <v>52.9</v>
      </c>
      <c r="BA1626">
        <v>17.7</v>
      </c>
    </row>
    <row r="1627" spans="1:53" x14ac:dyDescent="0.3">
      <c r="A1627" s="11">
        <v>43166</v>
      </c>
      <c r="B1627">
        <v>0.70129870129870098</v>
      </c>
      <c r="C1627">
        <v>2728.12</v>
      </c>
      <c r="D1627">
        <v>118.14</v>
      </c>
      <c r="E1627">
        <v>1334.69</v>
      </c>
      <c r="F1627">
        <v>83.41</v>
      </c>
      <c r="G1627">
        <v>50.21</v>
      </c>
      <c r="V1627">
        <v>0.53268292682926799</v>
      </c>
      <c r="AY1627" t="str">
        <v>29/05/2018</v>
      </c>
      <c r="AZ1627">
        <v>52.9</v>
      </c>
      <c r="BA1627">
        <v>17.7</v>
      </c>
    </row>
    <row r="1628" spans="1:53" x14ac:dyDescent="0.3">
      <c r="A1628" s="11">
        <v>43165</v>
      </c>
      <c r="B1628">
        <v>0.70725388601036299</v>
      </c>
      <c r="C1628">
        <v>2720.94</v>
      </c>
      <c r="D1628">
        <v>118.03</v>
      </c>
      <c r="E1628">
        <v>1320.43</v>
      </c>
      <c r="F1628">
        <v>83.424999999999997</v>
      </c>
      <c r="G1628">
        <v>49.82</v>
      </c>
      <c r="V1628">
        <v>0.52446183953033298</v>
      </c>
      <c r="AY1628" t="str">
        <v>28/05/2018</v>
      </c>
      <c r="AZ1628">
        <v>52.9</v>
      </c>
      <c r="BA1628">
        <v>17.7</v>
      </c>
    </row>
    <row r="1629" spans="1:53" x14ac:dyDescent="0.3">
      <c r="A1629" s="11">
        <v>43162</v>
      </c>
      <c r="B1629">
        <v>0.72842639593908598</v>
      </c>
      <c r="C1629">
        <v>2691.25</v>
      </c>
      <c r="D1629">
        <v>118.35</v>
      </c>
      <c r="E1629">
        <v>1322.5</v>
      </c>
      <c r="F1629">
        <v>83.43</v>
      </c>
      <c r="G1629">
        <v>49.62</v>
      </c>
      <c r="V1629">
        <v>0.51996105160662098</v>
      </c>
      <c r="AY1629" t="str">
        <v>25/05/2018</v>
      </c>
      <c r="AZ1629">
        <v>50</v>
      </c>
      <c r="BA1629">
        <v>19.2</v>
      </c>
    </row>
    <row r="1630" spans="1:53" x14ac:dyDescent="0.3">
      <c r="A1630" s="11">
        <v>43161</v>
      </c>
      <c r="B1630">
        <v>0.73697270471464005</v>
      </c>
      <c r="C1630">
        <v>2677.67</v>
      </c>
      <c r="D1630">
        <v>119.32</v>
      </c>
      <c r="E1630">
        <v>1317.03</v>
      </c>
      <c r="F1630">
        <v>83.47</v>
      </c>
      <c r="G1630">
        <v>49.45</v>
      </c>
      <c r="V1630">
        <v>0.52089407191448001</v>
      </c>
      <c r="AY1630" t="str">
        <v>24/05/2018</v>
      </c>
      <c r="AZ1630">
        <v>50</v>
      </c>
      <c r="BA1630">
        <v>19.2</v>
      </c>
    </row>
    <row r="1631" spans="1:53" x14ac:dyDescent="0.3">
      <c r="A1631" s="11">
        <v>43159</v>
      </c>
      <c r="B1631">
        <v>0.75816993464052296</v>
      </c>
      <c r="C1631">
        <v>2713.83</v>
      </c>
      <c r="D1631">
        <v>118.75</v>
      </c>
      <c r="E1631">
        <v>1320</v>
      </c>
      <c r="F1631">
        <v>83.44</v>
      </c>
      <c r="G1631">
        <v>50.02</v>
      </c>
      <c r="V1631">
        <v>0.53607214428857697</v>
      </c>
      <c r="AY1631" t="str">
        <v>23/05/2018</v>
      </c>
      <c r="AZ1631">
        <v>50</v>
      </c>
      <c r="BA1631">
        <v>19.2</v>
      </c>
    </row>
    <row r="1632" spans="1:53" x14ac:dyDescent="0.3">
      <c r="A1632" s="11">
        <v>43159</v>
      </c>
      <c r="B1632">
        <v>0.77809798270893404</v>
      </c>
      <c r="C1632">
        <v>2744.28</v>
      </c>
      <c r="D1632">
        <v>118</v>
      </c>
      <c r="E1632">
        <v>1318.59</v>
      </c>
      <c r="F1632">
        <v>83.42</v>
      </c>
      <c r="G1632">
        <v>50.58</v>
      </c>
      <c r="V1632">
        <v>0.54268891069676195</v>
      </c>
      <c r="AY1632" t="str">
        <v>22/05/2018</v>
      </c>
      <c r="AZ1632">
        <v>50</v>
      </c>
      <c r="BA1632">
        <v>19.2</v>
      </c>
    </row>
    <row r="1633" spans="1:53" x14ac:dyDescent="0.3">
      <c r="A1633" s="11">
        <v>43158</v>
      </c>
      <c r="B1633">
        <v>0.77647058823529402</v>
      </c>
      <c r="C1633">
        <v>2779.6</v>
      </c>
      <c r="D1633">
        <v>118.17</v>
      </c>
      <c r="E1633">
        <v>1329.7249999999999</v>
      </c>
      <c r="F1633">
        <v>83.48</v>
      </c>
      <c r="G1633">
        <v>51.49</v>
      </c>
      <c r="V1633">
        <v>0.54455445544554504</v>
      </c>
      <c r="AY1633" t="str">
        <v>21/05/2018</v>
      </c>
      <c r="AZ1633">
        <v>50</v>
      </c>
      <c r="BA1633">
        <v>19.2</v>
      </c>
    </row>
    <row r="1634" spans="1:53" x14ac:dyDescent="0.3">
      <c r="A1634" s="11">
        <v>43155</v>
      </c>
      <c r="B1634">
        <v>0.77402597402597395</v>
      </c>
      <c r="C1634">
        <v>2747.3</v>
      </c>
      <c r="D1634">
        <v>118.13</v>
      </c>
      <c r="E1634">
        <v>1328.95</v>
      </c>
      <c r="F1634">
        <v>83.47</v>
      </c>
      <c r="G1634">
        <v>51.06</v>
      </c>
      <c r="V1634">
        <v>0.54131054131054102</v>
      </c>
      <c r="AY1634" t="str">
        <v>18/05/2018</v>
      </c>
      <c r="AZ1634">
        <v>49.1</v>
      </c>
      <c r="BA1634">
        <v>19.2</v>
      </c>
    </row>
    <row r="1635" spans="1:53" x14ac:dyDescent="0.3">
      <c r="A1635" s="11">
        <v>43154</v>
      </c>
      <c r="B1635">
        <v>0.76785714285714302</v>
      </c>
      <c r="C1635">
        <v>2703.96</v>
      </c>
      <c r="D1635">
        <v>117.09</v>
      </c>
      <c r="E1635">
        <v>1331.96</v>
      </c>
      <c r="F1635">
        <v>83.45</v>
      </c>
      <c r="G1635">
        <v>50.51</v>
      </c>
      <c r="V1635">
        <v>0.54364326375711602</v>
      </c>
      <c r="AY1635" t="str">
        <v>17/05/2018</v>
      </c>
      <c r="AZ1635">
        <v>49.1</v>
      </c>
      <c r="BA1635">
        <v>19.2</v>
      </c>
    </row>
    <row r="1636" spans="1:53" x14ac:dyDescent="0.3">
      <c r="A1636" s="11">
        <v>43153</v>
      </c>
      <c r="B1636">
        <v>0.76041666666666696</v>
      </c>
      <c r="C1636">
        <v>2701.33</v>
      </c>
      <c r="D1636">
        <v>116.74</v>
      </c>
      <c r="E1636">
        <v>1323.5</v>
      </c>
      <c r="F1636">
        <v>83.44</v>
      </c>
      <c r="G1636">
        <v>50.35</v>
      </c>
      <c r="V1636">
        <v>0.52918660287081298</v>
      </c>
      <c r="AY1636" t="str">
        <v>16/05/2018</v>
      </c>
      <c r="AZ1636">
        <v>49.1</v>
      </c>
      <c r="BA1636">
        <v>19.2</v>
      </c>
    </row>
    <row r="1637" spans="1:53" x14ac:dyDescent="0.3">
      <c r="A1637" s="11">
        <v>43152</v>
      </c>
      <c r="B1637">
        <v>0.75130890052356003</v>
      </c>
      <c r="C1637">
        <v>2716.26</v>
      </c>
      <c r="D1637">
        <v>118.19</v>
      </c>
      <c r="E1637">
        <v>1328.125</v>
      </c>
      <c r="F1637">
        <v>83.43</v>
      </c>
      <c r="G1637">
        <v>50.5</v>
      </c>
      <c r="V1637">
        <v>0.52611218568665397</v>
      </c>
      <c r="AY1637" t="str">
        <v>15/05/2018</v>
      </c>
      <c r="AZ1637">
        <v>49.1</v>
      </c>
      <c r="BA1637">
        <v>19.2</v>
      </c>
    </row>
    <row r="1638" spans="1:53" x14ac:dyDescent="0.3">
      <c r="A1638" s="11">
        <v>43148</v>
      </c>
      <c r="B1638">
        <v>0.75187969924812004</v>
      </c>
      <c r="C1638">
        <v>2732.22</v>
      </c>
      <c r="D1638">
        <v>118.71</v>
      </c>
      <c r="E1638">
        <v>1352.4</v>
      </c>
      <c r="F1638">
        <v>83.44</v>
      </c>
      <c r="G1638">
        <v>51</v>
      </c>
      <c r="V1638">
        <v>0.52131782945736405</v>
      </c>
      <c r="AY1638" t="str">
        <v>14/05/2018</v>
      </c>
      <c r="AZ1638">
        <v>49.1</v>
      </c>
      <c r="BA1638">
        <v>19.2</v>
      </c>
    </row>
    <row r="1639" spans="1:53" x14ac:dyDescent="0.3">
      <c r="A1639" s="11">
        <v>43147</v>
      </c>
      <c r="B1639">
        <v>0.74623115577889398</v>
      </c>
      <c r="C1639">
        <v>2731.2</v>
      </c>
      <c r="D1639">
        <v>118.07</v>
      </c>
      <c r="E1639">
        <v>1353.39</v>
      </c>
      <c r="F1639">
        <v>83.42</v>
      </c>
      <c r="G1639">
        <v>50.92</v>
      </c>
      <c r="V1639">
        <v>0.5205078125</v>
      </c>
      <c r="AY1639" t="str">
        <v>11/05/2018</v>
      </c>
      <c r="AZ1639">
        <v>46.6</v>
      </c>
      <c r="BA1639">
        <v>19.399999999999999</v>
      </c>
    </row>
    <row r="1640" spans="1:53" x14ac:dyDescent="0.3">
      <c r="A1640" s="11">
        <v>43146</v>
      </c>
      <c r="B1640">
        <v>0.74871794871794894</v>
      </c>
      <c r="C1640">
        <v>2698.63</v>
      </c>
      <c r="D1640">
        <v>117.67</v>
      </c>
      <c r="E1640">
        <v>1350.42</v>
      </c>
      <c r="F1640">
        <v>83.45</v>
      </c>
      <c r="G1640">
        <v>50.43</v>
      </c>
      <c r="V1640">
        <v>0.50840751730959399</v>
      </c>
      <c r="AY1640" t="str">
        <v>10/05/2018</v>
      </c>
      <c r="AZ1640">
        <v>46.6</v>
      </c>
      <c r="BA1640">
        <v>19.399999999999999</v>
      </c>
    </row>
    <row r="1641" spans="1:53" x14ac:dyDescent="0.3">
      <c r="A1641" s="11">
        <v>43145</v>
      </c>
      <c r="B1641">
        <v>0.74611398963730602</v>
      </c>
      <c r="C1641">
        <v>2662.94</v>
      </c>
      <c r="D1641">
        <v>118.99</v>
      </c>
      <c r="E1641">
        <v>1329.16</v>
      </c>
      <c r="F1641">
        <v>83.57</v>
      </c>
      <c r="G1641">
        <v>49.49</v>
      </c>
      <c r="V1641">
        <v>0.50796812749004006</v>
      </c>
      <c r="AY1641" t="str">
        <v>09/05/2018</v>
      </c>
      <c r="AZ1641">
        <v>46.6</v>
      </c>
      <c r="BA1641">
        <v>19.399999999999999</v>
      </c>
    </row>
    <row r="1642" spans="1:53" x14ac:dyDescent="0.3">
      <c r="A1642" s="11">
        <v>43144</v>
      </c>
      <c r="B1642">
        <v>0.74151436031331597</v>
      </c>
      <c r="C1642">
        <v>2656</v>
      </c>
      <c r="D1642">
        <v>118.46</v>
      </c>
      <c r="E1642">
        <v>1322.6</v>
      </c>
      <c r="F1642">
        <v>83.57</v>
      </c>
      <c r="G1642">
        <v>49.47</v>
      </c>
      <c r="V1642">
        <v>0.50552763819095503</v>
      </c>
      <c r="AY1642" t="str">
        <v>08/05/2018</v>
      </c>
      <c r="AZ1642">
        <v>46.6</v>
      </c>
      <c r="BA1642">
        <v>19.399999999999999</v>
      </c>
    </row>
    <row r="1643" spans="1:53" x14ac:dyDescent="0.3">
      <c r="A1643" s="11">
        <v>43141</v>
      </c>
      <c r="B1643">
        <v>0.73264781491002595</v>
      </c>
      <c r="C1643">
        <v>2619.5500000000002</v>
      </c>
      <c r="D1643">
        <v>117.94</v>
      </c>
      <c r="E1643">
        <v>1316.25</v>
      </c>
      <c r="F1643">
        <v>83.61</v>
      </c>
      <c r="G1643">
        <v>48.78</v>
      </c>
      <c r="V1643">
        <v>0.50349650349650399</v>
      </c>
      <c r="AY1643" t="str">
        <v>07/05/2018</v>
      </c>
      <c r="AZ1643">
        <v>46.6</v>
      </c>
      <c r="BA1643">
        <v>19.399999999999999</v>
      </c>
    </row>
    <row r="1644" spans="1:53" x14ac:dyDescent="0.3">
      <c r="A1644" s="11">
        <v>43140</v>
      </c>
      <c r="B1644">
        <v>0.727979274611399</v>
      </c>
      <c r="C1644">
        <v>2581</v>
      </c>
      <c r="D1644">
        <v>118.69</v>
      </c>
      <c r="E1644">
        <v>1319.04</v>
      </c>
      <c r="F1644">
        <v>83.54</v>
      </c>
      <c r="G1644">
        <v>48.43</v>
      </c>
      <c r="V1644">
        <v>0.50803212851405599</v>
      </c>
      <c r="AY1644" t="str">
        <v>04/05/2018</v>
      </c>
      <c r="AZ1644">
        <v>43.1</v>
      </c>
      <c r="BA1644">
        <v>20.6</v>
      </c>
    </row>
    <row r="1645" spans="1:53" x14ac:dyDescent="0.3">
      <c r="A1645" s="11">
        <v>43139</v>
      </c>
      <c r="B1645">
        <v>0.71578947368421098</v>
      </c>
      <c r="C1645">
        <v>2681.66</v>
      </c>
      <c r="D1645">
        <v>118.82</v>
      </c>
      <c r="E1645">
        <v>1319.19</v>
      </c>
      <c r="F1645">
        <v>83.53</v>
      </c>
      <c r="G1645">
        <v>49.76</v>
      </c>
      <c r="V1645">
        <v>0.51158106747230603</v>
      </c>
      <c r="AY1645" t="str">
        <v>03/05/2018</v>
      </c>
      <c r="AZ1645">
        <v>43.1</v>
      </c>
      <c r="BA1645">
        <v>20.6</v>
      </c>
    </row>
    <row r="1646" spans="1:53" x14ac:dyDescent="0.3">
      <c r="A1646" s="11">
        <v>43138</v>
      </c>
      <c r="B1646">
        <v>0.71159029649595695</v>
      </c>
      <c r="C1646">
        <v>2695.14</v>
      </c>
      <c r="D1646">
        <v>119.96</v>
      </c>
      <c r="E1646">
        <v>1324.65</v>
      </c>
      <c r="F1646">
        <v>83.59</v>
      </c>
      <c r="G1646">
        <v>50.69</v>
      </c>
      <c r="V1646">
        <v>0.51318458417849899</v>
      </c>
      <c r="AY1646" t="str">
        <v>02/05/2018</v>
      </c>
      <c r="AZ1646">
        <v>43.1</v>
      </c>
      <c r="BA1646">
        <v>20.6</v>
      </c>
    </row>
    <row r="1647" spans="1:53" x14ac:dyDescent="0.3">
      <c r="A1647" s="11">
        <v>43137</v>
      </c>
      <c r="B1647">
        <v>0.71546961325966896</v>
      </c>
      <c r="C1647">
        <v>2648.94</v>
      </c>
      <c r="D1647">
        <v>120.71</v>
      </c>
      <c r="E1647">
        <v>1339.45</v>
      </c>
      <c r="F1647">
        <v>83.65</v>
      </c>
      <c r="G1647">
        <v>49.46</v>
      </c>
      <c r="V1647">
        <v>0.50922131147541005</v>
      </c>
      <c r="AY1647" t="str">
        <v>01/05/2018</v>
      </c>
      <c r="AZ1647">
        <v>43.1</v>
      </c>
      <c r="BA1647">
        <v>20.6</v>
      </c>
    </row>
    <row r="1648" spans="1:53" x14ac:dyDescent="0.3">
      <c r="A1648" s="11">
        <v>43134</v>
      </c>
      <c r="B1648">
        <v>0.71273712737127404</v>
      </c>
      <c r="C1648">
        <v>2762.13</v>
      </c>
      <c r="D1648">
        <v>119.58</v>
      </c>
      <c r="E1648">
        <v>1333.17</v>
      </c>
      <c r="F1648">
        <v>83.5</v>
      </c>
      <c r="G1648">
        <v>51.49</v>
      </c>
      <c r="V1648">
        <v>0.511044176706827</v>
      </c>
      <c r="AY1648" t="str">
        <v>30/04/2018</v>
      </c>
      <c r="AZ1648">
        <v>43.1</v>
      </c>
      <c r="BA1648">
        <v>20.6</v>
      </c>
    </row>
    <row r="1649" spans="1:53" x14ac:dyDescent="0.3">
      <c r="A1649" s="11">
        <v>43133</v>
      </c>
      <c r="B1649">
        <v>0.70844686648501398</v>
      </c>
      <c r="C1649">
        <v>2821.98</v>
      </c>
      <c r="D1649">
        <v>120.7</v>
      </c>
      <c r="E1649">
        <v>1348.92</v>
      </c>
      <c r="F1649">
        <v>83.49</v>
      </c>
      <c r="G1649">
        <v>52.69</v>
      </c>
      <c r="V1649">
        <v>0.52165156092648501</v>
      </c>
      <c r="AY1649" t="str">
        <v>27/04/2018</v>
      </c>
      <c r="AZ1649">
        <v>43.6</v>
      </c>
      <c r="BA1649">
        <v>20.8</v>
      </c>
    </row>
    <row r="1650" spans="1:53" x14ac:dyDescent="0.3">
      <c r="A1650" s="11">
        <v>43131</v>
      </c>
      <c r="B1650">
        <v>0.69405099150141603</v>
      </c>
      <c r="C1650">
        <v>2823.81</v>
      </c>
      <c r="D1650">
        <v>122.73</v>
      </c>
      <c r="E1650">
        <v>1345</v>
      </c>
      <c r="F1650">
        <v>83.61</v>
      </c>
      <c r="G1650">
        <v>52.68</v>
      </c>
      <c r="V1650">
        <v>0.52040816326530603</v>
      </c>
      <c r="AY1650" t="str">
        <v>26/04/2018</v>
      </c>
      <c r="AZ1650">
        <v>43.6</v>
      </c>
      <c r="BA1650">
        <v>20.8</v>
      </c>
    </row>
    <row r="1651" spans="1:53" x14ac:dyDescent="0.3">
      <c r="A1651" s="11">
        <v>43131</v>
      </c>
      <c r="B1651">
        <v>0.67551622418879098</v>
      </c>
      <c r="C1651">
        <v>2822.43</v>
      </c>
      <c r="D1651">
        <v>122.01</v>
      </c>
      <c r="E1651">
        <v>1338.71</v>
      </c>
      <c r="F1651">
        <v>83.61</v>
      </c>
      <c r="G1651">
        <v>52.63</v>
      </c>
      <c r="V1651">
        <v>0.52268041237113405</v>
      </c>
      <c r="AY1651" t="str">
        <v>25/04/2018</v>
      </c>
      <c r="AZ1651">
        <v>43.6</v>
      </c>
      <c r="BA1651">
        <v>20.8</v>
      </c>
    </row>
    <row r="1652" spans="1:53" x14ac:dyDescent="0.3">
      <c r="A1652" s="11">
        <v>43130</v>
      </c>
      <c r="B1652">
        <v>0.67469879518072295</v>
      </c>
      <c r="C1652">
        <v>2853.53</v>
      </c>
      <c r="D1652">
        <v>122.73</v>
      </c>
      <c r="E1652">
        <v>1337.625</v>
      </c>
      <c r="F1652">
        <v>83.6</v>
      </c>
      <c r="G1652">
        <v>53.15</v>
      </c>
      <c r="V1652">
        <v>0.52620545073375302</v>
      </c>
      <c r="AY1652" t="str">
        <v>24/04/2018</v>
      </c>
      <c r="AZ1652">
        <v>43.6</v>
      </c>
      <c r="BA1652">
        <v>20.8</v>
      </c>
    </row>
    <row r="1653" spans="1:53" x14ac:dyDescent="0.3">
      <c r="A1653" s="11">
        <v>43127</v>
      </c>
      <c r="B1653">
        <v>0.66767371601208503</v>
      </c>
      <c r="C1653">
        <v>2872.87</v>
      </c>
      <c r="D1653">
        <v>123.59</v>
      </c>
      <c r="E1653">
        <v>1351.875</v>
      </c>
      <c r="F1653">
        <v>83.63</v>
      </c>
      <c r="G1653">
        <v>53.74</v>
      </c>
      <c r="V1653">
        <v>0.52050473186119905</v>
      </c>
      <c r="AY1653" t="str">
        <v>23/04/2018</v>
      </c>
      <c r="AZ1653">
        <v>43.6</v>
      </c>
      <c r="BA1653">
        <v>20.8</v>
      </c>
    </row>
    <row r="1654" spans="1:53" x14ac:dyDescent="0.3">
      <c r="A1654" s="11">
        <v>43126</v>
      </c>
      <c r="B1654">
        <v>0.66149068322981397</v>
      </c>
      <c r="C1654">
        <v>2839.25</v>
      </c>
      <c r="D1654">
        <v>124.05</v>
      </c>
      <c r="E1654">
        <v>1347.5</v>
      </c>
      <c r="F1654">
        <v>83.68</v>
      </c>
      <c r="G1654">
        <v>53.23</v>
      </c>
      <c r="V1654">
        <v>0.52270327349524803</v>
      </c>
      <c r="AY1654" t="str">
        <v>20/04/2018</v>
      </c>
      <c r="AZ1654">
        <v>48</v>
      </c>
      <c r="BA1654">
        <v>19.600000000000001</v>
      </c>
    </row>
    <row r="1655" spans="1:53" x14ac:dyDescent="0.3">
      <c r="A1655" s="11">
        <v>43125</v>
      </c>
      <c r="B1655">
        <v>0.67307692307692302</v>
      </c>
      <c r="C1655">
        <v>2837.54</v>
      </c>
      <c r="D1655">
        <v>123.04</v>
      </c>
      <c r="E1655">
        <v>1358.5</v>
      </c>
      <c r="F1655">
        <v>83.7</v>
      </c>
      <c r="G1655">
        <v>53.37</v>
      </c>
      <c r="V1655">
        <v>0.52452025586353901</v>
      </c>
      <c r="AY1655" t="str">
        <v>19/04/2018</v>
      </c>
      <c r="AZ1655">
        <v>48</v>
      </c>
      <c r="BA1655">
        <v>19.600000000000001</v>
      </c>
    </row>
    <row r="1656" spans="1:53" x14ac:dyDescent="0.3">
      <c r="A1656" s="11">
        <v>43124</v>
      </c>
      <c r="B1656">
        <v>0.68456375838926198</v>
      </c>
      <c r="C1656">
        <v>2839.13</v>
      </c>
      <c r="D1656">
        <v>123.71</v>
      </c>
      <c r="E1656">
        <v>1339.8</v>
      </c>
      <c r="F1656">
        <v>83.72</v>
      </c>
      <c r="G1656">
        <v>53.19</v>
      </c>
      <c r="V1656">
        <v>0.51883745963401495</v>
      </c>
      <c r="AY1656" t="str">
        <v>18/04/2018</v>
      </c>
      <c r="AZ1656">
        <v>48</v>
      </c>
      <c r="BA1656">
        <v>19.600000000000001</v>
      </c>
    </row>
    <row r="1657" spans="1:53" x14ac:dyDescent="0.3">
      <c r="A1657" s="11">
        <v>43123</v>
      </c>
      <c r="B1657">
        <v>0.67931034482758601</v>
      </c>
      <c r="C1657">
        <v>2832.97</v>
      </c>
      <c r="D1657">
        <v>123.18</v>
      </c>
      <c r="E1657">
        <v>1334.01</v>
      </c>
      <c r="F1657">
        <v>83.67</v>
      </c>
      <c r="G1657">
        <v>52.99</v>
      </c>
      <c r="V1657">
        <v>0.50997782705099803</v>
      </c>
      <c r="AY1657" t="str">
        <v>17/04/2018</v>
      </c>
      <c r="AZ1657">
        <v>48</v>
      </c>
      <c r="BA1657">
        <v>19.600000000000001</v>
      </c>
    </row>
    <row r="1658" spans="1:53" x14ac:dyDescent="0.3">
      <c r="A1658" s="11">
        <v>43120</v>
      </c>
      <c r="B1658">
        <v>0.67808219178082196</v>
      </c>
      <c r="C1658">
        <v>2810.3</v>
      </c>
      <c r="D1658">
        <v>123.06</v>
      </c>
      <c r="E1658">
        <v>1331.6</v>
      </c>
      <c r="F1658">
        <v>83.71</v>
      </c>
      <c r="G1658">
        <v>52.71</v>
      </c>
      <c r="V1658">
        <v>0.518805309734513</v>
      </c>
      <c r="AY1658" t="str">
        <v>16/04/2018</v>
      </c>
      <c r="AZ1658">
        <v>48</v>
      </c>
      <c r="BA1658">
        <v>19.600000000000001</v>
      </c>
    </row>
    <row r="1659" spans="1:53" x14ac:dyDescent="0.3">
      <c r="A1659" s="11">
        <v>43119</v>
      </c>
      <c r="B1659">
        <v>0.66901408450704203</v>
      </c>
      <c r="C1659">
        <v>2798.03</v>
      </c>
      <c r="D1659">
        <v>123.71</v>
      </c>
      <c r="E1659">
        <v>1324.7</v>
      </c>
      <c r="F1659">
        <v>83.68</v>
      </c>
      <c r="G1659">
        <v>52.43</v>
      </c>
      <c r="V1659">
        <v>0.52455357142857095</v>
      </c>
      <c r="AY1659" t="str">
        <v>13/04/2018</v>
      </c>
      <c r="AZ1659">
        <v>43.6</v>
      </c>
      <c r="BA1659">
        <v>19.8</v>
      </c>
    </row>
    <row r="1660" spans="1:53" x14ac:dyDescent="0.3">
      <c r="A1660" s="11">
        <v>43118</v>
      </c>
      <c r="B1660">
        <v>0.68131868131868101</v>
      </c>
      <c r="C1660">
        <v>2802.56</v>
      </c>
      <c r="D1660">
        <v>124.87</v>
      </c>
      <c r="E1660">
        <v>1326.34</v>
      </c>
      <c r="F1660">
        <v>83.7</v>
      </c>
      <c r="G1660">
        <v>52.47</v>
      </c>
      <c r="V1660">
        <v>0.52429378531073401</v>
      </c>
      <c r="AY1660" t="str">
        <v>12/04/2018</v>
      </c>
      <c r="AZ1660">
        <v>43.6</v>
      </c>
      <c r="BA1660">
        <v>19.8</v>
      </c>
    </row>
    <row r="1661" spans="1:53" x14ac:dyDescent="0.3">
      <c r="A1661" s="11">
        <v>43117</v>
      </c>
      <c r="B1661">
        <v>0.68093385214007796</v>
      </c>
      <c r="C1661">
        <v>2776.42</v>
      </c>
      <c r="D1661">
        <v>125.04</v>
      </c>
      <c r="E1661">
        <v>1338.49</v>
      </c>
      <c r="F1661">
        <v>83.73</v>
      </c>
      <c r="G1661">
        <v>52.09</v>
      </c>
      <c r="V1661">
        <v>0.52193995381062397</v>
      </c>
      <c r="AY1661" t="str">
        <v>11/04/2018</v>
      </c>
      <c r="AZ1661">
        <v>43.6</v>
      </c>
      <c r="BA1661">
        <v>19.8</v>
      </c>
    </row>
    <row r="1662" spans="1:53" x14ac:dyDescent="0.3">
      <c r="A1662" s="11">
        <v>43113</v>
      </c>
      <c r="B1662">
        <v>0.66030534351144998</v>
      </c>
      <c r="C1662">
        <v>2786.24</v>
      </c>
      <c r="D1662">
        <v>124.52</v>
      </c>
      <c r="E1662">
        <v>1335.5</v>
      </c>
      <c r="F1662">
        <v>83.74</v>
      </c>
      <c r="G1662">
        <v>52.2</v>
      </c>
      <c r="V1662">
        <v>0.538031319910515</v>
      </c>
      <c r="AY1662" t="str">
        <v>10/04/2018</v>
      </c>
      <c r="AZ1662">
        <v>43.6</v>
      </c>
      <c r="BA1662">
        <v>19.8</v>
      </c>
    </row>
    <row r="1663" spans="1:53" x14ac:dyDescent="0.3">
      <c r="A1663" s="11">
        <v>43112</v>
      </c>
      <c r="B1663">
        <v>0.64615384615384597</v>
      </c>
      <c r="C1663">
        <v>2767.56</v>
      </c>
      <c r="D1663">
        <v>124.31</v>
      </c>
      <c r="E1663">
        <v>1322.42</v>
      </c>
      <c r="F1663">
        <v>83.75</v>
      </c>
      <c r="G1663">
        <v>51.73</v>
      </c>
      <c r="V1663">
        <v>0.54871220604703297</v>
      </c>
      <c r="AY1663" t="str">
        <v>09/04/2018</v>
      </c>
      <c r="AZ1663">
        <v>43.6</v>
      </c>
      <c r="BA1663">
        <v>19.8</v>
      </c>
    </row>
    <row r="1664" spans="1:53" x14ac:dyDescent="0.3">
      <c r="A1664" s="11">
        <v>43111</v>
      </c>
      <c r="B1664">
        <v>0.63565891472868197</v>
      </c>
      <c r="C1664">
        <v>2748.23</v>
      </c>
      <c r="D1664">
        <v>123.8</v>
      </c>
      <c r="E1664">
        <v>1316.86</v>
      </c>
      <c r="F1664">
        <v>83.78</v>
      </c>
      <c r="G1664">
        <v>51.42</v>
      </c>
      <c r="V1664">
        <v>0.55187637969094905</v>
      </c>
      <c r="AY1664" t="str">
        <v>06/04/2018</v>
      </c>
      <c r="AZ1664">
        <v>42.2</v>
      </c>
      <c r="BA1664">
        <v>18.600000000000001</v>
      </c>
    </row>
    <row r="1665" spans="1:53" x14ac:dyDescent="0.3">
      <c r="A1665" s="11">
        <v>43110</v>
      </c>
      <c r="B1665">
        <v>0.62109375</v>
      </c>
      <c r="C1665">
        <v>2751.29</v>
      </c>
      <c r="D1665">
        <v>123.95</v>
      </c>
      <c r="E1665">
        <v>1311.1</v>
      </c>
      <c r="F1665">
        <v>83.75</v>
      </c>
      <c r="G1665">
        <v>51.56</v>
      </c>
      <c r="V1665">
        <v>0.547320410490308</v>
      </c>
      <c r="AY1665" t="str">
        <v>05/04/2018</v>
      </c>
      <c r="AZ1665">
        <v>42.2</v>
      </c>
      <c r="BA1665">
        <v>18.600000000000001</v>
      </c>
    </row>
    <row r="1666" spans="1:53" x14ac:dyDescent="0.3">
      <c r="A1666" s="11">
        <v>43109</v>
      </c>
      <c r="B1666">
        <v>0.628571428571429</v>
      </c>
      <c r="C1666">
        <v>2747.71</v>
      </c>
      <c r="D1666">
        <v>125.63</v>
      </c>
      <c r="E1666">
        <v>1320.5</v>
      </c>
      <c r="F1666">
        <v>83.78</v>
      </c>
      <c r="G1666">
        <v>51.564999999999998</v>
      </c>
      <c r="V1666">
        <v>0.55000000000000004</v>
      </c>
      <c r="AY1666" t="str">
        <v>04/04/2018</v>
      </c>
      <c r="AZ1666">
        <v>42.2</v>
      </c>
      <c r="BA1666">
        <v>18.600000000000001</v>
      </c>
    </row>
    <row r="1667" spans="1:53" x14ac:dyDescent="0.3">
      <c r="A1667" s="11">
        <v>43106</v>
      </c>
      <c r="B1667">
        <v>0.62809917355371903</v>
      </c>
      <c r="C1667">
        <v>2743.15</v>
      </c>
      <c r="D1667">
        <v>125.71</v>
      </c>
      <c r="E1667">
        <v>1319.59</v>
      </c>
      <c r="F1667">
        <v>83.78</v>
      </c>
      <c r="G1667">
        <v>51.57</v>
      </c>
      <c r="V1667">
        <v>0.55391600454029499</v>
      </c>
      <c r="AY1667" t="str">
        <v>03/04/2018</v>
      </c>
      <c r="AZ1667">
        <v>42.2</v>
      </c>
      <c r="BA1667">
        <v>18.600000000000001</v>
      </c>
    </row>
    <row r="1668" spans="1:53" x14ac:dyDescent="0.3">
      <c r="A1668" s="11">
        <v>43105</v>
      </c>
      <c r="B1668">
        <v>0.60924369747899199</v>
      </c>
      <c r="C1668">
        <v>2723.99</v>
      </c>
      <c r="D1668">
        <v>126.07</v>
      </c>
      <c r="E1668">
        <v>1327.875</v>
      </c>
      <c r="F1668">
        <v>83.78</v>
      </c>
      <c r="G1668">
        <v>51.2</v>
      </c>
      <c r="V1668">
        <v>0.54308390022675701</v>
      </c>
      <c r="AY1668" t="str">
        <v>02/04/2018</v>
      </c>
      <c r="AZ1668">
        <v>42.2</v>
      </c>
      <c r="BA1668">
        <v>18.600000000000001</v>
      </c>
    </row>
    <row r="1669" spans="1:53" x14ac:dyDescent="0.3">
      <c r="A1669" s="11">
        <v>43104</v>
      </c>
      <c r="B1669">
        <v>0.62231759656652397</v>
      </c>
      <c r="C1669">
        <v>2713.06</v>
      </c>
      <c r="D1669">
        <v>126.09</v>
      </c>
      <c r="E1669">
        <v>1313.21</v>
      </c>
      <c r="F1669">
        <v>83.82</v>
      </c>
      <c r="G1669">
        <v>50.82</v>
      </c>
      <c r="V1669">
        <v>0.54576271186440695</v>
      </c>
      <c r="AY1669" t="str">
        <v>30/03/2018</v>
      </c>
      <c r="AZ1669">
        <v>47.6</v>
      </c>
      <c r="BA1669">
        <v>18.100000000000001</v>
      </c>
    </row>
    <row r="1670" spans="1:53" x14ac:dyDescent="0.3">
      <c r="A1670" s="11">
        <v>43103</v>
      </c>
      <c r="B1670">
        <v>0.60909090909090902</v>
      </c>
      <c r="C1670">
        <v>2695.81</v>
      </c>
      <c r="D1670">
        <v>125.49</v>
      </c>
      <c r="E1670">
        <v>1317.6</v>
      </c>
      <c r="F1670">
        <v>83.82</v>
      </c>
      <c r="G1670">
        <v>50.5</v>
      </c>
      <c r="V1670">
        <v>0.54157043879907596</v>
      </c>
      <c r="AY1670" t="str">
        <v>29/03/2018</v>
      </c>
      <c r="AZ1670">
        <v>47.6</v>
      </c>
      <c r="BA1670">
        <v>18.100000000000001</v>
      </c>
    </row>
    <row r="1671" spans="1:53" x14ac:dyDescent="0.3">
      <c r="A1671" s="11">
        <v>43099</v>
      </c>
      <c r="B1671">
        <v>0.62608695652173896</v>
      </c>
      <c r="C1671">
        <v>2673.61</v>
      </c>
      <c r="D1671">
        <v>126.86</v>
      </c>
      <c r="E1671">
        <v>1302.8</v>
      </c>
      <c r="F1671">
        <v>83.85</v>
      </c>
      <c r="G1671">
        <v>49.95</v>
      </c>
      <c r="V1671">
        <v>0.54185520361990902</v>
      </c>
      <c r="AY1671" t="str">
        <v>28/03/2018</v>
      </c>
      <c r="AZ1671">
        <v>47.6</v>
      </c>
      <c r="BA1671">
        <v>18.100000000000001</v>
      </c>
    </row>
    <row r="1672" spans="1:53" x14ac:dyDescent="0.3">
      <c r="A1672" s="11">
        <v>43098</v>
      </c>
      <c r="B1672">
        <v>0.62820512820512797</v>
      </c>
      <c r="C1672">
        <v>2687.54</v>
      </c>
      <c r="D1672">
        <v>126.66</v>
      </c>
      <c r="E1672">
        <v>1295.01</v>
      </c>
      <c r="F1672">
        <v>83.83</v>
      </c>
      <c r="G1672">
        <v>49.89</v>
      </c>
      <c r="V1672">
        <v>0.53217011995637997</v>
      </c>
      <c r="AY1672" t="str">
        <v>27/03/2018</v>
      </c>
      <c r="AZ1672">
        <v>47.6</v>
      </c>
      <c r="BA1672">
        <v>18.100000000000001</v>
      </c>
    </row>
    <row r="1673" spans="1:53" x14ac:dyDescent="0.3">
      <c r="A1673" s="11">
        <v>43097</v>
      </c>
      <c r="B1673">
        <v>0.63948497854077302</v>
      </c>
      <c r="C1673">
        <v>2682.62</v>
      </c>
      <c r="D1673">
        <v>126.77</v>
      </c>
      <c r="E1673">
        <v>1287.1600000000001</v>
      </c>
      <c r="F1673">
        <v>83.82</v>
      </c>
      <c r="G1673">
        <v>49.77</v>
      </c>
      <c r="V1673">
        <v>0.54746136865342199</v>
      </c>
      <c r="AY1673" t="str">
        <v>26/03/2018</v>
      </c>
      <c r="AZ1673">
        <v>47.6</v>
      </c>
      <c r="BA1673">
        <v>18.100000000000001</v>
      </c>
    </row>
    <row r="1674" spans="1:53" x14ac:dyDescent="0.3">
      <c r="A1674" s="11">
        <v>43096</v>
      </c>
      <c r="B1674">
        <v>0.61702127659574502</v>
      </c>
      <c r="C1674">
        <v>2680.5</v>
      </c>
      <c r="D1674">
        <v>125.14</v>
      </c>
      <c r="E1674">
        <v>1284</v>
      </c>
      <c r="F1674">
        <v>83.78</v>
      </c>
      <c r="G1674">
        <v>49.67</v>
      </c>
      <c r="V1674">
        <v>0.55926724137931005</v>
      </c>
      <c r="AY1674" t="str">
        <v>23/03/2018</v>
      </c>
      <c r="AZ1674">
        <v>49.5</v>
      </c>
      <c r="BA1674">
        <v>17.5</v>
      </c>
    </row>
    <row r="1675" spans="1:53" x14ac:dyDescent="0.3">
      <c r="A1675" s="11">
        <v>43092</v>
      </c>
      <c r="B1675">
        <v>0.63135593220339004</v>
      </c>
      <c r="C1675">
        <v>2683.34</v>
      </c>
      <c r="D1675">
        <v>124.77</v>
      </c>
      <c r="E1675">
        <v>1275.25</v>
      </c>
      <c r="F1675">
        <v>83.79</v>
      </c>
      <c r="G1675">
        <v>49.68</v>
      </c>
      <c r="V1675">
        <v>0.57357679914070903</v>
      </c>
      <c r="AY1675" t="str">
        <v>22/03/2018</v>
      </c>
      <c r="AZ1675">
        <v>49.5</v>
      </c>
      <c r="BA1675">
        <v>17.5</v>
      </c>
    </row>
    <row r="1676" spans="1:53" x14ac:dyDescent="0.3">
      <c r="A1676" s="11">
        <v>43091</v>
      </c>
      <c r="B1676">
        <v>0.63598326359832602</v>
      </c>
      <c r="C1676">
        <v>2684.57</v>
      </c>
      <c r="D1676">
        <v>124.6</v>
      </c>
      <c r="E1676">
        <v>1266.68</v>
      </c>
      <c r="F1676">
        <v>83.82</v>
      </c>
      <c r="G1676">
        <v>49.52</v>
      </c>
      <c r="V1676">
        <v>0.55873015873015897</v>
      </c>
      <c r="AY1676" t="str">
        <v>21/03/2018</v>
      </c>
      <c r="AZ1676">
        <v>49.5</v>
      </c>
      <c r="BA1676">
        <v>17.5</v>
      </c>
    </row>
    <row r="1677" spans="1:53" x14ac:dyDescent="0.3">
      <c r="A1677" s="11">
        <v>43090</v>
      </c>
      <c r="B1677">
        <v>0.62139917695473201</v>
      </c>
      <c r="C1677">
        <v>2679.25</v>
      </c>
      <c r="D1677">
        <v>124.14</v>
      </c>
      <c r="E1677">
        <v>1265.45</v>
      </c>
      <c r="F1677">
        <v>83.92</v>
      </c>
      <c r="G1677">
        <v>49.29</v>
      </c>
      <c r="V1677">
        <v>0.548286604361371</v>
      </c>
      <c r="AY1677" t="str">
        <v>20/03/2018</v>
      </c>
      <c r="AZ1677">
        <v>49.5</v>
      </c>
      <c r="BA1677">
        <v>17.5</v>
      </c>
    </row>
    <row r="1678" spans="1:53" x14ac:dyDescent="0.3">
      <c r="A1678" s="11">
        <v>43089</v>
      </c>
      <c r="B1678">
        <v>0.628571428571429</v>
      </c>
      <c r="C1678">
        <v>2681.47</v>
      </c>
      <c r="D1678">
        <v>125.53</v>
      </c>
      <c r="E1678">
        <v>1261.7</v>
      </c>
      <c r="F1678">
        <v>83.91</v>
      </c>
      <c r="G1678">
        <v>49.31</v>
      </c>
      <c r="V1678">
        <v>0.54312114989733096</v>
      </c>
      <c r="AY1678" t="str">
        <v>19/03/2018</v>
      </c>
      <c r="AZ1678">
        <v>49.5</v>
      </c>
      <c r="BA1678">
        <v>17.5</v>
      </c>
    </row>
    <row r="1679" spans="1:53" x14ac:dyDescent="0.3">
      <c r="A1679" s="11">
        <v>43088</v>
      </c>
      <c r="B1679">
        <v>0.61924686192468603</v>
      </c>
      <c r="C1679">
        <v>2690.16</v>
      </c>
      <c r="D1679">
        <v>127.18</v>
      </c>
      <c r="E1679">
        <v>1261.73</v>
      </c>
      <c r="F1679">
        <v>83.95</v>
      </c>
      <c r="G1679">
        <v>50.01</v>
      </c>
      <c r="V1679">
        <v>0.54517453798768001</v>
      </c>
      <c r="AY1679" t="str">
        <v>16/03/2018</v>
      </c>
      <c r="AZ1679">
        <v>55.5</v>
      </c>
      <c r="BA1679">
        <v>16.8</v>
      </c>
    </row>
    <row r="1680" spans="1:53" x14ac:dyDescent="0.3">
      <c r="A1680" s="11">
        <v>43085</v>
      </c>
      <c r="B1680">
        <v>0.61904761904761896</v>
      </c>
      <c r="C1680">
        <v>2675.81</v>
      </c>
      <c r="D1680">
        <v>128.35</v>
      </c>
      <c r="E1680">
        <v>1254.3</v>
      </c>
      <c r="F1680">
        <v>83.95</v>
      </c>
      <c r="G1680">
        <v>49.45</v>
      </c>
      <c r="V1680">
        <v>0.54878048780487798</v>
      </c>
      <c r="AY1680" t="str">
        <v>15/03/2018</v>
      </c>
      <c r="AZ1680">
        <v>55.5</v>
      </c>
      <c r="BA1680">
        <v>16.8</v>
      </c>
    </row>
    <row r="1681" spans="1:53" x14ac:dyDescent="0.3">
      <c r="A1681" s="11">
        <v>43084</v>
      </c>
      <c r="B1681">
        <v>0.63967611336032404</v>
      </c>
      <c r="C1681">
        <v>2652.01</v>
      </c>
      <c r="D1681">
        <v>127.87</v>
      </c>
      <c r="E1681">
        <v>1253</v>
      </c>
      <c r="F1681">
        <v>83.99</v>
      </c>
      <c r="G1681">
        <v>49.47</v>
      </c>
      <c r="V1681">
        <v>0.55849440488301105</v>
      </c>
      <c r="AY1681" t="str">
        <v>14/03/2018</v>
      </c>
      <c r="AZ1681">
        <v>55.5</v>
      </c>
      <c r="BA1681">
        <v>16.8</v>
      </c>
    </row>
    <row r="1682" spans="1:53" x14ac:dyDescent="0.3">
      <c r="A1682" s="11">
        <v>43083</v>
      </c>
      <c r="B1682">
        <v>0.63374485596707797</v>
      </c>
      <c r="C1682">
        <v>2662.85</v>
      </c>
      <c r="D1682">
        <v>127.33</v>
      </c>
      <c r="E1682">
        <v>1255.72</v>
      </c>
      <c r="F1682">
        <v>84.02</v>
      </c>
      <c r="G1682">
        <v>49.7</v>
      </c>
      <c r="V1682">
        <v>0.55747711088504603</v>
      </c>
      <c r="AY1682" t="str">
        <v>13/03/2018</v>
      </c>
      <c r="AZ1682">
        <v>55.5</v>
      </c>
      <c r="BA1682">
        <v>16.8</v>
      </c>
    </row>
    <row r="1683" spans="1:53" x14ac:dyDescent="0.3">
      <c r="A1683" s="11">
        <v>43082</v>
      </c>
      <c r="B1683">
        <v>0.64166666666666705</v>
      </c>
      <c r="C1683">
        <v>2664.11</v>
      </c>
      <c r="D1683">
        <v>126.38</v>
      </c>
      <c r="E1683">
        <v>1244.4000000000001</v>
      </c>
      <c r="F1683">
        <v>83.93</v>
      </c>
      <c r="G1683">
        <v>49.46</v>
      </c>
      <c r="V1683">
        <v>0.55141129032258096</v>
      </c>
      <c r="AY1683" t="str">
        <v>12/03/2018</v>
      </c>
      <c r="AZ1683">
        <v>55.5</v>
      </c>
      <c r="BA1683">
        <v>16.8</v>
      </c>
    </row>
    <row r="1684" spans="1:53" x14ac:dyDescent="0.3">
      <c r="A1684" s="11">
        <v>43081</v>
      </c>
      <c r="B1684">
        <v>0.65665236051502096</v>
      </c>
      <c r="C1684">
        <v>2659.99</v>
      </c>
      <c r="D1684">
        <v>126.43</v>
      </c>
      <c r="E1684">
        <v>1242.18</v>
      </c>
      <c r="F1684">
        <v>83.93</v>
      </c>
      <c r="G1684">
        <v>49.48</v>
      </c>
      <c r="V1684">
        <v>0.54848484848484802</v>
      </c>
      <c r="AY1684" t="str">
        <v>09/03/2018</v>
      </c>
      <c r="AZ1684">
        <v>54.9</v>
      </c>
      <c r="BA1684">
        <v>15.7</v>
      </c>
    </row>
    <row r="1685" spans="1:53" x14ac:dyDescent="0.3">
      <c r="A1685" s="11">
        <v>43078</v>
      </c>
      <c r="B1685">
        <v>0.65983606557377095</v>
      </c>
      <c r="C1685">
        <v>2651.5</v>
      </c>
      <c r="D1685">
        <v>126.69</v>
      </c>
      <c r="E1685">
        <v>1248.3499999999999</v>
      </c>
      <c r="F1685">
        <v>83.97</v>
      </c>
      <c r="G1685">
        <v>49.32</v>
      </c>
      <c r="V1685">
        <v>0.55489021956087803</v>
      </c>
      <c r="AY1685" t="str">
        <v>08/03/2018</v>
      </c>
      <c r="AZ1685">
        <v>54.9</v>
      </c>
      <c r="BA1685">
        <v>15.7</v>
      </c>
    </row>
    <row r="1686" spans="1:53" x14ac:dyDescent="0.3">
      <c r="A1686" s="11">
        <v>43077</v>
      </c>
      <c r="B1686">
        <v>0.67226890756302504</v>
      </c>
      <c r="C1686">
        <v>2636.98</v>
      </c>
      <c r="D1686">
        <v>126.68</v>
      </c>
      <c r="E1686">
        <v>1246.75</v>
      </c>
      <c r="F1686">
        <v>83.97</v>
      </c>
      <c r="G1686">
        <v>49.05</v>
      </c>
      <c r="V1686">
        <v>0.55643564356435604</v>
      </c>
      <c r="AY1686" t="str">
        <v>07/03/2018</v>
      </c>
      <c r="AZ1686">
        <v>54.9</v>
      </c>
      <c r="BA1686">
        <v>15.7</v>
      </c>
    </row>
    <row r="1687" spans="1:53" x14ac:dyDescent="0.3">
      <c r="A1687" s="11">
        <v>43076</v>
      </c>
      <c r="B1687">
        <v>0.67206477732793501</v>
      </c>
      <c r="C1687">
        <v>2629.27</v>
      </c>
      <c r="D1687">
        <v>127.68</v>
      </c>
      <c r="E1687">
        <v>1264.5</v>
      </c>
      <c r="F1687">
        <v>83.96</v>
      </c>
      <c r="G1687">
        <v>48.914999999999999</v>
      </c>
      <c r="V1687">
        <v>0.55632411067193699</v>
      </c>
      <c r="AY1687" t="str">
        <v>06/03/2018</v>
      </c>
      <c r="AZ1687">
        <v>54.9</v>
      </c>
      <c r="BA1687">
        <v>15.7</v>
      </c>
    </row>
    <row r="1688" spans="1:53" x14ac:dyDescent="0.3">
      <c r="A1688" s="11">
        <v>43075</v>
      </c>
      <c r="B1688">
        <v>0.64367816091954</v>
      </c>
      <c r="C1688">
        <v>2629.57</v>
      </c>
      <c r="D1688">
        <v>127.24</v>
      </c>
      <c r="E1688">
        <v>1265.97</v>
      </c>
      <c r="F1688">
        <v>83.92</v>
      </c>
      <c r="G1688">
        <v>49.16</v>
      </c>
      <c r="V1688">
        <v>0.55795677799607102</v>
      </c>
      <c r="AY1688" t="str">
        <v>05/03/2018</v>
      </c>
      <c r="AZ1688">
        <v>54.9</v>
      </c>
      <c r="BA1688">
        <v>15.7</v>
      </c>
    </row>
    <row r="1689" spans="1:53" x14ac:dyDescent="0.3">
      <c r="A1689" s="11">
        <v>43074</v>
      </c>
      <c r="B1689">
        <v>0.65116279069767402</v>
      </c>
      <c r="C1689">
        <v>2639.44</v>
      </c>
      <c r="D1689">
        <v>126.61</v>
      </c>
      <c r="E1689">
        <v>1276.18</v>
      </c>
      <c r="F1689">
        <v>83.93</v>
      </c>
      <c r="G1689">
        <v>49.21</v>
      </c>
      <c r="V1689">
        <v>0.56035328753680103</v>
      </c>
      <c r="AY1689" t="str">
        <v>02/03/2018</v>
      </c>
      <c r="AZ1689">
        <v>48.6</v>
      </c>
      <c r="BA1689">
        <v>15.5</v>
      </c>
    </row>
    <row r="1690" spans="1:53" x14ac:dyDescent="0.3">
      <c r="A1690" s="11">
        <v>43071</v>
      </c>
      <c r="B1690">
        <v>0.66202090592334495</v>
      </c>
      <c r="C1690">
        <v>2642.22</v>
      </c>
      <c r="D1690">
        <v>126.55</v>
      </c>
      <c r="E1690">
        <v>1280.5050000000001</v>
      </c>
      <c r="F1690">
        <v>83.98</v>
      </c>
      <c r="G1690">
        <v>49.39</v>
      </c>
      <c r="V1690">
        <v>0.57003891050583699</v>
      </c>
      <c r="AY1690" t="str">
        <v>01/03/2018</v>
      </c>
      <c r="AZ1690">
        <v>48.6</v>
      </c>
      <c r="BA1690">
        <v>15.5</v>
      </c>
    </row>
    <row r="1691" spans="1:53" x14ac:dyDescent="0.3">
      <c r="A1691" s="11">
        <v>43069</v>
      </c>
      <c r="B1691">
        <v>0.65986394557823103</v>
      </c>
      <c r="C1691">
        <v>2647.58</v>
      </c>
      <c r="D1691">
        <v>125.12</v>
      </c>
      <c r="E1691">
        <v>1274.83</v>
      </c>
      <c r="F1691">
        <v>84.04</v>
      </c>
      <c r="G1691">
        <v>49.49</v>
      </c>
      <c r="V1691">
        <v>0.56748768472906397</v>
      </c>
      <c r="AY1691" t="str">
        <v>28/02/2018</v>
      </c>
      <c r="AZ1691">
        <v>48.6</v>
      </c>
      <c r="BA1691">
        <v>15.5</v>
      </c>
    </row>
    <row r="1692" spans="1:53" x14ac:dyDescent="0.3">
      <c r="A1692" s="11">
        <v>43069</v>
      </c>
      <c r="B1692">
        <v>0.67084639498432597</v>
      </c>
      <c r="C1692">
        <v>2626.07</v>
      </c>
      <c r="D1692">
        <v>125.54</v>
      </c>
      <c r="E1692">
        <v>1278.93</v>
      </c>
      <c r="F1692">
        <v>84.084999999999994</v>
      </c>
      <c r="G1692">
        <v>49.58</v>
      </c>
      <c r="V1692">
        <v>0.56921587608906099</v>
      </c>
      <c r="AY1692" t="str">
        <v>27/02/2018</v>
      </c>
      <c r="AZ1692">
        <v>48.6</v>
      </c>
      <c r="BA1692">
        <v>15.5</v>
      </c>
    </row>
    <row r="1693" spans="1:53" x14ac:dyDescent="0.3">
      <c r="A1693" s="11">
        <v>43068</v>
      </c>
      <c r="B1693">
        <v>0.674050632911392</v>
      </c>
      <c r="C1693">
        <v>2627.04</v>
      </c>
      <c r="D1693">
        <v>126.79</v>
      </c>
      <c r="E1693">
        <v>1294.07</v>
      </c>
      <c r="F1693">
        <v>84.11</v>
      </c>
      <c r="G1693">
        <v>49.94</v>
      </c>
      <c r="V1693">
        <v>0.56847290640394099</v>
      </c>
      <c r="AY1693" t="str">
        <v>26/02/2018</v>
      </c>
      <c r="AZ1693">
        <v>48.6</v>
      </c>
      <c r="BA1693">
        <v>15.5</v>
      </c>
    </row>
    <row r="1694" spans="1:53" x14ac:dyDescent="0.3">
      <c r="A1694" s="11">
        <v>43067</v>
      </c>
      <c r="B1694">
        <v>0.674050632911392</v>
      </c>
      <c r="C1694">
        <v>2601.42</v>
      </c>
      <c r="D1694">
        <v>126.62</v>
      </c>
      <c r="E1694">
        <v>1294.3599999999999</v>
      </c>
      <c r="F1694">
        <v>84.1</v>
      </c>
      <c r="G1694">
        <v>49.68</v>
      </c>
      <c r="V1694">
        <v>0.565217391304348</v>
      </c>
      <c r="AY1694" t="str">
        <v>23/02/2018</v>
      </c>
      <c r="AZ1694">
        <v>48.1</v>
      </c>
      <c r="BA1694">
        <v>14.4</v>
      </c>
    </row>
    <row r="1695" spans="1:53" x14ac:dyDescent="0.3">
      <c r="A1695" s="11">
        <v>43064</v>
      </c>
      <c r="B1695">
        <v>0.68974358974358996</v>
      </c>
      <c r="C1695">
        <v>2602.42</v>
      </c>
      <c r="D1695">
        <v>126.8</v>
      </c>
      <c r="E1695">
        <v>1288.23</v>
      </c>
      <c r="F1695">
        <v>84.1</v>
      </c>
      <c r="G1695">
        <v>50.09</v>
      </c>
      <c r="V1695">
        <v>0.56618357487922699</v>
      </c>
      <c r="AY1695" t="str">
        <v>22/02/2018</v>
      </c>
      <c r="AZ1695">
        <v>48.1</v>
      </c>
      <c r="BA1695">
        <v>14.4</v>
      </c>
    </row>
    <row r="1696" spans="1:53" x14ac:dyDescent="0.3">
      <c r="A1696" s="11">
        <v>43062</v>
      </c>
      <c r="B1696">
        <v>0.68704156479217604</v>
      </c>
      <c r="C1696">
        <v>2597.08</v>
      </c>
      <c r="D1696">
        <v>127.15</v>
      </c>
      <c r="E1696">
        <v>1292.17</v>
      </c>
      <c r="F1696">
        <v>84.1</v>
      </c>
      <c r="G1696">
        <v>49.87</v>
      </c>
      <c r="V1696">
        <v>0.55608820709491802</v>
      </c>
      <c r="AY1696" t="str">
        <v>21/02/2018</v>
      </c>
      <c r="AZ1696">
        <v>48.1</v>
      </c>
      <c r="BA1696">
        <v>14.4</v>
      </c>
    </row>
    <row r="1697" spans="1:53" x14ac:dyDescent="0.3">
      <c r="A1697" s="11">
        <v>43061</v>
      </c>
      <c r="B1697">
        <v>0.68382352941176505</v>
      </c>
      <c r="C1697">
        <v>2599.0300000000002</v>
      </c>
      <c r="D1697">
        <v>126.74</v>
      </c>
      <c r="E1697">
        <v>1280.53</v>
      </c>
      <c r="F1697">
        <v>84.03</v>
      </c>
      <c r="G1697">
        <v>49.7</v>
      </c>
      <c r="V1697">
        <v>0.55202312138728304</v>
      </c>
      <c r="AY1697" t="str">
        <v>20/02/2018</v>
      </c>
      <c r="AZ1697">
        <v>48.1</v>
      </c>
      <c r="BA1697">
        <v>14.4</v>
      </c>
    </row>
    <row r="1698" spans="1:53" x14ac:dyDescent="0.3">
      <c r="A1698" s="11">
        <v>43060</v>
      </c>
      <c r="B1698">
        <v>0.67910447761194004</v>
      </c>
      <c r="C1698">
        <v>2582.14</v>
      </c>
      <c r="D1698">
        <v>126.34</v>
      </c>
      <c r="E1698">
        <v>1276.95</v>
      </c>
      <c r="F1698">
        <v>84.05</v>
      </c>
      <c r="G1698">
        <v>49.27</v>
      </c>
      <c r="V1698">
        <v>0.55652173913043501</v>
      </c>
      <c r="AY1698" t="str">
        <v>19/02/2018</v>
      </c>
      <c r="AZ1698">
        <v>48.1</v>
      </c>
      <c r="BA1698">
        <v>14.4</v>
      </c>
    </row>
    <row r="1699" spans="1:53" x14ac:dyDescent="0.3">
      <c r="A1699" s="11">
        <v>43057</v>
      </c>
      <c r="B1699">
        <v>0.66507177033492804</v>
      </c>
      <c r="C1699">
        <v>2578.85</v>
      </c>
      <c r="D1699">
        <v>126.39</v>
      </c>
      <c r="E1699">
        <v>1294.3699999999999</v>
      </c>
      <c r="F1699">
        <v>84.08</v>
      </c>
      <c r="G1699">
        <v>49.18</v>
      </c>
      <c r="V1699">
        <v>0.55555555555555602</v>
      </c>
      <c r="AY1699" t="str">
        <v>16/02/2018</v>
      </c>
      <c r="AZ1699">
        <v>48.5</v>
      </c>
      <c r="BA1699">
        <v>14.6</v>
      </c>
    </row>
    <row r="1700" spans="1:53" x14ac:dyDescent="0.3">
      <c r="A1700" s="11">
        <v>43056</v>
      </c>
      <c r="B1700">
        <v>0.66744730679156905</v>
      </c>
      <c r="C1700">
        <v>2585.64</v>
      </c>
      <c r="D1700">
        <v>125.46</v>
      </c>
      <c r="E1700">
        <v>1278.55</v>
      </c>
      <c r="F1700">
        <v>84.13</v>
      </c>
      <c r="G1700">
        <v>49.22</v>
      </c>
      <c r="V1700">
        <v>0.55888030888030904</v>
      </c>
      <c r="AY1700" t="str">
        <v>15/02/2018</v>
      </c>
      <c r="AZ1700">
        <v>48.5</v>
      </c>
      <c r="BA1700">
        <v>14.6</v>
      </c>
    </row>
    <row r="1701" spans="1:53" x14ac:dyDescent="0.3">
      <c r="A1701" s="11">
        <v>43055</v>
      </c>
      <c r="B1701">
        <v>0.66666666666666696</v>
      </c>
      <c r="C1701">
        <v>2564.62</v>
      </c>
      <c r="D1701">
        <v>126.56</v>
      </c>
      <c r="E1701">
        <v>1278.4000000000001</v>
      </c>
      <c r="F1701">
        <v>84.12</v>
      </c>
      <c r="G1701">
        <v>48.685000000000002</v>
      </c>
      <c r="V1701">
        <v>0.55275895450145196</v>
      </c>
      <c r="AY1701" t="str">
        <v>14/02/2018</v>
      </c>
      <c r="AZ1701">
        <v>48.5</v>
      </c>
      <c r="BA1701">
        <v>14.6</v>
      </c>
    </row>
    <row r="1702" spans="1:53" x14ac:dyDescent="0.3">
      <c r="A1702" s="11">
        <v>43054</v>
      </c>
      <c r="B1702">
        <v>0.66823529411764704</v>
      </c>
      <c r="C1702">
        <v>2578.87</v>
      </c>
      <c r="D1702">
        <v>125.2</v>
      </c>
      <c r="E1702">
        <v>1280.0999999999999</v>
      </c>
      <c r="F1702">
        <v>84.15</v>
      </c>
      <c r="G1702">
        <v>48.94</v>
      </c>
      <c r="V1702">
        <v>0.54634146341463397</v>
      </c>
      <c r="AY1702" t="str">
        <v>13/02/2018</v>
      </c>
      <c r="AZ1702">
        <v>48.5</v>
      </c>
      <c r="BA1702">
        <v>14.6</v>
      </c>
    </row>
    <row r="1703" spans="1:53" x14ac:dyDescent="0.3">
      <c r="A1703" s="11">
        <v>43053</v>
      </c>
      <c r="B1703">
        <v>0.66981132075471705</v>
      </c>
      <c r="C1703">
        <v>2584.84</v>
      </c>
      <c r="D1703">
        <v>124.36</v>
      </c>
      <c r="E1703">
        <v>1278.3499999999999</v>
      </c>
      <c r="F1703">
        <v>84.13</v>
      </c>
      <c r="G1703">
        <v>49.04</v>
      </c>
      <c r="V1703">
        <v>0.54715127701375199</v>
      </c>
      <c r="AY1703" t="str">
        <v>12/02/2018</v>
      </c>
      <c r="AZ1703">
        <v>48.5</v>
      </c>
      <c r="BA1703">
        <v>14.6</v>
      </c>
    </row>
    <row r="1704" spans="1:53" x14ac:dyDescent="0.3">
      <c r="A1704" s="11">
        <v>43050</v>
      </c>
      <c r="B1704">
        <v>0.653669724770642</v>
      </c>
      <c r="C1704">
        <v>2582.3000000000002</v>
      </c>
      <c r="D1704">
        <v>124.1</v>
      </c>
      <c r="E1704">
        <v>1276.1400000000001</v>
      </c>
      <c r="F1704">
        <v>84.14</v>
      </c>
      <c r="G1704">
        <v>49.18</v>
      </c>
      <c r="V1704">
        <v>0.54302670623145399</v>
      </c>
      <c r="AY1704" t="str">
        <v>09/02/2018</v>
      </c>
      <c r="AZ1704">
        <v>51.9</v>
      </c>
      <c r="BA1704">
        <v>14.4</v>
      </c>
    </row>
    <row r="1705" spans="1:53" x14ac:dyDescent="0.3">
      <c r="A1705" s="11">
        <v>43049</v>
      </c>
      <c r="B1705">
        <v>0.64597701149425302</v>
      </c>
      <c r="C1705">
        <v>2584.62</v>
      </c>
      <c r="D1705">
        <v>126</v>
      </c>
      <c r="E1705">
        <v>1285</v>
      </c>
      <c r="F1705">
        <v>84.17</v>
      </c>
      <c r="G1705">
        <v>49.33</v>
      </c>
      <c r="V1705">
        <v>0.53968253968253999</v>
      </c>
      <c r="AY1705" t="str">
        <v>08/02/2018</v>
      </c>
      <c r="AZ1705">
        <v>51.9</v>
      </c>
      <c r="BA1705">
        <v>14.4</v>
      </c>
    </row>
    <row r="1706" spans="1:53" x14ac:dyDescent="0.3">
      <c r="A1706" s="11">
        <v>43048</v>
      </c>
      <c r="B1706">
        <v>0.64516129032258096</v>
      </c>
      <c r="C1706">
        <v>2594.38</v>
      </c>
      <c r="D1706">
        <v>126.36</v>
      </c>
      <c r="E1706">
        <v>1281.46</v>
      </c>
      <c r="F1706">
        <v>84.18</v>
      </c>
      <c r="G1706">
        <v>49.61</v>
      </c>
      <c r="V1706">
        <v>0.53100000000000003</v>
      </c>
      <c r="AY1706" t="str">
        <v>07/02/2018</v>
      </c>
      <c r="AZ1706">
        <v>51.9</v>
      </c>
      <c r="BA1706">
        <v>14.4</v>
      </c>
    </row>
    <row r="1707" spans="1:53" x14ac:dyDescent="0.3">
      <c r="A1707" s="11">
        <v>43047</v>
      </c>
      <c r="B1707">
        <v>0.640661938534279</v>
      </c>
      <c r="C1707">
        <v>2590.64</v>
      </c>
      <c r="D1707">
        <v>126.64</v>
      </c>
      <c r="E1707">
        <v>1275.32</v>
      </c>
      <c r="F1707">
        <v>84.19</v>
      </c>
      <c r="G1707">
        <v>49.44</v>
      </c>
      <c r="V1707">
        <v>0.53090172239108402</v>
      </c>
      <c r="AY1707" t="str">
        <v>06/02/2018</v>
      </c>
      <c r="AZ1707">
        <v>51.9</v>
      </c>
      <c r="BA1707">
        <v>14.4</v>
      </c>
    </row>
    <row r="1708" spans="1:53" x14ac:dyDescent="0.3">
      <c r="A1708" s="11">
        <v>43046</v>
      </c>
      <c r="B1708">
        <v>0.63069544364508401</v>
      </c>
      <c r="C1708">
        <v>2591.13</v>
      </c>
      <c r="D1708">
        <v>126.11</v>
      </c>
      <c r="E1708">
        <v>1282.05</v>
      </c>
      <c r="F1708">
        <v>84.23</v>
      </c>
      <c r="G1708">
        <v>49.64</v>
      </c>
      <c r="V1708">
        <v>0.52566735112936303</v>
      </c>
      <c r="AY1708" t="str">
        <v>05/02/2018</v>
      </c>
      <c r="AZ1708">
        <v>51.9</v>
      </c>
      <c r="BA1708">
        <v>14.4</v>
      </c>
    </row>
    <row r="1709" spans="1:53" x14ac:dyDescent="0.3">
      <c r="A1709" s="11">
        <v>43043</v>
      </c>
      <c r="B1709">
        <v>0.62768496420047704</v>
      </c>
      <c r="C1709">
        <v>2587.84</v>
      </c>
      <c r="D1709">
        <v>125.64</v>
      </c>
      <c r="E1709">
        <v>1269.8499999999999</v>
      </c>
      <c r="F1709">
        <v>84.18</v>
      </c>
      <c r="G1709">
        <v>49.45</v>
      </c>
      <c r="V1709">
        <v>0.51930894308943099</v>
      </c>
      <c r="AY1709" t="str">
        <v>02/02/2018</v>
      </c>
      <c r="AZ1709">
        <v>54.4</v>
      </c>
      <c r="BA1709">
        <v>15.5</v>
      </c>
    </row>
    <row r="1710" spans="1:53" x14ac:dyDescent="0.3">
      <c r="A1710" s="11">
        <v>43042</v>
      </c>
      <c r="B1710">
        <v>0.63658536585365899</v>
      </c>
      <c r="C1710">
        <v>2579.85</v>
      </c>
      <c r="D1710">
        <v>125.3</v>
      </c>
      <c r="E1710">
        <v>1276</v>
      </c>
      <c r="F1710">
        <v>84.23</v>
      </c>
      <c r="G1710">
        <v>49.54</v>
      </c>
      <c r="V1710">
        <v>0.51266464032421499</v>
      </c>
      <c r="AY1710" t="str">
        <v>01/02/2018</v>
      </c>
      <c r="AZ1710">
        <v>54.4</v>
      </c>
      <c r="BA1710">
        <v>15.5</v>
      </c>
    </row>
    <row r="1711" spans="1:53" x14ac:dyDescent="0.3">
      <c r="A1711" s="11">
        <v>43041</v>
      </c>
      <c r="B1711">
        <v>0.62878787878787901</v>
      </c>
      <c r="C1711">
        <v>2579.36</v>
      </c>
      <c r="D1711">
        <v>124.75</v>
      </c>
      <c r="E1711">
        <v>1274.4000000000001</v>
      </c>
      <c r="F1711">
        <v>84.21</v>
      </c>
      <c r="G1711">
        <v>49.42</v>
      </c>
      <c r="V1711">
        <v>0.50102249488752604</v>
      </c>
      <c r="AY1711" t="str">
        <v>31/01/2018</v>
      </c>
      <c r="AZ1711">
        <v>54.4</v>
      </c>
      <c r="BA1711">
        <v>15.5</v>
      </c>
    </row>
    <row r="1712" spans="1:53" x14ac:dyDescent="0.3">
      <c r="A1712" s="11">
        <v>43039</v>
      </c>
      <c r="B1712">
        <v>0.62886597938144295</v>
      </c>
      <c r="C1712">
        <v>2575.2600000000002</v>
      </c>
      <c r="D1712">
        <v>124.46</v>
      </c>
      <c r="E1712">
        <v>1271.58</v>
      </c>
      <c r="F1712">
        <v>84.3</v>
      </c>
      <c r="G1712">
        <v>49.28</v>
      </c>
      <c r="V1712">
        <v>0.50156087408949002</v>
      </c>
      <c r="AY1712" t="str">
        <v>30/01/2018</v>
      </c>
      <c r="AZ1712">
        <v>54.4</v>
      </c>
      <c r="BA1712">
        <v>15.5</v>
      </c>
    </row>
    <row r="1713" spans="1:53" x14ac:dyDescent="0.3">
      <c r="A1713" s="11">
        <v>43039</v>
      </c>
      <c r="B1713">
        <v>0.62467191601049898</v>
      </c>
      <c r="C1713">
        <v>2572.83</v>
      </c>
      <c r="D1713">
        <v>124.42</v>
      </c>
      <c r="E1713">
        <v>1276.25</v>
      </c>
      <c r="F1713">
        <v>84.35</v>
      </c>
      <c r="G1713">
        <v>49.08</v>
      </c>
      <c r="V1713">
        <v>0.49628055260361298</v>
      </c>
      <c r="AY1713" t="str">
        <v>29/01/2018</v>
      </c>
      <c r="AZ1713">
        <v>54.4</v>
      </c>
      <c r="BA1713">
        <v>15.5</v>
      </c>
    </row>
    <row r="1714" spans="1:53" x14ac:dyDescent="0.3">
      <c r="A1714" s="11">
        <v>43036</v>
      </c>
      <c r="B1714">
        <v>0.61780104712041894</v>
      </c>
      <c r="C1714">
        <v>2581.0700000000002</v>
      </c>
      <c r="D1714">
        <v>123.24</v>
      </c>
      <c r="E1714">
        <v>1273.3499999999999</v>
      </c>
      <c r="F1714">
        <v>84.31</v>
      </c>
      <c r="G1714">
        <v>49.04</v>
      </c>
      <c r="V1714">
        <v>0.50211416490486305</v>
      </c>
      <c r="AY1714" t="str">
        <v>26/01/2018</v>
      </c>
      <c r="AZ1714">
        <v>66</v>
      </c>
      <c r="BA1714">
        <v>12.6</v>
      </c>
    </row>
    <row r="1715" spans="1:53" x14ac:dyDescent="0.3">
      <c r="A1715" s="11">
        <v>43035</v>
      </c>
      <c r="B1715">
        <v>0.60975609756097604</v>
      </c>
      <c r="C1715">
        <v>2560.4</v>
      </c>
      <c r="D1715">
        <v>122.43</v>
      </c>
      <c r="E1715">
        <v>1267.1099999999999</v>
      </c>
      <c r="F1715">
        <v>84.25</v>
      </c>
      <c r="G1715">
        <v>48.81</v>
      </c>
      <c r="V1715">
        <v>0.49316508937960002</v>
      </c>
      <c r="AY1715" t="str">
        <v>25/01/2018</v>
      </c>
      <c r="AZ1715">
        <v>66</v>
      </c>
      <c r="BA1715">
        <v>12.6</v>
      </c>
    </row>
    <row r="1716" spans="1:53" x14ac:dyDescent="0.3">
      <c r="A1716" s="11">
        <v>43034</v>
      </c>
      <c r="B1716">
        <v>0.57336956521739102</v>
      </c>
      <c r="C1716">
        <v>2557.15</v>
      </c>
      <c r="D1716">
        <v>122.84</v>
      </c>
      <c r="E1716">
        <v>1277.4100000000001</v>
      </c>
      <c r="F1716">
        <v>84.25</v>
      </c>
      <c r="G1716">
        <v>48.9</v>
      </c>
      <c r="V1716">
        <v>0.49420442571127499</v>
      </c>
      <c r="AY1716" t="str">
        <v>24/01/2018</v>
      </c>
      <c r="AZ1716">
        <v>66</v>
      </c>
      <c r="BA1716">
        <v>12.6</v>
      </c>
    </row>
    <row r="1717" spans="1:53" x14ac:dyDescent="0.3">
      <c r="A1717" s="11">
        <v>43033</v>
      </c>
      <c r="B1717">
        <v>0.55769230769230804</v>
      </c>
      <c r="C1717">
        <v>2569.13</v>
      </c>
      <c r="D1717">
        <v>123.43</v>
      </c>
      <c r="E1717">
        <v>1276.73</v>
      </c>
      <c r="F1717">
        <v>84.27</v>
      </c>
      <c r="G1717">
        <v>49.05</v>
      </c>
      <c r="V1717">
        <v>0.49840933191940601</v>
      </c>
      <c r="AY1717" t="str">
        <v>23/01/2018</v>
      </c>
      <c r="AZ1717">
        <v>66</v>
      </c>
      <c r="BA1717">
        <v>12.6</v>
      </c>
    </row>
    <row r="1718" spans="1:53" x14ac:dyDescent="0.3">
      <c r="A1718" s="11">
        <v>43032</v>
      </c>
      <c r="B1718">
        <v>0.55027932960893899</v>
      </c>
      <c r="C1718">
        <v>2564.98</v>
      </c>
      <c r="D1718">
        <v>124.2</v>
      </c>
      <c r="E1718">
        <v>1282.07</v>
      </c>
      <c r="F1718">
        <v>84.29</v>
      </c>
      <c r="G1718">
        <v>48.97</v>
      </c>
      <c r="V1718">
        <v>0.51185344827586199</v>
      </c>
      <c r="AY1718" t="str">
        <v>22/01/2018</v>
      </c>
      <c r="AZ1718">
        <v>66</v>
      </c>
      <c r="BA1718">
        <v>12.6</v>
      </c>
    </row>
    <row r="1719" spans="1:53" x14ac:dyDescent="0.3">
      <c r="A1719" s="11">
        <v>43029</v>
      </c>
      <c r="B1719">
        <v>0.539106145251397</v>
      </c>
      <c r="C1719">
        <v>2575.21</v>
      </c>
      <c r="D1719">
        <v>123.98</v>
      </c>
      <c r="E1719">
        <v>1280.73</v>
      </c>
      <c r="F1719">
        <v>84.29</v>
      </c>
      <c r="G1719">
        <v>49.13</v>
      </c>
      <c r="V1719">
        <v>0.51531151003167897</v>
      </c>
      <c r="AY1719" t="str">
        <v>19/01/2018</v>
      </c>
      <c r="AZ1719">
        <v>64.7</v>
      </c>
      <c r="BA1719">
        <v>12.8</v>
      </c>
    </row>
    <row r="1720" spans="1:53" x14ac:dyDescent="0.3">
      <c r="A1720" s="11">
        <v>43028</v>
      </c>
      <c r="B1720">
        <v>0.52808988764044895</v>
      </c>
      <c r="C1720">
        <v>2562.1</v>
      </c>
      <c r="D1720">
        <v>125.31</v>
      </c>
      <c r="E1720">
        <v>1289.79</v>
      </c>
      <c r="F1720">
        <v>84.34</v>
      </c>
      <c r="G1720">
        <v>49.18</v>
      </c>
      <c r="V1720">
        <v>0.50214592274678105</v>
      </c>
      <c r="AY1720" t="str">
        <v>18/01/2018</v>
      </c>
      <c r="AZ1720">
        <v>64.7</v>
      </c>
      <c r="BA1720">
        <v>12.8</v>
      </c>
    </row>
    <row r="1721" spans="1:53" x14ac:dyDescent="0.3">
      <c r="A1721" s="11">
        <v>43027</v>
      </c>
      <c r="B1721">
        <v>0.54310344827586199</v>
      </c>
      <c r="C1721">
        <v>2561.2600000000002</v>
      </c>
      <c r="D1721">
        <v>125.09</v>
      </c>
      <c r="E1721">
        <v>1281.17</v>
      </c>
      <c r="F1721">
        <v>84.29</v>
      </c>
      <c r="G1721">
        <v>49.33</v>
      </c>
      <c r="V1721">
        <v>0.49729729729729699</v>
      </c>
      <c r="AY1721" t="str">
        <v>17/01/2018</v>
      </c>
      <c r="AZ1721">
        <v>64.7</v>
      </c>
      <c r="BA1721">
        <v>12.8</v>
      </c>
    </row>
    <row r="1722" spans="1:53" x14ac:dyDescent="0.3">
      <c r="A1722" s="11">
        <v>43026</v>
      </c>
      <c r="B1722">
        <v>0.55619596541786698</v>
      </c>
      <c r="C1722">
        <v>2559.36</v>
      </c>
      <c r="D1722">
        <v>125.92</v>
      </c>
      <c r="E1722">
        <v>1285.2</v>
      </c>
      <c r="F1722">
        <v>84.32</v>
      </c>
      <c r="G1722">
        <v>49.21</v>
      </c>
      <c r="V1722">
        <v>0.50270270270270301</v>
      </c>
      <c r="AY1722" t="str">
        <v>16/01/2018</v>
      </c>
      <c r="AZ1722">
        <v>64.7</v>
      </c>
      <c r="BA1722">
        <v>12.8</v>
      </c>
    </row>
    <row r="1723" spans="1:53" x14ac:dyDescent="0.3">
      <c r="A1723" s="11">
        <v>43025</v>
      </c>
      <c r="B1723">
        <v>0.54216867469879504</v>
      </c>
      <c r="C1723">
        <v>2557.64</v>
      </c>
      <c r="D1723">
        <v>125.76</v>
      </c>
      <c r="E1723">
        <v>1294.74</v>
      </c>
      <c r="F1723">
        <v>84.31</v>
      </c>
      <c r="G1723">
        <v>49.344999999999999</v>
      </c>
      <c r="V1723">
        <v>0.50499445061043302</v>
      </c>
      <c r="AY1723" t="str">
        <v>15/01/2018</v>
      </c>
      <c r="AZ1723">
        <v>64.7</v>
      </c>
      <c r="BA1723">
        <v>12.8</v>
      </c>
    </row>
    <row r="1724" spans="1:53" x14ac:dyDescent="0.3">
      <c r="A1724" s="11">
        <v>43022</v>
      </c>
      <c r="B1724">
        <v>0.55454545454545501</v>
      </c>
      <c r="C1724">
        <v>2553.17</v>
      </c>
      <c r="D1724">
        <v>125.85</v>
      </c>
      <c r="E1724">
        <v>1304.8800000000001</v>
      </c>
      <c r="F1724">
        <v>84.39</v>
      </c>
      <c r="G1724">
        <v>49.35</v>
      </c>
      <c r="V1724">
        <v>0.51478641840087602</v>
      </c>
      <c r="AY1724" t="str">
        <v>12/01/2018</v>
      </c>
      <c r="AZ1724">
        <v>66.7</v>
      </c>
      <c r="BA1724">
        <v>12.7</v>
      </c>
    </row>
    <row r="1725" spans="1:53" x14ac:dyDescent="0.3">
      <c r="A1725" s="11">
        <v>43021</v>
      </c>
      <c r="B1725">
        <v>0.54320987654320996</v>
      </c>
      <c r="C1725">
        <v>2550.9299999999998</v>
      </c>
      <c r="D1725">
        <v>124.95</v>
      </c>
      <c r="E1725">
        <v>1293.75</v>
      </c>
      <c r="F1725">
        <v>84.34</v>
      </c>
      <c r="G1725">
        <v>49.08</v>
      </c>
      <c r="V1725">
        <v>0.51598676957001099</v>
      </c>
      <c r="AY1725" t="str">
        <v>11/01/2018</v>
      </c>
      <c r="AZ1725">
        <v>66.7</v>
      </c>
      <c r="BA1725">
        <v>12.7</v>
      </c>
    </row>
    <row r="1726" spans="1:53" x14ac:dyDescent="0.3">
      <c r="A1726" s="11">
        <v>43020</v>
      </c>
      <c r="B1726">
        <v>0.531847133757962</v>
      </c>
      <c r="C1726">
        <v>2555.2399999999998</v>
      </c>
      <c r="D1726">
        <v>124.42</v>
      </c>
      <c r="E1726">
        <v>1291.8</v>
      </c>
      <c r="F1726">
        <v>84.35</v>
      </c>
      <c r="G1726">
        <v>49.09</v>
      </c>
      <c r="V1726">
        <v>0.50888888888888895</v>
      </c>
      <c r="AY1726" t="str">
        <v>10/01/2018</v>
      </c>
      <c r="AZ1726">
        <v>66.7</v>
      </c>
      <c r="BA1726">
        <v>12.7</v>
      </c>
    </row>
    <row r="1727" spans="1:53" x14ac:dyDescent="0.3">
      <c r="A1727" s="11">
        <v>43019</v>
      </c>
      <c r="B1727">
        <v>0.52715654952076696</v>
      </c>
      <c r="C1727">
        <v>2550.64</v>
      </c>
      <c r="D1727">
        <v>124.18</v>
      </c>
      <c r="E1727">
        <v>1287.8499999999999</v>
      </c>
      <c r="F1727">
        <v>84.36</v>
      </c>
      <c r="G1727">
        <v>48.95</v>
      </c>
      <c r="V1727">
        <v>0.51222222222222202</v>
      </c>
      <c r="AY1727" t="str">
        <v>09/01/2018</v>
      </c>
      <c r="AZ1727">
        <v>66.7</v>
      </c>
      <c r="BA1727">
        <v>12.7</v>
      </c>
    </row>
    <row r="1728" spans="1:53" x14ac:dyDescent="0.3">
      <c r="A1728" s="11">
        <v>43018</v>
      </c>
      <c r="B1728">
        <v>0.51456310679611605</v>
      </c>
      <c r="C1728">
        <v>2544.73</v>
      </c>
      <c r="D1728">
        <v>123.98</v>
      </c>
      <c r="E1728">
        <v>1284.1099999999999</v>
      </c>
      <c r="F1728">
        <v>84.34</v>
      </c>
      <c r="G1728">
        <v>48.5</v>
      </c>
      <c r="V1728">
        <v>0.51290684624018001</v>
      </c>
      <c r="AY1728" t="str">
        <v>08/01/2018</v>
      </c>
      <c r="AZ1728">
        <v>66.7</v>
      </c>
      <c r="BA1728">
        <v>12.7</v>
      </c>
    </row>
    <row r="1729" spans="1:53" x14ac:dyDescent="0.3">
      <c r="A1729" s="11">
        <v>43015</v>
      </c>
      <c r="B1729">
        <v>0.51333333333333298</v>
      </c>
      <c r="C1729">
        <v>2549.33</v>
      </c>
      <c r="D1729">
        <v>123.59</v>
      </c>
      <c r="E1729">
        <v>1276.03</v>
      </c>
      <c r="F1729">
        <v>84.34</v>
      </c>
      <c r="G1729">
        <v>48.54</v>
      </c>
      <c r="V1729">
        <v>0.52106430155210604</v>
      </c>
      <c r="AY1729" t="str">
        <v>05/01/2018</v>
      </c>
      <c r="AZ1729">
        <v>64.400000000000006</v>
      </c>
      <c r="BA1729">
        <v>13.5</v>
      </c>
    </row>
    <row r="1730" spans="1:53" x14ac:dyDescent="0.3">
      <c r="A1730" s="11">
        <v>43014</v>
      </c>
      <c r="B1730">
        <v>0.51219512195121997</v>
      </c>
      <c r="C1730">
        <v>2552.0700000000002</v>
      </c>
      <c r="D1730">
        <v>123.94</v>
      </c>
      <c r="E1730">
        <v>1268.05</v>
      </c>
      <c r="F1730">
        <v>84.37</v>
      </c>
      <c r="G1730">
        <v>48.62</v>
      </c>
      <c r="V1730">
        <v>0.51644736842105299</v>
      </c>
      <c r="AY1730" t="str">
        <v>04/01/2018</v>
      </c>
      <c r="AZ1730">
        <v>64.400000000000006</v>
      </c>
      <c r="BA1730">
        <v>13.5</v>
      </c>
    </row>
    <row r="1731" spans="1:53" x14ac:dyDescent="0.3">
      <c r="A1731" s="11">
        <v>43013</v>
      </c>
      <c r="B1731">
        <v>0.512455516014235</v>
      </c>
      <c r="C1731">
        <v>2537.7399999999998</v>
      </c>
      <c r="D1731">
        <v>124.41</v>
      </c>
      <c r="E1731">
        <v>1274.7</v>
      </c>
      <c r="F1731">
        <v>84.55</v>
      </c>
      <c r="G1731">
        <v>48.57</v>
      </c>
      <c r="V1731">
        <v>0.52354874041621002</v>
      </c>
      <c r="AY1731" t="str">
        <v>03/01/2018</v>
      </c>
      <c r="AZ1731">
        <v>64.400000000000006</v>
      </c>
      <c r="BA1731">
        <v>13.5</v>
      </c>
    </row>
    <row r="1732" spans="1:53" x14ac:dyDescent="0.3">
      <c r="A1732" s="11">
        <v>43012</v>
      </c>
      <c r="B1732">
        <v>0.49822064056939502</v>
      </c>
      <c r="C1732">
        <v>2534.58</v>
      </c>
      <c r="D1732">
        <v>124.4</v>
      </c>
      <c r="E1732">
        <v>1271.3599999999999</v>
      </c>
      <c r="F1732">
        <v>84.39</v>
      </c>
      <c r="G1732">
        <v>48.62</v>
      </c>
      <c r="V1732">
        <v>0.513721185510428</v>
      </c>
      <c r="AY1732" t="str">
        <v>02/01/2018</v>
      </c>
      <c r="AZ1732">
        <v>64.400000000000006</v>
      </c>
      <c r="BA1732">
        <v>13.5</v>
      </c>
    </row>
    <row r="1733" spans="1:53" x14ac:dyDescent="0.3">
      <c r="A1733" s="11">
        <v>43011</v>
      </c>
      <c r="B1733">
        <v>0.49626865671641801</v>
      </c>
      <c r="C1733">
        <v>2529.12</v>
      </c>
      <c r="D1733">
        <v>124.28</v>
      </c>
      <c r="E1733">
        <v>1271.1300000000001</v>
      </c>
      <c r="F1733">
        <v>84.44</v>
      </c>
      <c r="G1733">
        <v>48.31</v>
      </c>
      <c r="V1733">
        <v>0.50886917960088696</v>
      </c>
      <c r="AY1733" t="str">
        <v>01/01/2018</v>
      </c>
      <c r="AZ1733">
        <v>64.400000000000006</v>
      </c>
      <c r="BA1733">
        <v>13.5</v>
      </c>
    </row>
    <row r="1734" spans="1:53" x14ac:dyDescent="0.3">
      <c r="A1734" s="11">
        <v>43008</v>
      </c>
      <c r="B1734">
        <v>0.48226950354609899</v>
      </c>
      <c r="C1734">
        <v>2519.36</v>
      </c>
      <c r="D1734">
        <v>124.76</v>
      </c>
      <c r="E1734">
        <v>1279.45</v>
      </c>
      <c r="F1734">
        <v>84.45</v>
      </c>
      <c r="G1734">
        <v>48.35</v>
      </c>
      <c r="V1734">
        <v>0.52670940170940195</v>
      </c>
      <c r="AY1734" t="str">
        <v>29/12/2017</v>
      </c>
      <c r="AZ1734">
        <v>61.9</v>
      </c>
      <c r="BA1734">
        <v>15.2</v>
      </c>
    </row>
    <row r="1735" spans="1:53" x14ac:dyDescent="0.3">
      <c r="A1735" s="11">
        <v>43007</v>
      </c>
      <c r="B1735">
        <v>0.49637681159420299</v>
      </c>
      <c r="C1735">
        <v>2510.06</v>
      </c>
      <c r="D1735">
        <v>124.48</v>
      </c>
      <c r="E1735">
        <v>1287.3</v>
      </c>
      <c r="F1735">
        <v>84.47</v>
      </c>
      <c r="G1735">
        <v>48.01</v>
      </c>
      <c r="V1735">
        <v>0.51957671957672003</v>
      </c>
      <c r="AY1735" t="str">
        <v>28/12/2017</v>
      </c>
      <c r="AZ1735">
        <v>61.9</v>
      </c>
      <c r="BA1735">
        <v>15.2</v>
      </c>
    </row>
    <row r="1736" spans="1:53" x14ac:dyDescent="0.3">
      <c r="A1736" s="11">
        <v>43006</v>
      </c>
      <c r="B1736">
        <v>0.485401459854015</v>
      </c>
      <c r="C1736">
        <v>2507.04</v>
      </c>
      <c r="D1736">
        <v>124.85</v>
      </c>
      <c r="E1736">
        <v>1281.1300000000001</v>
      </c>
      <c r="F1736">
        <v>84.46</v>
      </c>
      <c r="G1736">
        <v>47.95</v>
      </c>
      <c r="V1736">
        <v>0.51785714285714302</v>
      </c>
      <c r="AY1736" t="str">
        <v>27/12/2017</v>
      </c>
      <c r="AZ1736">
        <v>61.9</v>
      </c>
      <c r="BA1736">
        <v>15.2</v>
      </c>
    </row>
    <row r="1737" spans="1:53" x14ac:dyDescent="0.3">
      <c r="A1737" s="11">
        <v>43005</v>
      </c>
      <c r="B1737">
        <v>0.49433962264150899</v>
      </c>
      <c r="C1737">
        <v>2496.84</v>
      </c>
      <c r="D1737">
        <v>126.76</v>
      </c>
      <c r="E1737">
        <v>1293.9000000000001</v>
      </c>
      <c r="F1737">
        <v>84.47</v>
      </c>
      <c r="G1737">
        <v>47.97</v>
      </c>
      <c r="V1737">
        <v>0.51804670912951201</v>
      </c>
      <c r="AY1737" t="str">
        <v>26/12/2017</v>
      </c>
      <c r="AZ1737">
        <v>61.9</v>
      </c>
      <c r="BA1737">
        <v>15.2</v>
      </c>
    </row>
    <row r="1738" spans="1:53" x14ac:dyDescent="0.3">
      <c r="A1738" s="11">
        <v>43004</v>
      </c>
      <c r="B1738">
        <v>0.50965250965250997</v>
      </c>
      <c r="C1738">
        <v>2496.66</v>
      </c>
      <c r="D1738">
        <v>126.99</v>
      </c>
      <c r="E1738">
        <v>1310.55</v>
      </c>
      <c r="F1738">
        <v>84.49</v>
      </c>
      <c r="G1738">
        <v>48.08</v>
      </c>
      <c r="V1738">
        <v>0.51709401709401703</v>
      </c>
      <c r="AY1738" t="str">
        <v>25/12/2017</v>
      </c>
      <c r="AZ1738">
        <v>61.9</v>
      </c>
      <c r="BA1738">
        <v>15.2</v>
      </c>
    </row>
    <row r="1739" spans="1:53" x14ac:dyDescent="0.3">
      <c r="A1739" s="11">
        <v>43001</v>
      </c>
      <c r="B1739">
        <v>0.5</v>
      </c>
      <c r="C1739">
        <v>2502.2199999999998</v>
      </c>
      <c r="D1739">
        <v>126.2</v>
      </c>
      <c r="E1739">
        <v>1297.3800000000001</v>
      </c>
      <c r="F1739">
        <v>84.44</v>
      </c>
      <c r="G1739">
        <v>48.46</v>
      </c>
      <c r="V1739">
        <v>0.52111225540679695</v>
      </c>
      <c r="AY1739" t="str">
        <v>22/12/2017</v>
      </c>
      <c r="AZ1739" t="e">
        <v>#N/A</v>
      </c>
      <c r="BA1739" t="e">
        <v>#N/A</v>
      </c>
    </row>
    <row r="1740" spans="1:53" x14ac:dyDescent="0.3">
      <c r="A1740" s="11">
        <v>43000</v>
      </c>
      <c r="B1740">
        <v>0.50190114068441105</v>
      </c>
      <c r="C1740">
        <v>2500.6</v>
      </c>
      <c r="D1740">
        <v>125.84</v>
      </c>
      <c r="E1740">
        <v>1291.4000000000001</v>
      </c>
      <c r="F1740">
        <v>84.42</v>
      </c>
      <c r="G1740">
        <v>48.42</v>
      </c>
      <c r="V1740">
        <v>0.52729145211122597</v>
      </c>
      <c r="AY1740" t="str">
        <v>21/12/2017</v>
      </c>
      <c r="AZ1740" t="e">
        <v>#N/A</v>
      </c>
      <c r="BA1740" t="e">
        <v>#N/A</v>
      </c>
    </row>
    <row r="1741" spans="1:53" x14ac:dyDescent="0.3">
      <c r="A1741" s="11">
        <v>42999</v>
      </c>
      <c r="B1741">
        <v>0.52919708029197099</v>
      </c>
      <c r="C1741">
        <v>2508.2399999999998</v>
      </c>
      <c r="D1741">
        <v>125.91</v>
      </c>
      <c r="E1741">
        <v>1301.03</v>
      </c>
      <c r="F1741">
        <v>84.44</v>
      </c>
      <c r="G1741">
        <v>48.5</v>
      </c>
      <c r="V1741">
        <v>0.52965235173824099</v>
      </c>
      <c r="AY1741" t="str">
        <v>20/12/2017</v>
      </c>
      <c r="AZ1741" t="e">
        <v>#N/A</v>
      </c>
      <c r="BA1741" t="e">
        <v>#N/A</v>
      </c>
    </row>
    <row r="1742" spans="1:53" x14ac:dyDescent="0.3">
      <c r="A1742" s="11">
        <v>42998</v>
      </c>
      <c r="B1742">
        <v>0.53358208955223896</v>
      </c>
      <c r="C1742">
        <v>2506.65</v>
      </c>
      <c r="D1742">
        <v>125.82</v>
      </c>
      <c r="E1742">
        <v>1311.28</v>
      </c>
      <c r="F1742">
        <v>84.51</v>
      </c>
      <c r="G1742">
        <v>48.55</v>
      </c>
      <c r="V1742">
        <v>0.52528379772961797</v>
      </c>
      <c r="AY1742" t="str">
        <v>19/12/2017</v>
      </c>
      <c r="AZ1742" t="e">
        <v>#N/A</v>
      </c>
      <c r="BA1742" t="e">
        <v>#N/A</v>
      </c>
    </row>
    <row r="1743" spans="1:53" x14ac:dyDescent="0.3">
      <c r="A1743" s="11">
        <v>42997</v>
      </c>
      <c r="B1743">
        <v>0.52272727272727304</v>
      </c>
      <c r="C1743">
        <v>2503.87</v>
      </c>
      <c r="D1743">
        <v>126.13</v>
      </c>
      <c r="E1743">
        <v>1307.57</v>
      </c>
      <c r="F1743">
        <v>84.5</v>
      </c>
      <c r="G1743">
        <v>48.36</v>
      </c>
      <c r="V1743">
        <v>0.52669404517453799</v>
      </c>
      <c r="AY1743" t="str">
        <v>18/12/2017</v>
      </c>
      <c r="AZ1743" t="e">
        <v>#N/A</v>
      </c>
      <c r="BA1743" t="e">
        <v>#N/A</v>
      </c>
    </row>
    <row r="1744" spans="1:53" x14ac:dyDescent="0.3">
      <c r="A1744" s="11">
        <v>42994</v>
      </c>
      <c r="B1744">
        <v>0.53521126760563398</v>
      </c>
      <c r="C1744">
        <v>2500.23</v>
      </c>
      <c r="D1744">
        <v>126.86</v>
      </c>
      <c r="E1744">
        <v>1319.63</v>
      </c>
      <c r="F1744">
        <v>84.55</v>
      </c>
      <c r="G1744">
        <v>48.29</v>
      </c>
      <c r="V1744">
        <v>0.53028798411122102</v>
      </c>
      <c r="AY1744" t="str">
        <v>15/12/2017</v>
      </c>
      <c r="AZ1744">
        <v>64.099999999999994</v>
      </c>
      <c r="BA1744">
        <v>15.1</v>
      </c>
    </row>
    <row r="1745" spans="1:53" x14ac:dyDescent="0.3">
      <c r="A1745" s="11">
        <v>42993</v>
      </c>
      <c r="B1745">
        <v>0.53900709219858201</v>
      </c>
      <c r="C1745">
        <v>2495.62</v>
      </c>
      <c r="D1745">
        <v>126.81</v>
      </c>
      <c r="E1745">
        <v>1329.83</v>
      </c>
      <c r="F1745">
        <v>84.56</v>
      </c>
      <c r="G1745">
        <v>48.21</v>
      </c>
      <c r="V1745">
        <v>0.52999016715830904</v>
      </c>
      <c r="AY1745" t="str">
        <v>14/12/2017</v>
      </c>
      <c r="AZ1745">
        <v>64.099999999999994</v>
      </c>
      <c r="BA1745">
        <v>15.1</v>
      </c>
    </row>
    <row r="1746" spans="1:53" x14ac:dyDescent="0.3">
      <c r="A1746" s="11">
        <v>42992</v>
      </c>
      <c r="B1746">
        <v>0.53380782918149505</v>
      </c>
      <c r="C1746">
        <v>2498.37</v>
      </c>
      <c r="D1746">
        <v>126.29</v>
      </c>
      <c r="E1746">
        <v>1323.25</v>
      </c>
      <c r="F1746">
        <v>84.55</v>
      </c>
      <c r="G1746">
        <v>48.09</v>
      </c>
      <c r="V1746">
        <v>0.52854330708661401</v>
      </c>
      <c r="AY1746" t="str">
        <v>13/12/2017</v>
      </c>
      <c r="AZ1746">
        <v>64.099999999999994</v>
      </c>
      <c r="BA1746">
        <v>15.1</v>
      </c>
    </row>
    <row r="1747" spans="1:53" x14ac:dyDescent="0.3">
      <c r="A1747" s="11">
        <v>42991</v>
      </c>
      <c r="B1747">
        <v>0.53763440860215095</v>
      </c>
      <c r="C1747">
        <v>2496.48</v>
      </c>
      <c r="D1747">
        <v>126.79</v>
      </c>
      <c r="E1747">
        <v>1331.94</v>
      </c>
      <c r="F1747">
        <v>84.57</v>
      </c>
      <c r="G1747">
        <v>48.35</v>
      </c>
      <c r="V1747">
        <v>0.52714708785784803</v>
      </c>
      <c r="AY1747" t="str">
        <v>12/12/2017</v>
      </c>
      <c r="AZ1747">
        <v>64.099999999999994</v>
      </c>
      <c r="BA1747">
        <v>15.1</v>
      </c>
    </row>
    <row r="1748" spans="1:53" x14ac:dyDescent="0.3">
      <c r="A1748" s="11">
        <v>42990</v>
      </c>
      <c r="B1748">
        <v>0.55147058823529405</v>
      </c>
      <c r="C1748">
        <v>2488.11</v>
      </c>
      <c r="D1748">
        <v>127.46</v>
      </c>
      <c r="E1748">
        <v>1327.32</v>
      </c>
      <c r="F1748">
        <v>84.61</v>
      </c>
      <c r="G1748">
        <v>48.23</v>
      </c>
      <c r="V1748">
        <v>0.53313253012048201</v>
      </c>
      <c r="AY1748" t="str">
        <v>11/12/2017</v>
      </c>
      <c r="AZ1748">
        <v>64.099999999999994</v>
      </c>
      <c r="BA1748">
        <v>15.1</v>
      </c>
    </row>
    <row r="1749" spans="1:53" x14ac:dyDescent="0.3">
      <c r="A1749" s="11">
        <v>42987</v>
      </c>
      <c r="B1749">
        <v>0.56993006993007</v>
      </c>
      <c r="C1749">
        <v>2461.4299999999998</v>
      </c>
      <c r="D1749">
        <v>129</v>
      </c>
      <c r="E1749">
        <v>1346.71</v>
      </c>
      <c r="F1749">
        <v>84.69</v>
      </c>
      <c r="G1749">
        <v>47.8</v>
      </c>
      <c r="V1749">
        <v>0.53977844914400797</v>
      </c>
      <c r="AY1749" t="str">
        <v>08/12/2017</v>
      </c>
      <c r="AZ1749">
        <v>61.9</v>
      </c>
      <c r="BA1749">
        <v>15.2</v>
      </c>
    </row>
    <row r="1750" spans="1:53" x14ac:dyDescent="0.3">
      <c r="A1750" s="11">
        <v>42986</v>
      </c>
      <c r="B1750">
        <v>0.57491289198606299</v>
      </c>
      <c r="C1750">
        <v>2465.1</v>
      </c>
      <c r="D1750">
        <v>129.28</v>
      </c>
      <c r="E1750">
        <v>1349.2</v>
      </c>
      <c r="F1750">
        <v>84.71</v>
      </c>
      <c r="G1750">
        <v>47.87</v>
      </c>
      <c r="V1750">
        <v>0.54045954045954003</v>
      </c>
      <c r="AY1750" t="str">
        <v>07/12/2017</v>
      </c>
      <c r="AZ1750">
        <v>61.9</v>
      </c>
      <c r="BA1750">
        <v>15.2</v>
      </c>
    </row>
    <row r="1751" spans="1:53" x14ac:dyDescent="0.3">
      <c r="A1751" s="11">
        <v>42985</v>
      </c>
      <c r="B1751">
        <v>0.58131487889273403</v>
      </c>
      <c r="C1751">
        <v>2465.54</v>
      </c>
      <c r="D1751">
        <v>127.97</v>
      </c>
      <c r="E1751">
        <v>1334.15</v>
      </c>
      <c r="F1751">
        <v>84.66</v>
      </c>
      <c r="G1751">
        <v>47.505000000000003</v>
      </c>
      <c r="V1751">
        <v>0.54915590863952302</v>
      </c>
      <c r="AY1751" t="str">
        <v>06/12/2017</v>
      </c>
      <c r="AZ1751">
        <v>61.9</v>
      </c>
      <c r="BA1751">
        <v>15.2</v>
      </c>
    </row>
    <row r="1752" spans="1:53" x14ac:dyDescent="0.3">
      <c r="A1752" s="11">
        <v>42984</v>
      </c>
      <c r="B1752">
        <v>0.58098591549295797</v>
      </c>
      <c r="C1752">
        <v>2457.85</v>
      </c>
      <c r="D1752">
        <v>128.76</v>
      </c>
      <c r="E1752">
        <v>1339.33</v>
      </c>
      <c r="F1752">
        <v>84.67</v>
      </c>
      <c r="G1752">
        <v>47.17</v>
      </c>
      <c r="V1752">
        <v>0.55055055055055102</v>
      </c>
      <c r="AY1752" t="str">
        <v>05/12/2017</v>
      </c>
      <c r="AZ1752">
        <v>61.9</v>
      </c>
      <c r="BA1752">
        <v>15.2</v>
      </c>
    </row>
    <row r="1753" spans="1:53" x14ac:dyDescent="0.3">
      <c r="A1753" s="11">
        <v>42980</v>
      </c>
      <c r="B1753">
        <v>0.57014925373134295</v>
      </c>
      <c r="C1753">
        <v>2476.5500000000002</v>
      </c>
      <c r="D1753">
        <v>126.75</v>
      </c>
      <c r="E1753">
        <v>1324.97</v>
      </c>
      <c r="F1753">
        <v>84.59</v>
      </c>
      <c r="G1753">
        <v>47.56</v>
      </c>
      <c r="V1753">
        <v>0.55252918287937702</v>
      </c>
      <c r="AY1753" t="str">
        <v>04/12/2017</v>
      </c>
      <c r="AZ1753">
        <v>61.9</v>
      </c>
      <c r="BA1753">
        <v>15.2</v>
      </c>
    </row>
    <row r="1754" spans="1:53" x14ac:dyDescent="0.3">
      <c r="A1754" s="11">
        <v>42978</v>
      </c>
      <c r="B1754">
        <v>0.56725146198830401</v>
      </c>
      <c r="C1754">
        <v>2471.65</v>
      </c>
      <c r="D1754">
        <v>127.99</v>
      </c>
      <c r="E1754">
        <v>1322.07</v>
      </c>
      <c r="F1754">
        <v>84.68</v>
      </c>
      <c r="G1754">
        <v>47.39</v>
      </c>
      <c r="V1754">
        <v>0.55360623781676399</v>
      </c>
      <c r="AY1754" t="str">
        <v>01/12/2017</v>
      </c>
      <c r="AZ1754">
        <v>64.2</v>
      </c>
      <c r="BA1754">
        <v>15.1</v>
      </c>
    </row>
    <row r="1755" spans="1:53" x14ac:dyDescent="0.3">
      <c r="A1755" s="11">
        <v>42978</v>
      </c>
      <c r="B1755">
        <v>0.56936416184971095</v>
      </c>
      <c r="C1755">
        <v>2457.59</v>
      </c>
      <c r="D1755">
        <v>127.61</v>
      </c>
      <c r="E1755">
        <v>1308.76</v>
      </c>
      <c r="F1755">
        <v>84.68</v>
      </c>
      <c r="G1755">
        <v>47.08</v>
      </c>
      <c r="V1755">
        <v>0.54961089494163395</v>
      </c>
      <c r="AY1755" t="str">
        <v>30/11/2017</v>
      </c>
      <c r="AZ1755">
        <v>64.2</v>
      </c>
      <c r="BA1755">
        <v>15.1</v>
      </c>
    </row>
    <row r="1756" spans="1:53" x14ac:dyDescent="0.3">
      <c r="A1756" s="11">
        <v>42977</v>
      </c>
      <c r="B1756">
        <v>0.57647058823529396</v>
      </c>
      <c r="C1756">
        <v>2446.3000000000002</v>
      </c>
      <c r="D1756">
        <v>127.65</v>
      </c>
      <c r="E1756">
        <v>1309.5</v>
      </c>
      <c r="F1756">
        <v>84.66</v>
      </c>
      <c r="G1756">
        <v>47.13</v>
      </c>
      <c r="V1756">
        <v>0.54911591355599199</v>
      </c>
      <c r="AY1756" t="str">
        <v>29/11/2017</v>
      </c>
      <c r="AZ1756">
        <v>64.2</v>
      </c>
      <c r="BA1756">
        <v>15.1</v>
      </c>
    </row>
    <row r="1757" spans="1:53" x14ac:dyDescent="0.3">
      <c r="A1757" s="11">
        <v>42976</v>
      </c>
      <c r="B1757">
        <v>0.57227138643067799</v>
      </c>
      <c r="C1757">
        <v>2444.2399999999998</v>
      </c>
      <c r="D1757">
        <v>127.24</v>
      </c>
      <c r="E1757">
        <v>1310.49</v>
      </c>
      <c r="F1757">
        <v>84.62</v>
      </c>
      <c r="G1757">
        <v>47.27</v>
      </c>
      <c r="V1757">
        <v>0.54608523290386501</v>
      </c>
      <c r="AY1757" t="str">
        <v>28/11/2017</v>
      </c>
      <c r="AZ1757">
        <v>64.2</v>
      </c>
      <c r="BA1757">
        <v>15.1</v>
      </c>
    </row>
    <row r="1758" spans="1:53" x14ac:dyDescent="0.3">
      <c r="A1758" s="11">
        <v>42973</v>
      </c>
      <c r="B1758">
        <v>0.625</v>
      </c>
      <c r="C1758">
        <v>2443.0500000000002</v>
      </c>
      <c r="D1758">
        <v>127.32</v>
      </c>
      <c r="E1758">
        <v>1291.1600000000001</v>
      </c>
      <c r="F1758">
        <v>84.65</v>
      </c>
      <c r="G1758">
        <v>47.33</v>
      </c>
      <c r="V1758">
        <v>0.544761904761905</v>
      </c>
      <c r="AY1758" t="str">
        <v>27/11/2017</v>
      </c>
      <c r="AZ1758">
        <v>64.2</v>
      </c>
      <c r="BA1758">
        <v>15.1</v>
      </c>
    </row>
    <row r="1759" spans="1:53" x14ac:dyDescent="0.3">
      <c r="A1759" s="11">
        <v>42972</v>
      </c>
      <c r="B1759">
        <v>0.63209876543209897</v>
      </c>
      <c r="C1759">
        <v>2438.9699999999998</v>
      </c>
      <c r="D1759">
        <v>126.83</v>
      </c>
      <c r="E1759">
        <v>1286.33</v>
      </c>
      <c r="F1759">
        <v>84.62</v>
      </c>
      <c r="G1759">
        <v>47.06</v>
      </c>
      <c r="V1759">
        <v>0.53977272727272696</v>
      </c>
      <c r="AY1759" t="str">
        <v>24/11/2017</v>
      </c>
      <c r="AZ1759">
        <v>62.3</v>
      </c>
      <c r="BA1759">
        <v>15.1</v>
      </c>
    </row>
    <row r="1760" spans="1:53" x14ac:dyDescent="0.3">
      <c r="A1760" s="11">
        <v>42971</v>
      </c>
      <c r="B1760">
        <v>0.62864077669902896</v>
      </c>
      <c r="C1760">
        <v>2444.04</v>
      </c>
      <c r="D1760">
        <v>127.3</v>
      </c>
      <c r="E1760">
        <v>1290.6199999999999</v>
      </c>
      <c r="F1760">
        <v>84.7</v>
      </c>
      <c r="G1760">
        <v>47.04</v>
      </c>
      <c r="V1760">
        <v>0.535545023696682</v>
      </c>
      <c r="AY1760" t="str">
        <v>23/11/2017</v>
      </c>
      <c r="AZ1760">
        <v>62.3</v>
      </c>
      <c r="BA1760">
        <v>15.1</v>
      </c>
    </row>
    <row r="1761" spans="1:53" x14ac:dyDescent="0.3">
      <c r="A1761" s="11">
        <v>42970</v>
      </c>
      <c r="B1761">
        <v>0.633004926108374</v>
      </c>
      <c r="C1761">
        <v>2452.5100000000002</v>
      </c>
      <c r="D1761">
        <v>126.44</v>
      </c>
      <c r="E1761">
        <v>1284.73</v>
      </c>
      <c r="F1761">
        <v>84.62</v>
      </c>
      <c r="G1761">
        <v>47.03</v>
      </c>
      <c r="V1761">
        <v>0.53154875717017203</v>
      </c>
      <c r="AY1761" t="str">
        <v>22/11/2017</v>
      </c>
      <c r="AZ1761">
        <v>62.3</v>
      </c>
      <c r="BA1761">
        <v>15.1</v>
      </c>
    </row>
    <row r="1762" spans="1:53" x14ac:dyDescent="0.3">
      <c r="A1762" s="11">
        <v>42969</v>
      </c>
      <c r="B1762">
        <v>0.633663366336634</v>
      </c>
      <c r="C1762">
        <v>2428.37</v>
      </c>
      <c r="D1762">
        <v>126.93</v>
      </c>
      <c r="E1762">
        <v>1291.23</v>
      </c>
      <c r="F1762">
        <v>84.63</v>
      </c>
      <c r="G1762">
        <v>46.71</v>
      </c>
      <c r="V1762">
        <v>0.53441682600382401</v>
      </c>
      <c r="AY1762" t="str">
        <v>21/11/2017</v>
      </c>
      <c r="AZ1762">
        <v>62.3</v>
      </c>
      <c r="BA1762">
        <v>15.1</v>
      </c>
    </row>
    <row r="1763" spans="1:53" x14ac:dyDescent="0.3">
      <c r="A1763" s="11">
        <v>42966</v>
      </c>
      <c r="B1763">
        <v>0.63723150357995195</v>
      </c>
      <c r="C1763">
        <v>2425.5500000000002</v>
      </c>
      <c r="D1763">
        <v>126.62</v>
      </c>
      <c r="E1763">
        <v>1284.5</v>
      </c>
      <c r="F1763">
        <v>84.61</v>
      </c>
      <c r="G1763">
        <v>46.67</v>
      </c>
      <c r="V1763">
        <v>0.52235965746907698</v>
      </c>
      <c r="AY1763" t="str">
        <v>20/11/2017</v>
      </c>
      <c r="AZ1763">
        <v>62.3</v>
      </c>
      <c r="BA1763">
        <v>15.1</v>
      </c>
    </row>
    <row r="1764" spans="1:53" x14ac:dyDescent="0.3">
      <c r="AY1764" t="str">
        <v>17/11/2017</v>
      </c>
      <c r="AZ1764">
        <v>61.5</v>
      </c>
      <c r="BA1764">
        <v>15.4</v>
      </c>
    </row>
    <row r="1765" spans="1:53" x14ac:dyDescent="0.3">
      <c r="AY1765" t="str">
        <v>16/11/2017</v>
      </c>
      <c r="AZ1765">
        <v>61.5</v>
      </c>
      <c r="BA1765">
        <v>15.4</v>
      </c>
    </row>
    <row r="1766" spans="1:53" x14ac:dyDescent="0.3">
      <c r="AY1766" t="str">
        <v>15/11/2017</v>
      </c>
      <c r="AZ1766">
        <v>61.5</v>
      </c>
      <c r="BA1766">
        <v>15.4</v>
      </c>
    </row>
    <row r="1767" spans="1:53" x14ac:dyDescent="0.3">
      <c r="AY1767" t="str">
        <v>14/11/2017</v>
      </c>
      <c r="AZ1767">
        <v>61.5</v>
      </c>
      <c r="BA1767">
        <v>15.4</v>
      </c>
    </row>
    <row r="1768" spans="1:53" x14ac:dyDescent="0.3">
      <c r="AY1768" t="str">
        <v>13/11/2017</v>
      </c>
      <c r="AZ1768">
        <v>61.5</v>
      </c>
      <c r="BA1768">
        <v>15.4</v>
      </c>
    </row>
    <row r="1769" spans="1:53" x14ac:dyDescent="0.3">
      <c r="AY1769" t="str">
        <v>10/11/2017</v>
      </c>
      <c r="AZ1769">
        <v>63.5</v>
      </c>
      <c r="BA1769">
        <v>15.4</v>
      </c>
    </row>
    <row r="1770" spans="1:53" x14ac:dyDescent="0.3">
      <c r="AY1770" t="str">
        <v>09/11/2017</v>
      </c>
      <c r="AZ1770">
        <v>63.5</v>
      </c>
      <c r="BA1770">
        <v>15.4</v>
      </c>
    </row>
    <row r="1771" spans="1:53" x14ac:dyDescent="0.3">
      <c r="AY1771" t="str">
        <v>08/11/2017</v>
      </c>
      <c r="AZ1771">
        <v>63.5</v>
      </c>
      <c r="BA1771">
        <v>15.4</v>
      </c>
    </row>
    <row r="1772" spans="1:53" x14ac:dyDescent="0.3">
      <c r="AY1772" t="str">
        <v>07/11/2017</v>
      </c>
      <c r="AZ1772">
        <v>63.5</v>
      </c>
      <c r="BA1772">
        <v>15.4</v>
      </c>
    </row>
    <row r="1773" spans="1:53" x14ac:dyDescent="0.3">
      <c r="AY1773" t="str">
        <v>06/11/2017</v>
      </c>
      <c r="AZ1773">
        <v>63.5</v>
      </c>
      <c r="BA1773">
        <v>15.4</v>
      </c>
    </row>
    <row r="1774" spans="1:53" x14ac:dyDescent="0.3">
      <c r="AY1774" t="str">
        <v>03/11/2017</v>
      </c>
      <c r="AZ1774">
        <v>64.400000000000006</v>
      </c>
      <c r="BA1774">
        <v>14.4</v>
      </c>
    </row>
    <row r="1775" spans="1:53" x14ac:dyDescent="0.3">
      <c r="AY1775" t="str">
        <v>02/11/2017</v>
      </c>
      <c r="AZ1775">
        <v>64.400000000000006</v>
      </c>
      <c r="BA1775">
        <v>14.4</v>
      </c>
    </row>
    <row r="1776" spans="1:53" x14ac:dyDescent="0.3">
      <c r="AY1776" t="str">
        <v>01/11/2017</v>
      </c>
      <c r="AZ1776">
        <v>64.400000000000006</v>
      </c>
      <c r="BA1776">
        <v>14.4</v>
      </c>
    </row>
    <row r="1777" spans="51:53" x14ac:dyDescent="0.3">
      <c r="AY1777" t="str">
        <v>31/10/2017</v>
      </c>
      <c r="AZ1777">
        <v>64.400000000000006</v>
      </c>
      <c r="BA1777">
        <v>14.4</v>
      </c>
    </row>
    <row r="1778" spans="51:53" x14ac:dyDescent="0.3">
      <c r="AY1778" t="str">
        <v>30/10/2017</v>
      </c>
      <c r="AZ1778">
        <v>64.400000000000006</v>
      </c>
      <c r="BA1778">
        <v>14.4</v>
      </c>
    </row>
    <row r="1779" spans="51:53" x14ac:dyDescent="0.3">
      <c r="AY1779" t="str">
        <v>27/10/2017</v>
      </c>
      <c r="AZ1779">
        <v>63.5</v>
      </c>
      <c r="BA1779">
        <v>14.4</v>
      </c>
    </row>
    <row r="1780" spans="51:53" x14ac:dyDescent="0.3">
      <c r="AY1780" t="str">
        <v>26/10/2017</v>
      </c>
      <c r="AZ1780">
        <v>63.5</v>
      </c>
      <c r="BA1780">
        <v>14.4</v>
      </c>
    </row>
    <row r="1781" spans="51:53" x14ac:dyDescent="0.3">
      <c r="AY1781" t="str">
        <v>25/10/2017</v>
      </c>
      <c r="AZ1781">
        <v>63.5</v>
      </c>
      <c r="BA1781">
        <v>14.4</v>
      </c>
    </row>
    <row r="1782" spans="51:53" x14ac:dyDescent="0.3">
      <c r="AY1782" t="str">
        <v>24/10/2017</v>
      </c>
      <c r="AZ1782">
        <v>63.5</v>
      </c>
      <c r="BA1782">
        <v>14.4</v>
      </c>
    </row>
    <row r="1783" spans="51:53" x14ac:dyDescent="0.3">
      <c r="AY1783" t="str">
        <v>23/10/2017</v>
      </c>
      <c r="AZ1783">
        <v>63.5</v>
      </c>
      <c r="BA1783">
        <v>14.4</v>
      </c>
    </row>
    <row r="1784" spans="51:53" x14ac:dyDescent="0.3">
      <c r="AY1784" t="str">
        <v>20/10/2017</v>
      </c>
      <c r="AZ1784">
        <v>62.3</v>
      </c>
      <c r="BA1784">
        <v>15.1</v>
      </c>
    </row>
    <row r="1785" spans="51:53" x14ac:dyDescent="0.3">
      <c r="AY1785" t="str">
        <v>19/10/2017</v>
      </c>
      <c r="AZ1785">
        <v>62.3</v>
      </c>
      <c r="BA1785">
        <v>15.1</v>
      </c>
    </row>
    <row r="1786" spans="51:53" x14ac:dyDescent="0.3">
      <c r="AY1786" t="str">
        <v>18/10/2017</v>
      </c>
      <c r="AZ1786">
        <v>62.3</v>
      </c>
      <c r="BA1786">
        <v>15.1</v>
      </c>
    </row>
    <row r="1787" spans="51:53" x14ac:dyDescent="0.3">
      <c r="AY1787" t="str">
        <v>17/10/2017</v>
      </c>
      <c r="AZ1787">
        <v>62.3</v>
      </c>
      <c r="BA1787">
        <v>15.1</v>
      </c>
    </row>
    <row r="1788" spans="51:53" x14ac:dyDescent="0.3">
      <c r="AY1788" t="str">
        <v>16/10/2017</v>
      </c>
      <c r="AZ1788">
        <v>62.3</v>
      </c>
      <c r="BA1788">
        <v>15.1</v>
      </c>
    </row>
    <row r="1789" spans="51:53" x14ac:dyDescent="0.3">
      <c r="AY1789" t="str">
        <v>13/10/2017</v>
      </c>
      <c r="AZ1789">
        <v>60</v>
      </c>
      <c r="BA1789">
        <v>15.2</v>
      </c>
    </row>
    <row r="1790" spans="51:53" x14ac:dyDescent="0.3">
      <c r="AY1790" t="str">
        <v>12/10/2017</v>
      </c>
      <c r="AZ1790">
        <v>60</v>
      </c>
      <c r="BA1790">
        <v>15.2</v>
      </c>
    </row>
    <row r="1791" spans="51:53" x14ac:dyDescent="0.3">
      <c r="AY1791" t="str">
        <v>11/10/2017</v>
      </c>
      <c r="AZ1791">
        <v>60</v>
      </c>
      <c r="BA1791">
        <v>15.2</v>
      </c>
    </row>
    <row r="1792" spans="51:53" x14ac:dyDescent="0.3">
      <c r="AY1792" t="str">
        <v>10/10/2017</v>
      </c>
      <c r="AZ1792">
        <v>60</v>
      </c>
      <c r="BA1792">
        <v>15.2</v>
      </c>
    </row>
    <row r="1793" spans="51:53" x14ac:dyDescent="0.3">
      <c r="AY1793" t="str">
        <v>09/10/2017</v>
      </c>
      <c r="AZ1793">
        <v>60</v>
      </c>
      <c r="BA1793">
        <v>15.2</v>
      </c>
    </row>
    <row r="1794" spans="51:53" x14ac:dyDescent="0.3">
      <c r="AY1794" t="str">
        <v>06/10/2017</v>
      </c>
      <c r="AZ1794">
        <v>60.4</v>
      </c>
      <c r="BA1794">
        <v>15.1</v>
      </c>
    </row>
    <row r="1795" spans="51:53" x14ac:dyDescent="0.3">
      <c r="AY1795" t="str">
        <v>05/10/2017</v>
      </c>
      <c r="AZ1795">
        <v>60.4</v>
      </c>
      <c r="BA1795">
        <v>15.1</v>
      </c>
    </row>
    <row r="1796" spans="51:53" x14ac:dyDescent="0.3">
      <c r="AY1796" t="str">
        <v>04/10/2017</v>
      </c>
      <c r="AZ1796">
        <v>60.4</v>
      </c>
      <c r="BA1796">
        <v>15.1</v>
      </c>
    </row>
    <row r="1797" spans="51:53" x14ac:dyDescent="0.3">
      <c r="AY1797" t="str">
        <v>03/10/2017</v>
      </c>
      <c r="AZ1797">
        <v>60.4</v>
      </c>
      <c r="BA1797">
        <v>15.1</v>
      </c>
    </row>
    <row r="1798" spans="51:53" x14ac:dyDescent="0.3">
      <c r="AY1798" t="str">
        <v>02/10/2017</v>
      </c>
      <c r="AZ1798">
        <v>60.4</v>
      </c>
      <c r="BA1798">
        <v>15.1</v>
      </c>
    </row>
    <row r="1799" spans="51:53" x14ac:dyDescent="0.3">
      <c r="AY1799" t="str">
        <v>29/09/2017</v>
      </c>
      <c r="AZ1799">
        <v>57.5</v>
      </c>
      <c r="BA1799">
        <v>17</v>
      </c>
    </row>
    <row r="1800" spans="51:53" x14ac:dyDescent="0.3">
      <c r="AY1800" t="str">
        <v>28/09/2017</v>
      </c>
      <c r="AZ1800">
        <v>57.5</v>
      </c>
      <c r="BA1800">
        <v>17</v>
      </c>
    </row>
    <row r="1801" spans="51:53" x14ac:dyDescent="0.3">
      <c r="AY1801" t="str">
        <v>27/09/2017</v>
      </c>
      <c r="AZ1801">
        <v>57.5</v>
      </c>
      <c r="BA1801">
        <v>17</v>
      </c>
    </row>
    <row r="1802" spans="51:53" x14ac:dyDescent="0.3">
      <c r="AY1802" t="str">
        <v>26/09/2017</v>
      </c>
      <c r="AZ1802">
        <v>57.5</v>
      </c>
      <c r="BA1802">
        <v>17</v>
      </c>
    </row>
    <row r="1803" spans="51:53" x14ac:dyDescent="0.3">
      <c r="AY1803" t="str">
        <v>25/09/2017</v>
      </c>
      <c r="AZ1803">
        <v>57.5</v>
      </c>
      <c r="BA1803">
        <v>17</v>
      </c>
    </row>
    <row r="1804" spans="51:53" x14ac:dyDescent="0.3">
      <c r="AY1804" t="str">
        <v>22/09/2017</v>
      </c>
      <c r="AZ1804">
        <v>54.3</v>
      </c>
      <c r="BA1804">
        <v>17.100000000000001</v>
      </c>
    </row>
    <row r="1805" spans="51:53" x14ac:dyDescent="0.3">
      <c r="AY1805" t="str">
        <v>21/09/2017</v>
      </c>
      <c r="AZ1805">
        <v>54.3</v>
      </c>
      <c r="BA1805">
        <v>17.100000000000001</v>
      </c>
    </row>
    <row r="1806" spans="51:53" x14ac:dyDescent="0.3">
      <c r="AY1806" t="str">
        <v>20/09/2017</v>
      </c>
      <c r="AZ1806">
        <v>54.3</v>
      </c>
      <c r="BA1806">
        <v>17.100000000000001</v>
      </c>
    </row>
    <row r="1807" spans="51:53" x14ac:dyDescent="0.3">
      <c r="AY1807" t="str">
        <v>19/09/2017</v>
      </c>
      <c r="AZ1807">
        <v>54.3</v>
      </c>
      <c r="BA1807">
        <v>17.100000000000001</v>
      </c>
    </row>
    <row r="1808" spans="51:53" x14ac:dyDescent="0.3">
      <c r="AY1808" t="str">
        <v>18/09/2017</v>
      </c>
      <c r="AZ1808">
        <v>54.3</v>
      </c>
      <c r="BA1808">
        <v>17.100000000000001</v>
      </c>
    </row>
    <row r="1809" spans="51:53" x14ac:dyDescent="0.3">
      <c r="AY1809" t="str">
        <v>15/09/2017</v>
      </c>
      <c r="AZ1809">
        <v>50.5</v>
      </c>
      <c r="BA1809">
        <v>19</v>
      </c>
    </row>
    <row r="1810" spans="51:53" x14ac:dyDescent="0.3">
      <c r="AY1810" t="str">
        <v>14/09/2017</v>
      </c>
      <c r="AZ1810">
        <v>50.5</v>
      </c>
      <c r="BA1810">
        <v>19</v>
      </c>
    </row>
    <row r="1811" spans="51:53" x14ac:dyDescent="0.3">
      <c r="AY1811" t="str">
        <v>13/09/2017</v>
      </c>
      <c r="AZ1811">
        <v>50.5</v>
      </c>
      <c r="BA1811">
        <v>19</v>
      </c>
    </row>
    <row r="1812" spans="51:53" x14ac:dyDescent="0.3">
      <c r="AY1812" t="str">
        <v>12/09/2017</v>
      </c>
      <c r="AZ1812">
        <v>50.5</v>
      </c>
      <c r="BA1812">
        <v>19</v>
      </c>
    </row>
    <row r="1813" spans="51:53" x14ac:dyDescent="0.3">
      <c r="AY1813" t="str">
        <v>11/09/2017</v>
      </c>
      <c r="AZ1813">
        <v>50.5</v>
      </c>
      <c r="BA1813">
        <v>19</v>
      </c>
    </row>
    <row r="1814" spans="51:53" x14ac:dyDescent="0.3">
      <c r="AY1814" t="str">
        <v>08/09/2017</v>
      </c>
      <c r="AZ1814">
        <v>47.1</v>
      </c>
      <c r="BA1814">
        <v>20.2</v>
      </c>
    </row>
    <row r="1815" spans="51:53" x14ac:dyDescent="0.3">
      <c r="AY1815" t="str">
        <v>07/09/2017</v>
      </c>
      <c r="AZ1815">
        <v>47.1</v>
      </c>
      <c r="BA1815">
        <v>20.2</v>
      </c>
    </row>
    <row r="1816" spans="51:53" x14ac:dyDescent="0.3">
      <c r="AY1816" t="str">
        <v>06/09/2017</v>
      </c>
      <c r="AZ1816">
        <v>47.1</v>
      </c>
      <c r="BA1816">
        <v>20.2</v>
      </c>
    </row>
    <row r="1817" spans="51:53" x14ac:dyDescent="0.3">
      <c r="AY1817" t="str">
        <v>05/09/2017</v>
      </c>
      <c r="AZ1817">
        <v>47.1</v>
      </c>
      <c r="BA1817">
        <v>20.2</v>
      </c>
    </row>
    <row r="1818" spans="51:53" x14ac:dyDescent="0.3">
      <c r="AY1818" t="str">
        <v>04/09/2017</v>
      </c>
      <c r="AZ1818">
        <v>47.1</v>
      </c>
      <c r="BA1818">
        <v>20.2</v>
      </c>
    </row>
    <row r="1819" spans="51:53" x14ac:dyDescent="0.3">
      <c r="AY1819" t="str">
        <v>01/09/2017</v>
      </c>
      <c r="AZ1819">
        <v>49.5</v>
      </c>
      <c r="BA1819">
        <v>19.100000000000001</v>
      </c>
    </row>
    <row r="1820" spans="51:53" x14ac:dyDescent="0.3">
      <c r="AY1820" t="str">
        <v>31/08/2017</v>
      </c>
      <c r="AZ1820">
        <v>49.5</v>
      </c>
      <c r="BA1820">
        <v>19.100000000000001</v>
      </c>
    </row>
    <row r="1821" spans="51:53" x14ac:dyDescent="0.3">
      <c r="AY1821" t="str">
        <v>30/08/2017</v>
      </c>
      <c r="AZ1821">
        <v>49.5</v>
      </c>
      <c r="BA1821">
        <v>19.100000000000001</v>
      </c>
    </row>
    <row r="1822" spans="51:53" x14ac:dyDescent="0.3">
      <c r="AY1822" t="str">
        <v>29/08/2017</v>
      </c>
      <c r="AZ1822">
        <v>49.5</v>
      </c>
      <c r="BA1822">
        <v>19.100000000000001</v>
      </c>
    </row>
    <row r="1823" spans="51:53" x14ac:dyDescent="0.3">
      <c r="AY1823" t="str">
        <v>28/08/2017</v>
      </c>
      <c r="AZ1823">
        <v>49.5</v>
      </c>
      <c r="BA1823">
        <v>19.100000000000001</v>
      </c>
    </row>
    <row r="1824" spans="51:53" x14ac:dyDescent="0.3">
      <c r="AY1824" t="str">
        <v>25/08/2017</v>
      </c>
      <c r="AZ1824">
        <v>49.5</v>
      </c>
      <c r="BA1824">
        <v>19.100000000000001</v>
      </c>
    </row>
    <row r="1825" spans="51:53" x14ac:dyDescent="0.3">
      <c r="AY1825" t="str">
        <v>24/08/2017</v>
      </c>
      <c r="AZ1825">
        <v>49.5</v>
      </c>
      <c r="BA1825">
        <v>19.100000000000001</v>
      </c>
    </row>
    <row r="1826" spans="51:53" x14ac:dyDescent="0.3">
      <c r="AY1826" t="str">
        <v>23/08/2017</v>
      </c>
      <c r="AZ1826">
        <v>49.5</v>
      </c>
      <c r="BA1826">
        <v>19.100000000000001</v>
      </c>
    </row>
    <row r="1827" spans="51:53" x14ac:dyDescent="0.3">
      <c r="AY1827" t="str">
        <v>22/08/2017</v>
      </c>
      <c r="AZ1827">
        <v>49.5</v>
      </c>
      <c r="BA1827">
        <v>19.100000000000001</v>
      </c>
    </row>
    <row r="1828" spans="51:53" x14ac:dyDescent="0.3">
      <c r="AY1828" t="str">
        <v>21/08/2017</v>
      </c>
      <c r="AZ1828">
        <v>49.5</v>
      </c>
      <c r="BA1828">
        <v>19.100000000000001</v>
      </c>
    </row>
    <row r="1829" spans="51:53" x14ac:dyDescent="0.3">
      <c r="AY1829" t="str">
        <v>18/08/2017</v>
      </c>
      <c r="AZ1829">
        <v>48.1</v>
      </c>
      <c r="BA1829">
        <v>18.3</v>
      </c>
    </row>
    <row r="1830" spans="51:53" x14ac:dyDescent="0.3">
      <c r="AY1830" t="str">
        <v>17/08/2017</v>
      </c>
      <c r="AZ1830">
        <v>48.1</v>
      </c>
      <c r="BA1830">
        <v>18.3</v>
      </c>
    </row>
    <row r="1831" spans="51:53" x14ac:dyDescent="0.3">
      <c r="AY1831" t="str">
        <v>16/08/2017</v>
      </c>
      <c r="AZ1831">
        <v>48.1</v>
      </c>
      <c r="BA1831">
        <v>18.3</v>
      </c>
    </row>
    <row r="1832" spans="51:53" x14ac:dyDescent="0.3">
      <c r="AY1832" t="str">
        <v>15/08/2017</v>
      </c>
      <c r="AZ1832">
        <v>48.1</v>
      </c>
      <c r="BA1832">
        <v>18.3</v>
      </c>
    </row>
    <row r="1833" spans="51:53" x14ac:dyDescent="0.3">
      <c r="AY1833" t="str">
        <v>14/08/2017</v>
      </c>
      <c r="AZ1833">
        <v>48.1</v>
      </c>
      <c r="BA1833">
        <v>18.3</v>
      </c>
    </row>
    <row r="1834" spans="51:53" x14ac:dyDescent="0.3">
      <c r="AY1834" t="str">
        <v>11/08/2017</v>
      </c>
      <c r="AZ1834">
        <v>50.5</v>
      </c>
      <c r="BA1834">
        <v>18.100000000000001</v>
      </c>
    </row>
    <row r="1835" spans="51:53" x14ac:dyDescent="0.3">
      <c r="AY1835" t="str">
        <v>10/08/2017</v>
      </c>
      <c r="AZ1835">
        <v>50.5</v>
      </c>
      <c r="BA1835">
        <v>18.100000000000001</v>
      </c>
    </row>
    <row r="1836" spans="51:53" x14ac:dyDescent="0.3">
      <c r="AY1836" t="str">
        <v>09/08/2017</v>
      </c>
      <c r="AZ1836">
        <v>50.5</v>
      </c>
      <c r="BA1836">
        <v>18.100000000000001</v>
      </c>
    </row>
    <row r="1837" spans="51:53" x14ac:dyDescent="0.3">
      <c r="AY1837" t="str">
        <v>08/08/2017</v>
      </c>
      <c r="AZ1837">
        <v>50.5</v>
      </c>
      <c r="BA1837">
        <v>18.100000000000001</v>
      </c>
    </row>
    <row r="1838" spans="51:53" x14ac:dyDescent="0.3">
      <c r="AY1838" t="str">
        <v>07/08/2017</v>
      </c>
      <c r="AZ1838">
        <v>50.5</v>
      </c>
      <c r="BA1838">
        <v>18.100000000000001</v>
      </c>
    </row>
    <row r="1839" spans="51:53" x14ac:dyDescent="0.3">
      <c r="AY1839" t="str">
        <v>04/08/2017</v>
      </c>
      <c r="AZ1839">
        <v>57.5</v>
      </c>
      <c r="BA1839">
        <v>17</v>
      </c>
    </row>
    <row r="1840" spans="51:53" x14ac:dyDescent="0.3">
      <c r="AY1840" t="str">
        <v>03/08/2017</v>
      </c>
      <c r="AZ1840">
        <v>57.5</v>
      </c>
      <c r="BA1840">
        <v>17</v>
      </c>
    </row>
    <row r="1841" spans="51:53" x14ac:dyDescent="0.3">
      <c r="AY1841" t="str">
        <v>02/08/2017</v>
      </c>
      <c r="AZ1841">
        <v>57.5</v>
      </c>
      <c r="BA1841">
        <v>17</v>
      </c>
    </row>
    <row r="1842" spans="51:53" x14ac:dyDescent="0.3">
      <c r="AY1842" t="str">
        <v>01/08/2017</v>
      </c>
      <c r="AZ1842">
        <v>57.5</v>
      </c>
      <c r="BA1842">
        <v>17</v>
      </c>
    </row>
    <row r="1843" spans="51:53" x14ac:dyDescent="0.3">
      <c r="AY1843" t="str">
        <v>31/07/2017</v>
      </c>
      <c r="AZ1843">
        <v>57.5</v>
      </c>
      <c r="BA1843">
        <v>17</v>
      </c>
    </row>
    <row r="1844" spans="51:53" x14ac:dyDescent="0.3">
      <c r="AY1844" t="str">
        <v>28/07/2017</v>
      </c>
      <c r="AZ1844">
        <v>60</v>
      </c>
      <c r="BA1844">
        <v>16.2</v>
      </c>
    </row>
    <row r="1845" spans="51:53" x14ac:dyDescent="0.3">
      <c r="AY1845" t="str">
        <v>27/07/2017</v>
      </c>
      <c r="AZ1845">
        <v>60</v>
      </c>
      <c r="BA1845">
        <v>16.2</v>
      </c>
    </row>
    <row r="1846" spans="51:53" x14ac:dyDescent="0.3">
      <c r="AY1846" t="str">
        <v>26/07/2017</v>
      </c>
      <c r="AZ1846">
        <v>60</v>
      </c>
      <c r="BA1846">
        <v>16.2</v>
      </c>
    </row>
    <row r="1847" spans="51:53" x14ac:dyDescent="0.3">
      <c r="AY1847" t="str">
        <v>25/07/2017</v>
      </c>
      <c r="AZ1847">
        <v>60</v>
      </c>
      <c r="BA1847">
        <v>16.2</v>
      </c>
    </row>
    <row r="1848" spans="51:53" x14ac:dyDescent="0.3">
      <c r="AY1848" t="str">
        <v>24/07/2017</v>
      </c>
      <c r="AZ1848">
        <v>60</v>
      </c>
      <c r="BA1848">
        <v>16.2</v>
      </c>
    </row>
    <row r="1849" spans="51:53" x14ac:dyDescent="0.3">
      <c r="AY1849" t="str">
        <v>21/07/2017</v>
      </c>
      <c r="AZ1849">
        <v>60.2</v>
      </c>
      <c r="BA1849">
        <v>16.5</v>
      </c>
    </row>
    <row r="1850" spans="51:53" x14ac:dyDescent="0.3">
      <c r="AY1850" t="str">
        <v>20/07/2017</v>
      </c>
      <c r="AZ1850">
        <v>60.2</v>
      </c>
      <c r="BA1850">
        <v>16.5</v>
      </c>
    </row>
    <row r="1851" spans="51:53" x14ac:dyDescent="0.3">
      <c r="AY1851" t="str">
        <v>19/07/2017</v>
      </c>
      <c r="AZ1851">
        <v>60.2</v>
      </c>
      <c r="BA1851">
        <v>16.5</v>
      </c>
    </row>
    <row r="1852" spans="51:53" x14ac:dyDescent="0.3">
      <c r="AY1852" t="str">
        <v>18/07/2017</v>
      </c>
      <c r="AZ1852">
        <v>60.2</v>
      </c>
      <c r="BA1852">
        <v>16.5</v>
      </c>
    </row>
    <row r="1853" spans="51:53" x14ac:dyDescent="0.3">
      <c r="AY1853" t="str">
        <v>17/07/2017</v>
      </c>
      <c r="AZ1853">
        <v>60.2</v>
      </c>
      <c r="BA1853">
        <v>16.5</v>
      </c>
    </row>
    <row r="1854" spans="51:53" x14ac:dyDescent="0.3">
      <c r="AY1854" t="str">
        <v>14/07/2017</v>
      </c>
      <c r="AZ1854">
        <v>57.8</v>
      </c>
      <c r="BA1854">
        <v>16.7</v>
      </c>
    </row>
    <row r="1855" spans="51:53" x14ac:dyDescent="0.3">
      <c r="AY1855" t="str">
        <v>13/07/2017</v>
      </c>
      <c r="AZ1855">
        <v>57.8</v>
      </c>
      <c r="BA1855">
        <v>16.7</v>
      </c>
    </row>
    <row r="1856" spans="51:53" x14ac:dyDescent="0.3">
      <c r="AY1856" t="str">
        <v>12/07/2017</v>
      </c>
      <c r="AZ1856">
        <v>57.8</v>
      </c>
      <c r="BA1856">
        <v>16.7</v>
      </c>
    </row>
    <row r="1857" spans="51:53" x14ac:dyDescent="0.3">
      <c r="AY1857" t="str">
        <v>11/07/2017</v>
      </c>
      <c r="AZ1857">
        <v>57.8</v>
      </c>
      <c r="BA1857">
        <v>16.7</v>
      </c>
    </row>
    <row r="1858" spans="51:53" x14ac:dyDescent="0.3">
      <c r="AY1858" t="str">
        <v>10/07/2017</v>
      </c>
      <c r="AZ1858">
        <v>57.8</v>
      </c>
      <c r="BA1858">
        <v>16.7</v>
      </c>
    </row>
    <row r="1859" spans="51:53" x14ac:dyDescent="0.3">
      <c r="AY1859" t="str">
        <v>07/07/2017</v>
      </c>
      <c r="AZ1859">
        <v>50</v>
      </c>
      <c r="BA1859">
        <v>18.600000000000001</v>
      </c>
    </row>
    <row r="1860" spans="51:53" x14ac:dyDescent="0.3">
      <c r="AY1860" t="str">
        <v>06/07/2017</v>
      </c>
      <c r="AZ1860">
        <v>50</v>
      </c>
      <c r="BA1860">
        <v>18.600000000000001</v>
      </c>
    </row>
    <row r="1861" spans="51:53" x14ac:dyDescent="0.3">
      <c r="AY1861" t="str">
        <v>05/07/2017</v>
      </c>
      <c r="AZ1861">
        <v>50</v>
      </c>
      <c r="BA1861">
        <v>18.600000000000001</v>
      </c>
    </row>
    <row r="1862" spans="51:53" x14ac:dyDescent="0.3">
      <c r="AY1862" t="str">
        <v>04/07/2017</v>
      </c>
      <c r="AZ1862">
        <v>50</v>
      </c>
      <c r="BA1862">
        <v>18.600000000000001</v>
      </c>
    </row>
    <row r="1863" spans="51:53" x14ac:dyDescent="0.3">
      <c r="AY1863" t="str">
        <v>03/07/2017</v>
      </c>
      <c r="AZ1863">
        <v>50</v>
      </c>
      <c r="BA1863">
        <v>18.600000000000001</v>
      </c>
    </row>
    <row r="1864" spans="51:53" x14ac:dyDescent="0.3">
      <c r="AY1864" t="str">
        <v>30/06/2017</v>
      </c>
      <c r="AZ1864">
        <v>52.5</v>
      </c>
      <c r="BA1864">
        <v>18.8</v>
      </c>
    </row>
    <row r="1865" spans="51:53" x14ac:dyDescent="0.3">
      <c r="AY1865" t="str">
        <v>29/06/2017</v>
      </c>
      <c r="AZ1865">
        <v>52.5</v>
      </c>
      <c r="BA1865">
        <v>18.8</v>
      </c>
    </row>
    <row r="1866" spans="51:53" x14ac:dyDescent="0.3">
      <c r="AY1866" t="str">
        <v>28/06/2017</v>
      </c>
      <c r="AZ1866">
        <v>52.5</v>
      </c>
      <c r="BA1866">
        <v>18.8</v>
      </c>
    </row>
    <row r="1867" spans="51:53" x14ac:dyDescent="0.3">
      <c r="AY1867" t="str">
        <v>27/06/2017</v>
      </c>
      <c r="AZ1867">
        <v>52.5</v>
      </c>
      <c r="BA1867">
        <v>18.8</v>
      </c>
    </row>
    <row r="1868" spans="51:53" x14ac:dyDescent="0.3">
      <c r="AY1868" t="str">
        <v>26/06/2017</v>
      </c>
      <c r="AZ1868">
        <v>52.5</v>
      </c>
      <c r="BA1868">
        <v>18.8</v>
      </c>
    </row>
    <row r="1869" spans="51:53" x14ac:dyDescent="0.3">
      <c r="AY1869" t="str">
        <v>23/06/2017</v>
      </c>
      <c r="AZ1869">
        <v>54.9</v>
      </c>
      <c r="BA1869">
        <v>18.600000000000001</v>
      </c>
    </row>
    <row r="1870" spans="51:53" x14ac:dyDescent="0.3">
      <c r="AY1870" t="str">
        <v>22/06/2017</v>
      </c>
      <c r="AZ1870">
        <v>54.9</v>
      </c>
      <c r="BA1870">
        <v>18.600000000000001</v>
      </c>
    </row>
    <row r="1871" spans="51:53" x14ac:dyDescent="0.3">
      <c r="AY1871" t="str">
        <v>21/06/2017</v>
      </c>
      <c r="AZ1871">
        <v>54.9</v>
      </c>
      <c r="BA1871">
        <v>18.600000000000001</v>
      </c>
    </row>
    <row r="1872" spans="51:53" x14ac:dyDescent="0.3">
      <c r="AY1872" t="str">
        <v>20/06/2017</v>
      </c>
      <c r="AZ1872">
        <v>54.9</v>
      </c>
      <c r="BA1872">
        <v>18.600000000000001</v>
      </c>
    </row>
    <row r="1873" spans="51:53" x14ac:dyDescent="0.3">
      <c r="AY1873" t="str">
        <v>19/06/2017</v>
      </c>
      <c r="AZ1873">
        <v>54.9</v>
      </c>
      <c r="BA1873">
        <v>18.600000000000001</v>
      </c>
    </row>
    <row r="1874" spans="51:53" x14ac:dyDescent="0.3">
      <c r="AY1874" t="str">
        <v>16/06/2017</v>
      </c>
      <c r="AZ1874">
        <v>51.5</v>
      </c>
      <c r="BA1874">
        <v>19.399999999999999</v>
      </c>
    </row>
    <row r="1875" spans="51:53" x14ac:dyDescent="0.3">
      <c r="AY1875" t="str">
        <v>15/06/2017</v>
      </c>
      <c r="AZ1875">
        <v>51.5</v>
      </c>
      <c r="BA1875">
        <v>19.399999999999999</v>
      </c>
    </row>
    <row r="1876" spans="51:53" x14ac:dyDescent="0.3">
      <c r="AY1876" t="str">
        <v>14/06/2017</v>
      </c>
      <c r="AZ1876">
        <v>51.5</v>
      </c>
      <c r="BA1876">
        <v>19.399999999999999</v>
      </c>
    </row>
    <row r="1877" spans="51:53" x14ac:dyDescent="0.3">
      <c r="AY1877" t="str">
        <v>13/06/2017</v>
      </c>
      <c r="AZ1877">
        <v>51.5</v>
      </c>
      <c r="BA1877">
        <v>19.399999999999999</v>
      </c>
    </row>
    <row r="1878" spans="51:53" x14ac:dyDescent="0.3">
      <c r="AY1878" t="str">
        <v>12/06/2017</v>
      </c>
      <c r="AZ1878">
        <v>51.5</v>
      </c>
      <c r="BA1878">
        <v>19.399999999999999</v>
      </c>
    </row>
    <row r="1879" spans="51:53" x14ac:dyDescent="0.3">
      <c r="AY1879" t="str">
        <v>09/06/2017</v>
      </c>
      <c r="AZ1879">
        <v>50</v>
      </c>
      <c r="BA1879">
        <v>18.600000000000001</v>
      </c>
    </row>
    <row r="1880" spans="51:53" x14ac:dyDescent="0.3">
      <c r="AY1880" t="str">
        <v>08/06/2017</v>
      </c>
      <c r="AZ1880">
        <v>50</v>
      </c>
      <c r="BA1880">
        <v>18.600000000000001</v>
      </c>
    </row>
    <row r="1881" spans="51:53" x14ac:dyDescent="0.3">
      <c r="AY1881" t="str">
        <v>07/06/2017</v>
      </c>
      <c r="AZ1881">
        <v>50</v>
      </c>
      <c r="BA1881">
        <v>18.600000000000001</v>
      </c>
    </row>
    <row r="1882" spans="51:53" x14ac:dyDescent="0.3">
      <c r="AY1882" t="str">
        <v>06/06/2017</v>
      </c>
      <c r="AZ1882">
        <v>50</v>
      </c>
      <c r="BA1882">
        <v>18.600000000000001</v>
      </c>
    </row>
    <row r="1883" spans="51:53" x14ac:dyDescent="0.3">
      <c r="AY1883" t="str">
        <v>05/06/2017</v>
      </c>
      <c r="AZ1883">
        <v>50</v>
      </c>
      <c r="BA1883">
        <v>18.600000000000001</v>
      </c>
    </row>
    <row r="1884" spans="51:53" x14ac:dyDescent="0.3">
      <c r="AY1884" t="str">
        <v>02/06/2017</v>
      </c>
      <c r="AZ1884">
        <v>55.8</v>
      </c>
      <c r="BA1884">
        <v>18.3</v>
      </c>
    </row>
    <row r="1885" spans="51:53" x14ac:dyDescent="0.3">
      <c r="AY1885" t="str">
        <v>01/06/2017</v>
      </c>
      <c r="AZ1885">
        <v>55.8</v>
      </c>
      <c r="BA1885">
        <v>18.3</v>
      </c>
    </row>
    <row r="1886" spans="51:53" x14ac:dyDescent="0.3">
      <c r="AY1886" t="str">
        <v>31/05/2017</v>
      </c>
      <c r="AZ1886">
        <v>55.8</v>
      </c>
      <c r="BA1886">
        <v>18.3</v>
      </c>
    </row>
    <row r="1887" spans="51:53" x14ac:dyDescent="0.3">
      <c r="AY1887" t="str">
        <v>30/05/2017</v>
      </c>
      <c r="AZ1887">
        <v>55.8</v>
      </c>
      <c r="BA1887">
        <v>18.3</v>
      </c>
    </row>
    <row r="1888" spans="51:53" x14ac:dyDescent="0.3">
      <c r="AY1888" t="str">
        <v>29/05/2017</v>
      </c>
      <c r="AZ1888">
        <v>55.8</v>
      </c>
      <c r="BA1888">
        <v>18.3</v>
      </c>
    </row>
    <row r="1889" spans="51:53" x14ac:dyDescent="0.3">
      <c r="AY1889" t="str">
        <v>26/05/2017</v>
      </c>
      <c r="AZ1889">
        <v>50</v>
      </c>
      <c r="BA1889">
        <v>19.2</v>
      </c>
    </row>
    <row r="1890" spans="51:53" x14ac:dyDescent="0.3">
      <c r="AY1890" t="str">
        <v>25/05/2017</v>
      </c>
      <c r="AZ1890">
        <v>50</v>
      </c>
      <c r="BA1890">
        <v>19.2</v>
      </c>
    </row>
    <row r="1891" spans="51:53" x14ac:dyDescent="0.3">
      <c r="AY1891" t="str">
        <v>24/05/2017</v>
      </c>
      <c r="AZ1891">
        <v>50</v>
      </c>
      <c r="BA1891">
        <v>19.2</v>
      </c>
    </row>
    <row r="1892" spans="51:53" x14ac:dyDescent="0.3">
      <c r="AY1892" t="str">
        <v>23/05/2017</v>
      </c>
      <c r="AZ1892">
        <v>50</v>
      </c>
      <c r="BA1892">
        <v>19.2</v>
      </c>
    </row>
    <row r="1893" spans="51:53" x14ac:dyDescent="0.3">
      <c r="AY1893" t="str">
        <v>22/05/2017</v>
      </c>
      <c r="AZ1893">
        <v>50</v>
      </c>
      <c r="BA1893">
        <v>19.2</v>
      </c>
    </row>
    <row r="1894" spans="51:53" x14ac:dyDescent="0.3">
      <c r="AY1894" t="str">
        <v>19/05/2017</v>
      </c>
      <c r="AZ1894">
        <v>51.9</v>
      </c>
      <c r="BA1894">
        <v>18.3</v>
      </c>
    </row>
    <row r="1895" spans="51:53" x14ac:dyDescent="0.3">
      <c r="AY1895" t="str">
        <v>18/05/2017</v>
      </c>
      <c r="AZ1895">
        <v>51.9</v>
      </c>
      <c r="BA1895">
        <v>18.3</v>
      </c>
    </row>
    <row r="1896" spans="51:53" x14ac:dyDescent="0.3">
      <c r="AY1896" t="str">
        <v>17/05/2017</v>
      </c>
      <c r="AZ1896">
        <v>51.9</v>
      </c>
      <c r="BA1896">
        <v>18.3</v>
      </c>
    </row>
    <row r="1897" spans="51:53" x14ac:dyDescent="0.3">
      <c r="AY1897" t="str">
        <v>16/05/2017</v>
      </c>
      <c r="AZ1897">
        <v>51.9</v>
      </c>
      <c r="BA1897">
        <v>18.3</v>
      </c>
    </row>
    <row r="1898" spans="51:53" x14ac:dyDescent="0.3">
      <c r="AY1898" t="str">
        <v>15/05/2017</v>
      </c>
      <c r="AZ1898">
        <v>51.9</v>
      </c>
      <c r="BA1898">
        <v>18.3</v>
      </c>
    </row>
    <row r="1899" spans="51:53" x14ac:dyDescent="0.3">
      <c r="AY1899" t="str">
        <v>12/05/2017</v>
      </c>
      <c r="AZ1899">
        <v>58.1</v>
      </c>
      <c r="BA1899">
        <v>17.100000000000001</v>
      </c>
    </row>
    <row r="1900" spans="51:53" x14ac:dyDescent="0.3">
      <c r="AY1900" t="str">
        <v>11/05/2017</v>
      </c>
      <c r="AZ1900">
        <v>58.1</v>
      </c>
      <c r="BA1900">
        <v>17.100000000000001</v>
      </c>
    </row>
    <row r="1901" spans="51:53" x14ac:dyDescent="0.3">
      <c r="AY1901" t="str">
        <v>10/05/2017</v>
      </c>
      <c r="AZ1901">
        <v>58.1</v>
      </c>
      <c r="BA1901">
        <v>17.100000000000001</v>
      </c>
    </row>
    <row r="1902" spans="51:53" x14ac:dyDescent="0.3">
      <c r="AY1902" t="str">
        <v>09/05/2017</v>
      </c>
      <c r="AZ1902">
        <v>58.1</v>
      </c>
      <c r="BA1902">
        <v>17.100000000000001</v>
      </c>
    </row>
    <row r="1903" spans="51:53" x14ac:dyDescent="0.3">
      <c r="AY1903" t="str">
        <v>08/05/2017</v>
      </c>
      <c r="AZ1903">
        <v>58.1</v>
      </c>
      <c r="BA1903">
        <v>17.100000000000001</v>
      </c>
    </row>
    <row r="1904" spans="51:53" x14ac:dyDescent="0.3">
      <c r="AY1904" t="str">
        <v>05/05/2017</v>
      </c>
      <c r="AZ1904">
        <v>58.7</v>
      </c>
      <c r="BA1904">
        <v>17.3</v>
      </c>
    </row>
    <row r="1905" spans="51:53" x14ac:dyDescent="0.3">
      <c r="AY1905" t="str">
        <v>04/05/2017</v>
      </c>
      <c r="AZ1905">
        <v>58.7</v>
      </c>
      <c r="BA1905">
        <v>17.3</v>
      </c>
    </row>
    <row r="1906" spans="51:53" x14ac:dyDescent="0.3">
      <c r="AY1906" t="str">
        <v>03/05/2017</v>
      </c>
      <c r="AZ1906">
        <v>58.7</v>
      </c>
      <c r="BA1906">
        <v>17.3</v>
      </c>
    </row>
    <row r="1907" spans="51:53" x14ac:dyDescent="0.3">
      <c r="AY1907" t="str">
        <v>02/05/2017</v>
      </c>
      <c r="AZ1907">
        <v>58.7</v>
      </c>
      <c r="BA1907">
        <v>17.3</v>
      </c>
    </row>
    <row r="1908" spans="51:53" x14ac:dyDescent="0.3">
      <c r="AY1908" t="str">
        <v>01/05/2017</v>
      </c>
      <c r="AZ1908">
        <v>58.7</v>
      </c>
      <c r="BA1908">
        <v>17.3</v>
      </c>
    </row>
    <row r="1909" spans="51:53" x14ac:dyDescent="0.3">
      <c r="AY1909" t="str">
        <v>28/04/2017</v>
      </c>
      <c r="AZ1909">
        <v>58.5</v>
      </c>
      <c r="BA1909">
        <v>17.899999999999999</v>
      </c>
    </row>
    <row r="1910" spans="51:53" x14ac:dyDescent="0.3">
      <c r="AY1910" t="str">
        <v>27/04/2017</v>
      </c>
      <c r="AZ1910">
        <v>58.5</v>
      </c>
      <c r="BA1910">
        <v>17.899999999999999</v>
      </c>
    </row>
    <row r="1911" spans="51:53" x14ac:dyDescent="0.3">
      <c r="AY1911" t="str">
        <v>26/04/2017</v>
      </c>
      <c r="AZ1911">
        <v>58.5</v>
      </c>
      <c r="BA1911">
        <v>17.899999999999999</v>
      </c>
    </row>
    <row r="1912" spans="51:53" x14ac:dyDescent="0.3">
      <c r="AY1912" t="str">
        <v>25/04/2017</v>
      </c>
      <c r="AZ1912">
        <v>58.5</v>
      </c>
      <c r="BA1912">
        <v>17.899999999999999</v>
      </c>
    </row>
    <row r="1913" spans="51:53" x14ac:dyDescent="0.3">
      <c r="AY1913" t="str">
        <v>24/04/2017</v>
      </c>
      <c r="AZ1913">
        <v>58.5</v>
      </c>
      <c r="BA1913">
        <v>17.899999999999999</v>
      </c>
    </row>
    <row r="1914" spans="51:53" x14ac:dyDescent="0.3">
      <c r="AY1914" t="str">
        <v>21/04/2017</v>
      </c>
      <c r="AZ1914">
        <v>54.7</v>
      </c>
      <c r="BA1914">
        <v>17.899999999999999</v>
      </c>
    </row>
    <row r="1915" spans="51:53" x14ac:dyDescent="0.3">
      <c r="AY1915" t="str">
        <v>20/04/2017</v>
      </c>
      <c r="AZ1915">
        <v>54.7</v>
      </c>
      <c r="BA1915">
        <v>17.899999999999999</v>
      </c>
    </row>
    <row r="1916" spans="51:53" x14ac:dyDescent="0.3">
      <c r="AY1916" t="str">
        <v>19/04/2017</v>
      </c>
      <c r="AZ1916">
        <v>54.7</v>
      </c>
      <c r="BA1916">
        <v>17.899999999999999</v>
      </c>
    </row>
    <row r="1917" spans="51:53" x14ac:dyDescent="0.3">
      <c r="AY1917" t="str">
        <v>18/04/2017</v>
      </c>
      <c r="AZ1917">
        <v>54.7</v>
      </c>
      <c r="BA1917">
        <v>17.899999999999999</v>
      </c>
    </row>
    <row r="1918" spans="51:53" x14ac:dyDescent="0.3">
      <c r="AY1918" t="str">
        <v>17/04/2017</v>
      </c>
      <c r="AZ1918">
        <v>54.7</v>
      </c>
      <c r="BA1918">
        <v>17.899999999999999</v>
      </c>
    </row>
    <row r="1919" spans="51:53" x14ac:dyDescent="0.3">
      <c r="AY1919" t="str">
        <v>14/04/2017</v>
      </c>
      <c r="AZ1919">
        <v>51.9</v>
      </c>
      <c r="BA1919">
        <v>18.3</v>
      </c>
    </row>
    <row r="1920" spans="51:53" x14ac:dyDescent="0.3">
      <c r="AY1920" t="str">
        <v>13/04/2017</v>
      </c>
      <c r="AZ1920">
        <v>51.9</v>
      </c>
      <c r="BA1920">
        <v>18.3</v>
      </c>
    </row>
    <row r="1921" spans="51:53" x14ac:dyDescent="0.3">
      <c r="AY1921" t="str">
        <v>12/04/2017</v>
      </c>
      <c r="AZ1921">
        <v>51.9</v>
      </c>
      <c r="BA1921">
        <v>18.3</v>
      </c>
    </row>
    <row r="1922" spans="51:53" x14ac:dyDescent="0.3">
      <c r="AY1922" t="str">
        <v>11/04/2017</v>
      </c>
      <c r="AZ1922">
        <v>51.9</v>
      </c>
      <c r="BA1922">
        <v>18.3</v>
      </c>
    </row>
    <row r="1923" spans="51:53" x14ac:dyDescent="0.3">
      <c r="AY1923" t="str">
        <v>10/04/2017</v>
      </c>
      <c r="AZ1923">
        <v>51.9</v>
      </c>
      <c r="BA1923">
        <v>18.3</v>
      </c>
    </row>
    <row r="1924" spans="51:53" x14ac:dyDescent="0.3">
      <c r="AY1924" t="str">
        <v>07/04/2017</v>
      </c>
      <c r="AZ1924">
        <v>56.3</v>
      </c>
      <c r="BA1924">
        <v>17.5</v>
      </c>
    </row>
    <row r="1925" spans="51:53" x14ac:dyDescent="0.3">
      <c r="AY1925" t="str">
        <v>06/04/2017</v>
      </c>
      <c r="AZ1925">
        <v>56.3</v>
      </c>
      <c r="BA1925">
        <v>17.5</v>
      </c>
    </row>
    <row r="1926" spans="51:53" x14ac:dyDescent="0.3">
      <c r="AY1926" t="str">
        <v>05/04/2017</v>
      </c>
      <c r="AZ1926">
        <v>56.3</v>
      </c>
      <c r="BA1926">
        <v>17.5</v>
      </c>
    </row>
    <row r="1927" spans="51:53" x14ac:dyDescent="0.3">
      <c r="AY1927" t="str">
        <v>04/04/2017</v>
      </c>
      <c r="AZ1927">
        <v>56.3</v>
      </c>
      <c r="BA1927">
        <v>17.5</v>
      </c>
    </row>
    <row r="1928" spans="51:53" x14ac:dyDescent="0.3">
      <c r="AY1928" t="str">
        <v>03/04/2017</v>
      </c>
      <c r="AZ1928">
        <v>56.3</v>
      </c>
      <c r="BA1928">
        <v>17.5</v>
      </c>
    </row>
    <row r="1929" spans="51:53" x14ac:dyDescent="0.3">
      <c r="AY1929" t="str">
        <v>31/03/2017</v>
      </c>
      <c r="AZ1929">
        <v>55.8</v>
      </c>
      <c r="BA1929">
        <v>18.3</v>
      </c>
    </row>
    <row r="1930" spans="51:53" x14ac:dyDescent="0.3">
      <c r="AY1930" t="str">
        <v>30/03/2017</v>
      </c>
      <c r="AZ1930">
        <v>55.8</v>
      </c>
      <c r="BA1930">
        <v>18.3</v>
      </c>
    </row>
    <row r="1931" spans="51:53" x14ac:dyDescent="0.3">
      <c r="AY1931" t="str">
        <v>29/03/2017</v>
      </c>
      <c r="AZ1931">
        <v>55.8</v>
      </c>
      <c r="BA1931">
        <v>18.3</v>
      </c>
    </row>
    <row r="1932" spans="51:53" x14ac:dyDescent="0.3">
      <c r="AY1932" t="str">
        <v>28/03/2017</v>
      </c>
      <c r="AZ1932">
        <v>55.8</v>
      </c>
      <c r="BA1932">
        <v>18.3</v>
      </c>
    </row>
    <row r="1933" spans="51:53" x14ac:dyDescent="0.3">
      <c r="AY1933" t="str">
        <v>27/03/2017</v>
      </c>
      <c r="AZ1933">
        <v>55.8</v>
      </c>
      <c r="BA1933">
        <v>18.3</v>
      </c>
    </row>
    <row r="1934" spans="51:53" x14ac:dyDescent="0.3">
      <c r="AY1934" t="str">
        <v>24/03/2017</v>
      </c>
      <c r="AZ1934">
        <v>49.5</v>
      </c>
      <c r="BA1934">
        <v>18.100000000000001</v>
      </c>
    </row>
    <row r="1935" spans="51:53" x14ac:dyDescent="0.3">
      <c r="AY1935" t="str">
        <v>23/03/2017</v>
      </c>
      <c r="AZ1935">
        <v>49.5</v>
      </c>
      <c r="BA1935">
        <v>18.100000000000001</v>
      </c>
    </row>
    <row r="1936" spans="51:53" x14ac:dyDescent="0.3">
      <c r="AY1936" t="str">
        <v>22/03/2017</v>
      </c>
      <c r="AZ1936">
        <v>49.5</v>
      </c>
      <c r="BA1936">
        <v>18.100000000000001</v>
      </c>
    </row>
    <row r="1937" spans="51:53" x14ac:dyDescent="0.3">
      <c r="AY1937" t="str">
        <v>21/03/2017</v>
      </c>
      <c r="AZ1937">
        <v>49.5</v>
      </c>
      <c r="BA1937">
        <v>18.100000000000001</v>
      </c>
    </row>
    <row r="1938" spans="51:53" x14ac:dyDescent="0.3">
      <c r="AY1938" t="str">
        <v>20/03/2017</v>
      </c>
      <c r="AZ1938">
        <v>49.5</v>
      </c>
      <c r="BA1938">
        <v>18.100000000000001</v>
      </c>
    </row>
    <row r="1939" spans="51:53" x14ac:dyDescent="0.3">
      <c r="AY1939" t="str">
        <v>17/03/2017</v>
      </c>
      <c r="AZ1939">
        <v>56.7</v>
      </c>
      <c r="BA1939">
        <v>17.3</v>
      </c>
    </row>
    <row r="1940" spans="51:53" x14ac:dyDescent="0.3">
      <c r="AY1940" t="str">
        <v>16/03/2017</v>
      </c>
      <c r="AZ1940">
        <v>56.7</v>
      </c>
      <c r="BA1940">
        <v>17.3</v>
      </c>
    </row>
    <row r="1941" spans="51:53" x14ac:dyDescent="0.3">
      <c r="AY1941" t="str">
        <v>15/03/2017</v>
      </c>
      <c r="AZ1941">
        <v>56.7</v>
      </c>
      <c r="BA1941">
        <v>17.3</v>
      </c>
    </row>
    <row r="1942" spans="51:53" x14ac:dyDescent="0.3">
      <c r="AY1942" t="str">
        <v>14/03/2017</v>
      </c>
      <c r="AZ1942">
        <v>56.7</v>
      </c>
      <c r="BA1942">
        <v>17.3</v>
      </c>
    </row>
    <row r="1943" spans="51:53" x14ac:dyDescent="0.3">
      <c r="AY1943" t="str">
        <v>13/03/2017</v>
      </c>
      <c r="AZ1943">
        <v>56.7</v>
      </c>
      <c r="BA1943">
        <v>17.3</v>
      </c>
    </row>
    <row r="1944" spans="51:53" x14ac:dyDescent="0.3">
      <c r="AY1944" t="str">
        <v>10/03/2017</v>
      </c>
      <c r="AZ1944">
        <v>53.4</v>
      </c>
      <c r="BA1944">
        <v>17.5</v>
      </c>
    </row>
    <row r="1945" spans="51:53" x14ac:dyDescent="0.3">
      <c r="AY1945" t="str">
        <v>09/03/2017</v>
      </c>
      <c r="AZ1945">
        <v>53.4</v>
      </c>
      <c r="BA1945">
        <v>17.5</v>
      </c>
    </row>
    <row r="1946" spans="51:53" x14ac:dyDescent="0.3">
      <c r="AY1946" t="str">
        <v>08/03/2017</v>
      </c>
      <c r="AZ1946">
        <v>53.4</v>
      </c>
      <c r="BA1946">
        <v>17.5</v>
      </c>
    </row>
    <row r="1947" spans="51:53" x14ac:dyDescent="0.3">
      <c r="AY1947" t="str">
        <v>07/03/2017</v>
      </c>
      <c r="AZ1947">
        <v>53.4</v>
      </c>
      <c r="BA1947">
        <v>17.5</v>
      </c>
    </row>
    <row r="1948" spans="51:53" x14ac:dyDescent="0.3">
      <c r="AY1948" t="str">
        <v>06/03/2017</v>
      </c>
      <c r="AZ1948">
        <v>53.4</v>
      </c>
      <c r="BA1948">
        <v>17.5</v>
      </c>
    </row>
    <row r="1949" spans="51:53" x14ac:dyDescent="0.3">
      <c r="AY1949" t="str">
        <v>03/03/2017</v>
      </c>
      <c r="AZ1949">
        <v>57.7</v>
      </c>
      <c r="BA1949">
        <v>17.3</v>
      </c>
    </row>
    <row r="1950" spans="51:53" x14ac:dyDescent="0.3">
      <c r="AY1950" t="str">
        <v>02/03/2017</v>
      </c>
      <c r="AZ1950">
        <v>57.7</v>
      </c>
      <c r="BA1950">
        <v>17.3</v>
      </c>
    </row>
    <row r="1951" spans="51:53" x14ac:dyDescent="0.3">
      <c r="AY1951" t="str">
        <v>01/03/2017</v>
      </c>
      <c r="AZ1951">
        <v>57.7</v>
      </c>
      <c r="BA1951">
        <v>17.3</v>
      </c>
    </row>
    <row r="1952" spans="51:53" x14ac:dyDescent="0.3">
      <c r="AY1952" t="str">
        <v>28/02/2017</v>
      </c>
      <c r="AZ1952">
        <v>57.7</v>
      </c>
      <c r="BA1952">
        <v>17.3</v>
      </c>
    </row>
    <row r="1953" spans="51:53" x14ac:dyDescent="0.3">
      <c r="AY1953" t="str">
        <v>27/02/2017</v>
      </c>
      <c r="AZ1953">
        <v>57.7</v>
      </c>
      <c r="BA1953">
        <v>17.3</v>
      </c>
    </row>
    <row r="1954" spans="51:53" x14ac:dyDescent="0.3">
      <c r="AY1954" t="str">
        <v>24/02/2017</v>
      </c>
      <c r="AZ1954">
        <v>63.1</v>
      </c>
      <c r="BA1954">
        <v>16.5</v>
      </c>
    </row>
    <row r="1955" spans="51:53" x14ac:dyDescent="0.3">
      <c r="AY1955" t="str">
        <v>23/02/2017</v>
      </c>
      <c r="AZ1955">
        <v>63.1</v>
      </c>
      <c r="BA1955">
        <v>16.5</v>
      </c>
    </row>
    <row r="1956" spans="51:53" x14ac:dyDescent="0.3">
      <c r="AY1956" t="str">
        <v>22/02/2017</v>
      </c>
      <c r="AZ1956">
        <v>63.1</v>
      </c>
      <c r="BA1956">
        <v>16.5</v>
      </c>
    </row>
    <row r="1957" spans="51:53" x14ac:dyDescent="0.3">
      <c r="AY1957" t="str">
        <v>21/02/2017</v>
      </c>
      <c r="AZ1957">
        <v>63.1</v>
      </c>
      <c r="BA1957">
        <v>16.5</v>
      </c>
    </row>
    <row r="1958" spans="51:53" x14ac:dyDescent="0.3">
      <c r="AY1958" t="str">
        <v>20/02/2017</v>
      </c>
      <c r="AZ1958">
        <v>63.1</v>
      </c>
      <c r="BA1958">
        <v>16.5</v>
      </c>
    </row>
    <row r="1959" spans="51:53" x14ac:dyDescent="0.3">
      <c r="AY1959" t="str">
        <v>17/02/2017</v>
      </c>
      <c r="AZ1959">
        <v>61.2</v>
      </c>
      <c r="BA1959">
        <v>17.5</v>
      </c>
    </row>
    <row r="1960" spans="51:53" x14ac:dyDescent="0.3">
      <c r="AY1960" t="str">
        <v>16/02/2017</v>
      </c>
      <c r="AZ1960">
        <v>61.2</v>
      </c>
      <c r="BA1960">
        <v>17.5</v>
      </c>
    </row>
    <row r="1961" spans="51:53" x14ac:dyDescent="0.3">
      <c r="AY1961" t="str">
        <v>15/02/2017</v>
      </c>
      <c r="AZ1961">
        <v>61.2</v>
      </c>
      <c r="BA1961">
        <v>17.5</v>
      </c>
    </row>
    <row r="1962" spans="51:53" x14ac:dyDescent="0.3">
      <c r="AY1962" t="str">
        <v>14/02/2017</v>
      </c>
      <c r="AZ1962">
        <v>61.2</v>
      </c>
      <c r="BA1962">
        <v>17.5</v>
      </c>
    </row>
    <row r="1963" spans="51:53" x14ac:dyDescent="0.3">
      <c r="AY1963" t="str">
        <v>13/02/2017</v>
      </c>
      <c r="AZ1963">
        <v>61.2</v>
      </c>
      <c r="BA1963">
        <v>17.5</v>
      </c>
    </row>
    <row r="1964" spans="51:53" x14ac:dyDescent="0.3">
      <c r="AY1964" t="str">
        <v>10/02/2017</v>
      </c>
      <c r="AZ1964">
        <v>61.8</v>
      </c>
      <c r="BA1964">
        <v>17.600000000000001</v>
      </c>
    </row>
    <row r="1965" spans="51:53" x14ac:dyDescent="0.3">
      <c r="AY1965" t="str">
        <v>09/02/2017</v>
      </c>
      <c r="AZ1965">
        <v>61.8</v>
      </c>
      <c r="BA1965">
        <v>17.600000000000001</v>
      </c>
    </row>
    <row r="1966" spans="51:53" x14ac:dyDescent="0.3">
      <c r="AY1966" t="str">
        <v>08/02/2017</v>
      </c>
      <c r="AZ1966">
        <v>61.8</v>
      </c>
      <c r="BA1966">
        <v>17.600000000000001</v>
      </c>
    </row>
    <row r="1967" spans="51:53" x14ac:dyDescent="0.3">
      <c r="AY1967" t="str">
        <v>07/02/2017</v>
      </c>
      <c r="AZ1967">
        <v>61.8</v>
      </c>
      <c r="BA1967">
        <v>17.600000000000001</v>
      </c>
    </row>
    <row r="1968" spans="51:53" x14ac:dyDescent="0.3">
      <c r="AY1968" t="str">
        <v>06/02/2017</v>
      </c>
      <c r="AZ1968">
        <v>61.8</v>
      </c>
      <c r="BA1968">
        <v>17.600000000000001</v>
      </c>
    </row>
    <row r="1969" spans="51:53" x14ac:dyDescent="0.3">
      <c r="AY1969" t="str">
        <v>03/02/2017</v>
      </c>
      <c r="AZ1969">
        <v>62.7</v>
      </c>
      <c r="BA1969">
        <v>16.7</v>
      </c>
    </row>
    <row r="1970" spans="51:53" x14ac:dyDescent="0.3">
      <c r="AY1970" t="str">
        <v>02/02/2017</v>
      </c>
      <c r="AZ1970">
        <v>62.7</v>
      </c>
      <c r="BA1970">
        <v>16.7</v>
      </c>
    </row>
    <row r="1971" spans="51:53" x14ac:dyDescent="0.3">
      <c r="AY1971" t="str">
        <v>01/02/2017</v>
      </c>
      <c r="AZ1971">
        <v>62.7</v>
      </c>
      <c r="BA1971">
        <v>16.7</v>
      </c>
    </row>
    <row r="1972" spans="51:53" x14ac:dyDescent="0.3">
      <c r="AY1972" t="str">
        <v>31/01/2017</v>
      </c>
      <c r="AZ1972">
        <v>62.7</v>
      </c>
      <c r="BA1972">
        <v>16.7</v>
      </c>
    </row>
    <row r="1973" spans="51:53" x14ac:dyDescent="0.3">
      <c r="AY1973" t="str">
        <v>30/01/2017</v>
      </c>
      <c r="AZ1973">
        <v>62.7</v>
      </c>
      <c r="BA1973">
        <v>16.7</v>
      </c>
    </row>
    <row r="1974" spans="51:53" x14ac:dyDescent="0.3">
      <c r="AY1974" t="str">
        <v>27/01/2017</v>
      </c>
      <c r="AZ1974">
        <v>61.8</v>
      </c>
      <c r="BA1974">
        <v>17.600000000000001</v>
      </c>
    </row>
    <row r="1975" spans="51:53" x14ac:dyDescent="0.3">
      <c r="AY1975" t="str">
        <v>26/01/2017</v>
      </c>
      <c r="AZ1975">
        <v>61.8</v>
      </c>
      <c r="BA1975">
        <v>17.600000000000001</v>
      </c>
    </row>
    <row r="1976" spans="51:53" x14ac:dyDescent="0.3">
      <c r="AY1976" t="str">
        <v>25/01/2017</v>
      </c>
      <c r="AZ1976">
        <v>61.8</v>
      </c>
      <c r="BA1976">
        <v>17.600000000000001</v>
      </c>
    </row>
    <row r="1977" spans="51:53" x14ac:dyDescent="0.3">
      <c r="AY1977" t="str">
        <v>24/01/2017</v>
      </c>
      <c r="AZ1977">
        <v>61.8</v>
      </c>
      <c r="BA1977">
        <v>17.600000000000001</v>
      </c>
    </row>
    <row r="1978" spans="51:53" x14ac:dyDescent="0.3">
      <c r="AY1978" t="str">
        <v>23/01/2017</v>
      </c>
      <c r="AZ1978">
        <v>61.8</v>
      </c>
      <c r="BA1978">
        <v>17.600000000000001</v>
      </c>
    </row>
    <row r="1979" spans="51:53" x14ac:dyDescent="0.3">
      <c r="AY1979" t="str">
        <v>20/01/2017</v>
      </c>
      <c r="AZ1979">
        <v>58.2</v>
      </c>
      <c r="BA1979">
        <v>17.5</v>
      </c>
    </row>
    <row r="1980" spans="51:53" x14ac:dyDescent="0.3">
      <c r="AY1980" t="str">
        <v>19/01/2017</v>
      </c>
      <c r="AZ1980">
        <v>58.2</v>
      </c>
      <c r="BA1980">
        <v>17.5</v>
      </c>
    </row>
    <row r="1981" spans="51:53" x14ac:dyDescent="0.3">
      <c r="AY1981" t="str">
        <v>18/01/2017</v>
      </c>
      <c r="AZ1981">
        <v>58.2</v>
      </c>
      <c r="BA1981">
        <v>17.5</v>
      </c>
    </row>
    <row r="1982" spans="51:53" x14ac:dyDescent="0.3">
      <c r="AY1982" t="str">
        <v>17/01/2017</v>
      </c>
      <c r="AZ1982">
        <v>58.2</v>
      </c>
      <c r="BA1982">
        <v>17.5</v>
      </c>
    </row>
    <row r="1983" spans="51:53" x14ac:dyDescent="0.3">
      <c r="AY1983" t="str">
        <v>16/01/2017</v>
      </c>
      <c r="AZ1983">
        <v>58.2</v>
      </c>
      <c r="BA1983">
        <v>17.5</v>
      </c>
    </row>
    <row r="1984" spans="51:53" x14ac:dyDescent="0.3">
      <c r="AY1984" t="str">
        <v>13/01/2017</v>
      </c>
      <c r="AZ1984">
        <v>60.6</v>
      </c>
      <c r="BA1984">
        <v>17.3</v>
      </c>
    </row>
    <row r="1985" spans="51:53" x14ac:dyDescent="0.3">
      <c r="AY1985" t="str">
        <v>12/01/2017</v>
      </c>
      <c r="AZ1985">
        <v>60.6</v>
      </c>
      <c r="BA1985">
        <v>17.3</v>
      </c>
    </row>
    <row r="1986" spans="51:53" x14ac:dyDescent="0.3">
      <c r="AY1986" t="str">
        <v>11/01/2017</v>
      </c>
      <c r="AZ1986">
        <v>60.6</v>
      </c>
      <c r="BA1986">
        <v>17.3</v>
      </c>
    </row>
    <row r="1987" spans="51:53" x14ac:dyDescent="0.3">
      <c r="AY1987" t="str">
        <v>10/01/2017</v>
      </c>
      <c r="AZ1987">
        <v>60.6</v>
      </c>
      <c r="BA1987">
        <v>17.3</v>
      </c>
    </row>
    <row r="1988" spans="51:53" x14ac:dyDescent="0.3">
      <c r="AY1988" t="str">
        <v>09/01/2017</v>
      </c>
      <c r="AZ1988">
        <v>60.6</v>
      </c>
      <c r="BA1988">
        <v>17.3</v>
      </c>
    </row>
    <row r="1989" spans="51:53" x14ac:dyDescent="0.3">
      <c r="AY1989" t="str">
        <v>06/01/2017</v>
      </c>
      <c r="AZ1989">
        <v>58.6</v>
      </c>
      <c r="BA1989">
        <v>18.3</v>
      </c>
    </row>
    <row r="1990" spans="51:53" x14ac:dyDescent="0.3">
      <c r="AY1990" t="str">
        <v>05/01/2017</v>
      </c>
      <c r="AZ1990">
        <v>58.6</v>
      </c>
      <c r="BA1990">
        <v>18.3</v>
      </c>
    </row>
    <row r="1991" spans="51:53" x14ac:dyDescent="0.3">
      <c r="AY1991" t="str">
        <v>04/01/2017</v>
      </c>
      <c r="AZ1991">
        <v>58.6</v>
      </c>
      <c r="BA1991">
        <v>18.3</v>
      </c>
    </row>
    <row r="1992" spans="51:53" x14ac:dyDescent="0.3">
      <c r="AY1992" t="str">
        <v>03/01/2017</v>
      </c>
      <c r="AZ1992">
        <v>58.6</v>
      </c>
      <c r="BA1992">
        <v>18.3</v>
      </c>
    </row>
    <row r="1993" spans="51:53" x14ac:dyDescent="0.3">
      <c r="AY1993" t="str">
        <v>02/01/2017</v>
      </c>
      <c r="AZ1993">
        <v>58.6</v>
      </c>
      <c r="BA1993">
        <v>18.3</v>
      </c>
    </row>
    <row r="1994" spans="51:53" x14ac:dyDescent="0.3">
      <c r="AY1994" t="str">
        <v>30/12/2016</v>
      </c>
      <c r="AZ1994">
        <v>60.2</v>
      </c>
      <c r="BA1994">
        <v>18.399999999999999</v>
      </c>
    </row>
    <row r="1995" spans="51:53" x14ac:dyDescent="0.3">
      <c r="AY1995" t="str">
        <v>29/12/2016</v>
      </c>
      <c r="AZ1995">
        <v>60.2</v>
      </c>
      <c r="BA1995">
        <v>18.399999999999999</v>
      </c>
    </row>
    <row r="1996" spans="51:53" x14ac:dyDescent="0.3">
      <c r="AY1996" t="str">
        <v>28/12/2016</v>
      </c>
      <c r="AZ1996">
        <v>60.2</v>
      </c>
      <c r="BA1996">
        <v>18.399999999999999</v>
      </c>
    </row>
    <row r="1997" spans="51:53" x14ac:dyDescent="0.3">
      <c r="AY1997" t="str">
        <v>27/12/2016</v>
      </c>
      <c r="AZ1997">
        <v>60.2</v>
      </c>
      <c r="BA1997">
        <v>18.399999999999999</v>
      </c>
    </row>
    <row r="1998" spans="51:53" x14ac:dyDescent="0.3">
      <c r="AY1998" t="str">
        <v>26/12/2016</v>
      </c>
      <c r="AZ1998">
        <v>60.2</v>
      </c>
      <c r="BA1998">
        <v>18.399999999999999</v>
      </c>
    </row>
    <row r="1999" spans="51:53" x14ac:dyDescent="0.3">
      <c r="AY1999" t="str">
        <v>23/12/2016</v>
      </c>
      <c r="AZ1999" t="e">
        <v>#N/A</v>
      </c>
      <c r="BA1999" t="e">
        <v>#N/A</v>
      </c>
    </row>
    <row r="2000" spans="51:53" x14ac:dyDescent="0.3">
      <c r="AY2000" t="str">
        <v>22/12/2016</v>
      </c>
      <c r="AZ2000" t="e">
        <v>#N/A</v>
      </c>
      <c r="BA2000" t="e">
        <v>#N/A</v>
      </c>
    </row>
    <row r="2001" spans="51:53" x14ac:dyDescent="0.3">
      <c r="AY2001" t="str">
        <v>21/12/2016</v>
      </c>
      <c r="AZ2001" t="e">
        <v>#N/A</v>
      </c>
      <c r="BA2001" t="e">
        <v>#N/A</v>
      </c>
    </row>
    <row r="2002" spans="51:53" x14ac:dyDescent="0.3">
      <c r="AY2002" t="str">
        <v>20/12/2016</v>
      </c>
      <c r="AZ2002" t="e">
        <v>#N/A</v>
      </c>
      <c r="BA2002" t="e">
        <v>#N/A</v>
      </c>
    </row>
    <row r="2003" spans="51:53" x14ac:dyDescent="0.3">
      <c r="AY2003" t="str">
        <v>19/12/2016</v>
      </c>
      <c r="AZ2003" t="e">
        <v>#N/A</v>
      </c>
      <c r="BA2003" t="e">
        <v>#N/A</v>
      </c>
    </row>
    <row r="2004" spans="51:53" x14ac:dyDescent="0.3">
      <c r="AY2004" t="str">
        <v>16/12/2016</v>
      </c>
      <c r="AZ2004">
        <v>59.8</v>
      </c>
      <c r="BA2004">
        <v>19.600000000000001</v>
      </c>
    </row>
    <row r="2005" spans="51:53" x14ac:dyDescent="0.3">
      <c r="AY2005" t="str">
        <v>15/12/2016</v>
      </c>
      <c r="AZ2005">
        <v>59.8</v>
      </c>
      <c r="BA2005">
        <v>19.600000000000001</v>
      </c>
    </row>
    <row r="2006" spans="51:53" x14ac:dyDescent="0.3">
      <c r="AY2006" t="str">
        <v>14/12/2016</v>
      </c>
      <c r="AZ2006">
        <v>59.8</v>
      </c>
      <c r="BA2006">
        <v>19.600000000000001</v>
      </c>
    </row>
    <row r="2007" spans="51:53" x14ac:dyDescent="0.3">
      <c r="AY2007" t="str">
        <v>13/12/2016</v>
      </c>
      <c r="AZ2007">
        <v>59.8</v>
      </c>
      <c r="BA2007">
        <v>19.600000000000001</v>
      </c>
    </row>
    <row r="2008" spans="51:53" x14ac:dyDescent="0.3">
      <c r="AY2008" t="str">
        <v>12/12/2016</v>
      </c>
      <c r="AZ2008">
        <v>59.8</v>
      </c>
      <c r="BA2008">
        <v>19.600000000000001</v>
      </c>
    </row>
    <row r="2009" spans="51:53" x14ac:dyDescent="0.3">
      <c r="AY2009" t="str">
        <v>09/12/2016</v>
      </c>
      <c r="AZ2009">
        <v>59.6</v>
      </c>
      <c r="BA2009">
        <v>19.2</v>
      </c>
    </row>
    <row r="2010" spans="51:53" x14ac:dyDescent="0.3">
      <c r="AY2010" t="str">
        <v>08/12/2016</v>
      </c>
      <c r="AZ2010">
        <v>59.6</v>
      </c>
      <c r="BA2010">
        <v>19.2</v>
      </c>
    </row>
    <row r="2011" spans="51:53" x14ac:dyDescent="0.3">
      <c r="AY2011" t="str">
        <v>07/12/2016</v>
      </c>
      <c r="AZ2011">
        <v>59.6</v>
      </c>
      <c r="BA2011">
        <v>19.2</v>
      </c>
    </row>
    <row r="2012" spans="51:53" x14ac:dyDescent="0.3">
      <c r="AY2012" t="str">
        <v>06/12/2016</v>
      </c>
      <c r="AZ2012">
        <v>59.6</v>
      </c>
      <c r="BA2012">
        <v>19.2</v>
      </c>
    </row>
    <row r="2013" spans="51:53" x14ac:dyDescent="0.3">
      <c r="AY2013" t="str">
        <v>05/12/2016</v>
      </c>
      <c r="AZ2013">
        <v>59.6</v>
      </c>
      <c r="BA2013">
        <v>19.2</v>
      </c>
    </row>
    <row r="2014" spans="51:53" x14ac:dyDescent="0.3">
      <c r="AY2014" t="str">
        <v>02/12/2016</v>
      </c>
      <c r="AZ2014">
        <v>58.8</v>
      </c>
      <c r="BA2014">
        <v>19.600000000000001</v>
      </c>
    </row>
    <row r="2015" spans="51:53" x14ac:dyDescent="0.3">
      <c r="AY2015" t="str">
        <v>01/12/2016</v>
      </c>
      <c r="AZ2015">
        <v>58.8</v>
      </c>
      <c r="BA2015">
        <v>19.600000000000001</v>
      </c>
    </row>
    <row r="2016" spans="51:53" x14ac:dyDescent="0.3">
      <c r="AY2016" t="str">
        <v>30/11/2016</v>
      </c>
      <c r="AZ2016">
        <v>58.8</v>
      </c>
      <c r="BA2016">
        <v>19.600000000000001</v>
      </c>
    </row>
    <row r="2017" spans="51:53" x14ac:dyDescent="0.3">
      <c r="AY2017" t="str">
        <v>29/11/2016</v>
      </c>
      <c r="AZ2017">
        <v>58.8</v>
      </c>
      <c r="BA2017">
        <v>19.600000000000001</v>
      </c>
    </row>
    <row r="2018" spans="51:53" x14ac:dyDescent="0.3">
      <c r="AY2018" t="str">
        <v>28/11/2016</v>
      </c>
      <c r="AZ2018">
        <v>58.8</v>
      </c>
      <c r="BA2018">
        <v>19.600000000000001</v>
      </c>
    </row>
    <row r="2019" spans="51:53" x14ac:dyDescent="0.3">
      <c r="AY2019" t="str">
        <v>25/11/2016</v>
      </c>
      <c r="AZ2019">
        <v>56.3</v>
      </c>
      <c r="BA2019">
        <v>22.3</v>
      </c>
    </row>
    <row r="2020" spans="51:53" x14ac:dyDescent="0.3">
      <c r="AY2020" t="str">
        <v>24/11/2016</v>
      </c>
      <c r="AZ2020">
        <v>56.3</v>
      </c>
      <c r="BA2020">
        <v>22.3</v>
      </c>
    </row>
    <row r="2021" spans="51:53" x14ac:dyDescent="0.3">
      <c r="AY2021" t="str">
        <v>23/11/2016</v>
      </c>
      <c r="AZ2021">
        <v>56.3</v>
      </c>
      <c r="BA2021">
        <v>22.3</v>
      </c>
    </row>
    <row r="2022" spans="51:53" x14ac:dyDescent="0.3">
      <c r="AY2022" t="str">
        <v>22/11/2016</v>
      </c>
      <c r="AZ2022">
        <v>56.3</v>
      </c>
      <c r="BA2022">
        <v>22.3</v>
      </c>
    </row>
    <row r="2023" spans="51:53" x14ac:dyDescent="0.3">
      <c r="AY2023" t="str">
        <v>21/11/2016</v>
      </c>
      <c r="AZ2023">
        <v>56.3</v>
      </c>
      <c r="BA2023">
        <v>22.3</v>
      </c>
    </row>
    <row r="2024" spans="51:53" x14ac:dyDescent="0.3">
      <c r="AY2024" t="str">
        <v>18/11/2016</v>
      </c>
      <c r="AZ2024">
        <v>55.9</v>
      </c>
      <c r="BA2024">
        <v>21.6</v>
      </c>
    </row>
    <row r="2025" spans="51:53" x14ac:dyDescent="0.3">
      <c r="AY2025" t="str">
        <v>17/11/2016</v>
      </c>
      <c r="AZ2025">
        <v>55.9</v>
      </c>
      <c r="BA2025">
        <v>21.6</v>
      </c>
    </row>
    <row r="2026" spans="51:53" x14ac:dyDescent="0.3">
      <c r="AY2026" t="str">
        <v>16/11/2016</v>
      </c>
      <c r="AZ2026">
        <v>55.9</v>
      </c>
      <c r="BA2026">
        <v>21.6</v>
      </c>
    </row>
    <row r="2027" spans="51:53" x14ac:dyDescent="0.3">
      <c r="AY2027" t="str">
        <v>15/11/2016</v>
      </c>
      <c r="AZ2027">
        <v>55.9</v>
      </c>
      <c r="BA2027">
        <v>21.6</v>
      </c>
    </row>
    <row r="2028" spans="51:53" x14ac:dyDescent="0.3">
      <c r="AY2028" t="str">
        <v>14/11/2016</v>
      </c>
      <c r="AZ2028">
        <v>55.9</v>
      </c>
      <c r="BA2028">
        <v>21.6</v>
      </c>
    </row>
    <row r="2029" spans="51:53" x14ac:dyDescent="0.3">
      <c r="AY2029" t="str">
        <v>11/11/2016</v>
      </c>
      <c r="AZ2029">
        <v>51</v>
      </c>
      <c r="BA2029">
        <v>23.5</v>
      </c>
    </row>
    <row r="2030" spans="51:53" x14ac:dyDescent="0.3">
      <c r="AY2030" t="str">
        <v>10/11/2016</v>
      </c>
      <c r="AZ2030">
        <v>51</v>
      </c>
      <c r="BA2030">
        <v>23.5</v>
      </c>
    </row>
    <row r="2031" spans="51:53" x14ac:dyDescent="0.3">
      <c r="AY2031" t="str">
        <v>09/11/2016</v>
      </c>
      <c r="AZ2031">
        <v>51</v>
      </c>
      <c r="BA2031">
        <v>23.5</v>
      </c>
    </row>
    <row r="2032" spans="51:53" x14ac:dyDescent="0.3">
      <c r="AY2032" t="str">
        <v>08/11/2016</v>
      </c>
      <c r="AZ2032">
        <v>51</v>
      </c>
      <c r="BA2032">
        <v>23.5</v>
      </c>
    </row>
    <row r="2033" spans="51:53" x14ac:dyDescent="0.3">
      <c r="AY2033" t="str">
        <v>07/11/2016</v>
      </c>
      <c r="AZ2033">
        <v>51</v>
      </c>
      <c r="BA2033">
        <v>23.5</v>
      </c>
    </row>
    <row r="2034" spans="51:53" x14ac:dyDescent="0.3">
      <c r="AY2034" t="str">
        <v>04/11/2016</v>
      </c>
      <c r="AZ2034">
        <v>42.9</v>
      </c>
      <c r="BA2034">
        <v>25.7</v>
      </c>
    </row>
    <row r="2035" spans="51:53" x14ac:dyDescent="0.3">
      <c r="AY2035" t="str">
        <v>03/11/2016</v>
      </c>
      <c r="AZ2035">
        <v>42.9</v>
      </c>
      <c r="BA2035">
        <v>25.7</v>
      </c>
    </row>
    <row r="2036" spans="51:53" x14ac:dyDescent="0.3">
      <c r="AY2036" t="str">
        <v>02/11/2016</v>
      </c>
      <c r="AZ2036">
        <v>42.9</v>
      </c>
      <c r="BA2036">
        <v>25.7</v>
      </c>
    </row>
    <row r="2037" spans="51:53" x14ac:dyDescent="0.3">
      <c r="AY2037" t="str">
        <v>01/11/2016</v>
      </c>
      <c r="AZ2037">
        <v>42.9</v>
      </c>
      <c r="BA2037">
        <v>25.7</v>
      </c>
    </row>
    <row r="2038" spans="51:53" x14ac:dyDescent="0.3">
      <c r="AY2038" t="str">
        <v>31/10/2016</v>
      </c>
      <c r="AZ2038">
        <v>42.9</v>
      </c>
      <c r="BA2038">
        <v>25.7</v>
      </c>
    </row>
    <row r="2039" spans="51:53" x14ac:dyDescent="0.3">
      <c r="AY2039" t="str">
        <v>28/10/2016</v>
      </c>
      <c r="AZ2039">
        <v>41.7</v>
      </c>
      <c r="BA2039">
        <v>24.3</v>
      </c>
    </row>
    <row r="2040" spans="51:53" x14ac:dyDescent="0.3">
      <c r="AY2040" t="str">
        <v>27/10/2016</v>
      </c>
      <c r="AZ2040">
        <v>41.7</v>
      </c>
      <c r="BA2040">
        <v>24.3</v>
      </c>
    </row>
    <row r="2041" spans="51:53" x14ac:dyDescent="0.3">
      <c r="AY2041" t="str">
        <v>26/10/2016</v>
      </c>
      <c r="AZ2041">
        <v>41.7</v>
      </c>
      <c r="BA2041">
        <v>24.3</v>
      </c>
    </row>
    <row r="2042" spans="51:53" x14ac:dyDescent="0.3">
      <c r="AY2042" t="str">
        <v>25/10/2016</v>
      </c>
      <c r="AZ2042">
        <v>41.7</v>
      </c>
      <c r="BA2042">
        <v>24.3</v>
      </c>
    </row>
    <row r="2043" spans="51:53" x14ac:dyDescent="0.3">
      <c r="AY2043" t="str">
        <v>24/10/2016</v>
      </c>
      <c r="AZ2043">
        <v>41.7</v>
      </c>
      <c r="BA2043">
        <v>24.3</v>
      </c>
    </row>
    <row r="2044" spans="51:53" x14ac:dyDescent="0.3">
      <c r="AY2044" t="str">
        <v>21/10/2016</v>
      </c>
      <c r="AZ2044">
        <v>47.1</v>
      </c>
      <c r="BA2044">
        <v>23.1</v>
      </c>
    </row>
    <row r="2045" spans="51:53" x14ac:dyDescent="0.3">
      <c r="AY2045" t="str">
        <v>20/10/2016</v>
      </c>
      <c r="AZ2045">
        <v>47.1</v>
      </c>
      <c r="BA2045">
        <v>23.1</v>
      </c>
    </row>
    <row r="2046" spans="51:53" x14ac:dyDescent="0.3">
      <c r="AY2046" t="str">
        <v>19/10/2016</v>
      </c>
      <c r="AZ2046">
        <v>47.1</v>
      </c>
      <c r="BA2046">
        <v>23.1</v>
      </c>
    </row>
    <row r="2047" spans="51:53" x14ac:dyDescent="0.3">
      <c r="AY2047" t="str">
        <v>18/10/2016</v>
      </c>
      <c r="AZ2047">
        <v>47.1</v>
      </c>
      <c r="BA2047">
        <v>23.1</v>
      </c>
    </row>
    <row r="2048" spans="51:53" x14ac:dyDescent="0.3">
      <c r="AY2048" t="str">
        <v>17/10/2016</v>
      </c>
      <c r="AZ2048">
        <v>47.1</v>
      </c>
      <c r="BA2048">
        <v>23.1</v>
      </c>
    </row>
    <row r="2049" spans="51:53" x14ac:dyDescent="0.3">
      <c r="AY2049" t="str">
        <v>14/10/2016</v>
      </c>
      <c r="AZ2049">
        <v>42.9</v>
      </c>
      <c r="BA2049">
        <v>23.8</v>
      </c>
    </row>
    <row r="2050" spans="51:53" x14ac:dyDescent="0.3">
      <c r="AY2050" t="str">
        <v>13/10/2016</v>
      </c>
      <c r="AZ2050">
        <v>42.9</v>
      </c>
      <c r="BA2050">
        <v>23.8</v>
      </c>
    </row>
    <row r="2051" spans="51:53" x14ac:dyDescent="0.3">
      <c r="AY2051" t="str">
        <v>12/10/2016</v>
      </c>
      <c r="AZ2051">
        <v>42.9</v>
      </c>
      <c r="BA2051">
        <v>23.8</v>
      </c>
    </row>
    <row r="2052" spans="51:53" x14ac:dyDescent="0.3">
      <c r="AY2052" t="str">
        <v>11/10/2016</v>
      </c>
      <c r="AZ2052">
        <v>42.9</v>
      </c>
      <c r="BA2052">
        <v>23.8</v>
      </c>
    </row>
    <row r="2053" spans="51:53" x14ac:dyDescent="0.3">
      <c r="AY2053" t="str">
        <v>10/10/2016</v>
      </c>
      <c r="AZ2053">
        <v>42.9</v>
      </c>
      <c r="BA2053">
        <v>23.8</v>
      </c>
    </row>
    <row r="2054" spans="51:53" x14ac:dyDescent="0.3">
      <c r="AY2054" t="str">
        <v>07/10/2016</v>
      </c>
      <c r="AZ2054">
        <v>46.1</v>
      </c>
      <c r="BA2054">
        <v>23.1</v>
      </c>
    </row>
    <row r="2055" spans="51:53" x14ac:dyDescent="0.3">
      <c r="AY2055" t="str">
        <v>06/10/2016</v>
      </c>
      <c r="AZ2055">
        <v>46.1</v>
      </c>
      <c r="BA2055">
        <v>23.1</v>
      </c>
    </row>
    <row r="2056" spans="51:53" x14ac:dyDescent="0.3">
      <c r="AY2056" t="str">
        <v>05/10/2016</v>
      </c>
      <c r="AZ2056">
        <v>46.1</v>
      </c>
      <c r="BA2056">
        <v>23.1</v>
      </c>
    </row>
    <row r="2057" spans="51:53" x14ac:dyDescent="0.3">
      <c r="AY2057" t="str">
        <v>04/10/2016</v>
      </c>
      <c r="AZ2057">
        <v>46.1</v>
      </c>
      <c r="BA2057">
        <v>23.1</v>
      </c>
    </row>
    <row r="2058" spans="51:53" x14ac:dyDescent="0.3">
      <c r="AY2058" t="str">
        <v>03/10/2016</v>
      </c>
      <c r="AZ2058">
        <v>46.1</v>
      </c>
      <c r="BA2058">
        <v>23.1</v>
      </c>
    </row>
    <row r="2059" spans="51:53" x14ac:dyDescent="0.3">
      <c r="AY2059" t="str">
        <v>30/09/2016</v>
      </c>
      <c r="AZ2059">
        <v>46.7</v>
      </c>
      <c r="BA2059">
        <v>22.8</v>
      </c>
    </row>
    <row r="2060" spans="51:53" x14ac:dyDescent="0.3">
      <c r="AY2060" t="str">
        <v>29/09/2016</v>
      </c>
      <c r="AZ2060">
        <v>46.7</v>
      </c>
      <c r="BA2060">
        <v>22.8</v>
      </c>
    </row>
    <row r="2061" spans="51:53" x14ac:dyDescent="0.3">
      <c r="AY2061" t="str">
        <v>28/09/2016</v>
      </c>
      <c r="AZ2061">
        <v>46.7</v>
      </c>
      <c r="BA2061">
        <v>22.8</v>
      </c>
    </row>
    <row r="2062" spans="51:53" x14ac:dyDescent="0.3">
      <c r="AY2062" t="str">
        <v>27/09/2016</v>
      </c>
      <c r="AZ2062">
        <v>46.7</v>
      </c>
      <c r="BA2062">
        <v>22.8</v>
      </c>
    </row>
    <row r="2063" spans="51:53" x14ac:dyDescent="0.3">
      <c r="AY2063" t="str">
        <v>26/09/2016</v>
      </c>
      <c r="AZ2063">
        <v>46.7</v>
      </c>
      <c r="BA2063">
        <v>22.8</v>
      </c>
    </row>
    <row r="2064" spans="51:53" x14ac:dyDescent="0.3">
      <c r="AY2064" t="str">
        <v>23/09/2016</v>
      </c>
      <c r="AZ2064">
        <v>45.2</v>
      </c>
      <c r="BA2064">
        <v>23.1</v>
      </c>
    </row>
    <row r="2065" spans="51:53" x14ac:dyDescent="0.3">
      <c r="AY2065" t="str">
        <v>22/09/2016</v>
      </c>
      <c r="AZ2065">
        <v>45.2</v>
      </c>
      <c r="BA2065">
        <v>23.1</v>
      </c>
    </row>
    <row r="2066" spans="51:53" x14ac:dyDescent="0.3">
      <c r="AY2066" t="str">
        <v>21/09/2016</v>
      </c>
      <c r="AZ2066">
        <v>45.2</v>
      </c>
      <c r="BA2066">
        <v>23.1</v>
      </c>
    </row>
    <row r="2067" spans="51:53" x14ac:dyDescent="0.3">
      <c r="AY2067" t="str">
        <v>20/09/2016</v>
      </c>
      <c r="AZ2067">
        <v>45.2</v>
      </c>
      <c r="BA2067">
        <v>23.1</v>
      </c>
    </row>
    <row r="2068" spans="51:53" x14ac:dyDescent="0.3">
      <c r="AY2068" t="str">
        <v>19/09/2016</v>
      </c>
      <c r="AZ2068">
        <v>45.2</v>
      </c>
      <c r="BA2068">
        <v>23.1</v>
      </c>
    </row>
    <row r="2069" spans="51:53" x14ac:dyDescent="0.3">
      <c r="AY2069" t="str">
        <v>16/09/2016</v>
      </c>
      <c r="AZ2069">
        <v>44.6</v>
      </c>
      <c r="BA2069">
        <v>24.3</v>
      </c>
    </row>
    <row r="2070" spans="51:53" x14ac:dyDescent="0.3">
      <c r="AY2070" t="str">
        <v>15/09/2016</v>
      </c>
      <c r="AZ2070">
        <v>44.6</v>
      </c>
      <c r="BA2070">
        <v>24.3</v>
      </c>
    </row>
    <row r="2071" spans="51:53" x14ac:dyDescent="0.3">
      <c r="AY2071" t="str">
        <v>14/09/2016</v>
      </c>
      <c r="AZ2071">
        <v>44.6</v>
      </c>
      <c r="BA2071">
        <v>24.3</v>
      </c>
    </row>
    <row r="2072" spans="51:53" x14ac:dyDescent="0.3">
      <c r="AY2072" t="str">
        <v>13/09/2016</v>
      </c>
      <c r="AZ2072">
        <v>44.6</v>
      </c>
      <c r="BA2072">
        <v>24.3</v>
      </c>
    </row>
    <row r="2073" spans="51:53" x14ac:dyDescent="0.3">
      <c r="AY2073" t="str">
        <v>12/09/2016</v>
      </c>
      <c r="AZ2073">
        <v>44.6</v>
      </c>
      <c r="BA2073">
        <v>24.3</v>
      </c>
    </row>
    <row r="2074" spans="51:53" x14ac:dyDescent="0.3">
      <c r="AY2074" t="str">
        <v>09/09/2016</v>
      </c>
      <c r="AZ2074">
        <v>49</v>
      </c>
      <c r="BA2074">
        <v>22.6</v>
      </c>
    </row>
    <row r="2075" spans="51:53" x14ac:dyDescent="0.3">
      <c r="AY2075" t="str">
        <v>08/09/2016</v>
      </c>
      <c r="AZ2075">
        <v>49</v>
      </c>
      <c r="BA2075">
        <v>22.6</v>
      </c>
    </row>
    <row r="2076" spans="51:53" x14ac:dyDescent="0.3">
      <c r="AY2076" t="str">
        <v>07/09/2016</v>
      </c>
      <c r="AZ2076">
        <v>49</v>
      </c>
      <c r="BA2076">
        <v>22.6</v>
      </c>
    </row>
    <row r="2077" spans="51:53" x14ac:dyDescent="0.3">
      <c r="AY2077" t="str">
        <v>06/09/2016</v>
      </c>
      <c r="AZ2077">
        <v>49</v>
      </c>
      <c r="BA2077">
        <v>22.6</v>
      </c>
    </row>
    <row r="2078" spans="51:53" x14ac:dyDescent="0.3">
      <c r="AY2078" t="str">
        <v>05/09/2016</v>
      </c>
      <c r="AZ2078">
        <v>49</v>
      </c>
      <c r="BA2078">
        <v>22.6</v>
      </c>
    </row>
    <row r="2079" spans="51:53" x14ac:dyDescent="0.3">
      <c r="AY2079" t="str">
        <v>02/09/2016</v>
      </c>
      <c r="AZ2079">
        <v>52.5</v>
      </c>
      <c r="BA2079">
        <v>22.8</v>
      </c>
    </row>
    <row r="2080" spans="51:53" x14ac:dyDescent="0.3">
      <c r="AY2080" t="str">
        <v>01/09/2016</v>
      </c>
      <c r="AZ2080">
        <v>52.5</v>
      </c>
      <c r="BA2080">
        <v>22.8</v>
      </c>
    </row>
    <row r="2081" spans="51:53" x14ac:dyDescent="0.3">
      <c r="AY2081" t="str">
        <v>31/08/2016</v>
      </c>
      <c r="AZ2081">
        <v>52.5</v>
      </c>
      <c r="BA2081">
        <v>22.8</v>
      </c>
    </row>
    <row r="2082" spans="51:53" x14ac:dyDescent="0.3">
      <c r="AY2082" t="str">
        <v>30/08/2016</v>
      </c>
      <c r="AZ2082">
        <v>52.5</v>
      </c>
      <c r="BA2082">
        <v>22.8</v>
      </c>
    </row>
    <row r="2083" spans="51:53" x14ac:dyDescent="0.3">
      <c r="AY2083" t="str">
        <v>29/08/2016</v>
      </c>
      <c r="AZ2083">
        <v>52.5</v>
      </c>
      <c r="BA2083">
        <v>22.8</v>
      </c>
    </row>
    <row r="2084" spans="51:53" x14ac:dyDescent="0.3">
      <c r="AY2084" t="str">
        <v>26/08/2016</v>
      </c>
      <c r="AZ2084">
        <v>55.9</v>
      </c>
      <c r="BA2084">
        <v>20.6</v>
      </c>
    </row>
    <row r="2085" spans="51:53" x14ac:dyDescent="0.3">
      <c r="AY2085" t="str">
        <v>25/08/2016</v>
      </c>
      <c r="AZ2085">
        <v>55.9</v>
      </c>
      <c r="BA2085">
        <v>20.6</v>
      </c>
    </row>
    <row r="2086" spans="51:53" x14ac:dyDescent="0.3">
      <c r="AY2086" t="str">
        <v>24/08/2016</v>
      </c>
      <c r="AZ2086">
        <v>55.9</v>
      </c>
      <c r="BA2086">
        <v>20.6</v>
      </c>
    </row>
    <row r="2087" spans="51:53" x14ac:dyDescent="0.3">
      <c r="AY2087" t="str">
        <v>23/08/2016</v>
      </c>
      <c r="AZ2087">
        <v>55.9</v>
      </c>
      <c r="BA2087">
        <v>20.6</v>
      </c>
    </row>
    <row r="2088" spans="51:53" x14ac:dyDescent="0.3">
      <c r="AY2088" t="str">
        <v>22/08/2016</v>
      </c>
      <c r="AZ2088">
        <v>55.9</v>
      </c>
      <c r="BA2088">
        <v>20.6</v>
      </c>
    </row>
    <row r="2089" spans="51:53" x14ac:dyDescent="0.3">
      <c r="AY2089" t="str">
        <v>19/08/2016</v>
      </c>
      <c r="AZ2089">
        <v>56.7</v>
      </c>
      <c r="BA2089">
        <v>20.2</v>
      </c>
    </row>
    <row r="2090" spans="51:53" x14ac:dyDescent="0.3">
      <c r="AY2090" t="str">
        <v>18/08/2016</v>
      </c>
      <c r="AZ2090">
        <v>56.7</v>
      </c>
      <c r="BA2090">
        <v>20.2</v>
      </c>
    </row>
    <row r="2091" spans="51:53" x14ac:dyDescent="0.3">
      <c r="AY2091" t="str">
        <v>17/08/2016</v>
      </c>
      <c r="AZ2091">
        <v>56.7</v>
      </c>
      <c r="BA2091">
        <v>20.2</v>
      </c>
    </row>
    <row r="2092" spans="51:53" x14ac:dyDescent="0.3">
      <c r="AY2092" t="str">
        <v>16/08/2016</v>
      </c>
      <c r="AZ2092">
        <v>56.7</v>
      </c>
      <c r="BA2092">
        <v>20.2</v>
      </c>
    </row>
    <row r="2093" spans="51:53" x14ac:dyDescent="0.3">
      <c r="AY2093" t="str">
        <v>15/08/2016</v>
      </c>
      <c r="AZ2093">
        <v>56.7</v>
      </c>
      <c r="BA2093">
        <v>20.2</v>
      </c>
    </row>
    <row r="2094" spans="51:53" x14ac:dyDescent="0.3">
      <c r="AY2094" t="str">
        <v>12/08/2016</v>
      </c>
      <c r="AZ2094">
        <v>56.2</v>
      </c>
      <c r="BA2094">
        <v>20</v>
      </c>
    </row>
    <row r="2095" spans="51:53" x14ac:dyDescent="0.3">
      <c r="AY2095" t="str">
        <v>11/08/2016</v>
      </c>
      <c r="AZ2095">
        <v>56.2</v>
      </c>
      <c r="BA2095">
        <v>20</v>
      </c>
    </row>
    <row r="2096" spans="51:53" x14ac:dyDescent="0.3">
      <c r="AY2096" t="str">
        <v>10/08/2016</v>
      </c>
      <c r="AZ2096">
        <v>56.2</v>
      </c>
      <c r="BA2096">
        <v>20</v>
      </c>
    </row>
    <row r="2097" spans="51:53" x14ac:dyDescent="0.3">
      <c r="AY2097" t="str">
        <v>09/08/2016</v>
      </c>
      <c r="AZ2097">
        <v>56.2</v>
      </c>
      <c r="BA2097">
        <v>20</v>
      </c>
    </row>
    <row r="2098" spans="51:53" x14ac:dyDescent="0.3">
      <c r="AY2098" t="str">
        <v>08/08/2016</v>
      </c>
      <c r="AZ2098">
        <v>56.2</v>
      </c>
      <c r="BA2098">
        <v>20</v>
      </c>
    </row>
    <row r="2099" spans="51:53" x14ac:dyDescent="0.3">
      <c r="AY2099" t="str">
        <v>05/08/2016</v>
      </c>
      <c r="AZ2099">
        <v>54.3</v>
      </c>
      <c r="BA2099">
        <v>20.9</v>
      </c>
    </row>
    <row r="2100" spans="51:53" x14ac:dyDescent="0.3">
      <c r="AY2100" t="str">
        <v>04/08/2016</v>
      </c>
      <c r="AZ2100">
        <v>54.3</v>
      </c>
      <c r="BA2100">
        <v>20.9</v>
      </c>
    </row>
    <row r="2101" spans="51:53" x14ac:dyDescent="0.3">
      <c r="AY2101" t="str">
        <v>03/08/2016</v>
      </c>
      <c r="AZ2101">
        <v>54.3</v>
      </c>
      <c r="BA2101">
        <v>20.9</v>
      </c>
    </row>
    <row r="2102" spans="51:53" x14ac:dyDescent="0.3">
      <c r="AY2102" t="str">
        <v>02/08/2016</v>
      </c>
      <c r="AZ2102">
        <v>54.3</v>
      </c>
      <c r="BA2102">
        <v>20.9</v>
      </c>
    </row>
    <row r="2103" spans="51:53" x14ac:dyDescent="0.3">
      <c r="AY2103" t="str">
        <v>01/08/2016</v>
      </c>
      <c r="AZ2103">
        <v>54.3</v>
      </c>
      <c r="BA2103">
        <v>20.9</v>
      </c>
    </row>
    <row r="2104" spans="51:53" x14ac:dyDescent="0.3">
      <c r="AY2104" t="str">
        <v>29/07/2016</v>
      </c>
      <c r="AZ2104">
        <v>52.9</v>
      </c>
      <c r="BA2104">
        <v>21.2</v>
      </c>
    </row>
    <row r="2105" spans="51:53" x14ac:dyDescent="0.3">
      <c r="AY2105" t="str">
        <v>28/07/2016</v>
      </c>
      <c r="AZ2105">
        <v>52.9</v>
      </c>
      <c r="BA2105">
        <v>21.2</v>
      </c>
    </row>
    <row r="2106" spans="51:53" x14ac:dyDescent="0.3">
      <c r="AY2106" t="str">
        <v>27/07/2016</v>
      </c>
      <c r="AZ2106">
        <v>52.9</v>
      </c>
      <c r="BA2106">
        <v>21.2</v>
      </c>
    </row>
    <row r="2107" spans="51:53" x14ac:dyDescent="0.3">
      <c r="AY2107" t="str">
        <v>26/07/2016</v>
      </c>
      <c r="AZ2107">
        <v>52.9</v>
      </c>
      <c r="BA2107">
        <v>21.2</v>
      </c>
    </row>
    <row r="2108" spans="51:53" x14ac:dyDescent="0.3">
      <c r="AY2108" t="str">
        <v>25/07/2016</v>
      </c>
      <c r="AZ2108">
        <v>52.9</v>
      </c>
      <c r="BA2108">
        <v>21.2</v>
      </c>
    </row>
    <row r="2109" spans="51:53" x14ac:dyDescent="0.3">
      <c r="AY2109" t="str">
        <v>22/07/2016</v>
      </c>
      <c r="AZ2109">
        <v>53.9</v>
      </c>
      <c r="BA2109">
        <v>21.6</v>
      </c>
    </row>
    <row r="2110" spans="51:53" x14ac:dyDescent="0.3">
      <c r="AY2110" t="str">
        <v>21/07/2016</v>
      </c>
      <c r="AZ2110">
        <v>53.9</v>
      </c>
      <c r="BA2110">
        <v>21.6</v>
      </c>
    </row>
    <row r="2111" spans="51:53" x14ac:dyDescent="0.3">
      <c r="AY2111" t="str">
        <v>20/07/2016</v>
      </c>
      <c r="AZ2111">
        <v>53.9</v>
      </c>
      <c r="BA2111">
        <v>21.6</v>
      </c>
    </row>
    <row r="2112" spans="51:53" x14ac:dyDescent="0.3">
      <c r="AY2112" t="str">
        <v>19/07/2016</v>
      </c>
      <c r="AZ2112">
        <v>53.9</v>
      </c>
      <c r="BA2112">
        <v>21.6</v>
      </c>
    </row>
    <row r="2113" spans="51:53" x14ac:dyDescent="0.3">
      <c r="AY2113" t="str">
        <v>18/07/2016</v>
      </c>
      <c r="AZ2113">
        <v>53.9</v>
      </c>
      <c r="BA2113">
        <v>21.6</v>
      </c>
    </row>
    <row r="2114" spans="51:53" x14ac:dyDescent="0.3">
      <c r="AY2114" t="str">
        <v>15/07/2016</v>
      </c>
      <c r="AZ2114">
        <v>54.4</v>
      </c>
      <c r="BA2114">
        <v>23.3</v>
      </c>
    </row>
    <row r="2115" spans="51:53" x14ac:dyDescent="0.3">
      <c r="AY2115" t="str">
        <v>14/07/2016</v>
      </c>
      <c r="AZ2115">
        <v>54.4</v>
      </c>
      <c r="BA2115">
        <v>23.3</v>
      </c>
    </row>
    <row r="2116" spans="51:53" x14ac:dyDescent="0.3">
      <c r="AY2116" t="str">
        <v>13/07/2016</v>
      </c>
      <c r="AZ2116">
        <v>54.4</v>
      </c>
      <c r="BA2116">
        <v>23.3</v>
      </c>
    </row>
    <row r="2117" spans="51:53" x14ac:dyDescent="0.3">
      <c r="AY2117" t="str">
        <v>12/07/2016</v>
      </c>
      <c r="AZ2117">
        <v>54.4</v>
      </c>
      <c r="BA2117">
        <v>23.3</v>
      </c>
    </row>
    <row r="2118" spans="51:53" x14ac:dyDescent="0.3">
      <c r="AY2118" t="str">
        <v>11/07/2016</v>
      </c>
      <c r="AZ2118">
        <v>54.4</v>
      </c>
      <c r="BA2118">
        <v>23.3</v>
      </c>
    </row>
    <row r="2119" spans="51:53" x14ac:dyDescent="0.3">
      <c r="AY2119" t="str">
        <v>08/07/2016</v>
      </c>
      <c r="AZ2119">
        <v>52.5</v>
      </c>
      <c r="BA2119">
        <v>24.7</v>
      </c>
    </row>
    <row r="2120" spans="51:53" x14ac:dyDescent="0.3">
      <c r="AY2120" t="str">
        <v>07/07/2016</v>
      </c>
      <c r="AZ2120">
        <v>52.5</v>
      </c>
      <c r="BA2120">
        <v>24.7</v>
      </c>
    </row>
    <row r="2121" spans="51:53" x14ac:dyDescent="0.3">
      <c r="AY2121" t="str">
        <v>06/07/2016</v>
      </c>
      <c r="AZ2121">
        <v>52.5</v>
      </c>
      <c r="BA2121">
        <v>24.7</v>
      </c>
    </row>
    <row r="2122" spans="51:53" x14ac:dyDescent="0.3">
      <c r="AY2122" t="str">
        <v>05/07/2016</v>
      </c>
      <c r="AZ2122">
        <v>52.5</v>
      </c>
      <c r="BA2122">
        <v>24.7</v>
      </c>
    </row>
    <row r="2123" spans="51:53" x14ac:dyDescent="0.3">
      <c r="AY2123" t="str">
        <v>04/07/2016</v>
      </c>
      <c r="AZ2123">
        <v>52.5</v>
      </c>
      <c r="BA2123">
        <v>24.7</v>
      </c>
    </row>
    <row r="2124" spans="51:53" x14ac:dyDescent="0.3">
      <c r="AY2124" t="str">
        <v>01/07/2016</v>
      </c>
      <c r="AZ2124">
        <v>47.1</v>
      </c>
      <c r="BA2124">
        <v>24.5</v>
      </c>
    </row>
    <row r="2125" spans="51:53" x14ac:dyDescent="0.3">
      <c r="AY2125" t="str">
        <v>30/06/2016</v>
      </c>
      <c r="AZ2125">
        <v>47.1</v>
      </c>
      <c r="BA2125">
        <v>24.5</v>
      </c>
    </row>
    <row r="2126" spans="51:53" x14ac:dyDescent="0.3">
      <c r="AY2126" t="str">
        <v>29/06/2016</v>
      </c>
      <c r="AZ2126">
        <v>47.1</v>
      </c>
      <c r="BA2126">
        <v>24.5</v>
      </c>
    </row>
    <row r="2127" spans="51:53" x14ac:dyDescent="0.3">
      <c r="AY2127" t="str">
        <v>28/06/2016</v>
      </c>
      <c r="AZ2127">
        <v>47.1</v>
      </c>
      <c r="BA2127">
        <v>24.5</v>
      </c>
    </row>
    <row r="2128" spans="51:53" x14ac:dyDescent="0.3">
      <c r="AY2128" t="str">
        <v>27/06/2016</v>
      </c>
      <c r="AZ2128">
        <v>47.1</v>
      </c>
      <c r="BA2128">
        <v>24.5</v>
      </c>
    </row>
    <row r="2129" spans="51:53" x14ac:dyDescent="0.3">
      <c r="AY2129" t="str">
        <v>24/06/2016</v>
      </c>
      <c r="AZ2129">
        <v>41.6</v>
      </c>
      <c r="BA2129">
        <v>23.8</v>
      </c>
    </row>
    <row r="2130" spans="51:53" x14ac:dyDescent="0.3">
      <c r="AY2130" t="str">
        <v>23/06/2016</v>
      </c>
      <c r="AZ2130">
        <v>41.6</v>
      </c>
      <c r="BA2130">
        <v>23.8</v>
      </c>
    </row>
    <row r="2131" spans="51:53" x14ac:dyDescent="0.3">
      <c r="AY2131" t="str">
        <v>22/06/2016</v>
      </c>
      <c r="AZ2131">
        <v>41.6</v>
      </c>
      <c r="BA2131">
        <v>23.8</v>
      </c>
    </row>
    <row r="2132" spans="51:53" x14ac:dyDescent="0.3">
      <c r="AY2132" t="str">
        <v>21/06/2016</v>
      </c>
      <c r="AZ2132">
        <v>41.6</v>
      </c>
      <c r="BA2132">
        <v>23.8</v>
      </c>
    </row>
    <row r="2133" spans="51:53" x14ac:dyDescent="0.3">
      <c r="AY2133" t="str">
        <v>20/06/2016</v>
      </c>
      <c r="AZ2133">
        <v>41.6</v>
      </c>
      <c r="BA2133">
        <v>23.8</v>
      </c>
    </row>
    <row r="2134" spans="51:53" x14ac:dyDescent="0.3">
      <c r="AY2134" t="str">
        <v>17/06/2016</v>
      </c>
      <c r="AZ2134">
        <v>47.5</v>
      </c>
      <c r="BA2134">
        <v>23.2</v>
      </c>
    </row>
    <row r="2135" spans="51:53" x14ac:dyDescent="0.3">
      <c r="AY2135" t="str">
        <v>16/06/2016</v>
      </c>
      <c r="AZ2135">
        <v>47.5</v>
      </c>
      <c r="BA2135">
        <v>23.2</v>
      </c>
    </row>
    <row r="2136" spans="51:53" x14ac:dyDescent="0.3">
      <c r="AY2136" t="str">
        <v>15/06/2016</v>
      </c>
      <c r="AZ2136">
        <v>47.5</v>
      </c>
      <c r="BA2136">
        <v>23.2</v>
      </c>
    </row>
    <row r="2137" spans="51:53" x14ac:dyDescent="0.3">
      <c r="AY2137" t="str">
        <v>14/06/2016</v>
      </c>
      <c r="AZ2137">
        <v>47.5</v>
      </c>
      <c r="BA2137">
        <v>23.2</v>
      </c>
    </row>
    <row r="2138" spans="51:53" x14ac:dyDescent="0.3">
      <c r="AY2138" t="str">
        <v>13/06/2016</v>
      </c>
      <c r="AZ2138">
        <v>47.5</v>
      </c>
      <c r="BA2138">
        <v>23.2</v>
      </c>
    </row>
    <row r="2139" spans="51:53" x14ac:dyDescent="0.3">
      <c r="AY2139" t="str">
        <v>10/06/2016</v>
      </c>
      <c r="AZ2139">
        <v>45.9</v>
      </c>
      <c r="BA2139">
        <v>23.5</v>
      </c>
    </row>
    <row r="2140" spans="51:53" x14ac:dyDescent="0.3">
      <c r="AY2140" t="str">
        <v>09/06/2016</v>
      </c>
      <c r="AZ2140">
        <v>45.9</v>
      </c>
      <c r="BA2140">
        <v>23.5</v>
      </c>
    </row>
    <row r="2141" spans="51:53" x14ac:dyDescent="0.3">
      <c r="AY2141" t="str">
        <v>08/06/2016</v>
      </c>
      <c r="AZ2141">
        <v>45.9</v>
      </c>
      <c r="BA2141">
        <v>23.5</v>
      </c>
    </row>
    <row r="2142" spans="51:53" x14ac:dyDescent="0.3">
      <c r="AY2142" t="str">
        <v>07/06/2016</v>
      </c>
      <c r="AZ2142">
        <v>45.9</v>
      </c>
      <c r="BA2142">
        <v>23.5</v>
      </c>
    </row>
    <row r="2143" spans="51:53" x14ac:dyDescent="0.3">
      <c r="AY2143" t="str">
        <v>06/06/2016</v>
      </c>
      <c r="AZ2143">
        <v>45.9</v>
      </c>
      <c r="BA2143">
        <v>23.5</v>
      </c>
    </row>
    <row r="2144" spans="51:53" x14ac:dyDescent="0.3">
      <c r="AY2144" t="str">
        <v>03/06/2016</v>
      </c>
      <c r="AZ2144">
        <v>47.3</v>
      </c>
      <c r="BA2144">
        <v>23.8</v>
      </c>
    </row>
    <row r="2145" spans="51:53" x14ac:dyDescent="0.3">
      <c r="AY2145" t="str">
        <v>02/06/2016</v>
      </c>
      <c r="AZ2145">
        <v>47.3</v>
      </c>
      <c r="BA2145">
        <v>23.8</v>
      </c>
    </row>
    <row r="2146" spans="51:53" x14ac:dyDescent="0.3">
      <c r="AY2146" t="str">
        <v>01/06/2016</v>
      </c>
      <c r="AZ2146">
        <v>47.3</v>
      </c>
      <c r="BA2146">
        <v>23.8</v>
      </c>
    </row>
    <row r="2147" spans="51:53" x14ac:dyDescent="0.3">
      <c r="AY2147" t="str">
        <v>31/05/2016</v>
      </c>
      <c r="AZ2147">
        <v>47.3</v>
      </c>
      <c r="BA2147">
        <v>23.8</v>
      </c>
    </row>
    <row r="2148" spans="51:53" x14ac:dyDescent="0.3">
      <c r="AY2148" t="str">
        <v>30/05/2016</v>
      </c>
      <c r="AZ2148">
        <v>47.3</v>
      </c>
      <c r="BA2148">
        <v>23.8</v>
      </c>
    </row>
    <row r="2149" spans="51:53" x14ac:dyDescent="0.3">
      <c r="AY2149" t="str">
        <v>27/05/2016</v>
      </c>
      <c r="AZ2149">
        <v>45.4</v>
      </c>
      <c r="BA2149">
        <v>23.7</v>
      </c>
    </row>
    <row r="2150" spans="51:53" x14ac:dyDescent="0.3">
      <c r="AY2150" t="str">
        <v>26/05/2016</v>
      </c>
      <c r="AZ2150">
        <v>45.4</v>
      </c>
      <c r="BA2150">
        <v>23.7</v>
      </c>
    </row>
    <row r="2151" spans="51:53" x14ac:dyDescent="0.3">
      <c r="AY2151" t="str">
        <v>25/05/2016</v>
      </c>
      <c r="AZ2151">
        <v>45.4</v>
      </c>
      <c r="BA2151">
        <v>23.7</v>
      </c>
    </row>
    <row r="2152" spans="51:53" x14ac:dyDescent="0.3">
      <c r="AY2152" t="str">
        <v>24/05/2016</v>
      </c>
      <c r="AZ2152">
        <v>45.4</v>
      </c>
      <c r="BA2152">
        <v>23.7</v>
      </c>
    </row>
    <row r="2153" spans="51:53" x14ac:dyDescent="0.3">
      <c r="AY2153" t="str">
        <v>23/05/2016</v>
      </c>
      <c r="AZ2153">
        <v>45.4</v>
      </c>
      <c r="BA2153">
        <v>23.7</v>
      </c>
    </row>
    <row r="2154" spans="51:53" x14ac:dyDescent="0.3">
      <c r="AY2154" t="str">
        <v>20/05/2016</v>
      </c>
      <c r="AZ2154">
        <v>35.4</v>
      </c>
      <c r="BA2154">
        <v>24</v>
      </c>
    </row>
    <row r="2155" spans="51:53" x14ac:dyDescent="0.3">
      <c r="AY2155" t="str">
        <v>19/05/2016</v>
      </c>
      <c r="AZ2155">
        <v>35.4</v>
      </c>
      <c r="BA2155">
        <v>24</v>
      </c>
    </row>
    <row r="2156" spans="51:53" x14ac:dyDescent="0.3">
      <c r="AY2156" t="str">
        <v>18/05/2016</v>
      </c>
      <c r="AZ2156">
        <v>35.4</v>
      </c>
      <c r="BA2156">
        <v>24</v>
      </c>
    </row>
    <row r="2157" spans="51:53" x14ac:dyDescent="0.3">
      <c r="AY2157" t="str">
        <v>17/05/2016</v>
      </c>
      <c r="AZ2157">
        <v>35.4</v>
      </c>
      <c r="BA2157">
        <v>24</v>
      </c>
    </row>
    <row r="2158" spans="51:53" x14ac:dyDescent="0.3">
      <c r="AY2158" t="str">
        <v>16/05/2016</v>
      </c>
      <c r="AZ2158">
        <v>35.4</v>
      </c>
      <c r="BA2158">
        <v>24</v>
      </c>
    </row>
    <row r="2159" spans="51:53" x14ac:dyDescent="0.3">
      <c r="AY2159" t="str">
        <v>13/05/2016</v>
      </c>
      <c r="AZ2159">
        <v>40.200000000000003</v>
      </c>
      <c r="BA2159">
        <v>21.7</v>
      </c>
    </row>
    <row r="2160" spans="51:53" x14ac:dyDescent="0.3">
      <c r="AY2160" t="str">
        <v>12/05/2016</v>
      </c>
      <c r="AZ2160">
        <v>40.200000000000003</v>
      </c>
      <c r="BA2160">
        <v>21.7</v>
      </c>
    </row>
    <row r="2161" spans="51:53" x14ac:dyDescent="0.3">
      <c r="AY2161" t="str">
        <v>11/05/2016</v>
      </c>
      <c r="AZ2161">
        <v>40.200000000000003</v>
      </c>
      <c r="BA2161">
        <v>21.7</v>
      </c>
    </row>
    <row r="2162" spans="51:53" x14ac:dyDescent="0.3">
      <c r="AY2162" t="str">
        <v>10/05/2016</v>
      </c>
      <c r="AZ2162">
        <v>40.200000000000003</v>
      </c>
      <c r="BA2162">
        <v>21.7</v>
      </c>
    </row>
    <row r="2163" spans="51:53" x14ac:dyDescent="0.3">
      <c r="AY2163" t="str">
        <v>09/05/2016</v>
      </c>
      <c r="AZ2163">
        <v>40.200000000000003</v>
      </c>
      <c r="BA2163">
        <v>21.7</v>
      </c>
    </row>
    <row r="2164" spans="51:53" x14ac:dyDescent="0.3">
      <c r="AY2164" t="str">
        <v>06/05/2016</v>
      </c>
      <c r="AZ2164">
        <v>39.200000000000003</v>
      </c>
      <c r="BA2164">
        <v>21.6</v>
      </c>
    </row>
    <row r="2165" spans="51:53" x14ac:dyDescent="0.3">
      <c r="AY2165" t="str">
        <v>05/05/2016</v>
      </c>
      <c r="AZ2165">
        <v>39.200000000000003</v>
      </c>
      <c r="BA2165">
        <v>21.6</v>
      </c>
    </row>
    <row r="2166" spans="51:53" x14ac:dyDescent="0.3">
      <c r="AY2166" t="str">
        <v>04/05/2016</v>
      </c>
      <c r="AZ2166">
        <v>39.200000000000003</v>
      </c>
      <c r="BA2166">
        <v>21.6</v>
      </c>
    </row>
    <row r="2167" spans="51:53" x14ac:dyDescent="0.3">
      <c r="AY2167" t="str">
        <v>03/05/2016</v>
      </c>
      <c r="AZ2167">
        <v>39.200000000000003</v>
      </c>
      <c r="BA2167">
        <v>21.6</v>
      </c>
    </row>
    <row r="2168" spans="51:53" x14ac:dyDescent="0.3">
      <c r="AY2168" t="str">
        <v>02/05/2016</v>
      </c>
      <c r="AZ2168">
        <v>39.200000000000003</v>
      </c>
      <c r="BA2168">
        <v>21.6</v>
      </c>
    </row>
    <row r="2169" spans="51:53" x14ac:dyDescent="0.3">
      <c r="AY2169" t="str">
        <v>29/04/2016</v>
      </c>
      <c r="AZ2169">
        <v>40.200000000000003</v>
      </c>
      <c r="BA2169">
        <v>21.7</v>
      </c>
    </row>
    <row r="2170" spans="51:53" x14ac:dyDescent="0.3">
      <c r="AY2170" t="str">
        <v>28/04/2016</v>
      </c>
      <c r="AZ2170">
        <v>40.200000000000003</v>
      </c>
      <c r="BA2170">
        <v>21.7</v>
      </c>
    </row>
    <row r="2171" spans="51:53" x14ac:dyDescent="0.3">
      <c r="AY2171" t="str">
        <v>27/04/2016</v>
      </c>
      <c r="AZ2171">
        <v>40.200000000000003</v>
      </c>
      <c r="BA2171">
        <v>21.7</v>
      </c>
    </row>
    <row r="2172" spans="51:53" x14ac:dyDescent="0.3">
      <c r="AY2172" t="str">
        <v>26/04/2016</v>
      </c>
      <c r="AZ2172">
        <v>40.200000000000003</v>
      </c>
      <c r="BA2172">
        <v>21.7</v>
      </c>
    </row>
    <row r="2173" spans="51:53" x14ac:dyDescent="0.3">
      <c r="AY2173" t="str">
        <v>25/04/2016</v>
      </c>
      <c r="AZ2173">
        <v>40.200000000000003</v>
      </c>
      <c r="BA2173">
        <v>21.7</v>
      </c>
    </row>
    <row r="2174" spans="51:53" x14ac:dyDescent="0.3">
      <c r="AY2174" t="str">
        <v>22/04/2016</v>
      </c>
      <c r="AZ2174">
        <v>44.3</v>
      </c>
      <c r="BA2174">
        <v>20.6</v>
      </c>
    </row>
    <row r="2175" spans="51:53" x14ac:dyDescent="0.3">
      <c r="AY2175" t="str">
        <v>21/04/2016</v>
      </c>
      <c r="AZ2175">
        <v>44.3</v>
      </c>
      <c r="BA2175">
        <v>20.6</v>
      </c>
    </row>
    <row r="2176" spans="51:53" x14ac:dyDescent="0.3">
      <c r="AY2176" t="str">
        <v>20/04/2016</v>
      </c>
      <c r="AZ2176">
        <v>44.3</v>
      </c>
      <c r="BA2176">
        <v>20.6</v>
      </c>
    </row>
    <row r="2177" spans="51:53" x14ac:dyDescent="0.3">
      <c r="AY2177" t="str">
        <v>19/04/2016</v>
      </c>
      <c r="AZ2177">
        <v>44.3</v>
      </c>
      <c r="BA2177">
        <v>20.6</v>
      </c>
    </row>
    <row r="2178" spans="51:53" x14ac:dyDescent="0.3">
      <c r="AY2178" t="str">
        <v>18/04/2016</v>
      </c>
      <c r="AZ2178">
        <v>44.3</v>
      </c>
      <c r="BA2178">
        <v>20.6</v>
      </c>
    </row>
    <row r="2179" spans="51:53" x14ac:dyDescent="0.3">
      <c r="AY2179" t="str">
        <v>15/04/2016</v>
      </c>
      <c r="AZ2179">
        <v>47.4</v>
      </c>
      <c r="BA2179">
        <v>21.7</v>
      </c>
    </row>
    <row r="2180" spans="51:53" x14ac:dyDescent="0.3">
      <c r="AY2180" t="str">
        <v>14/04/2016</v>
      </c>
      <c r="AZ2180">
        <v>47.4</v>
      </c>
      <c r="BA2180">
        <v>21.7</v>
      </c>
    </row>
    <row r="2181" spans="51:53" x14ac:dyDescent="0.3">
      <c r="AY2181" t="str">
        <v>13/04/2016</v>
      </c>
      <c r="AZ2181">
        <v>47.4</v>
      </c>
      <c r="BA2181">
        <v>21.7</v>
      </c>
    </row>
    <row r="2182" spans="51:53" x14ac:dyDescent="0.3">
      <c r="AY2182" t="str">
        <v>12/04/2016</v>
      </c>
      <c r="AZ2182">
        <v>47.4</v>
      </c>
      <c r="BA2182">
        <v>21.7</v>
      </c>
    </row>
    <row r="2183" spans="51:53" x14ac:dyDescent="0.3">
      <c r="AY2183" t="str">
        <v>11/04/2016</v>
      </c>
      <c r="AZ2183">
        <v>47.4</v>
      </c>
      <c r="BA2183">
        <v>21.7</v>
      </c>
    </row>
    <row r="2184" spans="51:53" x14ac:dyDescent="0.3">
      <c r="AY2184" t="str">
        <v>08/04/2016</v>
      </c>
      <c r="AZ2184">
        <v>41.2</v>
      </c>
      <c r="BA2184">
        <v>27.8</v>
      </c>
    </row>
    <row r="2185" spans="51:53" x14ac:dyDescent="0.3">
      <c r="AY2185" t="str">
        <v>07/04/2016</v>
      </c>
      <c r="AZ2185">
        <v>41.2</v>
      </c>
      <c r="BA2185">
        <v>27.8</v>
      </c>
    </row>
    <row r="2186" spans="51:53" x14ac:dyDescent="0.3">
      <c r="AY2186" t="str">
        <v>06/04/2016</v>
      </c>
      <c r="AZ2186">
        <v>41.2</v>
      </c>
      <c r="BA2186">
        <v>27.8</v>
      </c>
    </row>
    <row r="2187" spans="51:53" x14ac:dyDescent="0.3">
      <c r="AY2187" t="str">
        <v>05/04/2016</v>
      </c>
      <c r="AZ2187">
        <v>41.2</v>
      </c>
      <c r="BA2187">
        <v>27.8</v>
      </c>
    </row>
    <row r="2188" spans="51:53" x14ac:dyDescent="0.3">
      <c r="AY2188" t="str">
        <v>04/04/2016</v>
      </c>
      <c r="AZ2188">
        <v>41.2</v>
      </c>
      <c r="BA2188">
        <v>27.8</v>
      </c>
    </row>
    <row r="2189" spans="51:53" x14ac:dyDescent="0.3">
      <c r="AY2189" t="str">
        <v>01/04/2016</v>
      </c>
      <c r="AZ2189">
        <v>45.4</v>
      </c>
      <c r="BA2189">
        <v>27.8</v>
      </c>
    </row>
    <row r="2190" spans="51:53" x14ac:dyDescent="0.3">
      <c r="AY2190" t="str">
        <v>31/03/2016</v>
      </c>
      <c r="AZ2190">
        <v>45.4</v>
      </c>
      <c r="BA2190">
        <v>27.8</v>
      </c>
    </row>
    <row r="2191" spans="51:53" x14ac:dyDescent="0.3">
      <c r="AY2191" t="str">
        <v>30/03/2016</v>
      </c>
      <c r="AZ2191">
        <v>45.4</v>
      </c>
      <c r="BA2191">
        <v>27.8</v>
      </c>
    </row>
    <row r="2192" spans="51:53" x14ac:dyDescent="0.3">
      <c r="AY2192" t="str">
        <v>29/03/2016</v>
      </c>
      <c r="AZ2192">
        <v>45.4</v>
      </c>
      <c r="BA2192">
        <v>27.8</v>
      </c>
    </row>
    <row r="2193" spans="51:53" x14ac:dyDescent="0.3">
      <c r="AY2193" t="str">
        <v>28/03/2016</v>
      </c>
      <c r="AZ2193">
        <v>45.4</v>
      </c>
      <c r="BA2193">
        <v>27.8</v>
      </c>
    </row>
    <row r="2194" spans="51:53" x14ac:dyDescent="0.3">
      <c r="AY2194" t="str">
        <v>25/03/2016</v>
      </c>
      <c r="AZ2194">
        <v>43.3</v>
      </c>
      <c r="BA2194">
        <v>28.9</v>
      </c>
    </row>
    <row r="2195" spans="51:53" x14ac:dyDescent="0.3">
      <c r="AY2195" t="str">
        <v>24/03/2016</v>
      </c>
      <c r="AZ2195">
        <v>43.3</v>
      </c>
      <c r="BA2195">
        <v>28.9</v>
      </c>
    </row>
    <row r="2196" spans="51:53" x14ac:dyDescent="0.3">
      <c r="AY2196" t="str">
        <v>23/03/2016</v>
      </c>
      <c r="AZ2196">
        <v>43.3</v>
      </c>
      <c r="BA2196">
        <v>28.9</v>
      </c>
    </row>
    <row r="2197" spans="51:53" x14ac:dyDescent="0.3">
      <c r="AY2197" t="str">
        <v>22/03/2016</v>
      </c>
      <c r="AZ2197">
        <v>43.3</v>
      </c>
      <c r="BA2197">
        <v>28.9</v>
      </c>
    </row>
    <row r="2198" spans="51:53" x14ac:dyDescent="0.3">
      <c r="AY2198" t="str">
        <v>21/03/2016</v>
      </c>
      <c r="AZ2198">
        <v>43.3</v>
      </c>
      <c r="BA2198">
        <v>28.9</v>
      </c>
    </row>
    <row r="2199" spans="51:53" x14ac:dyDescent="0.3">
      <c r="AY2199" t="str">
        <v>18/03/2016</v>
      </c>
      <c r="AZ2199">
        <v>47.4</v>
      </c>
      <c r="BA2199">
        <v>27.8</v>
      </c>
    </row>
    <row r="2200" spans="51:53" x14ac:dyDescent="0.3">
      <c r="AY2200" t="str">
        <v>17/03/2016</v>
      </c>
      <c r="AZ2200">
        <v>47.4</v>
      </c>
      <c r="BA2200">
        <v>27.8</v>
      </c>
    </row>
    <row r="2201" spans="51:53" x14ac:dyDescent="0.3">
      <c r="AY2201" t="str">
        <v>16/03/2016</v>
      </c>
      <c r="AZ2201">
        <v>47.4</v>
      </c>
      <c r="BA2201">
        <v>27.8</v>
      </c>
    </row>
    <row r="2202" spans="51:53" x14ac:dyDescent="0.3">
      <c r="AY2202" t="str">
        <v>15/03/2016</v>
      </c>
      <c r="AZ2202">
        <v>47.4</v>
      </c>
      <c r="BA2202">
        <v>27.8</v>
      </c>
    </row>
    <row r="2203" spans="51:53" x14ac:dyDescent="0.3">
      <c r="AY2203" t="str">
        <v>14/03/2016</v>
      </c>
      <c r="AZ2203">
        <v>47.4</v>
      </c>
      <c r="BA2203">
        <v>27.8</v>
      </c>
    </row>
    <row r="2204" spans="51:53" x14ac:dyDescent="0.3">
      <c r="AY2204" t="str">
        <v>11/03/2016</v>
      </c>
      <c r="AZ2204">
        <v>44.4</v>
      </c>
      <c r="BA2204">
        <v>30.3</v>
      </c>
    </row>
    <row r="2205" spans="51:53" x14ac:dyDescent="0.3">
      <c r="AY2205" t="str">
        <v>10/03/2016</v>
      </c>
      <c r="AZ2205">
        <v>44.4</v>
      </c>
      <c r="BA2205">
        <v>30.3</v>
      </c>
    </row>
    <row r="2206" spans="51:53" x14ac:dyDescent="0.3">
      <c r="AY2206" t="str">
        <v>09/03/2016</v>
      </c>
      <c r="AZ2206">
        <v>44.4</v>
      </c>
      <c r="BA2206">
        <v>30.3</v>
      </c>
    </row>
    <row r="2207" spans="51:53" x14ac:dyDescent="0.3">
      <c r="AY2207" t="str">
        <v>08/03/2016</v>
      </c>
      <c r="AZ2207">
        <v>44.4</v>
      </c>
      <c r="BA2207">
        <v>30.3</v>
      </c>
    </row>
    <row r="2208" spans="51:53" x14ac:dyDescent="0.3">
      <c r="AY2208" t="str">
        <v>07/03/2016</v>
      </c>
      <c r="AZ2208">
        <v>44.4</v>
      </c>
      <c r="BA2208">
        <v>30.3</v>
      </c>
    </row>
    <row r="2209" spans="51:53" x14ac:dyDescent="0.3">
      <c r="AY2209" t="str">
        <v>04/03/2016</v>
      </c>
      <c r="AZ2209">
        <v>39.4</v>
      </c>
      <c r="BA2209">
        <v>35.4</v>
      </c>
    </row>
    <row r="2210" spans="51:53" x14ac:dyDescent="0.3">
      <c r="AY2210" t="str">
        <v>03/03/2016</v>
      </c>
      <c r="AZ2210">
        <v>39.4</v>
      </c>
      <c r="BA2210">
        <v>35.4</v>
      </c>
    </row>
    <row r="2211" spans="51:53" x14ac:dyDescent="0.3">
      <c r="AY2211" t="str">
        <v>02/03/2016</v>
      </c>
      <c r="AZ2211">
        <v>39.4</v>
      </c>
      <c r="BA2211">
        <v>35.4</v>
      </c>
    </row>
    <row r="2212" spans="51:53" x14ac:dyDescent="0.3">
      <c r="AY2212" t="str">
        <v>01/03/2016</v>
      </c>
      <c r="AZ2212">
        <v>39.4</v>
      </c>
      <c r="BA2212">
        <v>35.4</v>
      </c>
    </row>
    <row r="2213" spans="51:53" x14ac:dyDescent="0.3">
      <c r="AY2213" t="str">
        <v>29/02/2016</v>
      </c>
      <c r="AZ2213">
        <v>39.4</v>
      </c>
      <c r="BA2213">
        <v>35.4</v>
      </c>
    </row>
    <row r="2214" spans="51:53" x14ac:dyDescent="0.3">
      <c r="AY2214" t="str">
        <v>26/02/2016</v>
      </c>
      <c r="AZ2214">
        <v>36.4</v>
      </c>
      <c r="BA2214">
        <v>34.299999999999997</v>
      </c>
    </row>
    <row r="2215" spans="51:53" x14ac:dyDescent="0.3">
      <c r="AY2215" t="str">
        <v>25/02/2016</v>
      </c>
      <c r="AZ2215">
        <v>36.4</v>
      </c>
      <c r="BA2215">
        <v>34.299999999999997</v>
      </c>
    </row>
    <row r="2216" spans="51:53" x14ac:dyDescent="0.3">
      <c r="AY2216" t="str">
        <v>24/02/2016</v>
      </c>
      <c r="AZ2216">
        <v>36.4</v>
      </c>
      <c r="BA2216">
        <v>34.299999999999997</v>
      </c>
    </row>
    <row r="2217" spans="51:53" x14ac:dyDescent="0.3">
      <c r="AY2217" t="str">
        <v>23/02/2016</v>
      </c>
      <c r="AZ2217">
        <v>36.4</v>
      </c>
      <c r="BA2217">
        <v>34.299999999999997</v>
      </c>
    </row>
    <row r="2218" spans="51:53" x14ac:dyDescent="0.3">
      <c r="AY2218" t="str">
        <v>22/02/2016</v>
      </c>
      <c r="AZ2218">
        <v>36.4</v>
      </c>
      <c r="BA2218">
        <v>34.299999999999997</v>
      </c>
    </row>
    <row r="2219" spans="51:53" x14ac:dyDescent="0.3">
      <c r="AY2219" t="str">
        <v>19/02/2016</v>
      </c>
      <c r="AZ2219">
        <v>34.700000000000003</v>
      </c>
      <c r="BA2219">
        <v>35.700000000000003</v>
      </c>
    </row>
    <row r="2220" spans="51:53" x14ac:dyDescent="0.3">
      <c r="AY2220" t="str">
        <v>18/02/2016</v>
      </c>
      <c r="AZ2220">
        <v>34.700000000000003</v>
      </c>
      <c r="BA2220">
        <v>35.700000000000003</v>
      </c>
    </row>
    <row r="2221" spans="51:53" x14ac:dyDescent="0.3">
      <c r="AY2221" t="str">
        <v>17/02/2016</v>
      </c>
      <c r="AZ2221">
        <v>34.700000000000003</v>
      </c>
      <c r="BA2221">
        <v>35.700000000000003</v>
      </c>
    </row>
    <row r="2222" spans="51:53" x14ac:dyDescent="0.3">
      <c r="AY2222" t="str">
        <v>16/02/2016</v>
      </c>
      <c r="AZ2222">
        <v>34.700000000000003</v>
      </c>
      <c r="BA2222">
        <v>35.700000000000003</v>
      </c>
    </row>
    <row r="2223" spans="51:53" x14ac:dyDescent="0.3">
      <c r="AY2223" t="str">
        <v>15/02/2016</v>
      </c>
      <c r="AZ2223">
        <v>34.700000000000003</v>
      </c>
      <c r="BA2223">
        <v>35.700000000000003</v>
      </c>
    </row>
    <row r="2224" spans="51:53" x14ac:dyDescent="0.3">
      <c r="AY2224" t="str">
        <v>12/02/2016</v>
      </c>
      <c r="AZ2224">
        <v>26.5</v>
      </c>
      <c r="BA2224">
        <v>39.799999999999997</v>
      </c>
    </row>
    <row r="2225" spans="51:53" x14ac:dyDescent="0.3">
      <c r="AY2225" t="str">
        <v>11/02/2016</v>
      </c>
      <c r="AZ2225">
        <v>26.5</v>
      </c>
      <c r="BA2225">
        <v>39.799999999999997</v>
      </c>
    </row>
    <row r="2226" spans="51:53" x14ac:dyDescent="0.3">
      <c r="AY2226" t="str">
        <v>10/02/2016</v>
      </c>
      <c r="AZ2226">
        <v>26.5</v>
      </c>
      <c r="BA2226">
        <v>39.799999999999997</v>
      </c>
    </row>
    <row r="2227" spans="51:53" x14ac:dyDescent="0.3">
      <c r="AY2227" t="str">
        <v>09/02/2016</v>
      </c>
      <c r="AZ2227">
        <v>26.5</v>
      </c>
      <c r="BA2227">
        <v>39.799999999999997</v>
      </c>
    </row>
    <row r="2228" spans="51:53" x14ac:dyDescent="0.3">
      <c r="AY2228" t="str">
        <v>08/02/2016</v>
      </c>
      <c r="AZ2228">
        <v>26.5</v>
      </c>
      <c r="BA2228">
        <v>39.799999999999997</v>
      </c>
    </row>
    <row r="2229" spans="51:53" x14ac:dyDescent="0.3">
      <c r="AY2229" t="str">
        <v>05/02/2016</v>
      </c>
      <c r="AZ2229">
        <v>24.7</v>
      </c>
      <c r="BA2229">
        <v>39.200000000000003</v>
      </c>
    </row>
    <row r="2230" spans="51:53" x14ac:dyDescent="0.3">
      <c r="AY2230" t="str">
        <v>04/02/2016</v>
      </c>
      <c r="AZ2230">
        <v>24.7</v>
      </c>
      <c r="BA2230">
        <v>39.200000000000003</v>
      </c>
    </row>
    <row r="2231" spans="51:53" x14ac:dyDescent="0.3">
      <c r="AY2231" t="str">
        <v>03/02/2016</v>
      </c>
      <c r="AZ2231">
        <v>24.7</v>
      </c>
      <c r="BA2231">
        <v>39.200000000000003</v>
      </c>
    </row>
    <row r="2232" spans="51:53" x14ac:dyDescent="0.3">
      <c r="AY2232" t="str">
        <v>02/02/2016</v>
      </c>
      <c r="AZ2232">
        <v>24.7</v>
      </c>
      <c r="BA2232">
        <v>39.200000000000003</v>
      </c>
    </row>
    <row r="2233" spans="51:53" x14ac:dyDescent="0.3">
      <c r="AY2233" t="str">
        <v>01/02/2016</v>
      </c>
      <c r="AZ2233">
        <v>24.7</v>
      </c>
      <c r="BA2233">
        <v>39.200000000000003</v>
      </c>
    </row>
    <row r="2234" spans="51:53" x14ac:dyDescent="0.3">
      <c r="AY2234" t="str">
        <v>29/01/2016</v>
      </c>
      <c r="AZ2234">
        <v>34</v>
      </c>
      <c r="BA2234">
        <v>38.1</v>
      </c>
    </row>
    <row r="2235" spans="51:53" x14ac:dyDescent="0.3">
      <c r="AY2235" t="str">
        <v>28/01/2016</v>
      </c>
      <c r="AZ2235">
        <v>34</v>
      </c>
      <c r="BA2235">
        <v>38.1</v>
      </c>
    </row>
    <row r="2236" spans="51:53" x14ac:dyDescent="0.3">
      <c r="AY2236" t="str">
        <v>27/01/2016</v>
      </c>
      <c r="AZ2236">
        <v>34</v>
      </c>
      <c r="BA2236">
        <v>38.1</v>
      </c>
    </row>
    <row r="2237" spans="51:53" x14ac:dyDescent="0.3">
      <c r="AY2237" t="str">
        <v>26/01/2016</v>
      </c>
      <c r="AZ2237">
        <v>34</v>
      </c>
      <c r="BA2237">
        <v>38.1</v>
      </c>
    </row>
    <row r="2238" spans="51:53" x14ac:dyDescent="0.3">
      <c r="AY2238" t="str">
        <v>25/01/2016</v>
      </c>
      <c r="AZ2238">
        <v>34</v>
      </c>
      <c r="BA2238">
        <v>38.1</v>
      </c>
    </row>
    <row r="2239" spans="51:53" x14ac:dyDescent="0.3">
      <c r="AY2239" t="str">
        <v>22/01/2016</v>
      </c>
      <c r="AZ2239">
        <v>29.2</v>
      </c>
      <c r="BA2239">
        <v>35.4</v>
      </c>
    </row>
    <row r="2240" spans="51:53" x14ac:dyDescent="0.3">
      <c r="AY2240" t="str">
        <v>21/01/2016</v>
      </c>
      <c r="AZ2240">
        <v>29.2</v>
      </c>
      <c r="BA2240">
        <v>35.4</v>
      </c>
    </row>
    <row r="2241" spans="51:53" x14ac:dyDescent="0.3">
      <c r="AY2241" t="str">
        <v>20/01/2016</v>
      </c>
      <c r="AZ2241">
        <v>29.2</v>
      </c>
      <c r="BA2241">
        <v>35.4</v>
      </c>
    </row>
    <row r="2242" spans="51:53" x14ac:dyDescent="0.3">
      <c r="AY2242" t="str">
        <v>19/01/2016</v>
      </c>
      <c r="AZ2242">
        <v>29.2</v>
      </c>
      <c r="BA2242">
        <v>35.4</v>
      </c>
    </row>
    <row r="2243" spans="51:53" x14ac:dyDescent="0.3">
      <c r="AY2243" t="str">
        <v>18/01/2016</v>
      </c>
      <c r="AZ2243">
        <v>29.2</v>
      </c>
      <c r="BA2243">
        <v>35.4</v>
      </c>
    </row>
    <row r="2244" spans="51:53" x14ac:dyDescent="0.3">
      <c r="AY2244" t="str">
        <v>15/01/2016</v>
      </c>
      <c r="AZ2244">
        <v>26.8</v>
      </c>
      <c r="BA2244">
        <v>36.1</v>
      </c>
    </row>
    <row r="2245" spans="51:53" x14ac:dyDescent="0.3">
      <c r="AY2245" t="str">
        <v>14/01/2016</v>
      </c>
      <c r="AZ2245">
        <v>26.8</v>
      </c>
      <c r="BA2245">
        <v>36.1</v>
      </c>
    </row>
    <row r="2246" spans="51:53" x14ac:dyDescent="0.3">
      <c r="AY2246" t="str">
        <v>13/01/2016</v>
      </c>
      <c r="AZ2246">
        <v>26.8</v>
      </c>
      <c r="BA2246">
        <v>36.1</v>
      </c>
    </row>
    <row r="2247" spans="51:53" x14ac:dyDescent="0.3">
      <c r="AY2247" t="str">
        <v>12/01/2016</v>
      </c>
      <c r="AZ2247">
        <v>26.8</v>
      </c>
      <c r="BA2247">
        <v>36.1</v>
      </c>
    </row>
    <row r="2248" spans="51:53" x14ac:dyDescent="0.3">
      <c r="AY2248" t="str">
        <v>11/01/2016</v>
      </c>
      <c r="AZ2248">
        <v>26.8</v>
      </c>
      <c r="BA2248">
        <v>36.1</v>
      </c>
    </row>
    <row r="2249" spans="51:53" x14ac:dyDescent="0.3">
      <c r="AY2249" t="str">
        <v>08/01/2016</v>
      </c>
      <c r="AZ2249">
        <v>28.6</v>
      </c>
      <c r="BA2249">
        <v>35.700000000000003</v>
      </c>
    </row>
    <row r="2250" spans="51:53" x14ac:dyDescent="0.3">
      <c r="AY2250" t="str">
        <v>07/01/2016</v>
      </c>
      <c r="AZ2250">
        <v>28.6</v>
      </c>
      <c r="BA2250">
        <v>35.700000000000003</v>
      </c>
    </row>
    <row r="2251" spans="51:53" x14ac:dyDescent="0.3">
      <c r="AY2251" t="str">
        <v>06/01/2016</v>
      </c>
      <c r="AZ2251">
        <v>28.6</v>
      </c>
      <c r="BA2251">
        <v>35.700000000000003</v>
      </c>
    </row>
    <row r="2252" spans="51:53" x14ac:dyDescent="0.3">
      <c r="AY2252" t="str">
        <v>05/01/2016</v>
      </c>
      <c r="AZ2252">
        <v>28.6</v>
      </c>
      <c r="BA2252">
        <v>35.700000000000003</v>
      </c>
    </row>
    <row r="2253" spans="51:53" x14ac:dyDescent="0.3">
      <c r="AY2253" t="str">
        <v>04/01/2016</v>
      </c>
      <c r="AZ2253">
        <v>28.6</v>
      </c>
      <c r="BA2253">
        <v>35.700000000000003</v>
      </c>
    </row>
    <row r="2254" spans="51:53" x14ac:dyDescent="0.3">
      <c r="AY2254" t="str">
        <v>01/01/2016</v>
      </c>
      <c r="AZ2254">
        <v>34.700000000000003</v>
      </c>
      <c r="BA2254">
        <v>31.6</v>
      </c>
    </row>
    <row r="2255" spans="51:53" x14ac:dyDescent="0.3">
      <c r="AY2255" t="str">
        <v>31/12/2015</v>
      </c>
      <c r="AZ2255">
        <v>34.700000000000003</v>
      </c>
      <c r="BA2255">
        <v>31.6</v>
      </c>
    </row>
    <row r="2256" spans="51:53" x14ac:dyDescent="0.3">
      <c r="AY2256" t="str">
        <v>30/12/2015</v>
      </c>
      <c r="AZ2256">
        <v>34.700000000000003</v>
      </c>
      <c r="BA2256">
        <v>31.6</v>
      </c>
    </row>
    <row r="2257" spans="51:53" x14ac:dyDescent="0.3">
      <c r="AY2257" t="str">
        <v>29/12/2015</v>
      </c>
      <c r="AZ2257">
        <v>34.700000000000003</v>
      </c>
      <c r="BA2257">
        <v>31.6</v>
      </c>
    </row>
    <row r="2258" spans="51:53" x14ac:dyDescent="0.3">
      <c r="AY2258" t="str">
        <v>28/12/2015</v>
      </c>
      <c r="AZ2258">
        <v>34.700000000000003</v>
      </c>
      <c r="BA2258">
        <v>31.6</v>
      </c>
    </row>
    <row r="2259" spans="51:53" x14ac:dyDescent="0.3">
      <c r="AY2259" t="str">
        <v>25/12/2015</v>
      </c>
      <c r="AZ2259" t="e">
        <v>#N/A</v>
      </c>
      <c r="BA2259" t="e">
        <v>#N/A</v>
      </c>
    </row>
    <row r="2260" spans="51:53" x14ac:dyDescent="0.3">
      <c r="AY2260" t="str">
        <v>24/12/2015</v>
      </c>
      <c r="AZ2260" t="e">
        <v>#N/A</v>
      </c>
      <c r="BA2260" t="e">
        <v>#N/A</v>
      </c>
    </row>
    <row r="2261" spans="51:53" x14ac:dyDescent="0.3">
      <c r="AY2261" t="str">
        <v>23/12/2015</v>
      </c>
      <c r="AZ2261" t="e">
        <v>#N/A</v>
      </c>
      <c r="BA2261" t="e">
        <v>#N/A</v>
      </c>
    </row>
    <row r="2262" spans="51:53" x14ac:dyDescent="0.3">
      <c r="AY2262" t="str">
        <v>22/12/2015</v>
      </c>
      <c r="AZ2262" t="e">
        <v>#N/A</v>
      </c>
      <c r="BA2262" t="e">
        <v>#N/A</v>
      </c>
    </row>
    <row r="2263" spans="51:53" x14ac:dyDescent="0.3">
      <c r="AY2263" t="str">
        <v>21/12/2015</v>
      </c>
      <c r="AZ2263" t="e">
        <v>#N/A</v>
      </c>
      <c r="BA2263" t="e">
        <v>#N/A</v>
      </c>
    </row>
    <row r="2264" spans="51:53" x14ac:dyDescent="0.3">
      <c r="AY2264" t="str">
        <v>18/12/2015</v>
      </c>
      <c r="AZ2264">
        <v>36.700000000000003</v>
      </c>
      <c r="BA2264">
        <v>29.6</v>
      </c>
    </row>
    <row r="2265" spans="51:53" x14ac:dyDescent="0.3">
      <c r="AY2265" t="str">
        <v>17/12/2015</v>
      </c>
      <c r="AZ2265">
        <v>36.700000000000003</v>
      </c>
      <c r="BA2265">
        <v>29.6</v>
      </c>
    </row>
    <row r="2266" spans="51:53" x14ac:dyDescent="0.3">
      <c r="AY2266" t="str">
        <v>16/12/2015</v>
      </c>
      <c r="AZ2266">
        <v>36.700000000000003</v>
      </c>
      <c r="BA2266">
        <v>29.6</v>
      </c>
    </row>
    <row r="2267" spans="51:53" x14ac:dyDescent="0.3">
      <c r="AY2267" t="str">
        <v>15/12/2015</v>
      </c>
      <c r="AZ2267">
        <v>36.700000000000003</v>
      </c>
      <c r="BA2267">
        <v>29.6</v>
      </c>
    </row>
    <row r="2268" spans="51:53" x14ac:dyDescent="0.3">
      <c r="AY2268" t="str">
        <v>14/12/2015</v>
      </c>
      <c r="AZ2268">
        <v>36.700000000000003</v>
      </c>
      <c r="BA2268">
        <v>29.6</v>
      </c>
    </row>
    <row r="2269" spans="51:53" x14ac:dyDescent="0.3">
      <c r="AY2269" t="str">
        <v>11/12/2015</v>
      </c>
      <c r="AZ2269">
        <v>37.799999999999997</v>
      </c>
      <c r="BA2269">
        <v>29.6</v>
      </c>
    </row>
    <row r="2270" spans="51:53" x14ac:dyDescent="0.3">
      <c r="AY2270" t="str">
        <v>10/12/2015</v>
      </c>
      <c r="AZ2270">
        <v>37.799999999999997</v>
      </c>
      <c r="BA2270">
        <v>29.6</v>
      </c>
    </row>
    <row r="2271" spans="51:53" x14ac:dyDescent="0.3">
      <c r="AY2271" t="str">
        <v>09/12/2015</v>
      </c>
      <c r="AZ2271">
        <v>37.799999999999997</v>
      </c>
      <c r="BA2271">
        <v>29.6</v>
      </c>
    </row>
    <row r="2272" spans="51:53" x14ac:dyDescent="0.3">
      <c r="AY2272" t="str">
        <v>08/12/2015</v>
      </c>
      <c r="AZ2272">
        <v>37.799999999999997</v>
      </c>
      <c r="BA2272">
        <v>29.6</v>
      </c>
    </row>
    <row r="2273" spans="51:53" x14ac:dyDescent="0.3">
      <c r="AY2273" t="str">
        <v>07/12/2015</v>
      </c>
      <c r="AZ2273">
        <v>37.799999999999997</v>
      </c>
      <c r="BA2273">
        <v>29.6</v>
      </c>
    </row>
    <row r="2274" spans="51:53" x14ac:dyDescent="0.3">
      <c r="AY2274" t="str">
        <v>04/12/2015</v>
      </c>
      <c r="AZ2274">
        <v>44.9</v>
      </c>
      <c r="BA2274">
        <v>27.6</v>
      </c>
    </row>
    <row r="2275" spans="51:53" x14ac:dyDescent="0.3">
      <c r="AY2275" t="str">
        <v>03/12/2015</v>
      </c>
      <c r="AZ2275">
        <v>44.9</v>
      </c>
      <c r="BA2275">
        <v>27.6</v>
      </c>
    </row>
    <row r="2276" spans="51:53" x14ac:dyDescent="0.3">
      <c r="AY2276" t="str">
        <v>02/12/2015</v>
      </c>
      <c r="AZ2276">
        <v>44.9</v>
      </c>
      <c r="BA2276">
        <v>27.6</v>
      </c>
    </row>
    <row r="2277" spans="51:53" x14ac:dyDescent="0.3">
      <c r="AY2277" t="str">
        <v>01/12/2015</v>
      </c>
      <c r="AZ2277">
        <v>44.9</v>
      </c>
      <c r="BA2277">
        <v>27.6</v>
      </c>
    </row>
    <row r="2278" spans="51:53" x14ac:dyDescent="0.3">
      <c r="AY2278" t="str">
        <v>30/11/2015</v>
      </c>
      <c r="AZ2278">
        <v>44.9</v>
      </c>
      <c r="BA2278">
        <v>27.6</v>
      </c>
    </row>
    <row r="2279" spans="51:53" x14ac:dyDescent="0.3">
      <c r="AY2279" t="str">
        <v>27/11/2015</v>
      </c>
      <c r="AZ2279">
        <v>41.2</v>
      </c>
      <c r="BA2279">
        <v>26.8</v>
      </c>
    </row>
    <row r="2280" spans="51:53" x14ac:dyDescent="0.3">
      <c r="AY2280" t="str">
        <v>26/11/2015</v>
      </c>
      <c r="AZ2280">
        <v>41.2</v>
      </c>
      <c r="BA2280">
        <v>26.8</v>
      </c>
    </row>
    <row r="2281" spans="51:53" x14ac:dyDescent="0.3">
      <c r="AY2281" t="str">
        <v>25/11/2015</v>
      </c>
      <c r="AZ2281">
        <v>41.2</v>
      </c>
      <c r="BA2281">
        <v>26.8</v>
      </c>
    </row>
    <row r="2282" spans="51:53" x14ac:dyDescent="0.3">
      <c r="AY2282" t="str">
        <v>24/11/2015</v>
      </c>
      <c r="AZ2282">
        <v>41.2</v>
      </c>
      <c r="BA2282">
        <v>26.8</v>
      </c>
    </row>
    <row r="2283" spans="51:53" x14ac:dyDescent="0.3">
      <c r="AY2283" t="str">
        <v>23/11/2015</v>
      </c>
      <c r="AZ2283">
        <v>41.2</v>
      </c>
      <c r="BA2283">
        <v>26.8</v>
      </c>
    </row>
    <row r="2284" spans="51:53" x14ac:dyDescent="0.3">
      <c r="AY2284" t="str">
        <v>20/11/2015</v>
      </c>
      <c r="AZ2284">
        <v>45.4</v>
      </c>
      <c r="BA2284">
        <v>26.8</v>
      </c>
    </row>
    <row r="2285" spans="51:53" x14ac:dyDescent="0.3">
      <c r="AY2285" t="str">
        <v>19/11/2015</v>
      </c>
      <c r="AZ2285">
        <v>45.4</v>
      </c>
      <c r="BA2285">
        <v>26.8</v>
      </c>
    </row>
    <row r="2286" spans="51:53" x14ac:dyDescent="0.3">
      <c r="AY2286" t="str">
        <v>18/11/2015</v>
      </c>
      <c r="AZ2286">
        <v>45.4</v>
      </c>
      <c r="BA2286">
        <v>26.8</v>
      </c>
    </row>
    <row r="2287" spans="51:53" x14ac:dyDescent="0.3">
      <c r="AY2287" t="str">
        <v>17/11/2015</v>
      </c>
      <c r="AZ2287">
        <v>45.4</v>
      </c>
      <c r="BA2287">
        <v>26.8</v>
      </c>
    </row>
    <row r="2288" spans="51:53" x14ac:dyDescent="0.3">
      <c r="AY2288" t="str">
        <v>16/11/2015</v>
      </c>
      <c r="AZ2288">
        <v>45.4</v>
      </c>
      <c r="BA2288">
        <v>26.8</v>
      </c>
    </row>
    <row r="2289" spans="51:53" x14ac:dyDescent="0.3">
      <c r="AY2289" t="str">
        <v>13/11/2015</v>
      </c>
      <c r="AZ2289">
        <v>43.3</v>
      </c>
      <c r="BA2289">
        <v>26.8</v>
      </c>
    </row>
    <row r="2290" spans="51:53" x14ac:dyDescent="0.3">
      <c r="AY2290" t="str">
        <v>12/11/2015</v>
      </c>
      <c r="AZ2290">
        <v>43.3</v>
      </c>
      <c r="BA2290">
        <v>26.8</v>
      </c>
    </row>
    <row r="2291" spans="51:53" x14ac:dyDescent="0.3">
      <c r="AY2291" t="str">
        <v>11/11/2015</v>
      </c>
      <c r="AZ2291">
        <v>43.3</v>
      </c>
      <c r="BA2291">
        <v>26.8</v>
      </c>
    </row>
    <row r="2292" spans="51:53" x14ac:dyDescent="0.3">
      <c r="AY2292" t="str">
        <v>10/11/2015</v>
      </c>
      <c r="AZ2292">
        <v>43.3</v>
      </c>
      <c r="BA2292">
        <v>26.8</v>
      </c>
    </row>
    <row r="2293" spans="51:53" x14ac:dyDescent="0.3">
      <c r="AY2293" t="str">
        <v>09/11/2015</v>
      </c>
      <c r="AZ2293">
        <v>43.3</v>
      </c>
      <c r="BA2293">
        <v>26.8</v>
      </c>
    </row>
    <row r="2294" spans="51:53" x14ac:dyDescent="0.3">
      <c r="AY2294" t="str">
        <v>06/11/2015</v>
      </c>
      <c r="AZ2294">
        <v>45.3</v>
      </c>
      <c r="BA2294">
        <v>28.9</v>
      </c>
    </row>
    <row r="2295" spans="51:53" x14ac:dyDescent="0.3">
      <c r="AY2295" t="str">
        <v>05/11/2015</v>
      </c>
      <c r="AZ2295">
        <v>45.3</v>
      </c>
      <c r="BA2295">
        <v>28.9</v>
      </c>
    </row>
    <row r="2296" spans="51:53" x14ac:dyDescent="0.3">
      <c r="AY2296" t="str">
        <v>04/11/2015</v>
      </c>
      <c r="AZ2296">
        <v>45.3</v>
      </c>
      <c r="BA2296">
        <v>28.9</v>
      </c>
    </row>
    <row r="2297" spans="51:53" x14ac:dyDescent="0.3">
      <c r="AY2297" t="str">
        <v>03/11/2015</v>
      </c>
      <c r="AZ2297">
        <v>45.3</v>
      </c>
      <c r="BA2297">
        <v>28.9</v>
      </c>
    </row>
    <row r="2298" spans="51:53" x14ac:dyDescent="0.3">
      <c r="AY2298" t="str">
        <v>02/11/2015</v>
      </c>
      <c r="AZ2298">
        <v>45.3</v>
      </c>
      <c r="BA2298">
        <v>28.9</v>
      </c>
    </row>
    <row r="2299" spans="51:53" x14ac:dyDescent="0.3">
      <c r="AY2299" t="str">
        <v>30/10/2015</v>
      </c>
      <c r="AZ2299">
        <v>46.9</v>
      </c>
      <c r="BA2299">
        <v>28.1</v>
      </c>
    </row>
    <row r="2300" spans="51:53" x14ac:dyDescent="0.3">
      <c r="AY2300" t="str">
        <v>29/10/2015</v>
      </c>
      <c r="AZ2300">
        <v>46.9</v>
      </c>
      <c r="BA2300">
        <v>28.1</v>
      </c>
    </row>
    <row r="2301" spans="51:53" x14ac:dyDescent="0.3">
      <c r="AY2301" t="str">
        <v>28/10/2015</v>
      </c>
      <c r="AZ2301">
        <v>46.9</v>
      </c>
      <c r="BA2301">
        <v>28.1</v>
      </c>
    </row>
    <row r="2302" spans="51:53" x14ac:dyDescent="0.3">
      <c r="AY2302" t="str">
        <v>27/10/2015</v>
      </c>
      <c r="AZ2302">
        <v>46.9</v>
      </c>
      <c r="BA2302">
        <v>28.1</v>
      </c>
    </row>
    <row r="2303" spans="51:53" x14ac:dyDescent="0.3">
      <c r="AY2303" t="str">
        <v>26/10/2015</v>
      </c>
      <c r="AZ2303">
        <v>46.9</v>
      </c>
      <c r="BA2303">
        <v>28.1</v>
      </c>
    </row>
    <row r="2304" spans="51:53" x14ac:dyDescent="0.3">
      <c r="AY2304" t="str">
        <v>23/10/2015</v>
      </c>
      <c r="AZ2304">
        <v>43.7</v>
      </c>
      <c r="BA2304">
        <v>29.2</v>
      </c>
    </row>
    <row r="2305" spans="51:53" x14ac:dyDescent="0.3">
      <c r="AY2305" t="str">
        <v>22/10/2015</v>
      </c>
      <c r="AZ2305">
        <v>43.7</v>
      </c>
      <c r="BA2305">
        <v>29.2</v>
      </c>
    </row>
    <row r="2306" spans="51:53" x14ac:dyDescent="0.3">
      <c r="AY2306" t="str">
        <v>21/10/2015</v>
      </c>
      <c r="AZ2306">
        <v>43.7</v>
      </c>
      <c r="BA2306">
        <v>29.2</v>
      </c>
    </row>
    <row r="2307" spans="51:53" x14ac:dyDescent="0.3">
      <c r="AY2307" t="str">
        <v>20/10/2015</v>
      </c>
      <c r="AZ2307">
        <v>43.7</v>
      </c>
      <c r="BA2307">
        <v>29.2</v>
      </c>
    </row>
    <row r="2308" spans="51:53" x14ac:dyDescent="0.3">
      <c r="AY2308" t="str">
        <v>19/10/2015</v>
      </c>
      <c r="AZ2308">
        <v>43.7</v>
      </c>
      <c r="BA2308">
        <v>29.2</v>
      </c>
    </row>
    <row r="2309" spans="51:53" x14ac:dyDescent="0.3">
      <c r="AY2309" t="str">
        <v>16/10/2015</v>
      </c>
      <c r="AZ2309">
        <v>37.5</v>
      </c>
      <c r="BA2309">
        <v>31.3</v>
      </c>
    </row>
    <row r="2310" spans="51:53" x14ac:dyDescent="0.3">
      <c r="AY2310" t="str">
        <v>15/10/2015</v>
      </c>
      <c r="AZ2310">
        <v>37.5</v>
      </c>
      <c r="BA2310">
        <v>31.3</v>
      </c>
    </row>
    <row r="2311" spans="51:53" x14ac:dyDescent="0.3">
      <c r="AY2311" t="str">
        <v>14/10/2015</v>
      </c>
      <c r="AZ2311">
        <v>37.5</v>
      </c>
      <c r="BA2311">
        <v>31.3</v>
      </c>
    </row>
    <row r="2312" spans="51:53" x14ac:dyDescent="0.3">
      <c r="AY2312" t="str">
        <v>13/10/2015</v>
      </c>
      <c r="AZ2312">
        <v>37.5</v>
      </c>
      <c r="BA2312">
        <v>31.3</v>
      </c>
    </row>
    <row r="2313" spans="51:53" x14ac:dyDescent="0.3">
      <c r="AY2313" t="str">
        <v>12/10/2015</v>
      </c>
      <c r="AZ2313">
        <v>37.5</v>
      </c>
      <c r="BA2313">
        <v>31.3</v>
      </c>
    </row>
    <row r="2314" spans="51:53" x14ac:dyDescent="0.3">
      <c r="AY2314" t="str">
        <v>09/10/2015</v>
      </c>
      <c r="AZ2314">
        <v>36.5</v>
      </c>
      <c r="BA2314">
        <v>31.2</v>
      </c>
    </row>
    <row r="2315" spans="51:53" x14ac:dyDescent="0.3">
      <c r="AY2315" t="str">
        <v>08/10/2015</v>
      </c>
      <c r="AZ2315">
        <v>36.5</v>
      </c>
      <c r="BA2315">
        <v>31.2</v>
      </c>
    </row>
    <row r="2316" spans="51:53" x14ac:dyDescent="0.3">
      <c r="AY2316" t="str">
        <v>07/10/2015</v>
      </c>
      <c r="AZ2316">
        <v>36.5</v>
      </c>
      <c r="BA2316">
        <v>31.2</v>
      </c>
    </row>
    <row r="2317" spans="51:53" x14ac:dyDescent="0.3">
      <c r="AY2317" t="str">
        <v>06/10/2015</v>
      </c>
      <c r="AZ2317">
        <v>36.5</v>
      </c>
      <c r="BA2317">
        <v>31.2</v>
      </c>
    </row>
    <row r="2318" spans="51:53" x14ac:dyDescent="0.3">
      <c r="AY2318" t="str">
        <v>05/10/2015</v>
      </c>
      <c r="AZ2318">
        <v>36.5</v>
      </c>
      <c r="BA2318">
        <v>31.2</v>
      </c>
    </row>
    <row r="2319" spans="51:53" x14ac:dyDescent="0.3">
      <c r="AY2319" t="str">
        <v>02/10/2015</v>
      </c>
      <c r="AZ2319">
        <v>30.2</v>
      </c>
      <c r="BA2319">
        <v>34.4</v>
      </c>
    </row>
    <row r="2320" spans="51:53" x14ac:dyDescent="0.3">
      <c r="AY2320" t="str">
        <v>01/10/2015</v>
      </c>
      <c r="AZ2320">
        <v>30.2</v>
      </c>
      <c r="BA2320">
        <v>34.4</v>
      </c>
    </row>
    <row r="2321" spans="51:53" x14ac:dyDescent="0.3">
      <c r="AY2321" t="str">
        <v>30/09/2015</v>
      </c>
      <c r="AZ2321">
        <v>30.2</v>
      </c>
      <c r="BA2321">
        <v>34.4</v>
      </c>
    </row>
    <row r="2322" spans="51:53" x14ac:dyDescent="0.3">
      <c r="AY2322" t="str">
        <v>29/09/2015</v>
      </c>
      <c r="AZ2322">
        <v>30.2</v>
      </c>
      <c r="BA2322">
        <v>34.4</v>
      </c>
    </row>
    <row r="2323" spans="51:53" x14ac:dyDescent="0.3">
      <c r="AY2323" t="str">
        <v>28/09/2015</v>
      </c>
      <c r="AZ2323">
        <v>30.2</v>
      </c>
      <c r="BA2323">
        <v>34.4</v>
      </c>
    </row>
    <row r="2324" spans="51:53" x14ac:dyDescent="0.3">
      <c r="AY2324" t="str">
        <v>25/09/2015</v>
      </c>
      <c r="AZ2324">
        <v>24.7</v>
      </c>
      <c r="BA2324">
        <v>35.1</v>
      </c>
    </row>
    <row r="2325" spans="51:53" x14ac:dyDescent="0.3">
      <c r="AY2325" t="str">
        <v>24/09/2015</v>
      </c>
      <c r="AZ2325">
        <v>24.7</v>
      </c>
      <c r="BA2325">
        <v>35.1</v>
      </c>
    </row>
    <row r="2326" spans="51:53" x14ac:dyDescent="0.3">
      <c r="AY2326" t="str">
        <v>23/09/2015</v>
      </c>
      <c r="AZ2326">
        <v>24.7</v>
      </c>
      <c r="BA2326">
        <v>35.1</v>
      </c>
    </row>
    <row r="2327" spans="51:53" x14ac:dyDescent="0.3">
      <c r="AY2327" t="str">
        <v>22/09/2015</v>
      </c>
      <c r="AZ2327">
        <v>24.7</v>
      </c>
      <c r="BA2327">
        <v>35.1</v>
      </c>
    </row>
    <row r="2328" spans="51:53" x14ac:dyDescent="0.3">
      <c r="AY2328" t="str">
        <v>21/09/2015</v>
      </c>
      <c r="AZ2328">
        <v>24.7</v>
      </c>
      <c r="BA2328">
        <v>35.1</v>
      </c>
    </row>
    <row r="2329" spans="51:53" x14ac:dyDescent="0.3">
      <c r="AY2329" t="str">
        <v>18/09/2015</v>
      </c>
      <c r="AZ2329">
        <v>26</v>
      </c>
      <c r="BA2329">
        <v>30.2</v>
      </c>
    </row>
    <row r="2330" spans="51:53" x14ac:dyDescent="0.3">
      <c r="AY2330" t="str">
        <v>17/09/2015</v>
      </c>
      <c r="AZ2330">
        <v>26</v>
      </c>
      <c r="BA2330">
        <v>30.2</v>
      </c>
    </row>
    <row r="2331" spans="51:53" x14ac:dyDescent="0.3">
      <c r="AY2331" t="str">
        <v>16/09/2015</v>
      </c>
      <c r="AZ2331">
        <v>26</v>
      </c>
      <c r="BA2331">
        <v>30.2</v>
      </c>
    </row>
    <row r="2332" spans="51:53" x14ac:dyDescent="0.3">
      <c r="AY2332" t="str">
        <v>15/09/2015</v>
      </c>
      <c r="AZ2332">
        <v>26</v>
      </c>
      <c r="BA2332">
        <v>30.2</v>
      </c>
    </row>
    <row r="2333" spans="51:53" x14ac:dyDescent="0.3">
      <c r="AY2333" t="str">
        <v>14/09/2015</v>
      </c>
      <c r="AZ2333">
        <v>26</v>
      </c>
      <c r="BA2333">
        <v>30.2</v>
      </c>
    </row>
    <row r="2334" spans="51:53" x14ac:dyDescent="0.3">
      <c r="AY2334" t="str">
        <v>11/09/2015</v>
      </c>
      <c r="AZ2334">
        <v>26.8</v>
      </c>
      <c r="BA2334">
        <v>26.8</v>
      </c>
    </row>
    <row r="2335" spans="51:53" x14ac:dyDescent="0.3">
      <c r="AY2335" t="str">
        <v>10/09/2015</v>
      </c>
      <c r="AZ2335">
        <v>26.8</v>
      </c>
      <c r="BA2335">
        <v>26.8</v>
      </c>
    </row>
    <row r="2336" spans="51:53" x14ac:dyDescent="0.3">
      <c r="AY2336" t="str">
        <v>09/09/2015</v>
      </c>
      <c r="AZ2336">
        <v>26.8</v>
      </c>
      <c r="BA2336">
        <v>26.8</v>
      </c>
    </row>
    <row r="2337" spans="51:53" x14ac:dyDescent="0.3">
      <c r="AY2337" t="str">
        <v>08/09/2015</v>
      </c>
      <c r="AZ2337">
        <v>26.8</v>
      </c>
      <c r="BA2337">
        <v>26.8</v>
      </c>
    </row>
    <row r="2338" spans="51:53" x14ac:dyDescent="0.3">
      <c r="AY2338" t="str">
        <v>07/09/2015</v>
      </c>
      <c r="AZ2338">
        <v>26.8</v>
      </c>
      <c r="BA2338">
        <v>26.8</v>
      </c>
    </row>
    <row r="2339" spans="51:53" x14ac:dyDescent="0.3">
      <c r="AY2339" t="str">
        <v>04/09/2015</v>
      </c>
      <c r="AZ2339">
        <v>25.7</v>
      </c>
      <c r="BA2339">
        <v>27.9</v>
      </c>
    </row>
    <row r="2340" spans="51:53" x14ac:dyDescent="0.3">
      <c r="AY2340" t="str">
        <v>03/09/2015</v>
      </c>
      <c r="AZ2340">
        <v>25.7</v>
      </c>
      <c r="BA2340">
        <v>27.9</v>
      </c>
    </row>
    <row r="2341" spans="51:53" x14ac:dyDescent="0.3">
      <c r="AY2341" t="str">
        <v>02/09/2015</v>
      </c>
      <c r="AZ2341">
        <v>25.7</v>
      </c>
      <c r="BA2341">
        <v>27.9</v>
      </c>
    </row>
    <row r="2342" spans="51:53" x14ac:dyDescent="0.3">
      <c r="AY2342" t="str">
        <v>01/09/2015</v>
      </c>
      <c r="AZ2342">
        <v>25.7</v>
      </c>
      <c r="BA2342">
        <v>27.9</v>
      </c>
    </row>
    <row r="2343" spans="51:53" x14ac:dyDescent="0.3">
      <c r="AY2343" t="str">
        <v>31/08/2015</v>
      </c>
      <c r="AZ2343">
        <v>25.7</v>
      </c>
      <c r="BA2343">
        <v>27.9</v>
      </c>
    </row>
    <row r="2344" spans="51:53" x14ac:dyDescent="0.3">
      <c r="AY2344" t="str">
        <v>28/08/2015</v>
      </c>
      <c r="AZ2344">
        <v>27.8</v>
      </c>
      <c r="BA2344">
        <v>26.8</v>
      </c>
    </row>
    <row r="2345" spans="51:53" x14ac:dyDescent="0.3">
      <c r="AY2345" t="str">
        <v>27/08/2015</v>
      </c>
      <c r="AZ2345">
        <v>27.8</v>
      </c>
      <c r="BA2345">
        <v>26.8</v>
      </c>
    </row>
    <row r="2346" spans="51:53" x14ac:dyDescent="0.3">
      <c r="AY2346" t="str">
        <v>26/08/2015</v>
      </c>
      <c r="AZ2346">
        <v>27.8</v>
      </c>
      <c r="BA2346">
        <v>26.8</v>
      </c>
    </row>
    <row r="2347" spans="51:53" x14ac:dyDescent="0.3">
      <c r="AY2347" t="str">
        <v>25/08/2015</v>
      </c>
      <c r="AZ2347">
        <v>27.8</v>
      </c>
      <c r="BA2347">
        <v>26.8</v>
      </c>
    </row>
    <row r="2348" spans="51:53" x14ac:dyDescent="0.3">
      <c r="AY2348" t="str">
        <v>24/08/2015</v>
      </c>
      <c r="AZ2348">
        <v>27.8</v>
      </c>
      <c r="BA2348">
        <v>26.8</v>
      </c>
    </row>
    <row r="2349" spans="51:53" x14ac:dyDescent="0.3">
      <c r="AY2349" t="str">
        <v>21/08/2015</v>
      </c>
      <c r="AZ2349">
        <v>31.6</v>
      </c>
      <c r="BA2349">
        <v>22.5</v>
      </c>
    </row>
    <row r="2350" spans="51:53" x14ac:dyDescent="0.3">
      <c r="AY2350" t="str">
        <v>20/08/2015</v>
      </c>
      <c r="AZ2350">
        <v>31.6</v>
      </c>
      <c r="BA2350">
        <v>22.5</v>
      </c>
    </row>
    <row r="2351" spans="51:53" x14ac:dyDescent="0.3">
      <c r="AY2351" t="str">
        <v>19/08/2015</v>
      </c>
      <c r="AZ2351">
        <v>31.6</v>
      </c>
      <c r="BA2351">
        <v>22.5</v>
      </c>
    </row>
    <row r="2352" spans="51:53" x14ac:dyDescent="0.3">
      <c r="AY2352" t="str">
        <v>18/08/2015</v>
      </c>
      <c r="AZ2352">
        <v>31.6</v>
      </c>
      <c r="BA2352">
        <v>22.5</v>
      </c>
    </row>
    <row r="2353" spans="51:53" x14ac:dyDescent="0.3">
      <c r="AY2353" t="str">
        <v>17/08/2015</v>
      </c>
      <c r="AZ2353">
        <v>31.6</v>
      </c>
      <c r="BA2353">
        <v>22.5</v>
      </c>
    </row>
    <row r="2354" spans="51:53" x14ac:dyDescent="0.3">
      <c r="AY2354" t="str">
        <v>14/08/2015</v>
      </c>
      <c r="AZ2354">
        <v>37.700000000000003</v>
      </c>
      <c r="BA2354">
        <v>18.399999999999999</v>
      </c>
    </row>
    <row r="2355" spans="51:53" x14ac:dyDescent="0.3">
      <c r="AY2355" t="str">
        <v>13/08/2015</v>
      </c>
      <c r="AZ2355">
        <v>37.700000000000003</v>
      </c>
      <c r="BA2355">
        <v>18.399999999999999</v>
      </c>
    </row>
    <row r="2356" spans="51:53" x14ac:dyDescent="0.3">
      <c r="AY2356" t="str">
        <v>12/08/2015</v>
      </c>
      <c r="AZ2356">
        <v>37.700000000000003</v>
      </c>
      <c r="BA2356">
        <v>18.399999999999999</v>
      </c>
    </row>
    <row r="2357" spans="51:53" x14ac:dyDescent="0.3">
      <c r="AY2357" t="str">
        <v>11/08/2015</v>
      </c>
      <c r="AZ2357">
        <v>37.700000000000003</v>
      </c>
      <c r="BA2357">
        <v>18.399999999999999</v>
      </c>
    </row>
    <row r="2358" spans="51:53" x14ac:dyDescent="0.3">
      <c r="AY2358" t="str">
        <v>10/08/2015</v>
      </c>
      <c r="AZ2358">
        <v>37.700000000000003</v>
      </c>
      <c r="BA2358">
        <v>18.399999999999999</v>
      </c>
    </row>
    <row r="2359" spans="51:53" x14ac:dyDescent="0.3">
      <c r="AY2359" t="str">
        <v>07/08/2015</v>
      </c>
      <c r="AZ2359">
        <v>40.200000000000003</v>
      </c>
      <c r="BA2359">
        <v>18.600000000000001</v>
      </c>
    </row>
    <row r="2360" spans="51:53" x14ac:dyDescent="0.3">
      <c r="AY2360" t="str">
        <v>06/08/2015</v>
      </c>
      <c r="AZ2360">
        <v>40.200000000000003</v>
      </c>
      <c r="BA2360">
        <v>18.600000000000001</v>
      </c>
    </row>
    <row r="2361" spans="51:53" x14ac:dyDescent="0.3">
      <c r="AY2361" t="str">
        <v>05/08/2015</v>
      </c>
      <c r="AZ2361">
        <v>40.200000000000003</v>
      </c>
      <c r="BA2361">
        <v>18.600000000000001</v>
      </c>
    </row>
    <row r="2362" spans="51:53" x14ac:dyDescent="0.3">
      <c r="AY2362" t="str">
        <v>04/08/2015</v>
      </c>
      <c r="AZ2362">
        <v>40.200000000000003</v>
      </c>
      <c r="BA2362">
        <v>18.600000000000001</v>
      </c>
    </row>
    <row r="2363" spans="51:53" x14ac:dyDescent="0.3">
      <c r="AY2363" t="str">
        <v>03/08/2015</v>
      </c>
      <c r="AZ2363">
        <v>40.200000000000003</v>
      </c>
      <c r="BA2363">
        <v>18.600000000000001</v>
      </c>
    </row>
    <row r="2364" spans="51:53" x14ac:dyDescent="0.3">
      <c r="AY2364" t="str">
        <v>31/07/2015</v>
      </c>
      <c r="AZ2364">
        <v>42.2</v>
      </c>
      <c r="BA2364">
        <v>17.5</v>
      </c>
    </row>
    <row r="2365" spans="51:53" x14ac:dyDescent="0.3">
      <c r="AY2365" t="str">
        <v>30/07/2015</v>
      </c>
      <c r="AZ2365">
        <v>42.2</v>
      </c>
      <c r="BA2365">
        <v>17.5</v>
      </c>
    </row>
    <row r="2366" spans="51:53" x14ac:dyDescent="0.3">
      <c r="AY2366" t="str">
        <v>29/07/2015</v>
      </c>
      <c r="AZ2366">
        <v>42.2</v>
      </c>
      <c r="BA2366">
        <v>17.5</v>
      </c>
    </row>
    <row r="2367" spans="51:53" x14ac:dyDescent="0.3">
      <c r="AY2367" t="str">
        <v>28/07/2015</v>
      </c>
      <c r="AZ2367">
        <v>42.2</v>
      </c>
      <c r="BA2367">
        <v>17.5</v>
      </c>
    </row>
    <row r="2368" spans="51:53" x14ac:dyDescent="0.3">
      <c r="AY2368" t="str">
        <v>27/07/2015</v>
      </c>
      <c r="AZ2368">
        <v>42.2</v>
      </c>
      <c r="BA2368">
        <v>17.5</v>
      </c>
    </row>
    <row r="2369" spans="51:53" x14ac:dyDescent="0.3">
      <c r="AY2369" t="str">
        <v>24/07/2015</v>
      </c>
      <c r="AZ2369">
        <v>43.3</v>
      </c>
      <c r="BA2369">
        <v>17.5</v>
      </c>
    </row>
    <row r="2370" spans="51:53" x14ac:dyDescent="0.3">
      <c r="AY2370" t="str">
        <v>23/07/2015</v>
      </c>
      <c r="AZ2370">
        <v>43.3</v>
      </c>
      <c r="BA2370">
        <v>17.5</v>
      </c>
    </row>
    <row r="2371" spans="51:53" x14ac:dyDescent="0.3">
      <c r="AY2371" t="str">
        <v>22/07/2015</v>
      </c>
      <c r="AZ2371">
        <v>43.3</v>
      </c>
      <c r="BA2371">
        <v>17.5</v>
      </c>
    </row>
    <row r="2372" spans="51:53" x14ac:dyDescent="0.3">
      <c r="AY2372" t="str">
        <v>21/07/2015</v>
      </c>
      <c r="AZ2372">
        <v>43.3</v>
      </c>
      <c r="BA2372">
        <v>17.5</v>
      </c>
    </row>
    <row r="2373" spans="51:53" x14ac:dyDescent="0.3">
      <c r="AY2373" t="str">
        <v>20/07/2015</v>
      </c>
      <c r="AZ2373">
        <v>43.3</v>
      </c>
      <c r="BA2373">
        <v>17.5</v>
      </c>
    </row>
    <row r="2374" spans="51:53" x14ac:dyDescent="0.3">
      <c r="AY2374" t="str">
        <v>17/07/2015</v>
      </c>
      <c r="AZ2374">
        <v>49</v>
      </c>
      <c r="BA2374">
        <v>15.6</v>
      </c>
    </row>
    <row r="2375" spans="51:53" x14ac:dyDescent="0.3">
      <c r="AY2375" t="str">
        <v>16/07/2015</v>
      </c>
      <c r="AZ2375">
        <v>49</v>
      </c>
      <c r="BA2375">
        <v>15.6</v>
      </c>
    </row>
    <row r="2376" spans="51:53" x14ac:dyDescent="0.3">
      <c r="AY2376" t="str">
        <v>15/07/2015</v>
      </c>
      <c r="AZ2376">
        <v>49</v>
      </c>
      <c r="BA2376">
        <v>15.6</v>
      </c>
    </row>
    <row r="2377" spans="51:53" x14ac:dyDescent="0.3">
      <c r="AY2377" t="str">
        <v>14/07/2015</v>
      </c>
      <c r="AZ2377">
        <v>49</v>
      </c>
      <c r="BA2377">
        <v>15.6</v>
      </c>
    </row>
    <row r="2378" spans="51:53" x14ac:dyDescent="0.3">
      <c r="AY2378" t="str">
        <v>13/07/2015</v>
      </c>
      <c r="AZ2378">
        <v>49</v>
      </c>
      <c r="BA2378">
        <v>15.6</v>
      </c>
    </row>
    <row r="2379" spans="51:53" x14ac:dyDescent="0.3">
      <c r="AY2379" t="str">
        <v>10/07/2015</v>
      </c>
      <c r="AZ2379">
        <v>43.7</v>
      </c>
      <c r="BA2379">
        <v>15.6</v>
      </c>
    </row>
    <row r="2380" spans="51:53" x14ac:dyDescent="0.3">
      <c r="AY2380" t="str">
        <v>09/07/2015</v>
      </c>
      <c r="AZ2380">
        <v>43.7</v>
      </c>
      <c r="BA2380">
        <v>15.6</v>
      </c>
    </row>
    <row r="2381" spans="51:53" x14ac:dyDescent="0.3">
      <c r="AY2381" t="str">
        <v>08/07/2015</v>
      </c>
      <c r="AZ2381">
        <v>43.7</v>
      </c>
      <c r="BA2381">
        <v>15.6</v>
      </c>
    </row>
    <row r="2382" spans="51:53" x14ac:dyDescent="0.3">
      <c r="AY2382" t="str">
        <v>07/07/2015</v>
      </c>
      <c r="AZ2382">
        <v>43.7</v>
      </c>
      <c r="BA2382">
        <v>15.6</v>
      </c>
    </row>
    <row r="2383" spans="51:53" x14ac:dyDescent="0.3">
      <c r="AY2383" t="str">
        <v>06/07/2015</v>
      </c>
      <c r="AZ2383">
        <v>43.7</v>
      </c>
      <c r="BA2383">
        <v>15.6</v>
      </c>
    </row>
    <row r="2384" spans="51:53" x14ac:dyDescent="0.3">
      <c r="AY2384" t="str">
        <v>03/07/2015</v>
      </c>
      <c r="AZ2384">
        <v>44.8</v>
      </c>
      <c r="BA2384">
        <v>15.6</v>
      </c>
    </row>
    <row r="2385" spans="51:53" x14ac:dyDescent="0.3">
      <c r="AY2385" t="str">
        <v>02/07/2015</v>
      </c>
      <c r="AZ2385">
        <v>44.8</v>
      </c>
      <c r="BA2385">
        <v>15.6</v>
      </c>
    </row>
    <row r="2386" spans="51:53" x14ac:dyDescent="0.3">
      <c r="AY2386" t="str">
        <v>01/07/2015</v>
      </c>
      <c r="AZ2386">
        <v>44.8</v>
      </c>
      <c r="BA2386">
        <v>15.6</v>
      </c>
    </row>
    <row r="2387" spans="51:53" x14ac:dyDescent="0.3">
      <c r="AY2387" t="str">
        <v>30/06/2015</v>
      </c>
      <c r="AZ2387">
        <v>44.8</v>
      </c>
      <c r="BA2387">
        <v>15.6</v>
      </c>
    </row>
    <row r="2388" spans="51:53" x14ac:dyDescent="0.3">
      <c r="AY2388" t="str">
        <v>29/06/2015</v>
      </c>
      <c r="AZ2388">
        <v>44.8</v>
      </c>
      <c r="BA2388">
        <v>15.6</v>
      </c>
    </row>
    <row r="2389" spans="51:53" x14ac:dyDescent="0.3">
      <c r="AY2389" t="str">
        <v>26/06/2015</v>
      </c>
      <c r="AZ2389">
        <v>49.5</v>
      </c>
      <c r="BA2389">
        <v>15.4</v>
      </c>
    </row>
    <row r="2390" spans="51:53" x14ac:dyDescent="0.3">
      <c r="AY2390" t="str">
        <v>25/06/2015</v>
      </c>
      <c r="AZ2390">
        <v>49.5</v>
      </c>
      <c r="BA2390">
        <v>15.4</v>
      </c>
    </row>
    <row r="2391" spans="51:53" x14ac:dyDescent="0.3">
      <c r="AY2391" t="str">
        <v>24/06/2015</v>
      </c>
      <c r="AZ2391">
        <v>49.5</v>
      </c>
      <c r="BA2391">
        <v>15.4</v>
      </c>
    </row>
    <row r="2392" spans="51:53" x14ac:dyDescent="0.3">
      <c r="AY2392" t="str">
        <v>23/06/2015</v>
      </c>
      <c r="AZ2392">
        <v>49.5</v>
      </c>
      <c r="BA2392">
        <v>15.4</v>
      </c>
    </row>
    <row r="2393" spans="51:53" x14ac:dyDescent="0.3">
      <c r="AY2393" t="str">
        <v>22/06/2015</v>
      </c>
      <c r="AZ2393">
        <v>49.5</v>
      </c>
      <c r="BA2393">
        <v>15.4</v>
      </c>
    </row>
    <row r="2394" spans="51:53" x14ac:dyDescent="0.3">
      <c r="AY2394" t="str">
        <v>19/06/2015</v>
      </c>
      <c r="AZ2394">
        <v>51.6</v>
      </c>
      <c r="BA2394">
        <v>15.4</v>
      </c>
    </row>
    <row r="2395" spans="51:53" x14ac:dyDescent="0.3">
      <c r="AY2395" t="str">
        <v>18/06/2015</v>
      </c>
      <c r="AZ2395">
        <v>51.6</v>
      </c>
      <c r="BA2395">
        <v>15.4</v>
      </c>
    </row>
    <row r="2396" spans="51:53" x14ac:dyDescent="0.3">
      <c r="AY2396" t="str">
        <v>17/06/2015</v>
      </c>
      <c r="AZ2396">
        <v>51.6</v>
      </c>
      <c r="BA2396">
        <v>15.4</v>
      </c>
    </row>
    <row r="2397" spans="51:53" x14ac:dyDescent="0.3">
      <c r="AY2397" t="str">
        <v>16/06/2015</v>
      </c>
      <c r="AZ2397">
        <v>51.6</v>
      </c>
      <c r="BA2397">
        <v>15.4</v>
      </c>
    </row>
    <row r="2398" spans="51:53" x14ac:dyDescent="0.3">
      <c r="AY2398" t="str">
        <v>15/06/2015</v>
      </c>
      <c r="AZ2398">
        <v>51.6</v>
      </c>
      <c r="BA2398">
        <v>15.4</v>
      </c>
    </row>
    <row r="2399" spans="51:53" x14ac:dyDescent="0.3">
      <c r="AY2399" t="str">
        <v>12/06/2015</v>
      </c>
      <c r="AZ2399">
        <v>45.5</v>
      </c>
      <c r="BA2399">
        <v>16.5</v>
      </c>
    </row>
    <row r="2400" spans="51:53" x14ac:dyDescent="0.3">
      <c r="AY2400" t="str">
        <v>11/06/2015</v>
      </c>
      <c r="AZ2400">
        <v>45.5</v>
      </c>
      <c r="BA2400">
        <v>16.5</v>
      </c>
    </row>
    <row r="2401" spans="51:53" x14ac:dyDescent="0.3">
      <c r="AY2401" t="str">
        <v>10/06/2015</v>
      </c>
      <c r="AZ2401">
        <v>45.5</v>
      </c>
      <c r="BA2401">
        <v>16.5</v>
      </c>
    </row>
    <row r="2402" spans="51:53" x14ac:dyDescent="0.3">
      <c r="AY2402" t="str">
        <v>09/06/2015</v>
      </c>
      <c r="AZ2402">
        <v>45.5</v>
      </c>
      <c r="BA2402">
        <v>16.5</v>
      </c>
    </row>
    <row r="2403" spans="51:53" x14ac:dyDescent="0.3">
      <c r="AY2403" t="str">
        <v>08/06/2015</v>
      </c>
      <c r="AZ2403">
        <v>45.5</v>
      </c>
      <c r="BA2403">
        <v>16.5</v>
      </c>
    </row>
    <row r="2404" spans="51:53" x14ac:dyDescent="0.3">
      <c r="AY2404" t="str">
        <v>05/06/2015</v>
      </c>
      <c r="AZ2404">
        <v>47.4</v>
      </c>
      <c r="BA2404">
        <v>16.5</v>
      </c>
    </row>
    <row r="2405" spans="51:53" x14ac:dyDescent="0.3">
      <c r="AY2405" t="str">
        <v>04/06/2015</v>
      </c>
      <c r="AZ2405">
        <v>47.4</v>
      </c>
      <c r="BA2405">
        <v>16.5</v>
      </c>
    </row>
    <row r="2406" spans="51:53" x14ac:dyDescent="0.3">
      <c r="AY2406" t="str">
        <v>03/06/2015</v>
      </c>
      <c r="AZ2406">
        <v>47.4</v>
      </c>
      <c r="BA2406">
        <v>16.5</v>
      </c>
    </row>
    <row r="2407" spans="51:53" x14ac:dyDescent="0.3">
      <c r="AY2407" t="str">
        <v>02/06/2015</v>
      </c>
      <c r="AZ2407">
        <v>47.4</v>
      </c>
      <c r="BA2407">
        <v>16.5</v>
      </c>
    </row>
    <row r="2408" spans="51:53" x14ac:dyDescent="0.3">
      <c r="AY2408" t="str">
        <v>01/06/2015</v>
      </c>
      <c r="AZ2408">
        <v>47.4</v>
      </c>
      <c r="BA2408">
        <v>16.5</v>
      </c>
    </row>
    <row r="2409" spans="51:53" x14ac:dyDescent="0.3">
      <c r="AY2409" t="str">
        <v>29/05/2015</v>
      </c>
      <c r="AZ2409">
        <v>51.5</v>
      </c>
      <c r="BA2409">
        <v>15.8</v>
      </c>
    </row>
    <row r="2410" spans="51:53" x14ac:dyDescent="0.3">
      <c r="AY2410" t="str">
        <v>28/05/2015</v>
      </c>
      <c r="AZ2410">
        <v>51.5</v>
      </c>
      <c r="BA2410">
        <v>15.8</v>
      </c>
    </row>
    <row r="2411" spans="51:53" x14ac:dyDescent="0.3">
      <c r="AY2411" t="str">
        <v>27/05/2015</v>
      </c>
      <c r="AZ2411">
        <v>51.5</v>
      </c>
      <c r="BA2411">
        <v>15.8</v>
      </c>
    </row>
    <row r="2412" spans="51:53" x14ac:dyDescent="0.3">
      <c r="AY2412" t="str">
        <v>26/05/2015</v>
      </c>
      <c r="AZ2412">
        <v>51.5</v>
      </c>
      <c r="BA2412">
        <v>15.8</v>
      </c>
    </row>
    <row r="2413" spans="51:53" x14ac:dyDescent="0.3">
      <c r="AY2413" t="str">
        <v>25/05/2015</v>
      </c>
      <c r="AZ2413">
        <v>51.5</v>
      </c>
      <c r="BA2413">
        <v>15.8</v>
      </c>
    </row>
    <row r="2414" spans="51:53" x14ac:dyDescent="0.3">
      <c r="AY2414" t="str">
        <v>22/05/2015</v>
      </c>
      <c r="AZ2414">
        <v>48.5</v>
      </c>
      <c r="BA2414">
        <v>14.9</v>
      </c>
    </row>
    <row r="2415" spans="51:53" x14ac:dyDescent="0.3">
      <c r="AY2415" t="str">
        <v>21/05/2015</v>
      </c>
      <c r="AZ2415">
        <v>48.5</v>
      </c>
      <c r="BA2415">
        <v>14.9</v>
      </c>
    </row>
    <row r="2416" spans="51:53" x14ac:dyDescent="0.3">
      <c r="AY2416" t="str">
        <v>20/05/2015</v>
      </c>
      <c r="AZ2416">
        <v>48.5</v>
      </c>
      <c r="BA2416">
        <v>14.9</v>
      </c>
    </row>
    <row r="2417" spans="51:53" x14ac:dyDescent="0.3">
      <c r="AY2417" t="str">
        <v>19/05/2015</v>
      </c>
      <c r="AZ2417">
        <v>48.5</v>
      </c>
      <c r="BA2417">
        <v>14.9</v>
      </c>
    </row>
    <row r="2418" spans="51:53" x14ac:dyDescent="0.3">
      <c r="AY2418" t="str">
        <v>18/05/2015</v>
      </c>
      <c r="AZ2418">
        <v>48.5</v>
      </c>
      <c r="BA2418">
        <v>14.9</v>
      </c>
    </row>
    <row r="2419" spans="51:53" x14ac:dyDescent="0.3">
      <c r="AY2419" t="str">
        <v>15/05/2015</v>
      </c>
      <c r="AZ2419">
        <v>50.6</v>
      </c>
      <c r="BA2419">
        <v>15.8</v>
      </c>
    </row>
    <row r="2420" spans="51:53" x14ac:dyDescent="0.3">
      <c r="AY2420" t="str">
        <v>14/05/2015</v>
      </c>
      <c r="AZ2420">
        <v>50.6</v>
      </c>
      <c r="BA2420">
        <v>15.8</v>
      </c>
    </row>
    <row r="2421" spans="51:53" x14ac:dyDescent="0.3">
      <c r="AY2421" t="str">
        <v>13/05/2015</v>
      </c>
      <c r="AZ2421">
        <v>50.6</v>
      </c>
      <c r="BA2421">
        <v>15.8</v>
      </c>
    </row>
    <row r="2422" spans="51:53" x14ac:dyDescent="0.3">
      <c r="AY2422" t="str">
        <v>12/05/2015</v>
      </c>
      <c r="AZ2422">
        <v>50.6</v>
      </c>
      <c r="BA2422">
        <v>15.8</v>
      </c>
    </row>
    <row r="2423" spans="51:53" x14ac:dyDescent="0.3">
      <c r="AY2423" t="str">
        <v>11/05/2015</v>
      </c>
      <c r="AZ2423">
        <v>50.6</v>
      </c>
      <c r="BA2423">
        <v>15.8</v>
      </c>
    </row>
    <row r="2424" spans="51:53" x14ac:dyDescent="0.3">
      <c r="AY2424" t="str">
        <v>08/05/2015</v>
      </c>
      <c r="AZ2424">
        <v>47.5</v>
      </c>
      <c r="BA2424">
        <v>15.8</v>
      </c>
    </row>
    <row r="2425" spans="51:53" x14ac:dyDescent="0.3">
      <c r="AY2425" t="str">
        <v>07/05/2015</v>
      </c>
      <c r="AZ2425">
        <v>47.5</v>
      </c>
      <c r="BA2425">
        <v>15.8</v>
      </c>
    </row>
    <row r="2426" spans="51:53" x14ac:dyDescent="0.3">
      <c r="AY2426" t="str">
        <v>06/05/2015</v>
      </c>
      <c r="AZ2426">
        <v>47.5</v>
      </c>
      <c r="BA2426">
        <v>15.8</v>
      </c>
    </row>
    <row r="2427" spans="51:53" x14ac:dyDescent="0.3">
      <c r="AY2427" t="str">
        <v>05/05/2015</v>
      </c>
      <c r="AZ2427">
        <v>47.5</v>
      </c>
      <c r="BA2427">
        <v>15.8</v>
      </c>
    </row>
    <row r="2428" spans="51:53" x14ac:dyDescent="0.3">
      <c r="AY2428" t="str">
        <v>04/05/2015</v>
      </c>
      <c r="AZ2428">
        <v>47.5</v>
      </c>
      <c r="BA2428">
        <v>15.8</v>
      </c>
    </row>
    <row r="2429" spans="51:53" x14ac:dyDescent="0.3">
      <c r="AY2429" t="str">
        <v>01/05/2015</v>
      </c>
      <c r="AZ2429">
        <v>52.5</v>
      </c>
      <c r="BA2429">
        <v>13.9</v>
      </c>
    </row>
    <row r="2430" spans="51:53" x14ac:dyDescent="0.3">
      <c r="AY2430" t="str">
        <v>30/04/2015</v>
      </c>
      <c r="AZ2430">
        <v>52.5</v>
      </c>
      <c r="BA2430">
        <v>13.9</v>
      </c>
    </row>
    <row r="2431" spans="51:53" x14ac:dyDescent="0.3">
      <c r="AY2431" t="str">
        <v>29/04/2015</v>
      </c>
      <c r="AZ2431">
        <v>52.5</v>
      </c>
      <c r="BA2431">
        <v>13.9</v>
      </c>
    </row>
    <row r="2432" spans="51:53" x14ac:dyDescent="0.3">
      <c r="AY2432" t="str">
        <v>28/04/2015</v>
      </c>
      <c r="AZ2432">
        <v>52.5</v>
      </c>
      <c r="BA2432">
        <v>13.9</v>
      </c>
    </row>
    <row r="2433" spans="51:53" x14ac:dyDescent="0.3">
      <c r="AY2433" t="str">
        <v>27/04/2015</v>
      </c>
      <c r="AZ2433">
        <v>52.5</v>
      </c>
      <c r="BA2433">
        <v>13.9</v>
      </c>
    </row>
    <row r="2434" spans="51:53" x14ac:dyDescent="0.3">
      <c r="AY2434" t="str">
        <v>24/04/2015</v>
      </c>
      <c r="AZ2434">
        <v>57.4</v>
      </c>
      <c r="BA2434">
        <v>13.9</v>
      </c>
    </row>
    <row r="2435" spans="51:53" x14ac:dyDescent="0.3">
      <c r="AY2435" t="str">
        <v>23/04/2015</v>
      </c>
      <c r="AZ2435">
        <v>57.4</v>
      </c>
      <c r="BA2435">
        <v>13.9</v>
      </c>
    </row>
    <row r="2436" spans="51:53" x14ac:dyDescent="0.3">
      <c r="AY2436" t="str">
        <v>22/04/2015</v>
      </c>
      <c r="AZ2436">
        <v>57.4</v>
      </c>
      <c r="BA2436">
        <v>13.9</v>
      </c>
    </row>
    <row r="2437" spans="51:53" x14ac:dyDescent="0.3">
      <c r="AY2437" t="str">
        <v>21/04/2015</v>
      </c>
      <c r="AZ2437">
        <v>57.4</v>
      </c>
      <c r="BA2437">
        <v>13.9</v>
      </c>
    </row>
    <row r="2438" spans="51:53" x14ac:dyDescent="0.3">
      <c r="AY2438" t="str">
        <v>20/04/2015</v>
      </c>
      <c r="AZ2438">
        <v>57.4</v>
      </c>
      <c r="BA2438">
        <v>13.9</v>
      </c>
    </row>
    <row r="2439" spans="51:53" x14ac:dyDescent="0.3">
      <c r="AY2439" t="str">
        <v>17/04/2015</v>
      </c>
      <c r="AZ2439">
        <v>52.5</v>
      </c>
      <c r="BA2439">
        <v>15.2</v>
      </c>
    </row>
    <row r="2440" spans="51:53" x14ac:dyDescent="0.3">
      <c r="AY2440" t="str">
        <v>16/04/2015</v>
      </c>
      <c r="AZ2440">
        <v>52.5</v>
      </c>
      <c r="BA2440">
        <v>15.2</v>
      </c>
    </row>
    <row r="2441" spans="51:53" x14ac:dyDescent="0.3">
      <c r="AY2441" t="str">
        <v>15/04/2015</v>
      </c>
      <c r="AZ2441">
        <v>52.5</v>
      </c>
      <c r="BA2441">
        <v>15.2</v>
      </c>
    </row>
    <row r="2442" spans="51:53" x14ac:dyDescent="0.3">
      <c r="AY2442" t="str">
        <v>14/04/2015</v>
      </c>
      <c r="AZ2442">
        <v>52.5</v>
      </c>
      <c r="BA2442">
        <v>15.2</v>
      </c>
    </row>
    <row r="2443" spans="51:53" x14ac:dyDescent="0.3">
      <c r="AY2443" t="str">
        <v>13/04/2015</v>
      </c>
      <c r="AZ2443">
        <v>52.5</v>
      </c>
      <c r="BA2443">
        <v>15.2</v>
      </c>
    </row>
    <row r="2444" spans="51:53" x14ac:dyDescent="0.3">
      <c r="AY2444" t="str">
        <v>10/04/2015</v>
      </c>
      <c r="AZ2444">
        <v>50.5</v>
      </c>
      <c r="BA2444">
        <v>13.9</v>
      </c>
    </row>
    <row r="2445" spans="51:53" x14ac:dyDescent="0.3">
      <c r="AY2445" t="str">
        <v>09/04/2015</v>
      </c>
      <c r="AZ2445">
        <v>50.5</v>
      </c>
      <c r="BA2445">
        <v>13.9</v>
      </c>
    </row>
    <row r="2446" spans="51:53" x14ac:dyDescent="0.3">
      <c r="AY2446" t="str">
        <v>08/04/2015</v>
      </c>
      <c r="AZ2446">
        <v>50.5</v>
      </c>
      <c r="BA2446">
        <v>13.9</v>
      </c>
    </row>
    <row r="2447" spans="51:53" x14ac:dyDescent="0.3">
      <c r="AY2447" t="str">
        <v>07/04/2015</v>
      </c>
      <c r="AZ2447">
        <v>50.5</v>
      </c>
      <c r="BA2447">
        <v>13.9</v>
      </c>
    </row>
    <row r="2448" spans="51:53" x14ac:dyDescent="0.3">
      <c r="AY2448" t="str">
        <v>06/04/2015</v>
      </c>
      <c r="AZ2448">
        <v>50.5</v>
      </c>
      <c r="BA2448">
        <v>13.9</v>
      </c>
    </row>
    <row r="2449" spans="51:53" x14ac:dyDescent="0.3">
      <c r="AY2449" t="str">
        <v>03/04/2015</v>
      </c>
      <c r="AZ2449">
        <v>50.4</v>
      </c>
      <c r="BA2449">
        <v>14.2</v>
      </c>
    </row>
    <row r="2450" spans="51:53" x14ac:dyDescent="0.3">
      <c r="AY2450" t="str">
        <v>02/04/2015</v>
      </c>
      <c r="AZ2450">
        <v>50.4</v>
      </c>
      <c r="BA2450">
        <v>14.2</v>
      </c>
    </row>
    <row r="2451" spans="51:53" x14ac:dyDescent="0.3">
      <c r="AY2451" t="str">
        <v>01/04/2015</v>
      </c>
      <c r="AZ2451">
        <v>50.4</v>
      </c>
      <c r="BA2451">
        <v>14.2</v>
      </c>
    </row>
    <row r="2452" spans="51:53" x14ac:dyDescent="0.3">
      <c r="AY2452" t="str">
        <v>31/03/2015</v>
      </c>
      <c r="AZ2452">
        <v>50.4</v>
      </c>
      <c r="BA2452">
        <v>14.2</v>
      </c>
    </row>
    <row r="2453" spans="51:53" x14ac:dyDescent="0.3">
      <c r="AY2453" t="str">
        <v>30/03/2015</v>
      </c>
      <c r="AZ2453">
        <v>50.4</v>
      </c>
      <c r="BA2453">
        <v>14.2</v>
      </c>
    </row>
    <row r="2454" spans="51:53" x14ac:dyDescent="0.3">
      <c r="AY2454" t="str">
        <v>27/03/2015</v>
      </c>
      <c r="AZ2454">
        <v>54.5</v>
      </c>
      <c r="BA2454">
        <v>14.2</v>
      </c>
    </row>
    <row r="2455" spans="51:53" x14ac:dyDescent="0.3">
      <c r="AY2455" t="str">
        <v>26/03/2015</v>
      </c>
      <c r="AZ2455">
        <v>54.5</v>
      </c>
      <c r="BA2455">
        <v>14.2</v>
      </c>
    </row>
    <row r="2456" spans="51:53" x14ac:dyDescent="0.3">
      <c r="AY2456" t="str">
        <v>25/03/2015</v>
      </c>
      <c r="AZ2456">
        <v>54.5</v>
      </c>
      <c r="BA2456">
        <v>14.2</v>
      </c>
    </row>
    <row r="2457" spans="51:53" x14ac:dyDescent="0.3">
      <c r="AY2457" t="str">
        <v>24/03/2015</v>
      </c>
      <c r="AZ2457">
        <v>54.5</v>
      </c>
      <c r="BA2457">
        <v>14.2</v>
      </c>
    </row>
    <row r="2458" spans="51:53" x14ac:dyDescent="0.3">
      <c r="AY2458" t="str">
        <v>23/03/2015</v>
      </c>
      <c r="AZ2458">
        <v>54.5</v>
      </c>
      <c r="BA2458">
        <v>14.2</v>
      </c>
    </row>
    <row r="2459" spans="51:53" x14ac:dyDescent="0.3">
      <c r="AY2459" t="str">
        <v>20/03/2015</v>
      </c>
      <c r="AZ2459">
        <v>56.6</v>
      </c>
      <c r="BA2459">
        <v>14.1</v>
      </c>
    </row>
    <row r="2460" spans="51:53" x14ac:dyDescent="0.3">
      <c r="AY2460" t="str">
        <v>19/03/2015</v>
      </c>
      <c r="AZ2460">
        <v>56.6</v>
      </c>
      <c r="BA2460">
        <v>14.1</v>
      </c>
    </row>
    <row r="2461" spans="51:53" x14ac:dyDescent="0.3">
      <c r="AY2461" t="str">
        <v>18/03/2015</v>
      </c>
      <c r="AZ2461">
        <v>56.6</v>
      </c>
      <c r="BA2461">
        <v>14.1</v>
      </c>
    </row>
    <row r="2462" spans="51:53" x14ac:dyDescent="0.3">
      <c r="AY2462" t="str">
        <v>17/03/2015</v>
      </c>
      <c r="AZ2462">
        <v>56.6</v>
      </c>
      <c r="BA2462">
        <v>14.1</v>
      </c>
    </row>
    <row r="2463" spans="51:53" x14ac:dyDescent="0.3">
      <c r="AY2463" t="str">
        <v>16/03/2015</v>
      </c>
      <c r="AZ2463">
        <v>56.6</v>
      </c>
      <c r="BA2463">
        <v>14.1</v>
      </c>
    </row>
    <row r="2464" spans="51:53" x14ac:dyDescent="0.3">
      <c r="AY2464" t="str">
        <v>13/03/2015</v>
      </c>
      <c r="AZ2464">
        <v>52</v>
      </c>
      <c r="BA2464">
        <v>14.3</v>
      </c>
    </row>
    <row r="2465" spans="51:53" x14ac:dyDescent="0.3">
      <c r="AY2465" t="str">
        <v>12/03/2015</v>
      </c>
      <c r="AZ2465">
        <v>52</v>
      </c>
      <c r="BA2465">
        <v>14.3</v>
      </c>
    </row>
    <row r="2466" spans="51:53" x14ac:dyDescent="0.3">
      <c r="AY2466" t="str">
        <v>11/03/2015</v>
      </c>
      <c r="AZ2466">
        <v>52</v>
      </c>
      <c r="BA2466">
        <v>14.3</v>
      </c>
    </row>
    <row r="2467" spans="51:53" x14ac:dyDescent="0.3">
      <c r="AY2467" t="str">
        <v>10/03/2015</v>
      </c>
      <c r="AZ2467">
        <v>52</v>
      </c>
      <c r="BA2467">
        <v>14.3</v>
      </c>
    </row>
    <row r="2468" spans="51:53" x14ac:dyDescent="0.3">
      <c r="AY2468" t="str">
        <v>09/03/2015</v>
      </c>
      <c r="AZ2468">
        <v>52</v>
      </c>
      <c r="BA2468">
        <v>14.3</v>
      </c>
    </row>
    <row r="2469" spans="51:53" x14ac:dyDescent="0.3">
      <c r="AY2469" t="str">
        <v>06/03/2015</v>
      </c>
      <c r="AZ2469">
        <v>53.6</v>
      </c>
      <c r="BA2469">
        <v>14.1</v>
      </c>
    </row>
    <row r="2470" spans="51:53" x14ac:dyDescent="0.3">
      <c r="AY2470" t="str">
        <v>05/03/2015</v>
      </c>
      <c r="AZ2470">
        <v>53.6</v>
      </c>
      <c r="BA2470">
        <v>14.1</v>
      </c>
    </row>
    <row r="2471" spans="51:53" x14ac:dyDescent="0.3">
      <c r="AY2471" t="str">
        <v>04/03/2015</v>
      </c>
      <c r="AZ2471">
        <v>53.6</v>
      </c>
      <c r="BA2471">
        <v>14.1</v>
      </c>
    </row>
    <row r="2472" spans="51:53" x14ac:dyDescent="0.3">
      <c r="AY2472" t="str">
        <v>03/03/2015</v>
      </c>
      <c r="AZ2472">
        <v>53.6</v>
      </c>
      <c r="BA2472">
        <v>14.1</v>
      </c>
    </row>
    <row r="2473" spans="51:53" x14ac:dyDescent="0.3">
      <c r="AY2473" t="str">
        <v>02/03/2015</v>
      </c>
      <c r="AZ2473">
        <v>53.6</v>
      </c>
      <c r="BA2473">
        <v>14.1</v>
      </c>
    </row>
    <row r="2474" spans="51:53" x14ac:dyDescent="0.3">
      <c r="AY2474" t="str">
        <v>27/02/2015</v>
      </c>
      <c r="AZ2474">
        <v>58.7</v>
      </c>
      <c r="BA2474">
        <v>14.1</v>
      </c>
    </row>
    <row r="2475" spans="51:53" x14ac:dyDescent="0.3">
      <c r="AY2475" t="str">
        <v>26/02/2015</v>
      </c>
      <c r="AZ2475">
        <v>58.7</v>
      </c>
      <c r="BA2475">
        <v>14.1</v>
      </c>
    </row>
    <row r="2476" spans="51:53" x14ac:dyDescent="0.3">
      <c r="AY2476" t="str">
        <v>25/02/2015</v>
      </c>
      <c r="AZ2476">
        <v>58.7</v>
      </c>
      <c r="BA2476">
        <v>14.1</v>
      </c>
    </row>
    <row r="2477" spans="51:53" x14ac:dyDescent="0.3">
      <c r="AY2477" t="str">
        <v>24/02/2015</v>
      </c>
      <c r="AZ2477">
        <v>58.7</v>
      </c>
      <c r="BA2477">
        <v>14.1</v>
      </c>
    </row>
    <row r="2478" spans="51:53" x14ac:dyDescent="0.3">
      <c r="AY2478" t="str">
        <v>23/02/2015</v>
      </c>
      <c r="AZ2478">
        <v>58.7</v>
      </c>
      <c r="BA2478">
        <v>14.1</v>
      </c>
    </row>
    <row r="2479" spans="51:53" x14ac:dyDescent="0.3">
      <c r="AY2479" t="str">
        <v>20/02/2015</v>
      </c>
      <c r="AZ2479">
        <v>59.5</v>
      </c>
      <c r="BA2479">
        <v>14.1</v>
      </c>
    </row>
    <row r="2480" spans="51:53" x14ac:dyDescent="0.3">
      <c r="AY2480" t="str">
        <v>19/02/2015</v>
      </c>
      <c r="AZ2480">
        <v>59.5</v>
      </c>
      <c r="BA2480">
        <v>14.1</v>
      </c>
    </row>
    <row r="2481" spans="51:53" x14ac:dyDescent="0.3">
      <c r="AY2481" t="str">
        <v>18/02/2015</v>
      </c>
      <c r="AZ2481">
        <v>59.5</v>
      </c>
      <c r="BA2481">
        <v>14.1</v>
      </c>
    </row>
    <row r="2482" spans="51:53" x14ac:dyDescent="0.3">
      <c r="AY2482" t="str">
        <v>17/02/2015</v>
      </c>
      <c r="AZ2482">
        <v>59.5</v>
      </c>
      <c r="BA2482">
        <v>14.1</v>
      </c>
    </row>
    <row r="2483" spans="51:53" x14ac:dyDescent="0.3">
      <c r="AY2483" t="str">
        <v>16/02/2015</v>
      </c>
      <c r="AZ2483">
        <v>59.5</v>
      </c>
      <c r="BA2483">
        <v>14.1</v>
      </c>
    </row>
    <row r="2484" spans="51:53" x14ac:dyDescent="0.3">
      <c r="AY2484" t="str">
        <v>13/02/2015</v>
      </c>
      <c r="AZ2484">
        <v>56.6</v>
      </c>
      <c r="BA2484">
        <v>14.1</v>
      </c>
    </row>
    <row r="2485" spans="51:53" x14ac:dyDescent="0.3">
      <c r="AY2485" t="str">
        <v>12/02/2015</v>
      </c>
      <c r="AZ2485">
        <v>56.6</v>
      </c>
      <c r="BA2485">
        <v>14.1</v>
      </c>
    </row>
    <row r="2486" spans="51:53" x14ac:dyDescent="0.3">
      <c r="AY2486" t="str">
        <v>11/02/2015</v>
      </c>
      <c r="AZ2486">
        <v>56.6</v>
      </c>
      <c r="BA2486">
        <v>14.1</v>
      </c>
    </row>
    <row r="2487" spans="51:53" x14ac:dyDescent="0.3">
      <c r="AY2487" t="str">
        <v>10/02/2015</v>
      </c>
      <c r="AZ2487">
        <v>56.6</v>
      </c>
      <c r="BA2487">
        <v>14.1</v>
      </c>
    </row>
    <row r="2488" spans="51:53" x14ac:dyDescent="0.3">
      <c r="AY2488" t="str">
        <v>09/02/2015</v>
      </c>
      <c r="AZ2488">
        <v>56.6</v>
      </c>
      <c r="BA2488">
        <v>14.1</v>
      </c>
    </row>
    <row r="2489" spans="51:53" x14ac:dyDescent="0.3">
      <c r="AY2489" t="str">
        <v>06/02/2015</v>
      </c>
      <c r="AZ2489">
        <v>52.5</v>
      </c>
      <c r="BA2489">
        <v>15.2</v>
      </c>
    </row>
    <row r="2490" spans="51:53" x14ac:dyDescent="0.3">
      <c r="AY2490" t="str">
        <v>05/02/2015</v>
      </c>
      <c r="AZ2490">
        <v>52.5</v>
      </c>
      <c r="BA2490">
        <v>15.2</v>
      </c>
    </row>
    <row r="2491" spans="51:53" x14ac:dyDescent="0.3">
      <c r="AY2491" t="str">
        <v>04/02/2015</v>
      </c>
      <c r="AZ2491">
        <v>52.5</v>
      </c>
      <c r="BA2491">
        <v>15.2</v>
      </c>
    </row>
    <row r="2492" spans="51:53" x14ac:dyDescent="0.3">
      <c r="AY2492" t="str">
        <v>03/02/2015</v>
      </c>
      <c r="AZ2492">
        <v>52.5</v>
      </c>
      <c r="BA2492">
        <v>15.2</v>
      </c>
    </row>
    <row r="2493" spans="51:53" x14ac:dyDescent="0.3">
      <c r="AY2493" t="str">
        <v>02/02/2015</v>
      </c>
      <c r="AZ2493">
        <v>52.5</v>
      </c>
      <c r="BA2493">
        <v>15.2</v>
      </c>
    </row>
    <row r="2494" spans="51:53" x14ac:dyDescent="0.3">
      <c r="AY2494" t="str">
        <v>30/01/2015</v>
      </c>
      <c r="AZ2494">
        <v>49</v>
      </c>
      <c r="BA2494">
        <v>16.3</v>
      </c>
    </row>
    <row r="2495" spans="51:53" x14ac:dyDescent="0.3">
      <c r="AY2495" t="str">
        <v>29/01/2015</v>
      </c>
      <c r="AZ2495">
        <v>49</v>
      </c>
      <c r="BA2495">
        <v>16.3</v>
      </c>
    </row>
    <row r="2496" spans="51:53" x14ac:dyDescent="0.3">
      <c r="AY2496" t="str">
        <v>28/01/2015</v>
      </c>
      <c r="AZ2496">
        <v>49</v>
      </c>
      <c r="BA2496">
        <v>16.3</v>
      </c>
    </row>
    <row r="2497" spans="51:53" x14ac:dyDescent="0.3">
      <c r="AY2497" t="str">
        <v>27/01/2015</v>
      </c>
      <c r="AZ2497">
        <v>49</v>
      </c>
      <c r="BA2497">
        <v>16.3</v>
      </c>
    </row>
    <row r="2498" spans="51:53" x14ac:dyDescent="0.3">
      <c r="AY2498" t="str">
        <v>26/01/2015</v>
      </c>
      <c r="AZ2498">
        <v>49</v>
      </c>
      <c r="BA2498">
        <v>16.3</v>
      </c>
    </row>
    <row r="2499" spans="51:53" x14ac:dyDescent="0.3">
      <c r="AY2499" t="str">
        <v>23/01/2015</v>
      </c>
      <c r="AZ2499">
        <v>53.1</v>
      </c>
      <c r="BA2499">
        <v>16.3</v>
      </c>
    </row>
    <row r="2500" spans="51:53" x14ac:dyDescent="0.3">
      <c r="AY2500" t="str">
        <v>22/01/2015</v>
      </c>
      <c r="AZ2500">
        <v>53.1</v>
      </c>
      <c r="BA2500">
        <v>16.3</v>
      </c>
    </row>
    <row r="2501" spans="51:53" x14ac:dyDescent="0.3">
      <c r="AY2501" t="str">
        <v>21/01/2015</v>
      </c>
      <c r="AZ2501">
        <v>53.1</v>
      </c>
      <c r="BA2501">
        <v>16.3</v>
      </c>
    </row>
    <row r="2502" spans="51:53" x14ac:dyDescent="0.3">
      <c r="AY2502" t="str">
        <v>20/01/2015</v>
      </c>
      <c r="AZ2502">
        <v>53.1</v>
      </c>
      <c r="BA2502">
        <v>16.3</v>
      </c>
    </row>
    <row r="2503" spans="51:53" x14ac:dyDescent="0.3">
      <c r="AY2503" t="str">
        <v>19/01/2015</v>
      </c>
      <c r="AZ2503">
        <v>53.1</v>
      </c>
      <c r="BA2503">
        <v>16.3</v>
      </c>
    </row>
    <row r="2504" spans="51:53" x14ac:dyDescent="0.3">
      <c r="AY2504" t="str">
        <v>16/01/2015</v>
      </c>
      <c r="AZ2504">
        <v>49</v>
      </c>
      <c r="BA2504">
        <v>17.399999999999999</v>
      </c>
    </row>
    <row r="2505" spans="51:53" x14ac:dyDescent="0.3">
      <c r="AY2505" t="str">
        <v>15/01/2015</v>
      </c>
      <c r="AZ2505">
        <v>49</v>
      </c>
      <c r="BA2505">
        <v>17.399999999999999</v>
      </c>
    </row>
    <row r="2506" spans="51:53" x14ac:dyDescent="0.3">
      <c r="AY2506" t="str">
        <v>14/01/2015</v>
      </c>
      <c r="AZ2506">
        <v>49</v>
      </c>
      <c r="BA2506">
        <v>17.399999999999999</v>
      </c>
    </row>
    <row r="2507" spans="51:53" x14ac:dyDescent="0.3">
      <c r="AY2507" t="str">
        <v>13/01/2015</v>
      </c>
      <c r="AZ2507">
        <v>49</v>
      </c>
      <c r="BA2507">
        <v>17.399999999999999</v>
      </c>
    </row>
    <row r="2508" spans="51:53" x14ac:dyDescent="0.3">
      <c r="AY2508" t="str">
        <v>12/01/2015</v>
      </c>
      <c r="AZ2508">
        <v>49</v>
      </c>
      <c r="BA2508">
        <v>17.399999999999999</v>
      </c>
    </row>
    <row r="2509" spans="51:53" x14ac:dyDescent="0.3">
      <c r="AY2509" t="str">
        <v>09/01/2015</v>
      </c>
      <c r="AZ2509">
        <v>48</v>
      </c>
      <c r="BA2509">
        <v>16.3</v>
      </c>
    </row>
    <row r="2510" spans="51:53" x14ac:dyDescent="0.3">
      <c r="AY2510" t="str">
        <v>08/01/2015</v>
      </c>
      <c r="AZ2510">
        <v>48</v>
      </c>
      <c r="BA2510">
        <v>16.3</v>
      </c>
    </row>
    <row r="2511" spans="51:53" x14ac:dyDescent="0.3">
      <c r="AY2511" t="str">
        <v>07/01/2015</v>
      </c>
      <c r="AZ2511">
        <v>48</v>
      </c>
      <c r="BA2511">
        <v>16.3</v>
      </c>
    </row>
    <row r="2512" spans="51:53" x14ac:dyDescent="0.3">
      <c r="AY2512" t="str">
        <v>06/01/2015</v>
      </c>
      <c r="AZ2512">
        <v>48</v>
      </c>
      <c r="BA2512">
        <v>16.3</v>
      </c>
    </row>
    <row r="2513" spans="51:53" x14ac:dyDescent="0.3">
      <c r="AY2513" t="str">
        <v>05/01/2015</v>
      </c>
      <c r="AZ2513">
        <v>48</v>
      </c>
      <c r="BA2513">
        <v>16.3</v>
      </c>
    </row>
    <row r="2514" spans="51:53" x14ac:dyDescent="0.3">
      <c r="AY2514" t="str">
        <v>02/01/2015</v>
      </c>
      <c r="AZ2514">
        <v>50.5</v>
      </c>
      <c r="BA2514">
        <v>15.2</v>
      </c>
    </row>
    <row r="2515" spans="51:53" x14ac:dyDescent="0.3">
      <c r="AY2515" t="str">
        <v>01/01/2015</v>
      </c>
      <c r="AZ2515">
        <v>50.5</v>
      </c>
      <c r="BA2515">
        <v>15.2</v>
      </c>
    </row>
    <row r="2516" spans="51:53" x14ac:dyDescent="0.3">
      <c r="AY2516" t="str">
        <v>31/12/2014</v>
      </c>
      <c r="AZ2516">
        <v>50.5</v>
      </c>
      <c r="BA2516">
        <v>15.2</v>
      </c>
    </row>
    <row r="2517" spans="51:53" x14ac:dyDescent="0.3">
      <c r="AY2517" t="str">
        <v>30/12/2014</v>
      </c>
      <c r="AZ2517">
        <v>50.5</v>
      </c>
      <c r="BA2517">
        <v>15.2</v>
      </c>
    </row>
    <row r="2518" spans="51:53" x14ac:dyDescent="0.3">
      <c r="AY2518" t="str">
        <v>29/12/2014</v>
      </c>
      <c r="AZ2518">
        <v>50.5</v>
      </c>
      <c r="BA2518">
        <v>15.2</v>
      </c>
    </row>
    <row r="2519" spans="51:53" x14ac:dyDescent="0.3">
      <c r="AY2519" t="str">
        <v>26/12/2014</v>
      </c>
      <c r="AZ2519">
        <v>56.4</v>
      </c>
      <c r="BA2519">
        <v>14.9</v>
      </c>
    </row>
    <row r="2520" spans="51:53" x14ac:dyDescent="0.3">
      <c r="AY2520" t="str">
        <v>25/12/2014</v>
      </c>
      <c r="AZ2520">
        <v>56.4</v>
      </c>
      <c r="BA2520">
        <v>14.9</v>
      </c>
    </row>
    <row r="2521" spans="51:53" x14ac:dyDescent="0.3">
      <c r="AY2521" t="str">
        <v>24/12/2014</v>
      </c>
      <c r="AZ2521">
        <v>56.4</v>
      </c>
      <c r="BA2521">
        <v>14.9</v>
      </c>
    </row>
    <row r="2522" spans="51:53" x14ac:dyDescent="0.3">
      <c r="AY2522" t="str">
        <v>23/12/2014</v>
      </c>
      <c r="AZ2522">
        <v>56.4</v>
      </c>
      <c r="BA2522">
        <v>14.9</v>
      </c>
    </row>
    <row r="2523" spans="51:53" x14ac:dyDescent="0.3">
      <c r="AY2523" t="str">
        <v>22/12/2014</v>
      </c>
      <c r="AZ2523">
        <v>56.4</v>
      </c>
      <c r="BA2523">
        <v>14.9</v>
      </c>
    </row>
    <row r="2524" spans="51:53" x14ac:dyDescent="0.3">
      <c r="AY2524" t="str">
        <v>19/12/2014</v>
      </c>
      <c r="AZ2524">
        <v>52.5</v>
      </c>
      <c r="BA2524">
        <v>15.8</v>
      </c>
    </row>
    <row r="2525" spans="51:53" x14ac:dyDescent="0.3">
      <c r="AY2525" t="str">
        <v>18/12/2014</v>
      </c>
      <c r="AZ2525">
        <v>52.5</v>
      </c>
      <c r="BA2525">
        <v>15.8</v>
      </c>
    </row>
    <row r="2526" spans="51:53" x14ac:dyDescent="0.3">
      <c r="AY2526" t="str">
        <v>17/12/2014</v>
      </c>
      <c r="AZ2526">
        <v>52.5</v>
      </c>
      <c r="BA2526">
        <v>15.8</v>
      </c>
    </row>
    <row r="2527" spans="51:53" x14ac:dyDescent="0.3">
      <c r="AY2527" t="str">
        <v>16/12/2014</v>
      </c>
      <c r="AZ2527">
        <v>52.5</v>
      </c>
      <c r="BA2527">
        <v>15.8</v>
      </c>
    </row>
    <row r="2528" spans="51:53" x14ac:dyDescent="0.3">
      <c r="AY2528" t="str">
        <v>15/12/2014</v>
      </c>
      <c r="AZ2528">
        <v>52.5</v>
      </c>
      <c r="BA2528">
        <v>15.8</v>
      </c>
    </row>
    <row r="2529" spans="51:53" x14ac:dyDescent="0.3">
      <c r="AY2529" t="str">
        <v>12/12/2014</v>
      </c>
      <c r="AZ2529">
        <v>49.5</v>
      </c>
      <c r="BA2529">
        <v>14.9</v>
      </c>
    </row>
    <row r="2530" spans="51:53" x14ac:dyDescent="0.3">
      <c r="AY2530" t="str">
        <v>11/12/2014</v>
      </c>
      <c r="AZ2530">
        <v>49.5</v>
      </c>
      <c r="BA2530">
        <v>14.9</v>
      </c>
    </row>
    <row r="2531" spans="51:53" x14ac:dyDescent="0.3">
      <c r="AY2531" t="str">
        <v>10/12/2014</v>
      </c>
      <c r="AZ2531">
        <v>49.5</v>
      </c>
      <c r="BA2531">
        <v>14.9</v>
      </c>
    </row>
    <row r="2532" spans="51:53" x14ac:dyDescent="0.3">
      <c r="AY2532" t="str">
        <v>09/12/2014</v>
      </c>
      <c r="AZ2532">
        <v>49.5</v>
      </c>
      <c r="BA2532">
        <v>14.9</v>
      </c>
    </row>
    <row r="2533" spans="51:53" x14ac:dyDescent="0.3">
      <c r="AY2533" t="str">
        <v>08/12/2014</v>
      </c>
      <c r="AZ2533">
        <v>49.5</v>
      </c>
      <c r="BA2533">
        <v>14.9</v>
      </c>
    </row>
    <row r="2534" spans="51:53" x14ac:dyDescent="0.3">
      <c r="AY2534" t="str">
        <v>05/12/2014</v>
      </c>
      <c r="AZ2534">
        <v>51.5</v>
      </c>
      <c r="BA2534">
        <v>14.8</v>
      </c>
    </row>
    <row r="2535" spans="51:53" x14ac:dyDescent="0.3">
      <c r="AY2535" t="str">
        <v>04/12/2014</v>
      </c>
      <c r="AZ2535">
        <v>51.5</v>
      </c>
      <c r="BA2535">
        <v>14.8</v>
      </c>
    </row>
    <row r="2536" spans="51:53" x14ac:dyDescent="0.3">
      <c r="AY2536" t="str">
        <v>03/12/2014</v>
      </c>
      <c r="AZ2536">
        <v>51.5</v>
      </c>
      <c r="BA2536">
        <v>14.8</v>
      </c>
    </row>
    <row r="2537" spans="51:53" x14ac:dyDescent="0.3">
      <c r="AY2537" t="str">
        <v>02/12/2014</v>
      </c>
      <c r="AZ2537">
        <v>51.5</v>
      </c>
      <c r="BA2537">
        <v>14.8</v>
      </c>
    </row>
    <row r="2538" spans="51:53" x14ac:dyDescent="0.3">
      <c r="AY2538" t="str">
        <v>01/12/2014</v>
      </c>
      <c r="AZ2538">
        <v>51.5</v>
      </c>
      <c r="BA2538">
        <v>14.8</v>
      </c>
    </row>
    <row r="2539" spans="51:53" x14ac:dyDescent="0.3">
      <c r="AY2539" t="str">
        <v>28/11/2014</v>
      </c>
      <c r="AZ2539">
        <v>53.4</v>
      </c>
      <c r="BA2539">
        <v>13.9</v>
      </c>
    </row>
    <row r="2540" spans="51:53" x14ac:dyDescent="0.3">
      <c r="AY2540" t="str">
        <v>27/11/2014</v>
      </c>
      <c r="AZ2540">
        <v>53.4</v>
      </c>
      <c r="BA2540">
        <v>13.9</v>
      </c>
    </row>
    <row r="2541" spans="51:53" x14ac:dyDescent="0.3">
      <c r="AY2541" t="str">
        <v>26/11/2014</v>
      </c>
      <c r="AZ2541">
        <v>53.4</v>
      </c>
      <c r="BA2541">
        <v>13.9</v>
      </c>
    </row>
    <row r="2542" spans="51:53" x14ac:dyDescent="0.3">
      <c r="AY2542" t="str">
        <v>25/11/2014</v>
      </c>
      <c r="AZ2542">
        <v>53.4</v>
      </c>
      <c r="BA2542">
        <v>13.9</v>
      </c>
    </row>
    <row r="2543" spans="51:53" x14ac:dyDescent="0.3">
      <c r="AY2543" t="str">
        <v>24/11/2014</v>
      </c>
      <c r="AZ2543">
        <v>53.4</v>
      </c>
      <c r="BA2543">
        <v>13.9</v>
      </c>
    </row>
    <row r="2544" spans="51:53" x14ac:dyDescent="0.3">
      <c r="AY2544" t="str">
        <v>21/11/2014</v>
      </c>
      <c r="AZ2544">
        <v>56.5</v>
      </c>
      <c r="BA2544">
        <v>13.8</v>
      </c>
    </row>
    <row r="2545" spans="51:53" x14ac:dyDescent="0.3">
      <c r="AY2545" t="str">
        <v>20/11/2014</v>
      </c>
      <c r="AZ2545">
        <v>56.5</v>
      </c>
      <c r="BA2545">
        <v>13.8</v>
      </c>
    </row>
    <row r="2546" spans="51:53" x14ac:dyDescent="0.3">
      <c r="AY2546" t="str">
        <v>19/11/2014</v>
      </c>
      <c r="AZ2546">
        <v>56.5</v>
      </c>
      <c r="BA2546">
        <v>13.8</v>
      </c>
    </row>
    <row r="2547" spans="51:53" x14ac:dyDescent="0.3">
      <c r="AY2547" t="str">
        <v>18/11/2014</v>
      </c>
      <c r="AZ2547">
        <v>56.5</v>
      </c>
      <c r="BA2547">
        <v>13.8</v>
      </c>
    </row>
    <row r="2548" spans="51:53" x14ac:dyDescent="0.3">
      <c r="AY2548" t="str">
        <v>17/11/2014</v>
      </c>
      <c r="AZ2548">
        <v>56.5</v>
      </c>
      <c r="BA2548">
        <v>13.8</v>
      </c>
    </row>
    <row r="2549" spans="51:53" x14ac:dyDescent="0.3">
      <c r="AY2549" t="str">
        <v>14/11/2014</v>
      </c>
      <c r="AZ2549">
        <v>56.4</v>
      </c>
      <c r="BA2549">
        <v>14.9</v>
      </c>
    </row>
    <row r="2550" spans="51:53" x14ac:dyDescent="0.3">
      <c r="AY2550" t="str">
        <v>13/11/2014</v>
      </c>
      <c r="AZ2550">
        <v>56.4</v>
      </c>
      <c r="BA2550">
        <v>14.9</v>
      </c>
    </row>
    <row r="2551" spans="51:53" x14ac:dyDescent="0.3">
      <c r="AY2551" t="str">
        <v>12/11/2014</v>
      </c>
      <c r="AZ2551">
        <v>56.4</v>
      </c>
      <c r="BA2551">
        <v>14.9</v>
      </c>
    </row>
    <row r="2552" spans="51:53" x14ac:dyDescent="0.3">
      <c r="AY2552" t="str">
        <v>11/11/2014</v>
      </c>
      <c r="AZ2552">
        <v>56.4</v>
      </c>
      <c r="BA2552">
        <v>14.9</v>
      </c>
    </row>
    <row r="2553" spans="51:53" x14ac:dyDescent="0.3">
      <c r="AY2553" t="str">
        <v>10/11/2014</v>
      </c>
      <c r="AZ2553">
        <v>56.4</v>
      </c>
      <c r="BA2553">
        <v>14.9</v>
      </c>
    </row>
    <row r="2554" spans="51:53" x14ac:dyDescent="0.3">
      <c r="AY2554" t="str">
        <v>07/11/2014</v>
      </c>
      <c r="AZ2554">
        <v>55.5</v>
      </c>
      <c r="BA2554">
        <v>14.8</v>
      </c>
    </row>
    <row r="2555" spans="51:53" x14ac:dyDescent="0.3">
      <c r="AY2555" t="str">
        <v>06/11/2014</v>
      </c>
      <c r="AZ2555">
        <v>55.5</v>
      </c>
      <c r="BA2555">
        <v>14.8</v>
      </c>
    </row>
    <row r="2556" spans="51:53" x14ac:dyDescent="0.3">
      <c r="AY2556" t="str">
        <v>05/11/2014</v>
      </c>
      <c r="AZ2556">
        <v>55.5</v>
      </c>
      <c r="BA2556">
        <v>14.8</v>
      </c>
    </row>
    <row r="2557" spans="51:53" x14ac:dyDescent="0.3">
      <c r="AY2557" t="str">
        <v>04/11/2014</v>
      </c>
      <c r="AZ2557">
        <v>55.5</v>
      </c>
      <c r="BA2557">
        <v>14.8</v>
      </c>
    </row>
    <row r="2558" spans="51:53" x14ac:dyDescent="0.3">
      <c r="AY2558" t="str">
        <v>03/11/2014</v>
      </c>
      <c r="AZ2558">
        <v>55.5</v>
      </c>
      <c r="BA2558">
        <v>14.8</v>
      </c>
    </row>
    <row r="2559" spans="51:53" x14ac:dyDescent="0.3">
      <c r="AY2559" t="str">
        <v>31/10/2014</v>
      </c>
      <c r="AZ2559">
        <v>54.6</v>
      </c>
      <c r="BA2559">
        <v>15.1</v>
      </c>
    </row>
    <row r="2560" spans="51:53" x14ac:dyDescent="0.3">
      <c r="AY2560" t="str">
        <v>30/10/2014</v>
      </c>
      <c r="AZ2560">
        <v>54.6</v>
      </c>
      <c r="BA2560">
        <v>15.1</v>
      </c>
    </row>
    <row r="2561" spans="51:53" x14ac:dyDescent="0.3">
      <c r="AY2561" t="str">
        <v>29/10/2014</v>
      </c>
      <c r="AZ2561">
        <v>54.6</v>
      </c>
      <c r="BA2561">
        <v>15.1</v>
      </c>
    </row>
    <row r="2562" spans="51:53" x14ac:dyDescent="0.3">
      <c r="AY2562" t="str">
        <v>28/10/2014</v>
      </c>
      <c r="AZ2562">
        <v>54.6</v>
      </c>
      <c r="BA2562">
        <v>15.1</v>
      </c>
    </row>
    <row r="2563" spans="51:53" x14ac:dyDescent="0.3">
      <c r="AY2563" t="str">
        <v>27/10/2014</v>
      </c>
      <c r="AZ2563">
        <v>54.6</v>
      </c>
      <c r="BA2563">
        <v>15.1</v>
      </c>
    </row>
    <row r="2564" spans="51:53" x14ac:dyDescent="0.3">
      <c r="AY2564" t="str">
        <v>24/10/2014</v>
      </c>
      <c r="AZ2564">
        <v>47</v>
      </c>
      <c r="BA2564">
        <v>16.3</v>
      </c>
    </row>
    <row r="2565" spans="51:53" x14ac:dyDescent="0.3">
      <c r="AY2565" t="str">
        <v>23/10/2014</v>
      </c>
      <c r="AZ2565">
        <v>47</v>
      </c>
      <c r="BA2565">
        <v>16.3</v>
      </c>
    </row>
    <row r="2566" spans="51:53" x14ac:dyDescent="0.3">
      <c r="AY2566" t="str">
        <v>22/10/2014</v>
      </c>
      <c r="AZ2566">
        <v>47</v>
      </c>
      <c r="BA2566">
        <v>16.3</v>
      </c>
    </row>
    <row r="2567" spans="51:53" x14ac:dyDescent="0.3">
      <c r="AY2567" t="str">
        <v>21/10/2014</v>
      </c>
      <c r="AZ2567">
        <v>47</v>
      </c>
      <c r="BA2567">
        <v>16.3</v>
      </c>
    </row>
    <row r="2568" spans="51:53" x14ac:dyDescent="0.3">
      <c r="AY2568" t="str">
        <v>20/10/2014</v>
      </c>
      <c r="AZ2568">
        <v>47</v>
      </c>
      <c r="BA2568">
        <v>16.3</v>
      </c>
    </row>
    <row r="2569" spans="51:53" x14ac:dyDescent="0.3">
      <c r="AY2569" t="str">
        <v>17/10/2014</v>
      </c>
      <c r="AZ2569">
        <v>35.299999999999997</v>
      </c>
      <c r="BA2569">
        <v>18.2</v>
      </c>
    </row>
    <row r="2570" spans="51:53" x14ac:dyDescent="0.3">
      <c r="AY2570" t="str">
        <v>16/10/2014</v>
      </c>
      <c r="AZ2570">
        <v>35.299999999999997</v>
      </c>
      <c r="BA2570">
        <v>18.2</v>
      </c>
    </row>
    <row r="2571" spans="51:53" x14ac:dyDescent="0.3">
      <c r="AY2571" t="str">
        <v>15/10/2014</v>
      </c>
      <c r="AZ2571">
        <v>35.299999999999997</v>
      </c>
      <c r="BA2571">
        <v>18.2</v>
      </c>
    </row>
    <row r="2572" spans="51:53" x14ac:dyDescent="0.3">
      <c r="AY2572" t="str">
        <v>14/10/2014</v>
      </c>
      <c r="AZ2572">
        <v>35.299999999999997</v>
      </c>
      <c r="BA2572">
        <v>18.2</v>
      </c>
    </row>
    <row r="2573" spans="51:53" x14ac:dyDescent="0.3">
      <c r="AY2573" t="str">
        <v>13/10/2014</v>
      </c>
      <c r="AZ2573">
        <v>35.299999999999997</v>
      </c>
      <c r="BA2573">
        <v>18.2</v>
      </c>
    </row>
    <row r="2574" spans="51:53" x14ac:dyDescent="0.3">
      <c r="AY2574" t="str">
        <v>10/10/2014</v>
      </c>
      <c r="AZ2574">
        <v>37.799999999999997</v>
      </c>
      <c r="BA2574">
        <v>17.3</v>
      </c>
    </row>
    <row r="2575" spans="51:53" x14ac:dyDescent="0.3">
      <c r="AY2575" t="str">
        <v>09/10/2014</v>
      </c>
      <c r="AZ2575">
        <v>37.799999999999997</v>
      </c>
      <c r="BA2575">
        <v>17.3</v>
      </c>
    </row>
    <row r="2576" spans="51:53" x14ac:dyDescent="0.3">
      <c r="AY2576" t="str">
        <v>08/10/2014</v>
      </c>
      <c r="AZ2576">
        <v>37.799999999999997</v>
      </c>
      <c r="BA2576">
        <v>17.3</v>
      </c>
    </row>
    <row r="2577" spans="51:53" x14ac:dyDescent="0.3">
      <c r="AY2577" t="str">
        <v>07/10/2014</v>
      </c>
      <c r="AZ2577">
        <v>37.799999999999997</v>
      </c>
      <c r="BA2577">
        <v>17.3</v>
      </c>
    </row>
    <row r="2578" spans="51:53" x14ac:dyDescent="0.3">
      <c r="AY2578" t="str">
        <v>06/10/2014</v>
      </c>
      <c r="AZ2578">
        <v>37.799999999999997</v>
      </c>
      <c r="BA2578">
        <v>17.3</v>
      </c>
    </row>
    <row r="2579" spans="51:53" x14ac:dyDescent="0.3">
      <c r="AY2579" t="str">
        <v>03/10/2014</v>
      </c>
      <c r="AZ2579">
        <v>45.5</v>
      </c>
      <c r="BA2579">
        <v>14.1</v>
      </c>
    </row>
    <row r="2580" spans="51:53" x14ac:dyDescent="0.3">
      <c r="AY2580" t="str">
        <v>02/10/2014</v>
      </c>
      <c r="AZ2580">
        <v>45.5</v>
      </c>
      <c r="BA2580">
        <v>14.1</v>
      </c>
    </row>
    <row r="2581" spans="51:53" x14ac:dyDescent="0.3">
      <c r="AY2581" t="str">
        <v>01/10/2014</v>
      </c>
      <c r="AZ2581">
        <v>45.5</v>
      </c>
      <c r="BA2581">
        <v>14.1</v>
      </c>
    </row>
    <row r="2582" spans="51:53" x14ac:dyDescent="0.3">
      <c r="AY2582" t="str">
        <v>30/09/2014</v>
      </c>
      <c r="AZ2582">
        <v>45.5</v>
      </c>
      <c r="BA2582">
        <v>14.1</v>
      </c>
    </row>
    <row r="2583" spans="51:53" x14ac:dyDescent="0.3">
      <c r="AY2583" t="str">
        <v>29/09/2014</v>
      </c>
      <c r="AZ2583">
        <v>45.5</v>
      </c>
      <c r="BA2583">
        <v>14.1</v>
      </c>
    </row>
    <row r="2584" spans="51:53" x14ac:dyDescent="0.3">
      <c r="AY2584" t="str">
        <v>26/09/2014</v>
      </c>
      <c r="AZ2584">
        <v>47.5</v>
      </c>
      <c r="BA2584">
        <v>15.1</v>
      </c>
    </row>
    <row r="2585" spans="51:53" x14ac:dyDescent="0.3">
      <c r="AY2585" t="str">
        <v>25/09/2014</v>
      </c>
      <c r="AZ2585">
        <v>47.5</v>
      </c>
      <c r="BA2585">
        <v>15.1</v>
      </c>
    </row>
    <row r="2586" spans="51:53" x14ac:dyDescent="0.3">
      <c r="AY2586" t="str">
        <v>24/09/2014</v>
      </c>
      <c r="AZ2586">
        <v>47.5</v>
      </c>
      <c r="BA2586">
        <v>15.1</v>
      </c>
    </row>
    <row r="2587" spans="51:53" x14ac:dyDescent="0.3">
      <c r="AY2587" t="str">
        <v>23/09/2014</v>
      </c>
      <c r="AZ2587">
        <v>47.5</v>
      </c>
      <c r="BA2587">
        <v>15.1</v>
      </c>
    </row>
    <row r="2588" spans="51:53" x14ac:dyDescent="0.3">
      <c r="AY2588" t="str">
        <v>22/09/2014</v>
      </c>
      <c r="AZ2588">
        <v>47.5</v>
      </c>
      <c r="BA2588">
        <v>15.1</v>
      </c>
    </row>
    <row r="2589" spans="51:53" x14ac:dyDescent="0.3">
      <c r="AY2589" t="str">
        <v>19/09/2014</v>
      </c>
      <c r="AZ2589">
        <v>48</v>
      </c>
      <c r="BA2589">
        <v>15.3</v>
      </c>
    </row>
    <row r="2590" spans="51:53" x14ac:dyDescent="0.3">
      <c r="AY2590" t="str">
        <v>18/09/2014</v>
      </c>
      <c r="AZ2590">
        <v>48</v>
      </c>
      <c r="BA2590">
        <v>15.3</v>
      </c>
    </row>
    <row r="2591" spans="51:53" x14ac:dyDescent="0.3">
      <c r="AY2591" t="str">
        <v>17/09/2014</v>
      </c>
      <c r="AZ2591">
        <v>48</v>
      </c>
      <c r="BA2591">
        <v>15.3</v>
      </c>
    </row>
    <row r="2592" spans="51:53" x14ac:dyDescent="0.3">
      <c r="AY2592" t="str">
        <v>16/09/2014</v>
      </c>
      <c r="AZ2592">
        <v>48</v>
      </c>
      <c r="BA2592">
        <v>15.3</v>
      </c>
    </row>
    <row r="2593" spans="51:53" x14ac:dyDescent="0.3">
      <c r="AY2593" t="str">
        <v>15/09/2014</v>
      </c>
      <c r="AZ2593">
        <v>48</v>
      </c>
      <c r="BA2593">
        <v>15.3</v>
      </c>
    </row>
    <row r="2594" spans="51:53" x14ac:dyDescent="0.3">
      <c r="AY2594" t="str">
        <v>12/09/2014</v>
      </c>
      <c r="AZ2594">
        <v>52.5</v>
      </c>
      <c r="BA2594">
        <v>15.2</v>
      </c>
    </row>
    <row r="2595" spans="51:53" x14ac:dyDescent="0.3">
      <c r="AY2595" t="str">
        <v>11/09/2014</v>
      </c>
      <c r="AZ2595">
        <v>52.5</v>
      </c>
      <c r="BA2595">
        <v>15.2</v>
      </c>
    </row>
    <row r="2596" spans="51:53" x14ac:dyDescent="0.3">
      <c r="AY2596" t="str">
        <v>10/09/2014</v>
      </c>
      <c r="AZ2596">
        <v>52.5</v>
      </c>
      <c r="BA2596">
        <v>15.2</v>
      </c>
    </row>
    <row r="2597" spans="51:53" x14ac:dyDescent="0.3">
      <c r="AY2597" t="str">
        <v>09/09/2014</v>
      </c>
      <c r="AZ2597">
        <v>52.5</v>
      </c>
      <c r="BA2597">
        <v>15.2</v>
      </c>
    </row>
    <row r="2598" spans="51:53" x14ac:dyDescent="0.3">
      <c r="AY2598" t="str">
        <v>08/09/2014</v>
      </c>
      <c r="AZ2598">
        <v>52.5</v>
      </c>
      <c r="BA2598">
        <v>15.2</v>
      </c>
    </row>
    <row r="2599" spans="51:53" x14ac:dyDescent="0.3">
      <c r="AY2599" t="str">
        <v>05/09/2014</v>
      </c>
      <c r="AZ2599">
        <v>57.6</v>
      </c>
      <c r="BA2599">
        <v>14.1</v>
      </c>
    </row>
    <row r="2600" spans="51:53" x14ac:dyDescent="0.3">
      <c r="AY2600" t="str">
        <v>04/09/2014</v>
      </c>
      <c r="AZ2600">
        <v>57.6</v>
      </c>
      <c r="BA2600">
        <v>14.1</v>
      </c>
    </row>
    <row r="2601" spans="51:53" x14ac:dyDescent="0.3">
      <c r="AY2601" t="str">
        <v>03/09/2014</v>
      </c>
      <c r="AZ2601">
        <v>57.6</v>
      </c>
      <c r="BA2601">
        <v>14.1</v>
      </c>
    </row>
    <row r="2602" spans="51:53" x14ac:dyDescent="0.3">
      <c r="AY2602" t="str">
        <v>02/09/2014</v>
      </c>
      <c r="AZ2602">
        <v>57.6</v>
      </c>
      <c r="BA2602">
        <v>14.1</v>
      </c>
    </row>
    <row r="2603" spans="51:53" x14ac:dyDescent="0.3">
      <c r="AY2603" t="str">
        <v>01/09/2014</v>
      </c>
      <c r="AZ2603">
        <v>57.6</v>
      </c>
      <c r="BA2603">
        <v>14.1</v>
      </c>
    </row>
    <row r="2604" spans="51:53" x14ac:dyDescent="0.3">
      <c r="AY2604" t="str">
        <v>29/08/2014</v>
      </c>
      <c r="AZ2604">
        <v>56.1</v>
      </c>
      <c r="BA2604">
        <v>13.3</v>
      </c>
    </row>
    <row r="2605" spans="51:53" x14ac:dyDescent="0.3">
      <c r="AY2605" t="str">
        <v>28/08/2014</v>
      </c>
      <c r="AZ2605">
        <v>56.1</v>
      </c>
      <c r="BA2605">
        <v>13.3</v>
      </c>
    </row>
    <row r="2606" spans="51:53" x14ac:dyDescent="0.3">
      <c r="AY2606" t="str">
        <v>27/08/2014</v>
      </c>
      <c r="AZ2606">
        <v>56.1</v>
      </c>
      <c r="BA2606">
        <v>13.3</v>
      </c>
    </row>
    <row r="2607" spans="51:53" x14ac:dyDescent="0.3">
      <c r="AY2607" t="str">
        <v>26/08/2014</v>
      </c>
      <c r="AZ2607">
        <v>56.1</v>
      </c>
      <c r="BA2607">
        <v>13.3</v>
      </c>
    </row>
    <row r="2608" spans="51:53" x14ac:dyDescent="0.3">
      <c r="AY2608" t="str">
        <v>25/08/2014</v>
      </c>
      <c r="AZ2608">
        <v>56.1</v>
      </c>
      <c r="BA2608">
        <v>13.3</v>
      </c>
    </row>
    <row r="2609" spans="51:53" x14ac:dyDescent="0.3">
      <c r="AY2609" t="str">
        <v>22/08/2014</v>
      </c>
      <c r="AZ2609">
        <v>52.5</v>
      </c>
      <c r="BA2609">
        <v>15.1</v>
      </c>
    </row>
    <row r="2610" spans="51:53" x14ac:dyDescent="0.3">
      <c r="AY2610" t="str">
        <v>21/08/2014</v>
      </c>
      <c r="AZ2610">
        <v>52.5</v>
      </c>
      <c r="BA2610">
        <v>15.1</v>
      </c>
    </row>
    <row r="2611" spans="51:53" x14ac:dyDescent="0.3">
      <c r="AY2611" t="str">
        <v>20/08/2014</v>
      </c>
      <c r="AZ2611">
        <v>52.5</v>
      </c>
      <c r="BA2611">
        <v>15.1</v>
      </c>
    </row>
    <row r="2612" spans="51:53" x14ac:dyDescent="0.3">
      <c r="AY2612" t="str">
        <v>19/08/2014</v>
      </c>
      <c r="AZ2612">
        <v>52.5</v>
      </c>
      <c r="BA2612">
        <v>15.1</v>
      </c>
    </row>
    <row r="2613" spans="51:53" x14ac:dyDescent="0.3">
      <c r="AY2613" t="str">
        <v>18/08/2014</v>
      </c>
      <c r="AZ2613">
        <v>52.5</v>
      </c>
      <c r="BA2613">
        <v>15.1</v>
      </c>
    </row>
    <row r="2614" spans="51:53" x14ac:dyDescent="0.3">
      <c r="AY2614" t="str">
        <v>15/08/2014</v>
      </c>
      <c r="AZ2614">
        <v>49.5</v>
      </c>
      <c r="BA2614">
        <v>16.2</v>
      </c>
    </row>
    <row r="2615" spans="51:53" x14ac:dyDescent="0.3">
      <c r="AY2615" t="str">
        <v>14/08/2014</v>
      </c>
      <c r="AZ2615">
        <v>49.5</v>
      </c>
      <c r="BA2615">
        <v>16.2</v>
      </c>
    </row>
    <row r="2616" spans="51:53" x14ac:dyDescent="0.3">
      <c r="AY2616" t="str">
        <v>13/08/2014</v>
      </c>
      <c r="AZ2616">
        <v>49.5</v>
      </c>
      <c r="BA2616">
        <v>16.2</v>
      </c>
    </row>
    <row r="2617" spans="51:53" x14ac:dyDescent="0.3">
      <c r="AY2617" t="str">
        <v>12/08/2014</v>
      </c>
      <c r="AZ2617">
        <v>49.5</v>
      </c>
      <c r="BA2617">
        <v>16.2</v>
      </c>
    </row>
    <row r="2618" spans="51:53" x14ac:dyDescent="0.3">
      <c r="AY2618" t="str">
        <v>11/08/2014</v>
      </c>
      <c r="AZ2618">
        <v>49.5</v>
      </c>
      <c r="BA2618">
        <v>16.2</v>
      </c>
    </row>
    <row r="2619" spans="51:53" x14ac:dyDescent="0.3">
      <c r="AY2619" t="str">
        <v>08/08/2014</v>
      </c>
      <c r="AZ2619">
        <v>46.4</v>
      </c>
      <c r="BA2619">
        <v>16.2</v>
      </c>
    </row>
    <row r="2620" spans="51:53" x14ac:dyDescent="0.3">
      <c r="AY2620" t="str">
        <v>07/08/2014</v>
      </c>
      <c r="AZ2620">
        <v>46.4</v>
      </c>
      <c r="BA2620">
        <v>16.2</v>
      </c>
    </row>
    <row r="2621" spans="51:53" x14ac:dyDescent="0.3">
      <c r="AY2621" t="str">
        <v>06/08/2014</v>
      </c>
      <c r="AZ2621">
        <v>46.4</v>
      </c>
      <c r="BA2621">
        <v>16.2</v>
      </c>
    </row>
    <row r="2622" spans="51:53" x14ac:dyDescent="0.3">
      <c r="AY2622" t="str">
        <v>05/08/2014</v>
      </c>
      <c r="AZ2622">
        <v>46.4</v>
      </c>
      <c r="BA2622">
        <v>16.2</v>
      </c>
    </row>
    <row r="2623" spans="51:53" x14ac:dyDescent="0.3">
      <c r="AY2623" t="str">
        <v>04/08/2014</v>
      </c>
      <c r="AZ2623">
        <v>46.4</v>
      </c>
      <c r="BA2623">
        <v>16.2</v>
      </c>
    </row>
    <row r="2624" spans="51:53" x14ac:dyDescent="0.3">
      <c r="AY2624" t="str">
        <v>01/08/2014</v>
      </c>
      <c r="AZ2624">
        <v>50.5</v>
      </c>
      <c r="BA2624">
        <v>17.100000000000001</v>
      </c>
    </row>
    <row r="2625" spans="51:53" x14ac:dyDescent="0.3">
      <c r="AY2625" t="str">
        <v>31/07/2014</v>
      </c>
      <c r="AZ2625">
        <v>50.5</v>
      </c>
      <c r="BA2625">
        <v>17.100000000000001</v>
      </c>
    </row>
    <row r="2626" spans="51:53" x14ac:dyDescent="0.3">
      <c r="AY2626" t="str">
        <v>30/07/2014</v>
      </c>
      <c r="AZ2626">
        <v>50.5</v>
      </c>
      <c r="BA2626">
        <v>17.100000000000001</v>
      </c>
    </row>
    <row r="2627" spans="51:53" x14ac:dyDescent="0.3">
      <c r="AY2627" t="str">
        <v>29/07/2014</v>
      </c>
      <c r="AZ2627">
        <v>50.5</v>
      </c>
      <c r="BA2627">
        <v>17.100000000000001</v>
      </c>
    </row>
    <row r="2628" spans="51:53" x14ac:dyDescent="0.3">
      <c r="AY2628" t="str">
        <v>28/07/2014</v>
      </c>
      <c r="AZ2628">
        <v>50.5</v>
      </c>
      <c r="BA2628">
        <v>17.100000000000001</v>
      </c>
    </row>
    <row r="2629" spans="51:53" x14ac:dyDescent="0.3">
      <c r="AY2629" t="str">
        <v>25/07/2014</v>
      </c>
      <c r="AZ2629">
        <v>55.6</v>
      </c>
      <c r="BA2629">
        <v>16.2</v>
      </c>
    </row>
    <row r="2630" spans="51:53" x14ac:dyDescent="0.3">
      <c r="AY2630" t="str">
        <v>24/07/2014</v>
      </c>
      <c r="AZ2630">
        <v>55.6</v>
      </c>
      <c r="BA2630">
        <v>16.2</v>
      </c>
    </row>
    <row r="2631" spans="51:53" x14ac:dyDescent="0.3">
      <c r="AY2631" t="str">
        <v>23/07/2014</v>
      </c>
      <c r="AZ2631">
        <v>55.6</v>
      </c>
      <c r="BA2631">
        <v>16.2</v>
      </c>
    </row>
    <row r="2632" spans="51:53" x14ac:dyDescent="0.3">
      <c r="AY2632" t="str">
        <v>22/07/2014</v>
      </c>
      <c r="AZ2632">
        <v>55.6</v>
      </c>
      <c r="BA2632">
        <v>16.2</v>
      </c>
    </row>
    <row r="2633" spans="51:53" x14ac:dyDescent="0.3">
      <c r="AY2633" t="str">
        <v>21/07/2014</v>
      </c>
      <c r="AZ2633">
        <v>55.6</v>
      </c>
      <c r="BA2633">
        <v>16.2</v>
      </c>
    </row>
    <row r="2634" spans="51:53" x14ac:dyDescent="0.3">
      <c r="AY2634" t="str">
        <v>18/07/2014</v>
      </c>
      <c r="AZ2634">
        <v>56.5</v>
      </c>
      <c r="BA2634">
        <v>17.2</v>
      </c>
    </row>
    <row r="2635" spans="51:53" x14ac:dyDescent="0.3">
      <c r="AY2635" t="str">
        <v>17/07/2014</v>
      </c>
      <c r="AZ2635">
        <v>56.5</v>
      </c>
      <c r="BA2635">
        <v>17.2</v>
      </c>
    </row>
    <row r="2636" spans="51:53" x14ac:dyDescent="0.3">
      <c r="AY2636" t="str">
        <v>16/07/2014</v>
      </c>
      <c r="AZ2636">
        <v>56.5</v>
      </c>
      <c r="BA2636">
        <v>17.2</v>
      </c>
    </row>
    <row r="2637" spans="51:53" x14ac:dyDescent="0.3">
      <c r="AY2637" t="str">
        <v>15/07/2014</v>
      </c>
      <c r="AZ2637">
        <v>56.5</v>
      </c>
      <c r="BA2637">
        <v>17.2</v>
      </c>
    </row>
    <row r="2638" spans="51:53" x14ac:dyDescent="0.3">
      <c r="AY2638" t="str">
        <v>14/07/2014</v>
      </c>
      <c r="AZ2638">
        <v>56.5</v>
      </c>
      <c r="BA2638">
        <v>17.2</v>
      </c>
    </row>
    <row r="2639" spans="51:53" x14ac:dyDescent="0.3">
      <c r="AY2639" t="str">
        <v>11/07/2014</v>
      </c>
      <c r="AZ2639">
        <v>56.6</v>
      </c>
      <c r="BA2639">
        <v>15.1</v>
      </c>
    </row>
    <row r="2640" spans="51:53" x14ac:dyDescent="0.3">
      <c r="AY2640" t="str">
        <v>10/07/2014</v>
      </c>
      <c r="AZ2640">
        <v>56.6</v>
      </c>
      <c r="BA2640">
        <v>15.1</v>
      </c>
    </row>
    <row r="2641" spans="51:53" x14ac:dyDescent="0.3">
      <c r="AY2641" t="str">
        <v>09/07/2014</v>
      </c>
      <c r="AZ2641">
        <v>56.6</v>
      </c>
      <c r="BA2641">
        <v>15.1</v>
      </c>
    </row>
    <row r="2642" spans="51:53" x14ac:dyDescent="0.3">
      <c r="AY2642" t="str">
        <v>08/07/2014</v>
      </c>
      <c r="AZ2642">
        <v>56.6</v>
      </c>
      <c r="BA2642">
        <v>15.1</v>
      </c>
    </row>
    <row r="2643" spans="51:53" x14ac:dyDescent="0.3">
      <c r="AY2643" t="str">
        <v>07/07/2014</v>
      </c>
      <c r="AZ2643">
        <v>56.6</v>
      </c>
      <c r="BA2643">
        <v>15.1</v>
      </c>
    </row>
    <row r="2644" spans="51:53" x14ac:dyDescent="0.3">
      <c r="AY2644" t="str">
        <v>04/07/2014</v>
      </c>
      <c r="AZ2644">
        <v>60.6</v>
      </c>
      <c r="BA2644">
        <v>15.2</v>
      </c>
    </row>
    <row r="2645" spans="51:53" x14ac:dyDescent="0.3">
      <c r="AY2645" t="str">
        <v>03/07/2014</v>
      </c>
      <c r="AZ2645">
        <v>60.6</v>
      </c>
      <c r="BA2645">
        <v>15.2</v>
      </c>
    </row>
    <row r="2646" spans="51:53" x14ac:dyDescent="0.3">
      <c r="AY2646" t="str">
        <v>02/07/2014</v>
      </c>
      <c r="AZ2646">
        <v>60.6</v>
      </c>
      <c r="BA2646">
        <v>15.2</v>
      </c>
    </row>
    <row r="2647" spans="51:53" x14ac:dyDescent="0.3">
      <c r="AY2647" t="str">
        <v>01/07/2014</v>
      </c>
      <c r="AZ2647">
        <v>60.6</v>
      </c>
      <c r="BA2647">
        <v>15.2</v>
      </c>
    </row>
    <row r="2648" spans="51:53" x14ac:dyDescent="0.3">
      <c r="AY2648" t="str">
        <v>30/06/2014</v>
      </c>
      <c r="AZ2648">
        <v>60.6</v>
      </c>
      <c r="BA2648">
        <v>15.2</v>
      </c>
    </row>
    <row r="2649" spans="51:53" x14ac:dyDescent="0.3">
      <c r="AY2649" t="str">
        <v>27/06/2014</v>
      </c>
      <c r="AZ2649">
        <v>57.6</v>
      </c>
      <c r="BA2649">
        <v>16.100000000000001</v>
      </c>
    </row>
    <row r="2650" spans="51:53" x14ac:dyDescent="0.3">
      <c r="AY2650" t="str">
        <v>26/06/2014</v>
      </c>
      <c r="AZ2650">
        <v>57.6</v>
      </c>
      <c r="BA2650">
        <v>16.100000000000001</v>
      </c>
    </row>
    <row r="2651" spans="51:53" x14ac:dyDescent="0.3">
      <c r="AY2651" t="str">
        <v>25/06/2014</v>
      </c>
      <c r="AZ2651">
        <v>57.6</v>
      </c>
      <c r="BA2651">
        <v>16.100000000000001</v>
      </c>
    </row>
    <row r="2652" spans="51:53" x14ac:dyDescent="0.3">
      <c r="AY2652" t="str">
        <v>24/06/2014</v>
      </c>
      <c r="AZ2652">
        <v>57.6</v>
      </c>
      <c r="BA2652">
        <v>16.100000000000001</v>
      </c>
    </row>
    <row r="2653" spans="51:53" x14ac:dyDescent="0.3">
      <c r="AY2653" t="str">
        <v>23/06/2014</v>
      </c>
      <c r="AZ2653">
        <v>57.6</v>
      </c>
      <c r="BA2653">
        <v>16.100000000000001</v>
      </c>
    </row>
    <row r="2654" spans="51:53" x14ac:dyDescent="0.3">
      <c r="AY2654" t="str">
        <v>20/06/2014</v>
      </c>
      <c r="AZ2654">
        <v>60.2</v>
      </c>
      <c r="BA2654">
        <v>16.3</v>
      </c>
    </row>
    <row r="2655" spans="51:53" x14ac:dyDescent="0.3">
      <c r="AY2655" t="str">
        <v>19/06/2014</v>
      </c>
      <c r="AZ2655">
        <v>60.2</v>
      </c>
      <c r="BA2655">
        <v>16.3</v>
      </c>
    </row>
    <row r="2656" spans="51:53" x14ac:dyDescent="0.3">
      <c r="AY2656" t="str">
        <v>18/06/2014</v>
      </c>
      <c r="AZ2656">
        <v>60.2</v>
      </c>
      <c r="BA2656">
        <v>16.3</v>
      </c>
    </row>
    <row r="2657" spans="51:53" x14ac:dyDescent="0.3">
      <c r="AY2657" t="str">
        <v>17/06/2014</v>
      </c>
      <c r="AZ2657">
        <v>60.2</v>
      </c>
      <c r="BA2657">
        <v>16.3</v>
      </c>
    </row>
    <row r="2658" spans="51:53" x14ac:dyDescent="0.3">
      <c r="AY2658" t="str">
        <v>16/06/2014</v>
      </c>
      <c r="AZ2658">
        <v>60.2</v>
      </c>
      <c r="BA2658">
        <v>16.3</v>
      </c>
    </row>
    <row r="2659" spans="51:53" x14ac:dyDescent="0.3">
      <c r="AY2659" t="str">
        <v>13/06/2014</v>
      </c>
      <c r="AZ2659">
        <v>61.4</v>
      </c>
      <c r="BA2659">
        <v>16.3</v>
      </c>
    </row>
    <row r="2660" spans="51:53" x14ac:dyDescent="0.3">
      <c r="AY2660" t="str">
        <v>12/06/2014</v>
      </c>
      <c r="AZ2660">
        <v>61.4</v>
      </c>
      <c r="BA2660">
        <v>16.3</v>
      </c>
    </row>
    <row r="2661" spans="51:53" x14ac:dyDescent="0.3">
      <c r="AY2661" t="str">
        <v>11/06/2014</v>
      </c>
      <c r="AZ2661">
        <v>61.4</v>
      </c>
      <c r="BA2661">
        <v>16.3</v>
      </c>
    </row>
    <row r="2662" spans="51:53" x14ac:dyDescent="0.3">
      <c r="AY2662" t="str">
        <v>10/06/2014</v>
      </c>
      <c r="AZ2662">
        <v>61.4</v>
      </c>
      <c r="BA2662">
        <v>16.3</v>
      </c>
    </row>
    <row r="2663" spans="51:53" x14ac:dyDescent="0.3">
      <c r="AY2663" t="str">
        <v>09/06/2014</v>
      </c>
      <c r="AZ2663">
        <v>61.4</v>
      </c>
      <c r="BA2663">
        <v>16.3</v>
      </c>
    </row>
    <row r="2664" spans="51:53" x14ac:dyDescent="0.3">
      <c r="AY2664" t="str">
        <v>06/06/2014</v>
      </c>
      <c r="AZ2664">
        <v>62.6</v>
      </c>
      <c r="BA2664">
        <v>17.2</v>
      </c>
    </row>
    <row r="2665" spans="51:53" x14ac:dyDescent="0.3">
      <c r="AY2665" t="str">
        <v>05/06/2014</v>
      </c>
      <c r="AZ2665">
        <v>62.6</v>
      </c>
      <c r="BA2665">
        <v>17.2</v>
      </c>
    </row>
    <row r="2666" spans="51:53" x14ac:dyDescent="0.3">
      <c r="AY2666" t="str">
        <v>04/06/2014</v>
      </c>
      <c r="AZ2666">
        <v>62.6</v>
      </c>
      <c r="BA2666">
        <v>17.2</v>
      </c>
    </row>
    <row r="2667" spans="51:53" x14ac:dyDescent="0.3">
      <c r="AY2667" t="str">
        <v>03/06/2014</v>
      </c>
      <c r="AZ2667">
        <v>62.6</v>
      </c>
      <c r="BA2667">
        <v>17.2</v>
      </c>
    </row>
    <row r="2668" spans="51:53" x14ac:dyDescent="0.3">
      <c r="AY2668" t="str">
        <v>02/06/2014</v>
      </c>
      <c r="AZ2668">
        <v>62.6</v>
      </c>
      <c r="BA2668">
        <v>17.2</v>
      </c>
    </row>
    <row r="2669" spans="51:53" x14ac:dyDescent="0.3">
      <c r="AY2669" t="str">
        <v>30/05/2014</v>
      </c>
      <c r="AZ2669">
        <v>62.2</v>
      </c>
      <c r="BA2669">
        <v>17.399999999999999</v>
      </c>
    </row>
    <row r="2670" spans="51:53" x14ac:dyDescent="0.3">
      <c r="AY2670" t="str">
        <v>29/05/2014</v>
      </c>
      <c r="AZ2670">
        <v>62.2</v>
      </c>
      <c r="BA2670">
        <v>17.399999999999999</v>
      </c>
    </row>
    <row r="2671" spans="51:53" x14ac:dyDescent="0.3">
      <c r="AY2671" t="str">
        <v>28/05/2014</v>
      </c>
      <c r="AZ2671">
        <v>62.2</v>
      </c>
      <c r="BA2671">
        <v>17.399999999999999</v>
      </c>
    </row>
    <row r="2672" spans="51:53" x14ac:dyDescent="0.3">
      <c r="AY2672" t="str">
        <v>27/05/2014</v>
      </c>
      <c r="AZ2672">
        <v>62.2</v>
      </c>
      <c r="BA2672">
        <v>17.399999999999999</v>
      </c>
    </row>
    <row r="2673" spans="51:53" x14ac:dyDescent="0.3">
      <c r="AY2673" t="str">
        <v>26/05/2014</v>
      </c>
      <c r="AZ2673">
        <v>62.2</v>
      </c>
      <c r="BA2673">
        <v>17.399999999999999</v>
      </c>
    </row>
    <row r="2674" spans="51:53" x14ac:dyDescent="0.3">
      <c r="AY2674" t="str">
        <v>23/05/2014</v>
      </c>
      <c r="AZ2674">
        <v>58.3</v>
      </c>
      <c r="BA2674">
        <v>17.3</v>
      </c>
    </row>
    <row r="2675" spans="51:53" x14ac:dyDescent="0.3">
      <c r="AY2675" t="str">
        <v>22/05/2014</v>
      </c>
      <c r="AZ2675">
        <v>58.3</v>
      </c>
      <c r="BA2675">
        <v>17.3</v>
      </c>
    </row>
    <row r="2676" spans="51:53" x14ac:dyDescent="0.3">
      <c r="AY2676" t="str">
        <v>21/05/2014</v>
      </c>
      <c r="AZ2676">
        <v>58.3</v>
      </c>
      <c r="BA2676">
        <v>17.3</v>
      </c>
    </row>
    <row r="2677" spans="51:53" x14ac:dyDescent="0.3">
      <c r="AY2677" t="str">
        <v>20/05/2014</v>
      </c>
      <c r="AZ2677">
        <v>58.3</v>
      </c>
      <c r="BA2677">
        <v>17.3</v>
      </c>
    </row>
    <row r="2678" spans="51:53" x14ac:dyDescent="0.3">
      <c r="AY2678" t="str">
        <v>19/05/2014</v>
      </c>
      <c r="AZ2678">
        <v>58.3</v>
      </c>
      <c r="BA2678">
        <v>17.3</v>
      </c>
    </row>
    <row r="2679" spans="51:53" x14ac:dyDescent="0.3">
      <c r="AY2679" t="str">
        <v>16/05/2014</v>
      </c>
      <c r="AZ2679">
        <v>57.2</v>
      </c>
      <c r="BA2679">
        <v>18.3</v>
      </c>
    </row>
    <row r="2680" spans="51:53" x14ac:dyDescent="0.3">
      <c r="AY2680" t="str">
        <v>15/05/2014</v>
      </c>
      <c r="AZ2680">
        <v>57.2</v>
      </c>
      <c r="BA2680">
        <v>18.3</v>
      </c>
    </row>
    <row r="2681" spans="51:53" x14ac:dyDescent="0.3">
      <c r="AY2681" t="str">
        <v>14/05/2014</v>
      </c>
      <c r="AZ2681">
        <v>57.2</v>
      </c>
      <c r="BA2681">
        <v>18.3</v>
      </c>
    </row>
    <row r="2682" spans="51:53" x14ac:dyDescent="0.3">
      <c r="AY2682" t="str">
        <v>13/05/2014</v>
      </c>
      <c r="AZ2682">
        <v>57.2</v>
      </c>
      <c r="BA2682">
        <v>18.3</v>
      </c>
    </row>
    <row r="2683" spans="51:53" x14ac:dyDescent="0.3">
      <c r="AY2683" t="str">
        <v>12/05/2014</v>
      </c>
      <c r="AZ2683">
        <v>57.2</v>
      </c>
      <c r="BA2683">
        <v>18.3</v>
      </c>
    </row>
    <row r="2684" spans="51:53" x14ac:dyDescent="0.3">
      <c r="AY2684" t="str">
        <v>09/05/2014</v>
      </c>
      <c r="AZ2684">
        <v>55.1</v>
      </c>
      <c r="BA2684">
        <v>19.399999999999999</v>
      </c>
    </row>
    <row r="2685" spans="51:53" x14ac:dyDescent="0.3">
      <c r="AY2685" t="str">
        <v>08/05/2014</v>
      </c>
      <c r="AZ2685">
        <v>55.1</v>
      </c>
      <c r="BA2685">
        <v>19.399999999999999</v>
      </c>
    </row>
    <row r="2686" spans="51:53" x14ac:dyDescent="0.3">
      <c r="AY2686" t="str">
        <v>07/05/2014</v>
      </c>
      <c r="AZ2686">
        <v>55.1</v>
      </c>
      <c r="BA2686">
        <v>19.399999999999999</v>
      </c>
    </row>
    <row r="2687" spans="51:53" x14ac:dyDescent="0.3">
      <c r="AY2687" t="str">
        <v>06/05/2014</v>
      </c>
      <c r="AZ2687">
        <v>55.1</v>
      </c>
      <c r="BA2687">
        <v>19.399999999999999</v>
      </c>
    </row>
    <row r="2688" spans="51:53" x14ac:dyDescent="0.3">
      <c r="AY2688" t="str">
        <v>05/05/2014</v>
      </c>
      <c r="AZ2688">
        <v>55.1</v>
      </c>
      <c r="BA2688">
        <v>19.399999999999999</v>
      </c>
    </row>
    <row r="2689" spans="51:53" x14ac:dyDescent="0.3">
      <c r="AY2689" t="str">
        <v>02/05/2014</v>
      </c>
      <c r="AZ2689">
        <v>55.8</v>
      </c>
      <c r="BA2689">
        <v>19.7</v>
      </c>
    </row>
    <row r="2690" spans="51:53" x14ac:dyDescent="0.3">
      <c r="AY2690" t="str">
        <v>01/05/2014</v>
      </c>
      <c r="AZ2690">
        <v>55.8</v>
      </c>
      <c r="BA2690">
        <v>19.7</v>
      </c>
    </row>
    <row r="2691" spans="51:53" x14ac:dyDescent="0.3">
      <c r="AY2691" t="str">
        <v>30/04/2014</v>
      </c>
      <c r="AZ2691">
        <v>55.8</v>
      </c>
      <c r="BA2691">
        <v>19.7</v>
      </c>
    </row>
    <row r="2692" spans="51:53" x14ac:dyDescent="0.3">
      <c r="AY2692" t="str">
        <v>29/04/2014</v>
      </c>
      <c r="AZ2692">
        <v>55.8</v>
      </c>
      <c r="BA2692">
        <v>19.7</v>
      </c>
    </row>
    <row r="2693" spans="51:53" x14ac:dyDescent="0.3">
      <c r="AY2693" t="str">
        <v>28/04/2014</v>
      </c>
      <c r="AZ2693">
        <v>55.8</v>
      </c>
      <c r="BA2693">
        <v>19.7</v>
      </c>
    </row>
    <row r="2694" spans="51:53" x14ac:dyDescent="0.3">
      <c r="AY2694" t="str">
        <v>25/04/2014</v>
      </c>
      <c r="AZ2694">
        <v>54.7</v>
      </c>
      <c r="BA2694">
        <v>20.6</v>
      </c>
    </row>
    <row r="2695" spans="51:53" x14ac:dyDescent="0.3">
      <c r="AY2695" t="str">
        <v>24/04/2014</v>
      </c>
      <c r="AZ2695">
        <v>54.7</v>
      </c>
      <c r="BA2695">
        <v>20.6</v>
      </c>
    </row>
    <row r="2696" spans="51:53" x14ac:dyDescent="0.3">
      <c r="AY2696" t="str">
        <v>23/04/2014</v>
      </c>
      <c r="AZ2696">
        <v>54.7</v>
      </c>
      <c r="BA2696">
        <v>20.6</v>
      </c>
    </row>
    <row r="2697" spans="51:53" x14ac:dyDescent="0.3">
      <c r="AY2697" t="str">
        <v>22/04/2014</v>
      </c>
      <c r="AZ2697">
        <v>54.7</v>
      </c>
      <c r="BA2697">
        <v>20.6</v>
      </c>
    </row>
    <row r="2698" spans="51:53" x14ac:dyDescent="0.3">
      <c r="AY2698" t="str">
        <v>21/04/2014</v>
      </c>
      <c r="AZ2698">
        <v>54.7</v>
      </c>
      <c r="BA2698">
        <v>20.6</v>
      </c>
    </row>
    <row r="2699" spans="51:53" x14ac:dyDescent="0.3">
      <c r="AY2699" t="str">
        <v>18/04/2014</v>
      </c>
      <c r="AZ2699">
        <v>51.6</v>
      </c>
      <c r="BA2699">
        <v>21.7</v>
      </c>
    </row>
    <row r="2700" spans="51:53" x14ac:dyDescent="0.3">
      <c r="AY2700" t="str">
        <v>17/04/2014</v>
      </c>
      <c r="AZ2700">
        <v>51.6</v>
      </c>
      <c r="BA2700">
        <v>21.7</v>
      </c>
    </row>
    <row r="2701" spans="51:53" x14ac:dyDescent="0.3">
      <c r="AY2701" t="str">
        <v>16/04/2014</v>
      </c>
      <c r="AZ2701">
        <v>51.6</v>
      </c>
      <c r="BA2701">
        <v>21.7</v>
      </c>
    </row>
    <row r="2702" spans="51:53" x14ac:dyDescent="0.3">
      <c r="AY2702" t="str">
        <v>15/04/2014</v>
      </c>
      <c r="AZ2702">
        <v>51.6</v>
      </c>
      <c r="BA2702">
        <v>21.7</v>
      </c>
    </row>
    <row r="2703" spans="51:53" x14ac:dyDescent="0.3">
      <c r="AY2703" t="str">
        <v>14/04/2014</v>
      </c>
      <c r="AZ2703">
        <v>51.6</v>
      </c>
      <c r="BA2703">
        <v>21.7</v>
      </c>
    </row>
    <row r="2704" spans="51:53" x14ac:dyDescent="0.3">
      <c r="AY2704" t="str">
        <v>11/04/2014</v>
      </c>
      <c r="AZ2704">
        <v>50.5</v>
      </c>
      <c r="BA2704">
        <v>20.6</v>
      </c>
    </row>
    <row r="2705" spans="51:53" x14ac:dyDescent="0.3">
      <c r="AY2705" t="str">
        <v>10/04/2014</v>
      </c>
      <c r="AZ2705">
        <v>50.5</v>
      </c>
      <c r="BA2705">
        <v>20.6</v>
      </c>
    </row>
    <row r="2706" spans="51:53" x14ac:dyDescent="0.3">
      <c r="AY2706" t="str">
        <v>09/04/2014</v>
      </c>
      <c r="AZ2706">
        <v>50.5</v>
      </c>
      <c r="BA2706">
        <v>20.6</v>
      </c>
    </row>
    <row r="2707" spans="51:53" x14ac:dyDescent="0.3">
      <c r="AY2707" t="str">
        <v>08/04/2014</v>
      </c>
      <c r="AZ2707">
        <v>50.5</v>
      </c>
      <c r="BA2707">
        <v>20.6</v>
      </c>
    </row>
    <row r="2708" spans="51:53" x14ac:dyDescent="0.3">
      <c r="AY2708" t="str">
        <v>07/04/2014</v>
      </c>
      <c r="AZ2708">
        <v>50.5</v>
      </c>
      <c r="BA2708">
        <v>20.6</v>
      </c>
    </row>
    <row r="2709" spans="51:53" x14ac:dyDescent="0.3">
      <c r="AY2709" t="str">
        <v>04/04/2014</v>
      </c>
      <c r="AZ2709">
        <v>54.6</v>
      </c>
      <c r="BA2709">
        <v>18.600000000000001</v>
      </c>
    </row>
    <row r="2710" spans="51:53" x14ac:dyDescent="0.3">
      <c r="AY2710" t="str">
        <v>03/04/2014</v>
      </c>
      <c r="AZ2710">
        <v>54.6</v>
      </c>
      <c r="BA2710">
        <v>18.600000000000001</v>
      </c>
    </row>
    <row r="2711" spans="51:53" x14ac:dyDescent="0.3">
      <c r="AY2711" t="str">
        <v>02/04/2014</v>
      </c>
      <c r="AZ2711">
        <v>54.6</v>
      </c>
      <c r="BA2711">
        <v>18.600000000000001</v>
      </c>
    </row>
    <row r="2712" spans="51:53" x14ac:dyDescent="0.3">
      <c r="AY2712" t="str">
        <v>01/04/2014</v>
      </c>
      <c r="AZ2712">
        <v>54.6</v>
      </c>
      <c r="BA2712">
        <v>18.600000000000001</v>
      </c>
    </row>
    <row r="2713" spans="51:53" x14ac:dyDescent="0.3">
      <c r="AY2713" t="str">
        <v>31/03/2014</v>
      </c>
      <c r="AZ2713">
        <v>54.6</v>
      </c>
      <c r="BA2713">
        <v>18.600000000000001</v>
      </c>
    </row>
    <row r="2714" spans="51:53" x14ac:dyDescent="0.3">
      <c r="AY2714" t="str">
        <v>28/03/2014</v>
      </c>
      <c r="AZ2714">
        <v>50.5</v>
      </c>
      <c r="BA2714">
        <v>18.600000000000001</v>
      </c>
    </row>
    <row r="2715" spans="51:53" x14ac:dyDescent="0.3">
      <c r="AY2715" t="str">
        <v>27/03/2014</v>
      </c>
      <c r="AZ2715">
        <v>50.5</v>
      </c>
      <c r="BA2715">
        <v>18.600000000000001</v>
      </c>
    </row>
    <row r="2716" spans="51:53" x14ac:dyDescent="0.3">
      <c r="AY2716" t="str">
        <v>26/03/2014</v>
      </c>
      <c r="AZ2716">
        <v>50.5</v>
      </c>
      <c r="BA2716">
        <v>18.600000000000001</v>
      </c>
    </row>
    <row r="2717" spans="51:53" x14ac:dyDescent="0.3">
      <c r="AY2717" t="str">
        <v>25/03/2014</v>
      </c>
      <c r="AZ2717">
        <v>50.5</v>
      </c>
      <c r="BA2717">
        <v>18.600000000000001</v>
      </c>
    </row>
    <row r="2718" spans="51:53" x14ac:dyDescent="0.3">
      <c r="AY2718" t="str">
        <v>24/03/2014</v>
      </c>
      <c r="AZ2718">
        <v>50.5</v>
      </c>
      <c r="BA2718">
        <v>18.600000000000001</v>
      </c>
    </row>
    <row r="2719" spans="51:53" x14ac:dyDescent="0.3">
      <c r="AY2719" t="str">
        <v>21/03/2014</v>
      </c>
      <c r="AZ2719">
        <v>54.7</v>
      </c>
      <c r="BA2719">
        <v>17.5</v>
      </c>
    </row>
    <row r="2720" spans="51:53" x14ac:dyDescent="0.3">
      <c r="AY2720" t="str">
        <v>20/03/2014</v>
      </c>
      <c r="AZ2720">
        <v>54.7</v>
      </c>
      <c r="BA2720">
        <v>17.5</v>
      </c>
    </row>
    <row r="2721" spans="51:53" x14ac:dyDescent="0.3">
      <c r="AY2721" t="str">
        <v>19/03/2014</v>
      </c>
      <c r="AZ2721">
        <v>54.7</v>
      </c>
      <c r="BA2721">
        <v>17.5</v>
      </c>
    </row>
    <row r="2722" spans="51:53" x14ac:dyDescent="0.3">
      <c r="AY2722" t="str">
        <v>18/03/2014</v>
      </c>
      <c r="AZ2722">
        <v>54.7</v>
      </c>
      <c r="BA2722">
        <v>17.5</v>
      </c>
    </row>
    <row r="2723" spans="51:53" x14ac:dyDescent="0.3">
      <c r="AY2723" t="str">
        <v>17/03/2014</v>
      </c>
      <c r="AZ2723">
        <v>54.7</v>
      </c>
      <c r="BA2723">
        <v>17.5</v>
      </c>
    </row>
    <row r="2724" spans="51:53" x14ac:dyDescent="0.3">
      <c r="AY2724" t="str">
        <v>14/03/2014</v>
      </c>
      <c r="AZ2724">
        <v>52</v>
      </c>
      <c r="BA2724">
        <v>17.399999999999999</v>
      </c>
    </row>
    <row r="2725" spans="51:53" x14ac:dyDescent="0.3">
      <c r="AY2725" t="str">
        <v>13/03/2014</v>
      </c>
      <c r="AZ2725">
        <v>52</v>
      </c>
      <c r="BA2725">
        <v>17.399999999999999</v>
      </c>
    </row>
    <row r="2726" spans="51:53" x14ac:dyDescent="0.3">
      <c r="AY2726" t="str">
        <v>12/03/2014</v>
      </c>
      <c r="AZ2726">
        <v>52</v>
      </c>
      <c r="BA2726">
        <v>17.399999999999999</v>
      </c>
    </row>
    <row r="2727" spans="51:53" x14ac:dyDescent="0.3">
      <c r="AY2727" t="str">
        <v>11/03/2014</v>
      </c>
      <c r="AZ2727">
        <v>52</v>
      </c>
      <c r="BA2727">
        <v>17.399999999999999</v>
      </c>
    </row>
    <row r="2728" spans="51:53" x14ac:dyDescent="0.3">
      <c r="AY2728" t="str">
        <v>10/03/2014</v>
      </c>
      <c r="AZ2728">
        <v>52</v>
      </c>
      <c r="BA2728">
        <v>17.399999999999999</v>
      </c>
    </row>
    <row r="2729" spans="51:53" x14ac:dyDescent="0.3">
      <c r="AY2729" t="str">
        <v>07/03/2014</v>
      </c>
      <c r="AZ2729">
        <v>55.1</v>
      </c>
      <c r="BA2729">
        <v>17.399999999999999</v>
      </c>
    </row>
    <row r="2730" spans="51:53" x14ac:dyDescent="0.3">
      <c r="AY2730" t="str">
        <v>06/03/2014</v>
      </c>
      <c r="AZ2730">
        <v>55.1</v>
      </c>
      <c r="BA2730">
        <v>17.399999999999999</v>
      </c>
    </row>
    <row r="2731" spans="51:53" x14ac:dyDescent="0.3">
      <c r="AY2731" t="str">
        <v>05/03/2014</v>
      </c>
      <c r="AZ2731">
        <v>55.1</v>
      </c>
      <c r="BA2731">
        <v>17.399999999999999</v>
      </c>
    </row>
    <row r="2732" spans="51:53" x14ac:dyDescent="0.3">
      <c r="AY2732" t="str">
        <v>04/03/2014</v>
      </c>
      <c r="AZ2732">
        <v>55.1</v>
      </c>
      <c r="BA2732">
        <v>17.399999999999999</v>
      </c>
    </row>
    <row r="2733" spans="51:53" x14ac:dyDescent="0.3">
      <c r="AY2733" t="str">
        <v>03/03/2014</v>
      </c>
      <c r="AZ2733">
        <v>55.1</v>
      </c>
      <c r="BA2733">
        <v>17.399999999999999</v>
      </c>
    </row>
    <row r="2734" spans="51:53" x14ac:dyDescent="0.3">
      <c r="AY2734" t="str">
        <v>28/02/2014</v>
      </c>
      <c r="AZ2734">
        <v>54.6</v>
      </c>
      <c r="BA2734">
        <v>15.1</v>
      </c>
    </row>
    <row r="2735" spans="51:53" x14ac:dyDescent="0.3">
      <c r="AY2735" t="str">
        <v>27/02/2014</v>
      </c>
      <c r="AZ2735">
        <v>54.6</v>
      </c>
      <c r="BA2735">
        <v>15.1</v>
      </c>
    </row>
    <row r="2736" spans="51:53" x14ac:dyDescent="0.3">
      <c r="AY2736" t="str">
        <v>26/02/2014</v>
      </c>
      <c r="AZ2736">
        <v>54.6</v>
      </c>
      <c r="BA2736">
        <v>15.1</v>
      </c>
    </row>
    <row r="2737" spans="51:53" x14ac:dyDescent="0.3">
      <c r="AY2737" t="str">
        <v>25/02/2014</v>
      </c>
      <c r="AZ2737">
        <v>54.6</v>
      </c>
      <c r="BA2737">
        <v>15.1</v>
      </c>
    </row>
    <row r="2738" spans="51:53" x14ac:dyDescent="0.3">
      <c r="AY2738" t="str">
        <v>24/02/2014</v>
      </c>
      <c r="AZ2738">
        <v>54.6</v>
      </c>
      <c r="BA2738">
        <v>15.1</v>
      </c>
    </row>
    <row r="2739" spans="51:53" x14ac:dyDescent="0.3">
      <c r="AY2739" t="str">
        <v>21/02/2014</v>
      </c>
      <c r="AZ2739">
        <v>53.5</v>
      </c>
      <c r="BA2739">
        <v>17.2</v>
      </c>
    </row>
    <row r="2740" spans="51:53" x14ac:dyDescent="0.3">
      <c r="AY2740" t="str">
        <v>20/02/2014</v>
      </c>
      <c r="AZ2740">
        <v>53.5</v>
      </c>
      <c r="BA2740">
        <v>17.2</v>
      </c>
    </row>
    <row r="2741" spans="51:53" x14ac:dyDescent="0.3">
      <c r="AY2741" t="str">
        <v>19/02/2014</v>
      </c>
      <c r="AZ2741">
        <v>53.5</v>
      </c>
      <c r="BA2741">
        <v>17.2</v>
      </c>
    </row>
    <row r="2742" spans="51:53" x14ac:dyDescent="0.3">
      <c r="AY2742" t="str">
        <v>18/02/2014</v>
      </c>
      <c r="AZ2742">
        <v>53.5</v>
      </c>
      <c r="BA2742">
        <v>17.2</v>
      </c>
    </row>
    <row r="2743" spans="51:53" x14ac:dyDescent="0.3">
      <c r="AY2743" t="str">
        <v>17/02/2014</v>
      </c>
      <c r="AZ2743">
        <v>53.5</v>
      </c>
      <c r="BA2743">
        <v>17.2</v>
      </c>
    </row>
    <row r="2744" spans="51:53" x14ac:dyDescent="0.3">
      <c r="AY2744" t="str">
        <v>14/02/2014</v>
      </c>
      <c r="AZ2744">
        <v>46.5</v>
      </c>
      <c r="BA2744">
        <v>17.2</v>
      </c>
    </row>
    <row r="2745" spans="51:53" x14ac:dyDescent="0.3">
      <c r="AY2745" t="str">
        <v>13/02/2014</v>
      </c>
      <c r="AZ2745">
        <v>46.5</v>
      </c>
      <c r="BA2745">
        <v>17.2</v>
      </c>
    </row>
    <row r="2746" spans="51:53" x14ac:dyDescent="0.3">
      <c r="AY2746" t="str">
        <v>12/02/2014</v>
      </c>
      <c r="AZ2746">
        <v>46.5</v>
      </c>
      <c r="BA2746">
        <v>17.2</v>
      </c>
    </row>
    <row r="2747" spans="51:53" x14ac:dyDescent="0.3">
      <c r="AY2747" t="str">
        <v>11/02/2014</v>
      </c>
      <c r="AZ2747">
        <v>46.5</v>
      </c>
      <c r="BA2747">
        <v>17.2</v>
      </c>
    </row>
    <row r="2748" spans="51:53" x14ac:dyDescent="0.3">
      <c r="AY2748" t="str">
        <v>10/02/2014</v>
      </c>
      <c r="AZ2748">
        <v>46.5</v>
      </c>
      <c r="BA2748">
        <v>17.2</v>
      </c>
    </row>
    <row r="2749" spans="51:53" x14ac:dyDescent="0.3">
      <c r="AY2749" t="str">
        <v>07/02/2014</v>
      </c>
      <c r="AZ2749">
        <v>41.8</v>
      </c>
      <c r="BA2749">
        <v>17.399999999999999</v>
      </c>
    </row>
    <row r="2750" spans="51:53" x14ac:dyDescent="0.3">
      <c r="AY2750" t="str">
        <v>06/02/2014</v>
      </c>
      <c r="AZ2750">
        <v>41.8</v>
      </c>
      <c r="BA2750">
        <v>17.399999999999999</v>
      </c>
    </row>
    <row r="2751" spans="51:53" x14ac:dyDescent="0.3">
      <c r="AY2751" t="str">
        <v>05/02/2014</v>
      </c>
      <c r="AZ2751">
        <v>41.8</v>
      </c>
      <c r="BA2751">
        <v>17.399999999999999</v>
      </c>
    </row>
    <row r="2752" spans="51:53" x14ac:dyDescent="0.3">
      <c r="AY2752" t="str">
        <v>04/02/2014</v>
      </c>
      <c r="AZ2752">
        <v>41.8</v>
      </c>
      <c r="BA2752">
        <v>17.399999999999999</v>
      </c>
    </row>
    <row r="2753" spans="51:53" x14ac:dyDescent="0.3">
      <c r="AY2753" t="str">
        <v>03/02/2014</v>
      </c>
      <c r="AZ2753">
        <v>41.8</v>
      </c>
      <c r="BA2753">
        <v>17.399999999999999</v>
      </c>
    </row>
    <row r="2754" spans="51:53" x14ac:dyDescent="0.3">
      <c r="AY2754" t="str">
        <v>31/01/2014</v>
      </c>
      <c r="AZ2754">
        <v>45.9</v>
      </c>
      <c r="BA2754">
        <v>17.399999999999999</v>
      </c>
    </row>
    <row r="2755" spans="51:53" x14ac:dyDescent="0.3">
      <c r="AY2755" t="str">
        <v>30/01/2014</v>
      </c>
      <c r="AZ2755">
        <v>45.9</v>
      </c>
      <c r="BA2755">
        <v>17.399999999999999</v>
      </c>
    </row>
    <row r="2756" spans="51:53" x14ac:dyDescent="0.3">
      <c r="AY2756" t="str">
        <v>29/01/2014</v>
      </c>
      <c r="AZ2756">
        <v>45.9</v>
      </c>
      <c r="BA2756">
        <v>17.399999999999999</v>
      </c>
    </row>
    <row r="2757" spans="51:53" x14ac:dyDescent="0.3">
      <c r="AY2757" t="str">
        <v>28/01/2014</v>
      </c>
      <c r="AZ2757">
        <v>45.9</v>
      </c>
      <c r="BA2757">
        <v>17.399999999999999</v>
      </c>
    </row>
    <row r="2758" spans="51:53" x14ac:dyDescent="0.3">
      <c r="AY2758" t="str">
        <v>27/01/2014</v>
      </c>
      <c r="AZ2758">
        <v>45.9</v>
      </c>
      <c r="BA2758">
        <v>17.399999999999999</v>
      </c>
    </row>
    <row r="2759" spans="51:53" x14ac:dyDescent="0.3">
      <c r="AY2759" t="str">
        <v>24/01/2014</v>
      </c>
      <c r="AZ2759">
        <v>53.1</v>
      </c>
      <c r="BA2759">
        <v>15.3</v>
      </c>
    </row>
    <row r="2760" spans="51:53" x14ac:dyDescent="0.3">
      <c r="AY2760" t="str">
        <v>23/01/2014</v>
      </c>
      <c r="AZ2760">
        <v>53.1</v>
      </c>
      <c r="BA2760">
        <v>15.3</v>
      </c>
    </row>
    <row r="2761" spans="51:53" x14ac:dyDescent="0.3">
      <c r="AY2761" t="str">
        <v>22/01/2014</v>
      </c>
      <c r="AZ2761">
        <v>53.1</v>
      </c>
      <c r="BA2761">
        <v>15.3</v>
      </c>
    </row>
    <row r="2762" spans="51:53" x14ac:dyDescent="0.3">
      <c r="AY2762" t="str">
        <v>21/01/2014</v>
      </c>
      <c r="AZ2762">
        <v>53.1</v>
      </c>
      <c r="BA2762">
        <v>15.3</v>
      </c>
    </row>
    <row r="2763" spans="51:53" x14ac:dyDescent="0.3">
      <c r="AY2763" t="str">
        <v>20/01/2014</v>
      </c>
      <c r="AZ2763">
        <v>53.1</v>
      </c>
      <c r="BA2763">
        <v>15.3</v>
      </c>
    </row>
    <row r="2764" spans="51:53" x14ac:dyDescent="0.3">
      <c r="AY2764" t="str">
        <v>17/01/2014</v>
      </c>
      <c r="AZ2764">
        <v>57.6</v>
      </c>
      <c r="BA2764">
        <v>15.1</v>
      </c>
    </row>
    <row r="2765" spans="51:53" x14ac:dyDescent="0.3">
      <c r="AY2765" t="str">
        <v>16/01/2014</v>
      </c>
      <c r="AZ2765">
        <v>57.6</v>
      </c>
      <c r="BA2765">
        <v>15.1</v>
      </c>
    </row>
    <row r="2766" spans="51:53" x14ac:dyDescent="0.3">
      <c r="AY2766" t="str">
        <v>15/01/2014</v>
      </c>
      <c r="AZ2766">
        <v>57.6</v>
      </c>
      <c r="BA2766">
        <v>15.1</v>
      </c>
    </row>
    <row r="2767" spans="51:53" x14ac:dyDescent="0.3">
      <c r="AY2767" t="str">
        <v>14/01/2014</v>
      </c>
      <c r="AZ2767">
        <v>57.6</v>
      </c>
      <c r="BA2767">
        <v>15.1</v>
      </c>
    </row>
    <row r="2768" spans="51:53" x14ac:dyDescent="0.3">
      <c r="AY2768" t="str">
        <v>13/01/2014</v>
      </c>
      <c r="AZ2768">
        <v>57.6</v>
      </c>
      <c r="BA2768">
        <v>15.1</v>
      </c>
    </row>
    <row r="2769" spans="51:53" x14ac:dyDescent="0.3">
      <c r="AY2769" t="str">
        <v>10/01/2014</v>
      </c>
      <c r="AZ2769">
        <v>56.1</v>
      </c>
      <c r="BA2769">
        <v>15.3</v>
      </c>
    </row>
    <row r="2770" spans="51:53" x14ac:dyDescent="0.3">
      <c r="AY2770" t="str">
        <v>09/01/2014</v>
      </c>
      <c r="AZ2770">
        <v>56.1</v>
      </c>
      <c r="BA2770">
        <v>15.3</v>
      </c>
    </row>
    <row r="2771" spans="51:53" x14ac:dyDescent="0.3">
      <c r="AY2771" t="str">
        <v>08/01/2014</v>
      </c>
      <c r="AZ2771">
        <v>56.1</v>
      </c>
      <c r="BA2771">
        <v>15.3</v>
      </c>
    </row>
    <row r="2772" spans="51:53" x14ac:dyDescent="0.3">
      <c r="AY2772" t="str">
        <v>07/01/2014</v>
      </c>
      <c r="AZ2772">
        <v>56.1</v>
      </c>
      <c r="BA2772">
        <v>15.3</v>
      </c>
    </row>
    <row r="2773" spans="51:53" x14ac:dyDescent="0.3">
      <c r="AY2773" t="str">
        <v>06/01/2014</v>
      </c>
      <c r="AZ2773">
        <v>56.1</v>
      </c>
      <c r="BA2773">
        <v>15.3</v>
      </c>
    </row>
    <row r="2774" spans="51:53" x14ac:dyDescent="0.3">
      <c r="AY2774" t="str">
        <v>03/01/2014</v>
      </c>
      <c r="AZ2774">
        <v>60.6</v>
      </c>
      <c r="BA2774">
        <v>15.2</v>
      </c>
    </row>
    <row r="2775" spans="51:53" x14ac:dyDescent="0.3">
      <c r="AY2775" t="str">
        <v>02/01/2014</v>
      </c>
      <c r="AZ2775">
        <v>60.6</v>
      </c>
      <c r="BA2775">
        <v>15.2</v>
      </c>
    </row>
    <row r="2776" spans="51:53" x14ac:dyDescent="0.3">
      <c r="AY2776" t="str">
        <v>01/01/2014</v>
      </c>
      <c r="AZ2776">
        <v>60.6</v>
      </c>
      <c r="BA2776">
        <v>15.2</v>
      </c>
    </row>
    <row r="2777" spans="51:53" x14ac:dyDescent="0.3">
      <c r="AY2777" t="str">
        <v>31/12/2013</v>
      </c>
      <c r="AZ2777">
        <v>60.6</v>
      </c>
      <c r="BA2777">
        <v>15.2</v>
      </c>
    </row>
    <row r="2778" spans="51:53" x14ac:dyDescent="0.3">
      <c r="AY2778" t="str">
        <v>30/12/2013</v>
      </c>
      <c r="AZ2778">
        <v>60.6</v>
      </c>
      <c r="BA2778">
        <v>15.2</v>
      </c>
    </row>
    <row r="2779" spans="51:53" x14ac:dyDescent="0.3">
      <c r="AY2779" t="str">
        <v>27/12/2013</v>
      </c>
      <c r="AZ2779">
        <v>61.6</v>
      </c>
      <c r="BA2779">
        <v>15.2</v>
      </c>
    </row>
    <row r="2780" spans="51:53" x14ac:dyDescent="0.3">
      <c r="AY2780" t="str">
        <v>26/12/2013</v>
      </c>
      <c r="AZ2780">
        <v>61.6</v>
      </c>
      <c r="BA2780">
        <v>15.2</v>
      </c>
    </row>
    <row r="2781" spans="51:53" x14ac:dyDescent="0.3">
      <c r="AY2781" t="str">
        <v>25/12/2013</v>
      </c>
      <c r="AZ2781">
        <v>61.6</v>
      </c>
      <c r="BA2781">
        <v>15.2</v>
      </c>
    </row>
    <row r="2782" spans="51:53" x14ac:dyDescent="0.3">
      <c r="AY2782" t="str">
        <v>24/12/2013</v>
      </c>
      <c r="AZ2782">
        <v>61.6</v>
      </c>
      <c r="BA2782">
        <v>15.2</v>
      </c>
    </row>
    <row r="2783" spans="51:53" x14ac:dyDescent="0.3">
      <c r="AY2783" t="str">
        <v>23/12/2013</v>
      </c>
      <c r="AZ2783">
        <v>61.6</v>
      </c>
      <c r="BA2783">
        <v>15.2</v>
      </c>
    </row>
    <row r="2784" spans="51:53" x14ac:dyDescent="0.3">
      <c r="AY2784" t="str">
        <v>20/12/2013</v>
      </c>
      <c r="AZ2784">
        <v>59.6</v>
      </c>
      <c r="BA2784">
        <v>14.1</v>
      </c>
    </row>
    <row r="2785" spans="51:53" x14ac:dyDescent="0.3">
      <c r="AY2785" t="str">
        <v>19/12/2013</v>
      </c>
      <c r="AZ2785">
        <v>59.6</v>
      </c>
      <c r="BA2785">
        <v>14.1</v>
      </c>
    </row>
    <row r="2786" spans="51:53" x14ac:dyDescent="0.3">
      <c r="AY2786" t="str">
        <v>18/12/2013</v>
      </c>
      <c r="AZ2786">
        <v>59.6</v>
      </c>
      <c r="BA2786">
        <v>14.1</v>
      </c>
    </row>
    <row r="2787" spans="51:53" x14ac:dyDescent="0.3">
      <c r="AY2787" t="str">
        <v>17/12/2013</v>
      </c>
      <c r="AZ2787">
        <v>59.6</v>
      </c>
      <c r="BA2787">
        <v>14.1</v>
      </c>
    </row>
    <row r="2788" spans="51:53" x14ac:dyDescent="0.3">
      <c r="AY2788" t="str">
        <v>16/12/2013</v>
      </c>
      <c r="AZ2788">
        <v>59.6</v>
      </c>
      <c r="BA2788">
        <v>14.1</v>
      </c>
    </row>
    <row r="2789" spans="51:53" x14ac:dyDescent="0.3">
      <c r="AY2789" t="str">
        <v>13/12/2013</v>
      </c>
      <c r="AZ2789">
        <v>58.2</v>
      </c>
      <c r="BA2789">
        <v>14.3</v>
      </c>
    </row>
    <row r="2790" spans="51:53" x14ac:dyDescent="0.3">
      <c r="AY2790" t="str">
        <v>12/12/2013</v>
      </c>
      <c r="AZ2790">
        <v>58.2</v>
      </c>
      <c r="BA2790">
        <v>14.3</v>
      </c>
    </row>
    <row r="2791" spans="51:53" x14ac:dyDescent="0.3">
      <c r="AY2791" t="str">
        <v>11/12/2013</v>
      </c>
      <c r="AZ2791">
        <v>58.2</v>
      </c>
      <c r="BA2791">
        <v>14.3</v>
      </c>
    </row>
    <row r="2792" spans="51:53" x14ac:dyDescent="0.3">
      <c r="AY2792" t="str">
        <v>10/12/2013</v>
      </c>
      <c r="AZ2792">
        <v>58.2</v>
      </c>
      <c r="BA2792">
        <v>14.3</v>
      </c>
    </row>
    <row r="2793" spans="51:53" x14ac:dyDescent="0.3">
      <c r="AY2793" t="str">
        <v>09/12/2013</v>
      </c>
      <c r="AZ2793">
        <v>58.2</v>
      </c>
      <c r="BA2793">
        <v>14.3</v>
      </c>
    </row>
    <row r="2794" spans="51:53" x14ac:dyDescent="0.3">
      <c r="AY2794" t="str">
        <v>06/12/2013</v>
      </c>
      <c r="AZ2794">
        <v>58.2</v>
      </c>
      <c r="BA2794">
        <v>14.3</v>
      </c>
    </row>
    <row r="2795" spans="51:53" x14ac:dyDescent="0.3">
      <c r="AY2795" t="str">
        <v>05/12/2013</v>
      </c>
      <c r="AZ2795">
        <v>58.2</v>
      </c>
      <c r="BA2795">
        <v>14.3</v>
      </c>
    </row>
    <row r="2796" spans="51:53" x14ac:dyDescent="0.3">
      <c r="AY2796" t="str">
        <v>04/12/2013</v>
      </c>
      <c r="AZ2796">
        <v>58.2</v>
      </c>
      <c r="BA2796">
        <v>14.3</v>
      </c>
    </row>
    <row r="2797" spans="51:53" x14ac:dyDescent="0.3">
      <c r="AY2797" t="str">
        <v>03/12/2013</v>
      </c>
      <c r="AZ2797">
        <v>58.2</v>
      </c>
      <c r="BA2797">
        <v>14.3</v>
      </c>
    </row>
    <row r="2798" spans="51:53" x14ac:dyDescent="0.3">
      <c r="AY2798" t="str">
        <v>02/12/2013</v>
      </c>
      <c r="AZ2798">
        <v>58.2</v>
      </c>
      <c r="BA2798">
        <v>14.3</v>
      </c>
    </row>
    <row r="2799" spans="51:53" x14ac:dyDescent="0.3">
      <c r="AY2799" t="str">
        <v>29/11/2013</v>
      </c>
      <c r="AZ2799">
        <v>57.1</v>
      </c>
      <c r="BA2799">
        <v>14.3</v>
      </c>
    </row>
    <row r="2800" spans="51:53" x14ac:dyDescent="0.3">
      <c r="AY2800" t="str">
        <v>28/11/2013</v>
      </c>
      <c r="AZ2800">
        <v>57.1</v>
      </c>
      <c r="BA2800">
        <v>14.3</v>
      </c>
    </row>
    <row r="2801" spans="51:53" x14ac:dyDescent="0.3">
      <c r="AY2801" t="str">
        <v>27/11/2013</v>
      </c>
      <c r="AZ2801">
        <v>57.1</v>
      </c>
      <c r="BA2801">
        <v>14.3</v>
      </c>
    </row>
    <row r="2802" spans="51:53" x14ac:dyDescent="0.3">
      <c r="AY2802" t="str">
        <v>26/11/2013</v>
      </c>
      <c r="AZ2802">
        <v>57.1</v>
      </c>
      <c r="BA2802">
        <v>14.3</v>
      </c>
    </row>
    <row r="2803" spans="51:53" x14ac:dyDescent="0.3">
      <c r="AY2803" t="str">
        <v>25/11/2013</v>
      </c>
      <c r="AZ2803">
        <v>57.1</v>
      </c>
      <c r="BA2803">
        <v>14.3</v>
      </c>
    </row>
    <row r="2804" spans="51:53" x14ac:dyDescent="0.3">
      <c r="AY2804" t="str">
        <v>22/11/2013</v>
      </c>
      <c r="AZ2804">
        <v>55.7</v>
      </c>
      <c r="BA2804">
        <v>14.4</v>
      </c>
    </row>
    <row r="2805" spans="51:53" x14ac:dyDescent="0.3">
      <c r="AY2805" t="str">
        <v>21/11/2013</v>
      </c>
      <c r="AZ2805">
        <v>55.7</v>
      </c>
      <c r="BA2805">
        <v>14.4</v>
      </c>
    </row>
    <row r="2806" spans="51:53" x14ac:dyDescent="0.3">
      <c r="AY2806" t="str">
        <v>20/11/2013</v>
      </c>
      <c r="AZ2806">
        <v>55.7</v>
      </c>
      <c r="BA2806">
        <v>14.4</v>
      </c>
    </row>
    <row r="2807" spans="51:53" x14ac:dyDescent="0.3">
      <c r="AY2807" t="str">
        <v>19/11/2013</v>
      </c>
      <c r="AZ2807">
        <v>55.7</v>
      </c>
      <c r="BA2807">
        <v>14.4</v>
      </c>
    </row>
    <row r="2808" spans="51:53" x14ac:dyDescent="0.3">
      <c r="AY2808" t="str">
        <v>18/11/2013</v>
      </c>
      <c r="AZ2808">
        <v>55.7</v>
      </c>
      <c r="BA2808">
        <v>14.4</v>
      </c>
    </row>
    <row r="2809" spans="51:53" x14ac:dyDescent="0.3">
      <c r="AY2809" t="str">
        <v>15/11/2013</v>
      </c>
      <c r="AZ2809">
        <v>53.6</v>
      </c>
      <c r="BA2809">
        <v>15.5</v>
      </c>
    </row>
    <row r="2810" spans="51:53" x14ac:dyDescent="0.3">
      <c r="AY2810" t="str">
        <v>14/11/2013</v>
      </c>
      <c r="AZ2810">
        <v>53.6</v>
      </c>
      <c r="BA2810">
        <v>15.5</v>
      </c>
    </row>
    <row r="2811" spans="51:53" x14ac:dyDescent="0.3">
      <c r="AY2811" t="str">
        <v>13/11/2013</v>
      </c>
      <c r="AZ2811">
        <v>53.6</v>
      </c>
      <c r="BA2811">
        <v>15.5</v>
      </c>
    </row>
    <row r="2812" spans="51:53" x14ac:dyDescent="0.3">
      <c r="AY2812" t="str">
        <v>12/11/2013</v>
      </c>
      <c r="AZ2812">
        <v>53.6</v>
      </c>
      <c r="BA2812">
        <v>15.5</v>
      </c>
    </row>
    <row r="2813" spans="51:53" x14ac:dyDescent="0.3">
      <c r="AY2813" t="str">
        <v>11/11/2013</v>
      </c>
      <c r="AZ2813">
        <v>53.6</v>
      </c>
      <c r="BA2813">
        <v>15.5</v>
      </c>
    </row>
    <row r="2814" spans="51:53" x14ac:dyDescent="0.3">
      <c r="AY2814" t="str">
        <v>08/11/2013</v>
      </c>
      <c r="AZ2814">
        <v>52.6</v>
      </c>
      <c r="BA2814">
        <v>15.5</v>
      </c>
    </row>
    <row r="2815" spans="51:53" x14ac:dyDescent="0.3">
      <c r="AY2815" t="str">
        <v>07/11/2013</v>
      </c>
      <c r="AZ2815">
        <v>52.6</v>
      </c>
      <c r="BA2815">
        <v>15.5</v>
      </c>
    </row>
    <row r="2816" spans="51:53" x14ac:dyDescent="0.3">
      <c r="AY2816" t="str">
        <v>06/11/2013</v>
      </c>
      <c r="AZ2816">
        <v>52.6</v>
      </c>
      <c r="BA2816">
        <v>15.5</v>
      </c>
    </row>
    <row r="2817" spans="51:53" x14ac:dyDescent="0.3">
      <c r="AY2817" t="str">
        <v>05/11/2013</v>
      </c>
      <c r="AZ2817">
        <v>52.6</v>
      </c>
      <c r="BA2817">
        <v>15.5</v>
      </c>
    </row>
    <row r="2818" spans="51:53" x14ac:dyDescent="0.3">
      <c r="AY2818" t="str">
        <v>04/11/2013</v>
      </c>
      <c r="AZ2818">
        <v>52.6</v>
      </c>
      <c r="BA2818">
        <v>15.5</v>
      </c>
    </row>
    <row r="2819" spans="51:53" x14ac:dyDescent="0.3">
      <c r="AY2819" t="str">
        <v>01/11/2013</v>
      </c>
      <c r="AZ2819">
        <v>55.2</v>
      </c>
      <c r="BA2819">
        <v>15.6</v>
      </c>
    </row>
    <row r="2820" spans="51:53" x14ac:dyDescent="0.3">
      <c r="AY2820" t="str">
        <v>31/10/2013</v>
      </c>
      <c r="AZ2820">
        <v>55.2</v>
      </c>
      <c r="BA2820">
        <v>15.6</v>
      </c>
    </row>
    <row r="2821" spans="51:53" x14ac:dyDescent="0.3">
      <c r="AY2821" t="str">
        <v>30/10/2013</v>
      </c>
      <c r="AZ2821">
        <v>55.2</v>
      </c>
      <c r="BA2821">
        <v>15.6</v>
      </c>
    </row>
    <row r="2822" spans="51:53" x14ac:dyDescent="0.3">
      <c r="AY2822" t="str">
        <v>29/10/2013</v>
      </c>
      <c r="AZ2822">
        <v>55.2</v>
      </c>
      <c r="BA2822">
        <v>15.6</v>
      </c>
    </row>
    <row r="2823" spans="51:53" x14ac:dyDescent="0.3">
      <c r="AY2823" t="str">
        <v>28/10/2013</v>
      </c>
      <c r="AZ2823">
        <v>55.2</v>
      </c>
      <c r="BA2823">
        <v>15.6</v>
      </c>
    </row>
    <row r="2824" spans="51:53" x14ac:dyDescent="0.3">
      <c r="AY2824" t="str">
        <v>25/10/2013</v>
      </c>
      <c r="AZ2824">
        <v>52.6</v>
      </c>
      <c r="BA2824">
        <v>16.5</v>
      </c>
    </row>
    <row r="2825" spans="51:53" x14ac:dyDescent="0.3">
      <c r="AY2825" t="str">
        <v>24/10/2013</v>
      </c>
      <c r="AZ2825">
        <v>52.6</v>
      </c>
      <c r="BA2825">
        <v>16.5</v>
      </c>
    </row>
    <row r="2826" spans="51:53" x14ac:dyDescent="0.3">
      <c r="AY2826" t="str">
        <v>23/10/2013</v>
      </c>
      <c r="AZ2826">
        <v>52.6</v>
      </c>
      <c r="BA2826">
        <v>16.5</v>
      </c>
    </row>
    <row r="2827" spans="51:53" x14ac:dyDescent="0.3">
      <c r="AY2827" t="str">
        <v>22/10/2013</v>
      </c>
      <c r="AZ2827">
        <v>52.6</v>
      </c>
      <c r="BA2827">
        <v>16.5</v>
      </c>
    </row>
    <row r="2828" spans="51:53" x14ac:dyDescent="0.3">
      <c r="AY2828" t="str">
        <v>21/10/2013</v>
      </c>
      <c r="AZ2828">
        <v>52.6</v>
      </c>
      <c r="BA2828">
        <v>16.5</v>
      </c>
    </row>
    <row r="2829" spans="51:53" x14ac:dyDescent="0.3">
      <c r="AY2829" t="str">
        <v>18/10/2013</v>
      </c>
      <c r="AZ2829">
        <v>49.5</v>
      </c>
      <c r="BA2829">
        <v>18.5</v>
      </c>
    </row>
    <row r="2830" spans="51:53" x14ac:dyDescent="0.3">
      <c r="AY2830" t="str">
        <v>17/10/2013</v>
      </c>
      <c r="AZ2830">
        <v>49.5</v>
      </c>
      <c r="BA2830">
        <v>18.5</v>
      </c>
    </row>
    <row r="2831" spans="51:53" x14ac:dyDescent="0.3">
      <c r="AY2831" t="str">
        <v>16/10/2013</v>
      </c>
      <c r="AZ2831">
        <v>49.5</v>
      </c>
      <c r="BA2831">
        <v>18.5</v>
      </c>
    </row>
    <row r="2832" spans="51:53" x14ac:dyDescent="0.3">
      <c r="AY2832" t="str">
        <v>15/10/2013</v>
      </c>
      <c r="AZ2832">
        <v>49.5</v>
      </c>
      <c r="BA2832">
        <v>18.5</v>
      </c>
    </row>
    <row r="2833" spans="51:53" x14ac:dyDescent="0.3">
      <c r="AY2833" t="str">
        <v>14/10/2013</v>
      </c>
      <c r="AZ2833">
        <v>49.5</v>
      </c>
      <c r="BA2833">
        <v>18.5</v>
      </c>
    </row>
    <row r="2834" spans="51:53" x14ac:dyDescent="0.3">
      <c r="AY2834" t="str">
        <v>11/10/2013</v>
      </c>
      <c r="AZ2834">
        <v>42.3</v>
      </c>
      <c r="BA2834">
        <v>21.6</v>
      </c>
    </row>
    <row r="2835" spans="51:53" x14ac:dyDescent="0.3">
      <c r="AY2835" t="str">
        <v>10/10/2013</v>
      </c>
      <c r="AZ2835">
        <v>42.3</v>
      </c>
      <c r="BA2835">
        <v>21.6</v>
      </c>
    </row>
    <row r="2836" spans="51:53" x14ac:dyDescent="0.3">
      <c r="AY2836" t="str">
        <v>09/10/2013</v>
      </c>
      <c r="AZ2836">
        <v>42.3</v>
      </c>
      <c r="BA2836">
        <v>21.6</v>
      </c>
    </row>
    <row r="2837" spans="51:53" x14ac:dyDescent="0.3">
      <c r="AY2837" t="str">
        <v>08/10/2013</v>
      </c>
      <c r="AZ2837">
        <v>42.3</v>
      </c>
      <c r="BA2837">
        <v>21.6</v>
      </c>
    </row>
    <row r="2838" spans="51:53" x14ac:dyDescent="0.3">
      <c r="AY2838" t="str">
        <v>07/10/2013</v>
      </c>
      <c r="AZ2838">
        <v>42.3</v>
      </c>
      <c r="BA2838">
        <v>21.6</v>
      </c>
    </row>
    <row r="2839" spans="51:53" x14ac:dyDescent="0.3">
      <c r="AY2839" t="str">
        <v>04/10/2013</v>
      </c>
      <c r="AZ2839">
        <v>45.4</v>
      </c>
      <c r="BA2839">
        <v>20.6</v>
      </c>
    </row>
    <row r="2840" spans="51:53" x14ac:dyDescent="0.3">
      <c r="AY2840" t="str">
        <v>03/10/2013</v>
      </c>
      <c r="AZ2840">
        <v>45.4</v>
      </c>
      <c r="BA2840">
        <v>20.6</v>
      </c>
    </row>
    <row r="2841" spans="51:53" x14ac:dyDescent="0.3">
      <c r="AY2841" t="str">
        <v>02/10/2013</v>
      </c>
      <c r="AZ2841">
        <v>45.4</v>
      </c>
      <c r="BA2841">
        <v>20.6</v>
      </c>
    </row>
    <row r="2842" spans="51:53" x14ac:dyDescent="0.3">
      <c r="AY2842" t="str">
        <v>01/10/2013</v>
      </c>
      <c r="AZ2842">
        <v>45.4</v>
      </c>
      <c r="BA2842">
        <v>20.6</v>
      </c>
    </row>
    <row r="2843" spans="51:53" x14ac:dyDescent="0.3">
      <c r="AY2843" t="str">
        <v>30/09/2013</v>
      </c>
      <c r="AZ2843">
        <v>45.4</v>
      </c>
      <c r="BA2843">
        <v>20.6</v>
      </c>
    </row>
    <row r="2844" spans="51:53" x14ac:dyDescent="0.3">
      <c r="AY2844" t="str">
        <v>27/09/2013</v>
      </c>
      <c r="AZ2844">
        <v>46.4</v>
      </c>
      <c r="BA2844">
        <v>18.600000000000001</v>
      </c>
    </row>
    <row r="2845" spans="51:53" x14ac:dyDescent="0.3">
      <c r="AY2845" t="str">
        <v>26/09/2013</v>
      </c>
      <c r="AZ2845">
        <v>46.4</v>
      </c>
      <c r="BA2845">
        <v>18.600000000000001</v>
      </c>
    </row>
    <row r="2846" spans="51:53" x14ac:dyDescent="0.3">
      <c r="AY2846" t="str">
        <v>25/09/2013</v>
      </c>
      <c r="AZ2846">
        <v>46.4</v>
      </c>
      <c r="BA2846">
        <v>18.600000000000001</v>
      </c>
    </row>
    <row r="2847" spans="51:53" x14ac:dyDescent="0.3">
      <c r="AY2847" t="str">
        <v>24/09/2013</v>
      </c>
      <c r="AZ2847">
        <v>46.4</v>
      </c>
      <c r="BA2847">
        <v>18.600000000000001</v>
      </c>
    </row>
    <row r="2848" spans="51:53" x14ac:dyDescent="0.3">
      <c r="AY2848" t="str">
        <v>23/09/2013</v>
      </c>
      <c r="AZ2848">
        <v>46.4</v>
      </c>
      <c r="BA2848">
        <v>18.600000000000001</v>
      </c>
    </row>
    <row r="2849" spans="51:53" x14ac:dyDescent="0.3">
      <c r="AY2849" t="str">
        <v>20/09/2013</v>
      </c>
      <c r="AZ2849">
        <v>44.3</v>
      </c>
      <c r="BA2849">
        <v>20.6</v>
      </c>
    </row>
    <row r="2850" spans="51:53" x14ac:dyDescent="0.3">
      <c r="AY2850" t="str">
        <v>19/09/2013</v>
      </c>
      <c r="AZ2850">
        <v>44.3</v>
      </c>
      <c r="BA2850">
        <v>20.6</v>
      </c>
    </row>
    <row r="2851" spans="51:53" x14ac:dyDescent="0.3">
      <c r="AY2851" t="str">
        <v>18/09/2013</v>
      </c>
      <c r="AZ2851">
        <v>44.3</v>
      </c>
      <c r="BA2851">
        <v>20.6</v>
      </c>
    </row>
    <row r="2852" spans="51:53" x14ac:dyDescent="0.3">
      <c r="AY2852" t="str">
        <v>17/09/2013</v>
      </c>
      <c r="AZ2852">
        <v>44.3</v>
      </c>
      <c r="BA2852">
        <v>20.6</v>
      </c>
    </row>
    <row r="2853" spans="51:53" x14ac:dyDescent="0.3">
      <c r="AY2853" t="str">
        <v>16/09/2013</v>
      </c>
      <c r="AZ2853">
        <v>44.3</v>
      </c>
      <c r="BA2853">
        <v>20.6</v>
      </c>
    </row>
    <row r="2854" spans="51:53" x14ac:dyDescent="0.3">
      <c r="AY2854" t="str">
        <v>13/09/2013</v>
      </c>
      <c r="AZ2854">
        <v>42.3</v>
      </c>
      <c r="BA2854">
        <v>21.6</v>
      </c>
    </row>
    <row r="2855" spans="51:53" x14ac:dyDescent="0.3">
      <c r="AY2855" t="str">
        <v>12/09/2013</v>
      </c>
      <c r="AZ2855">
        <v>42.3</v>
      </c>
      <c r="BA2855">
        <v>21.6</v>
      </c>
    </row>
    <row r="2856" spans="51:53" x14ac:dyDescent="0.3">
      <c r="AY2856" t="str">
        <v>11/09/2013</v>
      </c>
      <c r="AZ2856">
        <v>42.3</v>
      </c>
      <c r="BA2856">
        <v>21.6</v>
      </c>
    </row>
    <row r="2857" spans="51:53" x14ac:dyDescent="0.3">
      <c r="AY2857" t="str">
        <v>10/09/2013</v>
      </c>
      <c r="AZ2857">
        <v>42.3</v>
      </c>
      <c r="BA2857">
        <v>21.6</v>
      </c>
    </row>
    <row r="2858" spans="51:53" x14ac:dyDescent="0.3">
      <c r="AY2858" t="str">
        <v>09/09/2013</v>
      </c>
      <c r="AZ2858">
        <v>42.3</v>
      </c>
      <c r="BA2858">
        <v>21.6</v>
      </c>
    </row>
    <row r="2859" spans="51:53" x14ac:dyDescent="0.3">
      <c r="AY2859" t="str">
        <v>06/09/2013</v>
      </c>
      <c r="AZ2859">
        <v>37.1</v>
      </c>
      <c r="BA2859">
        <v>22.7</v>
      </c>
    </row>
    <row r="2860" spans="51:53" x14ac:dyDescent="0.3">
      <c r="AY2860" t="str">
        <v>05/09/2013</v>
      </c>
      <c r="AZ2860">
        <v>37.1</v>
      </c>
      <c r="BA2860">
        <v>22.7</v>
      </c>
    </row>
    <row r="2861" spans="51:53" x14ac:dyDescent="0.3">
      <c r="AY2861" t="str">
        <v>04/09/2013</v>
      </c>
      <c r="AZ2861">
        <v>37.1</v>
      </c>
      <c r="BA2861">
        <v>22.7</v>
      </c>
    </row>
    <row r="2862" spans="51:53" x14ac:dyDescent="0.3">
      <c r="AY2862" t="str">
        <v>03/09/2013</v>
      </c>
      <c r="AZ2862">
        <v>37.1</v>
      </c>
      <c r="BA2862">
        <v>22.7</v>
      </c>
    </row>
    <row r="2863" spans="51:53" x14ac:dyDescent="0.3">
      <c r="AY2863" t="str">
        <v>02/09/2013</v>
      </c>
      <c r="AZ2863">
        <v>37.1</v>
      </c>
      <c r="BA2863">
        <v>22.7</v>
      </c>
    </row>
    <row r="2864" spans="51:53" x14ac:dyDescent="0.3">
      <c r="AY2864" t="str">
        <v>30/08/2013</v>
      </c>
      <c r="AZ2864">
        <v>37.1</v>
      </c>
      <c r="BA2864">
        <v>23.7</v>
      </c>
    </row>
    <row r="2865" spans="51:53" x14ac:dyDescent="0.3">
      <c r="AY2865" t="str">
        <v>29/08/2013</v>
      </c>
      <c r="AZ2865">
        <v>37.1</v>
      </c>
      <c r="BA2865">
        <v>23.7</v>
      </c>
    </row>
    <row r="2866" spans="51:53" x14ac:dyDescent="0.3">
      <c r="AY2866" t="str">
        <v>28/08/2013</v>
      </c>
      <c r="AZ2866">
        <v>37.1</v>
      </c>
      <c r="BA2866">
        <v>23.7</v>
      </c>
    </row>
    <row r="2867" spans="51:53" x14ac:dyDescent="0.3">
      <c r="AY2867" t="str">
        <v>27/08/2013</v>
      </c>
      <c r="AZ2867">
        <v>37.1</v>
      </c>
      <c r="BA2867">
        <v>23.7</v>
      </c>
    </row>
    <row r="2868" spans="51:53" x14ac:dyDescent="0.3">
      <c r="AY2868" t="str">
        <v>26/08/2013</v>
      </c>
      <c r="AZ2868">
        <v>37.1</v>
      </c>
      <c r="BA2868">
        <v>23.7</v>
      </c>
    </row>
    <row r="2869" spans="51:53" x14ac:dyDescent="0.3">
      <c r="AY2869" t="str">
        <v>23/08/2013</v>
      </c>
      <c r="AZ2869">
        <v>38.1</v>
      </c>
      <c r="BA2869">
        <v>23.8</v>
      </c>
    </row>
    <row r="2870" spans="51:53" x14ac:dyDescent="0.3">
      <c r="AY2870" t="str">
        <v>22/08/2013</v>
      </c>
      <c r="AZ2870">
        <v>38.1</v>
      </c>
      <c r="BA2870">
        <v>23.8</v>
      </c>
    </row>
    <row r="2871" spans="51:53" x14ac:dyDescent="0.3">
      <c r="AY2871" t="str">
        <v>21/08/2013</v>
      </c>
      <c r="AZ2871">
        <v>38.1</v>
      </c>
      <c r="BA2871">
        <v>23.8</v>
      </c>
    </row>
    <row r="2872" spans="51:53" x14ac:dyDescent="0.3">
      <c r="AY2872" t="str">
        <v>20/08/2013</v>
      </c>
      <c r="AZ2872">
        <v>38.1</v>
      </c>
      <c r="BA2872">
        <v>23.8</v>
      </c>
    </row>
    <row r="2873" spans="51:53" x14ac:dyDescent="0.3">
      <c r="AY2873" t="str">
        <v>19/08/2013</v>
      </c>
      <c r="AZ2873">
        <v>38.1</v>
      </c>
      <c r="BA2873">
        <v>23.8</v>
      </c>
    </row>
    <row r="2874" spans="51:53" x14ac:dyDescent="0.3">
      <c r="AY2874" t="str">
        <v>16/08/2013</v>
      </c>
      <c r="AZ2874">
        <v>43.3</v>
      </c>
      <c r="BA2874">
        <v>21.6</v>
      </c>
    </row>
    <row r="2875" spans="51:53" x14ac:dyDescent="0.3">
      <c r="AY2875" t="str">
        <v>15/08/2013</v>
      </c>
      <c r="AZ2875">
        <v>43.3</v>
      </c>
      <c r="BA2875">
        <v>21.6</v>
      </c>
    </row>
    <row r="2876" spans="51:53" x14ac:dyDescent="0.3">
      <c r="AY2876" t="str">
        <v>14/08/2013</v>
      </c>
      <c r="AZ2876">
        <v>43.3</v>
      </c>
      <c r="BA2876">
        <v>21.6</v>
      </c>
    </row>
    <row r="2877" spans="51:53" x14ac:dyDescent="0.3">
      <c r="AY2877" t="str">
        <v>13/08/2013</v>
      </c>
      <c r="AZ2877">
        <v>43.3</v>
      </c>
      <c r="BA2877">
        <v>21.6</v>
      </c>
    </row>
    <row r="2878" spans="51:53" x14ac:dyDescent="0.3">
      <c r="AY2878" t="str">
        <v>12/08/2013</v>
      </c>
      <c r="AZ2878">
        <v>43.3</v>
      </c>
      <c r="BA2878">
        <v>21.6</v>
      </c>
    </row>
    <row r="2879" spans="51:53" x14ac:dyDescent="0.3">
      <c r="AY2879" t="str">
        <v>09/08/2013</v>
      </c>
      <c r="AZ2879">
        <v>47.4</v>
      </c>
      <c r="BA2879">
        <v>20.6</v>
      </c>
    </row>
    <row r="2880" spans="51:53" x14ac:dyDescent="0.3">
      <c r="AY2880" t="str">
        <v>08/08/2013</v>
      </c>
      <c r="AZ2880">
        <v>47.4</v>
      </c>
      <c r="BA2880">
        <v>20.6</v>
      </c>
    </row>
    <row r="2881" spans="51:53" x14ac:dyDescent="0.3">
      <c r="AY2881" t="str">
        <v>07/08/2013</v>
      </c>
      <c r="AZ2881">
        <v>47.4</v>
      </c>
      <c r="BA2881">
        <v>20.6</v>
      </c>
    </row>
    <row r="2882" spans="51:53" x14ac:dyDescent="0.3">
      <c r="AY2882" t="str">
        <v>06/08/2013</v>
      </c>
      <c r="AZ2882">
        <v>47.4</v>
      </c>
      <c r="BA2882">
        <v>20.6</v>
      </c>
    </row>
    <row r="2883" spans="51:53" x14ac:dyDescent="0.3">
      <c r="AY2883" t="str">
        <v>05/08/2013</v>
      </c>
      <c r="AZ2883">
        <v>47.4</v>
      </c>
      <c r="BA2883">
        <v>20.6</v>
      </c>
    </row>
    <row r="2884" spans="51:53" x14ac:dyDescent="0.3">
      <c r="AY2884" t="str">
        <v>02/08/2013</v>
      </c>
      <c r="AZ2884">
        <v>51.6</v>
      </c>
      <c r="BA2884">
        <v>18.5</v>
      </c>
    </row>
    <row r="2885" spans="51:53" x14ac:dyDescent="0.3">
      <c r="AY2885" t="str">
        <v>01/08/2013</v>
      </c>
      <c r="AZ2885">
        <v>51.6</v>
      </c>
      <c r="BA2885">
        <v>18.5</v>
      </c>
    </row>
    <row r="2886" spans="51:53" x14ac:dyDescent="0.3">
      <c r="AY2886" t="str">
        <v>31/07/2013</v>
      </c>
      <c r="AZ2886">
        <v>51.6</v>
      </c>
      <c r="BA2886">
        <v>18.5</v>
      </c>
    </row>
    <row r="2887" spans="51:53" x14ac:dyDescent="0.3">
      <c r="AY2887" t="str">
        <v>30/07/2013</v>
      </c>
      <c r="AZ2887">
        <v>51.6</v>
      </c>
      <c r="BA2887">
        <v>18.5</v>
      </c>
    </row>
    <row r="2888" spans="51:53" x14ac:dyDescent="0.3">
      <c r="AY2888" t="str">
        <v>29/07/2013</v>
      </c>
      <c r="AZ2888">
        <v>51.6</v>
      </c>
      <c r="BA2888">
        <v>18.5</v>
      </c>
    </row>
    <row r="2889" spans="51:53" x14ac:dyDescent="0.3">
      <c r="AY2889" t="str">
        <v>26/07/2013</v>
      </c>
      <c r="AZ2889">
        <v>48.4</v>
      </c>
      <c r="BA2889">
        <v>19.600000000000001</v>
      </c>
    </row>
    <row r="2890" spans="51:53" x14ac:dyDescent="0.3">
      <c r="AY2890" t="str">
        <v>25/07/2013</v>
      </c>
      <c r="AZ2890">
        <v>48.4</v>
      </c>
      <c r="BA2890">
        <v>19.600000000000001</v>
      </c>
    </row>
    <row r="2891" spans="51:53" x14ac:dyDescent="0.3">
      <c r="AY2891" t="str">
        <v>24/07/2013</v>
      </c>
      <c r="AZ2891">
        <v>48.4</v>
      </c>
      <c r="BA2891">
        <v>19.600000000000001</v>
      </c>
    </row>
    <row r="2892" spans="51:53" x14ac:dyDescent="0.3">
      <c r="AY2892" t="str">
        <v>23/07/2013</v>
      </c>
      <c r="AZ2892">
        <v>48.4</v>
      </c>
      <c r="BA2892">
        <v>19.600000000000001</v>
      </c>
    </row>
    <row r="2893" spans="51:53" x14ac:dyDescent="0.3">
      <c r="AY2893" t="str">
        <v>22/07/2013</v>
      </c>
      <c r="AZ2893">
        <v>48.4</v>
      </c>
      <c r="BA2893">
        <v>19.600000000000001</v>
      </c>
    </row>
    <row r="2894" spans="51:53" x14ac:dyDescent="0.3">
      <c r="AY2894" t="str">
        <v>19/07/2013</v>
      </c>
      <c r="AZ2894">
        <v>51.5</v>
      </c>
      <c r="BA2894">
        <v>19.600000000000001</v>
      </c>
    </row>
    <row r="2895" spans="51:53" x14ac:dyDescent="0.3">
      <c r="AY2895" t="str">
        <v>18/07/2013</v>
      </c>
      <c r="AZ2895">
        <v>51.5</v>
      </c>
      <c r="BA2895">
        <v>19.600000000000001</v>
      </c>
    </row>
    <row r="2896" spans="51:53" x14ac:dyDescent="0.3">
      <c r="AY2896" t="str">
        <v>17/07/2013</v>
      </c>
      <c r="AZ2896">
        <v>51.5</v>
      </c>
      <c r="BA2896">
        <v>19.600000000000001</v>
      </c>
    </row>
    <row r="2897" spans="51:53" x14ac:dyDescent="0.3">
      <c r="AY2897" t="str">
        <v>16/07/2013</v>
      </c>
      <c r="AZ2897">
        <v>51.5</v>
      </c>
      <c r="BA2897">
        <v>19.600000000000001</v>
      </c>
    </row>
    <row r="2898" spans="51:53" x14ac:dyDescent="0.3">
      <c r="AY2898" t="str">
        <v>15/07/2013</v>
      </c>
      <c r="AZ2898">
        <v>51.5</v>
      </c>
      <c r="BA2898">
        <v>19.600000000000001</v>
      </c>
    </row>
    <row r="2899" spans="51:53" x14ac:dyDescent="0.3">
      <c r="AY2899" t="str">
        <v>12/07/2013</v>
      </c>
      <c r="AZ2899">
        <v>52.1</v>
      </c>
      <c r="BA2899">
        <v>19.8</v>
      </c>
    </row>
    <row r="2900" spans="51:53" x14ac:dyDescent="0.3">
      <c r="AY2900" t="str">
        <v>11/07/2013</v>
      </c>
      <c r="AZ2900">
        <v>52.1</v>
      </c>
      <c r="BA2900">
        <v>19.8</v>
      </c>
    </row>
    <row r="2901" spans="51:53" x14ac:dyDescent="0.3">
      <c r="AY2901" t="str">
        <v>10/07/2013</v>
      </c>
      <c r="AZ2901">
        <v>52.1</v>
      </c>
      <c r="BA2901">
        <v>19.8</v>
      </c>
    </row>
    <row r="2902" spans="51:53" x14ac:dyDescent="0.3">
      <c r="AY2902" t="str">
        <v>09/07/2013</v>
      </c>
      <c r="AZ2902">
        <v>52.1</v>
      </c>
      <c r="BA2902">
        <v>19.8</v>
      </c>
    </row>
    <row r="2903" spans="51:53" x14ac:dyDescent="0.3">
      <c r="AY2903" t="str">
        <v>08/07/2013</v>
      </c>
      <c r="AZ2903">
        <v>52.1</v>
      </c>
      <c r="BA2903">
        <v>19.8</v>
      </c>
    </row>
    <row r="2904" spans="51:53" x14ac:dyDescent="0.3">
      <c r="AY2904" t="str">
        <v>05/07/2013</v>
      </c>
      <c r="AZ2904">
        <v>46.9</v>
      </c>
      <c r="BA2904">
        <v>22.9</v>
      </c>
    </row>
    <row r="2905" spans="51:53" x14ac:dyDescent="0.3">
      <c r="AY2905" t="str">
        <v>04/07/2013</v>
      </c>
      <c r="AZ2905">
        <v>46.9</v>
      </c>
      <c r="BA2905">
        <v>22.9</v>
      </c>
    </row>
    <row r="2906" spans="51:53" x14ac:dyDescent="0.3">
      <c r="AY2906" t="str">
        <v>03/07/2013</v>
      </c>
      <c r="AZ2906">
        <v>46.9</v>
      </c>
      <c r="BA2906">
        <v>22.9</v>
      </c>
    </row>
    <row r="2907" spans="51:53" x14ac:dyDescent="0.3">
      <c r="AY2907" t="str">
        <v>02/07/2013</v>
      </c>
      <c r="AZ2907">
        <v>46.9</v>
      </c>
      <c r="BA2907">
        <v>22.9</v>
      </c>
    </row>
    <row r="2908" spans="51:53" x14ac:dyDescent="0.3">
      <c r="AY2908" t="str">
        <v>01/07/2013</v>
      </c>
      <c r="AZ2908">
        <v>46.9</v>
      </c>
      <c r="BA2908">
        <v>22.9</v>
      </c>
    </row>
    <row r="2909" spans="51:53" x14ac:dyDescent="0.3">
      <c r="AY2909" t="str">
        <v>28/06/2013</v>
      </c>
      <c r="AZ2909">
        <v>43.8</v>
      </c>
      <c r="BA2909">
        <v>20.8</v>
      </c>
    </row>
    <row r="2910" spans="51:53" x14ac:dyDescent="0.3">
      <c r="AY2910" t="str">
        <v>27/06/2013</v>
      </c>
      <c r="AZ2910">
        <v>43.8</v>
      </c>
      <c r="BA2910">
        <v>20.8</v>
      </c>
    </row>
    <row r="2911" spans="51:53" x14ac:dyDescent="0.3">
      <c r="AY2911" t="str">
        <v>26/06/2013</v>
      </c>
      <c r="AZ2911">
        <v>43.8</v>
      </c>
      <c r="BA2911">
        <v>20.8</v>
      </c>
    </row>
    <row r="2912" spans="51:53" x14ac:dyDescent="0.3">
      <c r="AY2912" t="str">
        <v>25/06/2013</v>
      </c>
      <c r="AZ2912">
        <v>43.8</v>
      </c>
      <c r="BA2912">
        <v>20.8</v>
      </c>
    </row>
    <row r="2913" spans="51:53" x14ac:dyDescent="0.3">
      <c r="AY2913" t="str">
        <v>24/06/2013</v>
      </c>
      <c r="AZ2913">
        <v>43.8</v>
      </c>
      <c r="BA2913">
        <v>20.8</v>
      </c>
    </row>
    <row r="2914" spans="51:53" x14ac:dyDescent="0.3">
      <c r="AY2914" t="str">
        <v>21/06/2013</v>
      </c>
      <c r="AZ2914">
        <v>41.7</v>
      </c>
      <c r="BA2914">
        <v>25</v>
      </c>
    </row>
    <row r="2915" spans="51:53" x14ac:dyDescent="0.3">
      <c r="AY2915" t="str">
        <v>20/06/2013</v>
      </c>
      <c r="AZ2915">
        <v>41.7</v>
      </c>
      <c r="BA2915">
        <v>25</v>
      </c>
    </row>
    <row r="2916" spans="51:53" x14ac:dyDescent="0.3">
      <c r="AY2916" t="str">
        <v>19/06/2013</v>
      </c>
      <c r="AZ2916">
        <v>41.7</v>
      </c>
      <c r="BA2916">
        <v>25</v>
      </c>
    </row>
    <row r="2917" spans="51:53" x14ac:dyDescent="0.3">
      <c r="AY2917" t="str">
        <v>18/06/2013</v>
      </c>
      <c r="AZ2917">
        <v>41.7</v>
      </c>
      <c r="BA2917">
        <v>25</v>
      </c>
    </row>
    <row r="2918" spans="51:53" x14ac:dyDescent="0.3">
      <c r="AY2918" t="str">
        <v>17/06/2013</v>
      </c>
      <c r="AZ2918">
        <v>41.7</v>
      </c>
      <c r="BA2918">
        <v>25</v>
      </c>
    </row>
    <row r="2919" spans="51:53" x14ac:dyDescent="0.3">
      <c r="AY2919" t="str">
        <v>14/06/2013</v>
      </c>
      <c r="AZ2919">
        <v>46.8</v>
      </c>
      <c r="BA2919">
        <v>21.9</v>
      </c>
    </row>
    <row r="2920" spans="51:53" x14ac:dyDescent="0.3">
      <c r="AY2920" t="str">
        <v>13/06/2013</v>
      </c>
      <c r="AZ2920">
        <v>46.8</v>
      </c>
      <c r="BA2920">
        <v>21.9</v>
      </c>
    </row>
    <row r="2921" spans="51:53" x14ac:dyDescent="0.3">
      <c r="AY2921" t="str">
        <v>12/06/2013</v>
      </c>
      <c r="AZ2921">
        <v>46.8</v>
      </c>
      <c r="BA2921">
        <v>21.9</v>
      </c>
    </row>
    <row r="2922" spans="51:53" x14ac:dyDescent="0.3">
      <c r="AY2922" t="str">
        <v>11/06/2013</v>
      </c>
      <c r="AZ2922">
        <v>46.8</v>
      </c>
      <c r="BA2922">
        <v>21.9</v>
      </c>
    </row>
    <row r="2923" spans="51:53" x14ac:dyDescent="0.3">
      <c r="AY2923" t="str">
        <v>10/06/2013</v>
      </c>
      <c r="AZ2923">
        <v>46.8</v>
      </c>
      <c r="BA2923">
        <v>21.9</v>
      </c>
    </row>
    <row r="2924" spans="51:53" x14ac:dyDescent="0.3">
      <c r="AY2924" t="str">
        <v>07/06/2013</v>
      </c>
      <c r="AZ2924">
        <v>43.8</v>
      </c>
      <c r="BA2924">
        <v>22.9</v>
      </c>
    </row>
    <row r="2925" spans="51:53" x14ac:dyDescent="0.3">
      <c r="AY2925" t="str">
        <v>06/06/2013</v>
      </c>
      <c r="AZ2925">
        <v>43.8</v>
      </c>
      <c r="BA2925">
        <v>22.9</v>
      </c>
    </row>
    <row r="2926" spans="51:53" x14ac:dyDescent="0.3">
      <c r="AY2926" t="str">
        <v>05/06/2013</v>
      </c>
      <c r="AZ2926">
        <v>43.8</v>
      </c>
      <c r="BA2926">
        <v>22.9</v>
      </c>
    </row>
    <row r="2927" spans="51:53" x14ac:dyDescent="0.3">
      <c r="AY2927" t="str">
        <v>04/06/2013</v>
      </c>
      <c r="AZ2927">
        <v>43.8</v>
      </c>
      <c r="BA2927">
        <v>22.9</v>
      </c>
    </row>
    <row r="2928" spans="51:53" x14ac:dyDescent="0.3">
      <c r="AY2928" t="str">
        <v>03/06/2013</v>
      </c>
      <c r="AZ2928">
        <v>43.8</v>
      </c>
      <c r="BA2928">
        <v>22.9</v>
      </c>
    </row>
    <row r="2929" spans="51:53" x14ac:dyDescent="0.3">
      <c r="AY2929" t="str">
        <v>31/05/2013</v>
      </c>
      <c r="AZ2929">
        <v>45.8</v>
      </c>
      <c r="BA2929">
        <v>20.8</v>
      </c>
    </row>
    <row r="2930" spans="51:53" x14ac:dyDescent="0.3">
      <c r="AY2930" t="str">
        <v>30/05/2013</v>
      </c>
      <c r="AZ2930">
        <v>45.8</v>
      </c>
      <c r="BA2930">
        <v>20.8</v>
      </c>
    </row>
    <row r="2931" spans="51:53" x14ac:dyDescent="0.3">
      <c r="AY2931" t="str">
        <v>29/05/2013</v>
      </c>
      <c r="AZ2931">
        <v>45.8</v>
      </c>
      <c r="BA2931">
        <v>20.8</v>
      </c>
    </row>
    <row r="2932" spans="51:53" x14ac:dyDescent="0.3">
      <c r="AY2932" t="str">
        <v>28/05/2013</v>
      </c>
      <c r="AZ2932">
        <v>45.8</v>
      </c>
      <c r="BA2932">
        <v>20.8</v>
      </c>
    </row>
    <row r="2933" spans="51:53" x14ac:dyDescent="0.3">
      <c r="AY2933" t="str">
        <v>27/05/2013</v>
      </c>
      <c r="AZ2933">
        <v>45.8</v>
      </c>
      <c r="BA2933">
        <v>20.8</v>
      </c>
    </row>
    <row r="2934" spans="51:53" x14ac:dyDescent="0.3">
      <c r="AY2934" t="str">
        <v>24/05/2013</v>
      </c>
      <c r="AZ2934">
        <v>52.1</v>
      </c>
      <c r="BA2934">
        <v>19.8</v>
      </c>
    </row>
    <row r="2935" spans="51:53" x14ac:dyDescent="0.3">
      <c r="AY2935" t="str">
        <v>23/05/2013</v>
      </c>
      <c r="AZ2935">
        <v>52.1</v>
      </c>
      <c r="BA2935">
        <v>19.8</v>
      </c>
    </row>
    <row r="2936" spans="51:53" x14ac:dyDescent="0.3">
      <c r="AY2936" t="str">
        <v>22/05/2013</v>
      </c>
      <c r="AZ2936">
        <v>52.1</v>
      </c>
      <c r="BA2936">
        <v>19.8</v>
      </c>
    </row>
    <row r="2937" spans="51:53" x14ac:dyDescent="0.3">
      <c r="AY2937" t="str">
        <v>21/05/2013</v>
      </c>
      <c r="AZ2937">
        <v>52.1</v>
      </c>
      <c r="BA2937">
        <v>19.8</v>
      </c>
    </row>
    <row r="2938" spans="51:53" x14ac:dyDescent="0.3">
      <c r="AY2938" t="str">
        <v>20/05/2013</v>
      </c>
      <c r="AZ2938">
        <v>52.1</v>
      </c>
      <c r="BA2938">
        <v>19.8</v>
      </c>
    </row>
    <row r="2939" spans="51:53" x14ac:dyDescent="0.3">
      <c r="AY2939" t="str">
        <v>17/05/2013</v>
      </c>
      <c r="AZ2939">
        <v>55.2</v>
      </c>
      <c r="BA2939">
        <v>18.8</v>
      </c>
    </row>
    <row r="2940" spans="51:53" x14ac:dyDescent="0.3">
      <c r="AY2940" t="str">
        <v>16/05/2013</v>
      </c>
      <c r="AZ2940">
        <v>55.2</v>
      </c>
      <c r="BA2940">
        <v>18.8</v>
      </c>
    </row>
    <row r="2941" spans="51:53" x14ac:dyDescent="0.3">
      <c r="AY2941" t="str">
        <v>15/05/2013</v>
      </c>
      <c r="AZ2941">
        <v>55.2</v>
      </c>
      <c r="BA2941">
        <v>18.8</v>
      </c>
    </row>
    <row r="2942" spans="51:53" x14ac:dyDescent="0.3">
      <c r="AY2942" t="str">
        <v>14/05/2013</v>
      </c>
      <c r="AZ2942">
        <v>55.2</v>
      </c>
      <c r="BA2942">
        <v>18.8</v>
      </c>
    </row>
    <row r="2943" spans="51:53" x14ac:dyDescent="0.3">
      <c r="AY2943" t="str">
        <v>13/05/2013</v>
      </c>
      <c r="AZ2943">
        <v>55.2</v>
      </c>
      <c r="BA2943">
        <v>18.8</v>
      </c>
    </row>
    <row r="2944" spans="51:53" x14ac:dyDescent="0.3">
      <c r="AY2944" t="str">
        <v>10/05/2013</v>
      </c>
      <c r="AZ2944">
        <v>54.2</v>
      </c>
      <c r="BA2944">
        <v>19.8</v>
      </c>
    </row>
    <row r="2945" spans="51:53" x14ac:dyDescent="0.3">
      <c r="AY2945" t="str">
        <v>09/05/2013</v>
      </c>
      <c r="AZ2945">
        <v>54.2</v>
      </c>
      <c r="BA2945">
        <v>19.8</v>
      </c>
    </row>
    <row r="2946" spans="51:53" x14ac:dyDescent="0.3">
      <c r="AY2946" t="str">
        <v>08/05/2013</v>
      </c>
      <c r="AZ2946">
        <v>54.2</v>
      </c>
      <c r="BA2946">
        <v>19.8</v>
      </c>
    </row>
    <row r="2947" spans="51:53" x14ac:dyDescent="0.3">
      <c r="AY2947" t="str">
        <v>07/05/2013</v>
      </c>
      <c r="AZ2947">
        <v>54.2</v>
      </c>
      <c r="BA2947">
        <v>19.8</v>
      </c>
    </row>
    <row r="2948" spans="51:53" x14ac:dyDescent="0.3">
      <c r="AY2948" t="str">
        <v>06/05/2013</v>
      </c>
      <c r="AZ2948">
        <v>54.2</v>
      </c>
      <c r="BA2948">
        <v>19.8</v>
      </c>
    </row>
    <row r="2949" spans="51:53" x14ac:dyDescent="0.3">
      <c r="AY2949" t="str">
        <v>03/05/2013</v>
      </c>
      <c r="AZ2949">
        <v>52.1</v>
      </c>
      <c r="BA2949">
        <v>19.8</v>
      </c>
    </row>
    <row r="2950" spans="51:53" x14ac:dyDescent="0.3">
      <c r="AY2950" t="str">
        <v>02/05/2013</v>
      </c>
      <c r="AZ2950">
        <v>52.1</v>
      </c>
      <c r="BA2950">
        <v>19.8</v>
      </c>
    </row>
    <row r="2951" spans="51:53" x14ac:dyDescent="0.3">
      <c r="AY2951" t="str">
        <v>01/05/2013</v>
      </c>
      <c r="AZ2951">
        <v>52.1</v>
      </c>
      <c r="BA2951">
        <v>19.8</v>
      </c>
    </row>
    <row r="2952" spans="51:53" x14ac:dyDescent="0.3">
      <c r="AY2952" t="str">
        <v>30/04/2013</v>
      </c>
      <c r="AZ2952">
        <v>52.1</v>
      </c>
      <c r="BA2952">
        <v>19.8</v>
      </c>
    </row>
    <row r="2953" spans="51:53" x14ac:dyDescent="0.3">
      <c r="AY2953" t="str">
        <v>29/04/2013</v>
      </c>
      <c r="AZ2953">
        <v>52.1</v>
      </c>
      <c r="BA2953">
        <v>19.8</v>
      </c>
    </row>
    <row r="2954" spans="51:53" x14ac:dyDescent="0.3">
      <c r="AY2954" t="str">
        <v>26/04/2013</v>
      </c>
      <c r="AZ2954">
        <v>47.9</v>
      </c>
      <c r="BA2954">
        <v>18.8</v>
      </c>
    </row>
    <row r="2955" spans="51:53" x14ac:dyDescent="0.3">
      <c r="AY2955" t="str">
        <v>25/04/2013</v>
      </c>
      <c r="AZ2955">
        <v>47.9</v>
      </c>
      <c r="BA2955">
        <v>18.8</v>
      </c>
    </row>
    <row r="2956" spans="51:53" x14ac:dyDescent="0.3">
      <c r="AY2956" t="str">
        <v>24/04/2013</v>
      </c>
      <c r="AZ2956">
        <v>47.9</v>
      </c>
      <c r="BA2956">
        <v>18.8</v>
      </c>
    </row>
    <row r="2957" spans="51:53" x14ac:dyDescent="0.3">
      <c r="AY2957" t="str">
        <v>23/04/2013</v>
      </c>
      <c r="AZ2957">
        <v>47.9</v>
      </c>
      <c r="BA2957">
        <v>18.8</v>
      </c>
    </row>
    <row r="2958" spans="51:53" x14ac:dyDescent="0.3">
      <c r="AY2958" t="str">
        <v>22/04/2013</v>
      </c>
      <c r="AZ2958">
        <v>47.9</v>
      </c>
      <c r="BA2958">
        <v>18.8</v>
      </c>
    </row>
    <row r="2959" spans="51:53" x14ac:dyDescent="0.3">
      <c r="AY2959" t="str">
        <v>19/04/2013</v>
      </c>
      <c r="AZ2959">
        <v>44.3</v>
      </c>
      <c r="BA2959">
        <v>19.600000000000001</v>
      </c>
    </row>
    <row r="2960" spans="51:53" x14ac:dyDescent="0.3">
      <c r="AY2960" t="str">
        <v>18/04/2013</v>
      </c>
      <c r="AZ2960">
        <v>44.3</v>
      </c>
      <c r="BA2960">
        <v>19.600000000000001</v>
      </c>
    </row>
    <row r="2961" spans="51:53" x14ac:dyDescent="0.3">
      <c r="AY2961" t="str">
        <v>17/04/2013</v>
      </c>
      <c r="AZ2961">
        <v>44.3</v>
      </c>
      <c r="BA2961">
        <v>19.600000000000001</v>
      </c>
    </row>
    <row r="2962" spans="51:53" x14ac:dyDescent="0.3">
      <c r="AY2962" t="str">
        <v>16/04/2013</v>
      </c>
      <c r="AZ2962">
        <v>44.3</v>
      </c>
      <c r="BA2962">
        <v>19.600000000000001</v>
      </c>
    </row>
    <row r="2963" spans="51:53" x14ac:dyDescent="0.3">
      <c r="AY2963" t="str">
        <v>15/04/2013</v>
      </c>
      <c r="AZ2963">
        <v>44.3</v>
      </c>
      <c r="BA2963">
        <v>19.600000000000001</v>
      </c>
    </row>
    <row r="2964" spans="51:53" x14ac:dyDescent="0.3">
      <c r="AY2964" t="str">
        <v>12/04/2013</v>
      </c>
      <c r="AZ2964">
        <v>47.4</v>
      </c>
      <c r="BA2964">
        <v>20.6</v>
      </c>
    </row>
    <row r="2965" spans="51:53" x14ac:dyDescent="0.3">
      <c r="AY2965" t="str">
        <v>11/04/2013</v>
      </c>
      <c r="AZ2965">
        <v>47.4</v>
      </c>
      <c r="BA2965">
        <v>20.6</v>
      </c>
    </row>
    <row r="2966" spans="51:53" x14ac:dyDescent="0.3">
      <c r="AY2966" t="str">
        <v>10/04/2013</v>
      </c>
      <c r="AZ2966">
        <v>47.4</v>
      </c>
      <c r="BA2966">
        <v>20.6</v>
      </c>
    </row>
    <row r="2967" spans="51:53" x14ac:dyDescent="0.3">
      <c r="AY2967" t="str">
        <v>09/04/2013</v>
      </c>
      <c r="AZ2967">
        <v>47.4</v>
      </c>
      <c r="BA2967">
        <v>20.6</v>
      </c>
    </row>
    <row r="2968" spans="51:53" x14ac:dyDescent="0.3">
      <c r="AY2968" t="str">
        <v>08/04/2013</v>
      </c>
      <c r="AZ2968">
        <v>47.4</v>
      </c>
      <c r="BA2968">
        <v>20.6</v>
      </c>
    </row>
    <row r="2969" spans="51:53" x14ac:dyDescent="0.3">
      <c r="AY2969" t="str">
        <v>05/04/2013</v>
      </c>
      <c r="AZ2969">
        <v>50.5</v>
      </c>
      <c r="BA2969">
        <v>20.6</v>
      </c>
    </row>
    <row r="2970" spans="51:53" x14ac:dyDescent="0.3">
      <c r="AY2970" t="str">
        <v>04/04/2013</v>
      </c>
      <c r="AZ2970">
        <v>50.5</v>
      </c>
      <c r="BA2970">
        <v>20.6</v>
      </c>
    </row>
    <row r="2971" spans="51:53" x14ac:dyDescent="0.3">
      <c r="AY2971" t="str">
        <v>03/04/2013</v>
      </c>
      <c r="AZ2971">
        <v>50.5</v>
      </c>
      <c r="BA2971">
        <v>20.6</v>
      </c>
    </row>
    <row r="2972" spans="51:53" x14ac:dyDescent="0.3">
      <c r="AY2972" t="str">
        <v>02/04/2013</v>
      </c>
      <c r="AZ2972">
        <v>50.5</v>
      </c>
      <c r="BA2972">
        <v>20.6</v>
      </c>
    </row>
    <row r="2973" spans="51:53" x14ac:dyDescent="0.3">
      <c r="AY2973" t="str">
        <v>01/04/2013</v>
      </c>
      <c r="AZ2973">
        <v>50.5</v>
      </c>
      <c r="BA2973">
        <v>20.6</v>
      </c>
    </row>
    <row r="2974" spans="51:53" x14ac:dyDescent="0.3">
      <c r="AY2974" t="str">
        <v>29/03/2013</v>
      </c>
      <c r="AZ2974">
        <v>52</v>
      </c>
      <c r="BA2974">
        <v>19.399999999999999</v>
      </c>
    </row>
    <row r="2975" spans="51:53" x14ac:dyDescent="0.3">
      <c r="AY2975" t="str">
        <v>28/03/2013</v>
      </c>
      <c r="AZ2975">
        <v>52</v>
      </c>
      <c r="BA2975">
        <v>19.399999999999999</v>
      </c>
    </row>
    <row r="2976" spans="51:53" x14ac:dyDescent="0.3">
      <c r="AY2976" t="str">
        <v>27/03/2013</v>
      </c>
      <c r="AZ2976">
        <v>52</v>
      </c>
      <c r="BA2976">
        <v>19.399999999999999</v>
      </c>
    </row>
    <row r="2977" spans="51:53" x14ac:dyDescent="0.3">
      <c r="AY2977" t="str">
        <v>26/03/2013</v>
      </c>
      <c r="AZ2977">
        <v>52</v>
      </c>
      <c r="BA2977">
        <v>19.399999999999999</v>
      </c>
    </row>
    <row r="2978" spans="51:53" x14ac:dyDescent="0.3">
      <c r="AY2978" t="str">
        <v>25/03/2013</v>
      </c>
      <c r="AZ2978">
        <v>52</v>
      </c>
      <c r="BA2978">
        <v>19.399999999999999</v>
      </c>
    </row>
    <row r="2979" spans="51:53" x14ac:dyDescent="0.3">
      <c r="AY2979" t="str">
        <v>22/03/2013</v>
      </c>
      <c r="AZ2979">
        <v>49.5</v>
      </c>
      <c r="BA2979">
        <v>19.600000000000001</v>
      </c>
    </row>
    <row r="2980" spans="51:53" x14ac:dyDescent="0.3">
      <c r="AY2980" t="str">
        <v>21/03/2013</v>
      </c>
      <c r="AZ2980">
        <v>49.5</v>
      </c>
      <c r="BA2980">
        <v>19.600000000000001</v>
      </c>
    </row>
    <row r="2981" spans="51:53" x14ac:dyDescent="0.3">
      <c r="AY2981" t="str">
        <v>20/03/2013</v>
      </c>
      <c r="AZ2981">
        <v>49.5</v>
      </c>
      <c r="BA2981">
        <v>19.600000000000001</v>
      </c>
    </row>
    <row r="2982" spans="51:53" x14ac:dyDescent="0.3">
      <c r="AY2982" t="str">
        <v>19/03/2013</v>
      </c>
      <c r="AZ2982">
        <v>49.5</v>
      </c>
      <c r="BA2982">
        <v>19.600000000000001</v>
      </c>
    </row>
    <row r="2983" spans="51:53" x14ac:dyDescent="0.3">
      <c r="AY2983" t="str">
        <v>18/03/2013</v>
      </c>
      <c r="AZ2983">
        <v>49.5</v>
      </c>
      <c r="BA2983">
        <v>19.600000000000001</v>
      </c>
    </row>
    <row r="2984" spans="51:53" x14ac:dyDescent="0.3">
      <c r="AY2984" t="str">
        <v>15/03/2013</v>
      </c>
      <c r="AZ2984">
        <v>47.4</v>
      </c>
      <c r="BA2984">
        <v>18.600000000000001</v>
      </c>
    </row>
    <row r="2985" spans="51:53" x14ac:dyDescent="0.3">
      <c r="AY2985" t="str">
        <v>14/03/2013</v>
      </c>
      <c r="AZ2985">
        <v>47.4</v>
      </c>
      <c r="BA2985">
        <v>18.600000000000001</v>
      </c>
    </row>
    <row r="2986" spans="51:53" x14ac:dyDescent="0.3">
      <c r="AY2986" t="str">
        <v>13/03/2013</v>
      </c>
      <c r="AZ2986">
        <v>47.4</v>
      </c>
      <c r="BA2986">
        <v>18.600000000000001</v>
      </c>
    </row>
    <row r="2987" spans="51:53" x14ac:dyDescent="0.3">
      <c r="AY2987" t="str">
        <v>12/03/2013</v>
      </c>
      <c r="AZ2987">
        <v>47.4</v>
      </c>
      <c r="BA2987">
        <v>18.600000000000001</v>
      </c>
    </row>
    <row r="2988" spans="51:53" x14ac:dyDescent="0.3">
      <c r="AY2988" t="str">
        <v>11/03/2013</v>
      </c>
      <c r="AZ2988">
        <v>47.4</v>
      </c>
      <c r="BA2988">
        <v>18.600000000000001</v>
      </c>
    </row>
    <row r="2989" spans="51:53" x14ac:dyDescent="0.3">
      <c r="AY2989" t="str">
        <v>08/03/2013</v>
      </c>
      <c r="AZ2989">
        <v>50</v>
      </c>
      <c r="BA2989">
        <v>18.8</v>
      </c>
    </row>
    <row r="2990" spans="51:53" x14ac:dyDescent="0.3">
      <c r="AY2990" t="str">
        <v>07/03/2013</v>
      </c>
      <c r="AZ2990">
        <v>50</v>
      </c>
      <c r="BA2990">
        <v>18.8</v>
      </c>
    </row>
    <row r="2991" spans="51:53" x14ac:dyDescent="0.3">
      <c r="AY2991" t="str">
        <v>06/03/2013</v>
      </c>
      <c r="AZ2991">
        <v>50</v>
      </c>
      <c r="BA2991">
        <v>18.8</v>
      </c>
    </row>
    <row r="2992" spans="51:53" x14ac:dyDescent="0.3">
      <c r="AY2992" t="str">
        <v>05/03/2013</v>
      </c>
      <c r="AZ2992">
        <v>50</v>
      </c>
      <c r="BA2992">
        <v>18.8</v>
      </c>
    </row>
    <row r="2993" spans="51:53" x14ac:dyDescent="0.3">
      <c r="AY2993" t="str">
        <v>04/03/2013</v>
      </c>
      <c r="AZ2993">
        <v>50</v>
      </c>
      <c r="BA2993">
        <v>18.8</v>
      </c>
    </row>
    <row r="2994" spans="51:53" x14ac:dyDescent="0.3">
      <c r="AY2994" t="str">
        <v>01/03/2013</v>
      </c>
      <c r="AZ2994">
        <v>44.2</v>
      </c>
      <c r="BA2994">
        <v>21.1</v>
      </c>
    </row>
    <row r="2995" spans="51:53" x14ac:dyDescent="0.3">
      <c r="AY2995" t="str">
        <v>28/02/2013</v>
      </c>
      <c r="AZ2995">
        <v>44.2</v>
      </c>
      <c r="BA2995">
        <v>21.1</v>
      </c>
    </row>
    <row r="2996" spans="51:53" x14ac:dyDescent="0.3">
      <c r="AY2996" t="str">
        <v>27/02/2013</v>
      </c>
      <c r="AZ2996">
        <v>44.2</v>
      </c>
      <c r="BA2996">
        <v>21.1</v>
      </c>
    </row>
    <row r="2997" spans="51:53" x14ac:dyDescent="0.3">
      <c r="AY2997" t="str">
        <v>26/02/2013</v>
      </c>
      <c r="AZ2997">
        <v>44.2</v>
      </c>
      <c r="BA2997">
        <v>21.1</v>
      </c>
    </row>
    <row r="2998" spans="51:53" x14ac:dyDescent="0.3">
      <c r="AY2998" t="str">
        <v>25/02/2013</v>
      </c>
      <c r="AZ2998">
        <v>44.2</v>
      </c>
      <c r="BA2998">
        <v>21.1</v>
      </c>
    </row>
    <row r="2999" spans="51:53" x14ac:dyDescent="0.3">
      <c r="AY2999" t="str">
        <v>22/02/2013</v>
      </c>
      <c r="AZ2999">
        <v>46.3</v>
      </c>
      <c r="BA2999">
        <v>21.1</v>
      </c>
    </row>
    <row r="3000" spans="51:53" x14ac:dyDescent="0.3">
      <c r="AY3000" t="str">
        <v>21/02/2013</v>
      </c>
      <c r="AZ3000">
        <v>46.3</v>
      </c>
      <c r="BA3000">
        <v>21.1</v>
      </c>
    </row>
    <row r="3001" spans="51:53" x14ac:dyDescent="0.3">
      <c r="AY3001" t="str">
        <v>20/02/2013</v>
      </c>
      <c r="AZ3001">
        <v>46.3</v>
      </c>
      <c r="BA3001">
        <v>21.1</v>
      </c>
    </row>
    <row r="3002" spans="51:53" x14ac:dyDescent="0.3">
      <c r="AY3002" t="str">
        <v>19/02/2013</v>
      </c>
      <c r="AZ3002">
        <v>46.3</v>
      </c>
      <c r="BA3002">
        <v>21.1</v>
      </c>
    </row>
    <row r="3003" spans="51:53" x14ac:dyDescent="0.3">
      <c r="AY3003" t="str">
        <v>18/02/2013</v>
      </c>
      <c r="AZ3003">
        <v>46.3</v>
      </c>
      <c r="BA3003">
        <v>21.1</v>
      </c>
    </row>
    <row r="3004" spans="51:53" x14ac:dyDescent="0.3">
      <c r="AY3004" t="str">
        <v>15/02/2013</v>
      </c>
      <c r="AZ3004">
        <v>48.4</v>
      </c>
      <c r="BA3004">
        <v>22.1</v>
      </c>
    </row>
    <row r="3005" spans="51:53" x14ac:dyDescent="0.3">
      <c r="AY3005" t="str">
        <v>14/02/2013</v>
      </c>
      <c r="AZ3005">
        <v>48.4</v>
      </c>
      <c r="BA3005">
        <v>22.1</v>
      </c>
    </row>
    <row r="3006" spans="51:53" x14ac:dyDescent="0.3">
      <c r="AY3006" t="str">
        <v>13/02/2013</v>
      </c>
      <c r="AZ3006">
        <v>48.4</v>
      </c>
      <c r="BA3006">
        <v>22.1</v>
      </c>
    </row>
    <row r="3007" spans="51:53" x14ac:dyDescent="0.3">
      <c r="AY3007" t="str">
        <v>12/02/2013</v>
      </c>
      <c r="AZ3007">
        <v>48.4</v>
      </c>
      <c r="BA3007">
        <v>22.1</v>
      </c>
    </row>
    <row r="3008" spans="51:53" x14ac:dyDescent="0.3">
      <c r="AY3008" t="str">
        <v>11/02/2013</v>
      </c>
      <c r="AZ3008">
        <v>48.4</v>
      </c>
      <c r="BA3008">
        <v>22.1</v>
      </c>
    </row>
    <row r="3009" spans="51:53" x14ac:dyDescent="0.3">
      <c r="AY3009" t="str">
        <v>08/02/2013</v>
      </c>
      <c r="AZ3009">
        <v>52.6</v>
      </c>
      <c r="BA3009">
        <v>21.1</v>
      </c>
    </row>
    <row r="3010" spans="51:53" x14ac:dyDescent="0.3">
      <c r="AY3010" t="str">
        <v>07/02/2013</v>
      </c>
      <c r="AZ3010">
        <v>52.6</v>
      </c>
      <c r="BA3010">
        <v>21.1</v>
      </c>
    </row>
    <row r="3011" spans="51:53" x14ac:dyDescent="0.3">
      <c r="AY3011" t="str">
        <v>06/02/2013</v>
      </c>
      <c r="AZ3011">
        <v>52.6</v>
      </c>
      <c r="BA3011">
        <v>21.1</v>
      </c>
    </row>
    <row r="3012" spans="51:53" x14ac:dyDescent="0.3">
      <c r="AY3012" t="str">
        <v>05/02/2013</v>
      </c>
      <c r="AZ3012">
        <v>52.6</v>
      </c>
      <c r="BA3012">
        <v>21.1</v>
      </c>
    </row>
    <row r="3013" spans="51:53" x14ac:dyDescent="0.3">
      <c r="AY3013" t="str">
        <v>04/02/2013</v>
      </c>
      <c r="AZ3013">
        <v>52.6</v>
      </c>
      <c r="BA3013">
        <v>21.1</v>
      </c>
    </row>
    <row r="3014" spans="51:53" x14ac:dyDescent="0.3">
      <c r="AY3014" t="str">
        <v>01/02/2013</v>
      </c>
      <c r="AZ3014">
        <v>54.7</v>
      </c>
      <c r="BA3014">
        <v>21.1</v>
      </c>
    </row>
    <row r="3015" spans="51:53" x14ac:dyDescent="0.3">
      <c r="AY3015" t="str">
        <v>31/01/2013</v>
      </c>
      <c r="AZ3015">
        <v>54.7</v>
      </c>
      <c r="BA3015">
        <v>21.1</v>
      </c>
    </row>
    <row r="3016" spans="51:53" x14ac:dyDescent="0.3">
      <c r="AY3016" t="str">
        <v>30/01/2013</v>
      </c>
      <c r="AZ3016">
        <v>54.7</v>
      </c>
      <c r="BA3016">
        <v>21.1</v>
      </c>
    </row>
    <row r="3017" spans="51:53" x14ac:dyDescent="0.3">
      <c r="AY3017" t="str">
        <v>29/01/2013</v>
      </c>
      <c r="AZ3017">
        <v>54.7</v>
      </c>
      <c r="BA3017">
        <v>21.1</v>
      </c>
    </row>
    <row r="3018" spans="51:53" x14ac:dyDescent="0.3">
      <c r="AY3018" t="str">
        <v>28/01/2013</v>
      </c>
      <c r="AZ3018">
        <v>54.7</v>
      </c>
      <c r="BA3018">
        <v>21.1</v>
      </c>
    </row>
    <row r="3019" spans="51:53" x14ac:dyDescent="0.3">
      <c r="AY3019" t="str">
        <v>25/01/2013</v>
      </c>
      <c r="AZ3019">
        <v>54.3</v>
      </c>
      <c r="BA3019">
        <v>22.3</v>
      </c>
    </row>
    <row r="3020" spans="51:53" x14ac:dyDescent="0.3">
      <c r="AY3020" t="str">
        <v>24/01/2013</v>
      </c>
      <c r="AZ3020">
        <v>54.3</v>
      </c>
      <c r="BA3020">
        <v>22.3</v>
      </c>
    </row>
    <row r="3021" spans="51:53" x14ac:dyDescent="0.3">
      <c r="AY3021" t="str">
        <v>23/01/2013</v>
      </c>
      <c r="AZ3021">
        <v>54.3</v>
      </c>
      <c r="BA3021">
        <v>22.3</v>
      </c>
    </row>
    <row r="3022" spans="51:53" x14ac:dyDescent="0.3">
      <c r="AY3022" t="str">
        <v>22/01/2013</v>
      </c>
      <c r="AZ3022">
        <v>54.3</v>
      </c>
      <c r="BA3022">
        <v>22.3</v>
      </c>
    </row>
    <row r="3023" spans="51:53" x14ac:dyDescent="0.3">
      <c r="AY3023" t="str">
        <v>21/01/2013</v>
      </c>
      <c r="AZ3023">
        <v>54.3</v>
      </c>
      <c r="BA3023">
        <v>22.3</v>
      </c>
    </row>
    <row r="3024" spans="51:53" x14ac:dyDescent="0.3">
      <c r="AY3024" t="str">
        <v>18/01/2013</v>
      </c>
      <c r="AZ3024">
        <v>53.2</v>
      </c>
      <c r="BA3024">
        <v>22.3</v>
      </c>
    </row>
    <row r="3025" spans="51:53" x14ac:dyDescent="0.3">
      <c r="AY3025" t="str">
        <v>17/01/2013</v>
      </c>
      <c r="AZ3025">
        <v>53.2</v>
      </c>
      <c r="BA3025">
        <v>22.3</v>
      </c>
    </row>
    <row r="3026" spans="51:53" x14ac:dyDescent="0.3">
      <c r="AY3026" t="str">
        <v>16/01/2013</v>
      </c>
      <c r="AZ3026">
        <v>53.2</v>
      </c>
      <c r="BA3026">
        <v>22.3</v>
      </c>
    </row>
    <row r="3027" spans="51:53" x14ac:dyDescent="0.3">
      <c r="AY3027" t="str">
        <v>15/01/2013</v>
      </c>
      <c r="AZ3027">
        <v>53.2</v>
      </c>
      <c r="BA3027">
        <v>22.3</v>
      </c>
    </row>
    <row r="3028" spans="51:53" x14ac:dyDescent="0.3">
      <c r="AY3028" t="str">
        <v>14/01/2013</v>
      </c>
      <c r="AZ3028">
        <v>53.2</v>
      </c>
      <c r="BA3028">
        <v>22.3</v>
      </c>
    </row>
    <row r="3029" spans="51:53" x14ac:dyDescent="0.3">
      <c r="AY3029" t="str">
        <v>11/01/2013</v>
      </c>
      <c r="AZ3029">
        <v>53.2</v>
      </c>
      <c r="BA3029">
        <v>22.3</v>
      </c>
    </row>
    <row r="3030" spans="51:53" x14ac:dyDescent="0.3">
      <c r="AY3030" t="str">
        <v>10/01/2013</v>
      </c>
      <c r="AZ3030">
        <v>53.2</v>
      </c>
      <c r="BA3030">
        <v>22.3</v>
      </c>
    </row>
    <row r="3031" spans="51:53" x14ac:dyDescent="0.3">
      <c r="AY3031" t="str">
        <v>09/01/2013</v>
      </c>
      <c r="AZ3031">
        <v>53.2</v>
      </c>
      <c r="BA3031">
        <v>22.3</v>
      </c>
    </row>
    <row r="3032" spans="51:53" x14ac:dyDescent="0.3">
      <c r="AY3032" t="str">
        <v>08/01/2013</v>
      </c>
      <c r="AZ3032">
        <v>53.2</v>
      </c>
      <c r="BA3032">
        <v>22.3</v>
      </c>
    </row>
    <row r="3033" spans="51:53" x14ac:dyDescent="0.3">
      <c r="AY3033" t="str">
        <v>07/01/2013</v>
      </c>
      <c r="AZ3033">
        <v>53.2</v>
      </c>
      <c r="BA3033">
        <v>22.3</v>
      </c>
    </row>
    <row r="3034" spans="51:53" x14ac:dyDescent="0.3">
      <c r="AY3034" t="str">
        <v>04/01/2013</v>
      </c>
      <c r="AZ3034">
        <v>51.1</v>
      </c>
      <c r="BA3034">
        <v>23.4</v>
      </c>
    </row>
    <row r="3035" spans="51:53" x14ac:dyDescent="0.3">
      <c r="AY3035" t="str">
        <v>03/01/2013</v>
      </c>
      <c r="AZ3035">
        <v>51.1</v>
      </c>
      <c r="BA3035">
        <v>23.4</v>
      </c>
    </row>
    <row r="3036" spans="51:53" x14ac:dyDescent="0.3">
      <c r="AY3036" t="str">
        <v>02/01/2013</v>
      </c>
      <c r="AZ3036">
        <v>51.1</v>
      </c>
      <c r="BA3036">
        <v>23.4</v>
      </c>
    </row>
    <row r="3037" spans="51:53" x14ac:dyDescent="0.3">
      <c r="AY3037" t="str">
        <v>01/01/2013</v>
      </c>
      <c r="AZ3037">
        <v>51.1</v>
      </c>
      <c r="BA3037">
        <v>23.4</v>
      </c>
    </row>
    <row r="3038" spans="51:53" x14ac:dyDescent="0.3">
      <c r="AY3038" t="str">
        <v>31/12/2012</v>
      </c>
      <c r="AZ3038">
        <v>51.1</v>
      </c>
      <c r="BA3038">
        <v>23.4</v>
      </c>
    </row>
    <row r="3039" spans="51:53" x14ac:dyDescent="0.3">
      <c r="AY3039" t="str">
        <v>28/12/2012</v>
      </c>
      <c r="AZ3039">
        <v>47.8</v>
      </c>
      <c r="BA3039">
        <v>24.5</v>
      </c>
    </row>
    <row r="3040" spans="51:53" x14ac:dyDescent="0.3">
      <c r="AY3040" t="str">
        <v>27/12/2012</v>
      </c>
      <c r="AZ3040">
        <v>47.8</v>
      </c>
      <c r="BA3040">
        <v>24.5</v>
      </c>
    </row>
    <row r="3041" spans="51:53" x14ac:dyDescent="0.3">
      <c r="AY3041" t="str">
        <v>26/12/2012</v>
      </c>
      <c r="AZ3041">
        <v>47.8</v>
      </c>
      <c r="BA3041">
        <v>24.5</v>
      </c>
    </row>
    <row r="3042" spans="51:53" x14ac:dyDescent="0.3">
      <c r="AY3042" t="str">
        <v>25/12/2012</v>
      </c>
      <c r="AZ3042">
        <v>47.8</v>
      </c>
      <c r="BA3042">
        <v>24.5</v>
      </c>
    </row>
    <row r="3043" spans="51:53" x14ac:dyDescent="0.3">
      <c r="AY3043" t="str">
        <v>24/12/2012</v>
      </c>
      <c r="AZ3043">
        <v>47.8</v>
      </c>
      <c r="BA3043">
        <v>24.5</v>
      </c>
    </row>
    <row r="3044" spans="51:53" x14ac:dyDescent="0.3">
      <c r="AY3044" t="str">
        <v>21/12/2012</v>
      </c>
      <c r="AZ3044">
        <v>48.9</v>
      </c>
      <c r="BA3044">
        <v>24.5</v>
      </c>
    </row>
    <row r="3045" spans="51:53" x14ac:dyDescent="0.3">
      <c r="AY3045" t="str">
        <v>20/12/2012</v>
      </c>
      <c r="AZ3045">
        <v>48.9</v>
      </c>
      <c r="BA3045">
        <v>24.5</v>
      </c>
    </row>
    <row r="3046" spans="51:53" x14ac:dyDescent="0.3">
      <c r="AY3046" t="str">
        <v>19/12/2012</v>
      </c>
      <c r="AZ3046">
        <v>48.9</v>
      </c>
      <c r="BA3046">
        <v>24.5</v>
      </c>
    </row>
    <row r="3047" spans="51:53" x14ac:dyDescent="0.3">
      <c r="AY3047" t="str">
        <v>18/12/2012</v>
      </c>
      <c r="AZ3047">
        <v>48.9</v>
      </c>
      <c r="BA3047">
        <v>24.5</v>
      </c>
    </row>
    <row r="3048" spans="51:53" x14ac:dyDescent="0.3">
      <c r="AY3048" t="str">
        <v>17/12/2012</v>
      </c>
      <c r="AZ3048">
        <v>48.9</v>
      </c>
      <c r="BA3048">
        <v>24.5</v>
      </c>
    </row>
    <row r="3049" spans="51:53" x14ac:dyDescent="0.3">
      <c r="AY3049" t="str">
        <v>14/12/2012</v>
      </c>
      <c r="AZ3049">
        <v>46.8</v>
      </c>
      <c r="BA3049">
        <v>24.5</v>
      </c>
    </row>
    <row r="3050" spans="51:53" x14ac:dyDescent="0.3">
      <c r="AY3050" t="str">
        <v>13/12/2012</v>
      </c>
      <c r="AZ3050">
        <v>46.8</v>
      </c>
      <c r="BA3050">
        <v>24.5</v>
      </c>
    </row>
    <row r="3051" spans="51:53" x14ac:dyDescent="0.3">
      <c r="AY3051" t="str">
        <v>12/12/2012</v>
      </c>
      <c r="AZ3051">
        <v>46.8</v>
      </c>
      <c r="BA3051">
        <v>24.5</v>
      </c>
    </row>
    <row r="3052" spans="51:53" x14ac:dyDescent="0.3">
      <c r="AY3052" t="str">
        <v>11/12/2012</v>
      </c>
      <c r="AZ3052">
        <v>46.8</v>
      </c>
      <c r="BA3052">
        <v>24.5</v>
      </c>
    </row>
    <row r="3053" spans="51:53" x14ac:dyDescent="0.3">
      <c r="AY3053" t="str">
        <v>10/12/2012</v>
      </c>
      <c r="AZ3053">
        <v>46.8</v>
      </c>
      <c r="BA3053">
        <v>24.5</v>
      </c>
    </row>
    <row r="3054" spans="51:53" x14ac:dyDescent="0.3">
      <c r="AY3054" t="str">
        <v>07/12/2012</v>
      </c>
      <c r="AZ3054">
        <v>45.7</v>
      </c>
      <c r="BA3054">
        <v>23.4</v>
      </c>
    </row>
    <row r="3055" spans="51:53" x14ac:dyDescent="0.3">
      <c r="AY3055" t="str">
        <v>06/12/2012</v>
      </c>
      <c r="AZ3055">
        <v>45.7</v>
      </c>
      <c r="BA3055">
        <v>23.4</v>
      </c>
    </row>
    <row r="3056" spans="51:53" x14ac:dyDescent="0.3">
      <c r="AY3056" t="str">
        <v>05/12/2012</v>
      </c>
      <c r="AZ3056">
        <v>45.7</v>
      </c>
      <c r="BA3056">
        <v>23.4</v>
      </c>
    </row>
    <row r="3057" spans="51:53" x14ac:dyDescent="0.3">
      <c r="AY3057" t="str">
        <v>04/12/2012</v>
      </c>
      <c r="AZ3057">
        <v>45.7</v>
      </c>
      <c r="BA3057">
        <v>23.4</v>
      </c>
    </row>
    <row r="3058" spans="51:53" x14ac:dyDescent="0.3">
      <c r="AY3058" t="str">
        <v>03/12/2012</v>
      </c>
      <c r="AZ3058">
        <v>45.7</v>
      </c>
      <c r="BA3058">
        <v>23.4</v>
      </c>
    </row>
    <row r="3059" spans="51:53" x14ac:dyDescent="0.3">
      <c r="AY3059" t="str">
        <v>30/11/2012</v>
      </c>
      <c r="AZ3059">
        <v>43.6</v>
      </c>
      <c r="BA3059">
        <v>25.5</v>
      </c>
    </row>
    <row r="3060" spans="51:53" x14ac:dyDescent="0.3">
      <c r="AY3060" t="str">
        <v>29/11/2012</v>
      </c>
      <c r="AZ3060">
        <v>43.6</v>
      </c>
      <c r="BA3060">
        <v>25.5</v>
      </c>
    </row>
    <row r="3061" spans="51:53" x14ac:dyDescent="0.3">
      <c r="AY3061" t="str">
        <v>28/11/2012</v>
      </c>
      <c r="AZ3061">
        <v>43.6</v>
      </c>
      <c r="BA3061">
        <v>25.5</v>
      </c>
    </row>
    <row r="3062" spans="51:53" x14ac:dyDescent="0.3">
      <c r="AY3062" t="str">
        <v>27/11/2012</v>
      </c>
      <c r="AZ3062">
        <v>43.6</v>
      </c>
      <c r="BA3062">
        <v>25.5</v>
      </c>
    </row>
    <row r="3063" spans="51:53" x14ac:dyDescent="0.3">
      <c r="AY3063" t="str">
        <v>26/11/2012</v>
      </c>
      <c r="AZ3063">
        <v>43.6</v>
      </c>
      <c r="BA3063">
        <v>25.5</v>
      </c>
    </row>
    <row r="3064" spans="51:53" x14ac:dyDescent="0.3">
      <c r="AY3064" t="str">
        <v>23/11/2012</v>
      </c>
      <c r="AZ3064">
        <v>39.299999999999997</v>
      </c>
      <c r="BA3064">
        <v>27.7</v>
      </c>
    </row>
    <row r="3065" spans="51:53" x14ac:dyDescent="0.3">
      <c r="AY3065" t="str">
        <v>22/11/2012</v>
      </c>
      <c r="AZ3065">
        <v>39.299999999999997</v>
      </c>
      <c r="BA3065">
        <v>27.7</v>
      </c>
    </row>
    <row r="3066" spans="51:53" x14ac:dyDescent="0.3">
      <c r="AY3066" t="str">
        <v>21/11/2012</v>
      </c>
      <c r="AZ3066">
        <v>39.299999999999997</v>
      </c>
      <c r="BA3066">
        <v>27.7</v>
      </c>
    </row>
    <row r="3067" spans="51:53" x14ac:dyDescent="0.3">
      <c r="AY3067" t="str">
        <v>20/11/2012</v>
      </c>
      <c r="AZ3067">
        <v>39.299999999999997</v>
      </c>
      <c r="BA3067">
        <v>27.7</v>
      </c>
    </row>
    <row r="3068" spans="51:53" x14ac:dyDescent="0.3">
      <c r="AY3068" t="str">
        <v>19/11/2012</v>
      </c>
      <c r="AZ3068">
        <v>39.299999999999997</v>
      </c>
      <c r="BA3068">
        <v>27.7</v>
      </c>
    </row>
    <row r="3069" spans="51:53" x14ac:dyDescent="0.3">
      <c r="AY3069" t="str">
        <v>16/11/2012</v>
      </c>
      <c r="AZ3069">
        <v>37.200000000000003</v>
      </c>
      <c r="BA3069">
        <v>27.7</v>
      </c>
    </row>
    <row r="3070" spans="51:53" x14ac:dyDescent="0.3">
      <c r="AY3070" t="str">
        <v>15/11/2012</v>
      </c>
      <c r="AZ3070">
        <v>37.200000000000003</v>
      </c>
      <c r="BA3070">
        <v>27.7</v>
      </c>
    </row>
    <row r="3071" spans="51:53" x14ac:dyDescent="0.3">
      <c r="AY3071" t="str">
        <v>14/11/2012</v>
      </c>
      <c r="AZ3071">
        <v>37.200000000000003</v>
      </c>
      <c r="BA3071">
        <v>27.7</v>
      </c>
    </row>
    <row r="3072" spans="51:53" x14ac:dyDescent="0.3">
      <c r="AY3072" t="str">
        <v>13/11/2012</v>
      </c>
      <c r="AZ3072">
        <v>37.200000000000003</v>
      </c>
      <c r="BA3072">
        <v>27.7</v>
      </c>
    </row>
    <row r="3073" spans="51:53" x14ac:dyDescent="0.3">
      <c r="AY3073" t="str">
        <v>12/11/2012</v>
      </c>
      <c r="AZ3073">
        <v>37.200000000000003</v>
      </c>
      <c r="BA3073">
        <v>27.7</v>
      </c>
    </row>
    <row r="3074" spans="51:53" x14ac:dyDescent="0.3">
      <c r="AY3074" t="str">
        <v>09/11/2012</v>
      </c>
      <c r="AZ3074">
        <v>38.299999999999997</v>
      </c>
      <c r="BA3074">
        <v>28.7</v>
      </c>
    </row>
    <row r="3075" spans="51:53" x14ac:dyDescent="0.3">
      <c r="AY3075" t="str">
        <v>08/11/2012</v>
      </c>
      <c r="AZ3075">
        <v>38.299999999999997</v>
      </c>
      <c r="BA3075">
        <v>28.7</v>
      </c>
    </row>
    <row r="3076" spans="51:53" x14ac:dyDescent="0.3">
      <c r="AY3076" t="str">
        <v>07/11/2012</v>
      </c>
      <c r="AZ3076">
        <v>38.299999999999997</v>
      </c>
      <c r="BA3076">
        <v>28.7</v>
      </c>
    </row>
    <row r="3077" spans="51:53" x14ac:dyDescent="0.3">
      <c r="AY3077" t="str">
        <v>06/11/2012</v>
      </c>
      <c r="AZ3077">
        <v>38.299999999999997</v>
      </c>
      <c r="BA3077">
        <v>28.7</v>
      </c>
    </row>
    <row r="3078" spans="51:53" x14ac:dyDescent="0.3">
      <c r="AY3078" t="str">
        <v>05/11/2012</v>
      </c>
      <c r="AZ3078">
        <v>38.299999999999997</v>
      </c>
      <c r="BA3078">
        <v>28.7</v>
      </c>
    </row>
    <row r="3079" spans="51:53" x14ac:dyDescent="0.3">
      <c r="AY3079" t="str">
        <v>02/11/2012</v>
      </c>
      <c r="AZ3079">
        <v>43.6</v>
      </c>
      <c r="BA3079">
        <v>27.7</v>
      </c>
    </row>
    <row r="3080" spans="51:53" x14ac:dyDescent="0.3">
      <c r="AY3080" t="str">
        <v>01/11/2012</v>
      </c>
      <c r="AZ3080">
        <v>43.6</v>
      </c>
      <c r="BA3080">
        <v>27.7</v>
      </c>
    </row>
    <row r="3081" spans="51:53" x14ac:dyDescent="0.3">
      <c r="AY3081" t="str">
        <v>31/10/2012</v>
      </c>
      <c r="AZ3081">
        <v>43.6</v>
      </c>
      <c r="BA3081">
        <v>27.7</v>
      </c>
    </row>
    <row r="3082" spans="51:53" x14ac:dyDescent="0.3">
      <c r="AY3082" t="str">
        <v>30/10/2012</v>
      </c>
      <c r="AZ3082">
        <v>43.6</v>
      </c>
      <c r="BA3082">
        <v>27.7</v>
      </c>
    </row>
    <row r="3083" spans="51:53" x14ac:dyDescent="0.3">
      <c r="AY3083" t="str">
        <v>29/10/2012</v>
      </c>
      <c r="AZ3083">
        <v>43.6</v>
      </c>
      <c r="BA3083">
        <v>27.7</v>
      </c>
    </row>
    <row r="3084" spans="51:53" x14ac:dyDescent="0.3">
      <c r="AY3084" t="str">
        <v>26/10/2012</v>
      </c>
      <c r="AZ3084">
        <v>41.5</v>
      </c>
      <c r="BA3084">
        <v>27.7</v>
      </c>
    </row>
    <row r="3085" spans="51:53" x14ac:dyDescent="0.3">
      <c r="AY3085" t="str">
        <v>25/10/2012</v>
      </c>
      <c r="AZ3085">
        <v>41.5</v>
      </c>
      <c r="BA3085">
        <v>27.7</v>
      </c>
    </row>
    <row r="3086" spans="51:53" x14ac:dyDescent="0.3">
      <c r="AY3086" t="str">
        <v>24/10/2012</v>
      </c>
      <c r="AZ3086">
        <v>41.5</v>
      </c>
      <c r="BA3086">
        <v>27.7</v>
      </c>
    </row>
    <row r="3087" spans="51:53" x14ac:dyDescent="0.3">
      <c r="AY3087" t="str">
        <v>23/10/2012</v>
      </c>
      <c r="AZ3087">
        <v>41.5</v>
      </c>
      <c r="BA3087">
        <v>27.7</v>
      </c>
    </row>
    <row r="3088" spans="51:53" x14ac:dyDescent="0.3">
      <c r="AY3088" t="str">
        <v>22/10/2012</v>
      </c>
      <c r="AZ3088">
        <v>41.5</v>
      </c>
      <c r="BA3088">
        <v>27.7</v>
      </c>
    </row>
    <row r="3089" spans="51:53" x14ac:dyDescent="0.3">
      <c r="AY3089" t="str">
        <v>19/10/2012</v>
      </c>
      <c r="AZ3089">
        <v>41.5</v>
      </c>
      <c r="BA3089">
        <v>27.7</v>
      </c>
    </row>
    <row r="3090" spans="51:53" x14ac:dyDescent="0.3">
      <c r="AY3090" t="str">
        <v>18/10/2012</v>
      </c>
      <c r="AZ3090">
        <v>41.5</v>
      </c>
      <c r="BA3090">
        <v>27.7</v>
      </c>
    </row>
    <row r="3091" spans="51:53" x14ac:dyDescent="0.3">
      <c r="AY3091" t="str">
        <v>17/10/2012</v>
      </c>
      <c r="AZ3091">
        <v>41.5</v>
      </c>
      <c r="BA3091">
        <v>27.7</v>
      </c>
    </row>
    <row r="3092" spans="51:53" x14ac:dyDescent="0.3">
      <c r="AY3092" t="str">
        <v>16/10/2012</v>
      </c>
      <c r="AZ3092">
        <v>41.5</v>
      </c>
      <c r="BA3092">
        <v>27.7</v>
      </c>
    </row>
    <row r="3093" spans="51:53" x14ac:dyDescent="0.3">
      <c r="AY3093" t="str">
        <v>15/10/2012</v>
      </c>
      <c r="AZ3093">
        <v>41.5</v>
      </c>
      <c r="BA3093">
        <v>27.7</v>
      </c>
    </row>
    <row r="3094" spans="51:53" x14ac:dyDescent="0.3">
      <c r="AY3094" t="str">
        <v>12/10/2012</v>
      </c>
      <c r="AZ3094">
        <v>42.6</v>
      </c>
      <c r="BA3094">
        <v>26.6</v>
      </c>
    </row>
    <row r="3095" spans="51:53" x14ac:dyDescent="0.3">
      <c r="AY3095" t="str">
        <v>11/10/2012</v>
      </c>
      <c r="AZ3095">
        <v>42.6</v>
      </c>
      <c r="BA3095">
        <v>26.6</v>
      </c>
    </row>
    <row r="3096" spans="51:53" x14ac:dyDescent="0.3">
      <c r="AY3096" t="str">
        <v>10/10/2012</v>
      </c>
      <c r="AZ3096">
        <v>42.6</v>
      </c>
      <c r="BA3096">
        <v>26.6</v>
      </c>
    </row>
    <row r="3097" spans="51:53" x14ac:dyDescent="0.3">
      <c r="AY3097" t="str">
        <v>09/10/2012</v>
      </c>
      <c r="AZ3097">
        <v>42.6</v>
      </c>
      <c r="BA3097">
        <v>26.6</v>
      </c>
    </row>
    <row r="3098" spans="51:53" x14ac:dyDescent="0.3">
      <c r="AY3098" t="str">
        <v>08/10/2012</v>
      </c>
      <c r="AZ3098">
        <v>42.6</v>
      </c>
      <c r="BA3098">
        <v>26.6</v>
      </c>
    </row>
    <row r="3099" spans="51:53" x14ac:dyDescent="0.3">
      <c r="AY3099" t="str">
        <v>05/10/2012</v>
      </c>
      <c r="AZ3099">
        <v>45.7</v>
      </c>
      <c r="BA3099">
        <v>25.5</v>
      </c>
    </row>
    <row r="3100" spans="51:53" x14ac:dyDescent="0.3">
      <c r="AY3100" t="str">
        <v>04/10/2012</v>
      </c>
      <c r="AZ3100">
        <v>45.7</v>
      </c>
      <c r="BA3100">
        <v>25.5</v>
      </c>
    </row>
    <row r="3101" spans="51:53" x14ac:dyDescent="0.3">
      <c r="AY3101" t="str">
        <v>03/10/2012</v>
      </c>
      <c r="AZ3101">
        <v>45.7</v>
      </c>
      <c r="BA3101">
        <v>25.5</v>
      </c>
    </row>
    <row r="3102" spans="51:53" x14ac:dyDescent="0.3">
      <c r="AY3102" t="str">
        <v>02/10/2012</v>
      </c>
      <c r="AZ3102">
        <v>45.7</v>
      </c>
      <c r="BA3102">
        <v>25.5</v>
      </c>
    </row>
    <row r="3103" spans="51:53" x14ac:dyDescent="0.3">
      <c r="AY3103" t="str">
        <v>01/10/2012</v>
      </c>
      <c r="AZ3103">
        <v>45.7</v>
      </c>
      <c r="BA3103">
        <v>25.5</v>
      </c>
    </row>
    <row r="3104" spans="51:53" x14ac:dyDescent="0.3">
      <c r="AY3104" t="str">
        <v>28/09/2012</v>
      </c>
      <c r="AZ3104">
        <v>46.8</v>
      </c>
      <c r="BA3104">
        <v>25.5</v>
      </c>
    </row>
    <row r="3105" spans="51:53" x14ac:dyDescent="0.3">
      <c r="AY3105" t="str">
        <v>27/09/2012</v>
      </c>
      <c r="AZ3105">
        <v>46.8</v>
      </c>
      <c r="BA3105">
        <v>25.5</v>
      </c>
    </row>
    <row r="3106" spans="51:53" x14ac:dyDescent="0.3">
      <c r="AY3106" t="str">
        <v>26/09/2012</v>
      </c>
      <c r="AZ3106">
        <v>46.8</v>
      </c>
      <c r="BA3106">
        <v>25.5</v>
      </c>
    </row>
    <row r="3107" spans="51:53" x14ac:dyDescent="0.3">
      <c r="AY3107" t="str">
        <v>25/09/2012</v>
      </c>
      <c r="AZ3107">
        <v>46.8</v>
      </c>
      <c r="BA3107">
        <v>25.5</v>
      </c>
    </row>
    <row r="3108" spans="51:53" x14ac:dyDescent="0.3">
      <c r="AY3108" t="str">
        <v>24/09/2012</v>
      </c>
      <c r="AZ3108">
        <v>46.8</v>
      </c>
      <c r="BA3108">
        <v>25.5</v>
      </c>
    </row>
    <row r="3109" spans="51:53" x14ac:dyDescent="0.3">
      <c r="AY3109" t="str">
        <v>21/09/2012</v>
      </c>
      <c r="AZ3109">
        <v>51</v>
      </c>
      <c r="BA3109">
        <v>24.5</v>
      </c>
    </row>
    <row r="3110" spans="51:53" x14ac:dyDescent="0.3">
      <c r="AY3110" t="str">
        <v>20/09/2012</v>
      </c>
      <c r="AZ3110">
        <v>51</v>
      </c>
      <c r="BA3110">
        <v>24.5</v>
      </c>
    </row>
    <row r="3111" spans="51:53" x14ac:dyDescent="0.3">
      <c r="AY3111" t="str">
        <v>19/09/2012</v>
      </c>
      <c r="AZ3111">
        <v>51</v>
      </c>
      <c r="BA3111">
        <v>24.5</v>
      </c>
    </row>
    <row r="3112" spans="51:53" x14ac:dyDescent="0.3">
      <c r="AY3112" t="str">
        <v>18/09/2012</v>
      </c>
      <c r="AZ3112">
        <v>51</v>
      </c>
      <c r="BA3112">
        <v>24.5</v>
      </c>
    </row>
    <row r="3113" spans="51:53" x14ac:dyDescent="0.3">
      <c r="AY3113" t="str">
        <v>17/09/2012</v>
      </c>
      <c r="AZ3113">
        <v>51</v>
      </c>
      <c r="BA3113">
        <v>24.5</v>
      </c>
    </row>
    <row r="3114" spans="51:53" x14ac:dyDescent="0.3">
      <c r="AY3114" t="str">
        <v>14/09/2012</v>
      </c>
      <c r="AZ3114">
        <v>54.2</v>
      </c>
      <c r="BA3114">
        <v>24.5</v>
      </c>
    </row>
    <row r="3115" spans="51:53" x14ac:dyDescent="0.3">
      <c r="AY3115" t="str">
        <v>13/09/2012</v>
      </c>
      <c r="AZ3115">
        <v>54.2</v>
      </c>
      <c r="BA3115">
        <v>24.5</v>
      </c>
    </row>
    <row r="3116" spans="51:53" x14ac:dyDescent="0.3">
      <c r="AY3116" t="str">
        <v>12/09/2012</v>
      </c>
      <c r="AZ3116">
        <v>54.2</v>
      </c>
      <c r="BA3116">
        <v>24.5</v>
      </c>
    </row>
    <row r="3117" spans="51:53" x14ac:dyDescent="0.3">
      <c r="AY3117" t="str">
        <v>11/09/2012</v>
      </c>
      <c r="AZ3117">
        <v>54.2</v>
      </c>
      <c r="BA3117">
        <v>24.5</v>
      </c>
    </row>
    <row r="3118" spans="51:53" x14ac:dyDescent="0.3">
      <c r="AY3118" t="str">
        <v>10/09/2012</v>
      </c>
      <c r="AZ3118">
        <v>54.2</v>
      </c>
      <c r="BA3118">
        <v>24.5</v>
      </c>
    </row>
    <row r="3119" spans="51:53" x14ac:dyDescent="0.3">
      <c r="AY3119" t="str">
        <v>07/09/2012</v>
      </c>
      <c r="AZ3119">
        <v>51.1</v>
      </c>
      <c r="BA3119">
        <v>25.5</v>
      </c>
    </row>
    <row r="3120" spans="51:53" x14ac:dyDescent="0.3">
      <c r="AY3120" t="str">
        <v>06/09/2012</v>
      </c>
      <c r="AZ3120">
        <v>51.1</v>
      </c>
      <c r="BA3120">
        <v>25.5</v>
      </c>
    </row>
    <row r="3121" spans="51:53" x14ac:dyDescent="0.3">
      <c r="AY3121" t="str">
        <v>05/09/2012</v>
      </c>
      <c r="AZ3121">
        <v>51.1</v>
      </c>
      <c r="BA3121">
        <v>25.5</v>
      </c>
    </row>
    <row r="3122" spans="51:53" x14ac:dyDescent="0.3">
      <c r="AY3122" t="str">
        <v>04/09/2012</v>
      </c>
      <c r="AZ3122">
        <v>51.1</v>
      </c>
      <c r="BA3122">
        <v>25.5</v>
      </c>
    </row>
    <row r="3123" spans="51:53" x14ac:dyDescent="0.3">
      <c r="AY3123" t="str">
        <v>03/09/2012</v>
      </c>
      <c r="AZ3123">
        <v>51.1</v>
      </c>
      <c r="BA3123">
        <v>25.5</v>
      </c>
    </row>
    <row r="3124" spans="51:53" x14ac:dyDescent="0.3">
      <c r="AY3124" t="str">
        <v>31/08/2012</v>
      </c>
      <c r="AZ3124">
        <v>51</v>
      </c>
      <c r="BA3124">
        <v>24.5</v>
      </c>
    </row>
    <row r="3125" spans="51:53" x14ac:dyDescent="0.3">
      <c r="AY3125" t="str">
        <v>30/08/2012</v>
      </c>
      <c r="AZ3125">
        <v>51</v>
      </c>
      <c r="BA3125">
        <v>24.5</v>
      </c>
    </row>
    <row r="3126" spans="51:53" x14ac:dyDescent="0.3">
      <c r="AY3126" t="str">
        <v>29/08/2012</v>
      </c>
      <c r="AZ3126">
        <v>51</v>
      </c>
      <c r="BA3126">
        <v>24.5</v>
      </c>
    </row>
    <row r="3127" spans="51:53" x14ac:dyDescent="0.3">
      <c r="AY3127" t="str">
        <v>28/08/2012</v>
      </c>
      <c r="AZ3127">
        <v>51</v>
      </c>
      <c r="BA3127">
        <v>24.5</v>
      </c>
    </row>
    <row r="3128" spans="51:53" x14ac:dyDescent="0.3">
      <c r="AY3128" t="str">
        <v>27/08/2012</v>
      </c>
      <c r="AZ3128">
        <v>51</v>
      </c>
      <c r="BA3128">
        <v>24.5</v>
      </c>
    </row>
    <row r="3129" spans="51:53" x14ac:dyDescent="0.3">
      <c r="AY3129" t="str">
        <v>24/08/2012</v>
      </c>
      <c r="AZ3129">
        <v>48.9</v>
      </c>
      <c r="BA3129">
        <v>24.5</v>
      </c>
    </row>
    <row r="3130" spans="51:53" x14ac:dyDescent="0.3">
      <c r="AY3130" t="str">
        <v>23/08/2012</v>
      </c>
      <c r="AZ3130">
        <v>48.9</v>
      </c>
      <c r="BA3130">
        <v>24.5</v>
      </c>
    </row>
    <row r="3131" spans="51:53" x14ac:dyDescent="0.3">
      <c r="AY3131" t="str">
        <v>22/08/2012</v>
      </c>
      <c r="AZ3131">
        <v>48.9</v>
      </c>
      <c r="BA3131">
        <v>24.5</v>
      </c>
    </row>
    <row r="3132" spans="51:53" x14ac:dyDescent="0.3">
      <c r="AY3132" t="str">
        <v>21/08/2012</v>
      </c>
      <c r="AZ3132">
        <v>48.9</v>
      </c>
      <c r="BA3132">
        <v>24.5</v>
      </c>
    </row>
    <row r="3133" spans="51:53" x14ac:dyDescent="0.3">
      <c r="AY3133" t="str">
        <v>20/08/2012</v>
      </c>
      <c r="AZ3133">
        <v>48.9</v>
      </c>
      <c r="BA3133">
        <v>24.5</v>
      </c>
    </row>
    <row r="3134" spans="51:53" x14ac:dyDescent="0.3">
      <c r="AY3134" t="str">
        <v>17/08/2012</v>
      </c>
      <c r="AZ3134">
        <v>47.3</v>
      </c>
      <c r="BA3134">
        <v>24.7</v>
      </c>
    </row>
    <row r="3135" spans="51:53" x14ac:dyDescent="0.3">
      <c r="AY3135" t="str">
        <v>16/08/2012</v>
      </c>
      <c r="AZ3135">
        <v>47.3</v>
      </c>
      <c r="BA3135">
        <v>24.7</v>
      </c>
    </row>
    <row r="3136" spans="51:53" x14ac:dyDescent="0.3">
      <c r="AY3136" t="str">
        <v>15/08/2012</v>
      </c>
      <c r="AZ3136">
        <v>47.3</v>
      </c>
      <c r="BA3136">
        <v>24.7</v>
      </c>
    </row>
    <row r="3137" spans="51:53" x14ac:dyDescent="0.3">
      <c r="AY3137" t="str">
        <v>14/08/2012</v>
      </c>
      <c r="AZ3137">
        <v>47.3</v>
      </c>
      <c r="BA3137">
        <v>24.7</v>
      </c>
    </row>
    <row r="3138" spans="51:53" x14ac:dyDescent="0.3">
      <c r="AY3138" t="str">
        <v>13/08/2012</v>
      </c>
      <c r="AZ3138">
        <v>47.3</v>
      </c>
      <c r="BA3138">
        <v>24.7</v>
      </c>
    </row>
    <row r="3139" spans="51:53" x14ac:dyDescent="0.3">
      <c r="AY3139" t="str">
        <v>10/08/2012</v>
      </c>
      <c r="AZ3139">
        <v>43.6</v>
      </c>
      <c r="BA3139">
        <v>26.6</v>
      </c>
    </row>
    <row r="3140" spans="51:53" x14ac:dyDescent="0.3">
      <c r="AY3140" t="str">
        <v>09/08/2012</v>
      </c>
      <c r="AZ3140">
        <v>43.6</v>
      </c>
      <c r="BA3140">
        <v>26.6</v>
      </c>
    </row>
    <row r="3141" spans="51:53" x14ac:dyDescent="0.3">
      <c r="AY3141" t="str">
        <v>08/08/2012</v>
      </c>
      <c r="AZ3141">
        <v>43.6</v>
      </c>
      <c r="BA3141">
        <v>26.6</v>
      </c>
    </row>
    <row r="3142" spans="51:53" x14ac:dyDescent="0.3">
      <c r="AY3142" t="str">
        <v>07/08/2012</v>
      </c>
      <c r="AZ3142">
        <v>43.6</v>
      </c>
      <c r="BA3142">
        <v>26.6</v>
      </c>
    </row>
    <row r="3143" spans="51:53" x14ac:dyDescent="0.3">
      <c r="AY3143" t="str">
        <v>06/08/2012</v>
      </c>
      <c r="AZ3143">
        <v>43.6</v>
      </c>
      <c r="BA3143">
        <v>26.6</v>
      </c>
    </row>
    <row r="3144" spans="51:53" x14ac:dyDescent="0.3">
      <c r="AY3144" t="str">
        <v>03/08/2012</v>
      </c>
      <c r="AZ3144">
        <v>43.6</v>
      </c>
      <c r="BA3144">
        <v>25.5</v>
      </c>
    </row>
    <row r="3145" spans="51:53" x14ac:dyDescent="0.3">
      <c r="AY3145" t="str">
        <v>02/08/2012</v>
      </c>
      <c r="AZ3145">
        <v>43.6</v>
      </c>
      <c r="BA3145">
        <v>25.5</v>
      </c>
    </row>
    <row r="3146" spans="51:53" x14ac:dyDescent="0.3">
      <c r="AY3146" t="str">
        <v>01/08/2012</v>
      </c>
      <c r="AZ3146">
        <v>43.6</v>
      </c>
      <c r="BA3146">
        <v>25.5</v>
      </c>
    </row>
    <row r="3147" spans="51:53" x14ac:dyDescent="0.3">
      <c r="AY3147" t="str">
        <v>31/07/2012</v>
      </c>
      <c r="AZ3147">
        <v>43.6</v>
      </c>
      <c r="BA3147">
        <v>25.5</v>
      </c>
    </row>
    <row r="3148" spans="51:53" x14ac:dyDescent="0.3">
      <c r="AY3148" t="str">
        <v>30/07/2012</v>
      </c>
      <c r="AZ3148">
        <v>43.6</v>
      </c>
      <c r="BA3148">
        <v>25.5</v>
      </c>
    </row>
    <row r="3149" spans="51:53" x14ac:dyDescent="0.3">
      <c r="AY3149" t="str">
        <v>27/07/2012</v>
      </c>
      <c r="AZ3149">
        <v>39.4</v>
      </c>
      <c r="BA3149">
        <v>27.7</v>
      </c>
    </row>
    <row r="3150" spans="51:53" x14ac:dyDescent="0.3">
      <c r="AY3150" t="str">
        <v>26/07/2012</v>
      </c>
      <c r="AZ3150">
        <v>39.4</v>
      </c>
      <c r="BA3150">
        <v>27.7</v>
      </c>
    </row>
    <row r="3151" spans="51:53" x14ac:dyDescent="0.3">
      <c r="AY3151" t="str">
        <v>25/07/2012</v>
      </c>
      <c r="AZ3151">
        <v>39.4</v>
      </c>
      <c r="BA3151">
        <v>27.7</v>
      </c>
    </row>
    <row r="3152" spans="51:53" x14ac:dyDescent="0.3">
      <c r="AY3152" t="str">
        <v>24/07/2012</v>
      </c>
      <c r="AZ3152">
        <v>39.4</v>
      </c>
      <c r="BA3152">
        <v>27.7</v>
      </c>
    </row>
    <row r="3153" spans="51:53" x14ac:dyDescent="0.3">
      <c r="AY3153" t="str">
        <v>23/07/2012</v>
      </c>
      <c r="AZ3153">
        <v>39.4</v>
      </c>
      <c r="BA3153">
        <v>27.7</v>
      </c>
    </row>
    <row r="3154" spans="51:53" x14ac:dyDescent="0.3">
      <c r="AY3154" t="str">
        <v>20/07/2012</v>
      </c>
      <c r="AZ3154">
        <v>40.4</v>
      </c>
      <c r="BA3154">
        <v>26.6</v>
      </c>
    </row>
    <row r="3155" spans="51:53" x14ac:dyDescent="0.3">
      <c r="AY3155" t="str">
        <v>19/07/2012</v>
      </c>
      <c r="AZ3155">
        <v>40.4</v>
      </c>
      <c r="BA3155">
        <v>26.6</v>
      </c>
    </row>
    <row r="3156" spans="51:53" x14ac:dyDescent="0.3">
      <c r="AY3156" t="str">
        <v>18/07/2012</v>
      </c>
      <c r="AZ3156">
        <v>40.4</v>
      </c>
      <c r="BA3156">
        <v>26.6</v>
      </c>
    </row>
    <row r="3157" spans="51:53" x14ac:dyDescent="0.3">
      <c r="AY3157" t="str">
        <v>17/07/2012</v>
      </c>
      <c r="AZ3157">
        <v>40.4</v>
      </c>
      <c r="BA3157">
        <v>26.6</v>
      </c>
    </row>
    <row r="3158" spans="51:53" x14ac:dyDescent="0.3">
      <c r="AY3158" t="str">
        <v>16/07/2012</v>
      </c>
      <c r="AZ3158">
        <v>40.4</v>
      </c>
      <c r="BA3158">
        <v>26.6</v>
      </c>
    </row>
    <row r="3159" spans="51:53" x14ac:dyDescent="0.3">
      <c r="AY3159" t="str">
        <v>13/07/2012</v>
      </c>
      <c r="AZ3159">
        <v>43.6</v>
      </c>
      <c r="BA3159">
        <v>24.5</v>
      </c>
    </row>
    <row r="3160" spans="51:53" x14ac:dyDescent="0.3">
      <c r="AY3160" t="str">
        <v>12/07/2012</v>
      </c>
      <c r="AZ3160">
        <v>43.6</v>
      </c>
      <c r="BA3160">
        <v>24.5</v>
      </c>
    </row>
    <row r="3161" spans="51:53" x14ac:dyDescent="0.3">
      <c r="AY3161" t="str">
        <v>11/07/2012</v>
      </c>
      <c r="AZ3161">
        <v>43.6</v>
      </c>
      <c r="BA3161">
        <v>24.5</v>
      </c>
    </row>
    <row r="3162" spans="51:53" x14ac:dyDescent="0.3">
      <c r="AY3162" t="str">
        <v>10/07/2012</v>
      </c>
      <c r="AZ3162">
        <v>43.6</v>
      </c>
      <c r="BA3162">
        <v>24.5</v>
      </c>
    </row>
    <row r="3163" spans="51:53" x14ac:dyDescent="0.3">
      <c r="AY3163" t="str">
        <v>09/07/2012</v>
      </c>
      <c r="AZ3163">
        <v>43.6</v>
      </c>
      <c r="BA3163">
        <v>24.5</v>
      </c>
    </row>
    <row r="3164" spans="51:53" x14ac:dyDescent="0.3">
      <c r="AY3164" t="str">
        <v>06/07/2012</v>
      </c>
      <c r="AZ3164">
        <v>44.7</v>
      </c>
      <c r="BA3164">
        <v>24.5</v>
      </c>
    </row>
    <row r="3165" spans="51:53" x14ac:dyDescent="0.3">
      <c r="AY3165" t="str">
        <v>05/07/2012</v>
      </c>
      <c r="AZ3165">
        <v>44.7</v>
      </c>
      <c r="BA3165">
        <v>24.5</v>
      </c>
    </row>
    <row r="3166" spans="51:53" x14ac:dyDescent="0.3">
      <c r="AY3166" t="str">
        <v>04/07/2012</v>
      </c>
      <c r="AZ3166">
        <v>44.7</v>
      </c>
      <c r="BA3166">
        <v>24.5</v>
      </c>
    </row>
    <row r="3167" spans="51:53" x14ac:dyDescent="0.3">
      <c r="AY3167" t="str">
        <v>03/07/2012</v>
      </c>
      <c r="AZ3167">
        <v>44.7</v>
      </c>
      <c r="BA3167">
        <v>24.5</v>
      </c>
    </row>
    <row r="3168" spans="51:53" x14ac:dyDescent="0.3">
      <c r="AY3168" t="str">
        <v>02/07/2012</v>
      </c>
      <c r="AZ3168">
        <v>44.7</v>
      </c>
      <c r="BA3168">
        <v>24.5</v>
      </c>
    </row>
    <row r="3169" spans="51:53" x14ac:dyDescent="0.3">
      <c r="AY3169" t="str">
        <v>29/06/2012</v>
      </c>
      <c r="AZ3169">
        <v>42.5</v>
      </c>
      <c r="BA3169">
        <v>24.5</v>
      </c>
    </row>
    <row r="3170" spans="51:53" x14ac:dyDescent="0.3">
      <c r="AY3170" t="str">
        <v>28/06/2012</v>
      </c>
      <c r="AZ3170">
        <v>42.5</v>
      </c>
      <c r="BA3170">
        <v>24.5</v>
      </c>
    </row>
    <row r="3171" spans="51:53" x14ac:dyDescent="0.3">
      <c r="AY3171" t="str">
        <v>27/06/2012</v>
      </c>
      <c r="AZ3171">
        <v>42.5</v>
      </c>
      <c r="BA3171">
        <v>24.5</v>
      </c>
    </row>
    <row r="3172" spans="51:53" x14ac:dyDescent="0.3">
      <c r="AY3172" t="str">
        <v>26/06/2012</v>
      </c>
      <c r="AZ3172">
        <v>42.5</v>
      </c>
      <c r="BA3172">
        <v>24.5</v>
      </c>
    </row>
    <row r="3173" spans="51:53" x14ac:dyDescent="0.3">
      <c r="AY3173" t="str">
        <v>25/06/2012</v>
      </c>
      <c r="AZ3173">
        <v>42.5</v>
      </c>
      <c r="BA3173">
        <v>24.5</v>
      </c>
    </row>
    <row r="3174" spans="51:53" x14ac:dyDescent="0.3">
      <c r="AY3174" t="str">
        <v>22/06/2012</v>
      </c>
      <c r="AZ3174">
        <v>38.700000000000003</v>
      </c>
      <c r="BA3174">
        <v>24.7</v>
      </c>
    </row>
    <row r="3175" spans="51:53" x14ac:dyDescent="0.3">
      <c r="AY3175" t="str">
        <v>21/06/2012</v>
      </c>
      <c r="AZ3175">
        <v>38.700000000000003</v>
      </c>
      <c r="BA3175">
        <v>24.7</v>
      </c>
    </row>
    <row r="3176" spans="51:53" x14ac:dyDescent="0.3">
      <c r="AY3176" t="str">
        <v>20/06/2012</v>
      </c>
      <c r="AZ3176">
        <v>38.700000000000003</v>
      </c>
      <c r="BA3176">
        <v>24.7</v>
      </c>
    </row>
    <row r="3177" spans="51:53" x14ac:dyDescent="0.3">
      <c r="AY3177" t="str">
        <v>19/06/2012</v>
      </c>
      <c r="AZ3177">
        <v>38.700000000000003</v>
      </c>
      <c r="BA3177">
        <v>24.7</v>
      </c>
    </row>
    <row r="3178" spans="51:53" x14ac:dyDescent="0.3">
      <c r="AY3178" t="str">
        <v>18/06/2012</v>
      </c>
      <c r="AZ3178">
        <v>38.700000000000003</v>
      </c>
      <c r="BA3178">
        <v>24.7</v>
      </c>
    </row>
    <row r="3179" spans="51:53" x14ac:dyDescent="0.3">
      <c r="AY3179" t="str">
        <v>15/06/2012</v>
      </c>
      <c r="AZ3179">
        <v>37.200000000000003</v>
      </c>
      <c r="BA3179">
        <v>25.6</v>
      </c>
    </row>
    <row r="3180" spans="51:53" x14ac:dyDescent="0.3">
      <c r="AY3180" t="str">
        <v>14/06/2012</v>
      </c>
      <c r="AZ3180">
        <v>37.200000000000003</v>
      </c>
      <c r="BA3180">
        <v>25.6</v>
      </c>
    </row>
    <row r="3181" spans="51:53" x14ac:dyDescent="0.3">
      <c r="AY3181" t="str">
        <v>13/06/2012</v>
      </c>
      <c r="AZ3181">
        <v>37.200000000000003</v>
      </c>
      <c r="BA3181">
        <v>25.6</v>
      </c>
    </row>
    <row r="3182" spans="51:53" x14ac:dyDescent="0.3">
      <c r="AY3182" t="str">
        <v>12/06/2012</v>
      </c>
      <c r="AZ3182">
        <v>37.200000000000003</v>
      </c>
      <c r="BA3182">
        <v>25.6</v>
      </c>
    </row>
    <row r="3183" spans="51:53" x14ac:dyDescent="0.3">
      <c r="AY3183" t="str">
        <v>11/06/2012</v>
      </c>
      <c r="AZ3183">
        <v>37.200000000000003</v>
      </c>
      <c r="BA3183">
        <v>25.6</v>
      </c>
    </row>
    <row r="3184" spans="51:53" x14ac:dyDescent="0.3">
      <c r="AY3184" t="str">
        <v>08/06/2012</v>
      </c>
      <c r="AZ3184">
        <v>37.200000000000003</v>
      </c>
      <c r="BA3184">
        <v>26.6</v>
      </c>
    </row>
    <row r="3185" spans="51:53" x14ac:dyDescent="0.3">
      <c r="AY3185" t="str">
        <v>07/06/2012</v>
      </c>
      <c r="AZ3185">
        <v>37.200000000000003</v>
      </c>
      <c r="BA3185">
        <v>26.6</v>
      </c>
    </row>
    <row r="3186" spans="51:53" x14ac:dyDescent="0.3">
      <c r="AY3186" t="str">
        <v>06/06/2012</v>
      </c>
      <c r="AZ3186">
        <v>37.200000000000003</v>
      </c>
      <c r="BA3186">
        <v>26.6</v>
      </c>
    </row>
    <row r="3187" spans="51:53" x14ac:dyDescent="0.3">
      <c r="AY3187" t="str">
        <v>05/06/2012</v>
      </c>
      <c r="AZ3187">
        <v>37.200000000000003</v>
      </c>
      <c r="BA3187">
        <v>26.6</v>
      </c>
    </row>
    <row r="3188" spans="51:53" x14ac:dyDescent="0.3">
      <c r="AY3188" t="str">
        <v>04/06/2012</v>
      </c>
      <c r="AZ3188">
        <v>37.200000000000003</v>
      </c>
      <c r="BA3188">
        <v>26.6</v>
      </c>
    </row>
    <row r="3189" spans="51:53" x14ac:dyDescent="0.3">
      <c r="AY3189" t="str">
        <v>01/06/2012</v>
      </c>
      <c r="AZ3189">
        <v>34</v>
      </c>
      <c r="BA3189">
        <v>26.6</v>
      </c>
    </row>
    <row r="3190" spans="51:53" x14ac:dyDescent="0.3">
      <c r="AY3190" t="str">
        <v>31/05/2012</v>
      </c>
      <c r="AZ3190">
        <v>34</v>
      </c>
      <c r="BA3190">
        <v>26.6</v>
      </c>
    </row>
    <row r="3191" spans="51:53" x14ac:dyDescent="0.3">
      <c r="AY3191" t="str">
        <v>30/05/2012</v>
      </c>
      <c r="AZ3191">
        <v>34</v>
      </c>
      <c r="BA3191">
        <v>26.6</v>
      </c>
    </row>
    <row r="3192" spans="51:53" x14ac:dyDescent="0.3">
      <c r="AY3192" t="str">
        <v>29/05/2012</v>
      </c>
      <c r="AZ3192">
        <v>34</v>
      </c>
      <c r="BA3192">
        <v>26.6</v>
      </c>
    </row>
    <row r="3193" spans="51:53" x14ac:dyDescent="0.3">
      <c r="AY3193" t="str">
        <v>28/05/2012</v>
      </c>
      <c r="AZ3193">
        <v>34</v>
      </c>
      <c r="BA3193">
        <v>26.6</v>
      </c>
    </row>
    <row r="3194" spans="51:53" x14ac:dyDescent="0.3">
      <c r="AY3194" t="str">
        <v>25/05/2012</v>
      </c>
      <c r="AZ3194">
        <v>39.299999999999997</v>
      </c>
      <c r="BA3194">
        <v>24.5</v>
      </c>
    </row>
    <row r="3195" spans="51:53" x14ac:dyDescent="0.3">
      <c r="AY3195" t="str">
        <v>24/05/2012</v>
      </c>
      <c r="AZ3195">
        <v>39.299999999999997</v>
      </c>
      <c r="BA3195">
        <v>24.5</v>
      </c>
    </row>
    <row r="3196" spans="51:53" x14ac:dyDescent="0.3">
      <c r="AY3196" t="str">
        <v>23/05/2012</v>
      </c>
      <c r="AZ3196">
        <v>39.299999999999997</v>
      </c>
      <c r="BA3196">
        <v>24.5</v>
      </c>
    </row>
    <row r="3197" spans="51:53" x14ac:dyDescent="0.3">
      <c r="AY3197" t="str">
        <v>22/05/2012</v>
      </c>
      <c r="AZ3197">
        <v>39.299999999999997</v>
      </c>
      <c r="BA3197">
        <v>24.5</v>
      </c>
    </row>
    <row r="3198" spans="51:53" x14ac:dyDescent="0.3">
      <c r="AY3198" t="str">
        <v>21/05/2012</v>
      </c>
      <c r="AZ3198">
        <v>39.299999999999997</v>
      </c>
      <c r="BA3198">
        <v>24.5</v>
      </c>
    </row>
    <row r="3199" spans="51:53" x14ac:dyDescent="0.3">
      <c r="AY3199" t="str">
        <v>18/05/2012</v>
      </c>
      <c r="AZ3199">
        <v>38.299999999999997</v>
      </c>
      <c r="BA3199">
        <v>26.6</v>
      </c>
    </row>
    <row r="3200" spans="51:53" x14ac:dyDescent="0.3">
      <c r="AY3200" t="str">
        <v>17/05/2012</v>
      </c>
      <c r="AZ3200">
        <v>38.299999999999997</v>
      </c>
      <c r="BA3200">
        <v>26.6</v>
      </c>
    </row>
    <row r="3201" spans="51:53" x14ac:dyDescent="0.3">
      <c r="AY3201" t="str">
        <v>16/05/2012</v>
      </c>
      <c r="AZ3201">
        <v>38.299999999999997</v>
      </c>
      <c r="BA3201">
        <v>26.6</v>
      </c>
    </row>
    <row r="3202" spans="51:53" x14ac:dyDescent="0.3">
      <c r="AY3202" t="str">
        <v>15/05/2012</v>
      </c>
      <c r="AZ3202">
        <v>38.299999999999997</v>
      </c>
      <c r="BA3202">
        <v>26.6</v>
      </c>
    </row>
    <row r="3203" spans="51:53" x14ac:dyDescent="0.3">
      <c r="AY3203" t="str">
        <v>14/05/2012</v>
      </c>
      <c r="AZ3203">
        <v>38.299999999999997</v>
      </c>
      <c r="BA3203">
        <v>26.6</v>
      </c>
    </row>
    <row r="3204" spans="51:53" x14ac:dyDescent="0.3">
      <c r="AY3204" t="str">
        <v>11/05/2012</v>
      </c>
      <c r="AZ3204">
        <v>39.4</v>
      </c>
      <c r="BA3204">
        <v>22.3</v>
      </c>
    </row>
    <row r="3205" spans="51:53" x14ac:dyDescent="0.3">
      <c r="AY3205" t="str">
        <v>10/05/2012</v>
      </c>
      <c r="AZ3205">
        <v>39.4</v>
      </c>
      <c r="BA3205">
        <v>22.3</v>
      </c>
    </row>
    <row r="3206" spans="51:53" x14ac:dyDescent="0.3">
      <c r="AY3206" t="str">
        <v>09/05/2012</v>
      </c>
      <c r="AZ3206">
        <v>39.4</v>
      </c>
      <c r="BA3206">
        <v>22.3</v>
      </c>
    </row>
    <row r="3207" spans="51:53" x14ac:dyDescent="0.3">
      <c r="AY3207" t="str">
        <v>08/05/2012</v>
      </c>
      <c r="AZ3207">
        <v>39.4</v>
      </c>
      <c r="BA3207">
        <v>22.3</v>
      </c>
    </row>
    <row r="3208" spans="51:53" x14ac:dyDescent="0.3">
      <c r="AY3208" t="str">
        <v>07/05/2012</v>
      </c>
      <c r="AZ3208">
        <v>39.4</v>
      </c>
      <c r="BA3208">
        <v>22.3</v>
      </c>
    </row>
    <row r="3209" spans="51:53" x14ac:dyDescent="0.3">
      <c r="AY3209" t="str">
        <v>04/05/2012</v>
      </c>
      <c r="AZ3209">
        <v>38.700000000000003</v>
      </c>
      <c r="BA3209">
        <v>20.399999999999999</v>
      </c>
    </row>
    <row r="3210" spans="51:53" x14ac:dyDescent="0.3">
      <c r="AY3210" t="str">
        <v>03/05/2012</v>
      </c>
      <c r="AZ3210">
        <v>38.700000000000003</v>
      </c>
      <c r="BA3210">
        <v>20.399999999999999</v>
      </c>
    </row>
    <row r="3211" spans="51:53" x14ac:dyDescent="0.3">
      <c r="AY3211" t="str">
        <v>02/05/2012</v>
      </c>
      <c r="AZ3211">
        <v>38.700000000000003</v>
      </c>
      <c r="BA3211">
        <v>20.399999999999999</v>
      </c>
    </row>
    <row r="3212" spans="51:53" x14ac:dyDescent="0.3">
      <c r="AY3212" t="str">
        <v>01/05/2012</v>
      </c>
      <c r="AZ3212">
        <v>38.700000000000003</v>
      </c>
      <c r="BA3212">
        <v>20.399999999999999</v>
      </c>
    </row>
    <row r="3213" spans="51:53" x14ac:dyDescent="0.3">
      <c r="AY3213" t="str">
        <v>30/04/2012</v>
      </c>
      <c r="AZ3213">
        <v>38.700000000000003</v>
      </c>
      <c r="BA3213">
        <v>20.399999999999999</v>
      </c>
    </row>
    <row r="3214" spans="51:53" x14ac:dyDescent="0.3">
      <c r="AY3214" t="str">
        <v>27/04/2012</v>
      </c>
      <c r="AZ3214">
        <v>43</v>
      </c>
      <c r="BA3214">
        <v>20.399999999999999</v>
      </c>
    </row>
    <row r="3215" spans="51:53" x14ac:dyDescent="0.3">
      <c r="AY3215" t="str">
        <v>26/04/2012</v>
      </c>
      <c r="AZ3215">
        <v>43</v>
      </c>
      <c r="BA3215">
        <v>20.399999999999999</v>
      </c>
    </row>
    <row r="3216" spans="51:53" x14ac:dyDescent="0.3">
      <c r="AY3216" t="str">
        <v>25/04/2012</v>
      </c>
      <c r="AZ3216">
        <v>43</v>
      </c>
      <c r="BA3216">
        <v>20.399999999999999</v>
      </c>
    </row>
    <row r="3217" spans="51:53" x14ac:dyDescent="0.3">
      <c r="AY3217" t="str">
        <v>24/04/2012</v>
      </c>
      <c r="AZ3217">
        <v>43</v>
      </c>
      <c r="BA3217">
        <v>20.399999999999999</v>
      </c>
    </row>
    <row r="3218" spans="51:53" x14ac:dyDescent="0.3">
      <c r="AY3218" t="str">
        <v>23/04/2012</v>
      </c>
      <c r="AZ3218">
        <v>43</v>
      </c>
      <c r="BA3218">
        <v>20.399999999999999</v>
      </c>
    </row>
    <row r="3219" spans="51:53" x14ac:dyDescent="0.3">
      <c r="AY3219" t="str">
        <v>20/04/2012</v>
      </c>
      <c r="AZ3219">
        <v>41.9</v>
      </c>
      <c r="BA3219">
        <v>23.7</v>
      </c>
    </row>
    <row r="3220" spans="51:53" x14ac:dyDescent="0.3">
      <c r="AY3220" t="str">
        <v>19/04/2012</v>
      </c>
      <c r="AZ3220">
        <v>41.9</v>
      </c>
      <c r="BA3220">
        <v>23.7</v>
      </c>
    </row>
    <row r="3221" spans="51:53" x14ac:dyDescent="0.3">
      <c r="AY3221" t="str">
        <v>18/04/2012</v>
      </c>
      <c r="AZ3221">
        <v>41.9</v>
      </c>
      <c r="BA3221">
        <v>23.7</v>
      </c>
    </row>
    <row r="3222" spans="51:53" x14ac:dyDescent="0.3">
      <c r="AY3222" t="str">
        <v>17/04/2012</v>
      </c>
      <c r="AZ3222">
        <v>41.9</v>
      </c>
      <c r="BA3222">
        <v>23.7</v>
      </c>
    </row>
    <row r="3223" spans="51:53" x14ac:dyDescent="0.3">
      <c r="AY3223" t="str">
        <v>16/04/2012</v>
      </c>
      <c r="AZ3223">
        <v>41.9</v>
      </c>
      <c r="BA3223">
        <v>23.7</v>
      </c>
    </row>
    <row r="3224" spans="51:53" x14ac:dyDescent="0.3">
      <c r="AY3224" t="str">
        <v>13/04/2012</v>
      </c>
      <c r="AZ3224">
        <v>44.1</v>
      </c>
      <c r="BA3224">
        <v>23.7</v>
      </c>
    </row>
    <row r="3225" spans="51:53" x14ac:dyDescent="0.3">
      <c r="AY3225" t="str">
        <v>12/04/2012</v>
      </c>
      <c r="AZ3225">
        <v>44.1</v>
      </c>
      <c r="BA3225">
        <v>23.7</v>
      </c>
    </row>
    <row r="3226" spans="51:53" x14ac:dyDescent="0.3">
      <c r="AY3226" t="str">
        <v>11/04/2012</v>
      </c>
      <c r="AZ3226">
        <v>44.1</v>
      </c>
      <c r="BA3226">
        <v>23.7</v>
      </c>
    </row>
    <row r="3227" spans="51:53" x14ac:dyDescent="0.3">
      <c r="AY3227" t="str">
        <v>10/04/2012</v>
      </c>
      <c r="AZ3227">
        <v>44.1</v>
      </c>
      <c r="BA3227">
        <v>23.7</v>
      </c>
    </row>
    <row r="3228" spans="51:53" x14ac:dyDescent="0.3">
      <c r="AY3228" t="str">
        <v>09/04/2012</v>
      </c>
      <c r="AZ3228">
        <v>44.1</v>
      </c>
      <c r="BA3228">
        <v>23.7</v>
      </c>
    </row>
    <row r="3229" spans="51:53" x14ac:dyDescent="0.3">
      <c r="AY3229" t="str">
        <v>06/04/2012</v>
      </c>
      <c r="AZ3229">
        <v>48.4</v>
      </c>
      <c r="BA3229">
        <v>21.5</v>
      </c>
    </row>
    <row r="3230" spans="51:53" x14ac:dyDescent="0.3">
      <c r="AY3230" t="str">
        <v>05/04/2012</v>
      </c>
      <c r="AZ3230">
        <v>48.4</v>
      </c>
      <c r="BA3230">
        <v>21.5</v>
      </c>
    </row>
    <row r="3231" spans="51:53" x14ac:dyDescent="0.3">
      <c r="AY3231" t="str">
        <v>04/04/2012</v>
      </c>
      <c r="AZ3231">
        <v>48.4</v>
      </c>
      <c r="BA3231">
        <v>21.5</v>
      </c>
    </row>
    <row r="3232" spans="51:53" x14ac:dyDescent="0.3">
      <c r="AY3232" t="str">
        <v>03/04/2012</v>
      </c>
      <c r="AZ3232">
        <v>48.4</v>
      </c>
      <c r="BA3232">
        <v>21.5</v>
      </c>
    </row>
    <row r="3233" spans="51:53" x14ac:dyDescent="0.3">
      <c r="AY3233" t="str">
        <v>02/04/2012</v>
      </c>
      <c r="AZ3233">
        <v>48.4</v>
      </c>
      <c r="BA3233">
        <v>21.5</v>
      </c>
    </row>
    <row r="3234" spans="51:53" x14ac:dyDescent="0.3">
      <c r="AY3234" t="str">
        <v>30/03/2012</v>
      </c>
      <c r="AZ3234">
        <v>52.7</v>
      </c>
      <c r="BA3234">
        <v>21.5</v>
      </c>
    </row>
    <row r="3235" spans="51:53" x14ac:dyDescent="0.3">
      <c r="AY3235" t="str">
        <v>29/03/2012</v>
      </c>
      <c r="AZ3235">
        <v>52.7</v>
      </c>
      <c r="BA3235">
        <v>21.5</v>
      </c>
    </row>
    <row r="3236" spans="51:53" x14ac:dyDescent="0.3">
      <c r="AY3236" t="str">
        <v>28/03/2012</v>
      </c>
      <c r="AZ3236">
        <v>52.7</v>
      </c>
      <c r="BA3236">
        <v>21.5</v>
      </c>
    </row>
    <row r="3237" spans="51:53" x14ac:dyDescent="0.3">
      <c r="AY3237" t="str">
        <v>27/03/2012</v>
      </c>
      <c r="AZ3237">
        <v>52.7</v>
      </c>
      <c r="BA3237">
        <v>21.5</v>
      </c>
    </row>
    <row r="3238" spans="51:53" x14ac:dyDescent="0.3">
      <c r="AY3238" t="str">
        <v>26/03/2012</v>
      </c>
      <c r="AZ3238">
        <v>52.7</v>
      </c>
      <c r="BA3238">
        <v>21.5</v>
      </c>
    </row>
    <row r="3239" spans="51:53" x14ac:dyDescent="0.3">
      <c r="AY3239" t="str">
        <v>23/03/2012</v>
      </c>
      <c r="AZ3239">
        <v>50.5</v>
      </c>
      <c r="BA3239">
        <v>22.6</v>
      </c>
    </row>
    <row r="3240" spans="51:53" x14ac:dyDescent="0.3">
      <c r="AY3240" t="str">
        <v>22/03/2012</v>
      </c>
      <c r="AZ3240">
        <v>50.5</v>
      </c>
      <c r="BA3240">
        <v>22.6</v>
      </c>
    </row>
    <row r="3241" spans="51:53" x14ac:dyDescent="0.3">
      <c r="AY3241" t="str">
        <v>21/03/2012</v>
      </c>
      <c r="AZ3241">
        <v>50.5</v>
      </c>
      <c r="BA3241">
        <v>22.6</v>
      </c>
    </row>
    <row r="3242" spans="51:53" x14ac:dyDescent="0.3">
      <c r="AY3242" t="str">
        <v>20/03/2012</v>
      </c>
      <c r="AZ3242">
        <v>50.5</v>
      </c>
      <c r="BA3242">
        <v>22.6</v>
      </c>
    </row>
    <row r="3243" spans="51:53" x14ac:dyDescent="0.3">
      <c r="AY3243" t="str">
        <v>19/03/2012</v>
      </c>
      <c r="AZ3243">
        <v>50.5</v>
      </c>
      <c r="BA3243">
        <v>22.6</v>
      </c>
    </row>
    <row r="3244" spans="51:53" x14ac:dyDescent="0.3">
      <c r="AY3244" t="str">
        <v>16/03/2012</v>
      </c>
      <c r="AZ3244">
        <v>48.4</v>
      </c>
      <c r="BA3244">
        <v>23.6</v>
      </c>
    </row>
    <row r="3245" spans="51:53" x14ac:dyDescent="0.3">
      <c r="AY3245" t="str">
        <v>15/03/2012</v>
      </c>
      <c r="AZ3245">
        <v>48.4</v>
      </c>
      <c r="BA3245">
        <v>23.6</v>
      </c>
    </row>
    <row r="3246" spans="51:53" x14ac:dyDescent="0.3">
      <c r="AY3246" t="str">
        <v>14/03/2012</v>
      </c>
      <c r="AZ3246">
        <v>48.4</v>
      </c>
      <c r="BA3246">
        <v>23.6</v>
      </c>
    </row>
    <row r="3247" spans="51:53" x14ac:dyDescent="0.3">
      <c r="AY3247" t="str">
        <v>13/03/2012</v>
      </c>
      <c r="AZ3247">
        <v>48.4</v>
      </c>
      <c r="BA3247">
        <v>23.6</v>
      </c>
    </row>
    <row r="3248" spans="51:53" x14ac:dyDescent="0.3">
      <c r="AY3248" t="str">
        <v>12/03/2012</v>
      </c>
      <c r="AZ3248">
        <v>48.4</v>
      </c>
      <c r="BA3248">
        <v>23.6</v>
      </c>
    </row>
    <row r="3249" spans="51:53" x14ac:dyDescent="0.3">
      <c r="AY3249" t="str">
        <v>09/03/2012</v>
      </c>
      <c r="AZ3249">
        <v>43.6</v>
      </c>
      <c r="BA3249">
        <v>26.6</v>
      </c>
    </row>
    <row r="3250" spans="51:53" x14ac:dyDescent="0.3">
      <c r="AY3250" t="str">
        <v>08/03/2012</v>
      </c>
      <c r="AZ3250">
        <v>43.6</v>
      </c>
      <c r="BA3250">
        <v>26.6</v>
      </c>
    </row>
    <row r="3251" spans="51:53" x14ac:dyDescent="0.3">
      <c r="AY3251" t="str">
        <v>07/03/2012</v>
      </c>
      <c r="AZ3251">
        <v>43.6</v>
      </c>
      <c r="BA3251">
        <v>26.6</v>
      </c>
    </row>
    <row r="3252" spans="51:53" x14ac:dyDescent="0.3">
      <c r="AY3252" t="str">
        <v>06/03/2012</v>
      </c>
      <c r="AZ3252">
        <v>43.6</v>
      </c>
      <c r="BA3252">
        <v>26.6</v>
      </c>
    </row>
    <row r="3253" spans="51:53" x14ac:dyDescent="0.3">
      <c r="AY3253" t="str">
        <v>05/03/2012</v>
      </c>
      <c r="AZ3253">
        <v>43.6</v>
      </c>
      <c r="BA3253">
        <v>26.6</v>
      </c>
    </row>
    <row r="3254" spans="51:53" x14ac:dyDescent="0.3">
      <c r="AY3254" t="str">
        <v>02/03/2012</v>
      </c>
      <c r="AZ3254">
        <v>47.9</v>
      </c>
      <c r="BA3254">
        <v>26.6</v>
      </c>
    </row>
    <row r="3255" spans="51:53" x14ac:dyDescent="0.3">
      <c r="AY3255" t="str">
        <v>01/03/2012</v>
      </c>
      <c r="AZ3255">
        <v>47.9</v>
      </c>
      <c r="BA3255">
        <v>26.6</v>
      </c>
    </row>
    <row r="3256" spans="51:53" x14ac:dyDescent="0.3">
      <c r="AY3256" t="str">
        <v>29/02/2012</v>
      </c>
      <c r="AZ3256">
        <v>47.9</v>
      </c>
      <c r="BA3256">
        <v>26.6</v>
      </c>
    </row>
    <row r="3257" spans="51:53" x14ac:dyDescent="0.3">
      <c r="AY3257" t="str">
        <v>28/02/2012</v>
      </c>
      <c r="AZ3257">
        <v>47.9</v>
      </c>
      <c r="BA3257">
        <v>26.6</v>
      </c>
    </row>
    <row r="3258" spans="51:53" x14ac:dyDescent="0.3">
      <c r="AY3258" t="str">
        <v>27/02/2012</v>
      </c>
      <c r="AZ3258">
        <v>47.9</v>
      </c>
      <c r="BA3258">
        <v>26.6</v>
      </c>
    </row>
    <row r="3259" spans="51:53" x14ac:dyDescent="0.3">
      <c r="AY3259" t="str">
        <v>24/02/2012</v>
      </c>
      <c r="AZ3259">
        <v>51.1</v>
      </c>
      <c r="BA3259">
        <v>25.5</v>
      </c>
    </row>
    <row r="3260" spans="51:53" x14ac:dyDescent="0.3">
      <c r="AY3260" t="str">
        <v>23/02/2012</v>
      </c>
      <c r="AZ3260">
        <v>51.1</v>
      </c>
      <c r="BA3260">
        <v>25.5</v>
      </c>
    </row>
    <row r="3261" spans="51:53" x14ac:dyDescent="0.3">
      <c r="AY3261" t="str">
        <v>22/02/2012</v>
      </c>
      <c r="AZ3261">
        <v>51.1</v>
      </c>
      <c r="BA3261">
        <v>25.5</v>
      </c>
    </row>
    <row r="3262" spans="51:53" x14ac:dyDescent="0.3">
      <c r="AY3262" t="str">
        <v>21/02/2012</v>
      </c>
      <c r="AZ3262">
        <v>51.1</v>
      </c>
      <c r="BA3262">
        <v>25.5</v>
      </c>
    </row>
    <row r="3263" spans="51:53" x14ac:dyDescent="0.3">
      <c r="AY3263" t="str">
        <v>20/02/2012</v>
      </c>
      <c r="AZ3263">
        <v>51.1</v>
      </c>
      <c r="BA3263">
        <v>25.5</v>
      </c>
    </row>
    <row r="3264" spans="51:53" x14ac:dyDescent="0.3">
      <c r="AY3264" t="str">
        <v>17/02/2012</v>
      </c>
      <c r="AZ3264">
        <v>51.1</v>
      </c>
      <c r="BA3264">
        <v>26.6</v>
      </c>
    </row>
    <row r="3265" spans="51:53" x14ac:dyDescent="0.3">
      <c r="AY3265" t="str">
        <v>16/02/2012</v>
      </c>
      <c r="AZ3265">
        <v>51.1</v>
      </c>
      <c r="BA3265">
        <v>26.6</v>
      </c>
    </row>
    <row r="3266" spans="51:53" x14ac:dyDescent="0.3">
      <c r="AY3266" t="str">
        <v>15/02/2012</v>
      </c>
      <c r="AZ3266">
        <v>51.1</v>
      </c>
      <c r="BA3266">
        <v>26.6</v>
      </c>
    </row>
    <row r="3267" spans="51:53" x14ac:dyDescent="0.3">
      <c r="AY3267" t="str">
        <v>14/02/2012</v>
      </c>
      <c r="AZ3267">
        <v>51.1</v>
      </c>
      <c r="BA3267">
        <v>26.6</v>
      </c>
    </row>
    <row r="3268" spans="51:53" x14ac:dyDescent="0.3">
      <c r="AY3268" t="str">
        <v>13/02/2012</v>
      </c>
      <c r="AZ3268">
        <v>51.1</v>
      </c>
      <c r="BA3268">
        <v>26.6</v>
      </c>
    </row>
    <row r="3269" spans="51:53" x14ac:dyDescent="0.3">
      <c r="AY3269" t="str">
        <v>10/02/2012</v>
      </c>
      <c r="AZ3269">
        <v>54.8</v>
      </c>
      <c r="BA3269">
        <v>25.8</v>
      </c>
    </row>
    <row r="3270" spans="51:53" x14ac:dyDescent="0.3">
      <c r="AY3270" t="str">
        <v>09/02/2012</v>
      </c>
      <c r="AZ3270">
        <v>54.8</v>
      </c>
      <c r="BA3270">
        <v>25.8</v>
      </c>
    </row>
    <row r="3271" spans="51:53" x14ac:dyDescent="0.3">
      <c r="AY3271" t="str">
        <v>08/02/2012</v>
      </c>
      <c r="AZ3271">
        <v>54.8</v>
      </c>
      <c r="BA3271">
        <v>25.8</v>
      </c>
    </row>
    <row r="3272" spans="51:53" x14ac:dyDescent="0.3">
      <c r="AY3272" t="str">
        <v>07/02/2012</v>
      </c>
      <c r="AZ3272">
        <v>54.8</v>
      </c>
      <c r="BA3272">
        <v>25.8</v>
      </c>
    </row>
    <row r="3273" spans="51:53" x14ac:dyDescent="0.3">
      <c r="AY3273" t="str">
        <v>06/02/2012</v>
      </c>
      <c r="AZ3273">
        <v>54.8</v>
      </c>
      <c r="BA3273">
        <v>25.8</v>
      </c>
    </row>
    <row r="3274" spans="51:53" x14ac:dyDescent="0.3">
      <c r="AY3274" t="str">
        <v>03/02/2012</v>
      </c>
      <c r="AZ3274">
        <v>52.1</v>
      </c>
      <c r="BA3274">
        <v>28.7</v>
      </c>
    </row>
    <row r="3275" spans="51:53" x14ac:dyDescent="0.3">
      <c r="AY3275" t="str">
        <v>02/02/2012</v>
      </c>
      <c r="AZ3275">
        <v>52.1</v>
      </c>
      <c r="BA3275">
        <v>28.7</v>
      </c>
    </row>
    <row r="3276" spans="51:53" x14ac:dyDescent="0.3">
      <c r="AY3276" t="str">
        <v>01/02/2012</v>
      </c>
      <c r="AZ3276">
        <v>52.1</v>
      </c>
      <c r="BA3276">
        <v>28.7</v>
      </c>
    </row>
    <row r="3277" spans="51:53" x14ac:dyDescent="0.3">
      <c r="AY3277" t="str">
        <v>31/01/2012</v>
      </c>
      <c r="AZ3277">
        <v>52.1</v>
      </c>
      <c r="BA3277">
        <v>28.7</v>
      </c>
    </row>
    <row r="3278" spans="51:53" x14ac:dyDescent="0.3">
      <c r="AY3278" t="str">
        <v>30/01/2012</v>
      </c>
      <c r="AZ3278">
        <v>52.1</v>
      </c>
      <c r="BA3278">
        <v>28.7</v>
      </c>
    </row>
    <row r="3279" spans="51:53" x14ac:dyDescent="0.3">
      <c r="AY3279" t="str">
        <v>27/01/2012</v>
      </c>
      <c r="AZ3279">
        <v>48.9</v>
      </c>
      <c r="BA3279">
        <v>29.8</v>
      </c>
    </row>
    <row r="3280" spans="51:53" x14ac:dyDescent="0.3">
      <c r="AY3280" t="str">
        <v>26/01/2012</v>
      </c>
      <c r="AZ3280">
        <v>48.9</v>
      </c>
      <c r="BA3280">
        <v>29.8</v>
      </c>
    </row>
    <row r="3281" spans="51:53" x14ac:dyDescent="0.3">
      <c r="AY3281" t="str">
        <v>25/01/2012</v>
      </c>
      <c r="AZ3281">
        <v>48.9</v>
      </c>
      <c r="BA3281">
        <v>29.8</v>
      </c>
    </row>
    <row r="3282" spans="51:53" x14ac:dyDescent="0.3">
      <c r="AY3282" t="str">
        <v>24/01/2012</v>
      </c>
      <c r="AZ3282">
        <v>48.9</v>
      </c>
      <c r="BA3282">
        <v>29.8</v>
      </c>
    </row>
    <row r="3283" spans="51:53" x14ac:dyDescent="0.3">
      <c r="AY3283" t="str">
        <v>23/01/2012</v>
      </c>
      <c r="AZ3283">
        <v>48.9</v>
      </c>
      <c r="BA3283">
        <v>29.8</v>
      </c>
    </row>
    <row r="3284" spans="51:53" x14ac:dyDescent="0.3">
      <c r="AY3284" t="str">
        <v>20/01/2012</v>
      </c>
      <c r="AZ3284">
        <v>50</v>
      </c>
      <c r="BA3284">
        <v>28.7</v>
      </c>
    </row>
    <row r="3285" spans="51:53" x14ac:dyDescent="0.3">
      <c r="AY3285" t="str">
        <v>19/01/2012</v>
      </c>
      <c r="AZ3285">
        <v>50</v>
      </c>
      <c r="BA3285">
        <v>28.7</v>
      </c>
    </row>
    <row r="3286" spans="51:53" x14ac:dyDescent="0.3">
      <c r="AY3286" t="str">
        <v>18/01/2012</v>
      </c>
      <c r="AZ3286">
        <v>50</v>
      </c>
      <c r="BA3286">
        <v>28.7</v>
      </c>
    </row>
    <row r="3287" spans="51:53" x14ac:dyDescent="0.3">
      <c r="AY3287" t="str">
        <v>17/01/2012</v>
      </c>
      <c r="AZ3287">
        <v>50</v>
      </c>
      <c r="BA3287">
        <v>28.7</v>
      </c>
    </row>
    <row r="3288" spans="51:53" x14ac:dyDescent="0.3">
      <c r="AY3288" t="str">
        <v>16/01/2012</v>
      </c>
      <c r="AZ3288">
        <v>50</v>
      </c>
      <c r="BA3288">
        <v>28.7</v>
      </c>
    </row>
    <row r="3289" spans="51:53" x14ac:dyDescent="0.3">
      <c r="AY3289" t="str">
        <v>13/01/2012</v>
      </c>
      <c r="AZ3289">
        <v>60</v>
      </c>
      <c r="BA3289">
        <v>29.8</v>
      </c>
    </row>
    <row r="3290" spans="51:53" x14ac:dyDescent="0.3">
      <c r="AY3290" t="str">
        <v>12/01/2012</v>
      </c>
      <c r="AZ3290">
        <v>60</v>
      </c>
      <c r="BA3290">
        <v>29.8</v>
      </c>
    </row>
    <row r="3291" spans="51:53" x14ac:dyDescent="0.3">
      <c r="AY3291" t="str">
        <v>11/01/2012</v>
      </c>
      <c r="AZ3291">
        <v>60</v>
      </c>
      <c r="BA3291">
        <v>29.8</v>
      </c>
    </row>
    <row r="3292" spans="51:53" x14ac:dyDescent="0.3">
      <c r="AY3292" t="str">
        <v>10/01/2012</v>
      </c>
      <c r="AZ3292">
        <v>60</v>
      </c>
      <c r="BA3292">
        <v>29.8</v>
      </c>
    </row>
    <row r="3293" spans="51:53" x14ac:dyDescent="0.3">
      <c r="AY3293" t="str">
        <v>09/01/2012</v>
      </c>
      <c r="AZ3293">
        <v>60</v>
      </c>
      <c r="BA3293">
        <v>29.8</v>
      </c>
    </row>
    <row r="3294" spans="51:53" x14ac:dyDescent="0.3">
      <c r="AY3294" t="str">
        <v>06/01/2012</v>
      </c>
      <c r="AZ3294">
        <v>51.1</v>
      </c>
      <c r="BA3294">
        <v>29.8</v>
      </c>
    </row>
    <row r="3295" spans="51:53" x14ac:dyDescent="0.3">
      <c r="AY3295" t="str">
        <v>05/01/2012</v>
      </c>
      <c r="AZ3295">
        <v>51.1</v>
      </c>
      <c r="BA3295">
        <v>29.8</v>
      </c>
    </row>
    <row r="3296" spans="51:53" x14ac:dyDescent="0.3">
      <c r="AY3296" t="str">
        <v>04/01/2012</v>
      </c>
      <c r="AZ3296">
        <v>51.1</v>
      </c>
      <c r="BA3296">
        <v>29.8</v>
      </c>
    </row>
    <row r="3297" spans="51:53" x14ac:dyDescent="0.3">
      <c r="AY3297" t="str">
        <v>03/01/2012</v>
      </c>
      <c r="AZ3297">
        <v>51.1</v>
      </c>
      <c r="BA3297">
        <v>29.8</v>
      </c>
    </row>
    <row r="3298" spans="51:53" x14ac:dyDescent="0.3">
      <c r="AY3298" t="str">
        <v>02/01/2012</v>
      </c>
      <c r="AZ3298">
        <v>51.1</v>
      </c>
      <c r="BA3298">
        <v>29.8</v>
      </c>
    </row>
    <row r="3299" spans="51:53" x14ac:dyDescent="0.3">
      <c r="AY3299" t="str">
        <v>30/12/2011</v>
      </c>
      <c r="AZ3299">
        <v>49.5</v>
      </c>
      <c r="BA3299">
        <v>30.5</v>
      </c>
    </row>
    <row r="3300" spans="51:53" x14ac:dyDescent="0.3">
      <c r="AY3300" t="str">
        <v>29/12/2011</v>
      </c>
      <c r="AZ3300">
        <v>49.5</v>
      </c>
      <c r="BA3300">
        <v>30.5</v>
      </c>
    </row>
    <row r="3301" spans="51:53" x14ac:dyDescent="0.3">
      <c r="AY3301" t="str">
        <v>28/12/2011</v>
      </c>
      <c r="AZ3301">
        <v>49.5</v>
      </c>
      <c r="BA3301">
        <v>30.5</v>
      </c>
    </row>
    <row r="3302" spans="51:53" x14ac:dyDescent="0.3">
      <c r="AY3302" t="str">
        <v>27/12/2011</v>
      </c>
      <c r="AZ3302">
        <v>49.5</v>
      </c>
      <c r="BA3302">
        <v>30.5</v>
      </c>
    </row>
    <row r="3303" spans="51:53" x14ac:dyDescent="0.3">
      <c r="AY3303" t="str">
        <v>26/12/2011</v>
      </c>
      <c r="AZ3303">
        <v>49.5</v>
      </c>
      <c r="BA3303">
        <v>30.5</v>
      </c>
    </row>
    <row r="3304" spans="51:53" x14ac:dyDescent="0.3">
      <c r="AY3304" t="str">
        <v>23/12/2011</v>
      </c>
      <c r="AZ3304">
        <v>50.5</v>
      </c>
      <c r="BA3304">
        <v>29.5</v>
      </c>
    </row>
    <row r="3305" spans="51:53" x14ac:dyDescent="0.3">
      <c r="AY3305" t="str">
        <v>22/12/2011</v>
      </c>
      <c r="AZ3305">
        <v>50.5</v>
      </c>
      <c r="BA3305">
        <v>29.5</v>
      </c>
    </row>
    <row r="3306" spans="51:53" x14ac:dyDescent="0.3">
      <c r="AY3306" t="str">
        <v>21/12/2011</v>
      </c>
      <c r="AZ3306">
        <v>50.5</v>
      </c>
      <c r="BA3306">
        <v>29.5</v>
      </c>
    </row>
    <row r="3307" spans="51:53" x14ac:dyDescent="0.3">
      <c r="AY3307" t="str">
        <v>20/12/2011</v>
      </c>
      <c r="AZ3307">
        <v>50.5</v>
      </c>
      <c r="BA3307">
        <v>29.5</v>
      </c>
    </row>
    <row r="3308" spans="51:53" x14ac:dyDescent="0.3">
      <c r="AY3308" t="str">
        <v>19/12/2011</v>
      </c>
      <c r="AZ3308">
        <v>50.5</v>
      </c>
      <c r="BA3308">
        <v>29.5</v>
      </c>
    </row>
    <row r="3309" spans="51:53" x14ac:dyDescent="0.3">
      <c r="AY3309" t="str">
        <v>16/12/2011</v>
      </c>
      <c r="AZ3309">
        <v>48.4</v>
      </c>
      <c r="BA3309">
        <v>30.5</v>
      </c>
    </row>
    <row r="3310" spans="51:53" x14ac:dyDescent="0.3">
      <c r="AY3310" t="str">
        <v>15/12/2011</v>
      </c>
      <c r="AZ3310">
        <v>48.4</v>
      </c>
      <c r="BA3310">
        <v>30.5</v>
      </c>
    </row>
    <row r="3311" spans="51:53" x14ac:dyDescent="0.3">
      <c r="AY3311" t="str">
        <v>14/12/2011</v>
      </c>
      <c r="AZ3311">
        <v>48.4</v>
      </c>
      <c r="BA3311">
        <v>30.5</v>
      </c>
    </row>
    <row r="3312" spans="51:53" x14ac:dyDescent="0.3">
      <c r="AY3312" t="str">
        <v>13/12/2011</v>
      </c>
      <c r="AZ3312">
        <v>48.4</v>
      </c>
      <c r="BA3312">
        <v>30.5</v>
      </c>
    </row>
    <row r="3313" spans="51:53" x14ac:dyDescent="0.3">
      <c r="AY3313" t="str">
        <v>12/12/2011</v>
      </c>
      <c r="AZ3313">
        <v>48.4</v>
      </c>
      <c r="BA3313">
        <v>30.5</v>
      </c>
    </row>
    <row r="3314" spans="51:53" x14ac:dyDescent="0.3">
      <c r="AY3314" t="str">
        <v>09/12/2011</v>
      </c>
      <c r="AZ3314">
        <v>45.3</v>
      </c>
      <c r="BA3314">
        <v>30.5</v>
      </c>
    </row>
    <row r="3315" spans="51:53" x14ac:dyDescent="0.3">
      <c r="AY3315" t="str">
        <v>08/12/2011</v>
      </c>
      <c r="AZ3315">
        <v>45.3</v>
      </c>
      <c r="BA3315">
        <v>30.5</v>
      </c>
    </row>
    <row r="3316" spans="51:53" x14ac:dyDescent="0.3">
      <c r="AY3316" t="str">
        <v>07/12/2011</v>
      </c>
      <c r="AZ3316">
        <v>45.3</v>
      </c>
      <c r="BA3316">
        <v>30.5</v>
      </c>
    </row>
    <row r="3317" spans="51:53" x14ac:dyDescent="0.3">
      <c r="AY3317" t="str">
        <v>06/12/2011</v>
      </c>
      <c r="AZ3317">
        <v>45.3</v>
      </c>
      <c r="BA3317">
        <v>30.5</v>
      </c>
    </row>
    <row r="3318" spans="51:53" x14ac:dyDescent="0.3">
      <c r="AY3318" t="str">
        <v>05/12/2011</v>
      </c>
      <c r="AZ3318">
        <v>45.3</v>
      </c>
      <c r="BA3318">
        <v>30.5</v>
      </c>
    </row>
    <row r="3319" spans="51:53" x14ac:dyDescent="0.3">
      <c r="AY3319" t="str">
        <v>02/12/2011</v>
      </c>
      <c r="AZ3319">
        <v>47.4</v>
      </c>
      <c r="BA3319">
        <v>29.5</v>
      </c>
    </row>
    <row r="3320" spans="51:53" x14ac:dyDescent="0.3">
      <c r="AY3320" t="str">
        <v>01/12/2011</v>
      </c>
      <c r="AZ3320">
        <v>47.4</v>
      </c>
      <c r="BA3320">
        <v>29.5</v>
      </c>
    </row>
    <row r="3321" spans="51:53" x14ac:dyDescent="0.3">
      <c r="AY3321" t="str">
        <v>30/11/2011</v>
      </c>
      <c r="AZ3321">
        <v>47.4</v>
      </c>
      <c r="BA3321">
        <v>29.5</v>
      </c>
    </row>
    <row r="3322" spans="51:53" x14ac:dyDescent="0.3">
      <c r="AY3322" t="str">
        <v>29/11/2011</v>
      </c>
      <c r="AZ3322">
        <v>47.4</v>
      </c>
      <c r="BA3322">
        <v>29.5</v>
      </c>
    </row>
    <row r="3323" spans="51:53" x14ac:dyDescent="0.3">
      <c r="AY3323" t="str">
        <v>28/11/2011</v>
      </c>
      <c r="AZ3323">
        <v>47.4</v>
      </c>
      <c r="BA3323">
        <v>29.5</v>
      </c>
    </row>
    <row r="3324" spans="51:53" x14ac:dyDescent="0.3">
      <c r="AY3324" t="str">
        <v>25/11/2011</v>
      </c>
      <c r="AZ3324">
        <v>44.2</v>
      </c>
      <c r="BA3324">
        <v>30.5</v>
      </c>
    </row>
    <row r="3325" spans="51:53" x14ac:dyDescent="0.3">
      <c r="AY3325" t="str">
        <v>24/11/2011</v>
      </c>
      <c r="AZ3325">
        <v>44.2</v>
      </c>
      <c r="BA3325">
        <v>30.5</v>
      </c>
    </row>
    <row r="3326" spans="51:53" x14ac:dyDescent="0.3">
      <c r="AY3326" t="str">
        <v>23/11/2011</v>
      </c>
      <c r="AZ3326">
        <v>44.2</v>
      </c>
      <c r="BA3326">
        <v>30.5</v>
      </c>
    </row>
    <row r="3327" spans="51:53" x14ac:dyDescent="0.3">
      <c r="AY3327" t="str">
        <v>22/11/2011</v>
      </c>
      <c r="AZ3327">
        <v>44.2</v>
      </c>
      <c r="BA3327">
        <v>30.5</v>
      </c>
    </row>
    <row r="3328" spans="51:53" x14ac:dyDescent="0.3">
      <c r="AY3328" t="str">
        <v>21/11/2011</v>
      </c>
      <c r="AZ3328">
        <v>44.2</v>
      </c>
      <c r="BA3328">
        <v>30.5</v>
      </c>
    </row>
    <row r="3329" spans="51:53" x14ac:dyDescent="0.3">
      <c r="AY3329" t="str">
        <v>18/11/2011</v>
      </c>
      <c r="AZ3329">
        <v>47.4</v>
      </c>
      <c r="BA3329">
        <v>32.6</v>
      </c>
    </row>
    <row r="3330" spans="51:53" x14ac:dyDescent="0.3">
      <c r="AY3330" t="str">
        <v>17/11/2011</v>
      </c>
      <c r="AZ3330">
        <v>47.4</v>
      </c>
      <c r="BA3330">
        <v>32.6</v>
      </c>
    </row>
    <row r="3331" spans="51:53" x14ac:dyDescent="0.3">
      <c r="AY3331" t="str">
        <v>16/11/2011</v>
      </c>
      <c r="AZ3331">
        <v>47.4</v>
      </c>
      <c r="BA3331">
        <v>32.6</v>
      </c>
    </row>
    <row r="3332" spans="51:53" x14ac:dyDescent="0.3">
      <c r="AY3332" t="str">
        <v>15/11/2011</v>
      </c>
      <c r="AZ3332">
        <v>47.4</v>
      </c>
      <c r="BA3332">
        <v>32.6</v>
      </c>
    </row>
    <row r="3333" spans="51:53" x14ac:dyDescent="0.3">
      <c r="AY3333" t="str">
        <v>14/11/2011</v>
      </c>
      <c r="AZ3333">
        <v>47.4</v>
      </c>
      <c r="BA3333">
        <v>32.6</v>
      </c>
    </row>
    <row r="3334" spans="51:53" x14ac:dyDescent="0.3">
      <c r="AY3334" t="str">
        <v>11/11/2011</v>
      </c>
      <c r="AZ3334">
        <v>47.4</v>
      </c>
      <c r="BA3334">
        <v>32.6</v>
      </c>
    </row>
    <row r="3335" spans="51:53" x14ac:dyDescent="0.3">
      <c r="AY3335" t="str">
        <v>10/11/2011</v>
      </c>
      <c r="AZ3335">
        <v>47.4</v>
      </c>
      <c r="BA3335">
        <v>32.6</v>
      </c>
    </row>
    <row r="3336" spans="51:53" x14ac:dyDescent="0.3">
      <c r="AY3336" t="str">
        <v>09/11/2011</v>
      </c>
      <c r="AZ3336">
        <v>47.4</v>
      </c>
      <c r="BA3336">
        <v>32.6</v>
      </c>
    </row>
    <row r="3337" spans="51:53" x14ac:dyDescent="0.3">
      <c r="AY3337" t="str">
        <v>08/11/2011</v>
      </c>
      <c r="AZ3337">
        <v>47.4</v>
      </c>
      <c r="BA3337">
        <v>32.6</v>
      </c>
    </row>
    <row r="3338" spans="51:53" x14ac:dyDescent="0.3">
      <c r="AY3338" t="str">
        <v>07/11/2011</v>
      </c>
      <c r="AZ3338">
        <v>47.4</v>
      </c>
      <c r="BA3338">
        <v>32.6</v>
      </c>
    </row>
    <row r="3339" spans="51:53" x14ac:dyDescent="0.3">
      <c r="AY3339" t="str">
        <v>04/11/2011</v>
      </c>
      <c r="AZ3339">
        <v>44.2</v>
      </c>
      <c r="BA3339">
        <v>34.700000000000003</v>
      </c>
    </row>
    <row r="3340" spans="51:53" x14ac:dyDescent="0.3">
      <c r="AY3340" t="str">
        <v>03/11/2011</v>
      </c>
      <c r="AZ3340">
        <v>44.2</v>
      </c>
      <c r="BA3340">
        <v>34.700000000000003</v>
      </c>
    </row>
    <row r="3341" spans="51:53" x14ac:dyDescent="0.3">
      <c r="AY3341" t="str">
        <v>02/11/2011</v>
      </c>
      <c r="AZ3341">
        <v>44.2</v>
      </c>
      <c r="BA3341">
        <v>34.700000000000003</v>
      </c>
    </row>
    <row r="3342" spans="51:53" x14ac:dyDescent="0.3">
      <c r="AY3342" t="str">
        <v>01/11/2011</v>
      </c>
      <c r="AZ3342">
        <v>44.2</v>
      </c>
      <c r="BA3342">
        <v>34.700000000000003</v>
      </c>
    </row>
    <row r="3343" spans="51:53" x14ac:dyDescent="0.3">
      <c r="AY3343" t="str">
        <v>31/10/2011</v>
      </c>
      <c r="AZ3343">
        <v>44.2</v>
      </c>
      <c r="BA3343">
        <v>34.700000000000003</v>
      </c>
    </row>
    <row r="3344" spans="51:53" x14ac:dyDescent="0.3">
      <c r="AY3344" t="str">
        <v>28/10/2011</v>
      </c>
      <c r="AZ3344">
        <v>43.2</v>
      </c>
      <c r="BA3344">
        <v>36.799999999999997</v>
      </c>
    </row>
    <row r="3345" spans="51:53" x14ac:dyDescent="0.3">
      <c r="AY3345" t="str">
        <v>27/10/2011</v>
      </c>
      <c r="AZ3345">
        <v>43.2</v>
      </c>
      <c r="BA3345">
        <v>36.799999999999997</v>
      </c>
    </row>
    <row r="3346" spans="51:53" x14ac:dyDescent="0.3">
      <c r="AY3346" t="str">
        <v>26/10/2011</v>
      </c>
      <c r="AZ3346">
        <v>43.2</v>
      </c>
      <c r="BA3346">
        <v>36.799999999999997</v>
      </c>
    </row>
    <row r="3347" spans="51:53" x14ac:dyDescent="0.3">
      <c r="AY3347" t="str">
        <v>25/10/2011</v>
      </c>
      <c r="AZ3347">
        <v>43.2</v>
      </c>
      <c r="BA3347">
        <v>36.799999999999997</v>
      </c>
    </row>
    <row r="3348" spans="51:53" x14ac:dyDescent="0.3">
      <c r="AY3348" t="str">
        <v>24/10/2011</v>
      </c>
      <c r="AZ3348">
        <v>43.2</v>
      </c>
      <c r="BA3348">
        <v>36.799999999999997</v>
      </c>
    </row>
    <row r="3349" spans="51:53" x14ac:dyDescent="0.3">
      <c r="AY3349" t="str">
        <v>21/10/2011</v>
      </c>
      <c r="AZ3349">
        <v>40</v>
      </c>
      <c r="BA3349">
        <v>37.9</v>
      </c>
    </row>
    <row r="3350" spans="51:53" x14ac:dyDescent="0.3">
      <c r="AY3350" t="str">
        <v>20/10/2011</v>
      </c>
      <c r="AZ3350">
        <v>40</v>
      </c>
      <c r="BA3350">
        <v>37.9</v>
      </c>
    </row>
    <row r="3351" spans="51:53" x14ac:dyDescent="0.3">
      <c r="AY3351" t="str">
        <v>19/10/2011</v>
      </c>
      <c r="AZ3351">
        <v>40</v>
      </c>
      <c r="BA3351">
        <v>37.9</v>
      </c>
    </row>
    <row r="3352" spans="51:53" x14ac:dyDescent="0.3">
      <c r="AY3352" t="str">
        <v>18/10/2011</v>
      </c>
      <c r="AZ3352">
        <v>40</v>
      </c>
      <c r="BA3352">
        <v>37.9</v>
      </c>
    </row>
    <row r="3353" spans="51:53" x14ac:dyDescent="0.3">
      <c r="AY3353" t="str">
        <v>17/10/2011</v>
      </c>
      <c r="AZ3353">
        <v>40</v>
      </c>
      <c r="BA3353">
        <v>37.9</v>
      </c>
    </row>
    <row r="3354" spans="51:53" x14ac:dyDescent="0.3">
      <c r="AY3354" t="str">
        <v>14/10/2011</v>
      </c>
      <c r="AZ3354">
        <v>35.799999999999997</v>
      </c>
      <c r="BA3354">
        <v>41</v>
      </c>
    </row>
    <row r="3355" spans="51:53" x14ac:dyDescent="0.3">
      <c r="AY3355" t="str">
        <v>13/10/2011</v>
      </c>
      <c r="AZ3355">
        <v>35.799999999999997</v>
      </c>
      <c r="BA3355">
        <v>41</v>
      </c>
    </row>
    <row r="3356" spans="51:53" x14ac:dyDescent="0.3">
      <c r="AY3356" t="str">
        <v>12/10/2011</v>
      </c>
      <c r="AZ3356">
        <v>35.799999999999997</v>
      </c>
      <c r="BA3356">
        <v>41</v>
      </c>
    </row>
    <row r="3357" spans="51:53" x14ac:dyDescent="0.3">
      <c r="AY3357" t="str">
        <v>11/10/2011</v>
      </c>
      <c r="AZ3357">
        <v>35.799999999999997</v>
      </c>
      <c r="BA3357">
        <v>41</v>
      </c>
    </row>
    <row r="3358" spans="51:53" x14ac:dyDescent="0.3">
      <c r="AY3358" t="str">
        <v>10/10/2011</v>
      </c>
      <c r="AZ3358">
        <v>35.799999999999997</v>
      </c>
      <c r="BA3358">
        <v>41</v>
      </c>
    </row>
    <row r="3359" spans="51:53" x14ac:dyDescent="0.3">
      <c r="AY3359" t="str">
        <v>07/10/2011</v>
      </c>
      <c r="AZ3359">
        <v>34.4</v>
      </c>
      <c r="BA3359">
        <v>46.3</v>
      </c>
    </row>
    <row r="3360" spans="51:53" x14ac:dyDescent="0.3">
      <c r="AY3360" t="str">
        <v>06/10/2011</v>
      </c>
      <c r="AZ3360">
        <v>34.4</v>
      </c>
      <c r="BA3360">
        <v>46.3</v>
      </c>
    </row>
    <row r="3361" spans="51:53" x14ac:dyDescent="0.3">
      <c r="AY3361" t="str">
        <v>05/10/2011</v>
      </c>
      <c r="AZ3361">
        <v>34.4</v>
      </c>
      <c r="BA3361">
        <v>46.3</v>
      </c>
    </row>
    <row r="3362" spans="51:53" x14ac:dyDescent="0.3">
      <c r="AY3362" t="str">
        <v>04/10/2011</v>
      </c>
      <c r="AZ3362">
        <v>34.4</v>
      </c>
      <c r="BA3362">
        <v>46.3</v>
      </c>
    </row>
    <row r="3363" spans="51:53" x14ac:dyDescent="0.3">
      <c r="AY3363" t="str">
        <v>03/10/2011</v>
      </c>
      <c r="AZ3363">
        <v>34.4</v>
      </c>
      <c r="BA3363">
        <v>46.3</v>
      </c>
    </row>
    <row r="3364" spans="51:53" x14ac:dyDescent="0.3">
      <c r="AY3364" t="str">
        <v>30/09/2011</v>
      </c>
      <c r="AZ3364">
        <v>34.4</v>
      </c>
      <c r="BA3364">
        <v>45.2</v>
      </c>
    </row>
    <row r="3365" spans="51:53" x14ac:dyDescent="0.3">
      <c r="AY3365" t="str">
        <v>29/09/2011</v>
      </c>
      <c r="AZ3365">
        <v>34.4</v>
      </c>
      <c r="BA3365">
        <v>45.2</v>
      </c>
    </row>
    <row r="3366" spans="51:53" x14ac:dyDescent="0.3">
      <c r="AY3366" t="str">
        <v>28/09/2011</v>
      </c>
      <c r="AZ3366">
        <v>34.4</v>
      </c>
      <c r="BA3366">
        <v>45.2</v>
      </c>
    </row>
    <row r="3367" spans="51:53" x14ac:dyDescent="0.3">
      <c r="AY3367" t="str">
        <v>27/09/2011</v>
      </c>
      <c r="AZ3367">
        <v>34.4</v>
      </c>
      <c r="BA3367">
        <v>45.2</v>
      </c>
    </row>
    <row r="3368" spans="51:53" x14ac:dyDescent="0.3">
      <c r="AY3368" t="str">
        <v>26/09/2011</v>
      </c>
      <c r="AZ3368">
        <v>34.4</v>
      </c>
      <c r="BA3368">
        <v>45.2</v>
      </c>
    </row>
    <row r="3369" spans="51:53" x14ac:dyDescent="0.3">
      <c r="AY3369" t="str">
        <v>23/09/2011</v>
      </c>
      <c r="AZ3369">
        <v>37.6</v>
      </c>
      <c r="BA3369">
        <v>40.9</v>
      </c>
    </row>
    <row r="3370" spans="51:53" x14ac:dyDescent="0.3">
      <c r="AY3370" t="str">
        <v>22/09/2011</v>
      </c>
      <c r="AZ3370">
        <v>37.6</v>
      </c>
      <c r="BA3370">
        <v>40.9</v>
      </c>
    </row>
    <row r="3371" spans="51:53" x14ac:dyDescent="0.3">
      <c r="AY3371" t="str">
        <v>21/09/2011</v>
      </c>
      <c r="AZ3371">
        <v>37.6</v>
      </c>
      <c r="BA3371">
        <v>40.9</v>
      </c>
    </row>
    <row r="3372" spans="51:53" x14ac:dyDescent="0.3">
      <c r="AY3372" t="str">
        <v>20/09/2011</v>
      </c>
      <c r="AZ3372">
        <v>37.6</v>
      </c>
      <c r="BA3372">
        <v>40.9</v>
      </c>
    </row>
    <row r="3373" spans="51:53" x14ac:dyDescent="0.3">
      <c r="AY3373" t="str">
        <v>19/09/2011</v>
      </c>
      <c r="AZ3373">
        <v>37.6</v>
      </c>
      <c r="BA3373">
        <v>40.9</v>
      </c>
    </row>
    <row r="3374" spans="51:53" x14ac:dyDescent="0.3">
      <c r="AY3374" t="str">
        <v>16/09/2011</v>
      </c>
      <c r="AZ3374">
        <v>37.6</v>
      </c>
      <c r="BA3374">
        <v>39.799999999999997</v>
      </c>
    </row>
    <row r="3375" spans="51:53" x14ac:dyDescent="0.3">
      <c r="AY3375" t="str">
        <v>15/09/2011</v>
      </c>
      <c r="AZ3375">
        <v>37.6</v>
      </c>
      <c r="BA3375">
        <v>39.799999999999997</v>
      </c>
    </row>
    <row r="3376" spans="51:53" x14ac:dyDescent="0.3">
      <c r="AY3376" t="str">
        <v>14/09/2011</v>
      </c>
      <c r="AZ3376">
        <v>37.6</v>
      </c>
      <c r="BA3376">
        <v>39.799999999999997</v>
      </c>
    </row>
    <row r="3377" spans="51:53" x14ac:dyDescent="0.3">
      <c r="AY3377" t="str">
        <v>13/09/2011</v>
      </c>
      <c r="AZ3377">
        <v>37.6</v>
      </c>
      <c r="BA3377">
        <v>39.799999999999997</v>
      </c>
    </row>
    <row r="3378" spans="51:53" x14ac:dyDescent="0.3">
      <c r="AY3378" t="str">
        <v>12/09/2011</v>
      </c>
      <c r="AZ3378">
        <v>37.6</v>
      </c>
      <c r="BA3378">
        <v>39.799999999999997</v>
      </c>
    </row>
    <row r="3379" spans="51:53" x14ac:dyDescent="0.3">
      <c r="AY3379" t="str">
        <v>09/09/2011</v>
      </c>
      <c r="AZ3379">
        <v>35.5</v>
      </c>
      <c r="BA3379">
        <v>40.9</v>
      </c>
    </row>
    <row r="3380" spans="51:53" x14ac:dyDescent="0.3">
      <c r="AY3380" t="str">
        <v>08/09/2011</v>
      </c>
      <c r="AZ3380">
        <v>35.5</v>
      </c>
      <c r="BA3380">
        <v>40.9</v>
      </c>
    </row>
    <row r="3381" spans="51:53" x14ac:dyDescent="0.3">
      <c r="AY3381" t="str">
        <v>07/09/2011</v>
      </c>
      <c r="AZ3381">
        <v>35.5</v>
      </c>
      <c r="BA3381">
        <v>40.9</v>
      </c>
    </row>
    <row r="3382" spans="51:53" x14ac:dyDescent="0.3">
      <c r="AY3382" t="str">
        <v>06/09/2011</v>
      </c>
      <c r="AZ3382">
        <v>35.5</v>
      </c>
      <c r="BA3382">
        <v>40.9</v>
      </c>
    </row>
    <row r="3383" spans="51:53" x14ac:dyDescent="0.3">
      <c r="AY3383" t="str">
        <v>05/09/2011</v>
      </c>
      <c r="AZ3383">
        <v>35.5</v>
      </c>
      <c r="BA3383">
        <v>40.9</v>
      </c>
    </row>
    <row r="3384" spans="51:53" x14ac:dyDescent="0.3">
      <c r="AY3384" t="str">
        <v>02/09/2011</v>
      </c>
      <c r="AZ3384">
        <v>38.700000000000003</v>
      </c>
      <c r="BA3384">
        <v>37.6</v>
      </c>
    </row>
    <row r="3385" spans="51:53" x14ac:dyDescent="0.3">
      <c r="AY3385" t="str">
        <v>01/09/2011</v>
      </c>
      <c r="AZ3385">
        <v>38.700000000000003</v>
      </c>
      <c r="BA3385">
        <v>37.6</v>
      </c>
    </row>
    <row r="3386" spans="51:53" x14ac:dyDescent="0.3">
      <c r="AY3386" t="str">
        <v>31/08/2011</v>
      </c>
      <c r="AZ3386">
        <v>38.700000000000003</v>
      </c>
      <c r="BA3386">
        <v>37.6</v>
      </c>
    </row>
    <row r="3387" spans="51:53" x14ac:dyDescent="0.3">
      <c r="AY3387" t="str">
        <v>30/08/2011</v>
      </c>
      <c r="AZ3387">
        <v>38.700000000000003</v>
      </c>
      <c r="BA3387">
        <v>37.6</v>
      </c>
    </row>
    <row r="3388" spans="51:53" x14ac:dyDescent="0.3">
      <c r="AY3388" t="str">
        <v>29/08/2011</v>
      </c>
      <c r="AZ3388">
        <v>38.700000000000003</v>
      </c>
      <c r="BA3388">
        <v>37.6</v>
      </c>
    </row>
    <row r="3389" spans="51:53" x14ac:dyDescent="0.3">
      <c r="AY3389" t="str">
        <v>26/08/2011</v>
      </c>
      <c r="AZ3389">
        <v>40.9</v>
      </c>
      <c r="BA3389">
        <v>36.6</v>
      </c>
    </row>
    <row r="3390" spans="51:53" x14ac:dyDescent="0.3">
      <c r="AY3390" t="str">
        <v>25/08/2011</v>
      </c>
      <c r="AZ3390">
        <v>40.9</v>
      </c>
      <c r="BA3390">
        <v>36.6</v>
      </c>
    </row>
    <row r="3391" spans="51:53" x14ac:dyDescent="0.3">
      <c r="AY3391" t="str">
        <v>24/08/2011</v>
      </c>
      <c r="AZ3391">
        <v>40.9</v>
      </c>
      <c r="BA3391">
        <v>36.6</v>
      </c>
    </row>
    <row r="3392" spans="51:53" x14ac:dyDescent="0.3">
      <c r="AY3392" t="str">
        <v>23/08/2011</v>
      </c>
      <c r="AZ3392">
        <v>40.9</v>
      </c>
      <c r="BA3392">
        <v>36.6</v>
      </c>
    </row>
    <row r="3393" spans="51:53" x14ac:dyDescent="0.3">
      <c r="AY3393" t="str">
        <v>22/08/2011</v>
      </c>
      <c r="AZ3393">
        <v>40.9</v>
      </c>
      <c r="BA3393">
        <v>36.6</v>
      </c>
    </row>
    <row r="3394" spans="51:53" x14ac:dyDescent="0.3">
      <c r="AY3394" t="str">
        <v>19/08/2011</v>
      </c>
      <c r="AZ3394">
        <v>40.9</v>
      </c>
      <c r="BA3394">
        <v>33.299999999999997</v>
      </c>
    </row>
    <row r="3395" spans="51:53" x14ac:dyDescent="0.3">
      <c r="AY3395" t="str">
        <v>18/08/2011</v>
      </c>
      <c r="AZ3395">
        <v>40.9</v>
      </c>
      <c r="BA3395">
        <v>33.299999999999997</v>
      </c>
    </row>
    <row r="3396" spans="51:53" x14ac:dyDescent="0.3">
      <c r="AY3396" t="str">
        <v>17/08/2011</v>
      </c>
      <c r="AZ3396">
        <v>40.9</v>
      </c>
      <c r="BA3396">
        <v>33.299999999999997</v>
      </c>
    </row>
    <row r="3397" spans="51:53" x14ac:dyDescent="0.3">
      <c r="AY3397" t="str">
        <v>16/08/2011</v>
      </c>
      <c r="AZ3397">
        <v>40.9</v>
      </c>
      <c r="BA3397">
        <v>33.299999999999997</v>
      </c>
    </row>
    <row r="3398" spans="51:53" x14ac:dyDescent="0.3">
      <c r="AY3398" t="str">
        <v>15/08/2011</v>
      </c>
      <c r="AZ3398">
        <v>40.9</v>
      </c>
      <c r="BA3398">
        <v>33.299999999999997</v>
      </c>
    </row>
    <row r="3399" spans="51:53" x14ac:dyDescent="0.3">
      <c r="AY3399" t="str">
        <v>12/08/2011</v>
      </c>
      <c r="AZ3399">
        <v>46.2</v>
      </c>
      <c r="BA3399">
        <v>23.7</v>
      </c>
    </row>
    <row r="3400" spans="51:53" x14ac:dyDescent="0.3">
      <c r="AY3400" t="str">
        <v>11/08/2011</v>
      </c>
      <c r="AZ3400">
        <v>46.2</v>
      </c>
      <c r="BA3400">
        <v>23.7</v>
      </c>
    </row>
    <row r="3401" spans="51:53" x14ac:dyDescent="0.3">
      <c r="AY3401" t="str">
        <v>10/08/2011</v>
      </c>
      <c r="AZ3401">
        <v>46.2</v>
      </c>
      <c r="BA3401">
        <v>23.7</v>
      </c>
    </row>
    <row r="3402" spans="51:53" x14ac:dyDescent="0.3">
      <c r="AY3402" t="str">
        <v>09/08/2011</v>
      </c>
      <c r="AZ3402">
        <v>46.2</v>
      </c>
      <c r="BA3402">
        <v>23.7</v>
      </c>
    </row>
    <row r="3403" spans="51:53" x14ac:dyDescent="0.3">
      <c r="AY3403" t="str">
        <v>08/08/2011</v>
      </c>
      <c r="AZ3403">
        <v>46.2</v>
      </c>
      <c r="BA3403">
        <v>23.7</v>
      </c>
    </row>
    <row r="3404" spans="51:53" x14ac:dyDescent="0.3">
      <c r="AY3404" t="str">
        <v>05/08/2011</v>
      </c>
      <c r="AZ3404">
        <v>47.3</v>
      </c>
      <c r="BA3404">
        <v>23.7</v>
      </c>
    </row>
    <row r="3405" spans="51:53" x14ac:dyDescent="0.3">
      <c r="AY3405" t="str">
        <v>04/08/2011</v>
      </c>
      <c r="AZ3405">
        <v>47.3</v>
      </c>
      <c r="BA3405">
        <v>23.7</v>
      </c>
    </row>
    <row r="3406" spans="51:53" x14ac:dyDescent="0.3">
      <c r="AY3406" t="str">
        <v>03/08/2011</v>
      </c>
      <c r="AZ3406">
        <v>47.3</v>
      </c>
      <c r="BA3406">
        <v>23.7</v>
      </c>
    </row>
    <row r="3407" spans="51:53" x14ac:dyDescent="0.3">
      <c r="AY3407" t="str">
        <v>02/08/2011</v>
      </c>
      <c r="AZ3407">
        <v>47.3</v>
      </c>
      <c r="BA3407">
        <v>23.7</v>
      </c>
    </row>
    <row r="3408" spans="51:53" x14ac:dyDescent="0.3">
      <c r="AY3408" t="str">
        <v>01/08/2011</v>
      </c>
      <c r="AZ3408">
        <v>47.3</v>
      </c>
      <c r="BA3408">
        <v>23.7</v>
      </c>
    </row>
    <row r="3409" spans="51:53" x14ac:dyDescent="0.3">
      <c r="AY3409" t="str">
        <v>29/07/2011</v>
      </c>
      <c r="AZ3409">
        <v>46.3</v>
      </c>
      <c r="BA3409">
        <v>24.7</v>
      </c>
    </row>
    <row r="3410" spans="51:53" x14ac:dyDescent="0.3">
      <c r="AY3410" t="str">
        <v>28/07/2011</v>
      </c>
      <c r="AZ3410">
        <v>46.3</v>
      </c>
      <c r="BA3410">
        <v>24.7</v>
      </c>
    </row>
    <row r="3411" spans="51:53" x14ac:dyDescent="0.3">
      <c r="AY3411" t="str">
        <v>27/07/2011</v>
      </c>
      <c r="AZ3411">
        <v>46.3</v>
      </c>
      <c r="BA3411">
        <v>24.7</v>
      </c>
    </row>
    <row r="3412" spans="51:53" x14ac:dyDescent="0.3">
      <c r="AY3412" t="str">
        <v>26/07/2011</v>
      </c>
      <c r="AZ3412">
        <v>46.3</v>
      </c>
      <c r="BA3412">
        <v>24.7</v>
      </c>
    </row>
    <row r="3413" spans="51:53" x14ac:dyDescent="0.3">
      <c r="AY3413" t="str">
        <v>25/07/2011</v>
      </c>
      <c r="AZ3413">
        <v>46.3</v>
      </c>
      <c r="BA3413">
        <v>24.7</v>
      </c>
    </row>
    <row r="3414" spans="51:53" x14ac:dyDescent="0.3">
      <c r="AY3414" t="str">
        <v>22/07/2011</v>
      </c>
      <c r="AZ3414">
        <v>49.5</v>
      </c>
      <c r="BA3414">
        <v>21.5</v>
      </c>
    </row>
    <row r="3415" spans="51:53" x14ac:dyDescent="0.3">
      <c r="AY3415" t="str">
        <v>21/07/2011</v>
      </c>
      <c r="AZ3415">
        <v>49.5</v>
      </c>
      <c r="BA3415">
        <v>21.5</v>
      </c>
    </row>
    <row r="3416" spans="51:53" x14ac:dyDescent="0.3">
      <c r="AY3416" t="str">
        <v>20/07/2011</v>
      </c>
      <c r="AZ3416">
        <v>49.5</v>
      </c>
      <c r="BA3416">
        <v>21.5</v>
      </c>
    </row>
    <row r="3417" spans="51:53" x14ac:dyDescent="0.3">
      <c r="AY3417" t="str">
        <v>19/07/2011</v>
      </c>
      <c r="AZ3417">
        <v>49.5</v>
      </c>
      <c r="BA3417">
        <v>21.5</v>
      </c>
    </row>
    <row r="3418" spans="51:53" x14ac:dyDescent="0.3">
      <c r="AY3418" t="str">
        <v>18/07/2011</v>
      </c>
      <c r="AZ3418">
        <v>49.5</v>
      </c>
      <c r="BA3418">
        <v>21.5</v>
      </c>
    </row>
    <row r="3419" spans="51:53" x14ac:dyDescent="0.3">
      <c r="AY3419" t="str">
        <v>15/07/2011</v>
      </c>
      <c r="AZ3419">
        <v>46.2</v>
      </c>
      <c r="BA3419">
        <v>21.5</v>
      </c>
    </row>
    <row r="3420" spans="51:53" x14ac:dyDescent="0.3">
      <c r="AY3420" t="str">
        <v>14/07/2011</v>
      </c>
      <c r="AZ3420">
        <v>46.2</v>
      </c>
      <c r="BA3420">
        <v>21.5</v>
      </c>
    </row>
    <row r="3421" spans="51:53" x14ac:dyDescent="0.3">
      <c r="AY3421" t="str">
        <v>13/07/2011</v>
      </c>
      <c r="AZ3421">
        <v>46.2</v>
      </c>
      <c r="BA3421">
        <v>21.5</v>
      </c>
    </row>
    <row r="3422" spans="51:53" x14ac:dyDescent="0.3">
      <c r="AY3422" t="str">
        <v>12/07/2011</v>
      </c>
      <c r="AZ3422">
        <v>46.2</v>
      </c>
      <c r="BA3422">
        <v>21.5</v>
      </c>
    </row>
    <row r="3423" spans="51:53" x14ac:dyDescent="0.3">
      <c r="AY3423" t="str">
        <v>11/07/2011</v>
      </c>
      <c r="AZ3423">
        <v>46.2</v>
      </c>
      <c r="BA3423">
        <v>21.5</v>
      </c>
    </row>
    <row r="3424" spans="51:53" x14ac:dyDescent="0.3">
      <c r="AY3424" t="str">
        <v>08/07/2011</v>
      </c>
      <c r="AZ3424">
        <v>44.1</v>
      </c>
      <c r="BA3424">
        <v>22.6</v>
      </c>
    </row>
    <row r="3425" spans="51:53" x14ac:dyDescent="0.3">
      <c r="AY3425" t="str">
        <v>07/07/2011</v>
      </c>
      <c r="AZ3425">
        <v>44.1</v>
      </c>
      <c r="BA3425">
        <v>22.6</v>
      </c>
    </row>
    <row r="3426" spans="51:53" x14ac:dyDescent="0.3">
      <c r="AY3426" t="str">
        <v>06/07/2011</v>
      </c>
      <c r="AZ3426">
        <v>44.1</v>
      </c>
      <c r="BA3426">
        <v>22.6</v>
      </c>
    </row>
    <row r="3427" spans="51:53" x14ac:dyDescent="0.3">
      <c r="AY3427" t="str">
        <v>05/07/2011</v>
      </c>
      <c r="AZ3427">
        <v>44.1</v>
      </c>
      <c r="BA3427">
        <v>22.6</v>
      </c>
    </row>
    <row r="3428" spans="51:53" x14ac:dyDescent="0.3">
      <c r="AY3428" t="str">
        <v>04/07/2011</v>
      </c>
      <c r="AZ3428">
        <v>44.1</v>
      </c>
      <c r="BA3428">
        <v>22.6</v>
      </c>
    </row>
    <row r="3429" spans="51:53" x14ac:dyDescent="0.3">
      <c r="AY3429" t="str">
        <v>01/07/2011</v>
      </c>
      <c r="AZ3429">
        <v>40.9</v>
      </c>
      <c r="BA3429">
        <v>24.7</v>
      </c>
    </row>
    <row r="3430" spans="51:53" x14ac:dyDescent="0.3">
      <c r="AY3430" t="str">
        <v>30/06/2011</v>
      </c>
      <c r="AZ3430">
        <v>40.9</v>
      </c>
      <c r="BA3430">
        <v>24.7</v>
      </c>
    </row>
    <row r="3431" spans="51:53" x14ac:dyDescent="0.3">
      <c r="AY3431" t="str">
        <v>29/06/2011</v>
      </c>
      <c r="AZ3431">
        <v>40.9</v>
      </c>
      <c r="BA3431">
        <v>24.7</v>
      </c>
    </row>
    <row r="3432" spans="51:53" x14ac:dyDescent="0.3">
      <c r="AY3432" t="str">
        <v>28/06/2011</v>
      </c>
      <c r="AZ3432">
        <v>40.9</v>
      </c>
      <c r="BA3432">
        <v>24.7</v>
      </c>
    </row>
    <row r="3433" spans="51:53" x14ac:dyDescent="0.3">
      <c r="AY3433" t="str">
        <v>27/06/2011</v>
      </c>
      <c r="AZ3433">
        <v>40.9</v>
      </c>
      <c r="BA3433">
        <v>24.7</v>
      </c>
    </row>
    <row r="3434" spans="51:53" x14ac:dyDescent="0.3">
      <c r="AY3434" t="str">
        <v>24/06/2011</v>
      </c>
      <c r="AZ3434">
        <v>39.799999999999997</v>
      </c>
      <c r="BA3434">
        <v>26.9</v>
      </c>
    </row>
    <row r="3435" spans="51:53" x14ac:dyDescent="0.3">
      <c r="AY3435" t="str">
        <v>23/06/2011</v>
      </c>
      <c r="AZ3435">
        <v>39.799999999999997</v>
      </c>
      <c r="BA3435">
        <v>26.9</v>
      </c>
    </row>
    <row r="3436" spans="51:53" x14ac:dyDescent="0.3">
      <c r="AY3436" t="str">
        <v>22/06/2011</v>
      </c>
      <c r="AZ3436">
        <v>39.799999999999997</v>
      </c>
      <c r="BA3436">
        <v>26.9</v>
      </c>
    </row>
    <row r="3437" spans="51:53" x14ac:dyDescent="0.3">
      <c r="AY3437" t="str">
        <v>21/06/2011</v>
      </c>
      <c r="AZ3437">
        <v>39.799999999999997</v>
      </c>
      <c r="BA3437">
        <v>26.9</v>
      </c>
    </row>
    <row r="3438" spans="51:53" x14ac:dyDescent="0.3">
      <c r="AY3438" t="str">
        <v>20/06/2011</v>
      </c>
      <c r="AZ3438">
        <v>39.799999999999997</v>
      </c>
      <c r="BA3438">
        <v>26.9</v>
      </c>
    </row>
    <row r="3439" spans="51:53" x14ac:dyDescent="0.3">
      <c r="AY3439" t="str">
        <v>17/06/2011</v>
      </c>
      <c r="AZ3439">
        <v>37.6</v>
      </c>
      <c r="BA3439">
        <v>28</v>
      </c>
    </row>
    <row r="3440" spans="51:53" x14ac:dyDescent="0.3">
      <c r="AY3440" t="str">
        <v>16/06/2011</v>
      </c>
      <c r="AZ3440">
        <v>37.6</v>
      </c>
      <c r="BA3440">
        <v>28</v>
      </c>
    </row>
    <row r="3441" spans="51:53" x14ac:dyDescent="0.3">
      <c r="AY3441" t="str">
        <v>15/06/2011</v>
      </c>
      <c r="AZ3441">
        <v>37.6</v>
      </c>
      <c r="BA3441">
        <v>28</v>
      </c>
    </row>
    <row r="3442" spans="51:53" x14ac:dyDescent="0.3">
      <c r="AY3442" t="str">
        <v>14/06/2011</v>
      </c>
      <c r="AZ3442">
        <v>37.6</v>
      </c>
      <c r="BA3442">
        <v>28</v>
      </c>
    </row>
    <row r="3443" spans="51:53" x14ac:dyDescent="0.3">
      <c r="AY3443" t="str">
        <v>13/06/2011</v>
      </c>
      <c r="AZ3443">
        <v>37.6</v>
      </c>
      <c r="BA3443">
        <v>28</v>
      </c>
    </row>
    <row r="3444" spans="51:53" x14ac:dyDescent="0.3">
      <c r="AY3444" t="str">
        <v>10/06/2011</v>
      </c>
      <c r="AZ3444">
        <v>37</v>
      </c>
      <c r="BA3444">
        <v>26</v>
      </c>
    </row>
    <row r="3445" spans="51:53" x14ac:dyDescent="0.3">
      <c r="AY3445" t="str">
        <v>09/06/2011</v>
      </c>
      <c r="AZ3445">
        <v>37</v>
      </c>
      <c r="BA3445">
        <v>26</v>
      </c>
    </row>
    <row r="3446" spans="51:53" x14ac:dyDescent="0.3">
      <c r="AY3446" t="str">
        <v>08/06/2011</v>
      </c>
      <c r="AZ3446">
        <v>37</v>
      </c>
      <c r="BA3446">
        <v>26</v>
      </c>
    </row>
    <row r="3447" spans="51:53" x14ac:dyDescent="0.3">
      <c r="AY3447" t="str">
        <v>07/06/2011</v>
      </c>
      <c r="AZ3447">
        <v>37</v>
      </c>
      <c r="BA3447">
        <v>26</v>
      </c>
    </row>
    <row r="3448" spans="51:53" x14ac:dyDescent="0.3">
      <c r="AY3448" t="str">
        <v>06/06/2011</v>
      </c>
      <c r="AZ3448">
        <v>37</v>
      </c>
      <c r="BA3448">
        <v>26</v>
      </c>
    </row>
    <row r="3449" spans="51:53" x14ac:dyDescent="0.3">
      <c r="AY3449" t="str">
        <v>03/06/2011</v>
      </c>
      <c r="AZ3449">
        <v>40.9</v>
      </c>
      <c r="BA3449">
        <v>22.6</v>
      </c>
    </row>
    <row r="3450" spans="51:53" x14ac:dyDescent="0.3">
      <c r="AY3450" t="str">
        <v>02/06/2011</v>
      </c>
      <c r="AZ3450">
        <v>40.9</v>
      </c>
      <c r="BA3450">
        <v>22.6</v>
      </c>
    </row>
    <row r="3451" spans="51:53" x14ac:dyDescent="0.3">
      <c r="AY3451" t="str">
        <v>01/06/2011</v>
      </c>
      <c r="AZ3451">
        <v>40.9</v>
      </c>
      <c r="BA3451">
        <v>22.6</v>
      </c>
    </row>
    <row r="3452" spans="51:53" x14ac:dyDescent="0.3">
      <c r="AY3452" t="str">
        <v>31/05/2011</v>
      </c>
      <c r="AZ3452">
        <v>40.9</v>
      </c>
      <c r="BA3452">
        <v>22.6</v>
      </c>
    </row>
    <row r="3453" spans="51:53" x14ac:dyDescent="0.3">
      <c r="AY3453" t="str">
        <v>30/05/2011</v>
      </c>
      <c r="AZ3453">
        <v>40.9</v>
      </c>
      <c r="BA3453">
        <v>22.6</v>
      </c>
    </row>
    <row r="3454" spans="51:53" x14ac:dyDescent="0.3">
      <c r="AY3454" t="str">
        <v>27/05/2011</v>
      </c>
      <c r="AZ3454">
        <v>45.2</v>
      </c>
      <c r="BA3454">
        <v>20.399999999999999</v>
      </c>
    </row>
    <row r="3455" spans="51:53" x14ac:dyDescent="0.3">
      <c r="AY3455" t="str">
        <v>26/05/2011</v>
      </c>
      <c r="AZ3455">
        <v>45.2</v>
      </c>
      <c r="BA3455">
        <v>20.399999999999999</v>
      </c>
    </row>
    <row r="3456" spans="51:53" x14ac:dyDescent="0.3">
      <c r="AY3456" t="str">
        <v>25/05/2011</v>
      </c>
      <c r="AZ3456">
        <v>45.2</v>
      </c>
      <c r="BA3456">
        <v>20.399999999999999</v>
      </c>
    </row>
    <row r="3457" spans="51:53" x14ac:dyDescent="0.3">
      <c r="AY3457" t="str">
        <v>24/05/2011</v>
      </c>
      <c r="AZ3457">
        <v>45.2</v>
      </c>
      <c r="BA3457">
        <v>20.399999999999999</v>
      </c>
    </row>
    <row r="3458" spans="51:53" x14ac:dyDescent="0.3">
      <c r="AY3458" t="str">
        <v>23/05/2011</v>
      </c>
      <c r="AZ3458">
        <v>45.2</v>
      </c>
      <c r="BA3458">
        <v>20.399999999999999</v>
      </c>
    </row>
    <row r="3459" spans="51:53" x14ac:dyDescent="0.3">
      <c r="AY3459" t="str">
        <v>20/05/2011</v>
      </c>
      <c r="AZ3459">
        <v>43</v>
      </c>
      <c r="BA3459">
        <v>19.399999999999999</v>
      </c>
    </row>
    <row r="3460" spans="51:53" x14ac:dyDescent="0.3">
      <c r="AY3460" t="str">
        <v>19/05/2011</v>
      </c>
      <c r="AZ3460">
        <v>43</v>
      </c>
      <c r="BA3460">
        <v>19.399999999999999</v>
      </c>
    </row>
    <row r="3461" spans="51:53" x14ac:dyDescent="0.3">
      <c r="AY3461" t="str">
        <v>18/05/2011</v>
      </c>
      <c r="AZ3461">
        <v>43</v>
      </c>
      <c r="BA3461">
        <v>19.399999999999999</v>
      </c>
    </row>
    <row r="3462" spans="51:53" x14ac:dyDescent="0.3">
      <c r="AY3462" t="str">
        <v>17/05/2011</v>
      </c>
      <c r="AZ3462">
        <v>43</v>
      </c>
      <c r="BA3462">
        <v>19.399999999999999</v>
      </c>
    </row>
    <row r="3463" spans="51:53" x14ac:dyDescent="0.3">
      <c r="AY3463" t="str">
        <v>16/05/2011</v>
      </c>
      <c r="AZ3463">
        <v>43</v>
      </c>
      <c r="BA3463">
        <v>19.399999999999999</v>
      </c>
    </row>
    <row r="3464" spans="51:53" x14ac:dyDescent="0.3">
      <c r="AY3464" t="str">
        <v>13/05/2011</v>
      </c>
      <c r="AZ3464">
        <v>45.6</v>
      </c>
      <c r="BA3464">
        <v>19.600000000000001</v>
      </c>
    </row>
    <row r="3465" spans="51:53" x14ac:dyDescent="0.3">
      <c r="AY3465" t="str">
        <v>12/05/2011</v>
      </c>
      <c r="AZ3465">
        <v>45.6</v>
      </c>
      <c r="BA3465">
        <v>19.600000000000001</v>
      </c>
    </row>
    <row r="3466" spans="51:53" x14ac:dyDescent="0.3">
      <c r="AY3466" t="str">
        <v>11/05/2011</v>
      </c>
      <c r="AZ3466">
        <v>45.6</v>
      </c>
      <c r="BA3466">
        <v>19.600000000000001</v>
      </c>
    </row>
    <row r="3467" spans="51:53" x14ac:dyDescent="0.3">
      <c r="AY3467" t="str">
        <v>10/05/2011</v>
      </c>
      <c r="AZ3467">
        <v>45.6</v>
      </c>
      <c r="BA3467">
        <v>19.600000000000001</v>
      </c>
    </row>
    <row r="3468" spans="51:53" x14ac:dyDescent="0.3">
      <c r="AY3468" t="str">
        <v>09/05/2011</v>
      </c>
      <c r="AZ3468">
        <v>45.6</v>
      </c>
      <c r="BA3468">
        <v>19.600000000000001</v>
      </c>
    </row>
    <row r="3469" spans="51:53" x14ac:dyDescent="0.3">
      <c r="AY3469" t="str">
        <v>06/05/2011</v>
      </c>
      <c r="AZ3469">
        <v>51.1</v>
      </c>
      <c r="BA3469">
        <v>18.5</v>
      </c>
    </row>
    <row r="3470" spans="51:53" x14ac:dyDescent="0.3">
      <c r="AY3470" t="str">
        <v>05/05/2011</v>
      </c>
      <c r="AZ3470">
        <v>51.1</v>
      </c>
      <c r="BA3470">
        <v>18.5</v>
      </c>
    </row>
    <row r="3471" spans="51:53" x14ac:dyDescent="0.3">
      <c r="AY3471" t="str">
        <v>04/05/2011</v>
      </c>
      <c r="AZ3471">
        <v>51.1</v>
      </c>
      <c r="BA3471">
        <v>18.5</v>
      </c>
    </row>
    <row r="3472" spans="51:53" x14ac:dyDescent="0.3">
      <c r="AY3472" t="str">
        <v>03/05/2011</v>
      </c>
      <c r="AZ3472">
        <v>51.1</v>
      </c>
      <c r="BA3472">
        <v>18.5</v>
      </c>
    </row>
    <row r="3473" spans="51:53" x14ac:dyDescent="0.3">
      <c r="AY3473" t="str">
        <v>02/05/2011</v>
      </c>
      <c r="AZ3473">
        <v>51.1</v>
      </c>
      <c r="BA3473">
        <v>18.5</v>
      </c>
    </row>
    <row r="3474" spans="51:53" x14ac:dyDescent="0.3">
      <c r="AY3474" t="str">
        <v>29/04/2011</v>
      </c>
      <c r="AZ3474">
        <v>54.9</v>
      </c>
      <c r="BA3474">
        <v>16.5</v>
      </c>
    </row>
    <row r="3475" spans="51:53" x14ac:dyDescent="0.3">
      <c r="AY3475" t="str">
        <v>28/04/2011</v>
      </c>
      <c r="AZ3475">
        <v>54.9</v>
      </c>
      <c r="BA3475">
        <v>16.5</v>
      </c>
    </row>
    <row r="3476" spans="51:53" x14ac:dyDescent="0.3">
      <c r="AY3476" t="str">
        <v>27/04/2011</v>
      </c>
      <c r="AZ3476">
        <v>54.9</v>
      </c>
      <c r="BA3476">
        <v>16.5</v>
      </c>
    </row>
    <row r="3477" spans="51:53" x14ac:dyDescent="0.3">
      <c r="AY3477" t="str">
        <v>26/04/2011</v>
      </c>
      <c r="AZ3477">
        <v>54.9</v>
      </c>
      <c r="BA3477">
        <v>16.5</v>
      </c>
    </row>
    <row r="3478" spans="51:53" x14ac:dyDescent="0.3">
      <c r="AY3478" t="str">
        <v>25/04/2011</v>
      </c>
      <c r="AZ3478">
        <v>54.9</v>
      </c>
      <c r="BA3478">
        <v>16.5</v>
      </c>
    </row>
    <row r="3479" spans="51:53" x14ac:dyDescent="0.3">
      <c r="AY3479" t="str">
        <v>22/04/2011</v>
      </c>
      <c r="AZ3479">
        <v>54.3</v>
      </c>
      <c r="BA3479">
        <v>18.5</v>
      </c>
    </row>
    <row r="3480" spans="51:53" x14ac:dyDescent="0.3">
      <c r="AY3480" t="str">
        <v>21/04/2011</v>
      </c>
      <c r="AZ3480">
        <v>54.3</v>
      </c>
      <c r="BA3480">
        <v>18.5</v>
      </c>
    </row>
    <row r="3481" spans="51:53" x14ac:dyDescent="0.3">
      <c r="AY3481" t="str">
        <v>20/04/2011</v>
      </c>
      <c r="AZ3481">
        <v>54.3</v>
      </c>
      <c r="BA3481">
        <v>18.5</v>
      </c>
    </row>
    <row r="3482" spans="51:53" x14ac:dyDescent="0.3">
      <c r="AY3482" t="str">
        <v>19/04/2011</v>
      </c>
      <c r="AZ3482">
        <v>54.3</v>
      </c>
      <c r="BA3482">
        <v>18.5</v>
      </c>
    </row>
    <row r="3483" spans="51:53" x14ac:dyDescent="0.3">
      <c r="AY3483" t="str">
        <v>18/04/2011</v>
      </c>
      <c r="AZ3483">
        <v>54.3</v>
      </c>
      <c r="BA3483">
        <v>18.5</v>
      </c>
    </row>
    <row r="3484" spans="51:53" x14ac:dyDescent="0.3">
      <c r="AY3484" t="str">
        <v>15/04/2011</v>
      </c>
      <c r="AZ3484">
        <v>54.2</v>
      </c>
      <c r="BA3484">
        <v>19.2</v>
      </c>
    </row>
    <row r="3485" spans="51:53" x14ac:dyDescent="0.3">
      <c r="AY3485" t="str">
        <v>14/04/2011</v>
      </c>
      <c r="AZ3485">
        <v>54.2</v>
      </c>
      <c r="BA3485">
        <v>19.2</v>
      </c>
    </row>
    <row r="3486" spans="51:53" x14ac:dyDescent="0.3">
      <c r="AY3486" t="str">
        <v>13/04/2011</v>
      </c>
      <c r="AZ3486">
        <v>54.2</v>
      </c>
      <c r="BA3486">
        <v>19.2</v>
      </c>
    </row>
    <row r="3487" spans="51:53" x14ac:dyDescent="0.3">
      <c r="AY3487" t="str">
        <v>12/04/2011</v>
      </c>
      <c r="AZ3487">
        <v>54.2</v>
      </c>
      <c r="BA3487">
        <v>19.2</v>
      </c>
    </row>
    <row r="3488" spans="51:53" x14ac:dyDescent="0.3">
      <c r="AY3488" t="str">
        <v>11/04/2011</v>
      </c>
      <c r="AZ3488">
        <v>54.2</v>
      </c>
      <c r="BA3488">
        <v>19.2</v>
      </c>
    </row>
    <row r="3489" spans="51:53" x14ac:dyDescent="0.3">
      <c r="AY3489" t="str">
        <v>08/04/2011</v>
      </c>
      <c r="AZ3489">
        <v>55.4</v>
      </c>
      <c r="BA3489">
        <v>16.3</v>
      </c>
    </row>
    <row r="3490" spans="51:53" x14ac:dyDescent="0.3">
      <c r="AY3490" t="str">
        <v>07/04/2011</v>
      </c>
      <c r="AZ3490">
        <v>55.4</v>
      </c>
      <c r="BA3490">
        <v>16.3</v>
      </c>
    </row>
    <row r="3491" spans="51:53" x14ac:dyDescent="0.3">
      <c r="AY3491" t="str">
        <v>06/04/2011</v>
      </c>
      <c r="AZ3491">
        <v>55.4</v>
      </c>
      <c r="BA3491">
        <v>16.3</v>
      </c>
    </row>
    <row r="3492" spans="51:53" x14ac:dyDescent="0.3">
      <c r="AY3492" t="str">
        <v>05/04/2011</v>
      </c>
      <c r="AZ3492">
        <v>55.4</v>
      </c>
      <c r="BA3492">
        <v>16.3</v>
      </c>
    </row>
    <row r="3493" spans="51:53" x14ac:dyDescent="0.3">
      <c r="AY3493" t="str">
        <v>04/04/2011</v>
      </c>
      <c r="AZ3493">
        <v>55.4</v>
      </c>
      <c r="BA3493">
        <v>16.3</v>
      </c>
    </row>
    <row r="3494" spans="51:53" x14ac:dyDescent="0.3">
      <c r="AY3494" t="str">
        <v>01/04/2011</v>
      </c>
      <c r="AZ3494">
        <v>57.3</v>
      </c>
      <c r="BA3494">
        <v>15.7</v>
      </c>
    </row>
    <row r="3495" spans="51:53" x14ac:dyDescent="0.3">
      <c r="AY3495" t="str">
        <v>31/03/2011</v>
      </c>
      <c r="AZ3495">
        <v>57.3</v>
      </c>
      <c r="BA3495">
        <v>15.7</v>
      </c>
    </row>
    <row r="3496" spans="51:53" x14ac:dyDescent="0.3">
      <c r="AY3496" t="str">
        <v>30/03/2011</v>
      </c>
      <c r="AZ3496">
        <v>57.3</v>
      </c>
      <c r="BA3496">
        <v>15.7</v>
      </c>
    </row>
    <row r="3497" spans="51:53" x14ac:dyDescent="0.3">
      <c r="AY3497" t="str">
        <v>29/03/2011</v>
      </c>
      <c r="AZ3497">
        <v>57.3</v>
      </c>
      <c r="BA3497">
        <v>15.7</v>
      </c>
    </row>
    <row r="3498" spans="51:53" x14ac:dyDescent="0.3">
      <c r="AY3498" t="str">
        <v>28/03/2011</v>
      </c>
      <c r="AZ3498">
        <v>57.3</v>
      </c>
      <c r="BA3498">
        <v>15.7</v>
      </c>
    </row>
    <row r="3499" spans="51:53" x14ac:dyDescent="0.3">
      <c r="AY3499" t="str">
        <v>25/03/2011</v>
      </c>
      <c r="AZ3499">
        <v>51.6</v>
      </c>
      <c r="BA3499">
        <v>23.1</v>
      </c>
    </row>
    <row r="3500" spans="51:53" x14ac:dyDescent="0.3">
      <c r="AY3500" t="str">
        <v>24/03/2011</v>
      </c>
      <c r="AZ3500">
        <v>51.6</v>
      </c>
      <c r="BA3500">
        <v>23.1</v>
      </c>
    </row>
    <row r="3501" spans="51:53" x14ac:dyDescent="0.3">
      <c r="AY3501" t="str">
        <v>23/03/2011</v>
      </c>
      <c r="AZ3501">
        <v>51.6</v>
      </c>
      <c r="BA3501">
        <v>23.1</v>
      </c>
    </row>
    <row r="3502" spans="51:53" x14ac:dyDescent="0.3">
      <c r="AY3502" t="str">
        <v>22/03/2011</v>
      </c>
      <c r="AZ3502">
        <v>51.6</v>
      </c>
      <c r="BA3502">
        <v>23.1</v>
      </c>
    </row>
    <row r="3503" spans="51:53" x14ac:dyDescent="0.3">
      <c r="AY3503" t="str">
        <v>21/03/2011</v>
      </c>
      <c r="AZ3503">
        <v>51.6</v>
      </c>
      <c r="BA3503">
        <v>23.1</v>
      </c>
    </row>
    <row r="3504" spans="51:53" x14ac:dyDescent="0.3">
      <c r="AY3504" t="str">
        <v>18/03/2011</v>
      </c>
      <c r="AZ3504">
        <v>50.6</v>
      </c>
      <c r="BA3504">
        <v>22.4</v>
      </c>
    </row>
    <row r="3505" spans="51:53" x14ac:dyDescent="0.3">
      <c r="AY3505" t="str">
        <v>17/03/2011</v>
      </c>
      <c r="AZ3505">
        <v>50.6</v>
      </c>
      <c r="BA3505">
        <v>22.4</v>
      </c>
    </row>
    <row r="3506" spans="51:53" x14ac:dyDescent="0.3">
      <c r="AY3506" t="str">
        <v>16/03/2011</v>
      </c>
      <c r="AZ3506">
        <v>50.6</v>
      </c>
      <c r="BA3506">
        <v>22.4</v>
      </c>
    </row>
    <row r="3507" spans="51:53" x14ac:dyDescent="0.3">
      <c r="AY3507" t="str">
        <v>15/03/2011</v>
      </c>
      <c r="AZ3507">
        <v>50.6</v>
      </c>
      <c r="BA3507">
        <v>22.4</v>
      </c>
    </row>
    <row r="3508" spans="51:53" x14ac:dyDescent="0.3">
      <c r="AY3508" t="str">
        <v>14/03/2011</v>
      </c>
      <c r="AZ3508">
        <v>50.6</v>
      </c>
      <c r="BA3508">
        <v>22.4</v>
      </c>
    </row>
    <row r="3509" spans="51:53" x14ac:dyDescent="0.3">
      <c r="AY3509" t="str">
        <v>11/03/2011</v>
      </c>
      <c r="AZ3509">
        <v>52.2</v>
      </c>
      <c r="BA3509">
        <v>22.3</v>
      </c>
    </row>
    <row r="3510" spans="51:53" x14ac:dyDescent="0.3">
      <c r="AY3510" t="str">
        <v>10/03/2011</v>
      </c>
      <c r="AZ3510">
        <v>52.2</v>
      </c>
      <c r="BA3510">
        <v>22.3</v>
      </c>
    </row>
    <row r="3511" spans="51:53" x14ac:dyDescent="0.3">
      <c r="AY3511" t="str">
        <v>09/03/2011</v>
      </c>
      <c r="AZ3511">
        <v>52.2</v>
      </c>
      <c r="BA3511">
        <v>22.3</v>
      </c>
    </row>
    <row r="3512" spans="51:53" x14ac:dyDescent="0.3">
      <c r="AY3512" t="str">
        <v>08/03/2011</v>
      </c>
      <c r="AZ3512">
        <v>52.2</v>
      </c>
      <c r="BA3512">
        <v>22.3</v>
      </c>
    </row>
    <row r="3513" spans="51:53" x14ac:dyDescent="0.3">
      <c r="AY3513" t="str">
        <v>07/03/2011</v>
      </c>
      <c r="AZ3513">
        <v>52.2</v>
      </c>
      <c r="BA3513">
        <v>22.3</v>
      </c>
    </row>
    <row r="3514" spans="51:53" x14ac:dyDescent="0.3">
      <c r="AY3514" t="str">
        <v>04/03/2011</v>
      </c>
      <c r="AZ3514">
        <v>52.2</v>
      </c>
      <c r="BA3514">
        <v>21.1</v>
      </c>
    </row>
    <row r="3515" spans="51:53" x14ac:dyDescent="0.3">
      <c r="AY3515" t="str">
        <v>03/03/2011</v>
      </c>
      <c r="AZ3515">
        <v>52.2</v>
      </c>
      <c r="BA3515">
        <v>21.1</v>
      </c>
    </row>
    <row r="3516" spans="51:53" x14ac:dyDescent="0.3">
      <c r="AY3516" t="str">
        <v>02/03/2011</v>
      </c>
      <c r="AZ3516">
        <v>52.2</v>
      </c>
      <c r="BA3516">
        <v>21.1</v>
      </c>
    </row>
    <row r="3517" spans="51:53" x14ac:dyDescent="0.3">
      <c r="AY3517" t="str">
        <v>01/03/2011</v>
      </c>
      <c r="AZ3517">
        <v>52.2</v>
      </c>
      <c r="BA3517">
        <v>21.1</v>
      </c>
    </row>
    <row r="3518" spans="51:53" x14ac:dyDescent="0.3">
      <c r="AY3518" t="str">
        <v>28/02/2011</v>
      </c>
      <c r="AZ3518">
        <v>52.2</v>
      </c>
      <c r="BA3518">
        <v>21.1</v>
      </c>
    </row>
    <row r="3519" spans="51:53" x14ac:dyDescent="0.3">
      <c r="AY3519" t="str">
        <v>25/02/2011</v>
      </c>
      <c r="AZ3519">
        <v>50.6</v>
      </c>
      <c r="BA3519">
        <v>19.5</v>
      </c>
    </row>
    <row r="3520" spans="51:53" x14ac:dyDescent="0.3">
      <c r="AY3520" t="str">
        <v>24/02/2011</v>
      </c>
      <c r="AZ3520">
        <v>50.6</v>
      </c>
      <c r="BA3520">
        <v>19.5</v>
      </c>
    </row>
    <row r="3521" spans="51:53" x14ac:dyDescent="0.3">
      <c r="AY3521" t="str">
        <v>23/02/2011</v>
      </c>
      <c r="AZ3521">
        <v>50.6</v>
      </c>
      <c r="BA3521">
        <v>19.5</v>
      </c>
    </row>
    <row r="3522" spans="51:53" x14ac:dyDescent="0.3">
      <c r="AY3522" t="str">
        <v>22/02/2011</v>
      </c>
      <c r="AZ3522">
        <v>50.6</v>
      </c>
      <c r="BA3522">
        <v>19.5</v>
      </c>
    </row>
    <row r="3523" spans="51:53" x14ac:dyDescent="0.3">
      <c r="AY3523" t="str">
        <v>21/02/2011</v>
      </c>
      <c r="AZ3523">
        <v>50.6</v>
      </c>
      <c r="BA3523">
        <v>19.5</v>
      </c>
    </row>
    <row r="3524" spans="51:53" x14ac:dyDescent="0.3">
      <c r="AY3524" t="str">
        <v>18/02/2011</v>
      </c>
      <c r="AZ3524">
        <v>53.3</v>
      </c>
      <c r="BA3524">
        <v>18.899999999999999</v>
      </c>
    </row>
    <row r="3525" spans="51:53" x14ac:dyDescent="0.3">
      <c r="AY3525" t="str">
        <v>17/02/2011</v>
      </c>
      <c r="AZ3525">
        <v>53.3</v>
      </c>
      <c r="BA3525">
        <v>18.899999999999999</v>
      </c>
    </row>
    <row r="3526" spans="51:53" x14ac:dyDescent="0.3">
      <c r="AY3526" t="str">
        <v>16/02/2011</v>
      </c>
      <c r="AZ3526">
        <v>53.3</v>
      </c>
      <c r="BA3526">
        <v>18.899999999999999</v>
      </c>
    </row>
    <row r="3527" spans="51:53" x14ac:dyDescent="0.3">
      <c r="AY3527" t="str">
        <v>15/02/2011</v>
      </c>
      <c r="AZ3527">
        <v>53.3</v>
      </c>
      <c r="BA3527">
        <v>18.899999999999999</v>
      </c>
    </row>
    <row r="3528" spans="51:53" x14ac:dyDescent="0.3">
      <c r="AY3528" t="str">
        <v>14/02/2011</v>
      </c>
      <c r="AZ3528">
        <v>53.3</v>
      </c>
      <c r="BA3528">
        <v>18.899999999999999</v>
      </c>
    </row>
    <row r="3529" spans="51:53" x14ac:dyDescent="0.3">
      <c r="AY3529" t="str">
        <v>11/02/2011</v>
      </c>
      <c r="AZ3529">
        <v>52.2</v>
      </c>
      <c r="BA3529">
        <v>19.600000000000001</v>
      </c>
    </row>
    <row r="3530" spans="51:53" x14ac:dyDescent="0.3">
      <c r="AY3530" t="str">
        <v>10/02/2011</v>
      </c>
      <c r="AZ3530">
        <v>52.2</v>
      </c>
      <c r="BA3530">
        <v>19.600000000000001</v>
      </c>
    </row>
    <row r="3531" spans="51:53" x14ac:dyDescent="0.3">
      <c r="AY3531" t="str">
        <v>09/02/2011</v>
      </c>
      <c r="AZ3531">
        <v>52.2</v>
      </c>
      <c r="BA3531">
        <v>19.600000000000001</v>
      </c>
    </row>
    <row r="3532" spans="51:53" x14ac:dyDescent="0.3">
      <c r="AY3532" t="str">
        <v>08/02/2011</v>
      </c>
      <c r="AZ3532">
        <v>52.2</v>
      </c>
      <c r="BA3532">
        <v>19.600000000000001</v>
      </c>
    </row>
    <row r="3533" spans="51:53" x14ac:dyDescent="0.3">
      <c r="AY3533" t="str">
        <v>07/02/2011</v>
      </c>
      <c r="AZ3533">
        <v>52.2</v>
      </c>
      <c r="BA3533">
        <v>19.600000000000001</v>
      </c>
    </row>
    <row r="3534" spans="51:53" x14ac:dyDescent="0.3">
      <c r="AY3534" t="str">
        <v>04/02/2011</v>
      </c>
      <c r="AZ3534">
        <v>53.4</v>
      </c>
      <c r="BA3534">
        <v>23.3</v>
      </c>
    </row>
    <row r="3535" spans="51:53" x14ac:dyDescent="0.3">
      <c r="AY3535" t="str">
        <v>03/02/2011</v>
      </c>
      <c r="AZ3535">
        <v>53.4</v>
      </c>
      <c r="BA3535">
        <v>23.3</v>
      </c>
    </row>
    <row r="3536" spans="51:53" x14ac:dyDescent="0.3">
      <c r="AY3536" t="str">
        <v>02/02/2011</v>
      </c>
      <c r="AZ3536">
        <v>53.4</v>
      </c>
      <c r="BA3536">
        <v>23.3</v>
      </c>
    </row>
    <row r="3537" spans="51:53" x14ac:dyDescent="0.3">
      <c r="AY3537" t="str">
        <v>01/02/2011</v>
      </c>
      <c r="AZ3537">
        <v>53.4</v>
      </c>
      <c r="BA3537">
        <v>23.3</v>
      </c>
    </row>
    <row r="3538" spans="51:53" x14ac:dyDescent="0.3">
      <c r="AY3538" t="str">
        <v>31/01/2011</v>
      </c>
      <c r="AZ3538">
        <v>53.4</v>
      </c>
      <c r="BA3538">
        <v>23.3</v>
      </c>
    </row>
    <row r="3539" spans="51:53" x14ac:dyDescent="0.3">
      <c r="AY3539" t="str">
        <v>28/01/2011</v>
      </c>
      <c r="AZ3539">
        <v>52.7</v>
      </c>
      <c r="BA3539">
        <v>22</v>
      </c>
    </row>
    <row r="3540" spans="51:53" x14ac:dyDescent="0.3">
      <c r="AY3540" t="str">
        <v>27/01/2011</v>
      </c>
      <c r="AZ3540">
        <v>52.7</v>
      </c>
      <c r="BA3540">
        <v>22</v>
      </c>
    </row>
    <row r="3541" spans="51:53" x14ac:dyDescent="0.3">
      <c r="AY3541" t="str">
        <v>26/01/2011</v>
      </c>
      <c r="AZ3541">
        <v>52.7</v>
      </c>
      <c r="BA3541">
        <v>22</v>
      </c>
    </row>
    <row r="3542" spans="51:53" x14ac:dyDescent="0.3">
      <c r="AY3542" t="str">
        <v>25/01/2011</v>
      </c>
      <c r="AZ3542">
        <v>52.7</v>
      </c>
      <c r="BA3542">
        <v>22</v>
      </c>
    </row>
    <row r="3543" spans="51:53" x14ac:dyDescent="0.3">
      <c r="AY3543" t="str">
        <v>24/01/2011</v>
      </c>
      <c r="AZ3543">
        <v>52.7</v>
      </c>
      <c r="BA3543">
        <v>22</v>
      </c>
    </row>
    <row r="3544" spans="51:53" x14ac:dyDescent="0.3">
      <c r="AY3544" t="str">
        <v>21/01/2011</v>
      </c>
      <c r="AZ3544">
        <v>55.1</v>
      </c>
      <c r="BA3544">
        <v>19.100000000000001</v>
      </c>
    </row>
    <row r="3545" spans="51:53" x14ac:dyDescent="0.3">
      <c r="AY3545" t="str">
        <v>20/01/2011</v>
      </c>
      <c r="AZ3545">
        <v>55.1</v>
      </c>
      <c r="BA3545">
        <v>19.100000000000001</v>
      </c>
    </row>
    <row r="3546" spans="51:53" x14ac:dyDescent="0.3">
      <c r="AY3546" t="str">
        <v>19/01/2011</v>
      </c>
      <c r="AZ3546">
        <v>55.1</v>
      </c>
      <c r="BA3546">
        <v>19.100000000000001</v>
      </c>
    </row>
    <row r="3547" spans="51:53" x14ac:dyDescent="0.3">
      <c r="AY3547" t="str">
        <v>18/01/2011</v>
      </c>
      <c r="AZ3547">
        <v>55.1</v>
      </c>
      <c r="BA3547">
        <v>19.100000000000001</v>
      </c>
    </row>
    <row r="3548" spans="51:53" x14ac:dyDescent="0.3">
      <c r="AY3548" t="str">
        <v>17/01/2011</v>
      </c>
      <c r="AZ3548">
        <v>55.1</v>
      </c>
      <c r="BA3548">
        <v>19.100000000000001</v>
      </c>
    </row>
    <row r="3549" spans="51:53" x14ac:dyDescent="0.3">
      <c r="AY3549" t="str">
        <v>14/01/2011</v>
      </c>
      <c r="AZ3549">
        <v>56</v>
      </c>
      <c r="BA3549">
        <v>20.9</v>
      </c>
    </row>
    <row r="3550" spans="51:53" x14ac:dyDescent="0.3">
      <c r="AY3550" t="str">
        <v>13/01/2011</v>
      </c>
      <c r="AZ3550">
        <v>56</v>
      </c>
      <c r="BA3550">
        <v>20.9</v>
      </c>
    </row>
    <row r="3551" spans="51:53" x14ac:dyDescent="0.3">
      <c r="AY3551" t="str">
        <v>12/01/2011</v>
      </c>
      <c r="AZ3551">
        <v>56</v>
      </c>
      <c r="BA3551">
        <v>20.9</v>
      </c>
    </row>
    <row r="3552" spans="51:53" x14ac:dyDescent="0.3">
      <c r="AY3552" t="str">
        <v>11/01/2011</v>
      </c>
      <c r="AZ3552">
        <v>56</v>
      </c>
      <c r="BA3552">
        <v>20.9</v>
      </c>
    </row>
    <row r="3553" spans="51:53" x14ac:dyDescent="0.3">
      <c r="AY3553" t="str">
        <v>10/01/2011</v>
      </c>
      <c r="AZ3553">
        <v>56</v>
      </c>
      <c r="BA3553">
        <v>20.9</v>
      </c>
    </row>
    <row r="3554" spans="51:53" x14ac:dyDescent="0.3">
      <c r="AY3554" t="str">
        <v>07/01/2011</v>
      </c>
      <c r="AZ3554">
        <v>57.3</v>
      </c>
      <c r="BA3554">
        <v>19.100000000000001</v>
      </c>
    </row>
    <row r="3555" spans="51:53" x14ac:dyDescent="0.3">
      <c r="AY3555" t="str">
        <v>06/01/2011</v>
      </c>
      <c r="AZ3555">
        <v>57.3</v>
      </c>
      <c r="BA3555">
        <v>19.100000000000001</v>
      </c>
    </row>
    <row r="3556" spans="51:53" x14ac:dyDescent="0.3">
      <c r="AY3556" t="str">
        <v>05/01/2011</v>
      </c>
      <c r="AZ3556">
        <v>57.3</v>
      </c>
      <c r="BA3556">
        <v>19.100000000000001</v>
      </c>
    </row>
    <row r="3557" spans="51:53" x14ac:dyDescent="0.3">
      <c r="AY3557" t="str">
        <v>04/01/2011</v>
      </c>
      <c r="AZ3557">
        <v>57.3</v>
      </c>
      <c r="BA3557">
        <v>19.100000000000001</v>
      </c>
    </row>
    <row r="3558" spans="51:53" x14ac:dyDescent="0.3">
      <c r="AY3558" t="str">
        <v>03/01/2011</v>
      </c>
      <c r="AZ3558">
        <v>57.3</v>
      </c>
      <c r="BA3558">
        <v>19.100000000000001</v>
      </c>
    </row>
    <row r="3559" spans="51:53" x14ac:dyDescent="0.3">
      <c r="AY3559" t="str">
        <v>31/12/2010</v>
      </c>
      <c r="AZ3559">
        <v>54.5</v>
      </c>
      <c r="BA3559">
        <v>20.5</v>
      </c>
    </row>
    <row r="3560" spans="51:53" x14ac:dyDescent="0.3">
      <c r="AY3560" t="str">
        <v>30/12/2010</v>
      </c>
      <c r="AZ3560">
        <v>54.5</v>
      </c>
      <c r="BA3560">
        <v>20.5</v>
      </c>
    </row>
    <row r="3561" spans="51:53" x14ac:dyDescent="0.3">
      <c r="AY3561" t="str">
        <v>29/12/2010</v>
      </c>
      <c r="AZ3561">
        <v>54.5</v>
      </c>
      <c r="BA3561">
        <v>20.5</v>
      </c>
    </row>
    <row r="3562" spans="51:53" x14ac:dyDescent="0.3">
      <c r="AY3562" t="str">
        <v>28/12/2010</v>
      </c>
      <c r="AZ3562">
        <v>54.5</v>
      </c>
      <c r="BA3562">
        <v>20.5</v>
      </c>
    </row>
    <row r="3563" spans="51:53" x14ac:dyDescent="0.3">
      <c r="AY3563" t="str">
        <v>27/12/2010</v>
      </c>
      <c r="AZ3563">
        <v>54.5</v>
      </c>
      <c r="BA3563">
        <v>20.5</v>
      </c>
    </row>
    <row r="3564" spans="51:53" x14ac:dyDescent="0.3">
      <c r="AY3564" t="str">
        <v>24/12/2010</v>
      </c>
      <c r="AZ3564">
        <v>55.6</v>
      </c>
      <c r="BA3564">
        <v>20</v>
      </c>
    </row>
    <row r="3565" spans="51:53" x14ac:dyDescent="0.3">
      <c r="AY3565" t="str">
        <v>23/12/2010</v>
      </c>
      <c r="AZ3565">
        <v>55.6</v>
      </c>
      <c r="BA3565">
        <v>20</v>
      </c>
    </row>
    <row r="3566" spans="51:53" x14ac:dyDescent="0.3">
      <c r="AY3566" t="str">
        <v>22/12/2010</v>
      </c>
      <c r="AZ3566">
        <v>55.6</v>
      </c>
      <c r="BA3566">
        <v>20</v>
      </c>
    </row>
    <row r="3567" spans="51:53" x14ac:dyDescent="0.3">
      <c r="AY3567" t="str">
        <v>21/12/2010</v>
      </c>
      <c r="AZ3567">
        <v>55.6</v>
      </c>
      <c r="BA3567">
        <v>20</v>
      </c>
    </row>
    <row r="3568" spans="51:53" x14ac:dyDescent="0.3">
      <c r="AY3568" t="str">
        <v>20/12/2010</v>
      </c>
      <c r="AZ3568">
        <v>55.6</v>
      </c>
      <c r="BA3568">
        <v>20</v>
      </c>
    </row>
    <row r="3569" spans="51:53" x14ac:dyDescent="0.3">
      <c r="AY3569" t="str">
        <v>17/12/2010</v>
      </c>
      <c r="AZ3569">
        <v>58.8</v>
      </c>
      <c r="BA3569">
        <v>20.6</v>
      </c>
    </row>
    <row r="3570" spans="51:53" x14ac:dyDescent="0.3">
      <c r="AY3570" t="str">
        <v>16/12/2010</v>
      </c>
      <c r="AZ3570">
        <v>58.8</v>
      </c>
      <c r="BA3570">
        <v>20.6</v>
      </c>
    </row>
    <row r="3571" spans="51:53" x14ac:dyDescent="0.3">
      <c r="AY3571" t="str">
        <v>15/12/2010</v>
      </c>
      <c r="AZ3571">
        <v>58.8</v>
      </c>
      <c r="BA3571">
        <v>20.6</v>
      </c>
    </row>
    <row r="3572" spans="51:53" x14ac:dyDescent="0.3">
      <c r="AY3572" t="str">
        <v>14/12/2010</v>
      </c>
      <c r="AZ3572">
        <v>58.8</v>
      </c>
      <c r="BA3572">
        <v>20.6</v>
      </c>
    </row>
    <row r="3573" spans="51:53" x14ac:dyDescent="0.3">
      <c r="AY3573" t="str">
        <v>13/12/2010</v>
      </c>
      <c r="AZ3573">
        <v>58.8</v>
      </c>
      <c r="BA3573">
        <v>20.6</v>
      </c>
    </row>
    <row r="3574" spans="51:53" x14ac:dyDescent="0.3">
      <c r="AY3574" t="str">
        <v>10/12/2010</v>
      </c>
      <c r="AZ3574">
        <v>56.8</v>
      </c>
      <c r="BA3574">
        <v>20.5</v>
      </c>
    </row>
    <row r="3575" spans="51:53" x14ac:dyDescent="0.3">
      <c r="AY3575" t="str">
        <v>09/12/2010</v>
      </c>
      <c r="AZ3575">
        <v>56.8</v>
      </c>
      <c r="BA3575">
        <v>20.5</v>
      </c>
    </row>
    <row r="3576" spans="51:53" x14ac:dyDescent="0.3">
      <c r="AY3576" t="str">
        <v>08/12/2010</v>
      </c>
      <c r="AZ3576">
        <v>56.8</v>
      </c>
      <c r="BA3576">
        <v>20.5</v>
      </c>
    </row>
    <row r="3577" spans="51:53" x14ac:dyDescent="0.3">
      <c r="AY3577" t="str">
        <v>07/12/2010</v>
      </c>
      <c r="AZ3577">
        <v>56.8</v>
      </c>
      <c r="BA3577">
        <v>20.5</v>
      </c>
    </row>
    <row r="3578" spans="51:53" x14ac:dyDescent="0.3">
      <c r="AY3578" t="str">
        <v>06/12/2010</v>
      </c>
      <c r="AZ3578">
        <v>56.8</v>
      </c>
      <c r="BA3578">
        <v>20.5</v>
      </c>
    </row>
    <row r="3579" spans="51:53" x14ac:dyDescent="0.3">
      <c r="AY3579" t="str">
        <v>03/12/2010</v>
      </c>
      <c r="AZ3579">
        <v>56.2</v>
      </c>
      <c r="BA3579">
        <v>21.3</v>
      </c>
    </row>
    <row r="3580" spans="51:53" x14ac:dyDescent="0.3">
      <c r="AY3580" t="str">
        <v>02/12/2010</v>
      </c>
      <c r="AZ3580">
        <v>56.2</v>
      </c>
      <c r="BA3580">
        <v>21.3</v>
      </c>
    </row>
    <row r="3581" spans="51:53" x14ac:dyDescent="0.3">
      <c r="AY3581" t="str">
        <v>01/12/2010</v>
      </c>
      <c r="AZ3581">
        <v>56.2</v>
      </c>
      <c r="BA3581">
        <v>21.3</v>
      </c>
    </row>
    <row r="3582" spans="51:53" x14ac:dyDescent="0.3">
      <c r="AY3582" t="str">
        <v>30/11/2010</v>
      </c>
      <c r="AZ3582">
        <v>56.2</v>
      </c>
      <c r="BA3582">
        <v>21.3</v>
      </c>
    </row>
    <row r="3583" spans="51:53" x14ac:dyDescent="0.3">
      <c r="AY3583" t="str">
        <v>29/11/2010</v>
      </c>
      <c r="AZ3583">
        <v>56.2</v>
      </c>
      <c r="BA3583">
        <v>21.3</v>
      </c>
    </row>
    <row r="3584" spans="51:53" x14ac:dyDescent="0.3">
      <c r="AY3584" t="str">
        <v>26/11/2010</v>
      </c>
      <c r="AZ3584">
        <v>55.4</v>
      </c>
      <c r="BA3584">
        <v>21.8</v>
      </c>
    </row>
    <row r="3585" spans="51:53" x14ac:dyDescent="0.3">
      <c r="AY3585" t="str">
        <v>25/11/2010</v>
      </c>
      <c r="AZ3585">
        <v>55.4</v>
      </c>
      <c r="BA3585">
        <v>21.8</v>
      </c>
    </row>
    <row r="3586" spans="51:53" x14ac:dyDescent="0.3">
      <c r="AY3586" t="str">
        <v>24/11/2010</v>
      </c>
      <c r="AZ3586">
        <v>55.4</v>
      </c>
      <c r="BA3586">
        <v>21.8</v>
      </c>
    </row>
    <row r="3587" spans="51:53" x14ac:dyDescent="0.3">
      <c r="AY3587" t="str">
        <v>23/11/2010</v>
      </c>
      <c r="AZ3587">
        <v>55.4</v>
      </c>
      <c r="BA3587">
        <v>21.8</v>
      </c>
    </row>
    <row r="3588" spans="51:53" x14ac:dyDescent="0.3">
      <c r="AY3588" t="str">
        <v>22/11/2010</v>
      </c>
      <c r="AZ3588">
        <v>55.4</v>
      </c>
      <c r="BA3588">
        <v>21.8</v>
      </c>
    </row>
    <row r="3589" spans="51:53" x14ac:dyDescent="0.3">
      <c r="AY3589" t="str">
        <v>19/11/2010</v>
      </c>
      <c r="AZ3589">
        <v>55.7</v>
      </c>
      <c r="BA3589">
        <v>21.6</v>
      </c>
    </row>
    <row r="3590" spans="51:53" x14ac:dyDescent="0.3">
      <c r="AY3590" t="str">
        <v>18/11/2010</v>
      </c>
      <c r="AZ3590">
        <v>55.7</v>
      </c>
      <c r="BA3590">
        <v>21.6</v>
      </c>
    </row>
    <row r="3591" spans="51:53" x14ac:dyDescent="0.3">
      <c r="AY3591" t="str">
        <v>17/11/2010</v>
      </c>
      <c r="AZ3591">
        <v>55.7</v>
      </c>
      <c r="BA3591">
        <v>21.6</v>
      </c>
    </row>
    <row r="3592" spans="51:53" x14ac:dyDescent="0.3">
      <c r="AY3592" t="str">
        <v>16/11/2010</v>
      </c>
      <c r="AZ3592">
        <v>55.7</v>
      </c>
      <c r="BA3592">
        <v>21.6</v>
      </c>
    </row>
    <row r="3593" spans="51:53" x14ac:dyDescent="0.3">
      <c r="AY3593" t="str">
        <v>15/11/2010</v>
      </c>
      <c r="AZ3593">
        <v>55.7</v>
      </c>
      <c r="BA3593">
        <v>21.6</v>
      </c>
    </row>
    <row r="3594" spans="51:53" x14ac:dyDescent="0.3">
      <c r="AY3594" t="str">
        <v>12/11/2010</v>
      </c>
      <c r="AZ3594">
        <v>56.2</v>
      </c>
      <c r="BA3594">
        <v>20.2</v>
      </c>
    </row>
    <row r="3595" spans="51:53" x14ac:dyDescent="0.3">
      <c r="AY3595" t="str">
        <v>11/11/2010</v>
      </c>
      <c r="AZ3595">
        <v>56.2</v>
      </c>
      <c r="BA3595">
        <v>20.2</v>
      </c>
    </row>
    <row r="3596" spans="51:53" x14ac:dyDescent="0.3">
      <c r="AY3596" t="str">
        <v>10/11/2010</v>
      </c>
      <c r="AZ3596">
        <v>56.2</v>
      </c>
      <c r="BA3596">
        <v>20.2</v>
      </c>
    </row>
    <row r="3597" spans="51:53" x14ac:dyDescent="0.3">
      <c r="AY3597" t="str">
        <v>09/11/2010</v>
      </c>
      <c r="AZ3597">
        <v>56.2</v>
      </c>
      <c r="BA3597">
        <v>20.2</v>
      </c>
    </row>
    <row r="3598" spans="51:53" x14ac:dyDescent="0.3">
      <c r="AY3598" t="str">
        <v>08/11/2010</v>
      </c>
      <c r="AZ3598">
        <v>56.2</v>
      </c>
      <c r="BA3598">
        <v>20.2</v>
      </c>
    </row>
    <row r="3599" spans="51:53" x14ac:dyDescent="0.3">
      <c r="AY3599" t="str">
        <v>05/11/2010</v>
      </c>
      <c r="AZ3599">
        <v>48.4</v>
      </c>
      <c r="BA3599">
        <v>23.1</v>
      </c>
    </row>
    <row r="3600" spans="51:53" x14ac:dyDescent="0.3">
      <c r="AY3600" t="str">
        <v>04/11/2010</v>
      </c>
      <c r="AZ3600">
        <v>48.4</v>
      </c>
      <c r="BA3600">
        <v>23.1</v>
      </c>
    </row>
    <row r="3601" spans="51:53" x14ac:dyDescent="0.3">
      <c r="AY3601" t="str">
        <v>03/11/2010</v>
      </c>
      <c r="AZ3601">
        <v>48.4</v>
      </c>
      <c r="BA3601">
        <v>23.1</v>
      </c>
    </row>
    <row r="3602" spans="51:53" x14ac:dyDescent="0.3">
      <c r="AY3602" t="str">
        <v>02/11/2010</v>
      </c>
      <c r="AZ3602">
        <v>48.4</v>
      </c>
      <c r="BA3602">
        <v>23.1</v>
      </c>
    </row>
    <row r="3603" spans="51:53" x14ac:dyDescent="0.3">
      <c r="AY3603" t="str">
        <v>01/11/2010</v>
      </c>
      <c r="AZ3603">
        <v>48.4</v>
      </c>
      <c r="BA3603">
        <v>23.1</v>
      </c>
    </row>
    <row r="3604" spans="51:53" x14ac:dyDescent="0.3">
      <c r="AY3604" t="str">
        <v>29/10/2010</v>
      </c>
      <c r="AZ3604">
        <v>46.7</v>
      </c>
      <c r="BA3604">
        <v>24.4</v>
      </c>
    </row>
    <row r="3605" spans="51:53" x14ac:dyDescent="0.3">
      <c r="AY3605" t="str">
        <v>28/10/2010</v>
      </c>
      <c r="AZ3605">
        <v>46.7</v>
      </c>
      <c r="BA3605">
        <v>24.4</v>
      </c>
    </row>
    <row r="3606" spans="51:53" x14ac:dyDescent="0.3">
      <c r="AY3606" t="str">
        <v>27/10/2010</v>
      </c>
      <c r="AZ3606">
        <v>46.7</v>
      </c>
      <c r="BA3606">
        <v>24.4</v>
      </c>
    </row>
    <row r="3607" spans="51:53" x14ac:dyDescent="0.3">
      <c r="AY3607" t="str">
        <v>26/10/2010</v>
      </c>
      <c r="AZ3607">
        <v>46.7</v>
      </c>
      <c r="BA3607">
        <v>24.4</v>
      </c>
    </row>
    <row r="3608" spans="51:53" x14ac:dyDescent="0.3">
      <c r="AY3608" t="str">
        <v>25/10/2010</v>
      </c>
      <c r="AZ3608">
        <v>46.7</v>
      </c>
      <c r="BA3608">
        <v>24.4</v>
      </c>
    </row>
    <row r="3609" spans="51:53" x14ac:dyDescent="0.3">
      <c r="AY3609" t="str">
        <v>22/10/2010</v>
      </c>
      <c r="AZ3609">
        <v>45.6</v>
      </c>
      <c r="BA3609">
        <v>24.4</v>
      </c>
    </row>
    <row r="3610" spans="51:53" x14ac:dyDescent="0.3">
      <c r="AY3610" t="str">
        <v>21/10/2010</v>
      </c>
      <c r="AZ3610">
        <v>45.6</v>
      </c>
      <c r="BA3610">
        <v>24.4</v>
      </c>
    </row>
    <row r="3611" spans="51:53" x14ac:dyDescent="0.3">
      <c r="AY3611" t="str">
        <v>20/10/2010</v>
      </c>
      <c r="AZ3611">
        <v>45.6</v>
      </c>
      <c r="BA3611">
        <v>24.4</v>
      </c>
    </row>
    <row r="3612" spans="51:53" x14ac:dyDescent="0.3">
      <c r="AY3612" t="str">
        <v>19/10/2010</v>
      </c>
      <c r="AZ3612">
        <v>45.6</v>
      </c>
      <c r="BA3612">
        <v>24.4</v>
      </c>
    </row>
    <row r="3613" spans="51:53" x14ac:dyDescent="0.3">
      <c r="AY3613" t="str">
        <v>18/10/2010</v>
      </c>
      <c r="AZ3613">
        <v>45.6</v>
      </c>
      <c r="BA3613">
        <v>24.4</v>
      </c>
    </row>
    <row r="3614" spans="51:53" x14ac:dyDescent="0.3">
      <c r="AY3614" t="str">
        <v>15/10/2010</v>
      </c>
      <c r="AZ3614">
        <v>45.1</v>
      </c>
      <c r="BA3614">
        <v>22</v>
      </c>
    </row>
    <row r="3615" spans="51:53" x14ac:dyDescent="0.3">
      <c r="AY3615" t="str">
        <v>14/10/2010</v>
      </c>
      <c r="AZ3615">
        <v>45.1</v>
      </c>
      <c r="BA3615">
        <v>22</v>
      </c>
    </row>
    <row r="3616" spans="51:53" x14ac:dyDescent="0.3">
      <c r="AY3616" t="str">
        <v>13/10/2010</v>
      </c>
      <c r="AZ3616">
        <v>45.1</v>
      </c>
      <c r="BA3616">
        <v>22</v>
      </c>
    </row>
    <row r="3617" spans="51:53" x14ac:dyDescent="0.3">
      <c r="AY3617" t="str">
        <v>12/10/2010</v>
      </c>
      <c r="AZ3617">
        <v>45.1</v>
      </c>
      <c r="BA3617">
        <v>22</v>
      </c>
    </row>
    <row r="3618" spans="51:53" x14ac:dyDescent="0.3">
      <c r="AY3618" t="str">
        <v>11/10/2010</v>
      </c>
      <c r="AZ3618">
        <v>45.1</v>
      </c>
      <c r="BA3618">
        <v>22</v>
      </c>
    </row>
    <row r="3619" spans="51:53" x14ac:dyDescent="0.3">
      <c r="AY3619" t="str">
        <v>08/10/2010</v>
      </c>
      <c r="AZ3619">
        <v>47.2</v>
      </c>
      <c r="BA3619">
        <v>24.7</v>
      </c>
    </row>
    <row r="3620" spans="51:53" x14ac:dyDescent="0.3">
      <c r="AY3620" t="str">
        <v>07/10/2010</v>
      </c>
      <c r="AZ3620">
        <v>47.2</v>
      </c>
      <c r="BA3620">
        <v>24.7</v>
      </c>
    </row>
    <row r="3621" spans="51:53" x14ac:dyDescent="0.3">
      <c r="AY3621" t="str">
        <v>06/10/2010</v>
      </c>
      <c r="AZ3621">
        <v>47.2</v>
      </c>
      <c r="BA3621">
        <v>24.7</v>
      </c>
    </row>
    <row r="3622" spans="51:53" x14ac:dyDescent="0.3">
      <c r="AY3622" t="str">
        <v>05/10/2010</v>
      </c>
      <c r="AZ3622">
        <v>47.2</v>
      </c>
      <c r="BA3622">
        <v>24.7</v>
      </c>
    </row>
    <row r="3623" spans="51:53" x14ac:dyDescent="0.3">
      <c r="AY3623" t="str">
        <v>04/10/2010</v>
      </c>
      <c r="AZ3623">
        <v>47.2</v>
      </c>
      <c r="BA3623">
        <v>24.7</v>
      </c>
    </row>
    <row r="3624" spans="51:53" x14ac:dyDescent="0.3">
      <c r="AY3624" t="str">
        <v>01/10/2010</v>
      </c>
      <c r="AZ3624">
        <v>45.6</v>
      </c>
      <c r="BA3624">
        <v>28.3</v>
      </c>
    </row>
    <row r="3625" spans="51:53" x14ac:dyDescent="0.3">
      <c r="AY3625" t="str">
        <v>30/09/2010</v>
      </c>
      <c r="AZ3625">
        <v>45.6</v>
      </c>
      <c r="BA3625">
        <v>28.3</v>
      </c>
    </row>
    <row r="3626" spans="51:53" x14ac:dyDescent="0.3">
      <c r="AY3626" t="str">
        <v>29/09/2010</v>
      </c>
      <c r="AZ3626">
        <v>45.6</v>
      </c>
      <c r="BA3626">
        <v>28.3</v>
      </c>
    </row>
    <row r="3627" spans="51:53" x14ac:dyDescent="0.3">
      <c r="AY3627" t="str">
        <v>28/09/2010</v>
      </c>
      <c r="AZ3627">
        <v>45.6</v>
      </c>
      <c r="BA3627">
        <v>28.3</v>
      </c>
    </row>
    <row r="3628" spans="51:53" x14ac:dyDescent="0.3">
      <c r="AY3628" t="str">
        <v>27/09/2010</v>
      </c>
      <c r="AZ3628">
        <v>45.6</v>
      </c>
      <c r="BA3628">
        <v>28.3</v>
      </c>
    </row>
    <row r="3629" spans="51:53" x14ac:dyDescent="0.3">
      <c r="AY3629" t="str">
        <v>24/09/2010</v>
      </c>
      <c r="AZ3629">
        <v>43.3</v>
      </c>
      <c r="BA3629">
        <v>27.8</v>
      </c>
    </row>
    <row r="3630" spans="51:53" x14ac:dyDescent="0.3">
      <c r="AY3630" t="str">
        <v>23/09/2010</v>
      </c>
      <c r="AZ3630">
        <v>43.3</v>
      </c>
      <c r="BA3630">
        <v>27.8</v>
      </c>
    </row>
    <row r="3631" spans="51:53" x14ac:dyDescent="0.3">
      <c r="AY3631" t="str">
        <v>22/09/2010</v>
      </c>
      <c r="AZ3631">
        <v>43.3</v>
      </c>
      <c r="BA3631">
        <v>27.8</v>
      </c>
    </row>
    <row r="3632" spans="51:53" x14ac:dyDescent="0.3">
      <c r="AY3632" t="str">
        <v>21/09/2010</v>
      </c>
      <c r="AZ3632">
        <v>43.3</v>
      </c>
      <c r="BA3632">
        <v>27.8</v>
      </c>
    </row>
    <row r="3633" spans="51:53" x14ac:dyDescent="0.3">
      <c r="AY3633" t="str">
        <v>20/09/2010</v>
      </c>
      <c r="AZ3633">
        <v>43.3</v>
      </c>
      <c r="BA3633">
        <v>27.8</v>
      </c>
    </row>
    <row r="3634" spans="51:53" x14ac:dyDescent="0.3">
      <c r="AY3634" t="str">
        <v>17/09/2010</v>
      </c>
      <c r="AZ3634">
        <v>41.4</v>
      </c>
      <c r="BA3634">
        <v>29.3</v>
      </c>
    </row>
    <row r="3635" spans="51:53" x14ac:dyDescent="0.3">
      <c r="AY3635" t="str">
        <v>16/09/2010</v>
      </c>
      <c r="AZ3635">
        <v>41.4</v>
      </c>
      <c r="BA3635">
        <v>29.3</v>
      </c>
    </row>
    <row r="3636" spans="51:53" x14ac:dyDescent="0.3">
      <c r="AY3636" t="str">
        <v>15/09/2010</v>
      </c>
      <c r="AZ3636">
        <v>41.4</v>
      </c>
      <c r="BA3636">
        <v>29.3</v>
      </c>
    </row>
    <row r="3637" spans="51:53" x14ac:dyDescent="0.3">
      <c r="AY3637" t="str">
        <v>14/09/2010</v>
      </c>
      <c r="AZ3637">
        <v>41.4</v>
      </c>
      <c r="BA3637">
        <v>29.3</v>
      </c>
    </row>
    <row r="3638" spans="51:53" x14ac:dyDescent="0.3">
      <c r="AY3638" t="str">
        <v>13/09/2010</v>
      </c>
      <c r="AZ3638">
        <v>41.4</v>
      </c>
      <c r="BA3638">
        <v>29.3</v>
      </c>
    </row>
    <row r="3639" spans="51:53" x14ac:dyDescent="0.3">
      <c r="AY3639" t="str">
        <v>10/09/2010</v>
      </c>
      <c r="AZ3639">
        <v>36.700000000000003</v>
      </c>
      <c r="BA3639">
        <v>31.1</v>
      </c>
    </row>
    <row r="3640" spans="51:53" x14ac:dyDescent="0.3">
      <c r="AY3640" t="str">
        <v>09/09/2010</v>
      </c>
      <c r="AZ3640">
        <v>36.700000000000003</v>
      </c>
      <c r="BA3640">
        <v>31.1</v>
      </c>
    </row>
    <row r="3641" spans="51:53" x14ac:dyDescent="0.3">
      <c r="AY3641" t="str">
        <v>08/09/2010</v>
      </c>
      <c r="AZ3641">
        <v>36.700000000000003</v>
      </c>
      <c r="BA3641">
        <v>31.1</v>
      </c>
    </row>
    <row r="3642" spans="51:53" x14ac:dyDescent="0.3">
      <c r="AY3642" t="str">
        <v>07/09/2010</v>
      </c>
      <c r="AZ3642">
        <v>36.700000000000003</v>
      </c>
      <c r="BA3642">
        <v>31.1</v>
      </c>
    </row>
    <row r="3643" spans="51:53" x14ac:dyDescent="0.3">
      <c r="AY3643" t="str">
        <v>06/09/2010</v>
      </c>
      <c r="AZ3643">
        <v>36.700000000000003</v>
      </c>
      <c r="BA3643">
        <v>31.1</v>
      </c>
    </row>
    <row r="3644" spans="51:53" x14ac:dyDescent="0.3">
      <c r="AY3644" t="str">
        <v>03/09/2010</v>
      </c>
      <c r="AZ3644">
        <v>33.299999999999997</v>
      </c>
      <c r="BA3644">
        <v>32.200000000000003</v>
      </c>
    </row>
    <row r="3645" spans="51:53" x14ac:dyDescent="0.3">
      <c r="AY3645" t="str">
        <v>02/09/2010</v>
      </c>
      <c r="AZ3645">
        <v>33.299999999999997</v>
      </c>
      <c r="BA3645">
        <v>32.200000000000003</v>
      </c>
    </row>
    <row r="3646" spans="51:53" x14ac:dyDescent="0.3">
      <c r="AY3646" t="str">
        <v>01/09/2010</v>
      </c>
      <c r="AZ3646">
        <v>33.299999999999997</v>
      </c>
      <c r="BA3646">
        <v>32.200000000000003</v>
      </c>
    </row>
    <row r="3647" spans="51:53" x14ac:dyDescent="0.3">
      <c r="AY3647" t="str">
        <v>31/08/2010</v>
      </c>
      <c r="AZ3647">
        <v>33.299999999999997</v>
      </c>
      <c r="BA3647">
        <v>32.200000000000003</v>
      </c>
    </row>
    <row r="3648" spans="51:53" x14ac:dyDescent="0.3">
      <c r="AY3648" t="str">
        <v>30/08/2010</v>
      </c>
      <c r="AZ3648">
        <v>33.299999999999997</v>
      </c>
      <c r="BA3648">
        <v>32.200000000000003</v>
      </c>
    </row>
    <row r="3649" spans="51:53" x14ac:dyDescent="0.3">
      <c r="AY3649" t="str">
        <v>27/08/2010</v>
      </c>
      <c r="AZ3649">
        <v>29.4</v>
      </c>
      <c r="BA3649">
        <v>37.700000000000003</v>
      </c>
    </row>
    <row r="3650" spans="51:53" x14ac:dyDescent="0.3">
      <c r="AY3650" t="str">
        <v>26/08/2010</v>
      </c>
      <c r="AZ3650">
        <v>29.4</v>
      </c>
      <c r="BA3650">
        <v>37.700000000000003</v>
      </c>
    </row>
    <row r="3651" spans="51:53" x14ac:dyDescent="0.3">
      <c r="AY3651" t="str">
        <v>25/08/2010</v>
      </c>
      <c r="AZ3651">
        <v>29.4</v>
      </c>
      <c r="BA3651">
        <v>37.700000000000003</v>
      </c>
    </row>
    <row r="3652" spans="51:53" x14ac:dyDescent="0.3">
      <c r="AY3652" t="str">
        <v>24/08/2010</v>
      </c>
      <c r="AZ3652">
        <v>29.4</v>
      </c>
      <c r="BA3652">
        <v>37.700000000000003</v>
      </c>
    </row>
    <row r="3653" spans="51:53" x14ac:dyDescent="0.3">
      <c r="AY3653" t="str">
        <v>23/08/2010</v>
      </c>
      <c r="AZ3653">
        <v>29.4</v>
      </c>
      <c r="BA3653">
        <v>37.700000000000003</v>
      </c>
    </row>
    <row r="3654" spans="51:53" x14ac:dyDescent="0.3">
      <c r="AY3654" t="str">
        <v>20/08/2010</v>
      </c>
      <c r="AZ3654">
        <v>33.299999999999997</v>
      </c>
      <c r="BA3654">
        <v>31.2</v>
      </c>
    </row>
    <row r="3655" spans="51:53" x14ac:dyDescent="0.3">
      <c r="AY3655" t="str">
        <v>19/08/2010</v>
      </c>
      <c r="AZ3655">
        <v>33.299999999999997</v>
      </c>
      <c r="BA3655">
        <v>31.2</v>
      </c>
    </row>
    <row r="3656" spans="51:53" x14ac:dyDescent="0.3">
      <c r="AY3656" t="str">
        <v>18/08/2010</v>
      </c>
      <c r="AZ3656">
        <v>33.299999999999997</v>
      </c>
      <c r="BA3656">
        <v>31.2</v>
      </c>
    </row>
    <row r="3657" spans="51:53" x14ac:dyDescent="0.3">
      <c r="AY3657" t="str">
        <v>17/08/2010</v>
      </c>
      <c r="AZ3657">
        <v>33.299999999999997</v>
      </c>
      <c r="BA3657">
        <v>31.2</v>
      </c>
    </row>
    <row r="3658" spans="51:53" x14ac:dyDescent="0.3">
      <c r="AY3658" t="str">
        <v>16/08/2010</v>
      </c>
      <c r="AZ3658">
        <v>33.299999999999997</v>
      </c>
      <c r="BA3658">
        <v>31.2</v>
      </c>
    </row>
    <row r="3659" spans="51:53" x14ac:dyDescent="0.3">
      <c r="AY3659" t="str">
        <v>13/08/2010</v>
      </c>
      <c r="AZ3659">
        <v>36.700000000000003</v>
      </c>
      <c r="BA3659">
        <v>31.1</v>
      </c>
    </row>
    <row r="3660" spans="51:53" x14ac:dyDescent="0.3">
      <c r="AY3660" t="str">
        <v>12/08/2010</v>
      </c>
      <c r="AZ3660">
        <v>36.700000000000003</v>
      </c>
      <c r="BA3660">
        <v>31.1</v>
      </c>
    </row>
    <row r="3661" spans="51:53" x14ac:dyDescent="0.3">
      <c r="AY3661" t="str">
        <v>11/08/2010</v>
      </c>
      <c r="AZ3661">
        <v>36.700000000000003</v>
      </c>
      <c r="BA3661">
        <v>31.1</v>
      </c>
    </row>
    <row r="3662" spans="51:53" x14ac:dyDescent="0.3">
      <c r="AY3662" t="str">
        <v>10/08/2010</v>
      </c>
      <c r="AZ3662">
        <v>36.700000000000003</v>
      </c>
      <c r="BA3662">
        <v>31.1</v>
      </c>
    </row>
    <row r="3663" spans="51:53" x14ac:dyDescent="0.3">
      <c r="AY3663" t="str">
        <v>09/08/2010</v>
      </c>
      <c r="AZ3663">
        <v>36.700000000000003</v>
      </c>
      <c r="BA3663">
        <v>31.1</v>
      </c>
    </row>
    <row r="3664" spans="51:53" x14ac:dyDescent="0.3">
      <c r="AY3664" t="str">
        <v>06/08/2010</v>
      </c>
      <c r="AZ3664">
        <v>41.7</v>
      </c>
      <c r="BA3664">
        <v>27.5</v>
      </c>
    </row>
    <row r="3665" spans="51:53" x14ac:dyDescent="0.3">
      <c r="AY3665" t="str">
        <v>05/08/2010</v>
      </c>
      <c r="AZ3665">
        <v>41.7</v>
      </c>
      <c r="BA3665">
        <v>27.5</v>
      </c>
    </row>
    <row r="3666" spans="51:53" x14ac:dyDescent="0.3">
      <c r="AY3666" t="str">
        <v>04/08/2010</v>
      </c>
      <c r="AZ3666">
        <v>41.7</v>
      </c>
      <c r="BA3666">
        <v>27.5</v>
      </c>
    </row>
    <row r="3667" spans="51:53" x14ac:dyDescent="0.3">
      <c r="AY3667" t="str">
        <v>03/08/2010</v>
      </c>
      <c r="AZ3667">
        <v>41.7</v>
      </c>
      <c r="BA3667">
        <v>27.5</v>
      </c>
    </row>
    <row r="3668" spans="51:53" x14ac:dyDescent="0.3">
      <c r="AY3668" t="str">
        <v>02/08/2010</v>
      </c>
      <c r="AZ3668">
        <v>41.7</v>
      </c>
      <c r="BA3668">
        <v>27.5</v>
      </c>
    </row>
    <row r="3669" spans="51:53" x14ac:dyDescent="0.3">
      <c r="AY3669" t="str">
        <v>30/07/2010</v>
      </c>
      <c r="AZ3669">
        <v>38.9</v>
      </c>
      <c r="BA3669">
        <v>33.299999999999997</v>
      </c>
    </row>
    <row r="3670" spans="51:53" x14ac:dyDescent="0.3">
      <c r="AY3670" t="str">
        <v>29/07/2010</v>
      </c>
      <c r="AZ3670">
        <v>38.9</v>
      </c>
      <c r="BA3670">
        <v>33.299999999999997</v>
      </c>
    </row>
    <row r="3671" spans="51:53" x14ac:dyDescent="0.3">
      <c r="AY3671" t="str">
        <v>28/07/2010</v>
      </c>
      <c r="AZ3671">
        <v>38.9</v>
      </c>
      <c r="BA3671">
        <v>33.299999999999997</v>
      </c>
    </row>
    <row r="3672" spans="51:53" x14ac:dyDescent="0.3">
      <c r="AY3672" t="str">
        <v>27/07/2010</v>
      </c>
      <c r="AZ3672">
        <v>38.9</v>
      </c>
      <c r="BA3672">
        <v>33.299999999999997</v>
      </c>
    </row>
    <row r="3673" spans="51:53" x14ac:dyDescent="0.3">
      <c r="AY3673" t="str">
        <v>26/07/2010</v>
      </c>
      <c r="AZ3673">
        <v>38.9</v>
      </c>
      <c r="BA3673">
        <v>33.299999999999997</v>
      </c>
    </row>
    <row r="3674" spans="51:53" x14ac:dyDescent="0.3">
      <c r="AY3674" t="str">
        <v>23/07/2010</v>
      </c>
      <c r="AZ3674">
        <v>38.200000000000003</v>
      </c>
      <c r="BA3674">
        <v>34.9</v>
      </c>
    </row>
    <row r="3675" spans="51:53" x14ac:dyDescent="0.3">
      <c r="AY3675" t="str">
        <v>22/07/2010</v>
      </c>
      <c r="AZ3675">
        <v>38.200000000000003</v>
      </c>
      <c r="BA3675">
        <v>34.9</v>
      </c>
    </row>
    <row r="3676" spans="51:53" x14ac:dyDescent="0.3">
      <c r="AY3676" t="str">
        <v>21/07/2010</v>
      </c>
      <c r="AZ3676">
        <v>38.200000000000003</v>
      </c>
      <c r="BA3676">
        <v>34.9</v>
      </c>
    </row>
    <row r="3677" spans="51:53" x14ac:dyDescent="0.3">
      <c r="AY3677" t="str">
        <v>20/07/2010</v>
      </c>
      <c r="AZ3677">
        <v>38.200000000000003</v>
      </c>
      <c r="BA3677">
        <v>34.9</v>
      </c>
    </row>
    <row r="3678" spans="51:53" x14ac:dyDescent="0.3">
      <c r="AY3678" t="str">
        <v>19/07/2010</v>
      </c>
      <c r="AZ3678">
        <v>38.200000000000003</v>
      </c>
      <c r="BA3678">
        <v>34.9</v>
      </c>
    </row>
    <row r="3679" spans="51:53" x14ac:dyDescent="0.3">
      <c r="AY3679" t="str">
        <v>16/07/2010</v>
      </c>
      <c r="AZ3679">
        <v>35.6</v>
      </c>
      <c r="BA3679">
        <v>35.6</v>
      </c>
    </row>
    <row r="3680" spans="51:53" x14ac:dyDescent="0.3">
      <c r="AY3680" t="str">
        <v>15/07/2010</v>
      </c>
      <c r="AZ3680">
        <v>35.6</v>
      </c>
      <c r="BA3680">
        <v>35.6</v>
      </c>
    </row>
    <row r="3681" spans="51:53" x14ac:dyDescent="0.3">
      <c r="AY3681" t="str">
        <v>14/07/2010</v>
      </c>
      <c r="AZ3681">
        <v>35.6</v>
      </c>
      <c r="BA3681">
        <v>35.6</v>
      </c>
    </row>
    <row r="3682" spans="51:53" x14ac:dyDescent="0.3">
      <c r="AY3682" t="str">
        <v>13/07/2010</v>
      </c>
      <c r="AZ3682">
        <v>35.6</v>
      </c>
      <c r="BA3682">
        <v>35.6</v>
      </c>
    </row>
    <row r="3683" spans="51:53" x14ac:dyDescent="0.3">
      <c r="AY3683" t="str">
        <v>12/07/2010</v>
      </c>
      <c r="AZ3683">
        <v>35.6</v>
      </c>
      <c r="BA3683">
        <v>35.6</v>
      </c>
    </row>
    <row r="3684" spans="51:53" x14ac:dyDescent="0.3">
      <c r="AY3684" t="str">
        <v>09/07/2010</v>
      </c>
      <c r="AZ3684">
        <v>32.6</v>
      </c>
      <c r="BA3684">
        <v>34.799999999999997</v>
      </c>
    </row>
    <row r="3685" spans="51:53" x14ac:dyDescent="0.3">
      <c r="AY3685" t="str">
        <v>08/07/2010</v>
      </c>
      <c r="AZ3685">
        <v>32.6</v>
      </c>
      <c r="BA3685">
        <v>34.799999999999997</v>
      </c>
    </row>
    <row r="3686" spans="51:53" x14ac:dyDescent="0.3">
      <c r="AY3686" t="str">
        <v>07/07/2010</v>
      </c>
      <c r="AZ3686">
        <v>32.6</v>
      </c>
      <c r="BA3686">
        <v>34.799999999999997</v>
      </c>
    </row>
    <row r="3687" spans="51:53" x14ac:dyDescent="0.3">
      <c r="AY3687" t="str">
        <v>06/07/2010</v>
      </c>
      <c r="AZ3687">
        <v>32.6</v>
      </c>
      <c r="BA3687">
        <v>34.799999999999997</v>
      </c>
    </row>
    <row r="3688" spans="51:53" x14ac:dyDescent="0.3">
      <c r="AY3688" t="str">
        <v>05/07/2010</v>
      </c>
      <c r="AZ3688">
        <v>32.6</v>
      </c>
      <c r="BA3688">
        <v>34.799999999999997</v>
      </c>
    </row>
    <row r="3689" spans="51:53" x14ac:dyDescent="0.3">
      <c r="AY3689" t="str">
        <v>02/07/2010</v>
      </c>
      <c r="AZ3689">
        <v>37</v>
      </c>
      <c r="BA3689">
        <v>34.799999999999997</v>
      </c>
    </row>
    <row r="3690" spans="51:53" x14ac:dyDescent="0.3">
      <c r="AY3690" t="str">
        <v>01/07/2010</v>
      </c>
      <c r="AZ3690">
        <v>37</v>
      </c>
      <c r="BA3690">
        <v>34.799999999999997</v>
      </c>
    </row>
    <row r="3691" spans="51:53" x14ac:dyDescent="0.3">
      <c r="AY3691" t="str">
        <v>30/06/2010</v>
      </c>
      <c r="AZ3691">
        <v>37</v>
      </c>
      <c r="BA3691">
        <v>34.799999999999997</v>
      </c>
    </row>
    <row r="3692" spans="51:53" x14ac:dyDescent="0.3">
      <c r="AY3692" t="str">
        <v>29/06/2010</v>
      </c>
      <c r="AZ3692">
        <v>37</v>
      </c>
      <c r="BA3692">
        <v>34.799999999999997</v>
      </c>
    </row>
    <row r="3693" spans="51:53" x14ac:dyDescent="0.3">
      <c r="AY3693" t="str">
        <v>28/06/2010</v>
      </c>
      <c r="AZ3693">
        <v>37</v>
      </c>
      <c r="BA3693">
        <v>34.799999999999997</v>
      </c>
    </row>
    <row r="3694" spans="51:53" x14ac:dyDescent="0.3">
      <c r="AY3694" t="str">
        <v>25/06/2010</v>
      </c>
      <c r="AZ3694">
        <v>41.1</v>
      </c>
      <c r="BA3694">
        <v>33.299999999999997</v>
      </c>
    </row>
    <row r="3695" spans="51:53" x14ac:dyDescent="0.3">
      <c r="AY3695" t="str">
        <v>24/06/2010</v>
      </c>
      <c r="AZ3695">
        <v>41.1</v>
      </c>
      <c r="BA3695">
        <v>33.299999999999997</v>
      </c>
    </row>
    <row r="3696" spans="51:53" x14ac:dyDescent="0.3">
      <c r="AY3696" t="str">
        <v>23/06/2010</v>
      </c>
      <c r="AZ3696">
        <v>41.1</v>
      </c>
      <c r="BA3696">
        <v>33.299999999999997</v>
      </c>
    </row>
    <row r="3697" spans="51:53" x14ac:dyDescent="0.3">
      <c r="AY3697" t="str">
        <v>22/06/2010</v>
      </c>
      <c r="AZ3697">
        <v>41.1</v>
      </c>
      <c r="BA3697">
        <v>33.299999999999997</v>
      </c>
    </row>
    <row r="3698" spans="51:53" x14ac:dyDescent="0.3">
      <c r="AY3698" t="str">
        <v>21/06/2010</v>
      </c>
      <c r="AZ3698">
        <v>41.1</v>
      </c>
      <c r="BA3698">
        <v>33.299999999999997</v>
      </c>
    </row>
    <row r="3699" spans="51:53" x14ac:dyDescent="0.3">
      <c r="AY3699" t="str">
        <v>18/06/2010</v>
      </c>
      <c r="AZ3699">
        <v>41.1</v>
      </c>
      <c r="BA3699">
        <v>31.1</v>
      </c>
    </row>
    <row r="3700" spans="51:53" x14ac:dyDescent="0.3">
      <c r="AY3700" t="str">
        <v>17/06/2010</v>
      </c>
      <c r="AZ3700">
        <v>41.1</v>
      </c>
      <c r="BA3700">
        <v>31.1</v>
      </c>
    </row>
    <row r="3701" spans="51:53" x14ac:dyDescent="0.3">
      <c r="AY3701" t="str">
        <v>16/06/2010</v>
      </c>
      <c r="AZ3701">
        <v>41.1</v>
      </c>
      <c r="BA3701">
        <v>31.1</v>
      </c>
    </row>
    <row r="3702" spans="51:53" x14ac:dyDescent="0.3">
      <c r="AY3702" t="str">
        <v>15/06/2010</v>
      </c>
      <c r="AZ3702">
        <v>41.1</v>
      </c>
      <c r="BA3702">
        <v>31.1</v>
      </c>
    </row>
    <row r="3703" spans="51:53" x14ac:dyDescent="0.3">
      <c r="AY3703" t="str">
        <v>14/06/2010</v>
      </c>
      <c r="AZ3703">
        <v>41.1</v>
      </c>
      <c r="BA3703">
        <v>31.1</v>
      </c>
    </row>
    <row r="3704" spans="51:53" x14ac:dyDescent="0.3">
      <c r="AY3704" t="str">
        <v>11/06/2010</v>
      </c>
      <c r="AZ3704">
        <v>37</v>
      </c>
      <c r="BA3704">
        <v>32.6</v>
      </c>
    </row>
    <row r="3705" spans="51:53" x14ac:dyDescent="0.3">
      <c r="AY3705" t="str">
        <v>10/06/2010</v>
      </c>
      <c r="AZ3705">
        <v>37</v>
      </c>
      <c r="BA3705">
        <v>32.6</v>
      </c>
    </row>
    <row r="3706" spans="51:53" x14ac:dyDescent="0.3">
      <c r="AY3706" t="str">
        <v>09/06/2010</v>
      </c>
      <c r="AZ3706">
        <v>37</v>
      </c>
      <c r="BA3706">
        <v>32.6</v>
      </c>
    </row>
    <row r="3707" spans="51:53" x14ac:dyDescent="0.3">
      <c r="AY3707" t="str">
        <v>08/06/2010</v>
      </c>
      <c r="AZ3707">
        <v>37</v>
      </c>
      <c r="BA3707">
        <v>32.6</v>
      </c>
    </row>
    <row r="3708" spans="51:53" x14ac:dyDescent="0.3">
      <c r="AY3708" t="str">
        <v>07/06/2010</v>
      </c>
      <c r="AZ3708">
        <v>37</v>
      </c>
      <c r="BA3708">
        <v>32.6</v>
      </c>
    </row>
    <row r="3709" spans="51:53" x14ac:dyDescent="0.3">
      <c r="AY3709" t="str">
        <v>04/06/2010</v>
      </c>
      <c r="AZ3709">
        <v>38.5</v>
      </c>
      <c r="BA3709">
        <v>31.9</v>
      </c>
    </row>
    <row r="3710" spans="51:53" x14ac:dyDescent="0.3">
      <c r="AY3710" t="str">
        <v>03/06/2010</v>
      </c>
      <c r="AZ3710">
        <v>38.5</v>
      </c>
      <c r="BA3710">
        <v>31.9</v>
      </c>
    </row>
    <row r="3711" spans="51:53" x14ac:dyDescent="0.3">
      <c r="AY3711" t="str">
        <v>02/06/2010</v>
      </c>
      <c r="AZ3711">
        <v>38.5</v>
      </c>
      <c r="BA3711">
        <v>31.9</v>
      </c>
    </row>
    <row r="3712" spans="51:53" x14ac:dyDescent="0.3">
      <c r="AY3712" t="str">
        <v>01/06/2010</v>
      </c>
      <c r="AZ3712">
        <v>38.5</v>
      </c>
      <c r="BA3712">
        <v>31.9</v>
      </c>
    </row>
    <row r="3713" spans="51:53" x14ac:dyDescent="0.3">
      <c r="AY3713" t="str">
        <v>31/05/2010</v>
      </c>
      <c r="AZ3713">
        <v>38.5</v>
      </c>
      <c r="BA3713">
        <v>31.9</v>
      </c>
    </row>
    <row r="3714" spans="51:53" x14ac:dyDescent="0.3">
      <c r="AY3714" t="str">
        <v>28/05/2010</v>
      </c>
      <c r="AZ3714">
        <v>39.799999999999997</v>
      </c>
      <c r="BA3714">
        <v>28.4</v>
      </c>
    </row>
    <row r="3715" spans="51:53" x14ac:dyDescent="0.3">
      <c r="AY3715" t="str">
        <v>27/05/2010</v>
      </c>
      <c r="AZ3715">
        <v>39.799999999999997</v>
      </c>
      <c r="BA3715">
        <v>28.4</v>
      </c>
    </row>
    <row r="3716" spans="51:53" x14ac:dyDescent="0.3">
      <c r="AY3716" t="str">
        <v>26/05/2010</v>
      </c>
      <c r="AZ3716">
        <v>39.799999999999997</v>
      </c>
      <c r="BA3716">
        <v>28.4</v>
      </c>
    </row>
    <row r="3717" spans="51:53" x14ac:dyDescent="0.3">
      <c r="AY3717" t="str">
        <v>25/05/2010</v>
      </c>
      <c r="AZ3717">
        <v>39.799999999999997</v>
      </c>
      <c r="BA3717">
        <v>28.4</v>
      </c>
    </row>
    <row r="3718" spans="51:53" x14ac:dyDescent="0.3">
      <c r="AY3718" t="str">
        <v>24/05/2010</v>
      </c>
      <c r="AZ3718">
        <v>39.799999999999997</v>
      </c>
      <c r="BA3718">
        <v>28.4</v>
      </c>
    </row>
    <row r="3719" spans="51:53" x14ac:dyDescent="0.3">
      <c r="AY3719" t="str">
        <v>21/05/2010</v>
      </c>
      <c r="AZ3719">
        <v>39.299999999999997</v>
      </c>
      <c r="BA3719">
        <v>29.2</v>
      </c>
    </row>
    <row r="3720" spans="51:53" x14ac:dyDescent="0.3">
      <c r="AY3720" t="str">
        <v>20/05/2010</v>
      </c>
      <c r="AZ3720">
        <v>39.299999999999997</v>
      </c>
      <c r="BA3720">
        <v>29.2</v>
      </c>
    </row>
    <row r="3721" spans="51:53" x14ac:dyDescent="0.3">
      <c r="AY3721" t="str">
        <v>19/05/2010</v>
      </c>
      <c r="AZ3721">
        <v>39.299999999999997</v>
      </c>
      <c r="BA3721">
        <v>29.2</v>
      </c>
    </row>
    <row r="3722" spans="51:53" x14ac:dyDescent="0.3">
      <c r="AY3722" t="str">
        <v>18/05/2010</v>
      </c>
      <c r="AZ3722">
        <v>39.299999999999997</v>
      </c>
      <c r="BA3722">
        <v>29.2</v>
      </c>
    </row>
    <row r="3723" spans="51:53" x14ac:dyDescent="0.3">
      <c r="AY3723" t="str">
        <v>17/05/2010</v>
      </c>
      <c r="AZ3723">
        <v>39.299999999999997</v>
      </c>
      <c r="BA3723">
        <v>29.2</v>
      </c>
    </row>
    <row r="3724" spans="51:53" x14ac:dyDescent="0.3">
      <c r="AY3724" t="str">
        <v>14/05/2010</v>
      </c>
      <c r="AZ3724">
        <v>43.8</v>
      </c>
      <c r="BA3724">
        <v>24.7</v>
      </c>
    </row>
    <row r="3725" spans="51:53" x14ac:dyDescent="0.3">
      <c r="AY3725" t="str">
        <v>13/05/2010</v>
      </c>
      <c r="AZ3725">
        <v>43.8</v>
      </c>
      <c r="BA3725">
        <v>24.7</v>
      </c>
    </row>
    <row r="3726" spans="51:53" x14ac:dyDescent="0.3">
      <c r="AY3726" t="str">
        <v>12/05/2010</v>
      </c>
      <c r="AZ3726">
        <v>43.8</v>
      </c>
      <c r="BA3726">
        <v>24.7</v>
      </c>
    </row>
    <row r="3727" spans="51:53" x14ac:dyDescent="0.3">
      <c r="AY3727" t="str">
        <v>11/05/2010</v>
      </c>
      <c r="AZ3727">
        <v>43.8</v>
      </c>
      <c r="BA3727">
        <v>24.7</v>
      </c>
    </row>
    <row r="3728" spans="51:53" x14ac:dyDescent="0.3">
      <c r="AY3728" t="str">
        <v>10/05/2010</v>
      </c>
      <c r="AZ3728">
        <v>43.8</v>
      </c>
      <c r="BA3728">
        <v>24.7</v>
      </c>
    </row>
    <row r="3729" spans="51:53" x14ac:dyDescent="0.3">
      <c r="AY3729" t="str">
        <v>07/05/2010</v>
      </c>
      <c r="AZ3729">
        <v>47.2</v>
      </c>
      <c r="BA3729">
        <v>24.7</v>
      </c>
    </row>
    <row r="3730" spans="51:53" x14ac:dyDescent="0.3">
      <c r="AY3730" t="str">
        <v>06/05/2010</v>
      </c>
      <c r="AZ3730">
        <v>47.2</v>
      </c>
      <c r="BA3730">
        <v>24.7</v>
      </c>
    </row>
    <row r="3731" spans="51:53" x14ac:dyDescent="0.3">
      <c r="AY3731" t="str">
        <v>05/05/2010</v>
      </c>
      <c r="AZ3731">
        <v>47.2</v>
      </c>
      <c r="BA3731">
        <v>24.7</v>
      </c>
    </row>
    <row r="3732" spans="51:53" x14ac:dyDescent="0.3">
      <c r="AY3732" t="str">
        <v>04/05/2010</v>
      </c>
      <c r="AZ3732">
        <v>47.2</v>
      </c>
      <c r="BA3732">
        <v>24.7</v>
      </c>
    </row>
    <row r="3733" spans="51:53" x14ac:dyDescent="0.3">
      <c r="AY3733" t="str">
        <v>03/05/2010</v>
      </c>
      <c r="AZ3733">
        <v>47.2</v>
      </c>
      <c r="BA3733">
        <v>24.7</v>
      </c>
    </row>
    <row r="3734" spans="51:53" x14ac:dyDescent="0.3">
      <c r="AY3734" t="str">
        <v>30/04/2010</v>
      </c>
      <c r="AZ3734">
        <v>56</v>
      </c>
      <c r="BA3734">
        <v>18.7</v>
      </c>
    </row>
    <row r="3735" spans="51:53" x14ac:dyDescent="0.3">
      <c r="AY3735" t="str">
        <v>29/04/2010</v>
      </c>
      <c r="AZ3735">
        <v>56</v>
      </c>
      <c r="BA3735">
        <v>18.7</v>
      </c>
    </row>
    <row r="3736" spans="51:53" x14ac:dyDescent="0.3">
      <c r="AY3736" t="str">
        <v>28/04/2010</v>
      </c>
      <c r="AZ3736">
        <v>56</v>
      </c>
      <c r="BA3736">
        <v>18.7</v>
      </c>
    </row>
    <row r="3737" spans="51:53" x14ac:dyDescent="0.3">
      <c r="AY3737" t="str">
        <v>27/04/2010</v>
      </c>
      <c r="AZ3737">
        <v>56</v>
      </c>
      <c r="BA3737">
        <v>18.7</v>
      </c>
    </row>
    <row r="3738" spans="51:53" x14ac:dyDescent="0.3">
      <c r="AY3738" t="str">
        <v>26/04/2010</v>
      </c>
      <c r="AZ3738">
        <v>56</v>
      </c>
      <c r="BA3738">
        <v>18.7</v>
      </c>
    </row>
    <row r="3739" spans="51:53" x14ac:dyDescent="0.3">
      <c r="AY3739" t="str">
        <v>23/04/2010</v>
      </c>
      <c r="AZ3739">
        <v>54</v>
      </c>
      <c r="BA3739">
        <v>18</v>
      </c>
    </row>
    <row r="3740" spans="51:53" x14ac:dyDescent="0.3">
      <c r="AY3740" t="str">
        <v>22/04/2010</v>
      </c>
      <c r="AZ3740">
        <v>54</v>
      </c>
      <c r="BA3740">
        <v>18</v>
      </c>
    </row>
    <row r="3741" spans="51:53" x14ac:dyDescent="0.3">
      <c r="AY3741" t="str">
        <v>21/04/2010</v>
      </c>
      <c r="AZ3741">
        <v>54</v>
      </c>
      <c r="BA3741">
        <v>18</v>
      </c>
    </row>
    <row r="3742" spans="51:53" x14ac:dyDescent="0.3">
      <c r="AY3742" t="str">
        <v>20/04/2010</v>
      </c>
      <c r="AZ3742">
        <v>54</v>
      </c>
      <c r="BA3742">
        <v>18</v>
      </c>
    </row>
    <row r="3743" spans="51:53" x14ac:dyDescent="0.3">
      <c r="AY3743" t="str">
        <v>19/04/2010</v>
      </c>
      <c r="AZ3743">
        <v>54</v>
      </c>
      <c r="BA3743">
        <v>18</v>
      </c>
    </row>
    <row r="3744" spans="51:53" x14ac:dyDescent="0.3">
      <c r="AY3744" t="str">
        <v>16/04/2010</v>
      </c>
      <c r="AZ3744">
        <v>53.3</v>
      </c>
      <c r="BA3744">
        <v>17.399999999999999</v>
      </c>
    </row>
    <row r="3745" spans="51:53" x14ac:dyDescent="0.3">
      <c r="AY3745" t="str">
        <v>15/04/2010</v>
      </c>
      <c r="AZ3745">
        <v>53.3</v>
      </c>
      <c r="BA3745">
        <v>17.399999999999999</v>
      </c>
    </row>
    <row r="3746" spans="51:53" x14ac:dyDescent="0.3">
      <c r="AY3746" t="str">
        <v>14/04/2010</v>
      </c>
      <c r="AZ3746">
        <v>53.3</v>
      </c>
      <c r="BA3746">
        <v>17.399999999999999</v>
      </c>
    </row>
    <row r="3747" spans="51:53" x14ac:dyDescent="0.3">
      <c r="AY3747" t="str">
        <v>13/04/2010</v>
      </c>
      <c r="AZ3747">
        <v>53.3</v>
      </c>
      <c r="BA3747">
        <v>17.399999999999999</v>
      </c>
    </row>
    <row r="3748" spans="51:53" x14ac:dyDescent="0.3">
      <c r="AY3748" t="str">
        <v>12/04/2010</v>
      </c>
      <c r="AZ3748">
        <v>53.3</v>
      </c>
      <c r="BA3748">
        <v>17.399999999999999</v>
      </c>
    </row>
    <row r="3749" spans="51:53" x14ac:dyDescent="0.3">
      <c r="AY3749" t="str">
        <v>09/04/2010</v>
      </c>
      <c r="AZ3749">
        <v>51.1</v>
      </c>
      <c r="BA3749">
        <v>18.899999999999999</v>
      </c>
    </row>
    <row r="3750" spans="51:53" x14ac:dyDescent="0.3">
      <c r="AY3750" t="str">
        <v>08/04/2010</v>
      </c>
      <c r="AZ3750">
        <v>51.1</v>
      </c>
      <c r="BA3750">
        <v>18.899999999999999</v>
      </c>
    </row>
    <row r="3751" spans="51:53" x14ac:dyDescent="0.3">
      <c r="AY3751" t="str">
        <v>07/04/2010</v>
      </c>
      <c r="AZ3751">
        <v>51.1</v>
      </c>
      <c r="BA3751">
        <v>18.899999999999999</v>
      </c>
    </row>
    <row r="3752" spans="51:53" x14ac:dyDescent="0.3">
      <c r="AY3752" t="str">
        <v>06/04/2010</v>
      </c>
      <c r="AZ3752">
        <v>51.1</v>
      </c>
      <c r="BA3752">
        <v>18.899999999999999</v>
      </c>
    </row>
    <row r="3753" spans="51:53" x14ac:dyDescent="0.3">
      <c r="AY3753" t="str">
        <v>05/04/2010</v>
      </c>
      <c r="AZ3753">
        <v>51.1</v>
      </c>
      <c r="BA3753">
        <v>18.899999999999999</v>
      </c>
    </row>
    <row r="3754" spans="51:53" x14ac:dyDescent="0.3">
      <c r="AY3754" t="str">
        <v>02/04/2010</v>
      </c>
      <c r="AZ3754">
        <v>48.9</v>
      </c>
      <c r="BA3754">
        <v>18.899999999999999</v>
      </c>
    </row>
    <row r="3755" spans="51:53" x14ac:dyDescent="0.3">
      <c r="AY3755" t="str">
        <v>01/04/2010</v>
      </c>
      <c r="AZ3755">
        <v>48.9</v>
      </c>
      <c r="BA3755">
        <v>18.899999999999999</v>
      </c>
    </row>
    <row r="3756" spans="51:53" x14ac:dyDescent="0.3">
      <c r="AY3756" t="str">
        <v>31/03/2010</v>
      </c>
      <c r="AZ3756">
        <v>48.9</v>
      </c>
      <c r="BA3756">
        <v>18.899999999999999</v>
      </c>
    </row>
    <row r="3757" spans="51:53" x14ac:dyDescent="0.3">
      <c r="AY3757" t="str">
        <v>30/03/2010</v>
      </c>
      <c r="AZ3757">
        <v>48.9</v>
      </c>
      <c r="BA3757">
        <v>18.899999999999999</v>
      </c>
    </row>
    <row r="3758" spans="51:53" x14ac:dyDescent="0.3">
      <c r="AY3758" t="str">
        <v>29/03/2010</v>
      </c>
      <c r="AZ3758">
        <v>48.9</v>
      </c>
      <c r="BA3758">
        <v>18.899999999999999</v>
      </c>
    </row>
    <row r="3759" spans="51:53" x14ac:dyDescent="0.3">
      <c r="AY3759" t="str">
        <v>26/03/2010</v>
      </c>
      <c r="AZ3759">
        <v>48.3</v>
      </c>
      <c r="BA3759">
        <v>19.100000000000001</v>
      </c>
    </row>
    <row r="3760" spans="51:53" x14ac:dyDescent="0.3">
      <c r="AY3760" t="str">
        <v>25/03/2010</v>
      </c>
      <c r="AZ3760">
        <v>48.3</v>
      </c>
      <c r="BA3760">
        <v>19.100000000000001</v>
      </c>
    </row>
    <row r="3761" spans="51:53" x14ac:dyDescent="0.3">
      <c r="AY3761" t="str">
        <v>24/03/2010</v>
      </c>
      <c r="AZ3761">
        <v>48.3</v>
      </c>
      <c r="BA3761">
        <v>19.100000000000001</v>
      </c>
    </row>
    <row r="3762" spans="51:53" x14ac:dyDescent="0.3">
      <c r="AY3762" t="str">
        <v>23/03/2010</v>
      </c>
      <c r="AZ3762">
        <v>48.3</v>
      </c>
      <c r="BA3762">
        <v>19.100000000000001</v>
      </c>
    </row>
    <row r="3763" spans="51:53" x14ac:dyDescent="0.3">
      <c r="AY3763" t="str">
        <v>22/03/2010</v>
      </c>
      <c r="AZ3763">
        <v>48.3</v>
      </c>
      <c r="BA3763">
        <v>19.100000000000001</v>
      </c>
    </row>
    <row r="3764" spans="51:53" x14ac:dyDescent="0.3">
      <c r="AY3764" t="str">
        <v>19/03/2010</v>
      </c>
      <c r="AZ3764">
        <v>48.9</v>
      </c>
      <c r="BA3764">
        <v>20.5</v>
      </c>
    </row>
    <row r="3765" spans="51:53" x14ac:dyDescent="0.3">
      <c r="AY3765" t="str">
        <v>18/03/2010</v>
      </c>
      <c r="AZ3765">
        <v>48.9</v>
      </c>
      <c r="BA3765">
        <v>20.5</v>
      </c>
    </row>
    <row r="3766" spans="51:53" x14ac:dyDescent="0.3">
      <c r="AY3766" t="str">
        <v>17/03/2010</v>
      </c>
      <c r="AZ3766">
        <v>48.9</v>
      </c>
      <c r="BA3766">
        <v>20.5</v>
      </c>
    </row>
    <row r="3767" spans="51:53" x14ac:dyDescent="0.3">
      <c r="AY3767" t="str">
        <v>16/03/2010</v>
      </c>
      <c r="AZ3767">
        <v>48.9</v>
      </c>
      <c r="BA3767">
        <v>20.5</v>
      </c>
    </row>
    <row r="3768" spans="51:53" x14ac:dyDescent="0.3">
      <c r="AY3768" t="str">
        <v>15/03/2010</v>
      </c>
      <c r="AZ3768">
        <v>48.9</v>
      </c>
      <c r="BA3768">
        <v>20.5</v>
      </c>
    </row>
    <row r="3769" spans="51:53" x14ac:dyDescent="0.3">
      <c r="AY3769" t="str">
        <v>12/03/2010</v>
      </c>
      <c r="AZ3769">
        <v>46.1</v>
      </c>
      <c r="BA3769">
        <v>21.3</v>
      </c>
    </row>
    <row r="3770" spans="51:53" x14ac:dyDescent="0.3">
      <c r="AY3770" t="str">
        <v>11/03/2010</v>
      </c>
      <c r="AZ3770">
        <v>46.1</v>
      </c>
      <c r="BA3770">
        <v>21.3</v>
      </c>
    </row>
    <row r="3771" spans="51:53" x14ac:dyDescent="0.3">
      <c r="AY3771" t="str">
        <v>10/03/2010</v>
      </c>
      <c r="AZ3771">
        <v>46.1</v>
      </c>
      <c r="BA3771">
        <v>21.3</v>
      </c>
    </row>
    <row r="3772" spans="51:53" x14ac:dyDescent="0.3">
      <c r="AY3772" t="str">
        <v>09/03/2010</v>
      </c>
      <c r="AZ3772">
        <v>46.1</v>
      </c>
      <c r="BA3772">
        <v>21.3</v>
      </c>
    </row>
    <row r="3773" spans="51:53" x14ac:dyDescent="0.3">
      <c r="AY3773" t="str">
        <v>08/03/2010</v>
      </c>
      <c r="AZ3773">
        <v>46.1</v>
      </c>
      <c r="BA3773">
        <v>21.3</v>
      </c>
    </row>
    <row r="3774" spans="51:53" x14ac:dyDescent="0.3">
      <c r="AY3774" t="str">
        <v>05/03/2010</v>
      </c>
      <c r="AZ3774">
        <v>44.9</v>
      </c>
      <c r="BA3774">
        <v>23.6</v>
      </c>
    </row>
    <row r="3775" spans="51:53" x14ac:dyDescent="0.3">
      <c r="AY3775" t="str">
        <v>04/03/2010</v>
      </c>
      <c r="AZ3775">
        <v>44.9</v>
      </c>
      <c r="BA3775">
        <v>23.6</v>
      </c>
    </row>
    <row r="3776" spans="51:53" x14ac:dyDescent="0.3">
      <c r="AY3776" t="str">
        <v>03/03/2010</v>
      </c>
      <c r="AZ3776">
        <v>44.9</v>
      </c>
      <c r="BA3776">
        <v>23.6</v>
      </c>
    </row>
    <row r="3777" spans="51:53" x14ac:dyDescent="0.3">
      <c r="AY3777" t="str">
        <v>02/03/2010</v>
      </c>
      <c r="AZ3777">
        <v>44.9</v>
      </c>
      <c r="BA3777">
        <v>23.6</v>
      </c>
    </row>
    <row r="3778" spans="51:53" x14ac:dyDescent="0.3">
      <c r="AY3778" t="str">
        <v>01/03/2010</v>
      </c>
      <c r="AZ3778">
        <v>44.9</v>
      </c>
      <c r="BA3778">
        <v>23.6</v>
      </c>
    </row>
    <row r="3779" spans="51:53" x14ac:dyDescent="0.3">
      <c r="AY3779" t="str">
        <v>26/02/2010</v>
      </c>
      <c r="AZ3779">
        <v>42.1</v>
      </c>
      <c r="BA3779">
        <v>22.7</v>
      </c>
    </row>
    <row r="3780" spans="51:53" x14ac:dyDescent="0.3">
      <c r="AY3780" t="str">
        <v>25/02/2010</v>
      </c>
      <c r="AZ3780">
        <v>42.1</v>
      </c>
      <c r="BA3780">
        <v>22.7</v>
      </c>
    </row>
    <row r="3781" spans="51:53" x14ac:dyDescent="0.3">
      <c r="AY3781" t="str">
        <v>24/02/2010</v>
      </c>
      <c r="AZ3781">
        <v>42.1</v>
      </c>
      <c r="BA3781">
        <v>22.7</v>
      </c>
    </row>
    <row r="3782" spans="51:53" x14ac:dyDescent="0.3">
      <c r="AY3782" t="str">
        <v>23/02/2010</v>
      </c>
      <c r="AZ3782">
        <v>42.1</v>
      </c>
      <c r="BA3782">
        <v>22.7</v>
      </c>
    </row>
    <row r="3783" spans="51:53" x14ac:dyDescent="0.3">
      <c r="AY3783" t="str">
        <v>22/02/2010</v>
      </c>
      <c r="AZ3783">
        <v>42.1</v>
      </c>
      <c r="BA3783">
        <v>22.7</v>
      </c>
    </row>
    <row r="3784" spans="51:53" x14ac:dyDescent="0.3">
      <c r="AY3784" t="str">
        <v>19/02/2010</v>
      </c>
      <c r="AZ3784">
        <v>41.1</v>
      </c>
      <c r="BA3784">
        <v>23.3</v>
      </c>
    </row>
    <row r="3785" spans="51:53" x14ac:dyDescent="0.3">
      <c r="AY3785" t="str">
        <v>18/02/2010</v>
      </c>
      <c r="AZ3785">
        <v>41.1</v>
      </c>
      <c r="BA3785">
        <v>23.3</v>
      </c>
    </row>
    <row r="3786" spans="51:53" x14ac:dyDescent="0.3">
      <c r="AY3786" t="str">
        <v>17/02/2010</v>
      </c>
      <c r="AZ3786">
        <v>41.1</v>
      </c>
      <c r="BA3786">
        <v>23.3</v>
      </c>
    </row>
    <row r="3787" spans="51:53" x14ac:dyDescent="0.3">
      <c r="AY3787" t="str">
        <v>16/02/2010</v>
      </c>
      <c r="AZ3787">
        <v>41.1</v>
      </c>
      <c r="BA3787">
        <v>23.3</v>
      </c>
    </row>
    <row r="3788" spans="51:53" x14ac:dyDescent="0.3">
      <c r="AY3788" t="str">
        <v>15/02/2010</v>
      </c>
      <c r="AZ3788">
        <v>41.1</v>
      </c>
      <c r="BA3788">
        <v>23.3</v>
      </c>
    </row>
    <row r="3789" spans="51:53" x14ac:dyDescent="0.3">
      <c r="AY3789" t="str">
        <v>12/02/2010</v>
      </c>
      <c r="AZ3789">
        <v>35.6</v>
      </c>
      <c r="BA3789">
        <v>27.8</v>
      </c>
    </row>
    <row r="3790" spans="51:53" x14ac:dyDescent="0.3">
      <c r="AY3790" t="str">
        <v>11/02/2010</v>
      </c>
      <c r="AZ3790">
        <v>35.6</v>
      </c>
      <c r="BA3790">
        <v>27.8</v>
      </c>
    </row>
    <row r="3791" spans="51:53" x14ac:dyDescent="0.3">
      <c r="AY3791" t="str">
        <v>10/02/2010</v>
      </c>
      <c r="AZ3791">
        <v>35.6</v>
      </c>
      <c r="BA3791">
        <v>27.8</v>
      </c>
    </row>
    <row r="3792" spans="51:53" x14ac:dyDescent="0.3">
      <c r="AY3792" t="str">
        <v>09/02/2010</v>
      </c>
      <c r="AZ3792">
        <v>35.6</v>
      </c>
      <c r="BA3792">
        <v>27.8</v>
      </c>
    </row>
    <row r="3793" spans="51:53" x14ac:dyDescent="0.3">
      <c r="AY3793" t="str">
        <v>08/02/2010</v>
      </c>
      <c r="AZ3793">
        <v>35.6</v>
      </c>
      <c r="BA3793">
        <v>27.8</v>
      </c>
    </row>
    <row r="3794" spans="51:53" x14ac:dyDescent="0.3">
      <c r="AY3794" t="str">
        <v>05/02/2010</v>
      </c>
      <c r="AZ3794">
        <v>34.1</v>
      </c>
      <c r="BA3794">
        <v>26.1</v>
      </c>
    </row>
    <row r="3795" spans="51:53" x14ac:dyDescent="0.3">
      <c r="AY3795" t="str">
        <v>04/02/2010</v>
      </c>
      <c r="AZ3795">
        <v>34.1</v>
      </c>
      <c r="BA3795">
        <v>26.1</v>
      </c>
    </row>
    <row r="3796" spans="51:53" x14ac:dyDescent="0.3">
      <c r="AY3796" t="str">
        <v>03/02/2010</v>
      </c>
      <c r="AZ3796">
        <v>34.1</v>
      </c>
      <c r="BA3796">
        <v>26.1</v>
      </c>
    </row>
    <row r="3797" spans="51:53" x14ac:dyDescent="0.3">
      <c r="AY3797" t="str">
        <v>02/02/2010</v>
      </c>
      <c r="AZ3797">
        <v>34.1</v>
      </c>
      <c r="BA3797">
        <v>26.1</v>
      </c>
    </row>
    <row r="3798" spans="51:53" x14ac:dyDescent="0.3">
      <c r="AY3798" t="str">
        <v>01/02/2010</v>
      </c>
      <c r="AZ3798">
        <v>34.1</v>
      </c>
      <c r="BA3798">
        <v>26.1</v>
      </c>
    </row>
    <row r="3799" spans="51:53" x14ac:dyDescent="0.3">
      <c r="AY3799" t="str">
        <v>29/01/2010</v>
      </c>
      <c r="AZ3799">
        <v>38.9</v>
      </c>
      <c r="BA3799">
        <v>22.2</v>
      </c>
    </row>
    <row r="3800" spans="51:53" x14ac:dyDescent="0.3">
      <c r="AY3800" t="str">
        <v>28/01/2010</v>
      </c>
      <c r="AZ3800">
        <v>38.9</v>
      </c>
      <c r="BA3800">
        <v>22.2</v>
      </c>
    </row>
    <row r="3801" spans="51:53" x14ac:dyDescent="0.3">
      <c r="AY3801" t="str">
        <v>27/01/2010</v>
      </c>
      <c r="AZ3801">
        <v>38.9</v>
      </c>
      <c r="BA3801">
        <v>22.2</v>
      </c>
    </row>
    <row r="3802" spans="51:53" x14ac:dyDescent="0.3">
      <c r="AY3802" t="str">
        <v>26/01/2010</v>
      </c>
      <c r="AZ3802">
        <v>38.9</v>
      </c>
      <c r="BA3802">
        <v>22.2</v>
      </c>
    </row>
    <row r="3803" spans="51:53" x14ac:dyDescent="0.3">
      <c r="AY3803" t="str">
        <v>25/01/2010</v>
      </c>
      <c r="AZ3803">
        <v>38.9</v>
      </c>
      <c r="BA3803">
        <v>22.2</v>
      </c>
    </row>
    <row r="3804" spans="51:53" x14ac:dyDescent="0.3">
      <c r="AY3804" t="str">
        <v>22/01/2010</v>
      </c>
      <c r="AZ3804">
        <v>40</v>
      </c>
      <c r="BA3804">
        <v>23.3</v>
      </c>
    </row>
    <row r="3805" spans="51:53" x14ac:dyDescent="0.3">
      <c r="AY3805" t="str">
        <v>21/01/2010</v>
      </c>
      <c r="AZ3805">
        <v>40</v>
      </c>
      <c r="BA3805">
        <v>23.3</v>
      </c>
    </row>
    <row r="3806" spans="51:53" x14ac:dyDescent="0.3">
      <c r="AY3806" t="str">
        <v>20/01/2010</v>
      </c>
      <c r="AZ3806">
        <v>40</v>
      </c>
      <c r="BA3806">
        <v>23.3</v>
      </c>
    </row>
    <row r="3807" spans="51:53" x14ac:dyDescent="0.3">
      <c r="AY3807" t="str">
        <v>19/01/2010</v>
      </c>
      <c r="AZ3807">
        <v>40</v>
      </c>
      <c r="BA3807">
        <v>23.3</v>
      </c>
    </row>
    <row r="3808" spans="51:53" x14ac:dyDescent="0.3">
      <c r="AY3808" t="str">
        <v>18/01/2010</v>
      </c>
      <c r="AZ3808">
        <v>40</v>
      </c>
      <c r="BA3808">
        <v>23.3</v>
      </c>
    </row>
    <row r="3809" spans="51:53" x14ac:dyDescent="0.3">
      <c r="AY3809" t="str">
        <v>15/01/2010</v>
      </c>
      <c r="AZ3809">
        <v>52.2</v>
      </c>
      <c r="BA3809">
        <v>18.899999999999999</v>
      </c>
    </row>
    <row r="3810" spans="51:53" x14ac:dyDescent="0.3">
      <c r="AY3810" t="str">
        <v>14/01/2010</v>
      </c>
      <c r="AZ3810">
        <v>52.2</v>
      </c>
      <c r="BA3810">
        <v>18.899999999999999</v>
      </c>
    </row>
    <row r="3811" spans="51:53" x14ac:dyDescent="0.3">
      <c r="AY3811" t="str">
        <v>13/01/2010</v>
      </c>
      <c r="AZ3811">
        <v>52.2</v>
      </c>
      <c r="BA3811">
        <v>18.899999999999999</v>
      </c>
    </row>
    <row r="3812" spans="51:53" x14ac:dyDescent="0.3">
      <c r="AY3812" t="str">
        <v>12/01/2010</v>
      </c>
      <c r="AZ3812">
        <v>52.2</v>
      </c>
      <c r="BA3812">
        <v>18.899999999999999</v>
      </c>
    </row>
    <row r="3813" spans="51:53" x14ac:dyDescent="0.3">
      <c r="AY3813" t="str">
        <v>11/01/2010</v>
      </c>
      <c r="AZ3813">
        <v>52.2</v>
      </c>
      <c r="BA3813">
        <v>18.899999999999999</v>
      </c>
    </row>
    <row r="3814" spans="51:53" x14ac:dyDescent="0.3">
      <c r="AY3814" t="str">
        <v>08/01/2010</v>
      </c>
      <c r="AZ3814">
        <v>53.4</v>
      </c>
      <c r="BA3814">
        <v>15.9</v>
      </c>
    </row>
    <row r="3815" spans="51:53" x14ac:dyDescent="0.3">
      <c r="AY3815" t="str">
        <v>07/01/2010</v>
      </c>
      <c r="AZ3815">
        <v>53.4</v>
      </c>
      <c r="BA3815">
        <v>15.9</v>
      </c>
    </row>
    <row r="3816" spans="51:53" x14ac:dyDescent="0.3">
      <c r="AY3816" t="str">
        <v>06/01/2010</v>
      </c>
      <c r="AZ3816">
        <v>53.4</v>
      </c>
      <c r="BA3816">
        <v>15.9</v>
      </c>
    </row>
    <row r="3817" spans="51:53" x14ac:dyDescent="0.3">
      <c r="AY3817" t="str">
        <v>05/01/2010</v>
      </c>
      <c r="AZ3817">
        <v>53.4</v>
      </c>
      <c r="BA3817">
        <v>15.9</v>
      </c>
    </row>
    <row r="3818" spans="51:53" x14ac:dyDescent="0.3">
      <c r="AY3818" t="str">
        <v>04/01/2010</v>
      </c>
      <c r="AZ3818">
        <v>53.4</v>
      </c>
      <c r="BA3818">
        <v>15.9</v>
      </c>
    </row>
    <row r="3819" spans="51:53" x14ac:dyDescent="0.3">
      <c r="AY3819" t="str">
        <v>01/01/2010</v>
      </c>
      <c r="AZ3819">
        <v>48.3</v>
      </c>
      <c r="BA3819">
        <v>16.899999999999999</v>
      </c>
    </row>
    <row r="3820" spans="51:53" x14ac:dyDescent="0.3">
      <c r="AY3820" t="str">
        <v>31/12/2009</v>
      </c>
      <c r="AZ3820">
        <v>48.3</v>
      </c>
      <c r="BA3820">
        <v>16.899999999999999</v>
      </c>
    </row>
    <row r="3821" spans="51:53" x14ac:dyDescent="0.3">
      <c r="AY3821" t="str">
        <v>30/12/2009</v>
      </c>
      <c r="AZ3821">
        <v>48.3</v>
      </c>
      <c r="BA3821">
        <v>16.899999999999999</v>
      </c>
    </row>
    <row r="3822" spans="51:53" x14ac:dyDescent="0.3">
      <c r="AY3822" t="str">
        <v>29/12/2009</v>
      </c>
      <c r="AZ3822">
        <v>48.3</v>
      </c>
      <c r="BA3822">
        <v>16.899999999999999</v>
      </c>
    </row>
    <row r="3823" spans="51:53" x14ac:dyDescent="0.3">
      <c r="AY3823" t="str">
        <v>28/12/2009</v>
      </c>
      <c r="AZ3823">
        <v>48.3</v>
      </c>
      <c r="BA3823">
        <v>16.899999999999999</v>
      </c>
    </row>
    <row r="3824" spans="51:53" x14ac:dyDescent="0.3">
      <c r="AY3824" t="str">
        <v>25/12/2009</v>
      </c>
      <c r="AZ3824">
        <v>51.1</v>
      </c>
      <c r="BA3824">
        <v>15.6</v>
      </c>
    </row>
    <row r="3825" spans="51:53" x14ac:dyDescent="0.3">
      <c r="AY3825" t="str">
        <v>24/12/2009</v>
      </c>
      <c r="AZ3825">
        <v>51.1</v>
      </c>
      <c r="BA3825">
        <v>15.6</v>
      </c>
    </row>
    <row r="3826" spans="51:53" x14ac:dyDescent="0.3">
      <c r="AY3826" t="str">
        <v>23/12/2009</v>
      </c>
      <c r="AZ3826">
        <v>51.1</v>
      </c>
      <c r="BA3826">
        <v>15.6</v>
      </c>
    </row>
    <row r="3827" spans="51:53" x14ac:dyDescent="0.3">
      <c r="AY3827" t="str">
        <v>22/12/2009</v>
      </c>
      <c r="AZ3827">
        <v>51.1</v>
      </c>
      <c r="BA3827">
        <v>15.6</v>
      </c>
    </row>
    <row r="3828" spans="51:53" x14ac:dyDescent="0.3">
      <c r="AY3828" t="str">
        <v>21/12/2009</v>
      </c>
      <c r="AZ3828">
        <v>51.1</v>
      </c>
      <c r="BA3828">
        <v>15.6</v>
      </c>
    </row>
    <row r="3829" spans="51:53" x14ac:dyDescent="0.3">
      <c r="AY3829" t="str">
        <v>18/12/2009</v>
      </c>
      <c r="AZ3829">
        <v>52.2</v>
      </c>
      <c r="BA3829">
        <v>16.7</v>
      </c>
    </row>
    <row r="3830" spans="51:53" x14ac:dyDescent="0.3">
      <c r="AY3830" t="str">
        <v>17/12/2009</v>
      </c>
      <c r="AZ3830">
        <v>52.2</v>
      </c>
      <c r="BA3830">
        <v>16.7</v>
      </c>
    </row>
    <row r="3831" spans="51:53" x14ac:dyDescent="0.3">
      <c r="AY3831" t="str">
        <v>16/12/2009</v>
      </c>
      <c r="AZ3831">
        <v>52.2</v>
      </c>
      <c r="BA3831">
        <v>16.7</v>
      </c>
    </row>
    <row r="3832" spans="51:53" x14ac:dyDescent="0.3">
      <c r="AY3832" t="str">
        <v>15/12/2009</v>
      </c>
      <c r="AZ3832">
        <v>52.2</v>
      </c>
      <c r="BA3832">
        <v>16.7</v>
      </c>
    </row>
    <row r="3833" spans="51:53" x14ac:dyDescent="0.3">
      <c r="AY3833" t="str">
        <v>14/12/2009</v>
      </c>
      <c r="AZ3833">
        <v>52.2</v>
      </c>
      <c r="BA3833">
        <v>16.7</v>
      </c>
    </row>
    <row r="3834" spans="51:53" x14ac:dyDescent="0.3">
      <c r="AY3834" t="str">
        <v>11/12/2009</v>
      </c>
      <c r="AZ3834">
        <v>52.2</v>
      </c>
      <c r="BA3834">
        <v>16.7</v>
      </c>
    </row>
    <row r="3835" spans="51:53" x14ac:dyDescent="0.3">
      <c r="AY3835" t="str">
        <v>10/12/2009</v>
      </c>
      <c r="AZ3835">
        <v>52.2</v>
      </c>
      <c r="BA3835">
        <v>16.7</v>
      </c>
    </row>
    <row r="3836" spans="51:53" x14ac:dyDescent="0.3">
      <c r="AY3836" t="str">
        <v>09/12/2009</v>
      </c>
      <c r="AZ3836">
        <v>52.2</v>
      </c>
      <c r="BA3836">
        <v>16.7</v>
      </c>
    </row>
    <row r="3837" spans="51:53" x14ac:dyDescent="0.3">
      <c r="AY3837" t="str">
        <v>08/12/2009</v>
      </c>
      <c r="AZ3837">
        <v>52.2</v>
      </c>
      <c r="BA3837">
        <v>16.7</v>
      </c>
    </row>
    <row r="3838" spans="51:53" x14ac:dyDescent="0.3">
      <c r="AY3838" t="str">
        <v>07/12/2009</v>
      </c>
      <c r="AZ3838">
        <v>52.2</v>
      </c>
      <c r="BA3838">
        <v>16.7</v>
      </c>
    </row>
    <row r="3839" spans="51:53" x14ac:dyDescent="0.3">
      <c r="AY3839" t="str">
        <v>04/12/2009</v>
      </c>
      <c r="AZ3839">
        <v>48.4</v>
      </c>
      <c r="BA3839">
        <v>16.5</v>
      </c>
    </row>
    <row r="3840" spans="51:53" x14ac:dyDescent="0.3">
      <c r="AY3840" t="str">
        <v>03/12/2009</v>
      </c>
      <c r="AZ3840">
        <v>48.4</v>
      </c>
      <c r="BA3840">
        <v>16.5</v>
      </c>
    </row>
    <row r="3841" spans="51:53" x14ac:dyDescent="0.3">
      <c r="AY3841" t="str">
        <v>02/12/2009</v>
      </c>
      <c r="AZ3841">
        <v>48.4</v>
      </c>
      <c r="BA3841">
        <v>16.5</v>
      </c>
    </row>
    <row r="3842" spans="51:53" x14ac:dyDescent="0.3">
      <c r="AY3842" t="str">
        <v>01/12/2009</v>
      </c>
      <c r="AZ3842">
        <v>48.4</v>
      </c>
      <c r="BA3842">
        <v>16.5</v>
      </c>
    </row>
    <row r="3843" spans="51:53" x14ac:dyDescent="0.3">
      <c r="AY3843" t="str">
        <v>30/11/2009</v>
      </c>
      <c r="AZ3843">
        <v>48.4</v>
      </c>
      <c r="BA3843">
        <v>16.5</v>
      </c>
    </row>
    <row r="3844" spans="51:53" x14ac:dyDescent="0.3">
      <c r="AY3844" t="str">
        <v>27/11/2009</v>
      </c>
      <c r="AZ3844">
        <v>50</v>
      </c>
      <c r="BA3844">
        <v>16.7</v>
      </c>
    </row>
    <row r="3845" spans="51:53" x14ac:dyDescent="0.3">
      <c r="AY3845" t="str">
        <v>26/11/2009</v>
      </c>
      <c r="AZ3845">
        <v>50</v>
      </c>
      <c r="BA3845">
        <v>16.7</v>
      </c>
    </row>
    <row r="3846" spans="51:53" x14ac:dyDescent="0.3">
      <c r="AY3846" t="str">
        <v>25/11/2009</v>
      </c>
      <c r="AZ3846">
        <v>50</v>
      </c>
      <c r="BA3846">
        <v>16.7</v>
      </c>
    </row>
    <row r="3847" spans="51:53" x14ac:dyDescent="0.3">
      <c r="AY3847" t="str">
        <v>24/11/2009</v>
      </c>
      <c r="AZ3847">
        <v>50</v>
      </c>
      <c r="BA3847">
        <v>16.7</v>
      </c>
    </row>
    <row r="3848" spans="51:53" x14ac:dyDescent="0.3">
      <c r="AY3848" t="str">
        <v>23/11/2009</v>
      </c>
      <c r="AZ3848">
        <v>50</v>
      </c>
      <c r="BA3848">
        <v>16.7</v>
      </c>
    </row>
    <row r="3849" spans="51:53" x14ac:dyDescent="0.3">
      <c r="AY3849" t="str">
        <v>20/11/2009</v>
      </c>
      <c r="AZ3849">
        <v>50.6</v>
      </c>
      <c r="BA3849">
        <v>17.600000000000001</v>
      </c>
    </row>
    <row r="3850" spans="51:53" x14ac:dyDescent="0.3">
      <c r="AY3850" t="str">
        <v>19/11/2009</v>
      </c>
      <c r="AZ3850">
        <v>50.6</v>
      </c>
      <c r="BA3850">
        <v>17.600000000000001</v>
      </c>
    </row>
    <row r="3851" spans="51:53" x14ac:dyDescent="0.3">
      <c r="AY3851" t="str">
        <v>18/11/2009</v>
      </c>
      <c r="AZ3851">
        <v>50.6</v>
      </c>
      <c r="BA3851">
        <v>17.600000000000001</v>
      </c>
    </row>
    <row r="3852" spans="51:53" x14ac:dyDescent="0.3">
      <c r="AY3852" t="str">
        <v>17/11/2009</v>
      </c>
      <c r="AZ3852">
        <v>50.6</v>
      </c>
      <c r="BA3852">
        <v>17.600000000000001</v>
      </c>
    </row>
    <row r="3853" spans="51:53" x14ac:dyDescent="0.3">
      <c r="AY3853" t="str">
        <v>16/11/2009</v>
      </c>
      <c r="AZ3853">
        <v>50.6</v>
      </c>
      <c r="BA3853">
        <v>17.600000000000001</v>
      </c>
    </row>
    <row r="3854" spans="51:53" x14ac:dyDescent="0.3">
      <c r="AY3854" t="str">
        <v>13/11/2009</v>
      </c>
      <c r="AZ3854">
        <v>46.1</v>
      </c>
      <c r="BA3854">
        <v>21.3</v>
      </c>
    </row>
    <row r="3855" spans="51:53" x14ac:dyDescent="0.3">
      <c r="AY3855" t="str">
        <v>12/11/2009</v>
      </c>
      <c r="AZ3855">
        <v>46.1</v>
      </c>
      <c r="BA3855">
        <v>21.3</v>
      </c>
    </row>
    <row r="3856" spans="51:53" x14ac:dyDescent="0.3">
      <c r="AY3856" t="str">
        <v>11/11/2009</v>
      </c>
      <c r="AZ3856">
        <v>46.1</v>
      </c>
      <c r="BA3856">
        <v>21.3</v>
      </c>
    </row>
    <row r="3857" spans="51:53" x14ac:dyDescent="0.3">
      <c r="AY3857" t="str">
        <v>10/11/2009</v>
      </c>
      <c r="AZ3857">
        <v>46.1</v>
      </c>
      <c r="BA3857">
        <v>21.3</v>
      </c>
    </row>
    <row r="3858" spans="51:53" x14ac:dyDescent="0.3">
      <c r="AY3858" t="str">
        <v>09/11/2009</v>
      </c>
      <c r="AZ3858">
        <v>46.1</v>
      </c>
      <c r="BA3858">
        <v>21.3</v>
      </c>
    </row>
    <row r="3859" spans="51:53" x14ac:dyDescent="0.3">
      <c r="AY3859" t="str">
        <v>06/11/2009</v>
      </c>
      <c r="AZ3859">
        <v>44.4</v>
      </c>
      <c r="BA3859">
        <v>26.7</v>
      </c>
    </row>
    <row r="3860" spans="51:53" x14ac:dyDescent="0.3">
      <c r="AY3860" t="str">
        <v>05/11/2009</v>
      </c>
      <c r="AZ3860">
        <v>44.4</v>
      </c>
      <c r="BA3860">
        <v>26.7</v>
      </c>
    </row>
    <row r="3861" spans="51:53" x14ac:dyDescent="0.3">
      <c r="AY3861" t="str">
        <v>04/11/2009</v>
      </c>
      <c r="AZ3861">
        <v>44.4</v>
      </c>
      <c r="BA3861">
        <v>26.7</v>
      </c>
    </row>
    <row r="3862" spans="51:53" x14ac:dyDescent="0.3">
      <c r="AY3862" t="str">
        <v>03/11/2009</v>
      </c>
      <c r="AZ3862">
        <v>44.4</v>
      </c>
      <c r="BA3862">
        <v>26.7</v>
      </c>
    </row>
    <row r="3863" spans="51:53" x14ac:dyDescent="0.3">
      <c r="AY3863" t="str">
        <v>02/11/2009</v>
      </c>
      <c r="AZ3863">
        <v>44.4</v>
      </c>
      <c r="BA3863">
        <v>26.7</v>
      </c>
    </row>
    <row r="3864" spans="51:53" x14ac:dyDescent="0.3">
      <c r="AY3864" t="str">
        <v>30/10/2009</v>
      </c>
      <c r="AZ3864">
        <v>48.3</v>
      </c>
      <c r="BA3864">
        <v>24.7</v>
      </c>
    </row>
    <row r="3865" spans="51:53" x14ac:dyDescent="0.3">
      <c r="AY3865" t="str">
        <v>29/10/2009</v>
      </c>
      <c r="AZ3865">
        <v>48.3</v>
      </c>
      <c r="BA3865">
        <v>24.7</v>
      </c>
    </row>
    <row r="3866" spans="51:53" x14ac:dyDescent="0.3">
      <c r="AY3866" t="str">
        <v>28/10/2009</v>
      </c>
      <c r="AZ3866">
        <v>48.3</v>
      </c>
      <c r="BA3866">
        <v>24.7</v>
      </c>
    </row>
    <row r="3867" spans="51:53" x14ac:dyDescent="0.3">
      <c r="AY3867" t="str">
        <v>27/10/2009</v>
      </c>
      <c r="AZ3867">
        <v>48.3</v>
      </c>
      <c r="BA3867">
        <v>24.7</v>
      </c>
    </row>
    <row r="3868" spans="51:53" x14ac:dyDescent="0.3">
      <c r="AY3868" t="str">
        <v>26/10/2009</v>
      </c>
      <c r="AZ3868">
        <v>48.3</v>
      </c>
      <c r="BA3868">
        <v>24.7</v>
      </c>
    </row>
    <row r="3869" spans="51:53" x14ac:dyDescent="0.3">
      <c r="AY3869" t="str">
        <v>23/10/2009</v>
      </c>
      <c r="AZ3869">
        <v>48.3</v>
      </c>
      <c r="BA3869">
        <v>22.5</v>
      </c>
    </row>
    <row r="3870" spans="51:53" x14ac:dyDescent="0.3">
      <c r="AY3870" t="str">
        <v>22/10/2009</v>
      </c>
      <c r="AZ3870">
        <v>48.3</v>
      </c>
      <c r="BA3870">
        <v>22.5</v>
      </c>
    </row>
    <row r="3871" spans="51:53" x14ac:dyDescent="0.3">
      <c r="AY3871" t="str">
        <v>21/10/2009</v>
      </c>
      <c r="AZ3871">
        <v>48.3</v>
      </c>
      <c r="BA3871">
        <v>22.5</v>
      </c>
    </row>
    <row r="3872" spans="51:53" x14ac:dyDescent="0.3">
      <c r="AY3872" t="str">
        <v>20/10/2009</v>
      </c>
      <c r="AZ3872">
        <v>48.3</v>
      </c>
      <c r="BA3872">
        <v>22.5</v>
      </c>
    </row>
    <row r="3873" spans="51:53" x14ac:dyDescent="0.3">
      <c r="AY3873" t="str">
        <v>19/10/2009</v>
      </c>
      <c r="AZ3873">
        <v>48.3</v>
      </c>
      <c r="BA3873">
        <v>22.5</v>
      </c>
    </row>
    <row r="3874" spans="51:53" x14ac:dyDescent="0.3">
      <c r="AY3874" t="str">
        <v>16/10/2009</v>
      </c>
      <c r="AZ3874">
        <v>49.5</v>
      </c>
      <c r="BA3874">
        <v>23.1</v>
      </c>
    </row>
    <row r="3875" spans="51:53" x14ac:dyDescent="0.3">
      <c r="AY3875" t="str">
        <v>15/10/2009</v>
      </c>
      <c r="AZ3875">
        <v>49.5</v>
      </c>
      <c r="BA3875">
        <v>23.1</v>
      </c>
    </row>
    <row r="3876" spans="51:53" x14ac:dyDescent="0.3">
      <c r="AY3876" t="str">
        <v>14/10/2009</v>
      </c>
      <c r="AZ3876">
        <v>49.5</v>
      </c>
      <c r="BA3876">
        <v>23.1</v>
      </c>
    </row>
    <row r="3877" spans="51:53" x14ac:dyDescent="0.3">
      <c r="AY3877" t="str">
        <v>13/10/2009</v>
      </c>
      <c r="AZ3877">
        <v>49.5</v>
      </c>
      <c r="BA3877">
        <v>23.1</v>
      </c>
    </row>
    <row r="3878" spans="51:53" x14ac:dyDescent="0.3">
      <c r="AY3878" t="str">
        <v>12/10/2009</v>
      </c>
      <c r="AZ3878">
        <v>49.5</v>
      </c>
      <c r="BA3878">
        <v>23.1</v>
      </c>
    </row>
    <row r="3879" spans="51:53" x14ac:dyDescent="0.3">
      <c r="AY3879" t="str">
        <v>09/10/2009</v>
      </c>
      <c r="AZ3879">
        <v>47.2</v>
      </c>
      <c r="BA3879">
        <v>26.4</v>
      </c>
    </row>
    <row r="3880" spans="51:53" x14ac:dyDescent="0.3">
      <c r="AY3880" t="str">
        <v>08/10/2009</v>
      </c>
      <c r="AZ3880">
        <v>47.2</v>
      </c>
      <c r="BA3880">
        <v>26.4</v>
      </c>
    </row>
    <row r="3881" spans="51:53" x14ac:dyDescent="0.3">
      <c r="AY3881" t="str">
        <v>07/10/2009</v>
      </c>
      <c r="AZ3881">
        <v>47.2</v>
      </c>
      <c r="BA3881">
        <v>26.4</v>
      </c>
    </row>
    <row r="3882" spans="51:53" x14ac:dyDescent="0.3">
      <c r="AY3882" t="str">
        <v>06/10/2009</v>
      </c>
      <c r="AZ3882">
        <v>47.2</v>
      </c>
      <c r="BA3882">
        <v>26.4</v>
      </c>
    </row>
    <row r="3883" spans="51:53" x14ac:dyDescent="0.3">
      <c r="AY3883" t="str">
        <v>05/10/2009</v>
      </c>
      <c r="AZ3883">
        <v>47.2</v>
      </c>
      <c r="BA3883">
        <v>26.4</v>
      </c>
    </row>
    <row r="3884" spans="51:53" x14ac:dyDescent="0.3">
      <c r="AY3884" t="str">
        <v>02/10/2009</v>
      </c>
      <c r="AZ3884">
        <v>48.9</v>
      </c>
      <c r="BA3884">
        <v>24.4</v>
      </c>
    </row>
    <row r="3885" spans="51:53" x14ac:dyDescent="0.3">
      <c r="AY3885" t="str">
        <v>01/10/2009</v>
      </c>
      <c r="AZ3885">
        <v>48.9</v>
      </c>
      <c r="BA3885">
        <v>24.4</v>
      </c>
    </row>
    <row r="3886" spans="51:53" x14ac:dyDescent="0.3">
      <c r="AY3886" t="str">
        <v>30/09/2009</v>
      </c>
      <c r="AZ3886">
        <v>48.9</v>
      </c>
      <c r="BA3886">
        <v>24.4</v>
      </c>
    </row>
    <row r="3887" spans="51:53" x14ac:dyDescent="0.3">
      <c r="AY3887" t="str">
        <v>29/09/2009</v>
      </c>
      <c r="AZ3887">
        <v>48.9</v>
      </c>
      <c r="BA3887">
        <v>24.4</v>
      </c>
    </row>
    <row r="3888" spans="51:53" x14ac:dyDescent="0.3">
      <c r="AY3888" t="str">
        <v>28/09/2009</v>
      </c>
      <c r="AZ3888">
        <v>48.9</v>
      </c>
      <c r="BA3888">
        <v>24.4</v>
      </c>
    </row>
    <row r="3889" spans="51:53" x14ac:dyDescent="0.3">
      <c r="AY3889" t="str">
        <v>25/09/2009</v>
      </c>
      <c r="AZ3889">
        <v>50.6</v>
      </c>
      <c r="BA3889">
        <v>23.6</v>
      </c>
    </row>
    <row r="3890" spans="51:53" x14ac:dyDescent="0.3">
      <c r="AY3890" t="str">
        <v>24/09/2009</v>
      </c>
      <c r="AZ3890">
        <v>50.6</v>
      </c>
      <c r="BA3890">
        <v>23.6</v>
      </c>
    </row>
    <row r="3891" spans="51:53" x14ac:dyDescent="0.3">
      <c r="AY3891" t="str">
        <v>23/09/2009</v>
      </c>
      <c r="AZ3891">
        <v>50.6</v>
      </c>
      <c r="BA3891">
        <v>23.6</v>
      </c>
    </row>
    <row r="3892" spans="51:53" x14ac:dyDescent="0.3">
      <c r="AY3892" t="str">
        <v>22/09/2009</v>
      </c>
      <c r="AZ3892">
        <v>50.6</v>
      </c>
      <c r="BA3892">
        <v>23.6</v>
      </c>
    </row>
    <row r="3893" spans="51:53" x14ac:dyDescent="0.3">
      <c r="AY3893" t="str">
        <v>21/09/2009</v>
      </c>
      <c r="AZ3893">
        <v>50.6</v>
      </c>
      <c r="BA3893">
        <v>23.6</v>
      </c>
    </row>
    <row r="3894" spans="51:53" x14ac:dyDescent="0.3">
      <c r="AY3894" t="str">
        <v>18/09/2009</v>
      </c>
      <c r="AZ3894">
        <v>46.7</v>
      </c>
      <c r="BA3894">
        <v>24.4</v>
      </c>
    </row>
    <row r="3895" spans="51:53" x14ac:dyDescent="0.3">
      <c r="AY3895" t="str">
        <v>17/09/2009</v>
      </c>
      <c r="AZ3895">
        <v>46.7</v>
      </c>
      <c r="BA3895">
        <v>24.4</v>
      </c>
    </row>
    <row r="3896" spans="51:53" x14ac:dyDescent="0.3">
      <c r="AY3896" t="str">
        <v>16/09/2009</v>
      </c>
      <c r="AZ3896">
        <v>46.7</v>
      </c>
      <c r="BA3896">
        <v>24.4</v>
      </c>
    </row>
    <row r="3897" spans="51:53" x14ac:dyDescent="0.3">
      <c r="AY3897" t="str">
        <v>15/09/2009</v>
      </c>
      <c r="AZ3897">
        <v>46.7</v>
      </c>
      <c r="BA3897">
        <v>24.4</v>
      </c>
    </row>
    <row r="3898" spans="51:53" x14ac:dyDescent="0.3">
      <c r="AY3898" t="str">
        <v>14/09/2009</v>
      </c>
      <c r="AZ3898">
        <v>46.7</v>
      </c>
      <c r="BA3898">
        <v>24.4</v>
      </c>
    </row>
    <row r="3899" spans="51:53" x14ac:dyDescent="0.3">
      <c r="AY3899" t="str">
        <v>11/09/2009</v>
      </c>
      <c r="AZ3899">
        <v>47.8</v>
      </c>
      <c r="BA3899">
        <v>24.4</v>
      </c>
    </row>
    <row r="3900" spans="51:53" x14ac:dyDescent="0.3">
      <c r="AY3900" t="str">
        <v>10/09/2009</v>
      </c>
      <c r="AZ3900">
        <v>47.8</v>
      </c>
      <c r="BA3900">
        <v>24.4</v>
      </c>
    </row>
    <row r="3901" spans="51:53" x14ac:dyDescent="0.3">
      <c r="AY3901" t="str">
        <v>09/09/2009</v>
      </c>
      <c r="AZ3901">
        <v>47.8</v>
      </c>
      <c r="BA3901">
        <v>24.4</v>
      </c>
    </row>
    <row r="3902" spans="51:53" x14ac:dyDescent="0.3">
      <c r="AY3902" t="str">
        <v>08/09/2009</v>
      </c>
      <c r="AZ3902">
        <v>47.8</v>
      </c>
      <c r="BA3902">
        <v>24.4</v>
      </c>
    </row>
    <row r="3903" spans="51:53" x14ac:dyDescent="0.3">
      <c r="AY3903" t="str">
        <v>07/09/2009</v>
      </c>
      <c r="AZ3903">
        <v>47.8</v>
      </c>
      <c r="BA3903">
        <v>24.4</v>
      </c>
    </row>
    <row r="3904" spans="51:53" x14ac:dyDescent="0.3">
      <c r="AY3904" t="str">
        <v>04/09/2009</v>
      </c>
      <c r="AZ3904">
        <v>48.3</v>
      </c>
      <c r="BA3904">
        <v>23.6</v>
      </c>
    </row>
    <row r="3905" spans="51:53" x14ac:dyDescent="0.3">
      <c r="AY3905" t="str">
        <v>03/09/2009</v>
      </c>
      <c r="AZ3905">
        <v>48.3</v>
      </c>
      <c r="BA3905">
        <v>23.6</v>
      </c>
    </row>
    <row r="3906" spans="51:53" x14ac:dyDescent="0.3">
      <c r="AY3906" t="str">
        <v>02/09/2009</v>
      </c>
      <c r="AZ3906">
        <v>48.3</v>
      </c>
      <c r="BA3906">
        <v>23.6</v>
      </c>
    </row>
    <row r="3907" spans="51:53" x14ac:dyDescent="0.3">
      <c r="AY3907" t="str">
        <v>01/09/2009</v>
      </c>
      <c r="AZ3907">
        <v>48.3</v>
      </c>
      <c r="BA3907">
        <v>23.6</v>
      </c>
    </row>
    <row r="3908" spans="51:53" x14ac:dyDescent="0.3">
      <c r="AY3908" t="str">
        <v>31/08/2009</v>
      </c>
      <c r="AZ3908">
        <v>48.3</v>
      </c>
      <c r="BA3908">
        <v>23.6</v>
      </c>
    </row>
    <row r="3909" spans="51:53" x14ac:dyDescent="0.3">
      <c r="AY3909" t="str">
        <v>28/08/2009</v>
      </c>
      <c r="AZ3909">
        <v>50.6</v>
      </c>
      <c r="BA3909">
        <v>24.1</v>
      </c>
    </row>
    <row r="3910" spans="51:53" x14ac:dyDescent="0.3">
      <c r="AY3910" t="str">
        <v>27/08/2009</v>
      </c>
      <c r="AZ3910">
        <v>50.6</v>
      </c>
      <c r="BA3910">
        <v>24.1</v>
      </c>
    </row>
    <row r="3911" spans="51:53" x14ac:dyDescent="0.3">
      <c r="AY3911" t="str">
        <v>26/08/2009</v>
      </c>
      <c r="AZ3911">
        <v>50.6</v>
      </c>
      <c r="BA3911">
        <v>24.1</v>
      </c>
    </row>
    <row r="3912" spans="51:53" x14ac:dyDescent="0.3">
      <c r="AY3912" t="str">
        <v>25/08/2009</v>
      </c>
      <c r="AZ3912">
        <v>50.6</v>
      </c>
      <c r="BA3912">
        <v>24.1</v>
      </c>
    </row>
    <row r="3913" spans="51:53" x14ac:dyDescent="0.3">
      <c r="AY3913" t="str">
        <v>24/08/2009</v>
      </c>
      <c r="AZ3913">
        <v>50.6</v>
      </c>
      <c r="BA3913">
        <v>24.1</v>
      </c>
    </row>
    <row r="3914" spans="51:53" x14ac:dyDescent="0.3">
      <c r="AY3914" t="str">
        <v>21/08/2009</v>
      </c>
      <c r="AZ3914">
        <v>51.6</v>
      </c>
      <c r="BA3914">
        <v>19.8</v>
      </c>
    </row>
    <row r="3915" spans="51:53" x14ac:dyDescent="0.3">
      <c r="AY3915" t="str">
        <v>20/08/2009</v>
      </c>
      <c r="AZ3915">
        <v>51.6</v>
      </c>
      <c r="BA3915">
        <v>19.8</v>
      </c>
    </row>
    <row r="3916" spans="51:53" x14ac:dyDescent="0.3">
      <c r="AY3916" t="str">
        <v>19/08/2009</v>
      </c>
      <c r="AZ3916">
        <v>51.6</v>
      </c>
      <c r="BA3916">
        <v>19.8</v>
      </c>
    </row>
    <row r="3917" spans="51:53" x14ac:dyDescent="0.3">
      <c r="AY3917" t="str">
        <v>18/08/2009</v>
      </c>
      <c r="AZ3917">
        <v>51.6</v>
      </c>
      <c r="BA3917">
        <v>19.8</v>
      </c>
    </row>
    <row r="3918" spans="51:53" x14ac:dyDescent="0.3">
      <c r="AY3918" t="str">
        <v>17/08/2009</v>
      </c>
      <c r="AZ3918">
        <v>51.6</v>
      </c>
      <c r="BA3918">
        <v>19.8</v>
      </c>
    </row>
    <row r="3919" spans="51:53" x14ac:dyDescent="0.3">
      <c r="AY3919" t="str">
        <v>14/08/2009</v>
      </c>
      <c r="AZ3919">
        <v>48.3</v>
      </c>
      <c r="BA3919">
        <v>23.1</v>
      </c>
    </row>
    <row r="3920" spans="51:53" x14ac:dyDescent="0.3">
      <c r="AY3920" t="str">
        <v>13/08/2009</v>
      </c>
      <c r="AZ3920">
        <v>48.3</v>
      </c>
      <c r="BA3920">
        <v>23.1</v>
      </c>
    </row>
    <row r="3921" spans="51:53" x14ac:dyDescent="0.3">
      <c r="AY3921" t="str">
        <v>12/08/2009</v>
      </c>
      <c r="AZ3921">
        <v>48.3</v>
      </c>
      <c r="BA3921">
        <v>23.1</v>
      </c>
    </row>
    <row r="3922" spans="51:53" x14ac:dyDescent="0.3">
      <c r="AY3922" t="str">
        <v>11/08/2009</v>
      </c>
      <c r="AZ3922">
        <v>48.3</v>
      </c>
      <c r="BA3922">
        <v>23.1</v>
      </c>
    </row>
    <row r="3923" spans="51:53" x14ac:dyDescent="0.3">
      <c r="AY3923" t="str">
        <v>10/08/2009</v>
      </c>
      <c r="AZ3923">
        <v>48.3</v>
      </c>
      <c r="BA3923">
        <v>23.1</v>
      </c>
    </row>
    <row r="3924" spans="51:53" x14ac:dyDescent="0.3">
      <c r="AY3924" t="str">
        <v>07/08/2009</v>
      </c>
      <c r="AZ3924">
        <v>49.4</v>
      </c>
      <c r="BA3924">
        <v>21.3</v>
      </c>
    </row>
    <row r="3925" spans="51:53" x14ac:dyDescent="0.3">
      <c r="AY3925" t="str">
        <v>06/08/2009</v>
      </c>
      <c r="AZ3925">
        <v>49.4</v>
      </c>
      <c r="BA3925">
        <v>21.3</v>
      </c>
    </row>
    <row r="3926" spans="51:53" x14ac:dyDescent="0.3">
      <c r="AY3926" t="str">
        <v>05/08/2009</v>
      </c>
      <c r="AZ3926">
        <v>49.4</v>
      </c>
      <c r="BA3926">
        <v>21.3</v>
      </c>
    </row>
    <row r="3927" spans="51:53" x14ac:dyDescent="0.3">
      <c r="AY3927" t="str">
        <v>04/08/2009</v>
      </c>
      <c r="AZ3927">
        <v>49.4</v>
      </c>
      <c r="BA3927">
        <v>21.3</v>
      </c>
    </row>
    <row r="3928" spans="51:53" x14ac:dyDescent="0.3">
      <c r="AY3928" t="str">
        <v>03/08/2009</v>
      </c>
      <c r="AZ3928">
        <v>49.4</v>
      </c>
      <c r="BA3928">
        <v>21.3</v>
      </c>
    </row>
    <row r="3929" spans="51:53" x14ac:dyDescent="0.3">
      <c r="AY3929" t="str">
        <v>31/07/2009</v>
      </c>
      <c r="AZ3929">
        <v>47.2</v>
      </c>
      <c r="BA3929">
        <v>25.8</v>
      </c>
    </row>
    <row r="3930" spans="51:53" x14ac:dyDescent="0.3">
      <c r="AY3930" t="str">
        <v>30/07/2009</v>
      </c>
      <c r="AZ3930">
        <v>47.2</v>
      </c>
      <c r="BA3930">
        <v>25.8</v>
      </c>
    </row>
    <row r="3931" spans="51:53" x14ac:dyDescent="0.3">
      <c r="AY3931" t="str">
        <v>29/07/2009</v>
      </c>
      <c r="AZ3931">
        <v>47.2</v>
      </c>
      <c r="BA3931">
        <v>25.8</v>
      </c>
    </row>
    <row r="3932" spans="51:53" x14ac:dyDescent="0.3">
      <c r="AY3932" t="str">
        <v>28/07/2009</v>
      </c>
      <c r="AZ3932">
        <v>47.2</v>
      </c>
      <c r="BA3932">
        <v>25.8</v>
      </c>
    </row>
    <row r="3933" spans="51:53" x14ac:dyDescent="0.3">
      <c r="AY3933" t="str">
        <v>27/07/2009</v>
      </c>
      <c r="AZ3933">
        <v>47.2</v>
      </c>
      <c r="BA3933">
        <v>25.8</v>
      </c>
    </row>
    <row r="3934" spans="51:53" x14ac:dyDescent="0.3">
      <c r="AY3934" t="str">
        <v>24/07/2009</v>
      </c>
      <c r="AZ3934">
        <v>42.2</v>
      </c>
      <c r="BA3934">
        <v>31.1</v>
      </c>
    </row>
    <row r="3935" spans="51:53" x14ac:dyDescent="0.3">
      <c r="AY3935" t="str">
        <v>23/07/2009</v>
      </c>
      <c r="AZ3935">
        <v>42.2</v>
      </c>
      <c r="BA3935">
        <v>31.1</v>
      </c>
    </row>
    <row r="3936" spans="51:53" x14ac:dyDescent="0.3">
      <c r="AY3936" t="str">
        <v>22/07/2009</v>
      </c>
      <c r="AZ3936">
        <v>42.2</v>
      </c>
      <c r="BA3936">
        <v>31.1</v>
      </c>
    </row>
    <row r="3937" spans="51:53" x14ac:dyDescent="0.3">
      <c r="AY3937" t="str">
        <v>21/07/2009</v>
      </c>
      <c r="AZ3937">
        <v>42.2</v>
      </c>
      <c r="BA3937">
        <v>31.1</v>
      </c>
    </row>
    <row r="3938" spans="51:53" x14ac:dyDescent="0.3">
      <c r="AY3938" t="str">
        <v>20/07/2009</v>
      </c>
      <c r="AZ3938">
        <v>42.2</v>
      </c>
      <c r="BA3938">
        <v>31.1</v>
      </c>
    </row>
    <row r="3939" spans="51:53" x14ac:dyDescent="0.3">
      <c r="AY3939" t="str">
        <v>17/07/2009</v>
      </c>
      <c r="AZ3939">
        <v>36.700000000000003</v>
      </c>
      <c r="BA3939">
        <v>35.6</v>
      </c>
    </row>
    <row r="3940" spans="51:53" x14ac:dyDescent="0.3">
      <c r="AY3940" t="str">
        <v>16/07/2009</v>
      </c>
      <c r="AZ3940">
        <v>36.700000000000003</v>
      </c>
      <c r="BA3940">
        <v>35.6</v>
      </c>
    </row>
    <row r="3941" spans="51:53" x14ac:dyDescent="0.3">
      <c r="AY3941" t="str">
        <v>15/07/2009</v>
      </c>
      <c r="AZ3941">
        <v>36.700000000000003</v>
      </c>
      <c r="BA3941">
        <v>35.6</v>
      </c>
    </row>
    <row r="3942" spans="51:53" x14ac:dyDescent="0.3">
      <c r="AY3942" t="str">
        <v>14/07/2009</v>
      </c>
      <c r="AZ3942">
        <v>36.700000000000003</v>
      </c>
      <c r="BA3942">
        <v>35.6</v>
      </c>
    </row>
    <row r="3943" spans="51:53" x14ac:dyDescent="0.3">
      <c r="AY3943" t="str">
        <v>13/07/2009</v>
      </c>
      <c r="AZ3943">
        <v>36.700000000000003</v>
      </c>
      <c r="BA3943">
        <v>35.6</v>
      </c>
    </row>
    <row r="3944" spans="51:53" x14ac:dyDescent="0.3">
      <c r="AY3944" t="str">
        <v>10/07/2009</v>
      </c>
      <c r="AZ3944">
        <v>35.6</v>
      </c>
      <c r="BA3944">
        <v>35.6</v>
      </c>
    </row>
    <row r="3945" spans="51:53" x14ac:dyDescent="0.3">
      <c r="AY3945" t="str">
        <v>09/07/2009</v>
      </c>
      <c r="AZ3945">
        <v>35.6</v>
      </c>
      <c r="BA3945">
        <v>35.6</v>
      </c>
    </row>
    <row r="3946" spans="51:53" x14ac:dyDescent="0.3">
      <c r="AY3946" t="str">
        <v>08/07/2009</v>
      </c>
      <c r="AZ3946">
        <v>35.6</v>
      </c>
      <c r="BA3946">
        <v>35.6</v>
      </c>
    </row>
    <row r="3947" spans="51:53" x14ac:dyDescent="0.3">
      <c r="AY3947" t="str">
        <v>07/07/2009</v>
      </c>
      <c r="AZ3947">
        <v>35.6</v>
      </c>
      <c r="BA3947">
        <v>35.6</v>
      </c>
    </row>
    <row r="3948" spans="51:53" x14ac:dyDescent="0.3">
      <c r="AY3948" t="str">
        <v>06/07/2009</v>
      </c>
      <c r="AZ3948">
        <v>35.6</v>
      </c>
      <c r="BA3948">
        <v>35.6</v>
      </c>
    </row>
    <row r="3949" spans="51:53" x14ac:dyDescent="0.3">
      <c r="AY3949" t="str">
        <v>03/07/2009</v>
      </c>
      <c r="AZ3949">
        <v>42.7</v>
      </c>
      <c r="BA3949">
        <v>30.3</v>
      </c>
    </row>
    <row r="3950" spans="51:53" x14ac:dyDescent="0.3">
      <c r="AY3950" t="str">
        <v>02/07/2009</v>
      </c>
      <c r="AZ3950">
        <v>42.7</v>
      </c>
      <c r="BA3950">
        <v>30.3</v>
      </c>
    </row>
    <row r="3951" spans="51:53" x14ac:dyDescent="0.3">
      <c r="AY3951" t="str">
        <v>01/07/2009</v>
      </c>
      <c r="AZ3951">
        <v>42.7</v>
      </c>
      <c r="BA3951">
        <v>30.3</v>
      </c>
    </row>
    <row r="3952" spans="51:53" x14ac:dyDescent="0.3">
      <c r="AY3952" t="str">
        <v>30/06/2009</v>
      </c>
      <c r="AZ3952">
        <v>42.7</v>
      </c>
      <c r="BA3952">
        <v>30.3</v>
      </c>
    </row>
    <row r="3953" spans="51:53" x14ac:dyDescent="0.3">
      <c r="AY3953" t="str">
        <v>29/06/2009</v>
      </c>
      <c r="AZ3953">
        <v>42.7</v>
      </c>
      <c r="BA3953">
        <v>30.3</v>
      </c>
    </row>
    <row r="3954" spans="51:53" x14ac:dyDescent="0.3">
      <c r="AY3954" t="str">
        <v>26/06/2009</v>
      </c>
      <c r="AZ3954">
        <v>41.4</v>
      </c>
      <c r="BA3954">
        <v>29.9</v>
      </c>
    </row>
    <row r="3955" spans="51:53" x14ac:dyDescent="0.3">
      <c r="AY3955" t="str">
        <v>25/06/2009</v>
      </c>
      <c r="AZ3955">
        <v>41.4</v>
      </c>
      <c r="BA3955">
        <v>29.9</v>
      </c>
    </row>
    <row r="3956" spans="51:53" x14ac:dyDescent="0.3">
      <c r="AY3956" t="str">
        <v>24/06/2009</v>
      </c>
      <c r="AZ3956">
        <v>41.4</v>
      </c>
      <c r="BA3956">
        <v>29.9</v>
      </c>
    </row>
    <row r="3957" spans="51:53" x14ac:dyDescent="0.3">
      <c r="AY3957" t="str">
        <v>23/06/2009</v>
      </c>
      <c r="AZ3957">
        <v>41.4</v>
      </c>
      <c r="BA3957">
        <v>29.9</v>
      </c>
    </row>
    <row r="3958" spans="51:53" x14ac:dyDescent="0.3">
      <c r="AY3958" t="str">
        <v>22/06/2009</v>
      </c>
      <c r="AZ3958">
        <v>41.4</v>
      </c>
      <c r="BA3958">
        <v>29.9</v>
      </c>
    </row>
    <row r="3959" spans="51:53" x14ac:dyDescent="0.3">
      <c r="AY3959" t="str">
        <v>19/06/2009</v>
      </c>
      <c r="AZ3959">
        <v>43.6</v>
      </c>
      <c r="BA3959">
        <v>28.7</v>
      </c>
    </row>
    <row r="3960" spans="51:53" x14ac:dyDescent="0.3">
      <c r="AY3960" t="str">
        <v>18/06/2009</v>
      </c>
      <c r="AZ3960">
        <v>43.6</v>
      </c>
      <c r="BA3960">
        <v>28.7</v>
      </c>
    </row>
    <row r="3961" spans="51:53" x14ac:dyDescent="0.3">
      <c r="AY3961" t="str">
        <v>17/06/2009</v>
      </c>
      <c r="AZ3961">
        <v>43.6</v>
      </c>
      <c r="BA3961">
        <v>28.7</v>
      </c>
    </row>
    <row r="3962" spans="51:53" x14ac:dyDescent="0.3">
      <c r="AY3962" t="str">
        <v>16/06/2009</v>
      </c>
      <c r="AZ3962">
        <v>43.6</v>
      </c>
      <c r="BA3962">
        <v>28.7</v>
      </c>
    </row>
    <row r="3963" spans="51:53" x14ac:dyDescent="0.3">
      <c r="AY3963" t="str">
        <v>15/06/2009</v>
      </c>
      <c r="AZ3963">
        <v>43.6</v>
      </c>
      <c r="BA3963">
        <v>28.7</v>
      </c>
    </row>
    <row r="3964" spans="51:53" x14ac:dyDescent="0.3">
      <c r="AY3964" t="str">
        <v>12/06/2009</v>
      </c>
      <c r="AZ3964">
        <v>44.8</v>
      </c>
      <c r="BA3964">
        <v>26.4</v>
      </c>
    </row>
    <row r="3965" spans="51:53" x14ac:dyDescent="0.3">
      <c r="AY3965" t="str">
        <v>11/06/2009</v>
      </c>
      <c r="AZ3965">
        <v>44.8</v>
      </c>
      <c r="BA3965">
        <v>26.4</v>
      </c>
    </row>
    <row r="3966" spans="51:53" x14ac:dyDescent="0.3">
      <c r="AY3966" t="str">
        <v>10/06/2009</v>
      </c>
      <c r="AZ3966">
        <v>44.8</v>
      </c>
      <c r="BA3966">
        <v>26.4</v>
      </c>
    </row>
    <row r="3967" spans="51:53" x14ac:dyDescent="0.3">
      <c r="AY3967" t="str">
        <v>09/06/2009</v>
      </c>
      <c r="AZ3967">
        <v>44.8</v>
      </c>
      <c r="BA3967">
        <v>26.4</v>
      </c>
    </row>
    <row r="3968" spans="51:53" x14ac:dyDescent="0.3">
      <c r="AY3968" t="str">
        <v>08/06/2009</v>
      </c>
      <c r="AZ3968">
        <v>44.8</v>
      </c>
      <c r="BA3968">
        <v>26.4</v>
      </c>
    </row>
    <row r="3969" spans="51:53" x14ac:dyDescent="0.3">
      <c r="AY3969" t="str">
        <v>05/06/2009</v>
      </c>
      <c r="AZ3969">
        <v>47.7</v>
      </c>
      <c r="BA3969">
        <v>23.3</v>
      </c>
    </row>
    <row r="3970" spans="51:53" x14ac:dyDescent="0.3">
      <c r="AY3970" t="str">
        <v>04/06/2009</v>
      </c>
      <c r="AZ3970">
        <v>47.7</v>
      </c>
      <c r="BA3970">
        <v>23.3</v>
      </c>
    </row>
    <row r="3971" spans="51:53" x14ac:dyDescent="0.3">
      <c r="AY3971" t="str">
        <v>03/06/2009</v>
      </c>
      <c r="AZ3971">
        <v>47.7</v>
      </c>
      <c r="BA3971">
        <v>23.3</v>
      </c>
    </row>
    <row r="3972" spans="51:53" x14ac:dyDescent="0.3">
      <c r="AY3972" t="str">
        <v>02/06/2009</v>
      </c>
      <c r="AZ3972">
        <v>47.7</v>
      </c>
      <c r="BA3972">
        <v>23.3</v>
      </c>
    </row>
    <row r="3973" spans="51:53" x14ac:dyDescent="0.3">
      <c r="AY3973" t="str">
        <v>01/06/2009</v>
      </c>
      <c r="AZ3973">
        <v>47.7</v>
      </c>
      <c r="BA3973">
        <v>23.3</v>
      </c>
    </row>
    <row r="3974" spans="51:53" x14ac:dyDescent="0.3">
      <c r="AY3974" t="str">
        <v>29/05/2009</v>
      </c>
      <c r="AZ3974">
        <v>42.5</v>
      </c>
      <c r="BA3974">
        <v>25.3</v>
      </c>
    </row>
    <row r="3975" spans="51:53" x14ac:dyDescent="0.3">
      <c r="AY3975" t="str">
        <v>28/05/2009</v>
      </c>
      <c r="AZ3975">
        <v>42.5</v>
      </c>
      <c r="BA3975">
        <v>25.3</v>
      </c>
    </row>
    <row r="3976" spans="51:53" x14ac:dyDescent="0.3">
      <c r="AY3976" t="str">
        <v>27/05/2009</v>
      </c>
      <c r="AZ3976">
        <v>42.5</v>
      </c>
      <c r="BA3976">
        <v>25.3</v>
      </c>
    </row>
    <row r="3977" spans="51:53" x14ac:dyDescent="0.3">
      <c r="AY3977" t="str">
        <v>26/05/2009</v>
      </c>
      <c r="AZ3977">
        <v>42.5</v>
      </c>
      <c r="BA3977">
        <v>25.3</v>
      </c>
    </row>
    <row r="3978" spans="51:53" x14ac:dyDescent="0.3">
      <c r="AY3978" t="str">
        <v>25/05/2009</v>
      </c>
      <c r="AZ3978">
        <v>42.5</v>
      </c>
      <c r="BA3978">
        <v>25.3</v>
      </c>
    </row>
    <row r="3979" spans="51:53" x14ac:dyDescent="0.3">
      <c r="AY3979" t="str">
        <v>22/05/2009</v>
      </c>
      <c r="AZ3979">
        <v>40.9</v>
      </c>
      <c r="BA3979">
        <v>28.4</v>
      </c>
    </row>
    <row r="3980" spans="51:53" x14ac:dyDescent="0.3">
      <c r="AY3980" t="str">
        <v>21/05/2009</v>
      </c>
      <c r="AZ3980">
        <v>40.9</v>
      </c>
      <c r="BA3980">
        <v>28.4</v>
      </c>
    </row>
    <row r="3981" spans="51:53" x14ac:dyDescent="0.3">
      <c r="AY3981" t="str">
        <v>20/05/2009</v>
      </c>
      <c r="AZ3981">
        <v>40.9</v>
      </c>
      <c r="BA3981">
        <v>28.4</v>
      </c>
    </row>
    <row r="3982" spans="51:53" x14ac:dyDescent="0.3">
      <c r="AY3982" t="str">
        <v>19/05/2009</v>
      </c>
      <c r="AZ3982">
        <v>40.9</v>
      </c>
      <c r="BA3982">
        <v>28.4</v>
      </c>
    </row>
    <row r="3983" spans="51:53" x14ac:dyDescent="0.3">
      <c r="AY3983" t="str">
        <v>18/05/2009</v>
      </c>
      <c r="AZ3983">
        <v>40.9</v>
      </c>
      <c r="BA3983">
        <v>28.4</v>
      </c>
    </row>
    <row r="3984" spans="51:53" x14ac:dyDescent="0.3">
      <c r="AY3984" t="str">
        <v>15/05/2009</v>
      </c>
      <c r="AZ3984">
        <v>40.700000000000003</v>
      </c>
      <c r="BA3984">
        <v>29.1</v>
      </c>
    </row>
    <row r="3985" spans="51:53" x14ac:dyDescent="0.3">
      <c r="AY3985" t="str">
        <v>14/05/2009</v>
      </c>
      <c r="AZ3985">
        <v>40.700000000000003</v>
      </c>
      <c r="BA3985">
        <v>29.1</v>
      </c>
    </row>
    <row r="3986" spans="51:53" x14ac:dyDescent="0.3">
      <c r="AY3986" t="str">
        <v>13/05/2009</v>
      </c>
      <c r="AZ3986">
        <v>40.700000000000003</v>
      </c>
      <c r="BA3986">
        <v>29.1</v>
      </c>
    </row>
    <row r="3987" spans="51:53" x14ac:dyDescent="0.3">
      <c r="AY3987" t="str">
        <v>12/05/2009</v>
      </c>
      <c r="AZ3987">
        <v>40.700000000000003</v>
      </c>
      <c r="BA3987">
        <v>29.1</v>
      </c>
    </row>
    <row r="3988" spans="51:53" x14ac:dyDescent="0.3">
      <c r="AY3988" t="str">
        <v>11/05/2009</v>
      </c>
      <c r="AZ3988">
        <v>40.700000000000003</v>
      </c>
      <c r="BA3988">
        <v>29.1</v>
      </c>
    </row>
    <row r="3989" spans="51:53" x14ac:dyDescent="0.3">
      <c r="AY3989" t="str">
        <v>08/05/2009</v>
      </c>
      <c r="AZ3989">
        <v>41</v>
      </c>
      <c r="BA3989">
        <v>33.700000000000003</v>
      </c>
    </row>
    <row r="3990" spans="51:53" x14ac:dyDescent="0.3">
      <c r="AY3990" t="str">
        <v>07/05/2009</v>
      </c>
      <c r="AZ3990">
        <v>41</v>
      </c>
      <c r="BA3990">
        <v>33.700000000000003</v>
      </c>
    </row>
    <row r="3991" spans="51:53" x14ac:dyDescent="0.3">
      <c r="AY3991" t="str">
        <v>06/05/2009</v>
      </c>
      <c r="AZ3991">
        <v>41</v>
      </c>
      <c r="BA3991">
        <v>33.700000000000003</v>
      </c>
    </row>
    <row r="3992" spans="51:53" x14ac:dyDescent="0.3">
      <c r="AY3992" t="str">
        <v>05/05/2009</v>
      </c>
      <c r="AZ3992">
        <v>41</v>
      </c>
      <c r="BA3992">
        <v>33.700000000000003</v>
      </c>
    </row>
    <row r="3993" spans="51:53" x14ac:dyDescent="0.3">
      <c r="AY3993" t="str">
        <v>04/05/2009</v>
      </c>
      <c r="AZ3993">
        <v>41</v>
      </c>
      <c r="BA3993">
        <v>33.700000000000003</v>
      </c>
    </row>
    <row r="3994" spans="51:53" x14ac:dyDescent="0.3">
      <c r="AY3994" t="str">
        <v>01/05/2009</v>
      </c>
      <c r="AZ3994">
        <v>40.4</v>
      </c>
      <c r="BA3994">
        <v>31.5</v>
      </c>
    </row>
    <row r="3995" spans="51:53" x14ac:dyDescent="0.3">
      <c r="AY3995" t="str">
        <v>30/04/2009</v>
      </c>
      <c r="AZ3995">
        <v>40.4</v>
      </c>
      <c r="BA3995">
        <v>31.5</v>
      </c>
    </row>
    <row r="3996" spans="51:53" x14ac:dyDescent="0.3">
      <c r="AY3996" t="str">
        <v>29/04/2009</v>
      </c>
      <c r="AZ3996">
        <v>40.4</v>
      </c>
      <c r="BA3996">
        <v>31.5</v>
      </c>
    </row>
    <row r="3997" spans="51:53" x14ac:dyDescent="0.3">
      <c r="AY3997" t="str">
        <v>28/04/2009</v>
      </c>
      <c r="AZ3997">
        <v>40.4</v>
      </c>
      <c r="BA3997">
        <v>31.5</v>
      </c>
    </row>
    <row r="3998" spans="51:53" x14ac:dyDescent="0.3">
      <c r="AY3998" t="str">
        <v>27/04/2009</v>
      </c>
      <c r="AZ3998">
        <v>40.4</v>
      </c>
      <c r="BA3998">
        <v>31.5</v>
      </c>
    </row>
    <row r="3999" spans="51:53" x14ac:dyDescent="0.3">
      <c r="AY3999" t="str">
        <v>24/04/2009</v>
      </c>
      <c r="AZ3999">
        <v>36</v>
      </c>
      <c r="BA3999">
        <v>37.200000000000003</v>
      </c>
    </row>
    <row r="4000" spans="51:53" x14ac:dyDescent="0.3">
      <c r="AY4000" t="str">
        <v>23/04/2009</v>
      </c>
      <c r="AZ4000">
        <v>36</v>
      </c>
      <c r="BA4000">
        <v>37.200000000000003</v>
      </c>
    </row>
    <row r="4001" spans="51:53" x14ac:dyDescent="0.3">
      <c r="AY4001" t="str">
        <v>22/04/2009</v>
      </c>
      <c r="AZ4001">
        <v>36</v>
      </c>
      <c r="BA4001">
        <v>37.200000000000003</v>
      </c>
    </row>
    <row r="4002" spans="51:53" x14ac:dyDescent="0.3">
      <c r="AY4002" t="str">
        <v>21/04/2009</v>
      </c>
      <c r="AZ4002">
        <v>36</v>
      </c>
      <c r="BA4002">
        <v>37.200000000000003</v>
      </c>
    </row>
    <row r="4003" spans="51:53" x14ac:dyDescent="0.3">
      <c r="AY4003" t="str">
        <v>20/04/2009</v>
      </c>
      <c r="AZ4003">
        <v>36</v>
      </c>
      <c r="BA4003">
        <v>37.200000000000003</v>
      </c>
    </row>
    <row r="4004" spans="51:53" x14ac:dyDescent="0.3">
      <c r="AY4004" t="str">
        <v>17/04/2009</v>
      </c>
      <c r="AZ4004">
        <v>39.1</v>
      </c>
      <c r="BA4004">
        <v>34.5</v>
      </c>
    </row>
    <row r="4005" spans="51:53" x14ac:dyDescent="0.3">
      <c r="AY4005" t="str">
        <v>16/04/2009</v>
      </c>
      <c r="AZ4005">
        <v>39.1</v>
      </c>
      <c r="BA4005">
        <v>34.5</v>
      </c>
    </row>
    <row r="4006" spans="51:53" x14ac:dyDescent="0.3">
      <c r="AY4006" t="str">
        <v>15/04/2009</v>
      </c>
      <c r="AZ4006">
        <v>39.1</v>
      </c>
      <c r="BA4006">
        <v>34.5</v>
      </c>
    </row>
    <row r="4007" spans="51:53" x14ac:dyDescent="0.3">
      <c r="AY4007" t="str">
        <v>14/04/2009</v>
      </c>
      <c r="AZ4007">
        <v>39.1</v>
      </c>
      <c r="BA4007">
        <v>34.5</v>
      </c>
    </row>
    <row r="4008" spans="51:53" x14ac:dyDescent="0.3">
      <c r="AY4008" t="str">
        <v>13/04/2009</v>
      </c>
      <c r="AZ4008">
        <v>39.1</v>
      </c>
      <c r="BA4008">
        <v>34.5</v>
      </c>
    </row>
    <row r="4009" spans="51:53" x14ac:dyDescent="0.3">
      <c r="AY4009" t="str">
        <v>10/04/2009</v>
      </c>
      <c r="AZ4009">
        <v>43.2</v>
      </c>
      <c r="BA4009">
        <v>34.1</v>
      </c>
    </row>
    <row r="4010" spans="51:53" x14ac:dyDescent="0.3">
      <c r="AY4010" t="str">
        <v>09/04/2009</v>
      </c>
      <c r="AZ4010">
        <v>43.2</v>
      </c>
      <c r="BA4010">
        <v>34.1</v>
      </c>
    </row>
    <row r="4011" spans="51:53" x14ac:dyDescent="0.3">
      <c r="AY4011" t="str">
        <v>08/04/2009</v>
      </c>
      <c r="AZ4011">
        <v>43.2</v>
      </c>
      <c r="BA4011">
        <v>34.1</v>
      </c>
    </row>
    <row r="4012" spans="51:53" x14ac:dyDescent="0.3">
      <c r="AY4012" t="str">
        <v>07/04/2009</v>
      </c>
      <c r="AZ4012">
        <v>43.2</v>
      </c>
      <c r="BA4012">
        <v>34.1</v>
      </c>
    </row>
    <row r="4013" spans="51:53" x14ac:dyDescent="0.3">
      <c r="AY4013" t="str">
        <v>06/04/2009</v>
      </c>
      <c r="AZ4013">
        <v>43.2</v>
      </c>
      <c r="BA4013">
        <v>34.1</v>
      </c>
    </row>
    <row r="4014" spans="51:53" x14ac:dyDescent="0.3">
      <c r="AY4014" t="str">
        <v>03/04/2009</v>
      </c>
      <c r="AZ4014">
        <v>36</v>
      </c>
      <c r="BA4014">
        <v>37.1</v>
      </c>
    </row>
    <row r="4015" spans="51:53" x14ac:dyDescent="0.3">
      <c r="AY4015" t="str">
        <v>02/04/2009</v>
      </c>
      <c r="AZ4015">
        <v>36</v>
      </c>
      <c r="BA4015">
        <v>37.1</v>
      </c>
    </row>
    <row r="4016" spans="51:53" x14ac:dyDescent="0.3">
      <c r="AY4016" t="str">
        <v>01/04/2009</v>
      </c>
      <c r="AZ4016">
        <v>36</v>
      </c>
      <c r="BA4016">
        <v>37.1</v>
      </c>
    </row>
    <row r="4017" spans="51:53" x14ac:dyDescent="0.3">
      <c r="AY4017" t="str">
        <v>31/03/2009</v>
      </c>
      <c r="AZ4017">
        <v>36</v>
      </c>
      <c r="BA4017">
        <v>37.1</v>
      </c>
    </row>
    <row r="4018" spans="51:53" x14ac:dyDescent="0.3">
      <c r="AY4018" t="str">
        <v>30/03/2009</v>
      </c>
      <c r="AZ4018">
        <v>36</v>
      </c>
      <c r="BA4018">
        <v>37.1</v>
      </c>
    </row>
    <row r="4019" spans="51:53" x14ac:dyDescent="0.3">
      <c r="AY4019" t="str">
        <v>27/03/2009</v>
      </c>
      <c r="AZ4019">
        <v>31</v>
      </c>
      <c r="BA4019">
        <v>38</v>
      </c>
    </row>
    <row r="4020" spans="51:53" x14ac:dyDescent="0.3">
      <c r="AY4020" t="str">
        <v>26/03/2009</v>
      </c>
      <c r="AZ4020">
        <v>31</v>
      </c>
      <c r="BA4020">
        <v>38</v>
      </c>
    </row>
    <row r="4021" spans="51:53" x14ac:dyDescent="0.3">
      <c r="AY4021" t="str">
        <v>25/03/2009</v>
      </c>
      <c r="AZ4021">
        <v>31</v>
      </c>
      <c r="BA4021">
        <v>38</v>
      </c>
    </row>
    <row r="4022" spans="51:53" x14ac:dyDescent="0.3">
      <c r="AY4022" t="str">
        <v>24/03/2009</v>
      </c>
      <c r="AZ4022">
        <v>31</v>
      </c>
      <c r="BA4022">
        <v>38</v>
      </c>
    </row>
    <row r="4023" spans="51:53" x14ac:dyDescent="0.3">
      <c r="AY4023" t="str">
        <v>23/03/2009</v>
      </c>
      <c r="AZ4023">
        <v>31</v>
      </c>
      <c r="BA4023">
        <v>38</v>
      </c>
    </row>
    <row r="4024" spans="51:53" x14ac:dyDescent="0.3">
      <c r="AY4024" t="str">
        <v>20/03/2009</v>
      </c>
      <c r="AZ4024">
        <v>28.9</v>
      </c>
      <c r="BA4024">
        <v>43.3</v>
      </c>
    </row>
    <row r="4025" spans="51:53" x14ac:dyDescent="0.3">
      <c r="AY4025" t="str">
        <v>19/03/2009</v>
      </c>
      <c r="AZ4025">
        <v>28.9</v>
      </c>
      <c r="BA4025">
        <v>43.3</v>
      </c>
    </row>
    <row r="4026" spans="51:53" x14ac:dyDescent="0.3">
      <c r="AY4026" t="str">
        <v>18/03/2009</v>
      </c>
      <c r="AZ4026">
        <v>28.9</v>
      </c>
      <c r="BA4026">
        <v>43.3</v>
      </c>
    </row>
    <row r="4027" spans="51:53" x14ac:dyDescent="0.3">
      <c r="AY4027" t="str">
        <v>17/03/2009</v>
      </c>
      <c r="AZ4027">
        <v>28.9</v>
      </c>
      <c r="BA4027">
        <v>43.3</v>
      </c>
    </row>
    <row r="4028" spans="51:53" x14ac:dyDescent="0.3">
      <c r="AY4028" t="str">
        <v>16/03/2009</v>
      </c>
      <c r="AZ4028">
        <v>28.9</v>
      </c>
      <c r="BA4028">
        <v>43.3</v>
      </c>
    </row>
    <row r="4029" spans="51:53" x14ac:dyDescent="0.3">
      <c r="AY4029" t="str">
        <v>13/03/2009</v>
      </c>
      <c r="AZ4029">
        <v>28.4</v>
      </c>
      <c r="BA4029">
        <v>44.3</v>
      </c>
    </row>
    <row r="4030" spans="51:53" x14ac:dyDescent="0.3">
      <c r="AY4030" t="str">
        <v>12/03/2009</v>
      </c>
      <c r="AZ4030">
        <v>28.4</v>
      </c>
      <c r="BA4030">
        <v>44.3</v>
      </c>
    </row>
    <row r="4031" spans="51:53" x14ac:dyDescent="0.3">
      <c r="AY4031" t="str">
        <v>11/03/2009</v>
      </c>
      <c r="AZ4031">
        <v>28.4</v>
      </c>
      <c r="BA4031">
        <v>44.3</v>
      </c>
    </row>
    <row r="4032" spans="51:53" x14ac:dyDescent="0.3">
      <c r="AY4032" t="str">
        <v>10/03/2009</v>
      </c>
      <c r="AZ4032">
        <v>28.4</v>
      </c>
      <c r="BA4032">
        <v>44.3</v>
      </c>
    </row>
    <row r="4033" spans="51:53" x14ac:dyDescent="0.3">
      <c r="AY4033" t="str">
        <v>09/03/2009</v>
      </c>
      <c r="AZ4033">
        <v>28.4</v>
      </c>
      <c r="BA4033">
        <v>44.3</v>
      </c>
    </row>
    <row r="4034" spans="51:53" x14ac:dyDescent="0.3">
      <c r="AY4034" t="str">
        <v>06/03/2009</v>
      </c>
      <c r="AZ4034">
        <v>26.4</v>
      </c>
      <c r="BA4034">
        <v>47.2</v>
      </c>
    </row>
    <row r="4035" spans="51:53" x14ac:dyDescent="0.3">
      <c r="AY4035" t="str">
        <v>05/03/2009</v>
      </c>
      <c r="AZ4035">
        <v>26.4</v>
      </c>
      <c r="BA4035">
        <v>47.2</v>
      </c>
    </row>
    <row r="4036" spans="51:53" x14ac:dyDescent="0.3">
      <c r="AY4036" t="str">
        <v>04/03/2009</v>
      </c>
      <c r="AZ4036">
        <v>26.4</v>
      </c>
      <c r="BA4036">
        <v>47.2</v>
      </c>
    </row>
    <row r="4037" spans="51:53" x14ac:dyDescent="0.3">
      <c r="AY4037" t="str">
        <v>03/03/2009</v>
      </c>
      <c r="AZ4037">
        <v>26.4</v>
      </c>
      <c r="BA4037">
        <v>47.2</v>
      </c>
    </row>
    <row r="4038" spans="51:53" x14ac:dyDescent="0.3">
      <c r="AY4038" t="str">
        <v>02/03/2009</v>
      </c>
      <c r="AZ4038">
        <v>26.4</v>
      </c>
      <c r="BA4038">
        <v>47.2</v>
      </c>
    </row>
    <row r="4039" spans="51:53" x14ac:dyDescent="0.3">
      <c r="AY4039" t="str">
        <v>27/02/2009</v>
      </c>
      <c r="AZ4039">
        <v>29.7</v>
      </c>
      <c r="BA4039">
        <v>44</v>
      </c>
    </row>
    <row r="4040" spans="51:53" x14ac:dyDescent="0.3">
      <c r="AY4040" t="str">
        <v>26/02/2009</v>
      </c>
      <c r="AZ4040">
        <v>29.7</v>
      </c>
      <c r="BA4040">
        <v>44</v>
      </c>
    </row>
    <row r="4041" spans="51:53" x14ac:dyDescent="0.3">
      <c r="AY4041" t="str">
        <v>25/02/2009</v>
      </c>
      <c r="AZ4041">
        <v>29.7</v>
      </c>
      <c r="BA4041">
        <v>44</v>
      </c>
    </row>
    <row r="4042" spans="51:53" x14ac:dyDescent="0.3">
      <c r="AY4042" t="str">
        <v>24/02/2009</v>
      </c>
      <c r="AZ4042">
        <v>29.7</v>
      </c>
      <c r="BA4042">
        <v>44</v>
      </c>
    </row>
    <row r="4043" spans="51:53" x14ac:dyDescent="0.3">
      <c r="AY4043" t="str">
        <v>23/02/2009</v>
      </c>
      <c r="AZ4043">
        <v>29.7</v>
      </c>
      <c r="BA4043">
        <v>44</v>
      </c>
    </row>
    <row r="4044" spans="51:53" x14ac:dyDescent="0.3">
      <c r="AY4044" t="str">
        <v>20/02/2009</v>
      </c>
      <c r="AZ4044">
        <v>28.6</v>
      </c>
      <c r="BA4044">
        <v>45.1</v>
      </c>
    </row>
    <row r="4045" spans="51:53" x14ac:dyDescent="0.3">
      <c r="AY4045" t="str">
        <v>19/02/2009</v>
      </c>
      <c r="AZ4045">
        <v>28.6</v>
      </c>
      <c r="BA4045">
        <v>45.1</v>
      </c>
    </row>
    <row r="4046" spans="51:53" x14ac:dyDescent="0.3">
      <c r="AY4046" t="str">
        <v>18/02/2009</v>
      </c>
      <c r="AZ4046">
        <v>28.6</v>
      </c>
      <c r="BA4046">
        <v>45.1</v>
      </c>
    </row>
    <row r="4047" spans="51:53" x14ac:dyDescent="0.3">
      <c r="AY4047" t="str">
        <v>17/02/2009</v>
      </c>
      <c r="AZ4047">
        <v>28.6</v>
      </c>
      <c r="BA4047">
        <v>45.1</v>
      </c>
    </row>
    <row r="4048" spans="51:53" x14ac:dyDescent="0.3">
      <c r="AY4048" t="str">
        <v>16/02/2009</v>
      </c>
      <c r="AZ4048">
        <v>28.6</v>
      </c>
      <c r="BA4048">
        <v>45.1</v>
      </c>
    </row>
    <row r="4049" spans="51:53" x14ac:dyDescent="0.3">
      <c r="AY4049" t="str">
        <v>13/02/2009</v>
      </c>
      <c r="AZ4049">
        <v>31.1</v>
      </c>
      <c r="BA4049">
        <v>41.1</v>
      </c>
    </row>
    <row r="4050" spans="51:53" x14ac:dyDescent="0.3">
      <c r="AY4050" t="str">
        <v>12/02/2009</v>
      </c>
      <c r="AZ4050">
        <v>31.1</v>
      </c>
      <c r="BA4050">
        <v>41.1</v>
      </c>
    </row>
    <row r="4051" spans="51:53" x14ac:dyDescent="0.3">
      <c r="AY4051" t="str">
        <v>11/02/2009</v>
      </c>
      <c r="AZ4051">
        <v>31.1</v>
      </c>
      <c r="BA4051">
        <v>41.1</v>
      </c>
    </row>
    <row r="4052" spans="51:53" x14ac:dyDescent="0.3">
      <c r="AY4052" t="str">
        <v>10/02/2009</v>
      </c>
      <c r="AZ4052">
        <v>31.1</v>
      </c>
      <c r="BA4052">
        <v>41.1</v>
      </c>
    </row>
    <row r="4053" spans="51:53" x14ac:dyDescent="0.3">
      <c r="AY4053" t="str">
        <v>09/02/2009</v>
      </c>
      <c r="AZ4053">
        <v>31.1</v>
      </c>
      <c r="BA4053">
        <v>41.1</v>
      </c>
    </row>
    <row r="4054" spans="51:53" x14ac:dyDescent="0.3">
      <c r="AY4054" t="str">
        <v>06/02/2009</v>
      </c>
      <c r="AZ4054">
        <v>32.299999999999997</v>
      </c>
      <c r="BA4054">
        <v>38.700000000000003</v>
      </c>
    </row>
    <row r="4055" spans="51:53" x14ac:dyDescent="0.3">
      <c r="AY4055" t="str">
        <v>05/02/2009</v>
      </c>
      <c r="AZ4055">
        <v>32.299999999999997</v>
      </c>
      <c r="BA4055">
        <v>38.700000000000003</v>
      </c>
    </row>
    <row r="4056" spans="51:53" x14ac:dyDescent="0.3">
      <c r="AY4056" t="str">
        <v>04/02/2009</v>
      </c>
      <c r="AZ4056">
        <v>32.299999999999997</v>
      </c>
      <c r="BA4056">
        <v>38.700000000000003</v>
      </c>
    </row>
    <row r="4057" spans="51:53" x14ac:dyDescent="0.3">
      <c r="AY4057" t="str">
        <v>03/02/2009</v>
      </c>
      <c r="AZ4057">
        <v>32.299999999999997</v>
      </c>
      <c r="BA4057">
        <v>38.700000000000003</v>
      </c>
    </row>
    <row r="4058" spans="51:53" x14ac:dyDescent="0.3">
      <c r="AY4058" t="str">
        <v>02/02/2009</v>
      </c>
      <c r="AZ4058">
        <v>32.299999999999997</v>
      </c>
      <c r="BA4058">
        <v>38.700000000000003</v>
      </c>
    </row>
    <row r="4059" spans="51:53" x14ac:dyDescent="0.3">
      <c r="AY4059" t="str">
        <v>30/01/2009</v>
      </c>
      <c r="AZ4059">
        <v>35.200000000000003</v>
      </c>
      <c r="BA4059">
        <v>36.299999999999997</v>
      </c>
    </row>
    <row r="4060" spans="51:53" x14ac:dyDescent="0.3">
      <c r="AY4060" t="str">
        <v>29/01/2009</v>
      </c>
      <c r="AZ4060">
        <v>35.200000000000003</v>
      </c>
      <c r="BA4060">
        <v>36.299999999999997</v>
      </c>
    </row>
    <row r="4061" spans="51:53" x14ac:dyDescent="0.3">
      <c r="AY4061" t="str">
        <v>28/01/2009</v>
      </c>
      <c r="AZ4061">
        <v>35.200000000000003</v>
      </c>
      <c r="BA4061">
        <v>36.299999999999997</v>
      </c>
    </row>
    <row r="4062" spans="51:53" x14ac:dyDescent="0.3">
      <c r="AY4062" t="str">
        <v>27/01/2009</v>
      </c>
      <c r="AZ4062">
        <v>35.200000000000003</v>
      </c>
      <c r="BA4062">
        <v>36.299999999999997</v>
      </c>
    </row>
    <row r="4063" spans="51:53" x14ac:dyDescent="0.3">
      <c r="AY4063" t="str">
        <v>26/01/2009</v>
      </c>
      <c r="AZ4063">
        <v>35.200000000000003</v>
      </c>
      <c r="BA4063">
        <v>36.299999999999997</v>
      </c>
    </row>
    <row r="4064" spans="51:53" x14ac:dyDescent="0.3">
      <c r="AY4064" t="str">
        <v>23/01/2009</v>
      </c>
      <c r="AZ4064">
        <v>34.799999999999997</v>
      </c>
      <c r="BA4064">
        <v>38</v>
      </c>
    </row>
    <row r="4065" spans="51:53" x14ac:dyDescent="0.3">
      <c r="AY4065" t="str">
        <v>22/01/2009</v>
      </c>
      <c r="AZ4065">
        <v>34.799999999999997</v>
      </c>
      <c r="BA4065">
        <v>38</v>
      </c>
    </row>
    <row r="4066" spans="51:53" x14ac:dyDescent="0.3">
      <c r="AY4066" t="str">
        <v>21/01/2009</v>
      </c>
      <c r="AZ4066">
        <v>34.799999999999997</v>
      </c>
      <c r="BA4066">
        <v>38</v>
      </c>
    </row>
    <row r="4067" spans="51:53" x14ac:dyDescent="0.3">
      <c r="AY4067" t="str">
        <v>20/01/2009</v>
      </c>
      <c r="AZ4067">
        <v>34.799999999999997</v>
      </c>
      <c r="BA4067">
        <v>38</v>
      </c>
    </row>
    <row r="4068" spans="51:53" x14ac:dyDescent="0.3">
      <c r="AY4068" t="str">
        <v>19/01/2009</v>
      </c>
      <c r="AZ4068">
        <v>34.799999999999997</v>
      </c>
      <c r="BA4068">
        <v>38</v>
      </c>
    </row>
    <row r="4069" spans="51:53" x14ac:dyDescent="0.3">
      <c r="AY4069" t="str">
        <v>16/01/2009</v>
      </c>
      <c r="AZ4069">
        <v>38.700000000000003</v>
      </c>
      <c r="BA4069">
        <v>37.6</v>
      </c>
    </row>
    <row r="4070" spans="51:53" x14ac:dyDescent="0.3">
      <c r="AY4070" t="str">
        <v>15/01/2009</v>
      </c>
      <c r="AZ4070">
        <v>38.700000000000003</v>
      </c>
      <c r="BA4070">
        <v>37.6</v>
      </c>
    </row>
    <row r="4071" spans="51:53" x14ac:dyDescent="0.3">
      <c r="AY4071" t="str">
        <v>14/01/2009</v>
      </c>
      <c r="AZ4071">
        <v>38.700000000000003</v>
      </c>
      <c r="BA4071">
        <v>37.6</v>
      </c>
    </row>
    <row r="4072" spans="51:53" x14ac:dyDescent="0.3">
      <c r="AY4072" t="str">
        <v>13/01/2009</v>
      </c>
      <c r="AZ4072">
        <v>38.700000000000003</v>
      </c>
      <c r="BA4072">
        <v>37.6</v>
      </c>
    </row>
    <row r="4073" spans="51:53" x14ac:dyDescent="0.3">
      <c r="AY4073" t="str">
        <v>12/01/2009</v>
      </c>
      <c r="AZ4073">
        <v>38.700000000000003</v>
      </c>
      <c r="BA4073">
        <v>37.6</v>
      </c>
    </row>
    <row r="4074" spans="51:53" x14ac:dyDescent="0.3">
      <c r="AY4074" t="str">
        <v>09/01/2009</v>
      </c>
      <c r="AZ4074">
        <v>43</v>
      </c>
      <c r="BA4074">
        <v>34.4</v>
      </c>
    </row>
    <row r="4075" spans="51:53" x14ac:dyDescent="0.3">
      <c r="AY4075" t="str">
        <v>08/01/2009</v>
      </c>
      <c r="AZ4075">
        <v>43</v>
      </c>
      <c r="BA4075">
        <v>34.4</v>
      </c>
    </row>
    <row r="4076" spans="51:53" x14ac:dyDescent="0.3">
      <c r="AY4076" t="str">
        <v>07/01/2009</v>
      </c>
      <c r="AZ4076">
        <v>43</v>
      </c>
      <c r="BA4076">
        <v>34.4</v>
      </c>
    </row>
    <row r="4077" spans="51:53" x14ac:dyDescent="0.3">
      <c r="AY4077" t="str">
        <v>06/01/2009</v>
      </c>
      <c r="AZ4077">
        <v>43</v>
      </c>
      <c r="BA4077">
        <v>34.4</v>
      </c>
    </row>
    <row r="4078" spans="51:53" x14ac:dyDescent="0.3">
      <c r="AY4078" t="str">
        <v>05/01/2009</v>
      </c>
      <c r="AZ4078">
        <v>43</v>
      </c>
      <c r="BA4078">
        <v>34.4</v>
      </c>
    </row>
    <row r="4079" spans="51:53" x14ac:dyDescent="0.3">
      <c r="AY4079" t="str">
        <v>02/01/2009</v>
      </c>
      <c r="AZ4079">
        <v>41.8</v>
      </c>
      <c r="BA4079">
        <v>34.1</v>
      </c>
    </row>
    <row r="4080" spans="51:53" x14ac:dyDescent="0.3">
      <c r="AY4080" t="str">
        <v>01/01/2009</v>
      </c>
      <c r="AZ4080">
        <v>41.8</v>
      </c>
      <c r="BA4080">
        <v>34.1</v>
      </c>
    </row>
    <row r="4081" spans="51:53" x14ac:dyDescent="0.3">
      <c r="AY4081" t="str">
        <v>31/12/2008</v>
      </c>
      <c r="AZ4081">
        <v>41.8</v>
      </c>
      <c r="BA4081">
        <v>34.1</v>
      </c>
    </row>
    <row r="4082" spans="51:53" x14ac:dyDescent="0.3">
      <c r="AY4082" t="str">
        <v>30/12/2008</v>
      </c>
      <c r="AZ4082">
        <v>41.8</v>
      </c>
      <c r="BA4082">
        <v>34.1</v>
      </c>
    </row>
    <row r="4083" spans="51:53" x14ac:dyDescent="0.3">
      <c r="AY4083" t="str">
        <v>29/12/2008</v>
      </c>
      <c r="AZ4083">
        <v>41.8</v>
      </c>
      <c r="BA4083">
        <v>34.1</v>
      </c>
    </row>
    <row r="4084" spans="51:53" x14ac:dyDescent="0.3">
      <c r="AY4084" t="str">
        <v>26/12/2008</v>
      </c>
      <c r="AZ4084">
        <v>38.5</v>
      </c>
      <c r="BA4084">
        <v>38.5</v>
      </c>
    </row>
    <row r="4085" spans="51:53" x14ac:dyDescent="0.3">
      <c r="AY4085" t="str">
        <v>25/12/2008</v>
      </c>
      <c r="AZ4085">
        <v>38.5</v>
      </c>
      <c r="BA4085">
        <v>38.5</v>
      </c>
    </row>
    <row r="4086" spans="51:53" x14ac:dyDescent="0.3">
      <c r="AY4086" t="str">
        <v>24/12/2008</v>
      </c>
      <c r="AZ4086">
        <v>38.5</v>
      </c>
      <c r="BA4086">
        <v>38.5</v>
      </c>
    </row>
    <row r="4087" spans="51:53" x14ac:dyDescent="0.3">
      <c r="AY4087" t="str">
        <v>23/12/2008</v>
      </c>
      <c r="AZ4087">
        <v>38.5</v>
      </c>
      <c r="BA4087">
        <v>38.5</v>
      </c>
    </row>
    <row r="4088" spans="51:53" x14ac:dyDescent="0.3">
      <c r="AY4088" t="str">
        <v>22/12/2008</v>
      </c>
      <c r="AZ4088">
        <v>38.5</v>
      </c>
      <c r="BA4088">
        <v>38.5</v>
      </c>
    </row>
    <row r="4089" spans="51:53" x14ac:dyDescent="0.3">
      <c r="AY4089" t="str">
        <v>19/12/2008</v>
      </c>
      <c r="AZ4089">
        <v>35.1</v>
      </c>
      <c r="BA4089">
        <v>38.299999999999997</v>
      </c>
    </row>
    <row r="4090" spans="51:53" x14ac:dyDescent="0.3">
      <c r="AY4090" t="str">
        <v>18/12/2008</v>
      </c>
      <c r="AZ4090">
        <v>35.1</v>
      </c>
      <c r="BA4090">
        <v>38.299999999999997</v>
      </c>
    </row>
    <row r="4091" spans="51:53" x14ac:dyDescent="0.3">
      <c r="AY4091" t="str">
        <v>17/12/2008</v>
      </c>
      <c r="AZ4091">
        <v>35.1</v>
      </c>
      <c r="BA4091">
        <v>38.299999999999997</v>
      </c>
    </row>
    <row r="4092" spans="51:53" x14ac:dyDescent="0.3">
      <c r="AY4092" t="str">
        <v>16/12/2008</v>
      </c>
      <c r="AZ4092">
        <v>35.1</v>
      </c>
      <c r="BA4092">
        <v>38.299999999999997</v>
      </c>
    </row>
    <row r="4093" spans="51:53" x14ac:dyDescent="0.3">
      <c r="AY4093" t="str">
        <v>15/12/2008</v>
      </c>
      <c r="AZ4093">
        <v>35.1</v>
      </c>
      <c r="BA4093">
        <v>38.299999999999997</v>
      </c>
    </row>
    <row r="4094" spans="51:53" x14ac:dyDescent="0.3">
      <c r="AY4094" t="str">
        <v>12/12/2008</v>
      </c>
      <c r="AZ4094">
        <v>26.9</v>
      </c>
      <c r="BA4094">
        <v>47.3</v>
      </c>
    </row>
    <row r="4095" spans="51:53" x14ac:dyDescent="0.3">
      <c r="AY4095" t="str">
        <v>11/12/2008</v>
      </c>
      <c r="AZ4095">
        <v>26.9</v>
      </c>
      <c r="BA4095">
        <v>47.3</v>
      </c>
    </row>
    <row r="4096" spans="51:53" x14ac:dyDescent="0.3">
      <c r="AY4096" t="str">
        <v>10/12/2008</v>
      </c>
      <c r="AZ4096">
        <v>26.9</v>
      </c>
      <c r="BA4096">
        <v>47.3</v>
      </c>
    </row>
    <row r="4097" spans="51:53" x14ac:dyDescent="0.3">
      <c r="AY4097" t="str">
        <v>09/12/2008</v>
      </c>
      <c r="AZ4097">
        <v>26.9</v>
      </c>
      <c r="BA4097">
        <v>47.3</v>
      </c>
    </row>
    <row r="4098" spans="51:53" x14ac:dyDescent="0.3">
      <c r="AY4098" t="str">
        <v>08/12/2008</v>
      </c>
      <c r="AZ4098">
        <v>26.9</v>
      </c>
      <c r="BA4098">
        <v>47.3</v>
      </c>
    </row>
    <row r="4099" spans="51:53" x14ac:dyDescent="0.3">
      <c r="AY4099" t="str">
        <v>05/12/2008</v>
      </c>
      <c r="AZ4099">
        <v>25.3</v>
      </c>
      <c r="BA4099">
        <v>46.2</v>
      </c>
    </row>
    <row r="4100" spans="51:53" x14ac:dyDescent="0.3">
      <c r="AY4100" t="str">
        <v>04/12/2008</v>
      </c>
      <c r="AZ4100">
        <v>25.3</v>
      </c>
      <c r="BA4100">
        <v>46.2</v>
      </c>
    </row>
    <row r="4101" spans="51:53" x14ac:dyDescent="0.3">
      <c r="AY4101" t="str">
        <v>03/12/2008</v>
      </c>
      <c r="AZ4101">
        <v>25.3</v>
      </c>
      <c r="BA4101">
        <v>46.2</v>
      </c>
    </row>
    <row r="4102" spans="51:53" x14ac:dyDescent="0.3">
      <c r="AY4102" t="str">
        <v>02/12/2008</v>
      </c>
      <c r="AZ4102">
        <v>25.3</v>
      </c>
      <c r="BA4102">
        <v>46.2</v>
      </c>
    </row>
    <row r="4103" spans="51:53" x14ac:dyDescent="0.3">
      <c r="AY4103" t="str">
        <v>01/12/2008</v>
      </c>
      <c r="AZ4103">
        <v>25.3</v>
      </c>
      <c r="BA4103">
        <v>46.2</v>
      </c>
    </row>
    <row r="4104" spans="51:53" x14ac:dyDescent="0.3">
      <c r="AY4104" t="str">
        <v>28/11/2008</v>
      </c>
      <c r="AZ4104">
        <v>23.1</v>
      </c>
      <c r="BA4104">
        <v>49.5</v>
      </c>
    </row>
    <row r="4105" spans="51:53" x14ac:dyDescent="0.3">
      <c r="AY4105" t="str">
        <v>27/11/2008</v>
      </c>
      <c r="AZ4105">
        <v>23.1</v>
      </c>
      <c r="BA4105">
        <v>49.5</v>
      </c>
    </row>
    <row r="4106" spans="51:53" x14ac:dyDescent="0.3">
      <c r="AY4106" t="str">
        <v>26/11/2008</v>
      </c>
      <c r="AZ4106">
        <v>23.1</v>
      </c>
      <c r="BA4106">
        <v>49.5</v>
      </c>
    </row>
    <row r="4107" spans="51:53" x14ac:dyDescent="0.3">
      <c r="AY4107" t="str">
        <v>25/11/2008</v>
      </c>
      <c r="AZ4107">
        <v>23.1</v>
      </c>
      <c r="BA4107">
        <v>49.5</v>
      </c>
    </row>
    <row r="4108" spans="51:53" x14ac:dyDescent="0.3">
      <c r="AY4108" t="str">
        <v>24/11/2008</v>
      </c>
      <c r="AZ4108">
        <v>23.1</v>
      </c>
      <c r="BA4108">
        <v>49.5</v>
      </c>
    </row>
    <row r="4109" spans="51:53" x14ac:dyDescent="0.3">
      <c r="AY4109" t="str">
        <v>21/11/2008</v>
      </c>
      <c r="AZ4109">
        <v>29</v>
      </c>
      <c r="BA4109">
        <v>44.1</v>
      </c>
    </row>
    <row r="4110" spans="51:53" x14ac:dyDescent="0.3">
      <c r="AY4110" t="str">
        <v>20/11/2008</v>
      </c>
      <c r="AZ4110">
        <v>29</v>
      </c>
      <c r="BA4110">
        <v>44.1</v>
      </c>
    </row>
    <row r="4111" spans="51:53" x14ac:dyDescent="0.3">
      <c r="AY4111" t="str">
        <v>19/11/2008</v>
      </c>
      <c r="AZ4111">
        <v>29</v>
      </c>
      <c r="BA4111">
        <v>44.1</v>
      </c>
    </row>
    <row r="4112" spans="51:53" x14ac:dyDescent="0.3">
      <c r="AY4112" t="str">
        <v>18/11/2008</v>
      </c>
      <c r="AZ4112">
        <v>29</v>
      </c>
      <c r="BA4112">
        <v>44.1</v>
      </c>
    </row>
    <row r="4113" spans="51:53" x14ac:dyDescent="0.3">
      <c r="AY4113" t="str">
        <v>17/11/2008</v>
      </c>
      <c r="AZ4113">
        <v>29</v>
      </c>
      <c r="BA4113">
        <v>44.1</v>
      </c>
    </row>
    <row r="4114" spans="51:53" x14ac:dyDescent="0.3">
      <c r="AY4114" t="str">
        <v>14/11/2008</v>
      </c>
      <c r="AZ4114">
        <v>30.9</v>
      </c>
      <c r="BA4114">
        <v>43.6</v>
      </c>
    </row>
    <row r="4115" spans="51:53" x14ac:dyDescent="0.3">
      <c r="AY4115" t="str">
        <v>13/11/2008</v>
      </c>
      <c r="AZ4115">
        <v>30.9</v>
      </c>
      <c r="BA4115">
        <v>43.6</v>
      </c>
    </row>
    <row r="4116" spans="51:53" x14ac:dyDescent="0.3">
      <c r="AY4116" t="str">
        <v>12/11/2008</v>
      </c>
      <c r="AZ4116">
        <v>30.9</v>
      </c>
      <c r="BA4116">
        <v>43.6</v>
      </c>
    </row>
    <row r="4117" spans="51:53" x14ac:dyDescent="0.3">
      <c r="AY4117" t="str">
        <v>11/11/2008</v>
      </c>
      <c r="AZ4117">
        <v>30.9</v>
      </c>
      <c r="BA4117">
        <v>43.6</v>
      </c>
    </row>
    <row r="4118" spans="51:53" x14ac:dyDescent="0.3">
      <c r="AY4118" t="str">
        <v>10/11/2008</v>
      </c>
      <c r="AZ4118">
        <v>30.9</v>
      </c>
      <c r="BA4118">
        <v>43.6</v>
      </c>
    </row>
    <row r="4119" spans="51:53" x14ac:dyDescent="0.3">
      <c r="AY4119" t="str">
        <v>07/11/2008</v>
      </c>
      <c r="AZ4119">
        <v>31.9</v>
      </c>
      <c r="BA4119">
        <v>46.1</v>
      </c>
    </row>
    <row r="4120" spans="51:53" x14ac:dyDescent="0.3">
      <c r="AY4120" t="str">
        <v>06/11/2008</v>
      </c>
      <c r="AZ4120">
        <v>31.9</v>
      </c>
      <c r="BA4120">
        <v>46.1</v>
      </c>
    </row>
    <row r="4121" spans="51:53" x14ac:dyDescent="0.3">
      <c r="AY4121" t="str">
        <v>05/11/2008</v>
      </c>
      <c r="AZ4121">
        <v>31.9</v>
      </c>
      <c r="BA4121">
        <v>46.1</v>
      </c>
    </row>
    <row r="4122" spans="51:53" x14ac:dyDescent="0.3">
      <c r="AY4122" t="str">
        <v>04/11/2008</v>
      </c>
      <c r="AZ4122">
        <v>31.9</v>
      </c>
      <c r="BA4122">
        <v>46.1</v>
      </c>
    </row>
    <row r="4123" spans="51:53" x14ac:dyDescent="0.3">
      <c r="AY4123" t="str">
        <v>03/11/2008</v>
      </c>
      <c r="AZ4123">
        <v>31.9</v>
      </c>
      <c r="BA4123">
        <v>46.1</v>
      </c>
    </row>
    <row r="4124" spans="51:53" x14ac:dyDescent="0.3">
      <c r="AY4124" t="str">
        <v>31/10/2008</v>
      </c>
      <c r="AZ4124">
        <v>30.3</v>
      </c>
      <c r="BA4124">
        <v>48.3</v>
      </c>
    </row>
    <row r="4125" spans="51:53" x14ac:dyDescent="0.3">
      <c r="AY4125" t="str">
        <v>30/10/2008</v>
      </c>
      <c r="AZ4125">
        <v>30.3</v>
      </c>
      <c r="BA4125">
        <v>48.3</v>
      </c>
    </row>
    <row r="4126" spans="51:53" x14ac:dyDescent="0.3">
      <c r="AY4126" t="str">
        <v>29/10/2008</v>
      </c>
      <c r="AZ4126">
        <v>30.3</v>
      </c>
      <c r="BA4126">
        <v>48.3</v>
      </c>
    </row>
    <row r="4127" spans="51:53" x14ac:dyDescent="0.3">
      <c r="AY4127" t="str">
        <v>28/10/2008</v>
      </c>
      <c r="AZ4127">
        <v>30.3</v>
      </c>
      <c r="BA4127">
        <v>48.3</v>
      </c>
    </row>
    <row r="4128" spans="51:53" x14ac:dyDescent="0.3">
      <c r="AY4128" t="str">
        <v>27/10/2008</v>
      </c>
      <c r="AZ4128">
        <v>30.3</v>
      </c>
      <c r="BA4128">
        <v>48.3</v>
      </c>
    </row>
    <row r="4129" spans="51:53" x14ac:dyDescent="0.3">
      <c r="AY4129" t="str">
        <v>24/10/2008</v>
      </c>
      <c r="AZ4129">
        <v>23.1</v>
      </c>
      <c r="BA4129">
        <v>52.7</v>
      </c>
    </row>
    <row r="4130" spans="51:53" x14ac:dyDescent="0.3">
      <c r="AY4130" t="str">
        <v>23/10/2008</v>
      </c>
      <c r="AZ4130">
        <v>23.1</v>
      </c>
      <c r="BA4130">
        <v>52.7</v>
      </c>
    </row>
    <row r="4131" spans="51:53" x14ac:dyDescent="0.3">
      <c r="AY4131" t="str">
        <v>22/10/2008</v>
      </c>
      <c r="AZ4131">
        <v>23.1</v>
      </c>
      <c r="BA4131">
        <v>52.7</v>
      </c>
    </row>
    <row r="4132" spans="51:53" x14ac:dyDescent="0.3">
      <c r="AY4132" t="str">
        <v>21/10/2008</v>
      </c>
      <c r="AZ4132">
        <v>23.1</v>
      </c>
      <c r="BA4132">
        <v>52.7</v>
      </c>
    </row>
    <row r="4133" spans="51:53" x14ac:dyDescent="0.3">
      <c r="AY4133" t="str">
        <v>20/10/2008</v>
      </c>
      <c r="AZ4133">
        <v>23.1</v>
      </c>
      <c r="BA4133">
        <v>52.7</v>
      </c>
    </row>
    <row r="4134" spans="51:53" x14ac:dyDescent="0.3">
      <c r="AY4134" t="str">
        <v>17/10/2008</v>
      </c>
      <c r="AZ4134">
        <v>22.2</v>
      </c>
      <c r="BA4134">
        <v>54.4</v>
      </c>
    </row>
    <row r="4135" spans="51:53" x14ac:dyDescent="0.3">
      <c r="AY4135" t="str">
        <v>16/10/2008</v>
      </c>
      <c r="AZ4135">
        <v>22.2</v>
      </c>
      <c r="BA4135">
        <v>54.4</v>
      </c>
    </row>
    <row r="4136" spans="51:53" x14ac:dyDescent="0.3">
      <c r="AY4136" t="str">
        <v>15/10/2008</v>
      </c>
      <c r="AZ4136">
        <v>22.2</v>
      </c>
      <c r="BA4136">
        <v>54.4</v>
      </c>
    </row>
    <row r="4137" spans="51:53" x14ac:dyDescent="0.3">
      <c r="AY4137" t="str">
        <v>14/10/2008</v>
      </c>
      <c r="AZ4137">
        <v>22.2</v>
      </c>
      <c r="BA4137">
        <v>54.4</v>
      </c>
    </row>
    <row r="4138" spans="51:53" x14ac:dyDescent="0.3">
      <c r="AY4138" t="str">
        <v>13/10/2008</v>
      </c>
      <c r="AZ4138">
        <v>22.2</v>
      </c>
      <c r="BA4138">
        <v>54.4</v>
      </c>
    </row>
    <row r="4139" spans="51:53" x14ac:dyDescent="0.3">
      <c r="AY4139" t="str">
        <v>10/10/2008</v>
      </c>
      <c r="AZ4139">
        <v>22.4</v>
      </c>
      <c r="BA4139">
        <v>52.9</v>
      </c>
    </row>
    <row r="4140" spans="51:53" x14ac:dyDescent="0.3">
      <c r="AY4140" t="str">
        <v>09/10/2008</v>
      </c>
      <c r="AZ4140">
        <v>22.4</v>
      </c>
      <c r="BA4140">
        <v>52.9</v>
      </c>
    </row>
    <row r="4141" spans="51:53" x14ac:dyDescent="0.3">
      <c r="AY4141" t="str">
        <v>08/10/2008</v>
      </c>
      <c r="AZ4141">
        <v>22.4</v>
      </c>
      <c r="BA4141">
        <v>52.9</v>
      </c>
    </row>
    <row r="4142" spans="51:53" x14ac:dyDescent="0.3">
      <c r="AY4142" t="str">
        <v>07/10/2008</v>
      </c>
      <c r="AZ4142">
        <v>22.4</v>
      </c>
      <c r="BA4142">
        <v>52.9</v>
      </c>
    </row>
    <row r="4143" spans="51:53" x14ac:dyDescent="0.3">
      <c r="AY4143" t="str">
        <v>06/10/2008</v>
      </c>
      <c r="AZ4143">
        <v>22.4</v>
      </c>
      <c r="BA4143">
        <v>52.9</v>
      </c>
    </row>
    <row r="4144" spans="51:53" x14ac:dyDescent="0.3">
      <c r="AY4144" t="str">
        <v>03/10/2008</v>
      </c>
      <c r="AZ4144">
        <v>25.3</v>
      </c>
      <c r="BA4144">
        <v>53</v>
      </c>
    </row>
    <row r="4145" spans="51:53" x14ac:dyDescent="0.3">
      <c r="AY4145" t="str">
        <v>02/10/2008</v>
      </c>
      <c r="AZ4145">
        <v>25.3</v>
      </c>
      <c r="BA4145">
        <v>53</v>
      </c>
    </row>
    <row r="4146" spans="51:53" x14ac:dyDescent="0.3">
      <c r="AY4146" t="str">
        <v>01/10/2008</v>
      </c>
      <c r="AZ4146">
        <v>25.3</v>
      </c>
      <c r="BA4146">
        <v>53</v>
      </c>
    </row>
    <row r="4147" spans="51:53" x14ac:dyDescent="0.3">
      <c r="AY4147" t="str">
        <v>30/09/2008</v>
      </c>
      <c r="AZ4147">
        <v>25.3</v>
      </c>
      <c r="BA4147">
        <v>53</v>
      </c>
    </row>
    <row r="4148" spans="51:53" x14ac:dyDescent="0.3">
      <c r="AY4148" t="str">
        <v>29/09/2008</v>
      </c>
      <c r="AZ4148">
        <v>25.3</v>
      </c>
      <c r="BA4148">
        <v>53</v>
      </c>
    </row>
    <row r="4149" spans="51:53" x14ac:dyDescent="0.3">
      <c r="AY4149" t="str">
        <v>26/09/2008</v>
      </c>
      <c r="AZ4149">
        <v>33.700000000000003</v>
      </c>
      <c r="BA4149">
        <v>47.2</v>
      </c>
    </row>
    <row r="4150" spans="51:53" x14ac:dyDescent="0.3">
      <c r="AY4150" t="str">
        <v>25/09/2008</v>
      </c>
      <c r="AZ4150">
        <v>33.700000000000003</v>
      </c>
      <c r="BA4150">
        <v>47.2</v>
      </c>
    </row>
    <row r="4151" spans="51:53" x14ac:dyDescent="0.3">
      <c r="AY4151" t="str">
        <v>24/09/2008</v>
      </c>
      <c r="AZ4151">
        <v>33.700000000000003</v>
      </c>
      <c r="BA4151">
        <v>47.2</v>
      </c>
    </row>
    <row r="4152" spans="51:53" x14ac:dyDescent="0.3">
      <c r="AY4152" t="str">
        <v>23/09/2008</v>
      </c>
      <c r="AZ4152">
        <v>33.700000000000003</v>
      </c>
      <c r="BA4152">
        <v>47.2</v>
      </c>
    </row>
    <row r="4153" spans="51:53" x14ac:dyDescent="0.3">
      <c r="AY4153" t="str">
        <v>22/09/2008</v>
      </c>
      <c r="AZ4153">
        <v>33.700000000000003</v>
      </c>
      <c r="BA4153">
        <v>47.2</v>
      </c>
    </row>
    <row r="4154" spans="51:53" x14ac:dyDescent="0.3">
      <c r="AY4154" t="str">
        <v>19/09/2008</v>
      </c>
      <c r="AZ4154">
        <v>37.5</v>
      </c>
      <c r="BA4154">
        <v>40.9</v>
      </c>
    </row>
    <row r="4155" spans="51:53" x14ac:dyDescent="0.3">
      <c r="AY4155" t="str">
        <v>18/09/2008</v>
      </c>
      <c r="AZ4155">
        <v>37.5</v>
      </c>
      <c r="BA4155">
        <v>40.9</v>
      </c>
    </row>
    <row r="4156" spans="51:53" x14ac:dyDescent="0.3">
      <c r="AY4156" t="str">
        <v>17/09/2008</v>
      </c>
      <c r="AZ4156">
        <v>37.5</v>
      </c>
      <c r="BA4156">
        <v>40.9</v>
      </c>
    </row>
    <row r="4157" spans="51:53" x14ac:dyDescent="0.3">
      <c r="AY4157" t="str">
        <v>16/09/2008</v>
      </c>
      <c r="AZ4157">
        <v>37.5</v>
      </c>
      <c r="BA4157">
        <v>40.9</v>
      </c>
    </row>
    <row r="4158" spans="51:53" x14ac:dyDescent="0.3">
      <c r="AY4158" t="str">
        <v>15/09/2008</v>
      </c>
      <c r="AZ4158">
        <v>37.5</v>
      </c>
      <c r="BA4158">
        <v>40.9</v>
      </c>
    </row>
    <row r="4159" spans="51:53" x14ac:dyDescent="0.3">
      <c r="AY4159" t="str">
        <v>12/09/2008</v>
      </c>
      <c r="AZ4159">
        <v>37.9</v>
      </c>
      <c r="BA4159">
        <v>43.7</v>
      </c>
    </row>
    <row r="4160" spans="51:53" x14ac:dyDescent="0.3">
      <c r="AY4160" t="str">
        <v>11/09/2008</v>
      </c>
      <c r="AZ4160">
        <v>37.9</v>
      </c>
      <c r="BA4160">
        <v>43.7</v>
      </c>
    </row>
    <row r="4161" spans="51:53" x14ac:dyDescent="0.3">
      <c r="AY4161" t="str">
        <v>10/09/2008</v>
      </c>
      <c r="AZ4161">
        <v>37.9</v>
      </c>
      <c r="BA4161">
        <v>43.7</v>
      </c>
    </row>
    <row r="4162" spans="51:53" x14ac:dyDescent="0.3">
      <c r="AY4162" t="str">
        <v>09/09/2008</v>
      </c>
      <c r="AZ4162">
        <v>37.9</v>
      </c>
      <c r="BA4162">
        <v>43.7</v>
      </c>
    </row>
    <row r="4163" spans="51:53" x14ac:dyDescent="0.3">
      <c r="AY4163" t="str">
        <v>08/09/2008</v>
      </c>
      <c r="AZ4163">
        <v>37.9</v>
      </c>
      <c r="BA4163">
        <v>43.7</v>
      </c>
    </row>
    <row r="4164" spans="51:53" x14ac:dyDescent="0.3">
      <c r="AY4164" t="str">
        <v>05/09/2008</v>
      </c>
      <c r="AZ4164">
        <v>38.200000000000003</v>
      </c>
      <c r="BA4164">
        <v>41.6</v>
      </c>
    </row>
    <row r="4165" spans="51:53" x14ac:dyDescent="0.3">
      <c r="AY4165" t="str">
        <v>04/09/2008</v>
      </c>
      <c r="AZ4165">
        <v>38.200000000000003</v>
      </c>
      <c r="BA4165">
        <v>41.6</v>
      </c>
    </row>
    <row r="4166" spans="51:53" x14ac:dyDescent="0.3">
      <c r="AY4166" t="str">
        <v>03/09/2008</v>
      </c>
      <c r="AZ4166">
        <v>38.200000000000003</v>
      </c>
      <c r="BA4166">
        <v>41.6</v>
      </c>
    </row>
    <row r="4167" spans="51:53" x14ac:dyDescent="0.3">
      <c r="AY4167" t="str">
        <v>02/09/2008</v>
      </c>
      <c r="AZ4167">
        <v>38.200000000000003</v>
      </c>
      <c r="BA4167">
        <v>41.6</v>
      </c>
    </row>
    <row r="4168" spans="51:53" x14ac:dyDescent="0.3">
      <c r="AY4168" t="str">
        <v>01/09/2008</v>
      </c>
      <c r="AZ4168">
        <v>38.200000000000003</v>
      </c>
      <c r="BA4168">
        <v>41.6</v>
      </c>
    </row>
    <row r="4169" spans="51:53" x14ac:dyDescent="0.3">
      <c r="AY4169" t="str">
        <v>29/08/2008</v>
      </c>
      <c r="AZ4169">
        <v>37.799999999999997</v>
      </c>
      <c r="BA4169">
        <v>40</v>
      </c>
    </row>
    <row r="4170" spans="51:53" x14ac:dyDescent="0.3">
      <c r="AY4170" t="str">
        <v>28/08/2008</v>
      </c>
      <c r="AZ4170">
        <v>37.799999999999997</v>
      </c>
      <c r="BA4170">
        <v>40</v>
      </c>
    </row>
    <row r="4171" spans="51:53" x14ac:dyDescent="0.3">
      <c r="AY4171" t="str">
        <v>27/08/2008</v>
      </c>
      <c r="AZ4171">
        <v>37.799999999999997</v>
      </c>
      <c r="BA4171">
        <v>40</v>
      </c>
    </row>
    <row r="4172" spans="51:53" x14ac:dyDescent="0.3">
      <c r="AY4172" t="str">
        <v>26/08/2008</v>
      </c>
      <c r="AZ4172">
        <v>37.799999999999997</v>
      </c>
      <c r="BA4172">
        <v>40</v>
      </c>
    </row>
    <row r="4173" spans="51:53" x14ac:dyDescent="0.3">
      <c r="AY4173" t="str">
        <v>25/08/2008</v>
      </c>
      <c r="AZ4173">
        <v>37.799999999999997</v>
      </c>
      <c r="BA4173">
        <v>40</v>
      </c>
    </row>
    <row r="4174" spans="51:53" x14ac:dyDescent="0.3">
      <c r="AY4174" t="str">
        <v>22/08/2008</v>
      </c>
      <c r="AZ4174">
        <v>39.299999999999997</v>
      </c>
      <c r="BA4174">
        <v>39.299999999999997</v>
      </c>
    </row>
    <row r="4175" spans="51:53" x14ac:dyDescent="0.3">
      <c r="AY4175" t="str">
        <v>21/08/2008</v>
      </c>
      <c r="AZ4175">
        <v>39.299999999999997</v>
      </c>
      <c r="BA4175">
        <v>39.299999999999997</v>
      </c>
    </row>
    <row r="4176" spans="51:53" x14ac:dyDescent="0.3">
      <c r="AY4176" t="str">
        <v>20/08/2008</v>
      </c>
      <c r="AZ4176">
        <v>39.299999999999997</v>
      </c>
      <c r="BA4176">
        <v>39.299999999999997</v>
      </c>
    </row>
    <row r="4177" spans="51:53" x14ac:dyDescent="0.3">
      <c r="AY4177" t="str">
        <v>19/08/2008</v>
      </c>
      <c r="AZ4177">
        <v>39.299999999999997</v>
      </c>
      <c r="BA4177">
        <v>39.299999999999997</v>
      </c>
    </row>
    <row r="4178" spans="51:53" x14ac:dyDescent="0.3">
      <c r="AY4178" t="str">
        <v>18/08/2008</v>
      </c>
      <c r="AZ4178">
        <v>39.299999999999997</v>
      </c>
      <c r="BA4178">
        <v>39.299999999999997</v>
      </c>
    </row>
    <row r="4179" spans="51:53" x14ac:dyDescent="0.3">
      <c r="AY4179" t="str">
        <v>15/08/2008</v>
      </c>
      <c r="AZ4179">
        <v>40.700000000000003</v>
      </c>
      <c r="BA4179">
        <v>38.4</v>
      </c>
    </row>
    <row r="4180" spans="51:53" x14ac:dyDescent="0.3">
      <c r="AY4180" t="str">
        <v>14/08/2008</v>
      </c>
      <c r="AZ4180">
        <v>40.700000000000003</v>
      </c>
      <c r="BA4180">
        <v>38.4</v>
      </c>
    </row>
    <row r="4181" spans="51:53" x14ac:dyDescent="0.3">
      <c r="AY4181" t="str">
        <v>13/08/2008</v>
      </c>
      <c r="AZ4181">
        <v>40.700000000000003</v>
      </c>
      <c r="BA4181">
        <v>38.4</v>
      </c>
    </row>
    <row r="4182" spans="51:53" x14ac:dyDescent="0.3">
      <c r="AY4182" t="str">
        <v>12/08/2008</v>
      </c>
      <c r="AZ4182">
        <v>40.700000000000003</v>
      </c>
      <c r="BA4182">
        <v>38.4</v>
      </c>
    </row>
    <row r="4183" spans="51:53" x14ac:dyDescent="0.3">
      <c r="AY4183" t="str">
        <v>11/08/2008</v>
      </c>
      <c r="AZ4183">
        <v>40.700000000000003</v>
      </c>
      <c r="BA4183">
        <v>38.4</v>
      </c>
    </row>
    <row r="4184" spans="51:53" x14ac:dyDescent="0.3">
      <c r="AY4184" t="str">
        <v>08/08/2008</v>
      </c>
      <c r="AZ4184">
        <v>31.8</v>
      </c>
      <c r="BA4184">
        <v>45.5</v>
      </c>
    </row>
    <row r="4185" spans="51:53" x14ac:dyDescent="0.3">
      <c r="AY4185" t="str">
        <v>07/08/2008</v>
      </c>
      <c r="AZ4185">
        <v>31.8</v>
      </c>
      <c r="BA4185">
        <v>45.5</v>
      </c>
    </row>
    <row r="4186" spans="51:53" x14ac:dyDescent="0.3">
      <c r="AY4186" t="str">
        <v>06/08/2008</v>
      </c>
      <c r="AZ4186">
        <v>31.8</v>
      </c>
      <c r="BA4186">
        <v>45.5</v>
      </c>
    </row>
    <row r="4187" spans="51:53" x14ac:dyDescent="0.3">
      <c r="AY4187" t="str">
        <v>05/08/2008</v>
      </c>
      <c r="AZ4187">
        <v>31.8</v>
      </c>
      <c r="BA4187">
        <v>45.5</v>
      </c>
    </row>
    <row r="4188" spans="51:53" x14ac:dyDescent="0.3">
      <c r="AY4188" t="str">
        <v>04/08/2008</v>
      </c>
      <c r="AZ4188">
        <v>31.8</v>
      </c>
      <c r="BA4188">
        <v>45.5</v>
      </c>
    </row>
    <row r="4189" spans="51:53" x14ac:dyDescent="0.3">
      <c r="AY4189" t="str">
        <v>01/08/2008</v>
      </c>
      <c r="AZ4189">
        <v>34</v>
      </c>
      <c r="BA4189">
        <v>43.6</v>
      </c>
    </row>
    <row r="4190" spans="51:53" x14ac:dyDescent="0.3">
      <c r="AY4190" t="str">
        <v>31/07/2008</v>
      </c>
      <c r="AZ4190">
        <v>34</v>
      </c>
      <c r="BA4190">
        <v>43.6</v>
      </c>
    </row>
    <row r="4191" spans="51:53" x14ac:dyDescent="0.3">
      <c r="AY4191" t="str">
        <v>30/07/2008</v>
      </c>
      <c r="AZ4191">
        <v>34</v>
      </c>
      <c r="BA4191">
        <v>43.6</v>
      </c>
    </row>
    <row r="4192" spans="51:53" x14ac:dyDescent="0.3">
      <c r="AY4192" t="str">
        <v>29/07/2008</v>
      </c>
      <c r="AZ4192">
        <v>34</v>
      </c>
      <c r="BA4192">
        <v>43.6</v>
      </c>
    </row>
    <row r="4193" spans="51:53" x14ac:dyDescent="0.3">
      <c r="AY4193" t="str">
        <v>28/07/2008</v>
      </c>
      <c r="AZ4193">
        <v>34</v>
      </c>
      <c r="BA4193">
        <v>43.6</v>
      </c>
    </row>
    <row r="4194" spans="51:53" x14ac:dyDescent="0.3">
      <c r="AY4194" t="str">
        <v>25/07/2008</v>
      </c>
      <c r="AZ4194">
        <v>30</v>
      </c>
      <c r="BA4194">
        <v>50</v>
      </c>
    </row>
    <row r="4195" spans="51:53" x14ac:dyDescent="0.3">
      <c r="AY4195" t="str">
        <v>24/07/2008</v>
      </c>
      <c r="AZ4195">
        <v>30</v>
      </c>
      <c r="BA4195">
        <v>50</v>
      </c>
    </row>
    <row r="4196" spans="51:53" x14ac:dyDescent="0.3">
      <c r="AY4196" t="str">
        <v>23/07/2008</v>
      </c>
      <c r="AZ4196">
        <v>30</v>
      </c>
      <c r="BA4196">
        <v>50</v>
      </c>
    </row>
    <row r="4197" spans="51:53" x14ac:dyDescent="0.3">
      <c r="AY4197" t="str">
        <v>22/07/2008</v>
      </c>
      <c r="AZ4197">
        <v>30</v>
      </c>
      <c r="BA4197">
        <v>50</v>
      </c>
    </row>
    <row r="4198" spans="51:53" x14ac:dyDescent="0.3">
      <c r="AY4198" t="str">
        <v>21/07/2008</v>
      </c>
      <c r="AZ4198">
        <v>30</v>
      </c>
      <c r="BA4198">
        <v>50</v>
      </c>
    </row>
    <row r="4199" spans="51:53" x14ac:dyDescent="0.3">
      <c r="AY4199" t="str">
        <v>18/07/2008</v>
      </c>
      <c r="AZ4199">
        <v>29.2</v>
      </c>
      <c r="BA4199">
        <v>49.4</v>
      </c>
    </row>
    <row r="4200" spans="51:53" x14ac:dyDescent="0.3">
      <c r="AY4200" t="str">
        <v>17/07/2008</v>
      </c>
      <c r="AZ4200">
        <v>29.2</v>
      </c>
      <c r="BA4200">
        <v>49.4</v>
      </c>
    </row>
    <row r="4201" spans="51:53" x14ac:dyDescent="0.3">
      <c r="AY4201" t="str">
        <v>16/07/2008</v>
      </c>
      <c r="AZ4201">
        <v>29.2</v>
      </c>
      <c r="BA4201">
        <v>49.4</v>
      </c>
    </row>
    <row r="4202" spans="51:53" x14ac:dyDescent="0.3">
      <c r="AY4202" t="str">
        <v>15/07/2008</v>
      </c>
      <c r="AZ4202">
        <v>29.2</v>
      </c>
      <c r="BA4202">
        <v>49.4</v>
      </c>
    </row>
    <row r="4203" spans="51:53" x14ac:dyDescent="0.3">
      <c r="AY4203" t="str">
        <v>14/07/2008</v>
      </c>
      <c r="AZ4203">
        <v>29.2</v>
      </c>
      <c r="BA4203">
        <v>49.4</v>
      </c>
    </row>
    <row r="4204" spans="51:53" x14ac:dyDescent="0.3">
      <c r="AY4204" t="str">
        <v>11/07/2008</v>
      </c>
      <c r="AZ4204">
        <v>27.8</v>
      </c>
      <c r="BA4204">
        <v>48.9</v>
      </c>
    </row>
    <row r="4205" spans="51:53" x14ac:dyDescent="0.3">
      <c r="AY4205" t="str">
        <v>10/07/2008</v>
      </c>
      <c r="AZ4205">
        <v>27.8</v>
      </c>
      <c r="BA4205">
        <v>48.9</v>
      </c>
    </row>
    <row r="4206" spans="51:53" x14ac:dyDescent="0.3">
      <c r="AY4206" t="str">
        <v>09/07/2008</v>
      </c>
      <c r="AZ4206">
        <v>27.8</v>
      </c>
      <c r="BA4206">
        <v>48.9</v>
      </c>
    </row>
    <row r="4207" spans="51:53" x14ac:dyDescent="0.3">
      <c r="AY4207" t="str">
        <v>08/07/2008</v>
      </c>
      <c r="AZ4207">
        <v>27.8</v>
      </c>
      <c r="BA4207">
        <v>48.9</v>
      </c>
    </row>
    <row r="4208" spans="51:53" x14ac:dyDescent="0.3">
      <c r="AY4208" t="str">
        <v>07/07/2008</v>
      </c>
      <c r="AZ4208">
        <v>27.8</v>
      </c>
      <c r="BA4208">
        <v>48.9</v>
      </c>
    </row>
    <row r="4209" spans="51:53" x14ac:dyDescent="0.3">
      <c r="AY4209" t="str">
        <v>04/07/2008</v>
      </c>
      <c r="AZ4209">
        <v>27.4</v>
      </c>
      <c r="BA4209">
        <v>47.3</v>
      </c>
    </row>
    <row r="4210" spans="51:53" x14ac:dyDescent="0.3">
      <c r="AY4210" t="str">
        <v>03/07/2008</v>
      </c>
      <c r="AZ4210">
        <v>27.4</v>
      </c>
      <c r="BA4210">
        <v>47.3</v>
      </c>
    </row>
    <row r="4211" spans="51:53" x14ac:dyDescent="0.3">
      <c r="AY4211" t="str">
        <v>02/07/2008</v>
      </c>
      <c r="AZ4211">
        <v>27.4</v>
      </c>
      <c r="BA4211">
        <v>47.3</v>
      </c>
    </row>
    <row r="4212" spans="51:53" x14ac:dyDescent="0.3">
      <c r="AY4212" t="str">
        <v>01/07/2008</v>
      </c>
      <c r="AZ4212">
        <v>27.4</v>
      </c>
      <c r="BA4212">
        <v>47.3</v>
      </c>
    </row>
    <row r="4213" spans="51:53" x14ac:dyDescent="0.3">
      <c r="AY4213" t="str">
        <v>30/06/2008</v>
      </c>
      <c r="AZ4213">
        <v>27.4</v>
      </c>
      <c r="BA4213">
        <v>47.3</v>
      </c>
    </row>
    <row r="4214" spans="51:53" x14ac:dyDescent="0.3">
      <c r="AY4214" t="str">
        <v>27/06/2008</v>
      </c>
      <c r="AZ4214">
        <v>31.9</v>
      </c>
      <c r="BA4214">
        <v>44.7</v>
      </c>
    </row>
    <row r="4215" spans="51:53" x14ac:dyDescent="0.3">
      <c r="AY4215" t="str">
        <v>26/06/2008</v>
      </c>
      <c r="AZ4215">
        <v>31.9</v>
      </c>
      <c r="BA4215">
        <v>44.7</v>
      </c>
    </row>
    <row r="4216" spans="51:53" x14ac:dyDescent="0.3">
      <c r="AY4216" t="str">
        <v>25/06/2008</v>
      </c>
      <c r="AZ4216">
        <v>31.9</v>
      </c>
      <c r="BA4216">
        <v>44.7</v>
      </c>
    </row>
    <row r="4217" spans="51:53" x14ac:dyDescent="0.3">
      <c r="AY4217" t="str">
        <v>24/06/2008</v>
      </c>
      <c r="AZ4217">
        <v>31.9</v>
      </c>
      <c r="BA4217">
        <v>44.7</v>
      </c>
    </row>
    <row r="4218" spans="51:53" x14ac:dyDescent="0.3">
      <c r="AY4218" t="str">
        <v>23/06/2008</v>
      </c>
      <c r="AZ4218">
        <v>31.9</v>
      </c>
      <c r="BA4218">
        <v>44.7</v>
      </c>
    </row>
    <row r="4219" spans="51:53" x14ac:dyDescent="0.3">
      <c r="AY4219" t="str">
        <v>20/06/2008</v>
      </c>
      <c r="AZ4219">
        <v>33.700000000000003</v>
      </c>
      <c r="BA4219">
        <v>39.299999999999997</v>
      </c>
    </row>
    <row r="4220" spans="51:53" x14ac:dyDescent="0.3">
      <c r="AY4220" t="str">
        <v>19/06/2008</v>
      </c>
      <c r="AZ4220">
        <v>33.700000000000003</v>
      </c>
      <c r="BA4220">
        <v>39.299999999999997</v>
      </c>
    </row>
    <row r="4221" spans="51:53" x14ac:dyDescent="0.3">
      <c r="AY4221" t="str">
        <v>18/06/2008</v>
      </c>
      <c r="AZ4221">
        <v>33.700000000000003</v>
      </c>
      <c r="BA4221">
        <v>39.299999999999997</v>
      </c>
    </row>
    <row r="4222" spans="51:53" x14ac:dyDescent="0.3">
      <c r="AY4222" t="str">
        <v>17/06/2008</v>
      </c>
      <c r="AZ4222">
        <v>33.700000000000003</v>
      </c>
      <c r="BA4222">
        <v>39.299999999999997</v>
      </c>
    </row>
    <row r="4223" spans="51:53" x14ac:dyDescent="0.3">
      <c r="AY4223" t="str">
        <v>16/06/2008</v>
      </c>
      <c r="AZ4223">
        <v>33.700000000000003</v>
      </c>
      <c r="BA4223">
        <v>39.299999999999997</v>
      </c>
    </row>
    <row r="4224" spans="51:53" x14ac:dyDescent="0.3">
      <c r="AY4224" t="str">
        <v>13/06/2008</v>
      </c>
      <c r="AZ4224">
        <v>36.299999999999997</v>
      </c>
      <c r="BA4224">
        <v>37.4</v>
      </c>
    </row>
    <row r="4225" spans="51:53" x14ac:dyDescent="0.3">
      <c r="AY4225" t="str">
        <v>12/06/2008</v>
      </c>
      <c r="AZ4225">
        <v>36.299999999999997</v>
      </c>
      <c r="BA4225">
        <v>37.4</v>
      </c>
    </row>
    <row r="4226" spans="51:53" x14ac:dyDescent="0.3">
      <c r="AY4226" t="str">
        <v>11/06/2008</v>
      </c>
      <c r="AZ4226">
        <v>36.299999999999997</v>
      </c>
      <c r="BA4226">
        <v>37.4</v>
      </c>
    </row>
    <row r="4227" spans="51:53" x14ac:dyDescent="0.3">
      <c r="AY4227" t="str">
        <v>10/06/2008</v>
      </c>
      <c r="AZ4227">
        <v>36.299999999999997</v>
      </c>
      <c r="BA4227">
        <v>37.4</v>
      </c>
    </row>
    <row r="4228" spans="51:53" x14ac:dyDescent="0.3">
      <c r="AY4228" t="str">
        <v>09/06/2008</v>
      </c>
      <c r="AZ4228">
        <v>36.299999999999997</v>
      </c>
      <c r="BA4228">
        <v>37.4</v>
      </c>
    </row>
    <row r="4229" spans="51:53" x14ac:dyDescent="0.3">
      <c r="AY4229" t="str">
        <v>06/06/2008</v>
      </c>
      <c r="AZ4229">
        <v>43</v>
      </c>
      <c r="BA4229">
        <v>32.6</v>
      </c>
    </row>
    <row r="4230" spans="51:53" x14ac:dyDescent="0.3">
      <c r="AY4230" t="str">
        <v>05/06/2008</v>
      </c>
      <c r="AZ4230">
        <v>43</v>
      </c>
      <c r="BA4230">
        <v>32.6</v>
      </c>
    </row>
    <row r="4231" spans="51:53" x14ac:dyDescent="0.3">
      <c r="AY4231" t="str">
        <v>04/06/2008</v>
      </c>
      <c r="AZ4231">
        <v>43</v>
      </c>
      <c r="BA4231">
        <v>32.6</v>
      </c>
    </row>
    <row r="4232" spans="51:53" x14ac:dyDescent="0.3">
      <c r="AY4232" t="str">
        <v>03/06/2008</v>
      </c>
      <c r="AZ4232">
        <v>43</v>
      </c>
      <c r="BA4232">
        <v>32.6</v>
      </c>
    </row>
    <row r="4233" spans="51:53" x14ac:dyDescent="0.3">
      <c r="AY4233" t="str">
        <v>02/06/2008</v>
      </c>
      <c r="AZ4233">
        <v>43</v>
      </c>
      <c r="BA4233">
        <v>32.6</v>
      </c>
    </row>
    <row r="4234" spans="51:53" x14ac:dyDescent="0.3">
      <c r="AY4234" t="str">
        <v>30/05/2008</v>
      </c>
      <c r="AZ4234">
        <v>44.8</v>
      </c>
      <c r="BA4234">
        <v>31.1</v>
      </c>
    </row>
    <row r="4235" spans="51:53" x14ac:dyDescent="0.3">
      <c r="AY4235" t="str">
        <v>29/05/2008</v>
      </c>
      <c r="AZ4235">
        <v>44.8</v>
      </c>
      <c r="BA4235">
        <v>31.1</v>
      </c>
    </row>
    <row r="4236" spans="51:53" x14ac:dyDescent="0.3">
      <c r="AY4236" t="str">
        <v>28/05/2008</v>
      </c>
      <c r="AZ4236">
        <v>44.8</v>
      </c>
      <c r="BA4236">
        <v>31.1</v>
      </c>
    </row>
    <row r="4237" spans="51:53" x14ac:dyDescent="0.3">
      <c r="AY4237" t="str">
        <v>27/05/2008</v>
      </c>
      <c r="AZ4237">
        <v>44.8</v>
      </c>
      <c r="BA4237">
        <v>31.1</v>
      </c>
    </row>
    <row r="4238" spans="51:53" x14ac:dyDescent="0.3">
      <c r="AY4238" t="str">
        <v>26/05/2008</v>
      </c>
      <c r="AZ4238">
        <v>44.8</v>
      </c>
      <c r="BA4238">
        <v>31.1</v>
      </c>
    </row>
    <row r="4239" spans="51:53" x14ac:dyDescent="0.3">
      <c r="AY4239" t="str">
        <v>23/05/2008</v>
      </c>
      <c r="AZ4239">
        <v>37.9</v>
      </c>
      <c r="BA4239">
        <v>32.200000000000003</v>
      </c>
    </row>
    <row r="4240" spans="51:53" x14ac:dyDescent="0.3">
      <c r="AY4240" t="str">
        <v>22/05/2008</v>
      </c>
      <c r="AZ4240">
        <v>37.9</v>
      </c>
      <c r="BA4240">
        <v>32.200000000000003</v>
      </c>
    </row>
    <row r="4241" spans="51:53" x14ac:dyDescent="0.3">
      <c r="AY4241" t="str">
        <v>21/05/2008</v>
      </c>
      <c r="AZ4241">
        <v>37.9</v>
      </c>
      <c r="BA4241">
        <v>32.200000000000003</v>
      </c>
    </row>
    <row r="4242" spans="51:53" x14ac:dyDescent="0.3">
      <c r="AY4242" t="str">
        <v>20/05/2008</v>
      </c>
      <c r="AZ4242">
        <v>37.9</v>
      </c>
      <c r="BA4242">
        <v>32.200000000000003</v>
      </c>
    </row>
    <row r="4243" spans="51:53" x14ac:dyDescent="0.3">
      <c r="AY4243" t="str">
        <v>19/05/2008</v>
      </c>
      <c r="AZ4243">
        <v>37.9</v>
      </c>
      <c r="BA4243">
        <v>32.200000000000003</v>
      </c>
    </row>
    <row r="4244" spans="51:53" x14ac:dyDescent="0.3">
      <c r="AY4244" t="str">
        <v>16/05/2008</v>
      </c>
      <c r="AZ4244">
        <v>47.3</v>
      </c>
      <c r="BA4244">
        <v>30.8</v>
      </c>
    </row>
    <row r="4245" spans="51:53" x14ac:dyDescent="0.3">
      <c r="AY4245" t="str">
        <v>15/05/2008</v>
      </c>
      <c r="AZ4245">
        <v>47.3</v>
      </c>
      <c r="BA4245">
        <v>30.8</v>
      </c>
    </row>
    <row r="4246" spans="51:53" x14ac:dyDescent="0.3">
      <c r="AY4246" t="str">
        <v>14/05/2008</v>
      </c>
      <c r="AZ4246">
        <v>47.3</v>
      </c>
      <c r="BA4246">
        <v>30.8</v>
      </c>
    </row>
    <row r="4247" spans="51:53" x14ac:dyDescent="0.3">
      <c r="AY4247" t="str">
        <v>13/05/2008</v>
      </c>
      <c r="AZ4247">
        <v>47.3</v>
      </c>
      <c r="BA4247">
        <v>30.8</v>
      </c>
    </row>
    <row r="4248" spans="51:53" x14ac:dyDescent="0.3">
      <c r="AY4248" t="str">
        <v>12/05/2008</v>
      </c>
      <c r="AZ4248">
        <v>47.3</v>
      </c>
      <c r="BA4248">
        <v>30.8</v>
      </c>
    </row>
    <row r="4249" spans="51:53" x14ac:dyDescent="0.3">
      <c r="AY4249" t="str">
        <v>09/05/2008</v>
      </c>
      <c r="AZ4249">
        <v>46</v>
      </c>
      <c r="BA4249">
        <v>29.9</v>
      </c>
    </row>
    <row r="4250" spans="51:53" x14ac:dyDescent="0.3">
      <c r="AY4250" t="str">
        <v>08/05/2008</v>
      </c>
      <c r="AZ4250">
        <v>46</v>
      </c>
      <c r="BA4250">
        <v>29.9</v>
      </c>
    </row>
    <row r="4251" spans="51:53" x14ac:dyDescent="0.3">
      <c r="AY4251" t="str">
        <v>07/05/2008</v>
      </c>
      <c r="AZ4251">
        <v>46</v>
      </c>
      <c r="BA4251">
        <v>29.9</v>
      </c>
    </row>
    <row r="4252" spans="51:53" x14ac:dyDescent="0.3">
      <c r="AY4252" t="str">
        <v>06/05/2008</v>
      </c>
      <c r="AZ4252">
        <v>46</v>
      </c>
      <c r="BA4252">
        <v>29.9</v>
      </c>
    </row>
    <row r="4253" spans="51:53" x14ac:dyDescent="0.3">
      <c r="AY4253" t="str">
        <v>05/05/2008</v>
      </c>
      <c r="AZ4253">
        <v>46</v>
      </c>
      <c r="BA4253">
        <v>29.9</v>
      </c>
    </row>
    <row r="4254" spans="51:53" x14ac:dyDescent="0.3">
      <c r="AY4254" t="str">
        <v>02/05/2008</v>
      </c>
      <c r="AZ4254">
        <v>44.4</v>
      </c>
      <c r="BA4254">
        <v>32.299999999999997</v>
      </c>
    </row>
    <row r="4255" spans="51:53" x14ac:dyDescent="0.3">
      <c r="AY4255" t="str">
        <v>01/05/2008</v>
      </c>
      <c r="AZ4255">
        <v>44.4</v>
      </c>
      <c r="BA4255">
        <v>32.299999999999997</v>
      </c>
    </row>
    <row r="4256" spans="51:53" x14ac:dyDescent="0.3">
      <c r="AY4256" t="str">
        <v>30/04/2008</v>
      </c>
      <c r="AZ4256">
        <v>44.4</v>
      </c>
      <c r="BA4256">
        <v>32.299999999999997</v>
      </c>
    </row>
    <row r="4257" spans="51:53" x14ac:dyDescent="0.3">
      <c r="AY4257" t="str">
        <v>29/04/2008</v>
      </c>
      <c r="AZ4257">
        <v>44.4</v>
      </c>
      <c r="BA4257">
        <v>32.299999999999997</v>
      </c>
    </row>
    <row r="4258" spans="51:53" x14ac:dyDescent="0.3">
      <c r="AY4258" t="str">
        <v>28/04/2008</v>
      </c>
      <c r="AZ4258">
        <v>44.4</v>
      </c>
      <c r="BA4258">
        <v>32.299999999999997</v>
      </c>
    </row>
    <row r="4259" spans="51:53" x14ac:dyDescent="0.3">
      <c r="AY4259" t="str">
        <v>25/04/2008</v>
      </c>
      <c r="AZ4259">
        <v>40.9</v>
      </c>
      <c r="BA4259">
        <v>31.8</v>
      </c>
    </row>
    <row r="4260" spans="51:53" x14ac:dyDescent="0.3">
      <c r="AY4260" t="str">
        <v>24/04/2008</v>
      </c>
      <c r="AZ4260">
        <v>40.9</v>
      </c>
      <c r="BA4260">
        <v>31.8</v>
      </c>
    </row>
    <row r="4261" spans="51:53" x14ac:dyDescent="0.3">
      <c r="AY4261" t="str">
        <v>23/04/2008</v>
      </c>
      <c r="AZ4261">
        <v>40.9</v>
      </c>
      <c r="BA4261">
        <v>31.8</v>
      </c>
    </row>
    <row r="4262" spans="51:53" x14ac:dyDescent="0.3">
      <c r="AY4262" t="str">
        <v>22/04/2008</v>
      </c>
      <c r="AZ4262">
        <v>40.9</v>
      </c>
      <c r="BA4262">
        <v>31.8</v>
      </c>
    </row>
    <row r="4263" spans="51:53" x14ac:dyDescent="0.3">
      <c r="AY4263" t="str">
        <v>21/04/2008</v>
      </c>
      <c r="AZ4263">
        <v>40.9</v>
      </c>
      <c r="BA4263">
        <v>31.8</v>
      </c>
    </row>
    <row r="4264" spans="51:53" x14ac:dyDescent="0.3">
      <c r="AY4264" t="str">
        <v>18/04/2008</v>
      </c>
      <c r="AZ4264">
        <v>39.1</v>
      </c>
      <c r="BA4264">
        <v>35.6</v>
      </c>
    </row>
    <row r="4265" spans="51:53" x14ac:dyDescent="0.3">
      <c r="AY4265" t="str">
        <v>17/04/2008</v>
      </c>
      <c r="AZ4265">
        <v>39.1</v>
      </c>
      <c r="BA4265">
        <v>35.6</v>
      </c>
    </row>
    <row r="4266" spans="51:53" x14ac:dyDescent="0.3">
      <c r="AY4266" t="str">
        <v>16/04/2008</v>
      </c>
      <c r="AZ4266">
        <v>39.1</v>
      </c>
      <c r="BA4266">
        <v>35.6</v>
      </c>
    </row>
    <row r="4267" spans="51:53" x14ac:dyDescent="0.3">
      <c r="AY4267" t="str">
        <v>15/04/2008</v>
      </c>
      <c r="AZ4267">
        <v>39.1</v>
      </c>
      <c r="BA4267">
        <v>35.6</v>
      </c>
    </row>
    <row r="4268" spans="51:53" x14ac:dyDescent="0.3">
      <c r="AY4268" t="str">
        <v>14/04/2008</v>
      </c>
      <c r="AZ4268">
        <v>39.1</v>
      </c>
      <c r="BA4268">
        <v>35.6</v>
      </c>
    </row>
    <row r="4269" spans="51:53" x14ac:dyDescent="0.3">
      <c r="AY4269" t="str">
        <v>11/04/2008</v>
      </c>
      <c r="AZ4269">
        <v>37.799999999999997</v>
      </c>
      <c r="BA4269">
        <v>38.9</v>
      </c>
    </row>
    <row r="4270" spans="51:53" x14ac:dyDescent="0.3">
      <c r="AY4270" t="str">
        <v>10/04/2008</v>
      </c>
      <c r="AZ4270">
        <v>37.799999999999997</v>
      </c>
      <c r="BA4270">
        <v>38.9</v>
      </c>
    </row>
    <row r="4271" spans="51:53" x14ac:dyDescent="0.3">
      <c r="AY4271" t="str">
        <v>09/04/2008</v>
      </c>
      <c r="AZ4271">
        <v>37.799999999999997</v>
      </c>
      <c r="BA4271">
        <v>38.9</v>
      </c>
    </row>
    <row r="4272" spans="51:53" x14ac:dyDescent="0.3">
      <c r="AY4272" t="str">
        <v>08/04/2008</v>
      </c>
      <c r="AZ4272">
        <v>37.799999999999997</v>
      </c>
      <c r="BA4272">
        <v>38.9</v>
      </c>
    </row>
    <row r="4273" spans="51:53" x14ac:dyDescent="0.3">
      <c r="AY4273" t="str">
        <v>07/04/2008</v>
      </c>
      <c r="AZ4273">
        <v>37.799999999999997</v>
      </c>
      <c r="BA4273">
        <v>38.9</v>
      </c>
    </row>
    <row r="4274" spans="51:53" x14ac:dyDescent="0.3">
      <c r="AY4274" t="str">
        <v>04/04/2008</v>
      </c>
      <c r="AZ4274">
        <v>37.4</v>
      </c>
      <c r="BA4274">
        <v>38.5</v>
      </c>
    </row>
    <row r="4275" spans="51:53" x14ac:dyDescent="0.3">
      <c r="AY4275" t="str">
        <v>03/04/2008</v>
      </c>
      <c r="AZ4275">
        <v>37.4</v>
      </c>
      <c r="BA4275">
        <v>38.5</v>
      </c>
    </row>
    <row r="4276" spans="51:53" x14ac:dyDescent="0.3">
      <c r="AY4276" t="str">
        <v>02/04/2008</v>
      </c>
      <c r="AZ4276">
        <v>37.4</v>
      </c>
      <c r="BA4276">
        <v>38.5</v>
      </c>
    </row>
    <row r="4277" spans="51:53" x14ac:dyDescent="0.3">
      <c r="AY4277" t="str">
        <v>01/04/2008</v>
      </c>
      <c r="AZ4277">
        <v>37.4</v>
      </c>
      <c r="BA4277">
        <v>38.5</v>
      </c>
    </row>
    <row r="4278" spans="51:53" x14ac:dyDescent="0.3">
      <c r="AY4278" t="str">
        <v>31/03/2008</v>
      </c>
      <c r="AZ4278">
        <v>37.4</v>
      </c>
      <c r="BA4278">
        <v>38.5</v>
      </c>
    </row>
    <row r="4279" spans="51:53" x14ac:dyDescent="0.3">
      <c r="AY4279" t="str">
        <v>28/03/2008</v>
      </c>
      <c r="AZ4279">
        <v>36.4</v>
      </c>
      <c r="BA4279">
        <v>37.5</v>
      </c>
    </row>
    <row r="4280" spans="51:53" x14ac:dyDescent="0.3">
      <c r="AY4280" t="str">
        <v>27/03/2008</v>
      </c>
      <c r="AZ4280">
        <v>36.4</v>
      </c>
      <c r="BA4280">
        <v>37.5</v>
      </c>
    </row>
    <row r="4281" spans="51:53" x14ac:dyDescent="0.3">
      <c r="AY4281" t="str">
        <v>26/03/2008</v>
      </c>
      <c r="AZ4281">
        <v>36.4</v>
      </c>
      <c r="BA4281">
        <v>37.5</v>
      </c>
    </row>
    <row r="4282" spans="51:53" x14ac:dyDescent="0.3">
      <c r="AY4282" t="str">
        <v>25/03/2008</v>
      </c>
      <c r="AZ4282">
        <v>36.4</v>
      </c>
      <c r="BA4282">
        <v>37.5</v>
      </c>
    </row>
    <row r="4283" spans="51:53" x14ac:dyDescent="0.3">
      <c r="AY4283" t="str">
        <v>24/03/2008</v>
      </c>
      <c r="AZ4283">
        <v>36.4</v>
      </c>
      <c r="BA4283">
        <v>37.5</v>
      </c>
    </row>
    <row r="4284" spans="51:53" x14ac:dyDescent="0.3">
      <c r="AY4284" t="str">
        <v>21/03/2008</v>
      </c>
      <c r="AZ4284">
        <v>36.700000000000003</v>
      </c>
      <c r="BA4284">
        <v>41.1</v>
      </c>
    </row>
    <row r="4285" spans="51:53" x14ac:dyDescent="0.3">
      <c r="AY4285" t="str">
        <v>20/03/2008</v>
      </c>
      <c r="AZ4285">
        <v>36.700000000000003</v>
      </c>
      <c r="BA4285">
        <v>41.1</v>
      </c>
    </row>
    <row r="4286" spans="51:53" x14ac:dyDescent="0.3">
      <c r="AY4286" t="str">
        <v>19/03/2008</v>
      </c>
      <c r="AZ4286">
        <v>36.700000000000003</v>
      </c>
      <c r="BA4286">
        <v>41.1</v>
      </c>
    </row>
    <row r="4287" spans="51:53" x14ac:dyDescent="0.3">
      <c r="AY4287" t="str">
        <v>18/03/2008</v>
      </c>
      <c r="AZ4287">
        <v>36.700000000000003</v>
      </c>
      <c r="BA4287">
        <v>41.1</v>
      </c>
    </row>
    <row r="4288" spans="51:53" x14ac:dyDescent="0.3">
      <c r="AY4288" t="str">
        <v>17/03/2008</v>
      </c>
      <c r="AZ4288">
        <v>36.700000000000003</v>
      </c>
      <c r="BA4288">
        <v>41.1</v>
      </c>
    </row>
    <row r="4289" spans="51:53" x14ac:dyDescent="0.3">
      <c r="AY4289" t="str">
        <v>14/03/2008</v>
      </c>
      <c r="AZ4289">
        <v>30.9</v>
      </c>
      <c r="BA4289">
        <v>44.7</v>
      </c>
    </row>
    <row r="4290" spans="51:53" x14ac:dyDescent="0.3">
      <c r="AY4290" t="str">
        <v>13/03/2008</v>
      </c>
      <c r="AZ4290">
        <v>30.9</v>
      </c>
      <c r="BA4290">
        <v>44.7</v>
      </c>
    </row>
    <row r="4291" spans="51:53" x14ac:dyDescent="0.3">
      <c r="AY4291" t="str">
        <v>12/03/2008</v>
      </c>
      <c r="AZ4291">
        <v>30.9</v>
      </c>
      <c r="BA4291">
        <v>44.7</v>
      </c>
    </row>
    <row r="4292" spans="51:53" x14ac:dyDescent="0.3">
      <c r="AY4292" t="str">
        <v>11/03/2008</v>
      </c>
      <c r="AZ4292">
        <v>30.9</v>
      </c>
      <c r="BA4292">
        <v>44.7</v>
      </c>
    </row>
    <row r="4293" spans="51:53" x14ac:dyDescent="0.3">
      <c r="AY4293" t="str">
        <v>10/03/2008</v>
      </c>
      <c r="AZ4293">
        <v>30.9</v>
      </c>
      <c r="BA4293">
        <v>44.7</v>
      </c>
    </row>
    <row r="4294" spans="51:53" x14ac:dyDescent="0.3">
      <c r="AY4294" t="str">
        <v>07/03/2008</v>
      </c>
      <c r="AZ4294">
        <v>31.1</v>
      </c>
      <c r="BA4294">
        <v>43.3</v>
      </c>
    </row>
    <row r="4295" spans="51:53" x14ac:dyDescent="0.3">
      <c r="AY4295" t="str">
        <v>06/03/2008</v>
      </c>
      <c r="AZ4295">
        <v>31.1</v>
      </c>
      <c r="BA4295">
        <v>43.3</v>
      </c>
    </row>
    <row r="4296" spans="51:53" x14ac:dyDescent="0.3">
      <c r="AY4296" t="str">
        <v>05/03/2008</v>
      </c>
      <c r="AZ4296">
        <v>31.1</v>
      </c>
      <c r="BA4296">
        <v>43.3</v>
      </c>
    </row>
    <row r="4297" spans="51:53" x14ac:dyDescent="0.3">
      <c r="AY4297" t="str">
        <v>04/03/2008</v>
      </c>
      <c r="AZ4297">
        <v>31.1</v>
      </c>
      <c r="BA4297">
        <v>43.3</v>
      </c>
    </row>
    <row r="4298" spans="51:53" x14ac:dyDescent="0.3">
      <c r="AY4298" t="str">
        <v>03/03/2008</v>
      </c>
      <c r="AZ4298">
        <v>31.1</v>
      </c>
      <c r="BA4298">
        <v>43.3</v>
      </c>
    </row>
    <row r="4299" spans="51:53" x14ac:dyDescent="0.3">
      <c r="AY4299" t="str">
        <v>29/02/2008</v>
      </c>
      <c r="AZ4299">
        <v>41.9</v>
      </c>
      <c r="BA4299">
        <v>36.6</v>
      </c>
    </row>
    <row r="4300" spans="51:53" x14ac:dyDescent="0.3">
      <c r="AY4300" t="str">
        <v>28/02/2008</v>
      </c>
      <c r="AZ4300">
        <v>41.9</v>
      </c>
      <c r="BA4300">
        <v>36.6</v>
      </c>
    </row>
    <row r="4301" spans="51:53" x14ac:dyDescent="0.3">
      <c r="AY4301" t="str">
        <v>27/02/2008</v>
      </c>
      <c r="AZ4301">
        <v>41.9</v>
      </c>
      <c r="BA4301">
        <v>36.6</v>
      </c>
    </row>
    <row r="4302" spans="51:53" x14ac:dyDescent="0.3">
      <c r="AY4302" t="str">
        <v>26/02/2008</v>
      </c>
      <c r="AZ4302">
        <v>41.9</v>
      </c>
      <c r="BA4302">
        <v>36.6</v>
      </c>
    </row>
    <row r="4303" spans="51:53" x14ac:dyDescent="0.3">
      <c r="AY4303" t="str">
        <v>25/02/2008</v>
      </c>
      <c r="AZ4303">
        <v>41.9</v>
      </c>
      <c r="BA4303">
        <v>36.6</v>
      </c>
    </row>
    <row r="4304" spans="51:53" x14ac:dyDescent="0.3">
      <c r="AY4304" t="str">
        <v>22/02/2008</v>
      </c>
      <c r="AZ4304">
        <v>42</v>
      </c>
      <c r="BA4304">
        <v>36.4</v>
      </c>
    </row>
    <row r="4305" spans="51:53" x14ac:dyDescent="0.3">
      <c r="AY4305" t="str">
        <v>21/02/2008</v>
      </c>
      <c r="AZ4305">
        <v>42</v>
      </c>
      <c r="BA4305">
        <v>36.4</v>
      </c>
    </row>
    <row r="4306" spans="51:53" x14ac:dyDescent="0.3">
      <c r="AY4306" t="str">
        <v>20/02/2008</v>
      </c>
      <c r="AZ4306">
        <v>42</v>
      </c>
      <c r="BA4306">
        <v>36.4</v>
      </c>
    </row>
    <row r="4307" spans="51:53" x14ac:dyDescent="0.3">
      <c r="AY4307" t="str">
        <v>19/02/2008</v>
      </c>
      <c r="AZ4307">
        <v>42</v>
      </c>
      <c r="BA4307">
        <v>36.4</v>
      </c>
    </row>
    <row r="4308" spans="51:53" x14ac:dyDescent="0.3">
      <c r="AY4308" t="str">
        <v>18/02/2008</v>
      </c>
      <c r="AZ4308">
        <v>42</v>
      </c>
      <c r="BA4308">
        <v>36.4</v>
      </c>
    </row>
    <row r="4309" spans="51:53" x14ac:dyDescent="0.3">
      <c r="AY4309" t="str">
        <v>15/02/2008</v>
      </c>
      <c r="AZ4309">
        <v>41.6</v>
      </c>
      <c r="BA4309">
        <v>33.700000000000003</v>
      </c>
    </row>
    <row r="4310" spans="51:53" x14ac:dyDescent="0.3">
      <c r="AY4310" t="str">
        <v>14/02/2008</v>
      </c>
      <c r="AZ4310">
        <v>41.6</v>
      </c>
      <c r="BA4310">
        <v>33.700000000000003</v>
      </c>
    </row>
    <row r="4311" spans="51:53" x14ac:dyDescent="0.3">
      <c r="AY4311" t="str">
        <v>13/02/2008</v>
      </c>
      <c r="AZ4311">
        <v>41.6</v>
      </c>
      <c r="BA4311">
        <v>33.700000000000003</v>
      </c>
    </row>
    <row r="4312" spans="51:53" x14ac:dyDescent="0.3">
      <c r="AY4312" t="str">
        <v>12/02/2008</v>
      </c>
      <c r="AZ4312">
        <v>41.6</v>
      </c>
      <c r="BA4312">
        <v>33.700000000000003</v>
      </c>
    </row>
    <row r="4313" spans="51:53" x14ac:dyDescent="0.3">
      <c r="AY4313" t="str">
        <v>11/02/2008</v>
      </c>
      <c r="AZ4313">
        <v>41.6</v>
      </c>
      <c r="BA4313">
        <v>33.700000000000003</v>
      </c>
    </row>
    <row r="4314" spans="51:53" x14ac:dyDescent="0.3">
      <c r="AY4314" t="str">
        <v>08/02/2008</v>
      </c>
      <c r="AZ4314">
        <v>36.700000000000003</v>
      </c>
      <c r="BA4314">
        <v>35.6</v>
      </c>
    </row>
    <row r="4315" spans="51:53" x14ac:dyDescent="0.3">
      <c r="AY4315" t="str">
        <v>07/02/2008</v>
      </c>
      <c r="AZ4315">
        <v>36.700000000000003</v>
      </c>
      <c r="BA4315">
        <v>35.6</v>
      </c>
    </row>
    <row r="4316" spans="51:53" x14ac:dyDescent="0.3">
      <c r="AY4316" t="str">
        <v>06/02/2008</v>
      </c>
      <c r="AZ4316">
        <v>36.700000000000003</v>
      </c>
      <c r="BA4316">
        <v>35.6</v>
      </c>
    </row>
    <row r="4317" spans="51:53" x14ac:dyDescent="0.3">
      <c r="AY4317" t="str">
        <v>05/02/2008</v>
      </c>
      <c r="AZ4317">
        <v>36.700000000000003</v>
      </c>
      <c r="BA4317">
        <v>35.6</v>
      </c>
    </row>
    <row r="4318" spans="51:53" x14ac:dyDescent="0.3">
      <c r="AY4318" t="str">
        <v>04/02/2008</v>
      </c>
      <c r="AZ4318">
        <v>36.700000000000003</v>
      </c>
      <c r="BA4318">
        <v>35.6</v>
      </c>
    </row>
    <row r="4319" spans="51:53" x14ac:dyDescent="0.3">
      <c r="AY4319" t="str">
        <v>01/02/2008</v>
      </c>
      <c r="AZ4319">
        <v>41.6</v>
      </c>
      <c r="BA4319">
        <v>32.6</v>
      </c>
    </row>
    <row r="4320" spans="51:53" x14ac:dyDescent="0.3">
      <c r="AY4320" t="str">
        <v>31/01/2008</v>
      </c>
      <c r="AZ4320">
        <v>41.6</v>
      </c>
      <c r="BA4320">
        <v>32.6</v>
      </c>
    </row>
    <row r="4321" spans="51:53" x14ac:dyDescent="0.3">
      <c r="AY4321" t="str">
        <v>30/01/2008</v>
      </c>
      <c r="AZ4321">
        <v>41.6</v>
      </c>
      <c r="BA4321">
        <v>32.6</v>
      </c>
    </row>
    <row r="4322" spans="51:53" x14ac:dyDescent="0.3">
      <c r="AY4322" t="str">
        <v>29/01/2008</v>
      </c>
      <c r="AZ4322">
        <v>41.6</v>
      </c>
      <c r="BA4322">
        <v>32.6</v>
      </c>
    </row>
    <row r="4323" spans="51:53" x14ac:dyDescent="0.3">
      <c r="AY4323" t="str">
        <v>28/01/2008</v>
      </c>
      <c r="AZ4323">
        <v>41.6</v>
      </c>
      <c r="BA4323">
        <v>32.6</v>
      </c>
    </row>
    <row r="4324" spans="51:53" x14ac:dyDescent="0.3">
      <c r="AY4324" t="str">
        <v>25/01/2008</v>
      </c>
      <c r="AZ4324">
        <v>40.200000000000003</v>
      </c>
      <c r="BA4324">
        <v>32.200000000000003</v>
      </c>
    </row>
    <row r="4325" spans="51:53" x14ac:dyDescent="0.3">
      <c r="AY4325" t="str">
        <v>24/01/2008</v>
      </c>
      <c r="AZ4325">
        <v>40.200000000000003</v>
      </c>
      <c r="BA4325">
        <v>32.200000000000003</v>
      </c>
    </row>
    <row r="4326" spans="51:53" x14ac:dyDescent="0.3">
      <c r="AY4326" t="str">
        <v>23/01/2008</v>
      </c>
      <c r="AZ4326">
        <v>40.200000000000003</v>
      </c>
      <c r="BA4326">
        <v>32.200000000000003</v>
      </c>
    </row>
    <row r="4327" spans="51:53" x14ac:dyDescent="0.3">
      <c r="AY4327" t="str">
        <v>22/01/2008</v>
      </c>
      <c r="AZ4327">
        <v>40.200000000000003</v>
      </c>
      <c r="BA4327">
        <v>32.200000000000003</v>
      </c>
    </row>
    <row r="4328" spans="51:53" x14ac:dyDescent="0.3">
      <c r="AY4328" t="str">
        <v>21/01/2008</v>
      </c>
      <c r="AZ4328">
        <v>40.200000000000003</v>
      </c>
      <c r="BA4328">
        <v>32.200000000000003</v>
      </c>
    </row>
    <row r="4329" spans="51:53" x14ac:dyDescent="0.3">
      <c r="AY4329" t="str">
        <v>18/01/2008</v>
      </c>
      <c r="AZ4329">
        <v>41.6</v>
      </c>
      <c r="BA4329">
        <v>31.5</v>
      </c>
    </row>
    <row r="4330" spans="51:53" x14ac:dyDescent="0.3">
      <c r="AY4330" t="str">
        <v>17/01/2008</v>
      </c>
      <c r="AZ4330">
        <v>41.6</v>
      </c>
      <c r="BA4330">
        <v>31.5</v>
      </c>
    </row>
    <row r="4331" spans="51:53" x14ac:dyDescent="0.3">
      <c r="AY4331" t="str">
        <v>16/01/2008</v>
      </c>
      <c r="AZ4331">
        <v>41.6</v>
      </c>
      <c r="BA4331">
        <v>31.5</v>
      </c>
    </row>
    <row r="4332" spans="51:53" x14ac:dyDescent="0.3">
      <c r="AY4332" t="str">
        <v>15/01/2008</v>
      </c>
      <c r="AZ4332">
        <v>41.6</v>
      </c>
      <c r="BA4332">
        <v>31.5</v>
      </c>
    </row>
    <row r="4333" spans="51:53" x14ac:dyDescent="0.3">
      <c r="AY4333" t="str">
        <v>14/01/2008</v>
      </c>
      <c r="AZ4333">
        <v>41.6</v>
      </c>
      <c r="BA4333">
        <v>31.5</v>
      </c>
    </row>
    <row r="4334" spans="51:53" x14ac:dyDescent="0.3">
      <c r="AY4334" t="str">
        <v>11/01/2008</v>
      </c>
      <c r="AZ4334">
        <v>45.6</v>
      </c>
      <c r="BA4334">
        <v>26.7</v>
      </c>
    </row>
    <row r="4335" spans="51:53" x14ac:dyDescent="0.3">
      <c r="AY4335" t="str">
        <v>10/01/2008</v>
      </c>
      <c r="AZ4335">
        <v>45.6</v>
      </c>
      <c r="BA4335">
        <v>26.7</v>
      </c>
    </row>
    <row r="4336" spans="51:53" x14ac:dyDescent="0.3">
      <c r="AY4336" t="str">
        <v>09/01/2008</v>
      </c>
      <c r="AZ4336">
        <v>45.6</v>
      </c>
      <c r="BA4336">
        <v>26.7</v>
      </c>
    </row>
    <row r="4337" spans="51:53" x14ac:dyDescent="0.3">
      <c r="AY4337" t="str">
        <v>08/01/2008</v>
      </c>
      <c r="AZ4337">
        <v>45.6</v>
      </c>
      <c r="BA4337">
        <v>26.7</v>
      </c>
    </row>
    <row r="4338" spans="51:53" x14ac:dyDescent="0.3">
      <c r="AY4338" t="str">
        <v>07/01/2008</v>
      </c>
      <c r="AZ4338">
        <v>45.6</v>
      </c>
      <c r="BA4338">
        <v>26.7</v>
      </c>
    </row>
    <row r="4339" spans="51:53" x14ac:dyDescent="0.3">
      <c r="AY4339" t="str">
        <v>04/01/2008</v>
      </c>
      <c r="AZ4339">
        <v>48.4</v>
      </c>
      <c r="BA4339">
        <v>25.8</v>
      </c>
    </row>
    <row r="4340" spans="51:53" x14ac:dyDescent="0.3">
      <c r="AY4340" t="str">
        <v>03/01/2008</v>
      </c>
      <c r="AZ4340">
        <v>48.4</v>
      </c>
      <c r="BA4340">
        <v>25.8</v>
      </c>
    </row>
    <row r="4341" spans="51:53" x14ac:dyDescent="0.3">
      <c r="AY4341" t="str">
        <v>02/01/2008</v>
      </c>
      <c r="AZ4341">
        <v>48.4</v>
      </c>
      <c r="BA4341">
        <v>25.8</v>
      </c>
    </row>
    <row r="4342" spans="51:53" x14ac:dyDescent="0.3">
      <c r="AY4342" t="str">
        <v>01/01/2008</v>
      </c>
      <c r="AZ4342">
        <v>48.4</v>
      </c>
      <c r="BA4342">
        <v>25.8</v>
      </c>
    </row>
    <row r="4343" spans="51:53" x14ac:dyDescent="0.3">
      <c r="AY4343" t="str">
        <v>31/12/2007</v>
      </c>
      <c r="AZ4343">
        <v>48.4</v>
      </c>
      <c r="BA4343">
        <v>25.8</v>
      </c>
    </row>
    <row r="4344" spans="51:53" x14ac:dyDescent="0.3">
      <c r="AY4344" t="str">
        <v>28/12/2007</v>
      </c>
      <c r="AZ4344">
        <v>52.2</v>
      </c>
      <c r="BA4344">
        <v>24.5</v>
      </c>
    </row>
    <row r="4345" spans="51:53" x14ac:dyDescent="0.3">
      <c r="AY4345" t="str">
        <v>27/12/2007</v>
      </c>
      <c r="AZ4345">
        <v>52.2</v>
      </c>
      <c r="BA4345">
        <v>24.5</v>
      </c>
    </row>
    <row r="4346" spans="51:53" x14ac:dyDescent="0.3">
      <c r="AY4346" t="str">
        <v>26/12/2007</v>
      </c>
      <c r="AZ4346">
        <v>52.2</v>
      </c>
      <c r="BA4346">
        <v>24.5</v>
      </c>
    </row>
    <row r="4347" spans="51:53" x14ac:dyDescent="0.3">
      <c r="AY4347" t="str">
        <v>25/12/2007</v>
      </c>
      <c r="AZ4347">
        <v>52.2</v>
      </c>
      <c r="BA4347">
        <v>24.5</v>
      </c>
    </row>
    <row r="4348" spans="51:53" x14ac:dyDescent="0.3">
      <c r="AY4348" t="str">
        <v>24/12/2007</v>
      </c>
      <c r="AZ4348">
        <v>52.2</v>
      </c>
      <c r="BA4348">
        <v>24.5</v>
      </c>
    </row>
    <row r="4349" spans="51:53" x14ac:dyDescent="0.3">
      <c r="AY4349" t="str">
        <v>21/12/2007</v>
      </c>
      <c r="AZ4349">
        <v>54.9</v>
      </c>
      <c r="BA4349">
        <v>23.1</v>
      </c>
    </row>
    <row r="4350" spans="51:53" x14ac:dyDescent="0.3">
      <c r="AY4350" t="str">
        <v>20/12/2007</v>
      </c>
      <c r="AZ4350">
        <v>54.9</v>
      </c>
      <c r="BA4350">
        <v>23.1</v>
      </c>
    </row>
    <row r="4351" spans="51:53" x14ac:dyDescent="0.3">
      <c r="AY4351" t="str">
        <v>19/12/2007</v>
      </c>
      <c r="AZ4351">
        <v>54.9</v>
      </c>
      <c r="BA4351">
        <v>23.1</v>
      </c>
    </row>
    <row r="4352" spans="51:53" x14ac:dyDescent="0.3">
      <c r="AY4352" t="str">
        <v>18/12/2007</v>
      </c>
      <c r="AZ4352">
        <v>54.9</v>
      </c>
      <c r="BA4352">
        <v>23.1</v>
      </c>
    </row>
    <row r="4353" spans="51:53" x14ac:dyDescent="0.3">
      <c r="AY4353" t="str">
        <v>17/12/2007</v>
      </c>
      <c r="AZ4353">
        <v>54.9</v>
      </c>
      <c r="BA4353">
        <v>23.1</v>
      </c>
    </row>
    <row r="4354" spans="51:53" x14ac:dyDescent="0.3">
      <c r="AY4354" t="str">
        <v>14/12/2007</v>
      </c>
      <c r="AZ4354">
        <v>56.5</v>
      </c>
      <c r="BA4354">
        <v>22.4</v>
      </c>
    </row>
    <row r="4355" spans="51:53" x14ac:dyDescent="0.3">
      <c r="AY4355" t="str">
        <v>13/12/2007</v>
      </c>
      <c r="AZ4355">
        <v>56.5</v>
      </c>
      <c r="BA4355">
        <v>22.4</v>
      </c>
    </row>
    <row r="4356" spans="51:53" x14ac:dyDescent="0.3">
      <c r="AY4356" t="str">
        <v>12/12/2007</v>
      </c>
      <c r="AZ4356">
        <v>56.5</v>
      </c>
      <c r="BA4356">
        <v>22.4</v>
      </c>
    </row>
    <row r="4357" spans="51:53" x14ac:dyDescent="0.3">
      <c r="AY4357" t="str">
        <v>11/12/2007</v>
      </c>
      <c r="AZ4357">
        <v>56.5</v>
      </c>
      <c r="BA4357">
        <v>22.4</v>
      </c>
    </row>
    <row r="4358" spans="51:53" x14ac:dyDescent="0.3">
      <c r="AY4358" t="str">
        <v>10/12/2007</v>
      </c>
      <c r="AZ4358">
        <v>56.5</v>
      </c>
      <c r="BA4358">
        <v>22.4</v>
      </c>
    </row>
    <row r="4359" spans="51:53" x14ac:dyDescent="0.3">
      <c r="AY4359" t="str">
        <v>07/12/2007</v>
      </c>
      <c r="AZ4359">
        <v>53.3</v>
      </c>
      <c r="BA4359">
        <v>25.6</v>
      </c>
    </row>
    <row r="4360" spans="51:53" x14ac:dyDescent="0.3">
      <c r="AY4360" t="str">
        <v>06/12/2007</v>
      </c>
      <c r="AZ4360">
        <v>53.3</v>
      </c>
      <c r="BA4360">
        <v>25.6</v>
      </c>
    </row>
    <row r="4361" spans="51:53" x14ac:dyDescent="0.3">
      <c r="AY4361" t="str">
        <v>05/12/2007</v>
      </c>
      <c r="AZ4361">
        <v>53.3</v>
      </c>
      <c r="BA4361">
        <v>25.6</v>
      </c>
    </row>
    <row r="4362" spans="51:53" x14ac:dyDescent="0.3">
      <c r="AY4362" t="str">
        <v>04/12/2007</v>
      </c>
      <c r="AZ4362">
        <v>53.3</v>
      </c>
      <c r="BA4362">
        <v>25.6</v>
      </c>
    </row>
    <row r="4363" spans="51:53" x14ac:dyDescent="0.3">
      <c r="AY4363" t="str">
        <v>03/12/2007</v>
      </c>
      <c r="AZ4363">
        <v>53.3</v>
      </c>
      <c r="BA4363">
        <v>25.6</v>
      </c>
    </row>
    <row r="4364" spans="51:53" x14ac:dyDescent="0.3">
      <c r="AY4364" t="str">
        <v>30/11/2007</v>
      </c>
      <c r="AZ4364">
        <v>49.4</v>
      </c>
      <c r="BA4364">
        <v>27.6</v>
      </c>
    </row>
    <row r="4365" spans="51:53" x14ac:dyDescent="0.3">
      <c r="AY4365" t="str">
        <v>29/11/2007</v>
      </c>
      <c r="AZ4365">
        <v>49.4</v>
      </c>
      <c r="BA4365">
        <v>27.6</v>
      </c>
    </row>
    <row r="4366" spans="51:53" x14ac:dyDescent="0.3">
      <c r="AY4366" t="str">
        <v>28/11/2007</v>
      </c>
      <c r="AZ4366">
        <v>49.4</v>
      </c>
      <c r="BA4366">
        <v>27.6</v>
      </c>
    </row>
    <row r="4367" spans="51:53" x14ac:dyDescent="0.3">
      <c r="AY4367" t="str">
        <v>27/11/2007</v>
      </c>
      <c r="AZ4367">
        <v>49.4</v>
      </c>
      <c r="BA4367">
        <v>27.6</v>
      </c>
    </row>
    <row r="4368" spans="51:53" x14ac:dyDescent="0.3">
      <c r="AY4368" t="str">
        <v>26/11/2007</v>
      </c>
      <c r="AZ4368">
        <v>49.4</v>
      </c>
      <c r="BA4368">
        <v>27.6</v>
      </c>
    </row>
    <row r="4369" spans="51:53" x14ac:dyDescent="0.3">
      <c r="AY4369" t="str">
        <v>23/11/2007</v>
      </c>
      <c r="AZ4369">
        <v>47.3</v>
      </c>
      <c r="BA4369">
        <v>29</v>
      </c>
    </row>
    <row r="4370" spans="51:53" x14ac:dyDescent="0.3">
      <c r="AY4370" t="str">
        <v>22/11/2007</v>
      </c>
      <c r="AZ4370">
        <v>47.3</v>
      </c>
      <c r="BA4370">
        <v>29</v>
      </c>
    </row>
    <row r="4371" spans="51:53" x14ac:dyDescent="0.3">
      <c r="AY4371" t="str">
        <v>21/11/2007</v>
      </c>
      <c r="AZ4371">
        <v>47.3</v>
      </c>
      <c r="BA4371">
        <v>29</v>
      </c>
    </row>
    <row r="4372" spans="51:53" x14ac:dyDescent="0.3">
      <c r="AY4372" t="str">
        <v>20/11/2007</v>
      </c>
      <c r="AZ4372">
        <v>47.3</v>
      </c>
      <c r="BA4372">
        <v>29</v>
      </c>
    </row>
    <row r="4373" spans="51:53" x14ac:dyDescent="0.3">
      <c r="AY4373" t="str">
        <v>19/11/2007</v>
      </c>
      <c r="AZ4373">
        <v>47.3</v>
      </c>
      <c r="BA4373">
        <v>29</v>
      </c>
    </row>
    <row r="4374" spans="51:53" x14ac:dyDescent="0.3">
      <c r="AY4374" t="str">
        <v>16/11/2007</v>
      </c>
      <c r="AZ4374">
        <v>47.9</v>
      </c>
      <c r="BA4374">
        <v>26.6</v>
      </c>
    </row>
    <row r="4375" spans="51:53" x14ac:dyDescent="0.3">
      <c r="AY4375" t="str">
        <v>15/11/2007</v>
      </c>
      <c r="AZ4375">
        <v>47.9</v>
      </c>
      <c r="BA4375">
        <v>26.6</v>
      </c>
    </row>
    <row r="4376" spans="51:53" x14ac:dyDescent="0.3">
      <c r="AY4376" t="str">
        <v>14/11/2007</v>
      </c>
      <c r="AZ4376">
        <v>47.9</v>
      </c>
      <c r="BA4376">
        <v>26.6</v>
      </c>
    </row>
    <row r="4377" spans="51:53" x14ac:dyDescent="0.3">
      <c r="AY4377" t="str">
        <v>13/11/2007</v>
      </c>
      <c r="AZ4377">
        <v>47.9</v>
      </c>
      <c r="BA4377">
        <v>26.6</v>
      </c>
    </row>
    <row r="4378" spans="51:53" x14ac:dyDescent="0.3">
      <c r="AY4378" t="str">
        <v>12/11/2007</v>
      </c>
      <c r="AZ4378">
        <v>47.9</v>
      </c>
      <c r="BA4378">
        <v>26.6</v>
      </c>
    </row>
    <row r="4379" spans="51:53" x14ac:dyDescent="0.3">
      <c r="AY4379" t="str">
        <v>09/11/2007</v>
      </c>
      <c r="AZ4379">
        <v>51.1</v>
      </c>
      <c r="BA4379">
        <v>26.7</v>
      </c>
    </row>
    <row r="4380" spans="51:53" x14ac:dyDescent="0.3">
      <c r="AY4380" t="str">
        <v>08/11/2007</v>
      </c>
      <c r="AZ4380">
        <v>51.1</v>
      </c>
      <c r="BA4380">
        <v>26.7</v>
      </c>
    </row>
    <row r="4381" spans="51:53" x14ac:dyDescent="0.3">
      <c r="AY4381" t="str">
        <v>07/11/2007</v>
      </c>
      <c r="AZ4381">
        <v>51.1</v>
      </c>
      <c r="BA4381">
        <v>26.7</v>
      </c>
    </row>
    <row r="4382" spans="51:53" x14ac:dyDescent="0.3">
      <c r="AY4382" t="str">
        <v>06/11/2007</v>
      </c>
      <c r="AZ4382">
        <v>51.1</v>
      </c>
      <c r="BA4382">
        <v>26.7</v>
      </c>
    </row>
    <row r="4383" spans="51:53" x14ac:dyDescent="0.3">
      <c r="AY4383" t="str">
        <v>05/11/2007</v>
      </c>
      <c r="AZ4383">
        <v>51.1</v>
      </c>
      <c r="BA4383">
        <v>26.7</v>
      </c>
    </row>
    <row r="4384" spans="51:53" x14ac:dyDescent="0.3">
      <c r="AY4384" t="str">
        <v>02/11/2007</v>
      </c>
      <c r="AZ4384">
        <v>54.5</v>
      </c>
      <c r="BA4384">
        <v>22.2</v>
      </c>
    </row>
    <row r="4385" spans="51:53" x14ac:dyDescent="0.3">
      <c r="AY4385" t="str">
        <v>01/11/2007</v>
      </c>
      <c r="AZ4385">
        <v>54.5</v>
      </c>
      <c r="BA4385">
        <v>22.2</v>
      </c>
    </row>
    <row r="4386" spans="51:53" x14ac:dyDescent="0.3">
      <c r="AY4386" t="str">
        <v>31/10/2007</v>
      </c>
      <c r="AZ4386">
        <v>54.5</v>
      </c>
      <c r="BA4386">
        <v>22.2</v>
      </c>
    </row>
    <row r="4387" spans="51:53" x14ac:dyDescent="0.3">
      <c r="AY4387" t="str">
        <v>30/10/2007</v>
      </c>
      <c r="AZ4387">
        <v>54.5</v>
      </c>
      <c r="BA4387">
        <v>22.2</v>
      </c>
    </row>
    <row r="4388" spans="51:53" x14ac:dyDescent="0.3">
      <c r="AY4388" t="str">
        <v>29/10/2007</v>
      </c>
      <c r="AZ4388">
        <v>54.5</v>
      </c>
      <c r="BA4388">
        <v>22.2</v>
      </c>
    </row>
    <row r="4389" spans="51:53" x14ac:dyDescent="0.3">
      <c r="AY4389" t="str">
        <v>26/10/2007</v>
      </c>
      <c r="AZ4389">
        <v>53.8</v>
      </c>
      <c r="BA4389">
        <v>23.1</v>
      </c>
    </row>
    <row r="4390" spans="51:53" x14ac:dyDescent="0.3">
      <c r="AY4390" t="str">
        <v>25/10/2007</v>
      </c>
      <c r="AZ4390">
        <v>53.8</v>
      </c>
      <c r="BA4390">
        <v>23.1</v>
      </c>
    </row>
    <row r="4391" spans="51:53" x14ac:dyDescent="0.3">
      <c r="AY4391" t="str">
        <v>24/10/2007</v>
      </c>
      <c r="AZ4391">
        <v>53.8</v>
      </c>
      <c r="BA4391">
        <v>23.1</v>
      </c>
    </row>
    <row r="4392" spans="51:53" x14ac:dyDescent="0.3">
      <c r="AY4392" t="str">
        <v>23/10/2007</v>
      </c>
      <c r="AZ4392">
        <v>53.8</v>
      </c>
      <c r="BA4392">
        <v>23.1</v>
      </c>
    </row>
    <row r="4393" spans="51:53" x14ac:dyDescent="0.3">
      <c r="AY4393" t="str">
        <v>22/10/2007</v>
      </c>
      <c r="AZ4393">
        <v>53.8</v>
      </c>
      <c r="BA4393">
        <v>23.1</v>
      </c>
    </row>
    <row r="4394" spans="51:53" x14ac:dyDescent="0.3">
      <c r="AY4394" t="str">
        <v>19/10/2007</v>
      </c>
      <c r="AZ4394">
        <v>56.5</v>
      </c>
      <c r="BA4394">
        <v>22.9</v>
      </c>
    </row>
    <row r="4395" spans="51:53" x14ac:dyDescent="0.3">
      <c r="AY4395" t="str">
        <v>18/10/2007</v>
      </c>
      <c r="AZ4395">
        <v>56.5</v>
      </c>
      <c r="BA4395">
        <v>22.9</v>
      </c>
    </row>
    <row r="4396" spans="51:53" x14ac:dyDescent="0.3">
      <c r="AY4396" t="str">
        <v>17/10/2007</v>
      </c>
      <c r="AZ4396">
        <v>56.5</v>
      </c>
      <c r="BA4396">
        <v>22.9</v>
      </c>
    </row>
    <row r="4397" spans="51:53" x14ac:dyDescent="0.3">
      <c r="AY4397" t="str">
        <v>16/10/2007</v>
      </c>
      <c r="AZ4397">
        <v>56.5</v>
      </c>
      <c r="BA4397">
        <v>22.9</v>
      </c>
    </row>
    <row r="4398" spans="51:53" x14ac:dyDescent="0.3">
      <c r="AY4398" t="str">
        <v>15/10/2007</v>
      </c>
      <c r="AZ4398">
        <v>56.5</v>
      </c>
      <c r="BA4398">
        <v>22.9</v>
      </c>
    </row>
    <row r="4399" spans="51:53" x14ac:dyDescent="0.3">
      <c r="AY4399" t="str">
        <v>12/10/2007</v>
      </c>
      <c r="AZ4399">
        <v>62</v>
      </c>
      <c r="BA4399">
        <v>19.600000000000001</v>
      </c>
    </row>
    <row r="4400" spans="51:53" x14ac:dyDescent="0.3">
      <c r="AY4400" t="str">
        <v>11/10/2007</v>
      </c>
      <c r="AZ4400">
        <v>62</v>
      </c>
      <c r="BA4400">
        <v>19.600000000000001</v>
      </c>
    </row>
    <row r="4401" spans="51:53" x14ac:dyDescent="0.3">
      <c r="AY4401" t="str">
        <v>10/10/2007</v>
      </c>
      <c r="AZ4401">
        <v>62</v>
      </c>
      <c r="BA4401">
        <v>19.600000000000001</v>
      </c>
    </row>
    <row r="4402" spans="51:53" x14ac:dyDescent="0.3">
      <c r="AY4402" t="str">
        <v>09/10/2007</v>
      </c>
      <c r="AZ4402">
        <v>62</v>
      </c>
      <c r="BA4402">
        <v>19.600000000000001</v>
      </c>
    </row>
    <row r="4403" spans="51:53" x14ac:dyDescent="0.3">
      <c r="AY4403" t="str">
        <v>08/10/2007</v>
      </c>
      <c r="AZ4403">
        <v>62</v>
      </c>
      <c r="BA4403">
        <v>19.600000000000001</v>
      </c>
    </row>
    <row r="4404" spans="51:53" x14ac:dyDescent="0.3">
      <c r="AY4404" t="str">
        <v>05/10/2007</v>
      </c>
      <c r="AZ4404">
        <v>60.2</v>
      </c>
      <c r="BA4404">
        <v>21.5</v>
      </c>
    </row>
    <row r="4405" spans="51:53" x14ac:dyDescent="0.3">
      <c r="AY4405" t="str">
        <v>04/10/2007</v>
      </c>
      <c r="AZ4405">
        <v>60.2</v>
      </c>
      <c r="BA4405">
        <v>21.5</v>
      </c>
    </row>
    <row r="4406" spans="51:53" x14ac:dyDescent="0.3">
      <c r="AY4406" t="str">
        <v>03/10/2007</v>
      </c>
      <c r="AZ4406">
        <v>60.2</v>
      </c>
      <c r="BA4406">
        <v>21.5</v>
      </c>
    </row>
    <row r="4407" spans="51:53" x14ac:dyDescent="0.3">
      <c r="AY4407" t="str">
        <v>02/10/2007</v>
      </c>
      <c r="AZ4407">
        <v>60.2</v>
      </c>
      <c r="BA4407">
        <v>21.5</v>
      </c>
    </row>
    <row r="4408" spans="51:53" x14ac:dyDescent="0.3">
      <c r="AY4408" t="str">
        <v>01/10/2007</v>
      </c>
      <c r="AZ4408">
        <v>60.2</v>
      </c>
      <c r="BA4408">
        <v>21.5</v>
      </c>
    </row>
    <row r="4409" spans="51:53" x14ac:dyDescent="0.3">
      <c r="AY4409" t="str">
        <v>28/09/2007</v>
      </c>
      <c r="AZ4409">
        <v>56.5</v>
      </c>
      <c r="BA4409">
        <v>25</v>
      </c>
    </row>
    <row r="4410" spans="51:53" x14ac:dyDescent="0.3">
      <c r="AY4410" t="str">
        <v>27/09/2007</v>
      </c>
      <c r="AZ4410">
        <v>56.5</v>
      </c>
      <c r="BA4410">
        <v>25</v>
      </c>
    </row>
    <row r="4411" spans="51:53" x14ac:dyDescent="0.3">
      <c r="AY4411" t="str">
        <v>26/09/2007</v>
      </c>
      <c r="AZ4411">
        <v>56.5</v>
      </c>
      <c r="BA4411">
        <v>25</v>
      </c>
    </row>
    <row r="4412" spans="51:53" x14ac:dyDescent="0.3">
      <c r="AY4412" t="str">
        <v>25/09/2007</v>
      </c>
      <c r="AZ4412">
        <v>56.5</v>
      </c>
      <c r="BA4412">
        <v>25</v>
      </c>
    </row>
    <row r="4413" spans="51:53" x14ac:dyDescent="0.3">
      <c r="AY4413" t="str">
        <v>24/09/2007</v>
      </c>
      <c r="AZ4413">
        <v>56.5</v>
      </c>
      <c r="BA4413">
        <v>25</v>
      </c>
    </row>
    <row r="4414" spans="51:53" x14ac:dyDescent="0.3">
      <c r="AY4414" t="str">
        <v>21/09/2007</v>
      </c>
      <c r="AZ4414">
        <v>55.6</v>
      </c>
      <c r="BA4414">
        <v>25.6</v>
      </c>
    </row>
    <row r="4415" spans="51:53" x14ac:dyDescent="0.3">
      <c r="AY4415" t="str">
        <v>20/09/2007</v>
      </c>
      <c r="AZ4415">
        <v>55.6</v>
      </c>
      <c r="BA4415">
        <v>25.6</v>
      </c>
    </row>
    <row r="4416" spans="51:53" x14ac:dyDescent="0.3">
      <c r="AY4416" t="str">
        <v>19/09/2007</v>
      </c>
      <c r="AZ4416">
        <v>55.6</v>
      </c>
      <c r="BA4416">
        <v>25.6</v>
      </c>
    </row>
    <row r="4417" spans="51:53" x14ac:dyDescent="0.3">
      <c r="AY4417" t="str">
        <v>18/09/2007</v>
      </c>
      <c r="AZ4417">
        <v>55.6</v>
      </c>
      <c r="BA4417">
        <v>25.6</v>
      </c>
    </row>
    <row r="4418" spans="51:53" x14ac:dyDescent="0.3">
      <c r="AY4418" t="str">
        <v>17/09/2007</v>
      </c>
      <c r="AZ4418">
        <v>55.6</v>
      </c>
      <c r="BA4418">
        <v>25.6</v>
      </c>
    </row>
    <row r="4419" spans="51:53" x14ac:dyDescent="0.3">
      <c r="AY4419" t="str">
        <v>14/09/2007</v>
      </c>
      <c r="AZ4419">
        <v>53.9</v>
      </c>
      <c r="BA4419">
        <v>27</v>
      </c>
    </row>
    <row r="4420" spans="51:53" x14ac:dyDescent="0.3">
      <c r="AY4420" t="str">
        <v>13/09/2007</v>
      </c>
      <c r="AZ4420">
        <v>53.9</v>
      </c>
      <c r="BA4420">
        <v>27</v>
      </c>
    </row>
    <row r="4421" spans="51:53" x14ac:dyDescent="0.3">
      <c r="AY4421" t="str">
        <v>12/09/2007</v>
      </c>
      <c r="AZ4421">
        <v>53.9</v>
      </c>
      <c r="BA4421">
        <v>27</v>
      </c>
    </row>
    <row r="4422" spans="51:53" x14ac:dyDescent="0.3">
      <c r="AY4422" t="str">
        <v>11/09/2007</v>
      </c>
      <c r="AZ4422">
        <v>53.9</v>
      </c>
      <c r="BA4422">
        <v>27</v>
      </c>
    </row>
    <row r="4423" spans="51:53" x14ac:dyDescent="0.3">
      <c r="AY4423" t="str">
        <v>10/09/2007</v>
      </c>
      <c r="AZ4423">
        <v>53.9</v>
      </c>
      <c r="BA4423">
        <v>27</v>
      </c>
    </row>
    <row r="4424" spans="51:53" x14ac:dyDescent="0.3">
      <c r="AY4424" t="str">
        <v>07/09/2007</v>
      </c>
      <c r="AZ4424">
        <v>48.3</v>
      </c>
      <c r="BA4424">
        <v>31</v>
      </c>
    </row>
    <row r="4425" spans="51:53" x14ac:dyDescent="0.3">
      <c r="AY4425" t="str">
        <v>06/09/2007</v>
      </c>
      <c r="AZ4425">
        <v>48.3</v>
      </c>
      <c r="BA4425">
        <v>31</v>
      </c>
    </row>
    <row r="4426" spans="51:53" x14ac:dyDescent="0.3">
      <c r="AY4426" t="str">
        <v>05/09/2007</v>
      </c>
      <c r="AZ4426">
        <v>48.3</v>
      </c>
      <c r="BA4426">
        <v>31</v>
      </c>
    </row>
    <row r="4427" spans="51:53" x14ac:dyDescent="0.3">
      <c r="AY4427" t="str">
        <v>04/09/2007</v>
      </c>
      <c r="AZ4427">
        <v>48.3</v>
      </c>
      <c r="BA4427">
        <v>31</v>
      </c>
    </row>
    <row r="4428" spans="51:53" x14ac:dyDescent="0.3">
      <c r="AY4428" t="str">
        <v>03/09/2007</v>
      </c>
      <c r="AZ4428">
        <v>48.3</v>
      </c>
      <c r="BA4428">
        <v>31</v>
      </c>
    </row>
    <row r="4429" spans="51:53" x14ac:dyDescent="0.3">
      <c r="AY4429" t="str">
        <v>31/08/2007</v>
      </c>
      <c r="AZ4429">
        <v>42.9</v>
      </c>
      <c r="BA4429">
        <v>37.4</v>
      </c>
    </row>
    <row r="4430" spans="51:53" x14ac:dyDescent="0.3">
      <c r="AY4430" t="str">
        <v>30/08/2007</v>
      </c>
      <c r="AZ4430">
        <v>42.9</v>
      </c>
      <c r="BA4430">
        <v>37.4</v>
      </c>
    </row>
    <row r="4431" spans="51:53" x14ac:dyDescent="0.3">
      <c r="AY4431" t="str">
        <v>29/08/2007</v>
      </c>
      <c r="AZ4431">
        <v>42.9</v>
      </c>
      <c r="BA4431">
        <v>37.4</v>
      </c>
    </row>
    <row r="4432" spans="51:53" x14ac:dyDescent="0.3">
      <c r="AY4432" t="str">
        <v>28/08/2007</v>
      </c>
      <c r="AZ4432">
        <v>42.9</v>
      </c>
      <c r="BA4432">
        <v>37.4</v>
      </c>
    </row>
    <row r="4433" spans="51:53" x14ac:dyDescent="0.3">
      <c r="AY4433" t="str">
        <v>27/08/2007</v>
      </c>
      <c r="AZ4433">
        <v>42.9</v>
      </c>
      <c r="BA4433">
        <v>37.4</v>
      </c>
    </row>
    <row r="4434" spans="51:53" x14ac:dyDescent="0.3">
      <c r="AY4434" t="str">
        <v>24/08/2007</v>
      </c>
      <c r="AZ4434">
        <v>41.7</v>
      </c>
      <c r="BA4434">
        <v>37.4</v>
      </c>
    </row>
    <row r="4435" spans="51:53" x14ac:dyDescent="0.3">
      <c r="AY4435" t="str">
        <v>23/08/2007</v>
      </c>
      <c r="AZ4435">
        <v>41.7</v>
      </c>
      <c r="BA4435">
        <v>37.4</v>
      </c>
    </row>
    <row r="4436" spans="51:53" x14ac:dyDescent="0.3">
      <c r="AY4436" t="str">
        <v>22/08/2007</v>
      </c>
      <c r="AZ4436">
        <v>41.7</v>
      </c>
      <c r="BA4436">
        <v>37.4</v>
      </c>
    </row>
    <row r="4437" spans="51:53" x14ac:dyDescent="0.3">
      <c r="AY4437" t="str">
        <v>21/08/2007</v>
      </c>
      <c r="AZ4437">
        <v>41.7</v>
      </c>
      <c r="BA4437">
        <v>37.4</v>
      </c>
    </row>
    <row r="4438" spans="51:53" x14ac:dyDescent="0.3">
      <c r="AY4438" t="str">
        <v>20/08/2007</v>
      </c>
      <c r="AZ4438">
        <v>41.7</v>
      </c>
      <c r="BA4438">
        <v>37.4</v>
      </c>
    </row>
    <row r="4439" spans="51:53" x14ac:dyDescent="0.3">
      <c r="AY4439" t="str">
        <v>17/08/2007</v>
      </c>
      <c r="AZ4439">
        <v>40.6</v>
      </c>
      <c r="BA4439">
        <v>37.4</v>
      </c>
    </row>
    <row r="4440" spans="51:53" x14ac:dyDescent="0.3">
      <c r="AY4440" t="str">
        <v>16/08/2007</v>
      </c>
      <c r="AZ4440">
        <v>40.6</v>
      </c>
      <c r="BA4440">
        <v>37.4</v>
      </c>
    </row>
    <row r="4441" spans="51:53" x14ac:dyDescent="0.3">
      <c r="AY4441" t="str">
        <v>15/08/2007</v>
      </c>
      <c r="AZ4441">
        <v>40.6</v>
      </c>
      <c r="BA4441">
        <v>37.4</v>
      </c>
    </row>
    <row r="4442" spans="51:53" x14ac:dyDescent="0.3">
      <c r="AY4442" t="str">
        <v>14/08/2007</v>
      </c>
      <c r="AZ4442">
        <v>40.6</v>
      </c>
      <c r="BA4442">
        <v>37.4</v>
      </c>
    </row>
    <row r="4443" spans="51:53" x14ac:dyDescent="0.3">
      <c r="AY4443" t="str">
        <v>13/08/2007</v>
      </c>
      <c r="AZ4443">
        <v>40.6</v>
      </c>
      <c r="BA4443">
        <v>37.4</v>
      </c>
    </row>
    <row r="4444" spans="51:53" x14ac:dyDescent="0.3">
      <c r="AY4444" t="str">
        <v>10/08/2007</v>
      </c>
      <c r="AZ4444">
        <v>43.8</v>
      </c>
      <c r="BA4444">
        <v>32.6</v>
      </c>
    </row>
    <row r="4445" spans="51:53" x14ac:dyDescent="0.3">
      <c r="AY4445" t="str">
        <v>09/08/2007</v>
      </c>
      <c r="AZ4445">
        <v>43.8</v>
      </c>
      <c r="BA4445">
        <v>32.6</v>
      </c>
    </row>
    <row r="4446" spans="51:53" x14ac:dyDescent="0.3">
      <c r="AY4446" t="str">
        <v>08/08/2007</v>
      </c>
      <c r="AZ4446">
        <v>43.8</v>
      </c>
      <c r="BA4446">
        <v>32.6</v>
      </c>
    </row>
    <row r="4447" spans="51:53" x14ac:dyDescent="0.3">
      <c r="AY4447" t="str">
        <v>07/08/2007</v>
      </c>
      <c r="AZ4447">
        <v>43.8</v>
      </c>
      <c r="BA4447">
        <v>32.6</v>
      </c>
    </row>
    <row r="4448" spans="51:53" x14ac:dyDescent="0.3">
      <c r="AY4448" t="str">
        <v>06/08/2007</v>
      </c>
      <c r="AZ4448">
        <v>43.8</v>
      </c>
      <c r="BA4448">
        <v>32.6</v>
      </c>
    </row>
    <row r="4449" spans="51:53" x14ac:dyDescent="0.3">
      <c r="AY4449" t="str">
        <v>03/08/2007</v>
      </c>
      <c r="AZ4449">
        <v>43.8</v>
      </c>
      <c r="BA4449">
        <v>31.5</v>
      </c>
    </row>
    <row r="4450" spans="51:53" x14ac:dyDescent="0.3">
      <c r="AY4450" t="str">
        <v>02/08/2007</v>
      </c>
      <c r="AZ4450">
        <v>43.8</v>
      </c>
      <c r="BA4450">
        <v>31.5</v>
      </c>
    </row>
    <row r="4451" spans="51:53" x14ac:dyDescent="0.3">
      <c r="AY4451" t="str">
        <v>01/08/2007</v>
      </c>
      <c r="AZ4451">
        <v>43.8</v>
      </c>
      <c r="BA4451">
        <v>31.5</v>
      </c>
    </row>
    <row r="4452" spans="51:53" x14ac:dyDescent="0.3">
      <c r="AY4452" t="str">
        <v>31/07/2007</v>
      </c>
      <c r="AZ4452">
        <v>43.8</v>
      </c>
      <c r="BA4452">
        <v>31.5</v>
      </c>
    </row>
    <row r="4453" spans="51:53" x14ac:dyDescent="0.3">
      <c r="AY4453" t="str">
        <v>30/07/2007</v>
      </c>
      <c r="AZ4453">
        <v>43.8</v>
      </c>
      <c r="BA4453">
        <v>31.5</v>
      </c>
    </row>
    <row r="4454" spans="51:53" x14ac:dyDescent="0.3">
      <c r="AY4454" t="str">
        <v>27/07/2007</v>
      </c>
      <c r="AZ4454">
        <v>47.2</v>
      </c>
      <c r="BA4454">
        <v>26.4</v>
      </c>
    </row>
    <row r="4455" spans="51:53" x14ac:dyDescent="0.3">
      <c r="AY4455" t="str">
        <v>26/07/2007</v>
      </c>
      <c r="AZ4455">
        <v>47.2</v>
      </c>
      <c r="BA4455">
        <v>26.4</v>
      </c>
    </row>
    <row r="4456" spans="51:53" x14ac:dyDescent="0.3">
      <c r="AY4456" t="str">
        <v>25/07/2007</v>
      </c>
      <c r="AZ4456">
        <v>47.2</v>
      </c>
      <c r="BA4456">
        <v>26.4</v>
      </c>
    </row>
    <row r="4457" spans="51:53" x14ac:dyDescent="0.3">
      <c r="AY4457" t="str">
        <v>24/07/2007</v>
      </c>
      <c r="AZ4457">
        <v>47.2</v>
      </c>
      <c r="BA4457">
        <v>26.4</v>
      </c>
    </row>
    <row r="4458" spans="51:53" x14ac:dyDescent="0.3">
      <c r="AY4458" t="str">
        <v>23/07/2007</v>
      </c>
      <c r="AZ4458">
        <v>47.2</v>
      </c>
      <c r="BA4458">
        <v>26.4</v>
      </c>
    </row>
    <row r="4459" spans="51:53" x14ac:dyDescent="0.3">
      <c r="AY4459" t="str">
        <v>20/07/2007</v>
      </c>
      <c r="AZ4459">
        <v>53.9</v>
      </c>
      <c r="BA4459">
        <v>18</v>
      </c>
    </row>
    <row r="4460" spans="51:53" x14ac:dyDescent="0.3">
      <c r="AY4460" t="str">
        <v>19/07/2007</v>
      </c>
      <c r="AZ4460">
        <v>53.9</v>
      </c>
      <c r="BA4460">
        <v>18</v>
      </c>
    </row>
    <row r="4461" spans="51:53" x14ac:dyDescent="0.3">
      <c r="AY4461" t="str">
        <v>18/07/2007</v>
      </c>
      <c r="AZ4461">
        <v>53.9</v>
      </c>
      <c r="BA4461">
        <v>18</v>
      </c>
    </row>
    <row r="4462" spans="51:53" x14ac:dyDescent="0.3">
      <c r="AY4462" t="str">
        <v>17/07/2007</v>
      </c>
      <c r="AZ4462">
        <v>53.9</v>
      </c>
      <c r="BA4462">
        <v>18</v>
      </c>
    </row>
    <row r="4463" spans="51:53" x14ac:dyDescent="0.3">
      <c r="AY4463" t="str">
        <v>16/07/2007</v>
      </c>
      <c r="AZ4463">
        <v>53.9</v>
      </c>
      <c r="BA4463">
        <v>18</v>
      </c>
    </row>
    <row r="4464" spans="51:53" x14ac:dyDescent="0.3">
      <c r="AY4464" t="str">
        <v>13/07/2007</v>
      </c>
      <c r="AZ4464">
        <v>52.3</v>
      </c>
      <c r="BA4464">
        <v>19.3</v>
      </c>
    </row>
    <row r="4465" spans="51:53" x14ac:dyDescent="0.3">
      <c r="AY4465" t="str">
        <v>12/07/2007</v>
      </c>
      <c r="AZ4465">
        <v>52.3</v>
      </c>
      <c r="BA4465">
        <v>19.3</v>
      </c>
    </row>
    <row r="4466" spans="51:53" x14ac:dyDescent="0.3">
      <c r="AY4466" t="str">
        <v>11/07/2007</v>
      </c>
      <c r="AZ4466">
        <v>52.3</v>
      </c>
      <c r="BA4466">
        <v>19.3</v>
      </c>
    </row>
    <row r="4467" spans="51:53" x14ac:dyDescent="0.3">
      <c r="AY4467" t="str">
        <v>10/07/2007</v>
      </c>
      <c r="AZ4467">
        <v>52.3</v>
      </c>
      <c r="BA4467">
        <v>19.3</v>
      </c>
    </row>
    <row r="4468" spans="51:53" x14ac:dyDescent="0.3">
      <c r="AY4468" t="str">
        <v>09/07/2007</v>
      </c>
      <c r="AZ4468">
        <v>52.3</v>
      </c>
      <c r="BA4468">
        <v>19.3</v>
      </c>
    </row>
    <row r="4469" spans="51:53" x14ac:dyDescent="0.3">
      <c r="AY4469" t="str">
        <v>06/07/2007</v>
      </c>
      <c r="AZ4469">
        <v>49.5</v>
      </c>
      <c r="BA4469">
        <v>21.3</v>
      </c>
    </row>
    <row r="4470" spans="51:53" x14ac:dyDescent="0.3">
      <c r="AY4470" t="str">
        <v>05/07/2007</v>
      </c>
      <c r="AZ4470">
        <v>49.5</v>
      </c>
      <c r="BA4470">
        <v>21.3</v>
      </c>
    </row>
    <row r="4471" spans="51:53" x14ac:dyDescent="0.3">
      <c r="AY4471" t="str">
        <v>04/07/2007</v>
      </c>
      <c r="AZ4471">
        <v>49.5</v>
      </c>
      <c r="BA4471">
        <v>21.3</v>
      </c>
    </row>
    <row r="4472" spans="51:53" x14ac:dyDescent="0.3">
      <c r="AY4472" t="str">
        <v>03/07/2007</v>
      </c>
      <c r="AZ4472">
        <v>49.5</v>
      </c>
      <c r="BA4472">
        <v>21.3</v>
      </c>
    </row>
    <row r="4473" spans="51:53" x14ac:dyDescent="0.3">
      <c r="AY4473" t="str">
        <v>02/07/2007</v>
      </c>
      <c r="AZ4473">
        <v>49.5</v>
      </c>
      <c r="BA4473">
        <v>21.3</v>
      </c>
    </row>
    <row r="4474" spans="51:53" x14ac:dyDescent="0.3">
      <c r="AY4474" t="str">
        <v>29/06/2007</v>
      </c>
      <c r="AZ4474">
        <v>49.4</v>
      </c>
      <c r="BA4474">
        <v>18</v>
      </c>
    </row>
    <row r="4475" spans="51:53" x14ac:dyDescent="0.3">
      <c r="AY4475" t="str">
        <v>28/06/2007</v>
      </c>
      <c r="AZ4475">
        <v>49.4</v>
      </c>
      <c r="BA4475">
        <v>18</v>
      </c>
    </row>
    <row r="4476" spans="51:53" x14ac:dyDescent="0.3">
      <c r="AY4476" t="str">
        <v>27/06/2007</v>
      </c>
      <c r="AZ4476">
        <v>49.4</v>
      </c>
      <c r="BA4476">
        <v>18</v>
      </c>
    </row>
    <row r="4477" spans="51:53" x14ac:dyDescent="0.3">
      <c r="AY4477" t="str">
        <v>26/06/2007</v>
      </c>
      <c r="AZ4477">
        <v>49.4</v>
      </c>
      <c r="BA4477">
        <v>18</v>
      </c>
    </row>
    <row r="4478" spans="51:53" x14ac:dyDescent="0.3">
      <c r="AY4478" t="str">
        <v>25/06/2007</v>
      </c>
      <c r="AZ4478">
        <v>49.4</v>
      </c>
      <c r="BA4478">
        <v>18</v>
      </c>
    </row>
    <row r="4479" spans="51:53" x14ac:dyDescent="0.3">
      <c r="AY4479" t="str">
        <v>22/06/2007</v>
      </c>
      <c r="AZ4479">
        <v>53.8</v>
      </c>
      <c r="BA4479">
        <v>20.399999999999999</v>
      </c>
    </row>
    <row r="4480" spans="51:53" x14ac:dyDescent="0.3">
      <c r="AY4480" t="str">
        <v>21/06/2007</v>
      </c>
      <c r="AZ4480">
        <v>53.8</v>
      </c>
      <c r="BA4480">
        <v>20.399999999999999</v>
      </c>
    </row>
    <row r="4481" spans="51:53" x14ac:dyDescent="0.3">
      <c r="AY4481" t="str">
        <v>20/06/2007</v>
      </c>
      <c r="AZ4481">
        <v>53.8</v>
      </c>
      <c r="BA4481">
        <v>20.399999999999999</v>
      </c>
    </row>
    <row r="4482" spans="51:53" x14ac:dyDescent="0.3">
      <c r="AY4482" t="str">
        <v>19/06/2007</v>
      </c>
      <c r="AZ4482">
        <v>53.8</v>
      </c>
      <c r="BA4482">
        <v>20.399999999999999</v>
      </c>
    </row>
    <row r="4483" spans="51:53" x14ac:dyDescent="0.3">
      <c r="AY4483" t="str">
        <v>18/06/2007</v>
      </c>
      <c r="AZ4483">
        <v>53.8</v>
      </c>
      <c r="BA4483">
        <v>20.399999999999999</v>
      </c>
    </row>
    <row r="4484" spans="51:53" x14ac:dyDescent="0.3">
      <c r="AY4484" t="str">
        <v>15/06/2007</v>
      </c>
      <c r="AZ4484">
        <v>53.3</v>
      </c>
      <c r="BA4484">
        <v>18.899999999999999</v>
      </c>
    </row>
    <row r="4485" spans="51:53" x14ac:dyDescent="0.3">
      <c r="AY4485" t="str">
        <v>14/06/2007</v>
      </c>
      <c r="AZ4485">
        <v>53.3</v>
      </c>
      <c r="BA4485">
        <v>18.899999999999999</v>
      </c>
    </row>
    <row r="4486" spans="51:53" x14ac:dyDescent="0.3">
      <c r="AY4486" t="str">
        <v>13/06/2007</v>
      </c>
      <c r="AZ4486">
        <v>53.3</v>
      </c>
      <c r="BA4486">
        <v>18.899999999999999</v>
      </c>
    </row>
    <row r="4487" spans="51:53" x14ac:dyDescent="0.3">
      <c r="AY4487" t="str">
        <v>12/06/2007</v>
      </c>
      <c r="AZ4487">
        <v>53.3</v>
      </c>
      <c r="BA4487">
        <v>18.899999999999999</v>
      </c>
    </row>
    <row r="4488" spans="51:53" x14ac:dyDescent="0.3">
      <c r="AY4488" t="str">
        <v>11/06/2007</v>
      </c>
      <c r="AZ4488">
        <v>53.3</v>
      </c>
      <c r="BA4488">
        <v>18.899999999999999</v>
      </c>
    </row>
    <row r="4489" spans="51:53" x14ac:dyDescent="0.3">
      <c r="AY4489" t="str">
        <v>08/06/2007</v>
      </c>
      <c r="AZ4489">
        <v>56.7</v>
      </c>
      <c r="BA4489">
        <v>21.1</v>
      </c>
    </row>
    <row r="4490" spans="51:53" x14ac:dyDescent="0.3">
      <c r="AY4490" t="str">
        <v>07/06/2007</v>
      </c>
      <c r="AZ4490">
        <v>56.7</v>
      </c>
      <c r="BA4490">
        <v>21.1</v>
      </c>
    </row>
    <row r="4491" spans="51:53" x14ac:dyDescent="0.3">
      <c r="AY4491" t="str">
        <v>06/06/2007</v>
      </c>
      <c r="AZ4491">
        <v>56.7</v>
      </c>
      <c r="BA4491">
        <v>21.1</v>
      </c>
    </row>
    <row r="4492" spans="51:53" x14ac:dyDescent="0.3">
      <c r="AY4492" t="str">
        <v>05/06/2007</v>
      </c>
      <c r="AZ4492">
        <v>56.7</v>
      </c>
      <c r="BA4492">
        <v>21.1</v>
      </c>
    </row>
    <row r="4493" spans="51:53" x14ac:dyDescent="0.3">
      <c r="AY4493" t="str">
        <v>04/06/2007</v>
      </c>
      <c r="AZ4493">
        <v>56.7</v>
      </c>
      <c r="BA4493">
        <v>21.1</v>
      </c>
    </row>
    <row r="4494" spans="51:53" x14ac:dyDescent="0.3">
      <c r="AY4494" t="str">
        <v>01/06/2007</v>
      </c>
      <c r="AZ4494">
        <v>52.2</v>
      </c>
      <c r="BA4494">
        <v>22.8</v>
      </c>
    </row>
    <row r="4495" spans="51:53" x14ac:dyDescent="0.3">
      <c r="AY4495" t="str">
        <v>31/05/2007</v>
      </c>
      <c r="AZ4495">
        <v>52.2</v>
      </c>
      <c r="BA4495">
        <v>22.8</v>
      </c>
    </row>
    <row r="4496" spans="51:53" x14ac:dyDescent="0.3">
      <c r="AY4496" t="str">
        <v>30/05/2007</v>
      </c>
      <c r="AZ4496">
        <v>52.2</v>
      </c>
      <c r="BA4496">
        <v>22.8</v>
      </c>
    </row>
    <row r="4497" spans="51:53" x14ac:dyDescent="0.3">
      <c r="AY4497" t="str">
        <v>29/05/2007</v>
      </c>
      <c r="AZ4497">
        <v>52.2</v>
      </c>
      <c r="BA4497">
        <v>22.8</v>
      </c>
    </row>
    <row r="4498" spans="51:53" x14ac:dyDescent="0.3">
      <c r="AY4498" t="str">
        <v>28/05/2007</v>
      </c>
      <c r="AZ4498">
        <v>52.2</v>
      </c>
      <c r="BA4498">
        <v>22.8</v>
      </c>
    </row>
    <row r="4499" spans="51:53" x14ac:dyDescent="0.3">
      <c r="AY4499" t="str">
        <v>25/05/2007</v>
      </c>
      <c r="AZ4499">
        <v>53.8</v>
      </c>
      <c r="BA4499">
        <v>21.5</v>
      </c>
    </row>
    <row r="4500" spans="51:53" x14ac:dyDescent="0.3">
      <c r="AY4500" t="str">
        <v>24/05/2007</v>
      </c>
      <c r="AZ4500">
        <v>53.8</v>
      </c>
      <c r="BA4500">
        <v>21.5</v>
      </c>
    </row>
    <row r="4501" spans="51:53" x14ac:dyDescent="0.3">
      <c r="AY4501" t="str">
        <v>23/05/2007</v>
      </c>
      <c r="AZ4501">
        <v>53.8</v>
      </c>
      <c r="BA4501">
        <v>21.5</v>
      </c>
    </row>
    <row r="4502" spans="51:53" x14ac:dyDescent="0.3">
      <c r="AY4502" t="str">
        <v>22/05/2007</v>
      </c>
      <c r="AZ4502">
        <v>53.8</v>
      </c>
      <c r="BA4502">
        <v>21.5</v>
      </c>
    </row>
    <row r="4503" spans="51:53" x14ac:dyDescent="0.3">
      <c r="AY4503" t="str">
        <v>21/05/2007</v>
      </c>
      <c r="AZ4503">
        <v>53.8</v>
      </c>
      <c r="BA4503">
        <v>21.5</v>
      </c>
    </row>
    <row r="4504" spans="51:53" x14ac:dyDescent="0.3">
      <c r="AY4504" t="str">
        <v>18/05/2007</v>
      </c>
      <c r="AZ4504">
        <v>54.3</v>
      </c>
      <c r="BA4504">
        <v>20.7</v>
      </c>
    </row>
    <row r="4505" spans="51:53" x14ac:dyDescent="0.3">
      <c r="AY4505" t="str">
        <v>17/05/2007</v>
      </c>
      <c r="AZ4505">
        <v>54.3</v>
      </c>
      <c r="BA4505">
        <v>20.7</v>
      </c>
    </row>
    <row r="4506" spans="51:53" x14ac:dyDescent="0.3">
      <c r="AY4506" t="str">
        <v>16/05/2007</v>
      </c>
      <c r="AZ4506">
        <v>54.3</v>
      </c>
      <c r="BA4506">
        <v>20.7</v>
      </c>
    </row>
    <row r="4507" spans="51:53" x14ac:dyDescent="0.3">
      <c r="AY4507" t="str">
        <v>15/05/2007</v>
      </c>
      <c r="AZ4507">
        <v>54.3</v>
      </c>
      <c r="BA4507">
        <v>20.7</v>
      </c>
    </row>
    <row r="4508" spans="51:53" x14ac:dyDescent="0.3">
      <c r="AY4508" t="str">
        <v>14/05/2007</v>
      </c>
      <c r="AZ4508">
        <v>54.3</v>
      </c>
      <c r="BA4508">
        <v>20.7</v>
      </c>
    </row>
    <row r="4509" spans="51:53" x14ac:dyDescent="0.3">
      <c r="AY4509" t="str">
        <v>11/05/2007</v>
      </c>
      <c r="AZ4509">
        <v>54.3</v>
      </c>
      <c r="BA4509">
        <v>19.600000000000001</v>
      </c>
    </row>
    <row r="4510" spans="51:53" x14ac:dyDescent="0.3">
      <c r="AY4510" t="str">
        <v>10/05/2007</v>
      </c>
      <c r="AZ4510">
        <v>54.3</v>
      </c>
      <c r="BA4510">
        <v>19.600000000000001</v>
      </c>
    </row>
    <row r="4511" spans="51:53" x14ac:dyDescent="0.3">
      <c r="AY4511" t="str">
        <v>09/05/2007</v>
      </c>
      <c r="AZ4511">
        <v>54.3</v>
      </c>
      <c r="BA4511">
        <v>19.600000000000001</v>
      </c>
    </row>
    <row r="4512" spans="51:53" x14ac:dyDescent="0.3">
      <c r="AY4512" t="str">
        <v>08/05/2007</v>
      </c>
      <c r="AZ4512">
        <v>54.3</v>
      </c>
      <c r="BA4512">
        <v>19.600000000000001</v>
      </c>
    </row>
    <row r="4513" spans="51:53" x14ac:dyDescent="0.3">
      <c r="AY4513" t="str">
        <v>07/05/2007</v>
      </c>
      <c r="AZ4513">
        <v>54.3</v>
      </c>
      <c r="BA4513">
        <v>19.600000000000001</v>
      </c>
    </row>
    <row r="4514" spans="51:53" x14ac:dyDescent="0.3">
      <c r="AY4514" t="str">
        <v>04/05/2007</v>
      </c>
      <c r="AZ4514">
        <v>53.3</v>
      </c>
      <c r="BA4514">
        <v>20</v>
      </c>
    </row>
    <row r="4515" spans="51:53" x14ac:dyDescent="0.3">
      <c r="AY4515" t="str">
        <v>03/05/2007</v>
      </c>
      <c r="AZ4515">
        <v>53.3</v>
      </c>
      <c r="BA4515">
        <v>20</v>
      </c>
    </row>
    <row r="4516" spans="51:53" x14ac:dyDescent="0.3">
      <c r="AY4516" t="str">
        <v>02/05/2007</v>
      </c>
      <c r="AZ4516">
        <v>53.3</v>
      </c>
      <c r="BA4516">
        <v>20</v>
      </c>
    </row>
    <row r="4517" spans="51:53" x14ac:dyDescent="0.3">
      <c r="AY4517" t="str">
        <v>01/05/2007</v>
      </c>
      <c r="AZ4517">
        <v>53.3</v>
      </c>
      <c r="BA4517">
        <v>20</v>
      </c>
    </row>
    <row r="4518" spans="51:53" x14ac:dyDescent="0.3">
      <c r="AY4518" t="str">
        <v>30/04/2007</v>
      </c>
      <c r="AZ4518">
        <v>53.3</v>
      </c>
      <c r="BA4518">
        <v>20</v>
      </c>
    </row>
    <row r="4519" spans="51:53" x14ac:dyDescent="0.3">
      <c r="AY4519" t="str">
        <v>27/04/2007</v>
      </c>
      <c r="AZ4519">
        <v>51.7</v>
      </c>
      <c r="BA4519">
        <v>24.7</v>
      </c>
    </row>
    <row r="4520" spans="51:53" x14ac:dyDescent="0.3">
      <c r="AY4520" t="str">
        <v>26/04/2007</v>
      </c>
      <c r="AZ4520">
        <v>51.7</v>
      </c>
      <c r="BA4520">
        <v>24.7</v>
      </c>
    </row>
    <row r="4521" spans="51:53" x14ac:dyDescent="0.3">
      <c r="AY4521" t="str">
        <v>25/04/2007</v>
      </c>
      <c r="AZ4521">
        <v>51.7</v>
      </c>
      <c r="BA4521">
        <v>24.7</v>
      </c>
    </row>
    <row r="4522" spans="51:53" x14ac:dyDescent="0.3">
      <c r="AY4522" t="str">
        <v>24/04/2007</v>
      </c>
      <c r="AZ4522">
        <v>51.7</v>
      </c>
      <c r="BA4522">
        <v>24.7</v>
      </c>
    </row>
    <row r="4523" spans="51:53" x14ac:dyDescent="0.3">
      <c r="AY4523" t="str">
        <v>23/04/2007</v>
      </c>
      <c r="AZ4523">
        <v>51.7</v>
      </c>
      <c r="BA4523">
        <v>24.7</v>
      </c>
    </row>
    <row r="4524" spans="51:53" x14ac:dyDescent="0.3">
      <c r="AY4524" t="str">
        <v>20/04/2007</v>
      </c>
      <c r="AZ4524">
        <v>51.1</v>
      </c>
      <c r="BA4524">
        <v>26.1</v>
      </c>
    </row>
    <row r="4525" spans="51:53" x14ac:dyDescent="0.3">
      <c r="AY4525" t="str">
        <v>19/04/2007</v>
      </c>
      <c r="AZ4525">
        <v>51.1</v>
      </c>
      <c r="BA4525">
        <v>26.1</v>
      </c>
    </row>
    <row r="4526" spans="51:53" x14ac:dyDescent="0.3">
      <c r="AY4526" t="str">
        <v>18/04/2007</v>
      </c>
      <c r="AZ4526">
        <v>51.1</v>
      </c>
      <c r="BA4526">
        <v>26.1</v>
      </c>
    </row>
    <row r="4527" spans="51:53" x14ac:dyDescent="0.3">
      <c r="AY4527" t="str">
        <v>17/04/2007</v>
      </c>
      <c r="AZ4527">
        <v>51.1</v>
      </c>
      <c r="BA4527">
        <v>26.1</v>
      </c>
    </row>
    <row r="4528" spans="51:53" x14ac:dyDescent="0.3">
      <c r="AY4528" t="str">
        <v>16/04/2007</v>
      </c>
      <c r="AZ4528">
        <v>51.1</v>
      </c>
      <c r="BA4528">
        <v>26.1</v>
      </c>
    </row>
    <row r="4529" spans="51:53" x14ac:dyDescent="0.3">
      <c r="AY4529" t="str">
        <v>13/04/2007</v>
      </c>
      <c r="AZ4529">
        <v>52.7</v>
      </c>
      <c r="BA4529">
        <v>25.3</v>
      </c>
    </row>
    <row r="4530" spans="51:53" x14ac:dyDescent="0.3">
      <c r="AY4530" t="str">
        <v>12/04/2007</v>
      </c>
      <c r="AZ4530">
        <v>52.7</v>
      </c>
      <c r="BA4530">
        <v>25.3</v>
      </c>
    </row>
    <row r="4531" spans="51:53" x14ac:dyDescent="0.3">
      <c r="AY4531" t="str">
        <v>11/04/2007</v>
      </c>
      <c r="AZ4531">
        <v>52.7</v>
      </c>
      <c r="BA4531">
        <v>25.3</v>
      </c>
    </row>
    <row r="4532" spans="51:53" x14ac:dyDescent="0.3">
      <c r="AY4532" t="str">
        <v>10/04/2007</v>
      </c>
      <c r="AZ4532">
        <v>52.7</v>
      </c>
      <c r="BA4532">
        <v>25.3</v>
      </c>
    </row>
    <row r="4533" spans="51:53" x14ac:dyDescent="0.3">
      <c r="AY4533" t="str">
        <v>09/04/2007</v>
      </c>
      <c r="AZ4533">
        <v>52.7</v>
      </c>
      <c r="BA4533">
        <v>25.3</v>
      </c>
    </row>
    <row r="4534" spans="51:53" x14ac:dyDescent="0.3">
      <c r="AY4534" t="str">
        <v>06/04/2007</v>
      </c>
      <c r="AZ4534">
        <v>49.5</v>
      </c>
      <c r="BA4534">
        <v>27.5</v>
      </c>
    </row>
    <row r="4535" spans="51:53" x14ac:dyDescent="0.3">
      <c r="AY4535" t="str">
        <v>05/04/2007</v>
      </c>
      <c r="AZ4535">
        <v>49.5</v>
      </c>
      <c r="BA4535">
        <v>27.5</v>
      </c>
    </row>
    <row r="4536" spans="51:53" x14ac:dyDescent="0.3">
      <c r="AY4536" t="str">
        <v>04/04/2007</v>
      </c>
      <c r="AZ4536">
        <v>49.5</v>
      </c>
      <c r="BA4536">
        <v>27.5</v>
      </c>
    </row>
    <row r="4537" spans="51:53" x14ac:dyDescent="0.3">
      <c r="AY4537" t="str">
        <v>03/04/2007</v>
      </c>
      <c r="AZ4537">
        <v>49.5</v>
      </c>
      <c r="BA4537">
        <v>27.5</v>
      </c>
    </row>
    <row r="4538" spans="51:53" x14ac:dyDescent="0.3">
      <c r="AY4538" t="str">
        <v>02/04/2007</v>
      </c>
      <c r="AZ4538">
        <v>49.5</v>
      </c>
      <c r="BA4538">
        <v>27.5</v>
      </c>
    </row>
    <row r="4539" spans="51:53" x14ac:dyDescent="0.3">
      <c r="AY4539" t="str">
        <v>30/03/2007</v>
      </c>
      <c r="AZ4539">
        <v>50.6</v>
      </c>
      <c r="BA4539">
        <v>25.8</v>
      </c>
    </row>
    <row r="4540" spans="51:53" x14ac:dyDescent="0.3">
      <c r="AY4540" t="str">
        <v>29/03/2007</v>
      </c>
      <c r="AZ4540">
        <v>50.6</v>
      </c>
      <c r="BA4540">
        <v>25.8</v>
      </c>
    </row>
    <row r="4541" spans="51:53" x14ac:dyDescent="0.3">
      <c r="AY4541" t="str">
        <v>28/03/2007</v>
      </c>
      <c r="AZ4541">
        <v>50.6</v>
      </c>
      <c r="BA4541">
        <v>25.8</v>
      </c>
    </row>
    <row r="4542" spans="51:53" x14ac:dyDescent="0.3">
      <c r="AY4542" t="str">
        <v>27/03/2007</v>
      </c>
      <c r="AZ4542">
        <v>50.6</v>
      </c>
      <c r="BA4542">
        <v>25.8</v>
      </c>
    </row>
    <row r="4543" spans="51:53" x14ac:dyDescent="0.3">
      <c r="AY4543" t="str">
        <v>26/03/2007</v>
      </c>
      <c r="AZ4543">
        <v>50.6</v>
      </c>
      <c r="BA4543">
        <v>25.8</v>
      </c>
    </row>
    <row r="4544" spans="51:53" x14ac:dyDescent="0.3">
      <c r="AY4544" t="str">
        <v>23/03/2007</v>
      </c>
      <c r="AZ4544">
        <v>48.4</v>
      </c>
      <c r="BA4544">
        <v>27.5</v>
      </c>
    </row>
    <row r="4545" spans="51:53" x14ac:dyDescent="0.3">
      <c r="AY4545" t="str">
        <v>22/03/2007</v>
      </c>
      <c r="AZ4545">
        <v>48.4</v>
      </c>
      <c r="BA4545">
        <v>27.5</v>
      </c>
    </row>
    <row r="4546" spans="51:53" x14ac:dyDescent="0.3">
      <c r="AY4546" t="str">
        <v>21/03/2007</v>
      </c>
      <c r="AZ4546">
        <v>48.4</v>
      </c>
      <c r="BA4546">
        <v>27.5</v>
      </c>
    </row>
    <row r="4547" spans="51:53" x14ac:dyDescent="0.3">
      <c r="AY4547" t="str">
        <v>20/03/2007</v>
      </c>
      <c r="AZ4547">
        <v>48.4</v>
      </c>
      <c r="BA4547">
        <v>27.5</v>
      </c>
    </row>
    <row r="4548" spans="51:53" x14ac:dyDescent="0.3">
      <c r="AY4548" t="str">
        <v>19/03/2007</v>
      </c>
      <c r="AZ4548">
        <v>48.4</v>
      </c>
      <c r="BA4548">
        <v>27.5</v>
      </c>
    </row>
    <row r="4549" spans="51:53" x14ac:dyDescent="0.3">
      <c r="AY4549" t="str">
        <v>16/03/2007</v>
      </c>
      <c r="AZ4549">
        <v>46.6</v>
      </c>
      <c r="BA4549">
        <v>28.4</v>
      </c>
    </row>
    <row r="4550" spans="51:53" x14ac:dyDescent="0.3">
      <c r="AY4550" t="str">
        <v>15/03/2007</v>
      </c>
      <c r="AZ4550">
        <v>46.6</v>
      </c>
      <c r="BA4550">
        <v>28.4</v>
      </c>
    </row>
    <row r="4551" spans="51:53" x14ac:dyDescent="0.3">
      <c r="AY4551" t="str">
        <v>14/03/2007</v>
      </c>
      <c r="AZ4551">
        <v>46.6</v>
      </c>
      <c r="BA4551">
        <v>28.4</v>
      </c>
    </row>
    <row r="4552" spans="51:53" x14ac:dyDescent="0.3">
      <c r="AY4552" t="str">
        <v>13/03/2007</v>
      </c>
      <c r="AZ4552">
        <v>46.6</v>
      </c>
      <c r="BA4552">
        <v>28.4</v>
      </c>
    </row>
    <row r="4553" spans="51:53" x14ac:dyDescent="0.3">
      <c r="AY4553" t="str">
        <v>12/03/2007</v>
      </c>
      <c r="AZ4553">
        <v>46.6</v>
      </c>
      <c r="BA4553">
        <v>28.4</v>
      </c>
    </row>
    <row r="4554" spans="51:53" x14ac:dyDescent="0.3">
      <c r="AY4554" t="str">
        <v>09/03/2007</v>
      </c>
      <c r="AZ4554">
        <v>45.5</v>
      </c>
      <c r="BA4554">
        <v>28.9</v>
      </c>
    </row>
    <row r="4555" spans="51:53" x14ac:dyDescent="0.3">
      <c r="AY4555" t="str">
        <v>08/03/2007</v>
      </c>
      <c r="AZ4555">
        <v>45.5</v>
      </c>
      <c r="BA4555">
        <v>28.9</v>
      </c>
    </row>
    <row r="4556" spans="51:53" x14ac:dyDescent="0.3">
      <c r="AY4556" t="str">
        <v>07/03/2007</v>
      </c>
      <c r="AZ4556">
        <v>45.5</v>
      </c>
      <c r="BA4556">
        <v>28.9</v>
      </c>
    </row>
    <row r="4557" spans="51:53" x14ac:dyDescent="0.3">
      <c r="AY4557" t="str">
        <v>06/03/2007</v>
      </c>
      <c r="AZ4557">
        <v>45.5</v>
      </c>
      <c r="BA4557">
        <v>28.9</v>
      </c>
    </row>
    <row r="4558" spans="51:53" x14ac:dyDescent="0.3">
      <c r="AY4558" t="str">
        <v>05/03/2007</v>
      </c>
      <c r="AZ4558">
        <v>45.5</v>
      </c>
      <c r="BA4558">
        <v>28.9</v>
      </c>
    </row>
    <row r="4559" spans="51:53" x14ac:dyDescent="0.3">
      <c r="AY4559" t="str">
        <v>02/03/2007</v>
      </c>
      <c r="AZ4559">
        <v>46.2</v>
      </c>
      <c r="BA4559">
        <v>26.9</v>
      </c>
    </row>
    <row r="4560" spans="51:53" x14ac:dyDescent="0.3">
      <c r="AY4560" t="str">
        <v>01/03/2007</v>
      </c>
      <c r="AZ4560">
        <v>46.2</v>
      </c>
      <c r="BA4560">
        <v>26.9</v>
      </c>
    </row>
    <row r="4561" spans="51:53" x14ac:dyDescent="0.3">
      <c r="AY4561" t="str">
        <v>28/02/2007</v>
      </c>
      <c r="AZ4561">
        <v>46.2</v>
      </c>
      <c r="BA4561">
        <v>26.9</v>
      </c>
    </row>
    <row r="4562" spans="51:53" x14ac:dyDescent="0.3">
      <c r="AY4562" t="str">
        <v>27/02/2007</v>
      </c>
      <c r="AZ4562">
        <v>46.2</v>
      </c>
      <c r="BA4562">
        <v>26.9</v>
      </c>
    </row>
    <row r="4563" spans="51:53" x14ac:dyDescent="0.3">
      <c r="AY4563" t="str">
        <v>26/02/2007</v>
      </c>
      <c r="AZ4563">
        <v>46.2</v>
      </c>
      <c r="BA4563">
        <v>26.9</v>
      </c>
    </row>
    <row r="4564" spans="51:53" x14ac:dyDescent="0.3">
      <c r="AY4564" t="str">
        <v>23/02/2007</v>
      </c>
      <c r="AZ4564">
        <v>50.5</v>
      </c>
      <c r="BA4564">
        <v>24.2</v>
      </c>
    </row>
    <row r="4565" spans="51:53" x14ac:dyDescent="0.3">
      <c r="AY4565" t="str">
        <v>22/02/2007</v>
      </c>
      <c r="AZ4565">
        <v>50.5</v>
      </c>
      <c r="BA4565">
        <v>24.2</v>
      </c>
    </row>
    <row r="4566" spans="51:53" x14ac:dyDescent="0.3">
      <c r="AY4566" t="str">
        <v>21/02/2007</v>
      </c>
      <c r="AZ4566">
        <v>50.5</v>
      </c>
      <c r="BA4566">
        <v>24.2</v>
      </c>
    </row>
    <row r="4567" spans="51:53" x14ac:dyDescent="0.3">
      <c r="AY4567" t="str">
        <v>20/02/2007</v>
      </c>
      <c r="AZ4567">
        <v>50.5</v>
      </c>
      <c r="BA4567">
        <v>24.2</v>
      </c>
    </row>
    <row r="4568" spans="51:53" x14ac:dyDescent="0.3">
      <c r="AY4568" t="str">
        <v>19/02/2007</v>
      </c>
      <c r="AZ4568">
        <v>50.5</v>
      </c>
      <c r="BA4568">
        <v>24.2</v>
      </c>
    </row>
    <row r="4569" spans="51:53" x14ac:dyDescent="0.3">
      <c r="AY4569" t="str">
        <v>16/02/2007</v>
      </c>
      <c r="AZ4569">
        <v>50</v>
      </c>
      <c r="BA4569">
        <v>22.2</v>
      </c>
    </row>
    <row r="4570" spans="51:53" x14ac:dyDescent="0.3">
      <c r="AY4570" t="str">
        <v>15/02/2007</v>
      </c>
      <c r="AZ4570">
        <v>50</v>
      </c>
      <c r="BA4570">
        <v>22.2</v>
      </c>
    </row>
    <row r="4571" spans="51:53" x14ac:dyDescent="0.3">
      <c r="AY4571" t="str">
        <v>14/02/2007</v>
      </c>
      <c r="AZ4571">
        <v>50</v>
      </c>
      <c r="BA4571">
        <v>22.2</v>
      </c>
    </row>
    <row r="4572" spans="51:53" x14ac:dyDescent="0.3">
      <c r="AY4572" t="str">
        <v>13/02/2007</v>
      </c>
      <c r="AZ4572">
        <v>50</v>
      </c>
      <c r="BA4572">
        <v>22.2</v>
      </c>
    </row>
    <row r="4573" spans="51:53" x14ac:dyDescent="0.3">
      <c r="AY4573" t="str">
        <v>12/02/2007</v>
      </c>
      <c r="AZ4573">
        <v>50</v>
      </c>
      <c r="BA4573">
        <v>22.2</v>
      </c>
    </row>
    <row r="4574" spans="51:53" x14ac:dyDescent="0.3">
      <c r="AY4574" t="str">
        <v>09/02/2007</v>
      </c>
      <c r="AZ4574">
        <v>51.1</v>
      </c>
      <c r="BA4574">
        <v>21.1</v>
      </c>
    </row>
    <row r="4575" spans="51:53" x14ac:dyDescent="0.3">
      <c r="AY4575" t="str">
        <v>08/02/2007</v>
      </c>
      <c r="AZ4575">
        <v>51.1</v>
      </c>
      <c r="BA4575">
        <v>21.1</v>
      </c>
    </row>
    <row r="4576" spans="51:53" x14ac:dyDescent="0.3">
      <c r="AY4576" t="str">
        <v>07/02/2007</v>
      </c>
      <c r="AZ4576">
        <v>51.1</v>
      </c>
      <c r="BA4576">
        <v>21.1</v>
      </c>
    </row>
    <row r="4577" spans="51:53" x14ac:dyDescent="0.3">
      <c r="AY4577" t="str">
        <v>06/02/2007</v>
      </c>
      <c r="AZ4577">
        <v>51.1</v>
      </c>
      <c r="BA4577">
        <v>21.1</v>
      </c>
    </row>
    <row r="4578" spans="51:53" x14ac:dyDescent="0.3">
      <c r="AY4578" t="str">
        <v>05/02/2007</v>
      </c>
      <c r="AZ4578">
        <v>51.1</v>
      </c>
      <c r="BA4578">
        <v>21.1</v>
      </c>
    </row>
    <row r="4579" spans="51:53" x14ac:dyDescent="0.3">
      <c r="AY4579" t="str">
        <v>02/02/2007</v>
      </c>
      <c r="AZ4579">
        <v>52.2</v>
      </c>
      <c r="BA4579">
        <v>22.2</v>
      </c>
    </row>
    <row r="4580" spans="51:53" x14ac:dyDescent="0.3">
      <c r="AY4580" t="str">
        <v>01/02/2007</v>
      </c>
      <c r="AZ4580">
        <v>52.2</v>
      </c>
      <c r="BA4580">
        <v>22.2</v>
      </c>
    </row>
    <row r="4581" spans="51:53" x14ac:dyDescent="0.3">
      <c r="AY4581" t="str">
        <v>31/01/2007</v>
      </c>
      <c r="AZ4581">
        <v>52.2</v>
      </c>
      <c r="BA4581">
        <v>22.2</v>
      </c>
    </row>
    <row r="4582" spans="51:53" x14ac:dyDescent="0.3">
      <c r="AY4582" t="str">
        <v>30/01/2007</v>
      </c>
      <c r="AZ4582">
        <v>52.2</v>
      </c>
      <c r="BA4582">
        <v>22.2</v>
      </c>
    </row>
    <row r="4583" spans="51:53" x14ac:dyDescent="0.3">
      <c r="AY4583" t="str">
        <v>29/01/2007</v>
      </c>
      <c r="AZ4583">
        <v>52.2</v>
      </c>
      <c r="BA4583">
        <v>22.2</v>
      </c>
    </row>
    <row r="4584" spans="51:53" x14ac:dyDescent="0.3">
      <c r="AY4584" t="str">
        <v>26/01/2007</v>
      </c>
      <c r="AZ4584">
        <v>53.3</v>
      </c>
      <c r="BA4584">
        <v>21.1</v>
      </c>
    </row>
    <row r="4585" spans="51:53" x14ac:dyDescent="0.3">
      <c r="AY4585" t="str">
        <v>25/01/2007</v>
      </c>
      <c r="AZ4585">
        <v>53.3</v>
      </c>
      <c r="BA4585">
        <v>21.1</v>
      </c>
    </row>
    <row r="4586" spans="51:53" x14ac:dyDescent="0.3">
      <c r="AY4586" t="str">
        <v>24/01/2007</v>
      </c>
      <c r="AZ4586">
        <v>53.3</v>
      </c>
      <c r="BA4586">
        <v>21.1</v>
      </c>
    </row>
    <row r="4587" spans="51:53" x14ac:dyDescent="0.3">
      <c r="AY4587" t="str">
        <v>23/01/2007</v>
      </c>
      <c r="AZ4587">
        <v>53.3</v>
      </c>
      <c r="BA4587">
        <v>21.1</v>
      </c>
    </row>
    <row r="4588" spans="51:53" x14ac:dyDescent="0.3">
      <c r="AY4588" t="str">
        <v>22/01/2007</v>
      </c>
      <c r="AZ4588">
        <v>53.3</v>
      </c>
      <c r="BA4588">
        <v>21.1</v>
      </c>
    </row>
    <row r="4589" spans="51:53" x14ac:dyDescent="0.3">
      <c r="AY4589" t="str">
        <v>19/01/2007</v>
      </c>
      <c r="AZ4589">
        <v>52.7</v>
      </c>
      <c r="BA4589">
        <v>20.9</v>
      </c>
    </row>
    <row r="4590" spans="51:53" x14ac:dyDescent="0.3">
      <c r="AY4590" t="str">
        <v>18/01/2007</v>
      </c>
      <c r="AZ4590">
        <v>52.7</v>
      </c>
      <c r="BA4590">
        <v>20.9</v>
      </c>
    </row>
    <row r="4591" spans="51:53" x14ac:dyDescent="0.3">
      <c r="AY4591" t="str">
        <v>17/01/2007</v>
      </c>
      <c r="AZ4591">
        <v>52.7</v>
      </c>
      <c r="BA4591">
        <v>20.9</v>
      </c>
    </row>
    <row r="4592" spans="51:53" x14ac:dyDescent="0.3">
      <c r="AY4592" t="str">
        <v>16/01/2007</v>
      </c>
      <c r="AZ4592">
        <v>52.7</v>
      </c>
      <c r="BA4592">
        <v>20.9</v>
      </c>
    </row>
    <row r="4593" spans="51:53" x14ac:dyDescent="0.3">
      <c r="AY4593" t="str">
        <v>15/01/2007</v>
      </c>
      <c r="AZ4593">
        <v>52.7</v>
      </c>
      <c r="BA4593">
        <v>20.9</v>
      </c>
    </row>
    <row r="4594" spans="51:53" x14ac:dyDescent="0.3">
      <c r="AY4594" t="str">
        <v>12/01/2007</v>
      </c>
      <c r="AZ4594">
        <v>50.5</v>
      </c>
      <c r="BA4594">
        <v>22.1</v>
      </c>
    </row>
    <row r="4595" spans="51:53" x14ac:dyDescent="0.3">
      <c r="AY4595" t="str">
        <v>11/01/2007</v>
      </c>
      <c r="AZ4595">
        <v>50.5</v>
      </c>
      <c r="BA4595">
        <v>22.1</v>
      </c>
    </row>
    <row r="4596" spans="51:53" x14ac:dyDescent="0.3">
      <c r="AY4596" t="str">
        <v>10/01/2007</v>
      </c>
      <c r="AZ4596">
        <v>50.5</v>
      </c>
      <c r="BA4596">
        <v>22.1</v>
      </c>
    </row>
    <row r="4597" spans="51:53" x14ac:dyDescent="0.3">
      <c r="AY4597" t="str">
        <v>09/01/2007</v>
      </c>
      <c r="AZ4597">
        <v>50.5</v>
      </c>
      <c r="BA4597">
        <v>22.1</v>
      </c>
    </row>
    <row r="4598" spans="51:53" x14ac:dyDescent="0.3">
      <c r="AY4598" t="str">
        <v>08/01/2007</v>
      </c>
      <c r="AZ4598">
        <v>50.5</v>
      </c>
      <c r="BA4598">
        <v>22.1</v>
      </c>
    </row>
    <row r="4599" spans="51:53" x14ac:dyDescent="0.3">
      <c r="AY4599" t="str">
        <v>05/01/2007</v>
      </c>
      <c r="AZ4599">
        <v>55.4</v>
      </c>
      <c r="BA4599">
        <v>20.7</v>
      </c>
    </row>
    <row r="4600" spans="51:53" x14ac:dyDescent="0.3">
      <c r="AY4600" t="str">
        <v>04/01/2007</v>
      </c>
      <c r="AZ4600">
        <v>55.4</v>
      </c>
      <c r="BA4600">
        <v>20.7</v>
      </c>
    </row>
    <row r="4601" spans="51:53" x14ac:dyDescent="0.3">
      <c r="AY4601" t="str">
        <v>03/01/2007</v>
      </c>
      <c r="AZ4601">
        <v>55.4</v>
      </c>
      <c r="BA4601">
        <v>20.7</v>
      </c>
    </row>
    <row r="4602" spans="51:53" x14ac:dyDescent="0.3">
      <c r="AY4602" t="str">
        <v>02/01/2007</v>
      </c>
      <c r="AZ4602">
        <v>55.4</v>
      </c>
      <c r="BA4602">
        <v>20.7</v>
      </c>
    </row>
    <row r="4603" spans="51:53" x14ac:dyDescent="0.3">
      <c r="AY4603" t="str">
        <v>01/01/2007</v>
      </c>
      <c r="AZ4603">
        <v>55.4</v>
      </c>
      <c r="BA4603">
        <v>20.7</v>
      </c>
    </row>
    <row r="4604" spans="51:53" x14ac:dyDescent="0.3">
      <c r="AY4604" t="str">
        <v>29/12/2006</v>
      </c>
      <c r="AZ4604">
        <v>55.3</v>
      </c>
      <c r="BA4604">
        <v>21.3</v>
      </c>
    </row>
    <row r="4605" spans="51:53" x14ac:dyDescent="0.3">
      <c r="AY4605" t="str">
        <v>28/12/2006</v>
      </c>
      <c r="AZ4605">
        <v>55.3</v>
      </c>
      <c r="BA4605">
        <v>21.3</v>
      </c>
    </row>
    <row r="4606" spans="51:53" x14ac:dyDescent="0.3">
      <c r="AY4606" t="str">
        <v>27/12/2006</v>
      </c>
      <c r="AZ4606">
        <v>55.3</v>
      </c>
      <c r="BA4606">
        <v>21.3</v>
      </c>
    </row>
    <row r="4607" spans="51:53" x14ac:dyDescent="0.3">
      <c r="AY4607" t="str">
        <v>26/12/2006</v>
      </c>
      <c r="AZ4607">
        <v>55.3</v>
      </c>
      <c r="BA4607">
        <v>21.3</v>
      </c>
    </row>
    <row r="4608" spans="51:53" x14ac:dyDescent="0.3">
      <c r="AY4608" t="str">
        <v>25/12/2006</v>
      </c>
      <c r="AZ4608">
        <v>55.3</v>
      </c>
      <c r="BA4608">
        <v>21.3</v>
      </c>
    </row>
    <row r="4609" spans="51:53" x14ac:dyDescent="0.3">
      <c r="AY4609" t="str">
        <v>22/12/2006</v>
      </c>
      <c r="AZ4609">
        <v>56.5</v>
      </c>
      <c r="BA4609">
        <v>19.600000000000001</v>
      </c>
    </row>
    <row r="4610" spans="51:53" x14ac:dyDescent="0.3">
      <c r="AY4610" t="str">
        <v>21/12/2006</v>
      </c>
      <c r="AZ4610">
        <v>56.5</v>
      </c>
      <c r="BA4610">
        <v>19.600000000000001</v>
      </c>
    </row>
    <row r="4611" spans="51:53" x14ac:dyDescent="0.3">
      <c r="AY4611" t="str">
        <v>20/12/2006</v>
      </c>
      <c r="AZ4611">
        <v>56.5</v>
      </c>
      <c r="BA4611">
        <v>19.600000000000001</v>
      </c>
    </row>
    <row r="4612" spans="51:53" x14ac:dyDescent="0.3">
      <c r="AY4612" t="str">
        <v>19/12/2006</v>
      </c>
      <c r="AZ4612">
        <v>56.5</v>
      </c>
      <c r="BA4612">
        <v>19.600000000000001</v>
      </c>
    </row>
    <row r="4613" spans="51:53" x14ac:dyDescent="0.3">
      <c r="AY4613" t="str">
        <v>18/12/2006</v>
      </c>
      <c r="AZ4613">
        <v>56.5</v>
      </c>
      <c r="BA4613">
        <v>19.600000000000001</v>
      </c>
    </row>
    <row r="4614" spans="51:53" x14ac:dyDescent="0.3">
      <c r="AY4614" t="str">
        <v>15/12/2006</v>
      </c>
      <c r="AZ4614">
        <v>58.8</v>
      </c>
      <c r="BA4614">
        <v>20.6</v>
      </c>
    </row>
    <row r="4615" spans="51:53" x14ac:dyDescent="0.3">
      <c r="AY4615" t="str">
        <v>14/12/2006</v>
      </c>
      <c r="AZ4615">
        <v>58.8</v>
      </c>
      <c r="BA4615">
        <v>20.6</v>
      </c>
    </row>
    <row r="4616" spans="51:53" x14ac:dyDescent="0.3">
      <c r="AY4616" t="str">
        <v>13/12/2006</v>
      </c>
      <c r="AZ4616">
        <v>58.8</v>
      </c>
      <c r="BA4616">
        <v>20.6</v>
      </c>
    </row>
    <row r="4617" spans="51:53" x14ac:dyDescent="0.3">
      <c r="AY4617" t="str">
        <v>12/12/2006</v>
      </c>
      <c r="AZ4617">
        <v>58.8</v>
      </c>
      <c r="BA4617">
        <v>20.6</v>
      </c>
    </row>
    <row r="4618" spans="51:53" x14ac:dyDescent="0.3">
      <c r="AY4618" t="str">
        <v>11/12/2006</v>
      </c>
      <c r="AZ4618">
        <v>58.8</v>
      </c>
      <c r="BA4618">
        <v>20.6</v>
      </c>
    </row>
    <row r="4619" spans="51:53" x14ac:dyDescent="0.3">
      <c r="AY4619" t="str">
        <v>08/12/2006</v>
      </c>
      <c r="AZ4619">
        <v>59.6</v>
      </c>
      <c r="BA4619">
        <v>21.3</v>
      </c>
    </row>
    <row r="4620" spans="51:53" x14ac:dyDescent="0.3">
      <c r="AY4620" t="str">
        <v>07/12/2006</v>
      </c>
      <c r="AZ4620">
        <v>59.6</v>
      </c>
      <c r="BA4620">
        <v>21.3</v>
      </c>
    </row>
    <row r="4621" spans="51:53" x14ac:dyDescent="0.3">
      <c r="AY4621" t="str">
        <v>06/12/2006</v>
      </c>
      <c r="AZ4621">
        <v>59.6</v>
      </c>
      <c r="BA4621">
        <v>21.3</v>
      </c>
    </row>
    <row r="4622" spans="51:53" x14ac:dyDescent="0.3">
      <c r="AY4622" t="str">
        <v>05/12/2006</v>
      </c>
      <c r="AZ4622">
        <v>59.6</v>
      </c>
      <c r="BA4622">
        <v>21.3</v>
      </c>
    </row>
    <row r="4623" spans="51:53" x14ac:dyDescent="0.3">
      <c r="AY4623" t="str">
        <v>04/12/2006</v>
      </c>
      <c r="AZ4623">
        <v>59.6</v>
      </c>
      <c r="BA4623">
        <v>21.3</v>
      </c>
    </row>
    <row r="4624" spans="51:53" x14ac:dyDescent="0.3">
      <c r="AY4624" t="str">
        <v>01/12/2006</v>
      </c>
      <c r="AZ4624">
        <v>59.8</v>
      </c>
      <c r="BA4624">
        <v>23.9</v>
      </c>
    </row>
    <row r="4625" spans="51:53" x14ac:dyDescent="0.3">
      <c r="AY4625" t="str">
        <v>30/11/2006</v>
      </c>
      <c r="AZ4625">
        <v>59.8</v>
      </c>
      <c r="BA4625">
        <v>23.9</v>
      </c>
    </row>
    <row r="4626" spans="51:53" x14ac:dyDescent="0.3">
      <c r="AY4626" t="str">
        <v>29/11/2006</v>
      </c>
      <c r="AZ4626">
        <v>59.8</v>
      </c>
      <c r="BA4626">
        <v>23.9</v>
      </c>
    </row>
    <row r="4627" spans="51:53" x14ac:dyDescent="0.3">
      <c r="AY4627" t="str">
        <v>28/11/2006</v>
      </c>
      <c r="AZ4627">
        <v>59.8</v>
      </c>
      <c r="BA4627">
        <v>23.9</v>
      </c>
    </row>
    <row r="4628" spans="51:53" x14ac:dyDescent="0.3">
      <c r="AY4628" t="str">
        <v>27/11/2006</v>
      </c>
      <c r="AZ4628">
        <v>59.8</v>
      </c>
      <c r="BA4628">
        <v>23.9</v>
      </c>
    </row>
    <row r="4629" spans="51:53" x14ac:dyDescent="0.3">
      <c r="AY4629" t="str">
        <v>24/11/2006</v>
      </c>
      <c r="AZ4629">
        <v>57.5</v>
      </c>
      <c r="BA4629">
        <v>22.3</v>
      </c>
    </row>
    <row r="4630" spans="51:53" x14ac:dyDescent="0.3">
      <c r="AY4630" t="str">
        <v>23/11/2006</v>
      </c>
      <c r="AZ4630">
        <v>57.5</v>
      </c>
      <c r="BA4630">
        <v>22.3</v>
      </c>
    </row>
    <row r="4631" spans="51:53" x14ac:dyDescent="0.3">
      <c r="AY4631" t="str">
        <v>22/11/2006</v>
      </c>
      <c r="AZ4631">
        <v>57.5</v>
      </c>
      <c r="BA4631">
        <v>22.3</v>
      </c>
    </row>
    <row r="4632" spans="51:53" x14ac:dyDescent="0.3">
      <c r="AY4632" t="str">
        <v>21/11/2006</v>
      </c>
      <c r="AZ4632">
        <v>57.5</v>
      </c>
      <c r="BA4632">
        <v>22.3</v>
      </c>
    </row>
    <row r="4633" spans="51:53" x14ac:dyDescent="0.3">
      <c r="AY4633" t="str">
        <v>20/11/2006</v>
      </c>
      <c r="AZ4633">
        <v>57.5</v>
      </c>
      <c r="BA4633">
        <v>22.3</v>
      </c>
    </row>
    <row r="4634" spans="51:53" x14ac:dyDescent="0.3">
      <c r="AY4634" t="str">
        <v>17/11/2006</v>
      </c>
      <c r="AZ4634">
        <v>58.5</v>
      </c>
      <c r="BA4634">
        <v>22.3</v>
      </c>
    </row>
    <row r="4635" spans="51:53" x14ac:dyDescent="0.3">
      <c r="AY4635" t="str">
        <v>16/11/2006</v>
      </c>
      <c r="AZ4635">
        <v>58.5</v>
      </c>
      <c r="BA4635">
        <v>22.3</v>
      </c>
    </row>
    <row r="4636" spans="51:53" x14ac:dyDescent="0.3">
      <c r="AY4636" t="str">
        <v>15/11/2006</v>
      </c>
      <c r="AZ4636">
        <v>58.5</v>
      </c>
      <c r="BA4636">
        <v>22.3</v>
      </c>
    </row>
    <row r="4637" spans="51:53" x14ac:dyDescent="0.3">
      <c r="AY4637" t="str">
        <v>14/11/2006</v>
      </c>
      <c r="AZ4637">
        <v>58.5</v>
      </c>
      <c r="BA4637">
        <v>22.3</v>
      </c>
    </row>
    <row r="4638" spans="51:53" x14ac:dyDescent="0.3">
      <c r="AY4638" t="str">
        <v>13/11/2006</v>
      </c>
      <c r="AZ4638">
        <v>58.5</v>
      </c>
      <c r="BA4638">
        <v>22.3</v>
      </c>
    </row>
    <row r="4639" spans="51:53" x14ac:dyDescent="0.3">
      <c r="AY4639" t="str">
        <v>10/11/2006</v>
      </c>
      <c r="AZ4639">
        <v>56.4</v>
      </c>
      <c r="BA4639">
        <v>22.3</v>
      </c>
    </row>
    <row r="4640" spans="51:53" x14ac:dyDescent="0.3">
      <c r="AY4640" t="str">
        <v>09/11/2006</v>
      </c>
      <c r="AZ4640">
        <v>56.4</v>
      </c>
      <c r="BA4640">
        <v>22.3</v>
      </c>
    </row>
    <row r="4641" spans="51:53" x14ac:dyDescent="0.3">
      <c r="AY4641" t="str">
        <v>08/11/2006</v>
      </c>
      <c r="AZ4641">
        <v>56.4</v>
      </c>
      <c r="BA4641">
        <v>22.3</v>
      </c>
    </row>
    <row r="4642" spans="51:53" x14ac:dyDescent="0.3">
      <c r="AY4642" t="str">
        <v>07/11/2006</v>
      </c>
      <c r="AZ4642">
        <v>56.4</v>
      </c>
      <c r="BA4642">
        <v>22.3</v>
      </c>
    </row>
    <row r="4643" spans="51:53" x14ac:dyDescent="0.3">
      <c r="AY4643" t="str">
        <v>06/11/2006</v>
      </c>
      <c r="AZ4643">
        <v>56.4</v>
      </c>
      <c r="BA4643">
        <v>22.3</v>
      </c>
    </row>
    <row r="4644" spans="51:53" x14ac:dyDescent="0.3">
      <c r="AY4644" t="str">
        <v>03/11/2006</v>
      </c>
      <c r="AZ4644">
        <v>52.1</v>
      </c>
      <c r="BA4644">
        <v>26</v>
      </c>
    </row>
    <row r="4645" spans="51:53" x14ac:dyDescent="0.3">
      <c r="AY4645" t="str">
        <v>02/11/2006</v>
      </c>
      <c r="AZ4645">
        <v>52.1</v>
      </c>
      <c r="BA4645">
        <v>26</v>
      </c>
    </row>
    <row r="4646" spans="51:53" x14ac:dyDescent="0.3">
      <c r="AY4646" t="str">
        <v>01/11/2006</v>
      </c>
      <c r="AZ4646">
        <v>52.1</v>
      </c>
      <c r="BA4646">
        <v>26</v>
      </c>
    </row>
    <row r="4647" spans="51:53" x14ac:dyDescent="0.3">
      <c r="AY4647" t="str">
        <v>31/10/2006</v>
      </c>
      <c r="AZ4647">
        <v>52.1</v>
      </c>
      <c r="BA4647">
        <v>26</v>
      </c>
    </row>
    <row r="4648" spans="51:53" x14ac:dyDescent="0.3">
      <c r="AY4648" t="str">
        <v>30/10/2006</v>
      </c>
      <c r="AZ4648">
        <v>52.1</v>
      </c>
      <c r="BA4648">
        <v>26</v>
      </c>
    </row>
    <row r="4649" spans="51:53" x14ac:dyDescent="0.3">
      <c r="AY4649" t="str">
        <v>27/10/2006</v>
      </c>
      <c r="AZ4649">
        <v>53.7</v>
      </c>
      <c r="BA4649">
        <v>28.4</v>
      </c>
    </row>
    <row r="4650" spans="51:53" x14ac:dyDescent="0.3">
      <c r="AY4650" t="str">
        <v>26/10/2006</v>
      </c>
      <c r="AZ4650">
        <v>53.7</v>
      </c>
      <c r="BA4650">
        <v>28.4</v>
      </c>
    </row>
    <row r="4651" spans="51:53" x14ac:dyDescent="0.3">
      <c r="AY4651" t="str">
        <v>25/10/2006</v>
      </c>
      <c r="AZ4651">
        <v>53.7</v>
      </c>
      <c r="BA4651">
        <v>28.4</v>
      </c>
    </row>
    <row r="4652" spans="51:53" x14ac:dyDescent="0.3">
      <c r="AY4652" t="str">
        <v>24/10/2006</v>
      </c>
      <c r="AZ4652">
        <v>53.7</v>
      </c>
      <c r="BA4652">
        <v>28.4</v>
      </c>
    </row>
    <row r="4653" spans="51:53" x14ac:dyDescent="0.3">
      <c r="AY4653" t="str">
        <v>23/10/2006</v>
      </c>
      <c r="AZ4653">
        <v>53.7</v>
      </c>
      <c r="BA4653">
        <v>28.4</v>
      </c>
    </row>
    <row r="4654" spans="51:53" x14ac:dyDescent="0.3">
      <c r="AY4654" t="str">
        <v>20/10/2006</v>
      </c>
      <c r="AZ4654">
        <v>52.7</v>
      </c>
      <c r="BA4654">
        <v>30.1</v>
      </c>
    </row>
    <row r="4655" spans="51:53" x14ac:dyDescent="0.3">
      <c r="AY4655" t="str">
        <v>19/10/2006</v>
      </c>
      <c r="AZ4655">
        <v>52.7</v>
      </c>
      <c r="BA4655">
        <v>30.1</v>
      </c>
    </row>
    <row r="4656" spans="51:53" x14ac:dyDescent="0.3">
      <c r="AY4656" t="str">
        <v>18/10/2006</v>
      </c>
      <c r="AZ4656">
        <v>52.7</v>
      </c>
      <c r="BA4656">
        <v>30.1</v>
      </c>
    </row>
    <row r="4657" spans="51:53" x14ac:dyDescent="0.3">
      <c r="AY4657" t="str">
        <v>17/10/2006</v>
      </c>
      <c r="AZ4657">
        <v>52.7</v>
      </c>
      <c r="BA4657">
        <v>30.1</v>
      </c>
    </row>
    <row r="4658" spans="51:53" x14ac:dyDescent="0.3">
      <c r="AY4658" t="str">
        <v>16/10/2006</v>
      </c>
      <c r="AZ4658">
        <v>52.7</v>
      </c>
      <c r="BA4658">
        <v>30.1</v>
      </c>
    </row>
    <row r="4659" spans="51:53" x14ac:dyDescent="0.3">
      <c r="AY4659" t="str">
        <v>13/10/2006</v>
      </c>
      <c r="AZ4659">
        <v>52.2</v>
      </c>
      <c r="BA4659">
        <v>30</v>
      </c>
    </row>
    <row r="4660" spans="51:53" x14ac:dyDescent="0.3">
      <c r="AY4660" t="str">
        <v>12/10/2006</v>
      </c>
      <c r="AZ4660">
        <v>52.2</v>
      </c>
      <c r="BA4660">
        <v>30</v>
      </c>
    </row>
    <row r="4661" spans="51:53" x14ac:dyDescent="0.3">
      <c r="AY4661" t="str">
        <v>11/10/2006</v>
      </c>
      <c r="AZ4661">
        <v>52.2</v>
      </c>
      <c r="BA4661">
        <v>30</v>
      </c>
    </row>
    <row r="4662" spans="51:53" x14ac:dyDescent="0.3">
      <c r="AY4662" t="str">
        <v>10/10/2006</v>
      </c>
      <c r="AZ4662">
        <v>52.2</v>
      </c>
      <c r="BA4662">
        <v>30</v>
      </c>
    </row>
    <row r="4663" spans="51:53" x14ac:dyDescent="0.3">
      <c r="AY4663" t="str">
        <v>09/10/2006</v>
      </c>
      <c r="AZ4663">
        <v>52.2</v>
      </c>
      <c r="BA4663">
        <v>30</v>
      </c>
    </row>
    <row r="4664" spans="51:53" x14ac:dyDescent="0.3">
      <c r="AY4664" t="str">
        <v>06/10/2006</v>
      </c>
      <c r="AZ4664">
        <v>52.2</v>
      </c>
      <c r="BA4664">
        <v>30.4</v>
      </c>
    </row>
    <row r="4665" spans="51:53" x14ac:dyDescent="0.3">
      <c r="AY4665" t="str">
        <v>05/10/2006</v>
      </c>
      <c r="AZ4665">
        <v>52.2</v>
      </c>
      <c r="BA4665">
        <v>30.4</v>
      </c>
    </row>
    <row r="4666" spans="51:53" x14ac:dyDescent="0.3">
      <c r="AY4666" t="str">
        <v>04/10/2006</v>
      </c>
      <c r="AZ4666">
        <v>52.2</v>
      </c>
      <c r="BA4666">
        <v>30.4</v>
      </c>
    </row>
    <row r="4667" spans="51:53" x14ac:dyDescent="0.3">
      <c r="AY4667" t="str">
        <v>03/10/2006</v>
      </c>
      <c r="AZ4667">
        <v>52.2</v>
      </c>
      <c r="BA4667">
        <v>30.4</v>
      </c>
    </row>
    <row r="4668" spans="51:53" x14ac:dyDescent="0.3">
      <c r="AY4668" t="str">
        <v>02/10/2006</v>
      </c>
      <c r="AZ4668">
        <v>52.2</v>
      </c>
      <c r="BA4668">
        <v>30.4</v>
      </c>
    </row>
    <row r="4669" spans="51:53" x14ac:dyDescent="0.3">
      <c r="AY4669" t="str">
        <v>29/09/2006</v>
      </c>
      <c r="AZ4669">
        <v>49.5</v>
      </c>
      <c r="BA4669">
        <v>33.299999999999997</v>
      </c>
    </row>
    <row r="4670" spans="51:53" x14ac:dyDescent="0.3">
      <c r="AY4670" t="str">
        <v>28/09/2006</v>
      </c>
      <c r="AZ4670">
        <v>49.5</v>
      </c>
      <c r="BA4670">
        <v>33.299999999999997</v>
      </c>
    </row>
    <row r="4671" spans="51:53" x14ac:dyDescent="0.3">
      <c r="AY4671" t="str">
        <v>27/09/2006</v>
      </c>
      <c r="AZ4671">
        <v>49.5</v>
      </c>
      <c r="BA4671">
        <v>33.299999999999997</v>
      </c>
    </row>
    <row r="4672" spans="51:53" x14ac:dyDescent="0.3">
      <c r="AY4672" t="str">
        <v>26/09/2006</v>
      </c>
      <c r="AZ4672">
        <v>49.5</v>
      </c>
      <c r="BA4672">
        <v>33.299999999999997</v>
      </c>
    </row>
    <row r="4673" spans="51:53" x14ac:dyDescent="0.3">
      <c r="AY4673" t="str">
        <v>25/09/2006</v>
      </c>
      <c r="AZ4673">
        <v>49.5</v>
      </c>
      <c r="BA4673">
        <v>33.299999999999997</v>
      </c>
    </row>
    <row r="4674" spans="51:53" x14ac:dyDescent="0.3">
      <c r="AY4674" t="str">
        <v>22/09/2006</v>
      </c>
      <c r="AZ4674">
        <v>47.4</v>
      </c>
      <c r="BA4674">
        <v>33.700000000000003</v>
      </c>
    </row>
    <row r="4675" spans="51:53" x14ac:dyDescent="0.3">
      <c r="AY4675" t="str">
        <v>21/09/2006</v>
      </c>
      <c r="AZ4675">
        <v>47.4</v>
      </c>
      <c r="BA4675">
        <v>33.700000000000003</v>
      </c>
    </row>
    <row r="4676" spans="51:53" x14ac:dyDescent="0.3">
      <c r="AY4676" t="str">
        <v>20/09/2006</v>
      </c>
      <c r="AZ4676">
        <v>47.4</v>
      </c>
      <c r="BA4676">
        <v>33.700000000000003</v>
      </c>
    </row>
    <row r="4677" spans="51:53" x14ac:dyDescent="0.3">
      <c r="AY4677" t="str">
        <v>19/09/2006</v>
      </c>
      <c r="AZ4677">
        <v>47.4</v>
      </c>
      <c r="BA4677">
        <v>33.700000000000003</v>
      </c>
    </row>
    <row r="4678" spans="51:53" x14ac:dyDescent="0.3">
      <c r="AY4678" t="str">
        <v>18/09/2006</v>
      </c>
      <c r="AZ4678">
        <v>47.4</v>
      </c>
      <c r="BA4678">
        <v>33.700000000000003</v>
      </c>
    </row>
    <row r="4679" spans="51:53" x14ac:dyDescent="0.3">
      <c r="AY4679" t="str">
        <v>15/09/2006</v>
      </c>
      <c r="AZ4679">
        <v>47.4</v>
      </c>
      <c r="BA4679">
        <v>33.700000000000003</v>
      </c>
    </row>
    <row r="4680" spans="51:53" x14ac:dyDescent="0.3">
      <c r="AY4680" t="str">
        <v>14/09/2006</v>
      </c>
      <c r="AZ4680">
        <v>47.4</v>
      </c>
      <c r="BA4680">
        <v>33.700000000000003</v>
      </c>
    </row>
    <row r="4681" spans="51:53" x14ac:dyDescent="0.3">
      <c r="AY4681" t="str">
        <v>13/09/2006</v>
      </c>
      <c r="AZ4681">
        <v>47.4</v>
      </c>
      <c r="BA4681">
        <v>33.700000000000003</v>
      </c>
    </row>
    <row r="4682" spans="51:53" x14ac:dyDescent="0.3">
      <c r="AY4682" t="str">
        <v>12/09/2006</v>
      </c>
      <c r="AZ4682">
        <v>47.4</v>
      </c>
      <c r="BA4682">
        <v>33.700000000000003</v>
      </c>
    </row>
    <row r="4683" spans="51:53" x14ac:dyDescent="0.3">
      <c r="AY4683" t="str">
        <v>11/09/2006</v>
      </c>
      <c r="AZ4683">
        <v>47.4</v>
      </c>
      <c r="BA4683">
        <v>33.700000000000003</v>
      </c>
    </row>
    <row r="4684" spans="51:53" x14ac:dyDescent="0.3">
      <c r="AY4684" t="str">
        <v>08/09/2006</v>
      </c>
      <c r="AZ4684">
        <v>45.8</v>
      </c>
      <c r="BA4684">
        <v>35.4</v>
      </c>
    </row>
    <row r="4685" spans="51:53" x14ac:dyDescent="0.3">
      <c r="AY4685" t="str">
        <v>07/09/2006</v>
      </c>
      <c r="AZ4685">
        <v>45.8</v>
      </c>
      <c r="BA4685">
        <v>35.4</v>
      </c>
    </row>
    <row r="4686" spans="51:53" x14ac:dyDescent="0.3">
      <c r="AY4686" t="str">
        <v>06/09/2006</v>
      </c>
      <c r="AZ4686">
        <v>45.8</v>
      </c>
      <c r="BA4686">
        <v>35.4</v>
      </c>
    </row>
    <row r="4687" spans="51:53" x14ac:dyDescent="0.3">
      <c r="AY4687" t="str">
        <v>05/09/2006</v>
      </c>
      <c r="AZ4687">
        <v>45.8</v>
      </c>
      <c r="BA4687">
        <v>35.4</v>
      </c>
    </row>
    <row r="4688" spans="51:53" x14ac:dyDescent="0.3">
      <c r="AY4688" t="str">
        <v>04/09/2006</v>
      </c>
      <c r="AZ4688">
        <v>45.8</v>
      </c>
      <c r="BA4688">
        <v>35.4</v>
      </c>
    </row>
    <row r="4689" spans="51:53" x14ac:dyDescent="0.3">
      <c r="AY4689" t="str">
        <v>01/09/2006</v>
      </c>
      <c r="AZ4689">
        <v>43.2</v>
      </c>
      <c r="BA4689">
        <v>33.700000000000003</v>
      </c>
    </row>
    <row r="4690" spans="51:53" x14ac:dyDescent="0.3">
      <c r="AY4690" t="str">
        <v>31/08/2006</v>
      </c>
      <c r="AZ4690">
        <v>43.2</v>
      </c>
      <c r="BA4690">
        <v>33.700000000000003</v>
      </c>
    </row>
    <row r="4691" spans="51:53" x14ac:dyDescent="0.3">
      <c r="AY4691" t="str">
        <v>30/08/2006</v>
      </c>
      <c r="AZ4691">
        <v>43.2</v>
      </c>
      <c r="BA4691">
        <v>33.700000000000003</v>
      </c>
    </row>
    <row r="4692" spans="51:53" x14ac:dyDescent="0.3">
      <c r="AY4692" t="str">
        <v>29/08/2006</v>
      </c>
      <c r="AZ4692">
        <v>43.2</v>
      </c>
      <c r="BA4692">
        <v>33.700000000000003</v>
      </c>
    </row>
    <row r="4693" spans="51:53" x14ac:dyDescent="0.3">
      <c r="AY4693" t="str">
        <v>28/08/2006</v>
      </c>
      <c r="AZ4693">
        <v>43.2</v>
      </c>
      <c r="BA4693">
        <v>33.700000000000003</v>
      </c>
    </row>
    <row r="4694" spans="51:53" x14ac:dyDescent="0.3">
      <c r="AY4694" t="str">
        <v>25/08/2006</v>
      </c>
      <c r="AZ4694">
        <v>42.1</v>
      </c>
      <c r="BA4694">
        <v>33.700000000000003</v>
      </c>
    </row>
    <row r="4695" spans="51:53" x14ac:dyDescent="0.3">
      <c r="AY4695" t="str">
        <v>24/08/2006</v>
      </c>
      <c r="AZ4695">
        <v>42.1</v>
      </c>
      <c r="BA4695">
        <v>33.700000000000003</v>
      </c>
    </row>
    <row r="4696" spans="51:53" x14ac:dyDescent="0.3">
      <c r="AY4696" t="str">
        <v>23/08/2006</v>
      </c>
      <c r="AZ4696">
        <v>42.1</v>
      </c>
      <c r="BA4696">
        <v>33.700000000000003</v>
      </c>
    </row>
    <row r="4697" spans="51:53" x14ac:dyDescent="0.3">
      <c r="AY4697" t="str">
        <v>22/08/2006</v>
      </c>
      <c r="AZ4697">
        <v>42.1</v>
      </c>
      <c r="BA4697">
        <v>33.700000000000003</v>
      </c>
    </row>
    <row r="4698" spans="51:53" x14ac:dyDescent="0.3">
      <c r="AY4698" t="str">
        <v>21/08/2006</v>
      </c>
      <c r="AZ4698">
        <v>42.1</v>
      </c>
      <c r="BA4698">
        <v>33.700000000000003</v>
      </c>
    </row>
    <row r="4699" spans="51:53" x14ac:dyDescent="0.3">
      <c r="AY4699" t="str">
        <v>18/08/2006</v>
      </c>
      <c r="AZ4699">
        <v>40</v>
      </c>
      <c r="BA4699">
        <v>34.700000000000003</v>
      </c>
    </row>
    <row r="4700" spans="51:53" x14ac:dyDescent="0.3">
      <c r="AY4700" t="str">
        <v>17/08/2006</v>
      </c>
      <c r="AZ4700">
        <v>40</v>
      </c>
      <c r="BA4700">
        <v>34.700000000000003</v>
      </c>
    </row>
    <row r="4701" spans="51:53" x14ac:dyDescent="0.3">
      <c r="AY4701" t="str">
        <v>16/08/2006</v>
      </c>
      <c r="AZ4701">
        <v>40</v>
      </c>
      <c r="BA4701">
        <v>34.700000000000003</v>
      </c>
    </row>
    <row r="4702" spans="51:53" x14ac:dyDescent="0.3">
      <c r="AY4702" t="str">
        <v>15/08/2006</v>
      </c>
      <c r="AZ4702">
        <v>40</v>
      </c>
      <c r="BA4702">
        <v>34.700000000000003</v>
      </c>
    </row>
    <row r="4703" spans="51:53" x14ac:dyDescent="0.3">
      <c r="AY4703" t="str">
        <v>14/08/2006</v>
      </c>
      <c r="AZ4703">
        <v>40</v>
      </c>
      <c r="BA4703">
        <v>34.700000000000003</v>
      </c>
    </row>
    <row r="4704" spans="51:53" x14ac:dyDescent="0.3">
      <c r="AY4704" t="str">
        <v>11/08/2006</v>
      </c>
      <c r="AZ4704">
        <v>40.9</v>
      </c>
      <c r="BA4704">
        <v>36.6</v>
      </c>
    </row>
    <row r="4705" spans="51:53" x14ac:dyDescent="0.3">
      <c r="AY4705" t="str">
        <v>10/08/2006</v>
      </c>
      <c r="AZ4705">
        <v>40.9</v>
      </c>
      <c r="BA4705">
        <v>36.6</v>
      </c>
    </row>
    <row r="4706" spans="51:53" x14ac:dyDescent="0.3">
      <c r="AY4706" t="str">
        <v>09/08/2006</v>
      </c>
      <c r="AZ4706">
        <v>40.9</v>
      </c>
      <c r="BA4706">
        <v>36.6</v>
      </c>
    </row>
    <row r="4707" spans="51:53" x14ac:dyDescent="0.3">
      <c r="AY4707" t="str">
        <v>08/08/2006</v>
      </c>
      <c r="AZ4707">
        <v>40.9</v>
      </c>
      <c r="BA4707">
        <v>36.6</v>
      </c>
    </row>
    <row r="4708" spans="51:53" x14ac:dyDescent="0.3">
      <c r="AY4708" t="str">
        <v>07/08/2006</v>
      </c>
      <c r="AZ4708">
        <v>40.9</v>
      </c>
      <c r="BA4708">
        <v>36.6</v>
      </c>
    </row>
    <row r="4709" spans="51:53" x14ac:dyDescent="0.3">
      <c r="AY4709" t="str">
        <v>04/08/2006</v>
      </c>
      <c r="AZ4709">
        <v>40.200000000000003</v>
      </c>
      <c r="BA4709">
        <v>37.1</v>
      </c>
    </row>
    <row r="4710" spans="51:53" x14ac:dyDescent="0.3">
      <c r="AY4710" t="str">
        <v>03/08/2006</v>
      </c>
      <c r="AZ4710">
        <v>40.200000000000003</v>
      </c>
      <c r="BA4710">
        <v>37.1</v>
      </c>
    </row>
    <row r="4711" spans="51:53" x14ac:dyDescent="0.3">
      <c r="AY4711" t="str">
        <v>02/08/2006</v>
      </c>
      <c r="AZ4711">
        <v>40.200000000000003</v>
      </c>
      <c r="BA4711">
        <v>37.1</v>
      </c>
    </row>
    <row r="4712" spans="51:53" x14ac:dyDescent="0.3">
      <c r="AY4712" t="str">
        <v>01/08/2006</v>
      </c>
      <c r="AZ4712">
        <v>40.200000000000003</v>
      </c>
      <c r="BA4712">
        <v>37.1</v>
      </c>
    </row>
    <row r="4713" spans="51:53" x14ac:dyDescent="0.3">
      <c r="AY4713" t="str">
        <v>31/07/2006</v>
      </c>
      <c r="AZ4713">
        <v>40.200000000000003</v>
      </c>
      <c r="BA4713">
        <v>37.1</v>
      </c>
    </row>
    <row r="4714" spans="51:53" x14ac:dyDescent="0.3">
      <c r="AY4714" t="str">
        <v>28/07/2006</v>
      </c>
      <c r="AZ4714">
        <v>41.5</v>
      </c>
      <c r="BA4714">
        <v>36.200000000000003</v>
      </c>
    </row>
    <row r="4715" spans="51:53" x14ac:dyDescent="0.3">
      <c r="AY4715" t="str">
        <v>27/07/2006</v>
      </c>
      <c r="AZ4715">
        <v>41.5</v>
      </c>
      <c r="BA4715">
        <v>36.200000000000003</v>
      </c>
    </row>
    <row r="4716" spans="51:53" x14ac:dyDescent="0.3">
      <c r="AY4716" t="str">
        <v>26/07/2006</v>
      </c>
      <c r="AZ4716">
        <v>41.5</v>
      </c>
      <c r="BA4716">
        <v>36.200000000000003</v>
      </c>
    </row>
    <row r="4717" spans="51:53" x14ac:dyDescent="0.3">
      <c r="AY4717" t="str">
        <v>25/07/2006</v>
      </c>
      <c r="AZ4717">
        <v>41.5</v>
      </c>
      <c r="BA4717">
        <v>36.200000000000003</v>
      </c>
    </row>
    <row r="4718" spans="51:53" x14ac:dyDescent="0.3">
      <c r="AY4718" t="str">
        <v>24/07/2006</v>
      </c>
      <c r="AZ4718">
        <v>41.5</v>
      </c>
      <c r="BA4718">
        <v>36.200000000000003</v>
      </c>
    </row>
    <row r="4719" spans="51:53" x14ac:dyDescent="0.3">
      <c r="AY4719" t="str">
        <v>21/07/2006</v>
      </c>
      <c r="AZ4719">
        <v>42.2</v>
      </c>
      <c r="BA4719">
        <v>34.5</v>
      </c>
    </row>
    <row r="4720" spans="51:53" x14ac:dyDescent="0.3">
      <c r="AY4720" t="str">
        <v>20/07/2006</v>
      </c>
      <c r="AZ4720">
        <v>42.2</v>
      </c>
      <c r="BA4720">
        <v>34.5</v>
      </c>
    </row>
    <row r="4721" spans="51:53" x14ac:dyDescent="0.3">
      <c r="AY4721" t="str">
        <v>19/07/2006</v>
      </c>
      <c r="AZ4721">
        <v>42.2</v>
      </c>
      <c r="BA4721">
        <v>34.5</v>
      </c>
    </row>
    <row r="4722" spans="51:53" x14ac:dyDescent="0.3">
      <c r="AY4722" t="str">
        <v>18/07/2006</v>
      </c>
      <c r="AZ4722">
        <v>42.2</v>
      </c>
      <c r="BA4722">
        <v>34.5</v>
      </c>
    </row>
    <row r="4723" spans="51:53" x14ac:dyDescent="0.3">
      <c r="AY4723" t="str">
        <v>17/07/2006</v>
      </c>
      <c r="AZ4723">
        <v>42.2</v>
      </c>
      <c r="BA4723">
        <v>34.5</v>
      </c>
    </row>
    <row r="4724" spans="51:53" x14ac:dyDescent="0.3">
      <c r="AY4724" t="str">
        <v>14/07/2006</v>
      </c>
      <c r="AZ4724">
        <v>42.1</v>
      </c>
      <c r="BA4724">
        <v>33.700000000000003</v>
      </c>
    </row>
    <row r="4725" spans="51:53" x14ac:dyDescent="0.3">
      <c r="AY4725" t="str">
        <v>13/07/2006</v>
      </c>
      <c r="AZ4725">
        <v>42.1</v>
      </c>
      <c r="BA4725">
        <v>33.700000000000003</v>
      </c>
    </row>
    <row r="4726" spans="51:53" x14ac:dyDescent="0.3">
      <c r="AY4726" t="str">
        <v>12/07/2006</v>
      </c>
      <c r="AZ4726">
        <v>42.1</v>
      </c>
      <c r="BA4726">
        <v>33.700000000000003</v>
      </c>
    </row>
    <row r="4727" spans="51:53" x14ac:dyDescent="0.3">
      <c r="AY4727" t="str">
        <v>11/07/2006</v>
      </c>
      <c r="AZ4727">
        <v>42.1</v>
      </c>
      <c r="BA4727">
        <v>33.700000000000003</v>
      </c>
    </row>
    <row r="4728" spans="51:53" x14ac:dyDescent="0.3">
      <c r="AY4728" t="str">
        <v>10/07/2006</v>
      </c>
      <c r="AZ4728">
        <v>42.1</v>
      </c>
      <c r="BA4728">
        <v>33.700000000000003</v>
      </c>
    </row>
    <row r="4729" spans="51:53" x14ac:dyDescent="0.3">
      <c r="AY4729" t="str">
        <v>07/07/2006</v>
      </c>
      <c r="AZ4729">
        <v>42.2</v>
      </c>
      <c r="BA4729">
        <v>33.299999999999997</v>
      </c>
    </row>
    <row r="4730" spans="51:53" x14ac:dyDescent="0.3">
      <c r="AY4730" t="str">
        <v>06/07/2006</v>
      </c>
      <c r="AZ4730">
        <v>42.2</v>
      </c>
      <c r="BA4730">
        <v>33.299999999999997</v>
      </c>
    </row>
    <row r="4731" spans="51:53" x14ac:dyDescent="0.3">
      <c r="AY4731" t="str">
        <v>05/07/2006</v>
      </c>
      <c r="AZ4731">
        <v>42.2</v>
      </c>
      <c r="BA4731">
        <v>33.299999999999997</v>
      </c>
    </row>
    <row r="4732" spans="51:53" x14ac:dyDescent="0.3">
      <c r="AY4732" t="str">
        <v>04/07/2006</v>
      </c>
      <c r="AZ4732">
        <v>42.2</v>
      </c>
      <c r="BA4732">
        <v>33.299999999999997</v>
      </c>
    </row>
    <row r="4733" spans="51:53" x14ac:dyDescent="0.3">
      <c r="AY4733" t="str">
        <v>03/07/2006</v>
      </c>
      <c r="AZ4733">
        <v>42.2</v>
      </c>
      <c r="BA4733">
        <v>33.299999999999997</v>
      </c>
    </row>
    <row r="4734" spans="51:53" x14ac:dyDescent="0.3">
      <c r="AY4734" t="str">
        <v>30/06/2006</v>
      </c>
      <c r="AZ4734">
        <v>38.700000000000003</v>
      </c>
      <c r="BA4734">
        <v>34.4</v>
      </c>
    </row>
    <row r="4735" spans="51:53" x14ac:dyDescent="0.3">
      <c r="AY4735" t="str">
        <v>29/06/2006</v>
      </c>
      <c r="AZ4735">
        <v>38.700000000000003</v>
      </c>
      <c r="BA4735">
        <v>34.4</v>
      </c>
    </row>
    <row r="4736" spans="51:53" x14ac:dyDescent="0.3">
      <c r="AY4736" t="str">
        <v>28/06/2006</v>
      </c>
      <c r="AZ4736">
        <v>38.700000000000003</v>
      </c>
      <c r="BA4736">
        <v>34.4</v>
      </c>
    </row>
    <row r="4737" spans="51:53" x14ac:dyDescent="0.3">
      <c r="AY4737" t="str">
        <v>27/06/2006</v>
      </c>
      <c r="AZ4737">
        <v>38.700000000000003</v>
      </c>
      <c r="BA4737">
        <v>34.4</v>
      </c>
    </row>
    <row r="4738" spans="51:53" x14ac:dyDescent="0.3">
      <c r="AY4738" t="str">
        <v>26/06/2006</v>
      </c>
      <c r="AZ4738">
        <v>38.700000000000003</v>
      </c>
      <c r="BA4738">
        <v>34.4</v>
      </c>
    </row>
    <row r="4739" spans="51:53" x14ac:dyDescent="0.3">
      <c r="AY4739" t="str">
        <v>23/06/2006</v>
      </c>
      <c r="AZ4739">
        <v>37.4</v>
      </c>
      <c r="BA4739">
        <v>36.299999999999997</v>
      </c>
    </row>
    <row r="4740" spans="51:53" x14ac:dyDescent="0.3">
      <c r="AY4740" t="str">
        <v>22/06/2006</v>
      </c>
      <c r="AZ4740">
        <v>37.4</v>
      </c>
      <c r="BA4740">
        <v>36.299999999999997</v>
      </c>
    </row>
    <row r="4741" spans="51:53" x14ac:dyDescent="0.3">
      <c r="AY4741" t="str">
        <v>21/06/2006</v>
      </c>
      <c r="AZ4741">
        <v>37.4</v>
      </c>
      <c r="BA4741">
        <v>36.299999999999997</v>
      </c>
    </row>
    <row r="4742" spans="51:53" x14ac:dyDescent="0.3">
      <c r="AY4742" t="str">
        <v>20/06/2006</v>
      </c>
      <c r="AZ4742">
        <v>37.4</v>
      </c>
      <c r="BA4742">
        <v>36.299999999999997</v>
      </c>
    </row>
    <row r="4743" spans="51:53" x14ac:dyDescent="0.3">
      <c r="AY4743" t="str">
        <v>19/06/2006</v>
      </c>
      <c r="AZ4743">
        <v>37.4</v>
      </c>
      <c r="BA4743">
        <v>36.299999999999997</v>
      </c>
    </row>
    <row r="4744" spans="51:53" x14ac:dyDescent="0.3">
      <c r="AY4744" t="str">
        <v>16/06/2006</v>
      </c>
      <c r="AZ4744">
        <v>35.6</v>
      </c>
      <c r="BA4744">
        <v>35.6</v>
      </c>
    </row>
    <row r="4745" spans="51:53" x14ac:dyDescent="0.3">
      <c r="AY4745" t="str">
        <v>15/06/2006</v>
      </c>
      <c r="AZ4745">
        <v>35.6</v>
      </c>
      <c r="BA4745">
        <v>35.6</v>
      </c>
    </row>
    <row r="4746" spans="51:53" x14ac:dyDescent="0.3">
      <c r="AY4746" t="str">
        <v>14/06/2006</v>
      </c>
      <c r="AZ4746">
        <v>35.6</v>
      </c>
      <c r="BA4746">
        <v>35.6</v>
      </c>
    </row>
    <row r="4747" spans="51:53" x14ac:dyDescent="0.3">
      <c r="AY4747" t="str">
        <v>13/06/2006</v>
      </c>
      <c r="AZ4747">
        <v>35.6</v>
      </c>
      <c r="BA4747">
        <v>35.6</v>
      </c>
    </row>
    <row r="4748" spans="51:53" x14ac:dyDescent="0.3">
      <c r="AY4748" t="str">
        <v>12/06/2006</v>
      </c>
      <c r="AZ4748">
        <v>35.6</v>
      </c>
      <c r="BA4748">
        <v>35.6</v>
      </c>
    </row>
    <row r="4749" spans="51:53" x14ac:dyDescent="0.3">
      <c r="AY4749" t="str">
        <v>09/06/2006</v>
      </c>
      <c r="AZ4749">
        <v>38.700000000000003</v>
      </c>
      <c r="BA4749">
        <v>34.4</v>
      </c>
    </row>
    <row r="4750" spans="51:53" x14ac:dyDescent="0.3">
      <c r="AY4750" t="str">
        <v>08/06/2006</v>
      </c>
      <c r="AZ4750">
        <v>38.700000000000003</v>
      </c>
      <c r="BA4750">
        <v>34.4</v>
      </c>
    </row>
    <row r="4751" spans="51:53" x14ac:dyDescent="0.3">
      <c r="AY4751" t="str">
        <v>07/06/2006</v>
      </c>
      <c r="AZ4751">
        <v>38.700000000000003</v>
      </c>
      <c r="BA4751">
        <v>34.4</v>
      </c>
    </row>
    <row r="4752" spans="51:53" x14ac:dyDescent="0.3">
      <c r="AY4752" t="str">
        <v>06/06/2006</v>
      </c>
      <c r="AZ4752">
        <v>38.700000000000003</v>
      </c>
      <c r="BA4752">
        <v>34.4</v>
      </c>
    </row>
    <row r="4753" spans="51:53" x14ac:dyDescent="0.3">
      <c r="AY4753" t="str">
        <v>05/06/2006</v>
      </c>
      <c r="AZ4753">
        <v>38.700000000000003</v>
      </c>
      <c r="BA4753">
        <v>34.4</v>
      </c>
    </row>
    <row r="4754" spans="51:53" x14ac:dyDescent="0.3">
      <c r="AY4754" t="str">
        <v>02/06/2006</v>
      </c>
      <c r="AZ4754">
        <v>40.200000000000003</v>
      </c>
      <c r="BA4754">
        <v>31.5</v>
      </c>
    </row>
    <row r="4755" spans="51:53" x14ac:dyDescent="0.3">
      <c r="AY4755" t="str">
        <v>01/06/2006</v>
      </c>
      <c r="AZ4755">
        <v>40.200000000000003</v>
      </c>
      <c r="BA4755">
        <v>31.5</v>
      </c>
    </row>
    <row r="4756" spans="51:53" x14ac:dyDescent="0.3">
      <c r="AY4756" t="str">
        <v>31/05/2006</v>
      </c>
      <c r="AZ4756">
        <v>40.200000000000003</v>
      </c>
      <c r="BA4756">
        <v>31.5</v>
      </c>
    </row>
    <row r="4757" spans="51:53" x14ac:dyDescent="0.3">
      <c r="AY4757" t="str">
        <v>30/05/2006</v>
      </c>
      <c r="AZ4757">
        <v>40.200000000000003</v>
      </c>
      <c r="BA4757">
        <v>31.5</v>
      </c>
    </row>
    <row r="4758" spans="51:53" x14ac:dyDescent="0.3">
      <c r="AY4758" t="str">
        <v>29/05/2006</v>
      </c>
      <c r="AZ4758">
        <v>40.200000000000003</v>
      </c>
      <c r="BA4758">
        <v>31.5</v>
      </c>
    </row>
    <row r="4759" spans="51:53" x14ac:dyDescent="0.3">
      <c r="AY4759" t="str">
        <v>26/05/2006</v>
      </c>
      <c r="AZ4759">
        <v>42.6</v>
      </c>
      <c r="BA4759">
        <v>29.8</v>
      </c>
    </row>
    <row r="4760" spans="51:53" x14ac:dyDescent="0.3">
      <c r="AY4760" t="str">
        <v>25/05/2006</v>
      </c>
      <c r="AZ4760">
        <v>42.6</v>
      </c>
      <c r="BA4760">
        <v>29.8</v>
      </c>
    </row>
    <row r="4761" spans="51:53" x14ac:dyDescent="0.3">
      <c r="AY4761" t="str">
        <v>24/05/2006</v>
      </c>
      <c r="AZ4761">
        <v>42.6</v>
      </c>
      <c r="BA4761">
        <v>29.8</v>
      </c>
    </row>
    <row r="4762" spans="51:53" x14ac:dyDescent="0.3">
      <c r="AY4762" t="str">
        <v>23/05/2006</v>
      </c>
      <c r="AZ4762">
        <v>42.6</v>
      </c>
      <c r="BA4762">
        <v>29.8</v>
      </c>
    </row>
    <row r="4763" spans="51:53" x14ac:dyDescent="0.3">
      <c r="AY4763" t="str">
        <v>22/05/2006</v>
      </c>
      <c r="AZ4763">
        <v>42.6</v>
      </c>
      <c r="BA4763">
        <v>29.8</v>
      </c>
    </row>
    <row r="4764" spans="51:53" x14ac:dyDescent="0.3">
      <c r="AY4764" t="str">
        <v>19/05/2006</v>
      </c>
      <c r="AZ4764">
        <v>43.8</v>
      </c>
      <c r="BA4764">
        <v>27.6</v>
      </c>
    </row>
    <row r="4765" spans="51:53" x14ac:dyDescent="0.3">
      <c r="AY4765" t="str">
        <v>18/05/2006</v>
      </c>
      <c r="AZ4765">
        <v>43.8</v>
      </c>
      <c r="BA4765">
        <v>27.6</v>
      </c>
    </row>
    <row r="4766" spans="51:53" x14ac:dyDescent="0.3">
      <c r="AY4766" t="str">
        <v>17/05/2006</v>
      </c>
      <c r="AZ4766">
        <v>43.8</v>
      </c>
      <c r="BA4766">
        <v>27.6</v>
      </c>
    </row>
    <row r="4767" spans="51:53" x14ac:dyDescent="0.3">
      <c r="AY4767" t="str">
        <v>16/05/2006</v>
      </c>
      <c r="AZ4767">
        <v>43.8</v>
      </c>
      <c r="BA4767">
        <v>27.6</v>
      </c>
    </row>
    <row r="4768" spans="51:53" x14ac:dyDescent="0.3">
      <c r="AY4768" t="str">
        <v>15/05/2006</v>
      </c>
      <c r="AZ4768">
        <v>43.8</v>
      </c>
      <c r="BA4768">
        <v>27.6</v>
      </c>
    </row>
    <row r="4769" spans="51:53" x14ac:dyDescent="0.3">
      <c r="AY4769" t="str">
        <v>12/05/2006</v>
      </c>
      <c r="AZ4769">
        <v>46.3</v>
      </c>
      <c r="BA4769">
        <v>25.3</v>
      </c>
    </row>
    <row r="4770" spans="51:53" x14ac:dyDescent="0.3">
      <c r="AY4770" t="str">
        <v>11/05/2006</v>
      </c>
      <c r="AZ4770">
        <v>46.3</v>
      </c>
      <c r="BA4770">
        <v>25.3</v>
      </c>
    </row>
    <row r="4771" spans="51:53" x14ac:dyDescent="0.3">
      <c r="AY4771" t="str">
        <v>10/05/2006</v>
      </c>
      <c r="AZ4771">
        <v>46.3</v>
      </c>
      <c r="BA4771">
        <v>25.3</v>
      </c>
    </row>
    <row r="4772" spans="51:53" x14ac:dyDescent="0.3">
      <c r="AY4772" t="str">
        <v>09/05/2006</v>
      </c>
      <c r="AZ4772">
        <v>46.3</v>
      </c>
      <c r="BA4772">
        <v>25.3</v>
      </c>
    </row>
    <row r="4773" spans="51:53" x14ac:dyDescent="0.3">
      <c r="AY4773" t="str">
        <v>08/05/2006</v>
      </c>
      <c r="AZ4773">
        <v>46.3</v>
      </c>
      <c r="BA4773">
        <v>25.3</v>
      </c>
    </row>
    <row r="4774" spans="51:53" x14ac:dyDescent="0.3">
      <c r="AY4774" t="str">
        <v>05/05/2006</v>
      </c>
      <c r="AZ4774">
        <v>44.3</v>
      </c>
      <c r="BA4774">
        <v>26.8</v>
      </c>
    </row>
    <row r="4775" spans="51:53" x14ac:dyDescent="0.3">
      <c r="AY4775" t="str">
        <v>04/05/2006</v>
      </c>
      <c r="AZ4775">
        <v>44.3</v>
      </c>
      <c r="BA4775">
        <v>26.8</v>
      </c>
    </row>
    <row r="4776" spans="51:53" x14ac:dyDescent="0.3">
      <c r="AY4776" t="str">
        <v>03/05/2006</v>
      </c>
      <c r="AZ4776">
        <v>44.3</v>
      </c>
      <c r="BA4776">
        <v>26.8</v>
      </c>
    </row>
    <row r="4777" spans="51:53" x14ac:dyDescent="0.3">
      <c r="AY4777" t="str">
        <v>02/05/2006</v>
      </c>
      <c r="AZ4777">
        <v>44.3</v>
      </c>
      <c r="BA4777">
        <v>26.8</v>
      </c>
    </row>
    <row r="4778" spans="51:53" x14ac:dyDescent="0.3">
      <c r="AY4778" t="str">
        <v>01/05/2006</v>
      </c>
      <c r="AZ4778">
        <v>44.3</v>
      </c>
      <c r="BA4778">
        <v>26.8</v>
      </c>
    </row>
    <row r="4779" spans="51:53" x14ac:dyDescent="0.3">
      <c r="AY4779" t="str">
        <v>28/04/2006</v>
      </c>
      <c r="AZ4779">
        <v>43.9</v>
      </c>
      <c r="BA4779">
        <v>28.6</v>
      </c>
    </row>
    <row r="4780" spans="51:53" x14ac:dyDescent="0.3">
      <c r="AY4780" t="str">
        <v>27/04/2006</v>
      </c>
      <c r="AZ4780">
        <v>43.9</v>
      </c>
      <c r="BA4780">
        <v>28.6</v>
      </c>
    </row>
    <row r="4781" spans="51:53" x14ac:dyDescent="0.3">
      <c r="AY4781" t="str">
        <v>26/04/2006</v>
      </c>
      <c r="AZ4781">
        <v>43.9</v>
      </c>
      <c r="BA4781">
        <v>28.6</v>
      </c>
    </row>
    <row r="4782" spans="51:53" x14ac:dyDescent="0.3">
      <c r="AY4782" t="str">
        <v>25/04/2006</v>
      </c>
      <c r="AZ4782">
        <v>43.9</v>
      </c>
      <c r="BA4782">
        <v>28.6</v>
      </c>
    </row>
    <row r="4783" spans="51:53" x14ac:dyDescent="0.3">
      <c r="AY4783" t="str">
        <v>24/04/2006</v>
      </c>
      <c r="AZ4783">
        <v>43.9</v>
      </c>
      <c r="BA4783">
        <v>28.6</v>
      </c>
    </row>
    <row r="4784" spans="51:53" x14ac:dyDescent="0.3">
      <c r="AY4784" t="str">
        <v>21/04/2006</v>
      </c>
      <c r="AZ4784">
        <v>45.4</v>
      </c>
      <c r="BA4784">
        <v>25.8</v>
      </c>
    </row>
    <row r="4785" spans="51:53" x14ac:dyDescent="0.3">
      <c r="AY4785" t="str">
        <v>20/04/2006</v>
      </c>
      <c r="AZ4785">
        <v>45.4</v>
      </c>
      <c r="BA4785">
        <v>25.8</v>
      </c>
    </row>
    <row r="4786" spans="51:53" x14ac:dyDescent="0.3">
      <c r="AY4786" t="str">
        <v>19/04/2006</v>
      </c>
      <c r="AZ4786">
        <v>45.4</v>
      </c>
      <c r="BA4786">
        <v>25.8</v>
      </c>
    </row>
    <row r="4787" spans="51:53" x14ac:dyDescent="0.3">
      <c r="AY4787" t="str">
        <v>18/04/2006</v>
      </c>
      <c r="AZ4787">
        <v>45.4</v>
      </c>
      <c r="BA4787">
        <v>25.8</v>
      </c>
    </row>
    <row r="4788" spans="51:53" x14ac:dyDescent="0.3">
      <c r="AY4788" t="str">
        <v>17/04/2006</v>
      </c>
      <c r="AZ4788">
        <v>45.4</v>
      </c>
      <c r="BA4788">
        <v>25.8</v>
      </c>
    </row>
    <row r="4789" spans="51:53" x14ac:dyDescent="0.3">
      <c r="AY4789" t="str">
        <v>14/04/2006</v>
      </c>
      <c r="AZ4789">
        <v>48</v>
      </c>
      <c r="BA4789">
        <v>26</v>
      </c>
    </row>
    <row r="4790" spans="51:53" x14ac:dyDescent="0.3">
      <c r="AY4790" t="str">
        <v>13/04/2006</v>
      </c>
      <c r="AZ4790">
        <v>48</v>
      </c>
      <c r="BA4790">
        <v>26</v>
      </c>
    </row>
    <row r="4791" spans="51:53" x14ac:dyDescent="0.3">
      <c r="AY4791" t="str">
        <v>12/04/2006</v>
      </c>
      <c r="AZ4791">
        <v>48</v>
      </c>
      <c r="BA4791">
        <v>26</v>
      </c>
    </row>
    <row r="4792" spans="51:53" x14ac:dyDescent="0.3">
      <c r="AY4792" t="str">
        <v>11/04/2006</v>
      </c>
      <c r="AZ4792">
        <v>48</v>
      </c>
      <c r="BA4792">
        <v>26</v>
      </c>
    </row>
    <row r="4793" spans="51:53" x14ac:dyDescent="0.3">
      <c r="AY4793" t="str">
        <v>10/04/2006</v>
      </c>
      <c r="AZ4793">
        <v>48</v>
      </c>
      <c r="BA4793">
        <v>26</v>
      </c>
    </row>
    <row r="4794" spans="51:53" x14ac:dyDescent="0.3">
      <c r="AY4794" t="str">
        <v>07/04/2006</v>
      </c>
      <c r="AZ4794">
        <v>53.2</v>
      </c>
      <c r="BA4794">
        <v>24.5</v>
      </c>
    </row>
    <row r="4795" spans="51:53" x14ac:dyDescent="0.3">
      <c r="AY4795" t="str">
        <v>06/04/2006</v>
      </c>
      <c r="AZ4795">
        <v>53.2</v>
      </c>
      <c r="BA4795">
        <v>24.5</v>
      </c>
    </row>
    <row r="4796" spans="51:53" x14ac:dyDescent="0.3">
      <c r="AY4796" t="str">
        <v>05/04/2006</v>
      </c>
      <c r="AZ4796">
        <v>53.2</v>
      </c>
      <c r="BA4796">
        <v>24.5</v>
      </c>
    </row>
    <row r="4797" spans="51:53" x14ac:dyDescent="0.3">
      <c r="AY4797" t="str">
        <v>04/04/2006</v>
      </c>
      <c r="AZ4797">
        <v>53.2</v>
      </c>
      <c r="BA4797">
        <v>24.5</v>
      </c>
    </row>
    <row r="4798" spans="51:53" x14ac:dyDescent="0.3">
      <c r="AY4798" t="str">
        <v>03/04/2006</v>
      </c>
      <c r="AZ4798">
        <v>53.2</v>
      </c>
      <c r="BA4798">
        <v>24.5</v>
      </c>
    </row>
    <row r="4799" spans="51:53" x14ac:dyDescent="0.3">
      <c r="AY4799" t="str">
        <v>31/03/2006</v>
      </c>
      <c r="AZ4799">
        <v>49.5</v>
      </c>
      <c r="BA4799">
        <v>27.8</v>
      </c>
    </row>
    <row r="4800" spans="51:53" x14ac:dyDescent="0.3">
      <c r="AY4800" t="str">
        <v>30/03/2006</v>
      </c>
      <c r="AZ4800">
        <v>49.5</v>
      </c>
      <c r="BA4800">
        <v>27.8</v>
      </c>
    </row>
    <row r="4801" spans="51:53" x14ac:dyDescent="0.3">
      <c r="AY4801" t="str">
        <v>29/03/2006</v>
      </c>
      <c r="AZ4801">
        <v>49.5</v>
      </c>
      <c r="BA4801">
        <v>27.8</v>
      </c>
    </row>
    <row r="4802" spans="51:53" x14ac:dyDescent="0.3">
      <c r="AY4802" t="str">
        <v>28/03/2006</v>
      </c>
      <c r="AZ4802">
        <v>49.5</v>
      </c>
      <c r="BA4802">
        <v>27.8</v>
      </c>
    </row>
    <row r="4803" spans="51:53" x14ac:dyDescent="0.3">
      <c r="AY4803" t="str">
        <v>27/03/2006</v>
      </c>
      <c r="AZ4803">
        <v>49.5</v>
      </c>
      <c r="BA4803">
        <v>27.8</v>
      </c>
    </row>
    <row r="4804" spans="51:53" x14ac:dyDescent="0.3">
      <c r="AY4804" t="str">
        <v>24/03/2006</v>
      </c>
      <c r="AZ4804">
        <v>46.7</v>
      </c>
      <c r="BA4804">
        <v>28.3</v>
      </c>
    </row>
    <row r="4805" spans="51:53" x14ac:dyDescent="0.3">
      <c r="AY4805" t="str">
        <v>23/03/2006</v>
      </c>
      <c r="AZ4805">
        <v>46.7</v>
      </c>
      <c r="BA4805">
        <v>28.3</v>
      </c>
    </row>
    <row r="4806" spans="51:53" x14ac:dyDescent="0.3">
      <c r="AY4806" t="str">
        <v>22/03/2006</v>
      </c>
      <c r="AZ4806">
        <v>46.7</v>
      </c>
      <c r="BA4806">
        <v>28.3</v>
      </c>
    </row>
    <row r="4807" spans="51:53" x14ac:dyDescent="0.3">
      <c r="AY4807" t="str">
        <v>21/03/2006</v>
      </c>
      <c r="AZ4807">
        <v>46.7</v>
      </c>
      <c r="BA4807">
        <v>28.3</v>
      </c>
    </row>
    <row r="4808" spans="51:53" x14ac:dyDescent="0.3">
      <c r="AY4808" t="str">
        <v>20/03/2006</v>
      </c>
      <c r="AZ4808">
        <v>46.7</v>
      </c>
      <c r="BA4808">
        <v>28.3</v>
      </c>
    </row>
    <row r="4809" spans="51:53" x14ac:dyDescent="0.3">
      <c r="AY4809" t="str">
        <v>17/03/2006</v>
      </c>
      <c r="AZ4809">
        <v>46.3</v>
      </c>
      <c r="BA4809">
        <v>30.5</v>
      </c>
    </row>
    <row r="4810" spans="51:53" x14ac:dyDescent="0.3">
      <c r="AY4810" t="str">
        <v>16/03/2006</v>
      </c>
      <c r="AZ4810">
        <v>46.3</v>
      </c>
      <c r="BA4810">
        <v>30.5</v>
      </c>
    </row>
    <row r="4811" spans="51:53" x14ac:dyDescent="0.3">
      <c r="AY4811" t="str">
        <v>15/03/2006</v>
      </c>
      <c r="AZ4811">
        <v>46.3</v>
      </c>
      <c r="BA4811">
        <v>30.5</v>
      </c>
    </row>
    <row r="4812" spans="51:53" x14ac:dyDescent="0.3">
      <c r="AY4812" t="str">
        <v>14/03/2006</v>
      </c>
      <c r="AZ4812">
        <v>46.3</v>
      </c>
      <c r="BA4812">
        <v>30.5</v>
      </c>
    </row>
    <row r="4813" spans="51:53" x14ac:dyDescent="0.3">
      <c r="AY4813" t="str">
        <v>13/03/2006</v>
      </c>
      <c r="AZ4813">
        <v>46.3</v>
      </c>
      <c r="BA4813">
        <v>30.5</v>
      </c>
    </row>
    <row r="4814" spans="51:53" x14ac:dyDescent="0.3">
      <c r="AY4814" t="str">
        <v>10/03/2006</v>
      </c>
      <c r="AZ4814">
        <v>42.3</v>
      </c>
      <c r="BA4814">
        <v>33</v>
      </c>
    </row>
    <row r="4815" spans="51:53" x14ac:dyDescent="0.3">
      <c r="AY4815" t="str">
        <v>09/03/2006</v>
      </c>
      <c r="AZ4815">
        <v>42.3</v>
      </c>
      <c r="BA4815">
        <v>33</v>
      </c>
    </row>
    <row r="4816" spans="51:53" x14ac:dyDescent="0.3">
      <c r="AY4816" t="str">
        <v>08/03/2006</v>
      </c>
      <c r="AZ4816">
        <v>42.3</v>
      </c>
      <c r="BA4816">
        <v>33</v>
      </c>
    </row>
    <row r="4817" spans="51:53" x14ac:dyDescent="0.3">
      <c r="AY4817" t="str">
        <v>07/03/2006</v>
      </c>
      <c r="AZ4817">
        <v>42.3</v>
      </c>
      <c r="BA4817">
        <v>33</v>
      </c>
    </row>
    <row r="4818" spans="51:53" x14ac:dyDescent="0.3">
      <c r="AY4818" t="str">
        <v>06/03/2006</v>
      </c>
      <c r="AZ4818">
        <v>42.3</v>
      </c>
      <c r="BA4818">
        <v>33</v>
      </c>
    </row>
    <row r="4819" spans="51:53" x14ac:dyDescent="0.3">
      <c r="AY4819" t="str">
        <v>03/03/2006</v>
      </c>
      <c r="AZ4819">
        <v>42.7</v>
      </c>
      <c r="BA4819">
        <v>31.3</v>
      </c>
    </row>
    <row r="4820" spans="51:53" x14ac:dyDescent="0.3">
      <c r="AY4820" t="str">
        <v>02/03/2006</v>
      </c>
      <c r="AZ4820">
        <v>42.7</v>
      </c>
      <c r="BA4820">
        <v>31.3</v>
      </c>
    </row>
    <row r="4821" spans="51:53" x14ac:dyDescent="0.3">
      <c r="AY4821" t="str">
        <v>01/03/2006</v>
      </c>
      <c r="AZ4821">
        <v>42.7</v>
      </c>
      <c r="BA4821">
        <v>31.3</v>
      </c>
    </row>
    <row r="4822" spans="51:53" x14ac:dyDescent="0.3">
      <c r="AY4822" t="str">
        <v>28/02/2006</v>
      </c>
      <c r="AZ4822">
        <v>42.7</v>
      </c>
      <c r="BA4822">
        <v>31.3</v>
      </c>
    </row>
    <row r="4823" spans="51:53" x14ac:dyDescent="0.3">
      <c r="AY4823" t="str">
        <v>27/02/2006</v>
      </c>
      <c r="AZ4823">
        <v>42.7</v>
      </c>
      <c r="BA4823">
        <v>31.3</v>
      </c>
    </row>
    <row r="4824" spans="51:53" x14ac:dyDescent="0.3">
      <c r="AY4824" t="str">
        <v>24/02/2006</v>
      </c>
      <c r="AZ4824">
        <v>42.6</v>
      </c>
      <c r="BA4824">
        <v>30.8</v>
      </c>
    </row>
    <row r="4825" spans="51:53" x14ac:dyDescent="0.3">
      <c r="AY4825" t="str">
        <v>23/02/2006</v>
      </c>
      <c r="AZ4825">
        <v>42.6</v>
      </c>
      <c r="BA4825">
        <v>30.8</v>
      </c>
    </row>
    <row r="4826" spans="51:53" x14ac:dyDescent="0.3">
      <c r="AY4826" t="str">
        <v>22/02/2006</v>
      </c>
      <c r="AZ4826">
        <v>42.6</v>
      </c>
      <c r="BA4826">
        <v>30.8</v>
      </c>
    </row>
    <row r="4827" spans="51:53" x14ac:dyDescent="0.3">
      <c r="AY4827" t="str">
        <v>21/02/2006</v>
      </c>
      <c r="AZ4827">
        <v>42.6</v>
      </c>
      <c r="BA4827">
        <v>30.8</v>
      </c>
    </row>
    <row r="4828" spans="51:53" x14ac:dyDescent="0.3">
      <c r="AY4828" t="str">
        <v>20/02/2006</v>
      </c>
      <c r="AZ4828">
        <v>42.6</v>
      </c>
      <c r="BA4828">
        <v>30.8</v>
      </c>
    </row>
    <row r="4829" spans="51:53" x14ac:dyDescent="0.3">
      <c r="AY4829" t="str">
        <v>17/02/2006</v>
      </c>
      <c r="AZ4829">
        <v>45.3</v>
      </c>
      <c r="BA4829">
        <v>29.5</v>
      </c>
    </row>
    <row r="4830" spans="51:53" x14ac:dyDescent="0.3">
      <c r="AY4830" t="str">
        <v>16/02/2006</v>
      </c>
      <c r="AZ4830">
        <v>45.3</v>
      </c>
      <c r="BA4830">
        <v>29.5</v>
      </c>
    </row>
    <row r="4831" spans="51:53" x14ac:dyDescent="0.3">
      <c r="AY4831" t="str">
        <v>15/02/2006</v>
      </c>
      <c r="AZ4831">
        <v>45.3</v>
      </c>
      <c r="BA4831">
        <v>29.5</v>
      </c>
    </row>
    <row r="4832" spans="51:53" x14ac:dyDescent="0.3">
      <c r="AY4832" t="str">
        <v>14/02/2006</v>
      </c>
      <c r="AZ4832">
        <v>45.3</v>
      </c>
      <c r="BA4832">
        <v>29.5</v>
      </c>
    </row>
    <row r="4833" spans="51:53" x14ac:dyDescent="0.3">
      <c r="AY4833" t="str">
        <v>13/02/2006</v>
      </c>
      <c r="AZ4833">
        <v>45.3</v>
      </c>
      <c r="BA4833">
        <v>29.5</v>
      </c>
    </row>
    <row r="4834" spans="51:53" x14ac:dyDescent="0.3">
      <c r="AY4834" t="str">
        <v>10/02/2006</v>
      </c>
      <c r="AZ4834">
        <v>48.9</v>
      </c>
      <c r="BA4834">
        <v>27.7</v>
      </c>
    </row>
    <row r="4835" spans="51:53" x14ac:dyDescent="0.3">
      <c r="AY4835" t="str">
        <v>09/02/2006</v>
      </c>
      <c r="AZ4835">
        <v>48.9</v>
      </c>
      <c r="BA4835">
        <v>27.7</v>
      </c>
    </row>
    <row r="4836" spans="51:53" x14ac:dyDescent="0.3">
      <c r="AY4836" t="str">
        <v>08/02/2006</v>
      </c>
      <c r="AZ4836">
        <v>48.9</v>
      </c>
      <c r="BA4836">
        <v>27.7</v>
      </c>
    </row>
    <row r="4837" spans="51:53" x14ac:dyDescent="0.3">
      <c r="AY4837" t="str">
        <v>07/02/2006</v>
      </c>
      <c r="AZ4837">
        <v>48.9</v>
      </c>
      <c r="BA4837">
        <v>27.7</v>
      </c>
    </row>
    <row r="4838" spans="51:53" x14ac:dyDescent="0.3">
      <c r="AY4838" t="str">
        <v>06/02/2006</v>
      </c>
      <c r="AZ4838">
        <v>48.9</v>
      </c>
      <c r="BA4838">
        <v>27.7</v>
      </c>
    </row>
    <row r="4839" spans="51:53" x14ac:dyDescent="0.3">
      <c r="AY4839" t="str">
        <v>03/02/2006</v>
      </c>
      <c r="AZ4839">
        <v>51.6</v>
      </c>
      <c r="BA4839">
        <v>25.3</v>
      </c>
    </row>
    <row r="4840" spans="51:53" x14ac:dyDescent="0.3">
      <c r="AY4840" t="str">
        <v>02/02/2006</v>
      </c>
      <c r="AZ4840">
        <v>51.6</v>
      </c>
      <c r="BA4840">
        <v>25.3</v>
      </c>
    </row>
    <row r="4841" spans="51:53" x14ac:dyDescent="0.3">
      <c r="AY4841" t="str">
        <v>01/02/2006</v>
      </c>
      <c r="AZ4841">
        <v>51.6</v>
      </c>
      <c r="BA4841">
        <v>25.3</v>
      </c>
    </row>
    <row r="4842" spans="51:53" x14ac:dyDescent="0.3">
      <c r="AY4842" t="str">
        <v>31/01/2006</v>
      </c>
      <c r="AZ4842">
        <v>51.6</v>
      </c>
      <c r="BA4842">
        <v>25.3</v>
      </c>
    </row>
    <row r="4843" spans="51:53" x14ac:dyDescent="0.3">
      <c r="AY4843" t="str">
        <v>30/01/2006</v>
      </c>
      <c r="AZ4843">
        <v>51.6</v>
      </c>
      <c r="BA4843">
        <v>25.3</v>
      </c>
    </row>
    <row r="4844" spans="51:53" x14ac:dyDescent="0.3">
      <c r="AY4844" t="str">
        <v>27/01/2006</v>
      </c>
      <c r="AZ4844">
        <v>52.6</v>
      </c>
      <c r="BA4844">
        <v>25.8</v>
      </c>
    </row>
    <row r="4845" spans="51:53" x14ac:dyDescent="0.3">
      <c r="AY4845" t="str">
        <v>26/01/2006</v>
      </c>
      <c r="AZ4845">
        <v>52.6</v>
      </c>
      <c r="BA4845">
        <v>25.8</v>
      </c>
    </row>
    <row r="4846" spans="51:53" x14ac:dyDescent="0.3">
      <c r="AY4846" t="str">
        <v>25/01/2006</v>
      </c>
      <c r="AZ4846">
        <v>52.6</v>
      </c>
      <c r="BA4846">
        <v>25.8</v>
      </c>
    </row>
    <row r="4847" spans="51:53" x14ac:dyDescent="0.3">
      <c r="AY4847" t="str">
        <v>24/01/2006</v>
      </c>
      <c r="AZ4847">
        <v>52.6</v>
      </c>
      <c r="BA4847">
        <v>25.8</v>
      </c>
    </row>
    <row r="4848" spans="51:53" x14ac:dyDescent="0.3">
      <c r="AY4848" t="str">
        <v>23/01/2006</v>
      </c>
      <c r="AZ4848">
        <v>52.6</v>
      </c>
      <c r="BA4848">
        <v>25.8</v>
      </c>
    </row>
    <row r="4849" spans="51:53" x14ac:dyDescent="0.3">
      <c r="AY4849" t="str">
        <v>20/01/2006</v>
      </c>
      <c r="AZ4849">
        <v>53.7</v>
      </c>
      <c r="BA4849">
        <v>25.3</v>
      </c>
    </row>
    <row r="4850" spans="51:53" x14ac:dyDescent="0.3">
      <c r="AY4850" t="str">
        <v>19/01/2006</v>
      </c>
      <c r="AZ4850">
        <v>53.7</v>
      </c>
      <c r="BA4850">
        <v>25.3</v>
      </c>
    </row>
    <row r="4851" spans="51:53" x14ac:dyDescent="0.3">
      <c r="AY4851" t="str">
        <v>18/01/2006</v>
      </c>
      <c r="AZ4851">
        <v>53.7</v>
      </c>
      <c r="BA4851">
        <v>25.3</v>
      </c>
    </row>
    <row r="4852" spans="51:53" x14ac:dyDescent="0.3">
      <c r="AY4852" t="str">
        <v>17/01/2006</v>
      </c>
      <c r="AZ4852">
        <v>53.7</v>
      </c>
      <c r="BA4852">
        <v>25.3</v>
      </c>
    </row>
    <row r="4853" spans="51:53" x14ac:dyDescent="0.3">
      <c r="AY4853" t="str">
        <v>16/01/2006</v>
      </c>
      <c r="AZ4853">
        <v>53.7</v>
      </c>
      <c r="BA4853">
        <v>25.3</v>
      </c>
    </row>
    <row r="4854" spans="51:53" x14ac:dyDescent="0.3">
      <c r="AY4854" t="str">
        <v>13/01/2006</v>
      </c>
      <c r="AZ4854">
        <v>57.3</v>
      </c>
      <c r="BA4854">
        <v>22.9</v>
      </c>
    </row>
    <row r="4855" spans="51:53" x14ac:dyDescent="0.3">
      <c r="AY4855" t="str">
        <v>12/01/2006</v>
      </c>
      <c r="AZ4855">
        <v>57.3</v>
      </c>
      <c r="BA4855">
        <v>22.9</v>
      </c>
    </row>
    <row r="4856" spans="51:53" x14ac:dyDescent="0.3">
      <c r="AY4856" t="str">
        <v>11/01/2006</v>
      </c>
      <c r="AZ4856">
        <v>57.3</v>
      </c>
      <c r="BA4856">
        <v>22.9</v>
      </c>
    </row>
    <row r="4857" spans="51:53" x14ac:dyDescent="0.3">
      <c r="AY4857" t="str">
        <v>10/01/2006</v>
      </c>
      <c r="AZ4857">
        <v>57.3</v>
      </c>
      <c r="BA4857">
        <v>22.9</v>
      </c>
    </row>
    <row r="4858" spans="51:53" x14ac:dyDescent="0.3">
      <c r="AY4858" t="str">
        <v>09/01/2006</v>
      </c>
      <c r="AZ4858">
        <v>57.3</v>
      </c>
      <c r="BA4858">
        <v>22.9</v>
      </c>
    </row>
    <row r="4859" spans="51:53" x14ac:dyDescent="0.3">
      <c r="AY4859" t="str">
        <v>06/01/2006</v>
      </c>
      <c r="AZ4859">
        <v>56.8</v>
      </c>
      <c r="BA4859">
        <v>22.1</v>
      </c>
    </row>
    <row r="4860" spans="51:53" x14ac:dyDescent="0.3">
      <c r="AY4860" t="str">
        <v>05/01/2006</v>
      </c>
      <c r="AZ4860">
        <v>56.8</v>
      </c>
      <c r="BA4860">
        <v>22.1</v>
      </c>
    </row>
    <row r="4861" spans="51:53" x14ac:dyDescent="0.3">
      <c r="AY4861" t="str">
        <v>04/01/2006</v>
      </c>
      <c r="AZ4861">
        <v>56.8</v>
      </c>
      <c r="BA4861">
        <v>22.1</v>
      </c>
    </row>
    <row r="4862" spans="51:53" x14ac:dyDescent="0.3">
      <c r="AY4862" t="str">
        <v>03/01/2006</v>
      </c>
      <c r="AZ4862">
        <v>56.8</v>
      </c>
      <c r="BA4862">
        <v>22.1</v>
      </c>
    </row>
    <row r="4863" spans="51:53" x14ac:dyDescent="0.3">
      <c r="AY4863" t="str">
        <v>02/01/2006</v>
      </c>
      <c r="AZ4863">
        <v>56.8</v>
      </c>
      <c r="BA4863">
        <v>22.1</v>
      </c>
    </row>
    <row r="4864" spans="51:53" x14ac:dyDescent="0.3">
      <c r="AY4864" t="str">
        <v>30/12/2005</v>
      </c>
      <c r="AZ4864">
        <v>55.7</v>
      </c>
      <c r="BA4864">
        <v>23.7</v>
      </c>
    </row>
    <row r="4865" spans="51:53" x14ac:dyDescent="0.3">
      <c r="AY4865" t="str">
        <v>29/12/2005</v>
      </c>
      <c r="AZ4865">
        <v>55.7</v>
      </c>
      <c r="BA4865">
        <v>23.7</v>
      </c>
    </row>
    <row r="4866" spans="51:53" x14ac:dyDescent="0.3">
      <c r="AY4866" t="str">
        <v>28/12/2005</v>
      </c>
      <c r="AZ4866">
        <v>55.7</v>
      </c>
      <c r="BA4866">
        <v>23.7</v>
      </c>
    </row>
    <row r="4867" spans="51:53" x14ac:dyDescent="0.3">
      <c r="AY4867" t="str">
        <v>27/12/2005</v>
      </c>
      <c r="AZ4867">
        <v>55.7</v>
      </c>
      <c r="BA4867">
        <v>23.7</v>
      </c>
    </row>
    <row r="4868" spans="51:53" x14ac:dyDescent="0.3">
      <c r="AY4868" t="str">
        <v>26/12/2005</v>
      </c>
      <c r="AZ4868">
        <v>55.7</v>
      </c>
      <c r="BA4868">
        <v>23.7</v>
      </c>
    </row>
    <row r="4869" spans="51:53" x14ac:dyDescent="0.3">
      <c r="AY4869" t="str">
        <v>23/12/2005</v>
      </c>
      <c r="AZ4869">
        <v>60.4</v>
      </c>
      <c r="BA4869">
        <v>20.8</v>
      </c>
    </row>
    <row r="4870" spans="51:53" x14ac:dyDescent="0.3">
      <c r="AY4870" t="str">
        <v>22/12/2005</v>
      </c>
      <c r="AZ4870">
        <v>60.4</v>
      </c>
      <c r="BA4870">
        <v>20.8</v>
      </c>
    </row>
    <row r="4871" spans="51:53" x14ac:dyDescent="0.3">
      <c r="AY4871" t="str">
        <v>21/12/2005</v>
      </c>
      <c r="AZ4871">
        <v>60.4</v>
      </c>
      <c r="BA4871">
        <v>20.8</v>
      </c>
    </row>
    <row r="4872" spans="51:53" x14ac:dyDescent="0.3">
      <c r="AY4872" t="str">
        <v>20/12/2005</v>
      </c>
      <c r="AZ4872">
        <v>60.4</v>
      </c>
      <c r="BA4872">
        <v>20.8</v>
      </c>
    </row>
    <row r="4873" spans="51:53" x14ac:dyDescent="0.3">
      <c r="AY4873" t="str">
        <v>19/12/2005</v>
      </c>
      <c r="AZ4873">
        <v>60.4</v>
      </c>
      <c r="BA4873">
        <v>20.8</v>
      </c>
    </row>
    <row r="4874" spans="51:53" x14ac:dyDescent="0.3">
      <c r="AY4874" t="str">
        <v>16/12/2005</v>
      </c>
      <c r="AZ4874">
        <v>55</v>
      </c>
      <c r="BA4874">
        <v>21</v>
      </c>
    </row>
    <row r="4875" spans="51:53" x14ac:dyDescent="0.3">
      <c r="AY4875" t="str">
        <v>15/12/2005</v>
      </c>
      <c r="AZ4875">
        <v>55</v>
      </c>
      <c r="BA4875">
        <v>21</v>
      </c>
    </row>
    <row r="4876" spans="51:53" x14ac:dyDescent="0.3">
      <c r="AY4876" t="str">
        <v>14/12/2005</v>
      </c>
      <c r="AZ4876">
        <v>55</v>
      </c>
      <c r="BA4876">
        <v>21</v>
      </c>
    </row>
    <row r="4877" spans="51:53" x14ac:dyDescent="0.3">
      <c r="AY4877" t="str">
        <v>13/12/2005</v>
      </c>
      <c r="AZ4877">
        <v>55</v>
      </c>
      <c r="BA4877">
        <v>21</v>
      </c>
    </row>
    <row r="4878" spans="51:53" x14ac:dyDescent="0.3">
      <c r="AY4878" t="str">
        <v>12/12/2005</v>
      </c>
      <c r="AZ4878">
        <v>55</v>
      </c>
      <c r="BA4878">
        <v>21</v>
      </c>
    </row>
    <row r="4879" spans="51:53" x14ac:dyDescent="0.3">
      <c r="AY4879" t="str">
        <v>09/12/2005</v>
      </c>
      <c r="AZ4879">
        <v>58.8</v>
      </c>
      <c r="BA4879">
        <v>21.6</v>
      </c>
    </row>
    <row r="4880" spans="51:53" x14ac:dyDescent="0.3">
      <c r="AY4880" t="str">
        <v>08/12/2005</v>
      </c>
      <c r="AZ4880">
        <v>58.8</v>
      </c>
      <c r="BA4880">
        <v>21.6</v>
      </c>
    </row>
    <row r="4881" spans="51:53" x14ac:dyDescent="0.3">
      <c r="AY4881" t="str">
        <v>07/12/2005</v>
      </c>
      <c r="AZ4881">
        <v>58.8</v>
      </c>
      <c r="BA4881">
        <v>21.6</v>
      </c>
    </row>
    <row r="4882" spans="51:53" x14ac:dyDescent="0.3">
      <c r="AY4882" t="str">
        <v>06/12/2005</v>
      </c>
      <c r="AZ4882">
        <v>58.8</v>
      </c>
      <c r="BA4882">
        <v>21.6</v>
      </c>
    </row>
    <row r="4883" spans="51:53" x14ac:dyDescent="0.3">
      <c r="AY4883" t="str">
        <v>05/12/2005</v>
      </c>
      <c r="AZ4883">
        <v>58.8</v>
      </c>
      <c r="BA4883">
        <v>21.6</v>
      </c>
    </row>
    <row r="4884" spans="51:53" x14ac:dyDescent="0.3">
      <c r="AY4884" t="str">
        <v>02/12/2005</v>
      </c>
      <c r="AZ4884">
        <v>56.2</v>
      </c>
      <c r="BA4884">
        <v>21.9</v>
      </c>
    </row>
    <row r="4885" spans="51:53" x14ac:dyDescent="0.3">
      <c r="AY4885" t="str">
        <v>01/12/2005</v>
      </c>
      <c r="AZ4885">
        <v>56.2</v>
      </c>
      <c r="BA4885">
        <v>21.9</v>
      </c>
    </row>
    <row r="4886" spans="51:53" x14ac:dyDescent="0.3">
      <c r="AY4886" t="str">
        <v>30/11/2005</v>
      </c>
      <c r="AZ4886">
        <v>56.2</v>
      </c>
      <c r="BA4886">
        <v>21.9</v>
      </c>
    </row>
    <row r="4887" spans="51:53" x14ac:dyDescent="0.3">
      <c r="AY4887" t="str">
        <v>29/11/2005</v>
      </c>
      <c r="AZ4887">
        <v>56.2</v>
      </c>
      <c r="BA4887">
        <v>21.9</v>
      </c>
    </row>
    <row r="4888" spans="51:53" x14ac:dyDescent="0.3">
      <c r="AY4888" t="str">
        <v>28/11/2005</v>
      </c>
      <c r="AZ4888">
        <v>56.2</v>
      </c>
      <c r="BA4888">
        <v>21.9</v>
      </c>
    </row>
    <row r="4889" spans="51:53" x14ac:dyDescent="0.3">
      <c r="AY4889" t="str">
        <v>25/11/2005</v>
      </c>
      <c r="AZ4889">
        <v>55.8</v>
      </c>
      <c r="BA4889">
        <v>21.1</v>
      </c>
    </row>
    <row r="4890" spans="51:53" x14ac:dyDescent="0.3">
      <c r="AY4890" t="str">
        <v>24/11/2005</v>
      </c>
      <c r="AZ4890">
        <v>55.8</v>
      </c>
      <c r="BA4890">
        <v>21.1</v>
      </c>
    </row>
    <row r="4891" spans="51:53" x14ac:dyDescent="0.3">
      <c r="AY4891" t="str">
        <v>23/11/2005</v>
      </c>
      <c r="AZ4891">
        <v>55.8</v>
      </c>
      <c r="BA4891">
        <v>21.1</v>
      </c>
    </row>
    <row r="4892" spans="51:53" x14ac:dyDescent="0.3">
      <c r="AY4892" t="str">
        <v>22/11/2005</v>
      </c>
      <c r="AZ4892">
        <v>55.8</v>
      </c>
      <c r="BA4892">
        <v>21.1</v>
      </c>
    </row>
    <row r="4893" spans="51:53" x14ac:dyDescent="0.3">
      <c r="AY4893" t="str">
        <v>21/11/2005</v>
      </c>
      <c r="AZ4893">
        <v>55.8</v>
      </c>
      <c r="BA4893">
        <v>21.1</v>
      </c>
    </row>
    <row r="4894" spans="51:53" x14ac:dyDescent="0.3">
      <c r="AY4894" t="str">
        <v>18/11/2005</v>
      </c>
      <c r="AZ4894">
        <v>53.6</v>
      </c>
      <c r="BA4894">
        <v>23.2</v>
      </c>
    </row>
    <row r="4895" spans="51:53" x14ac:dyDescent="0.3">
      <c r="AY4895" t="str">
        <v>17/11/2005</v>
      </c>
      <c r="AZ4895">
        <v>53.6</v>
      </c>
      <c r="BA4895">
        <v>23.2</v>
      </c>
    </row>
    <row r="4896" spans="51:53" x14ac:dyDescent="0.3">
      <c r="AY4896" t="str">
        <v>16/11/2005</v>
      </c>
      <c r="AZ4896">
        <v>53.6</v>
      </c>
      <c r="BA4896">
        <v>23.2</v>
      </c>
    </row>
    <row r="4897" spans="51:53" x14ac:dyDescent="0.3">
      <c r="AY4897" t="str">
        <v>15/11/2005</v>
      </c>
      <c r="AZ4897">
        <v>53.6</v>
      </c>
      <c r="BA4897">
        <v>23.2</v>
      </c>
    </row>
    <row r="4898" spans="51:53" x14ac:dyDescent="0.3">
      <c r="AY4898" t="str">
        <v>14/11/2005</v>
      </c>
      <c r="AZ4898">
        <v>53.6</v>
      </c>
      <c r="BA4898">
        <v>23.2</v>
      </c>
    </row>
    <row r="4899" spans="51:53" x14ac:dyDescent="0.3">
      <c r="AY4899" t="str">
        <v>11/11/2005</v>
      </c>
      <c r="AZ4899">
        <v>53.1</v>
      </c>
      <c r="BA4899">
        <v>22.9</v>
      </c>
    </row>
    <row r="4900" spans="51:53" x14ac:dyDescent="0.3">
      <c r="AY4900" t="str">
        <v>10/11/2005</v>
      </c>
      <c r="AZ4900">
        <v>53.1</v>
      </c>
      <c r="BA4900">
        <v>22.9</v>
      </c>
    </row>
    <row r="4901" spans="51:53" x14ac:dyDescent="0.3">
      <c r="AY4901" t="str">
        <v>09/11/2005</v>
      </c>
      <c r="AZ4901">
        <v>53.1</v>
      </c>
      <c r="BA4901">
        <v>22.9</v>
      </c>
    </row>
    <row r="4902" spans="51:53" x14ac:dyDescent="0.3">
      <c r="AY4902" t="str">
        <v>08/11/2005</v>
      </c>
      <c r="AZ4902">
        <v>53.1</v>
      </c>
      <c r="BA4902">
        <v>22.9</v>
      </c>
    </row>
    <row r="4903" spans="51:53" x14ac:dyDescent="0.3">
      <c r="AY4903" t="str">
        <v>07/11/2005</v>
      </c>
      <c r="AZ4903">
        <v>53.1</v>
      </c>
      <c r="BA4903">
        <v>22.9</v>
      </c>
    </row>
    <row r="4904" spans="51:53" x14ac:dyDescent="0.3">
      <c r="AY4904" t="str">
        <v>04/11/2005</v>
      </c>
      <c r="AZ4904">
        <v>50.6</v>
      </c>
      <c r="BA4904">
        <v>24.7</v>
      </c>
    </row>
    <row r="4905" spans="51:53" x14ac:dyDescent="0.3">
      <c r="AY4905" t="str">
        <v>03/11/2005</v>
      </c>
      <c r="AZ4905">
        <v>50.6</v>
      </c>
      <c r="BA4905">
        <v>24.7</v>
      </c>
    </row>
    <row r="4906" spans="51:53" x14ac:dyDescent="0.3">
      <c r="AY4906" t="str">
        <v>02/11/2005</v>
      </c>
      <c r="AZ4906">
        <v>50.6</v>
      </c>
      <c r="BA4906">
        <v>24.7</v>
      </c>
    </row>
    <row r="4907" spans="51:53" x14ac:dyDescent="0.3">
      <c r="AY4907" t="str">
        <v>01/11/2005</v>
      </c>
      <c r="AZ4907">
        <v>50.6</v>
      </c>
      <c r="BA4907">
        <v>24.7</v>
      </c>
    </row>
    <row r="4908" spans="51:53" x14ac:dyDescent="0.3">
      <c r="AY4908" t="str">
        <v>31/10/2005</v>
      </c>
      <c r="AZ4908">
        <v>50.6</v>
      </c>
      <c r="BA4908">
        <v>24.7</v>
      </c>
    </row>
    <row r="4909" spans="51:53" x14ac:dyDescent="0.3">
      <c r="AY4909" t="str">
        <v>28/10/2005</v>
      </c>
      <c r="AZ4909">
        <v>46.4</v>
      </c>
      <c r="BA4909">
        <v>26.8</v>
      </c>
    </row>
    <row r="4910" spans="51:53" x14ac:dyDescent="0.3">
      <c r="AY4910" t="str">
        <v>27/10/2005</v>
      </c>
      <c r="AZ4910">
        <v>46.4</v>
      </c>
      <c r="BA4910">
        <v>26.8</v>
      </c>
    </row>
    <row r="4911" spans="51:53" x14ac:dyDescent="0.3">
      <c r="AY4911" t="str">
        <v>26/10/2005</v>
      </c>
      <c r="AZ4911">
        <v>46.4</v>
      </c>
      <c r="BA4911">
        <v>26.8</v>
      </c>
    </row>
    <row r="4912" spans="51:53" x14ac:dyDescent="0.3">
      <c r="AY4912" t="str">
        <v>25/10/2005</v>
      </c>
      <c r="AZ4912">
        <v>46.4</v>
      </c>
      <c r="BA4912">
        <v>26.8</v>
      </c>
    </row>
    <row r="4913" spans="51:53" x14ac:dyDescent="0.3">
      <c r="AY4913" t="str">
        <v>24/10/2005</v>
      </c>
      <c r="AZ4913">
        <v>46.4</v>
      </c>
      <c r="BA4913">
        <v>26.8</v>
      </c>
    </row>
    <row r="4914" spans="51:53" x14ac:dyDescent="0.3">
      <c r="AY4914" t="str">
        <v>21/10/2005</v>
      </c>
      <c r="AZ4914">
        <v>44.8</v>
      </c>
      <c r="BA4914">
        <v>29.2</v>
      </c>
    </row>
    <row r="4915" spans="51:53" x14ac:dyDescent="0.3">
      <c r="AY4915" t="str">
        <v>20/10/2005</v>
      </c>
      <c r="AZ4915">
        <v>44.8</v>
      </c>
      <c r="BA4915">
        <v>29.2</v>
      </c>
    </row>
    <row r="4916" spans="51:53" x14ac:dyDescent="0.3">
      <c r="AY4916" t="str">
        <v>19/10/2005</v>
      </c>
      <c r="AZ4916">
        <v>44.8</v>
      </c>
      <c r="BA4916">
        <v>29.2</v>
      </c>
    </row>
    <row r="4917" spans="51:53" x14ac:dyDescent="0.3">
      <c r="AY4917" t="str">
        <v>18/10/2005</v>
      </c>
      <c r="AZ4917">
        <v>44.8</v>
      </c>
      <c r="BA4917">
        <v>29.2</v>
      </c>
    </row>
    <row r="4918" spans="51:53" x14ac:dyDescent="0.3">
      <c r="AY4918" t="str">
        <v>17/10/2005</v>
      </c>
      <c r="AZ4918">
        <v>44.8</v>
      </c>
      <c r="BA4918">
        <v>29.2</v>
      </c>
    </row>
    <row r="4919" spans="51:53" x14ac:dyDescent="0.3">
      <c r="AY4919" t="str">
        <v>14/10/2005</v>
      </c>
      <c r="AZ4919">
        <v>45.3</v>
      </c>
      <c r="BA4919">
        <v>29.5</v>
      </c>
    </row>
    <row r="4920" spans="51:53" x14ac:dyDescent="0.3">
      <c r="AY4920" t="str">
        <v>13/10/2005</v>
      </c>
      <c r="AZ4920">
        <v>45.3</v>
      </c>
      <c r="BA4920">
        <v>29.5</v>
      </c>
    </row>
    <row r="4921" spans="51:53" x14ac:dyDescent="0.3">
      <c r="AY4921" t="str">
        <v>12/10/2005</v>
      </c>
      <c r="AZ4921">
        <v>45.3</v>
      </c>
      <c r="BA4921">
        <v>29.5</v>
      </c>
    </row>
    <row r="4922" spans="51:53" x14ac:dyDescent="0.3">
      <c r="AY4922" t="str">
        <v>11/10/2005</v>
      </c>
      <c r="AZ4922">
        <v>45.3</v>
      </c>
      <c r="BA4922">
        <v>29.5</v>
      </c>
    </row>
    <row r="4923" spans="51:53" x14ac:dyDescent="0.3">
      <c r="AY4923" t="str">
        <v>10/10/2005</v>
      </c>
      <c r="AZ4923">
        <v>45.3</v>
      </c>
      <c r="BA4923">
        <v>29.5</v>
      </c>
    </row>
    <row r="4924" spans="51:53" x14ac:dyDescent="0.3">
      <c r="AY4924" t="str">
        <v>07/10/2005</v>
      </c>
      <c r="AZ4924">
        <v>45.8</v>
      </c>
      <c r="BA4924">
        <v>29.2</v>
      </c>
    </row>
    <row r="4925" spans="51:53" x14ac:dyDescent="0.3">
      <c r="AY4925" t="str">
        <v>06/10/2005</v>
      </c>
      <c r="AZ4925">
        <v>45.8</v>
      </c>
      <c r="BA4925">
        <v>29.2</v>
      </c>
    </row>
    <row r="4926" spans="51:53" x14ac:dyDescent="0.3">
      <c r="AY4926" t="str">
        <v>05/10/2005</v>
      </c>
      <c r="AZ4926">
        <v>45.8</v>
      </c>
      <c r="BA4926">
        <v>29.2</v>
      </c>
    </row>
    <row r="4927" spans="51:53" x14ac:dyDescent="0.3">
      <c r="AY4927" t="str">
        <v>04/10/2005</v>
      </c>
      <c r="AZ4927">
        <v>45.8</v>
      </c>
      <c r="BA4927">
        <v>29.2</v>
      </c>
    </row>
    <row r="4928" spans="51:53" x14ac:dyDescent="0.3">
      <c r="AY4928" t="str">
        <v>03/10/2005</v>
      </c>
      <c r="AZ4928">
        <v>45.8</v>
      </c>
      <c r="BA4928">
        <v>29.2</v>
      </c>
    </row>
    <row r="4929" spans="51:53" x14ac:dyDescent="0.3">
      <c r="AY4929" t="str">
        <v>30/09/2005</v>
      </c>
      <c r="AZ4929">
        <v>49.5</v>
      </c>
      <c r="BA4929">
        <v>27.8</v>
      </c>
    </row>
    <row r="4930" spans="51:53" x14ac:dyDescent="0.3">
      <c r="AY4930" t="str">
        <v>29/09/2005</v>
      </c>
      <c r="AZ4930">
        <v>49.5</v>
      </c>
      <c r="BA4930">
        <v>27.8</v>
      </c>
    </row>
    <row r="4931" spans="51:53" x14ac:dyDescent="0.3">
      <c r="AY4931" t="str">
        <v>28/09/2005</v>
      </c>
      <c r="AZ4931">
        <v>49.5</v>
      </c>
      <c r="BA4931">
        <v>27.8</v>
      </c>
    </row>
    <row r="4932" spans="51:53" x14ac:dyDescent="0.3">
      <c r="AY4932" t="str">
        <v>27/09/2005</v>
      </c>
      <c r="AZ4932">
        <v>49.5</v>
      </c>
      <c r="BA4932">
        <v>27.8</v>
      </c>
    </row>
    <row r="4933" spans="51:53" x14ac:dyDescent="0.3">
      <c r="AY4933" t="str">
        <v>26/09/2005</v>
      </c>
      <c r="AZ4933">
        <v>49.5</v>
      </c>
      <c r="BA4933">
        <v>27.8</v>
      </c>
    </row>
    <row r="4934" spans="51:53" x14ac:dyDescent="0.3">
      <c r="AY4934" t="str">
        <v>23/09/2005</v>
      </c>
      <c r="AZ4934">
        <v>53.2</v>
      </c>
      <c r="BA4934">
        <v>26.6</v>
      </c>
    </row>
    <row r="4935" spans="51:53" x14ac:dyDescent="0.3">
      <c r="AY4935" t="str">
        <v>22/09/2005</v>
      </c>
      <c r="AZ4935">
        <v>53.2</v>
      </c>
      <c r="BA4935">
        <v>26.6</v>
      </c>
    </row>
    <row r="4936" spans="51:53" x14ac:dyDescent="0.3">
      <c r="AY4936" t="str">
        <v>21/09/2005</v>
      </c>
      <c r="AZ4936">
        <v>53.2</v>
      </c>
      <c r="BA4936">
        <v>26.6</v>
      </c>
    </row>
    <row r="4937" spans="51:53" x14ac:dyDescent="0.3">
      <c r="AY4937" t="str">
        <v>20/09/2005</v>
      </c>
      <c r="AZ4937">
        <v>53.2</v>
      </c>
      <c r="BA4937">
        <v>26.6</v>
      </c>
    </row>
    <row r="4938" spans="51:53" x14ac:dyDescent="0.3">
      <c r="AY4938" t="str">
        <v>19/09/2005</v>
      </c>
      <c r="AZ4938">
        <v>53.2</v>
      </c>
      <c r="BA4938">
        <v>26.6</v>
      </c>
    </row>
    <row r="4939" spans="51:53" x14ac:dyDescent="0.3">
      <c r="AY4939" t="str">
        <v>16/09/2005</v>
      </c>
      <c r="AZ4939">
        <v>54.3</v>
      </c>
      <c r="BA4939">
        <v>25.5</v>
      </c>
    </row>
    <row r="4940" spans="51:53" x14ac:dyDescent="0.3">
      <c r="AY4940" t="str">
        <v>15/09/2005</v>
      </c>
      <c r="AZ4940">
        <v>54.3</v>
      </c>
      <c r="BA4940">
        <v>25.5</v>
      </c>
    </row>
    <row r="4941" spans="51:53" x14ac:dyDescent="0.3">
      <c r="AY4941" t="str">
        <v>14/09/2005</v>
      </c>
      <c r="AZ4941">
        <v>54.3</v>
      </c>
      <c r="BA4941">
        <v>25.5</v>
      </c>
    </row>
    <row r="4942" spans="51:53" x14ac:dyDescent="0.3">
      <c r="AY4942" t="str">
        <v>13/09/2005</v>
      </c>
      <c r="AZ4942">
        <v>54.3</v>
      </c>
      <c r="BA4942">
        <v>25.5</v>
      </c>
    </row>
    <row r="4943" spans="51:53" x14ac:dyDescent="0.3">
      <c r="AY4943" t="str">
        <v>12/09/2005</v>
      </c>
      <c r="AZ4943">
        <v>54.3</v>
      </c>
      <c r="BA4943">
        <v>25.5</v>
      </c>
    </row>
    <row r="4944" spans="51:53" x14ac:dyDescent="0.3">
      <c r="AY4944" t="str">
        <v>09/09/2005</v>
      </c>
      <c r="AZ4944">
        <v>53.2</v>
      </c>
      <c r="BA4944">
        <v>26.6</v>
      </c>
    </row>
    <row r="4945" spans="51:53" x14ac:dyDescent="0.3">
      <c r="AY4945" t="str">
        <v>08/09/2005</v>
      </c>
      <c r="AZ4945">
        <v>53.2</v>
      </c>
      <c r="BA4945">
        <v>26.6</v>
      </c>
    </row>
    <row r="4946" spans="51:53" x14ac:dyDescent="0.3">
      <c r="AY4946" t="str">
        <v>07/09/2005</v>
      </c>
      <c r="AZ4946">
        <v>53.2</v>
      </c>
      <c r="BA4946">
        <v>26.6</v>
      </c>
    </row>
    <row r="4947" spans="51:53" x14ac:dyDescent="0.3">
      <c r="AY4947" t="str">
        <v>06/09/2005</v>
      </c>
      <c r="AZ4947">
        <v>53.2</v>
      </c>
      <c r="BA4947">
        <v>26.6</v>
      </c>
    </row>
    <row r="4948" spans="51:53" x14ac:dyDescent="0.3">
      <c r="AY4948" t="str">
        <v>05/09/2005</v>
      </c>
      <c r="AZ4948">
        <v>53.2</v>
      </c>
      <c r="BA4948">
        <v>26.6</v>
      </c>
    </row>
    <row r="4949" spans="51:53" x14ac:dyDescent="0.3">
      <c r="AY4949" t="str">
        <v>02/09/2005</v>
      </c>
      <c r="AZ4949">
        <v>52.1</v>
      </c>
      <c r="BA4949">
        <v>28.1</v>
      </c>
    </row>
    <row r="4950" spans="51:53" x14ac:dyDescent="0.3">
      <c r="AY4950" t="str">
        <v>01/09/2005</v>
      </c>
      <c r="AZ4950">
        <v>52.1</v>
      </c>
      <c r="BA4950">
        <v>28.1</v>
      </c>
    </row>
    <row r="4951" spans="51:53" x14ac:dyDescent="0.3">
      <c r="AY4951" t="str">
        <v>31/08/2005</v>
      </c>
      <c r="AZ4951">
        <v>52.1</v>
      </c>
      <c r="BA4951">
        <v>28.1</v>
      </c>
    </row>
    <row r="4952" spans="51:53" x14ac:dyDescent="0.3">
      <c r="AY4952" t="str">
        <v>30/08/2005</v>
      </c>
      <c r="AZ4952">
        <v>52.1</v>
      </c>
      <c r="BA4952">
        <v>28.1</v>
      </c>
    </row>
    <row r="4953" spans="51:53" x14ac:dyDescent="0.3">
      <c r="AY4953" t="str">
        <v>29/08/2005</v>
      </c>
      <c r="AZ4953">
        <v>52.1</v>
      </c>
      <c r="BA4953">
        <v>28.1</v>
      </c>
    </row>
    <row r="4954" spans="51:53" x14ac:dyDescent="0.3">
      <c r="AY4954" t="str">
        <v>26/08/2005</v>
      </c>
      <c r="AZ4954">
        <v>51.1</v>
      </c>
      <c r="BA4954">
        <v>27.3</v>
      </c>
    </row>
    <row r="4955" spans="51:53" x14ac:dyDescent="0.3">
      <c r="AY4955" t="str">
        <v>25/08/2005</v>
      </c>
      <c r="AZ4955">
        <v>51.1</v>
      </c>
      <c r="BA4955">
        <v>27.3</v>
      </c>
    </row>
    <row r="4956" spans="51:53" x14ac:dyDescent="0.3">
      <c r="AY4956" t="str">
        <v>24/08/2005</v>
      </c>
      <c r="AZ4956">
        <v>51.1</v>
      </c>
      <c r="BA4956">
        <v>27.3</v>
      </c>
    </row>
    <row r="4957" spans="51:53" x14ac:dyDescent="0.3">
      <c r="AY4957" t="str">
        <v>23/08/2005</v>
      </c>
      <c r="AZ4957">
        <v>51.1</v>
      </c>
      <c r="BA4957">
        <v>27.3</v>
      </c>
    </row>
    <row r="4958" spans="51:53" x14ac:dyDescent="0.3">
      <c r="AY4958" t="str">
        <v>22/08/2005</v>
      </c>
      <c r="AZ4958">
        <v>51.1</v>
      </c>
      <c r="BA4958">
        <v>27.3</v>
      </c>
    </row>
    <row r="4959" spans="51:53" x14ac:dyDescent="0.3">
      <c r="AY4959" t="str">
        <v>19/08/2005</v>
      </c>
      <c r="AZ4959">
        <v>56.8</v>
      </c>
      <c r="BA4959">
        <v>25</v>
      </c>
    </row>
    <row r="4960" spans="51:53" x14ac:dyDescent="0.3">
      <c r="AY4960" t="str">
        <v>18/08/2005</v>
      </c>
      <c r="AZ4960">
        <v>56.8</v>
      </c>
      <c r="BA4960">
        <v>25</v>
      </c>
    </row>
    <row r="4961" spans="51:53" x14ac:dyDescent="0.3">
      <c r="AY4961" t="str">
        <v>17/08/2005</v>
      </c>
      <c r="AZ4961">
        <v>56.8</v>
      </c>
      <c r="BA4961">
        <v>25</v>
      </c>
    </row>
    <row r="4962" spans="51:53" x14ac:dyDescent="0.3">
      <c r="AY4962" t="str">
        <v>16/08/2005</v>
      </c>
      <c r="AZ4962">
        <v>56.8</v>
      </c>
      <c r="BA4962">
        <v>25</v>
      </c>
    </row>
    <row r="4963" spans="51:53" x14ac:dyDescent="0.3">
      <c r="AY4963" t="str">
        <v>15/08/2005</v>
      </c>
      <c r="AZ4963">
        <v>56.8</v>
      </c>
      <c r="BA4963">
        <v>25</v>
      </c>
    </row>
    <row r="4964" spans="51:53" x14ac:dyDescent="0.3">
      <c r="AY4964" t="str">
        <v>12/08/2005</v>
      </c>
      <c r="AZ4964">
        <v>57.3</v>
      </c>
      <c r="BA4964">
        <v>22.5</v>
      </c>
    </row>
    <row r="4965" spans="51:53" x14ac:dyDescent="0.3">
      <c r="AY4965" t="str">
        <v>11/08/2005</v>
      </c>
      <c r="AZ4965">
        <v>57.3</v>
      </c>
      <c r="BA4965">
        <v>22.5</v>
      </c>
    </row>
    <row r="4966" spans="51:53" x14ac:dyDescent="0.3">
      <c r="AY4966" t="str">
        <v>10/08/2005</v>
      </c>
      <c r="AZ4966">
        <v>57.3</v>
      </c>
      <c r="BA4966">
        <v>22.5</v>
      </c>
    </row>
    <row r="4967" spans="51:53" x14ac:dyDescent="0.3">
      <c r="AY4967" t="str">
        <v>09/08/2005</v>
      </c>
      <c r="AZ4967">
        <v>57.3</v>
      </c>
      <c r="BA4967">
        <v>22.5</v>
      </c>
    </row>
    <row r="4968" spans="51:53" x14ac:dyDescent="0.3">
      <c r="AY4968" t="str">
        <v>08/08/2005</v>
      </c>
      <c r="AZ4968">
        <v>57.3</v>
      </c>
      <c r="BA4968">
        <v>22.5</v>
      </c>
    </row>
    <row r="4969" spans="51:53" x14ac:dyDescent="0.3">
      <c r="AY4969" t="str">
        <v>05/08/2005</v>
      </c>
      <c r="AZ4969">
        <v>59.1</v>
      </c>
      <c r="BA4969">
        <v>19.3</v>
      </c>
    </row>
    <row r="4970" spans="51:53" x14ac:dyDescent="0.3">
      <c r="AY4970" t="str">
        <v>04/08/2005</v>
      </c>
      <c r="AZ4970">
        <v>59.1</v>
      </c>
      <c r="BA4970">
        <v>19.3</v>
      </c>
    </row>
    <row r="4971" spans="51:53" x14ac:dyDescent="0.3">
      <c r="AY4971" t="str">
        <v>03/08/2005</v>
      </c>
      <c r="AZ4971">
        <v>59.1</v>
      </c>
      <c r="BA4971">
        <v>19.3</v>
      </c>
    </row>
    <row r="4972" spans="51:53" x14ac:dyDescent="0.3">
      <c r="AY4972" t="str">
        <v>02/08/2005</v>
      </c>
      <c r="AZ4972">
        <v>59.1</v>
      </c>
      <c r="BA4972">
        <v>19.3</v>
      </c>
    </row>
    <row r="4973" spans="51:53" x14ac:dyDescent="0.3">
      <c r="AY4973" t="str">
        <v>01/08/2005</v>
      </c>
      <c r="AZ4973">
        <v>59.1</v>
      </c>
      <c r="BA4973">
        <v>19.3</v>
      </c>
    </row>
    <row r="4974" spans="51:53" x14ac:dyDescent="0.3">
      <c r="AY4974" t="str">
        <v>29/07/2005</v>
      </c>
      <c r="AZ4974">
        <v>57.3</v>
      </c>
      <c r="BA4974">
        <v>22.5</v>
      </c>
    </row>
    <row r="4975" spans="51:53" x14ac:dyDescent="0.3">
      <c r="AY4975" t="str">
        <v>28/07/2005</v>
      </c>
      <c r="AZ4975">
        <v>57.3</v>
      </c>
      <c r="BA4975">
        <v>22.5</v>
      </c>
    </row>
    <row r="4976" spans="51:53" x14ac:dyDescent="0.3">
      <c r="AY4976" t="str">
        <v>27/07/2005</v>
      </c>
      <c r="AZ4976">
        <v>57.3</v>
      </c>
      <c r="BA4976">
        <v>22.5</v>
      </c>
    </row>
    <row r="4977" spans="51:53" x14ac:dyDescent="0.3">
      <c r="AY4977" t="str">
        <v>26/07/2005</v>
      </c>
      <c r="AZ4977">
        <v>57.3</v>
      </c>
      <c r="BA4977">
        <v>22.5</v>
      </c>
    </row>
    <row r="4978" spans="51:53" x14ac:dyDescent="0.3">
      <c r="AY4978" t="str">
        <v>25/07/2005</v>
      </c>
      <c r="AZ4978">
        <v>57.3</v>
      </c>
      <c r="BA4978">
        <v>22.5</v>
      </c>
    </row>
    <row r="4979" spans="51:53" x14ac:dyDescent="0.3">
      <c r="AY4979" t="str">
        <v>22/07/2005</v>
      </c>
      <c r="AZ4979">
        <v>55.9</v>
      </c>
      <c r="BA4979">
        <v>22.6</v>
      </c>
    </row>
    <row r="4980" spans="51:53" x14ac:dyDescent="0.3">
      <c r="AY4980" t="str">
        <v>21/07/2005</v>
      </c>
      <c r="AZ4980">
        <v>55.9</v>
      </c>
      <c r="BA4980">
        <v>22.6</v>
      </c>
    </row>
    <row r="4981" spans="51:53" x14ac:dyDescent="0.3">
      <c r="AY4981" t="str">
        <v>20/07/2005</v>
      </c>
      <c r="AZ4981">
        <v>55.9</v>
      </c>
      <c r="BA4981">
        <v>22.6</v>
      </c>
    </row>
    <row r="4982" spans="51:53" x14ac:dyDescent="0.3">
      <c r="AY4982" t="str">
        <v>19/07/2005</v>
      </c>
      <c r="AZ4982">
        <v>55.9</v>
      </c>
      <c r="BA4982">
        <v>22.6</v>
      </c>
    </row>
    <row r="4983" spans="51:53" x14ac:dyDescent="0.3">
      <c r="AY4983" t="str">
        <v>18/07/2005</v>
      </c>
      <c r="AZ4983">
        <v>55.9</v>
      </c>
      <c r="BA4983">
        <v>22.6</v>
      </c>
    </row>
    <row r="4984" spans="51:53" x14ac:dyDescent="0.3">
      <c r="AY4984" t="str">
        <v>15/07/2005</v>
      </c>
      <c r="AZ4984">
        <v>52.7</v>
      </c>
      <c r="BA4984">
        <v>23.1</v>
      </c>
    </row>
    <row r="4985" spans="51:53" x14ac:dyDescent="0.3">
      <c r="AY4985" t="str">
        <v>14/07/2005</v>
      </c>
      <c r="AZ4985">
        <v>52.7</v>
      </c>
      <c r="BA4985">
        <v>23.1</v>
      </c>
    </row>
    <row r="4986" spans="51:53" x14ac:dyDescent="0.3">
      <c r="AY4986" t="str">
        <v>13/07/2005</v>
      </c>
      <c r="AZ4986">
        <v>52.7</v>
      </c>
      <c r="BA4986">
        <v>23.1</v>
      </c>
    </row>
    <row r="4987" spans="51:53" x14ac:dyDescent="0.3">
      <c r="AY4987" t="str">
        <v>12/07/2005</v>
      </c>
      <c r="AZ4987">
        <v>52.7</v>
      </c>
      <c r="BA4987">
        <v>23.1</v>
      </c>
    </row>
    <row r="4988" spans="51:53" x14ac:dyDescent="0.3">
      <c r="AY4988" t="str">
        <v>11/07/2005</v>
      </c>
      <c r="AZ4988">
        <v>52.7</v>
      </c>
      <c r="BA4988">
        <v>23.1</v>
      </c>
    </row>
    <row r="4989" spans="51:53" x14ac:dyDescent="0.3">
      <c r="AY4989" t="str">
        <v>08/07/2005</v>
      </c>
      <c r="AZ4989">
        <v>54.5</v>
      </c>
      <c r="BA4989">
        <v>22.2</v>
      </c>
    </row>
    <row r="4990" spans="51:53" x14ac:dyDescent="0.3">
      <c r="AY4990" t="str">
        <v>07/07/2005</v>
      </c>
      <c r="AZ4990">
        <v>54.5</v>
      </c>
      <c r="BA4990">
        <v>22.2</v>
      </c>
    </row>
    <row r="4991" spans="51:53" x14ac:dyDescent="0.3">
      <c r="AY4991" t="str">
        <v>06/07/2005</v>
      </c>
      <c r="AZ4991">
        <v>54.5</v>
      </c>
      <c r="BA4991">
        <v>22.2</v>
      </c>
    </row>
    <row r="4992" spans="51:53" x14ac:dyDescent="0.3">
      <c r="AY4992" t="str">
        <v>05/07/2005</v>
      </c>
      <c r="AZ4992">
        <v>54.5</v>
      </c>
      <c r="BA4992">
        <v>22.2</v>
      </c>
    </row>
    <row r="4993" spans="51:53" x14ac:dyDescent="0.3">
      <c r="AY4993" t="str">
        <v>04/07/2005</v>
      </c>
      <c r="AZ4993">
        <v>54.5</v>
      </c>
      <c r="BA4993">
        <v>22.2</v>
      </c>
    </row>
    <row r="4994" spans="51:53" x14ac:dyDescent="0.3">
      <c r="AY4994" t="str">
        <v>01/07/2005</v>
      </c>
      <c r="AZ4994">
        <v>53.9</v>
      </c>
      <c r="BA4994">
        <v>21.4</v>
      </c>
    </row>
    <row r="4995" spans="51:53" x14ac:dyDescent="0.3">
      <c r="AY4995" t="str">
        <v>30/06/2005</v>
      </c>
      <c r="AZ4995">
        <v>53.9</v>
      </c>
      <c r="BA4995">
        <v>21.4</v>
      </c>
    </row>
    <row r="4996" spans="51:53" x14ac:dyDescent="0.3">
      <c r="AY4996" t="str">
        <v>29/06/2005</v>
      </c>
      <c r="AZ4996">
        <v>53.9</v>
      </c>
      <c r="BA4996">
        <v>21.4</v>
      </c>
    </row>
    <row r="4997" spans="51:53" x14ac:dyDescent="0.3">
      <c r="AY4997" t="str">
        <v>28/06/2005</v>
      </c>
      <c r="AZ4997">
        <v>53.9</v>
      </c>
      <c r="BA4997">
        <v>21.4</v>
      </c>
    </row>
    <row r="4998" spans="51:53" x14ac:dyDescent="0.3">
      <c r="AY4998" t="str">
        <v>27/06/2005</v>
      </c>
      <c r="AZ4998">
        <v>53.9</v>
      </c>
      <c r="BA4998">
        <v>21.4</v>
      </c>
    </row>
    <row r="4999" spans="51:53" x14ac:dyDescent="0.3">
      <c r="AY4999" t="str">
        <v>24/06/2005</v>
      </c>
      <c r="AZ4999">
        <v>55.1</v>
      </c>
      <c r="BA4999">
        <v>19.100000000000001</v>
      </c>
    </row>
    <row r="5000" spans="51:53" x14ac:dyDescent="0.3">
      <c r="AY5000" t="str">
        <v>23/06/2005</v>
      </c>
      <c r="AZ5000">
        <v>55.1</v>
      </c>
      <c r="BA5000">
        <v>19.100000000000001</v>
      </c>
    </row>
    <row r="5001" spans="51:53" x14ac:dyDescent="0.3">
      <c r="AY5001" t="str">
        <v>22/06/2005</v>
      </c>
      <c r="AZ5001">
        <v>55.1</v>
      </c>
      <c r="BA5001">
        <v>19.100000000000001</v>
      </c>
    </row>
    <row r="5002" spans="51:53" x14ac:dyDescent="0.3">
      <c r="AY5002" t="str">
        <v>21/06/2005</v>
      </c>
      <c r="AZ5002">
        <v>55.1</v>
      </c>
      <c r="BA5002">
        <v>19.100000000000001</v>
      </c>
    </row>
    <row r="5003" spans="51:53" x14ac:dyDescent="0.3">
      <c r="AY5003" t="str">
        <v>20/06/2005</v>
      </c>
      <c r="AZ5003">
        <v>55.1</v>
      </c>
      <c r="BA5003">
        <v>19.100000000000001</v>
      </c>
    </row>
    <row r="5004" spans="51:53" x14ac:dyDescent="0.3">
      <c r="AY5004" t="str">
        <v>17/06/2005</v>
      </c>
      <c r="AZ5004">
        <v>53.9</v>
      </c>
      <c r="BA5004">
        <v>20.2</v>
      </c>
    </row>
    <row r="5005" spans="51:53" x14ac:dyDescent="0.3">
      <c r="AY5005" t="str">
        <v>16/06/2005</v>
      </c>
      <c r="AZ5005">
        <v>53.9</v>
      </c>
      <c r="BA5005">
        <v>20.2</v>
      </c>
    </row>
    <row r="5006" spans="51:53" x14ac:dyDescent="0.3">
      <c r="AY5006" t="str">
        <v>15/06/2005</v>
      </c>
      <c r="AZ5006">
        <v>53.9</v>
      </c>
      <c r="BA5006">
        <v>20.2</v>
      </c>
    </row>
    <row r="5007" spans="51:53" x14ac:dyDescent="0.3">
      <c r="AY5007" t="str">
        <v>14/06/2005</v>
      </c>
      <c r="AZ5007">
        <v>53.9</v>
      </c>
      <c r="BA5007">
        <v>20.2</v>
      </c>
    </row>
    <row r="5008" spans="51:53" x14ac:dyDescent="0.3">
      <c r="AY5008" t="str">
        <v>13/06/2005</v>
      </c>
      <c r="AZ5008">
        <v>53.9</v>
      </c>
      <c r="BA5008">
        <v>20.2</v>
      </c>
    </row>
    <row r="5009" spans="51:53" x14ac:dyDescent="0.3">
      <c r="AY5009" t="str">
        <v>10/06/2005</v>
      </c>
      <c r="AZ5009">
        <v>52.7</v>
      </c>
      <c r="BA5009">
        <v>20.399999999999999</v>
      </c>
    </row>
    <row r="5010" spans="51:53" x14ac:dyDescent="0.3">
      <c r="AY5010" t="str">
        <v>09/06/2005</v>
      </c>
      <c r="AZ5010">
        <v>52.7</v>
      </c>
      <c r="BA5010">
        <v>20.399999999999999</v>
      </c>
    </row>
    <row r="5011" spans="51:53" x14ac:dyDescent="0.3">
      <c r="AY5011" t="str">
        <v>08/06/2005</v>
      </c>
      <c r="AZ5011">
        <v>52.7</v>
      </c>
      <c r="BA5011">
        <v>20.399999999999999</v>
      </c>
    </row>
    <row r="5012" spans="51:53" x14ac:dyDescent="0.3">
      <c r="AY5012" t="str">
        <v>07/06/2005</v>
      </c>
      <c r="AZ5012">
        <v>52.7</v>
      </c>
      <c r="BA5012">
        <v>20.399999999999999</v>
      </c>
    </row>
    <row r="5013" spans="51:53" x14ac:dyDescent="0.3">
      <c r="AY5013" t="str">
        <v>06/06/2005</v>
      </c>
      <c r="AZ5013">
        <v>52.7</v>
      </c>
      <c r="BA5013">
        <v>20.399999999999999</v>
      </c>
    </row>
    <row r="5014" spans="51:53" x14ac:dyDescent="0.3">
      <c r="AY5014" t="str">
        <v>03/06/2005</v>
      </c>
      <c r="AZ5014">
        <v>50.6</v>
      </c>
      <c r="BA5014">
        <v>20.9</v>
      </c>
    </row>
    <row r="5015" spans="51:53" x14ac:dyDescent="0.3">
      <c r="AY5015" t="str">
        <v>02/06/2005</v>
      </c>
      <c r="AZ5015">
        <v>50.6</v>
      </c>
      <c r="BA5015">
        <v>20.9</v>
      </c>
    </row>
    <row r="5016" spans="51:53" x14ac:dyDescent="0.3">
      <c r="AY5016" t="str">
        <v>01/06/2005</v>
      </c>
      <c r="AZ5016">
        <v>50.6</v>
      </c>
      <c r="BA5016">
        <v>20.9</v>
      </c>
    </row>
    <row r="5017" spans="51:53" x14ac:dyDescent="0.3">
      <c r="AY5017" t="str">
        <v>31/05/2005</v>
      </c>
      <c r="AZ5017">
        <v>50.6</v>
      </c>
      <c r="BA5017">
        <v>20.9</v>
      </c>
    </row>
    <row r="5018" spans="51:53" x14ac:dyDescent="0.3">
      <c r="AY5018" t="str">
        <v>30/05/2005</v>
      </c>
      <c r="AZ5018">
        <v>50.6</v>
      </c>
      <c r="BA5018">
        <v>20.9</v>
      </c>
    </row>
    <row r="5019" spans="51:53" x14ac:dyDescent="0.3">
      <c r="AY5019" t="str">
        <v>27/05/2005</v>
      </c>
      <c r="AZ5019">
        <v>47.8</v>
      </c>
      <c r="BA5019">
        <v>25</v>
      </c>
    </row>
    <row r="5020" spans="51:53" x14ac:dyDescent="0.3">
      <c r="AY5020" t="str">
        <v>26/05/2005</v>
      </c>
      <c r="AZ5020">
        <v>47.8</v>
      </c>
      <c r="BA5020">
        <v>25</v>
      </c>
    </row>
    <row r="5021" spans="51:53" x14ac:dyDescent="0.3">
      <c r="AY5021" t="str">
        <v>25/05/2005</v>
      </c>
      <c r="AZ5021">
        <v>47.8</v>
      </c>
      <c r="BA5021">
        <v>25</v>
      </c>
    </row>
    <row r="5022" spans="51:53" x14ac:dyDescent="0.3">
      <c r="AY5022" t="str">
        <v>24/05/2005</v>
      </c>
      <c r="AZ5022">
        <v>47.8</v>
      </c>
      <c r="BA5022">
        <v>25</v>
      </c>
    </row>
    <row r="5023" spans="51:53" x14ac:dyDescent="0.3">
      <c r="AY5023" t="str">
        <v>23/05/2005</v>
      </c>
      <c r="AZ5023">
        <v>47.8</v>
      </c>
      <c r="BA5023">
        <v>25</v>
      </c>
    </row>
    <row r="5024" spans="51:53" x14ac:dyDescent="0.3">
      <c r="AY5024" t="str">
        <v>20/05/2005</v>
      </c>
      <c r="AZ5024">
        <v>46.7</v>
      </c>
      <c r="BA5024">
        <v>26.1</v>
      </c>
    </row>
    <row r="5025" spans="51:53" x14ac:dyDescent="0.3">
      <c r="AY5025" t="str">
        <v>19/05/2005</v>
      </c>
      <c r="AZ5025">
        <v>46.7</v>
      </c>
      <c r="BA5025">
        <v>26.1</v>
      </c>
    </row>
    <row r="5026" spans="51:53" x14ac:dyDescent="0.3">
      <c r="AY5026" t="str">
        <v>18/05/2005</v>
      </c>
      <c r="AZ5026">
        <v>46.7</v>
      </c>
      <c r="BA5026">
        <v>26.1</v>
      </c>
    </row>
    <row r="5027" spans="51:53" x14ac:dyDescent="0.3">
      <c r="AY5027" t="str">
        <v>17/05/2005</v>
      </c>
      <c r="AZ5027">
        <v>46.7</v>
      </c>
      <c r="BA5027">
        <v>26.1</v>
      </c>
    </row>
    <row r="5028" spans="51:53" x14ac:dyDescent="0.3">
      <c r="AY5028" t="str">
        <v>16/05/2005</v>
      </c>
      <c r="AZ5028">
        <v>46.7</v>
      </c>
      <c r="BA5028">
        <v>26.1</v>
      </c>
    </row>
    <row r="5029" spans="51:53" x14ac:dyDescent="0.3">
      <c r="AY5029" t="str">
        <v>13/05/2005</v>
      </c>
      <c r="AZ5029">
        <v>46.2</v>
      </c>
      <c r="BA5029">
        <v>28.6</v>
      </c>
    </row>
    <row r="5030" spans="51:53" x14ac:dyDescent="0.3">
      <c r="AY5030" t="str">
        <v>12/05/2005</v>
      </c>
      <c r="AZ5030">
        <v>46.2</v>
      </c>
      <c r="BA5030">
        <v>28.6</v>
      </c>
    </row>
    <row r="5031" spans="51:53" x14ac:dyDescent="0.3">
      <c r="AY5031" t="str">
        <v>11/05/2005</v>
      </c>
      <c r="AZ5031">
        <v>46.2</v>
      </c>
      <c r="BA5031">
        <v>28.6</v>
      </c>
    </row>
    <row r="5032" spans="51:53" x14ac:dyDescent="0.3">
      <c r="AY5032" t="str">
        <v>10/05/2005</v>
      </c>
      <c r="AZ5032">
        <v>46.2</v>
      </c>
      <c r="BA5032">
        <v>28.6</v>
      </c>
    </row>
    <row r="5033" spans="51:53" x14ac:dyDescent="0.3">
      <c r="AY5033" t="str">
        <v>09/05/2005</v>
      </c>
      <c r="AZ5033">
        <v>46.2</v>
      </c>
      <c r="BA5033">
        <v>28.6</v>
      </c>
    </row>
    <row r="5034" spans="51:53" x14ac:dyDescent="0.3">
      <c r="AY5034" t="str">
        <v>06/05/2005</v>
      </c>
      <c r="AZ5034">
        <v>46.2</v>
      </c>
      <c r="BA5034">
        <v>28</v>
      </c>
    </row>
    <row r="5035" spans="51:53" x14ac:dyDescent="0.3">
      <c r="AY5035" t="str">
        <v>05/05/2005</v>
      </c>
      <c r="AZ5035">
        <v>46.2</v>
      </c>
      <c r="BA5035">
        <v>28</v>
      </c>
    </row>
    <row r="5036" spans="51:53" x14ac:dyDescent="0.3">
      <c r="AY5036" t="str">
        <v>04/05/2005</v>
      </c>
      <c r="AZ5036">
        <v>46.2</v>
      </c>
      <c r="BA5036">
        <v>28</v>
      </c>
    </row>
    <row r="5037" spans="51:53" x14ac:dyDescent="0.3">
      <c r="AY5037" t="str">
        <v>03/05/2005</v>
      </c>
      <c r="AZ5037">
        <v>46.2</v>
      </c>
      <c r="BA5037">
        <v>28</v>
      </c>
    </row>
    <row r="5038" spans="51:53" x14ac:dyDescent="0.3">
      <c r="AY5038" t="str">
        <v>02/05/2005</v>
      </c>
      <c r="AZ5038">
        <v>46.2</v>
      </c>
      <c r="BA5038">
        <v>28</v>
      </c>
    </row>
    <row r="5039" spans="51:53" x14ac:dyDescent="0.3">
      <c r="AY5039" t="str">
        <v>29/04/2005</v>
      </c>
      <c r="AZ5039">
        <v>43.5</v>
      </c>
      <c r="BA5039">
        <v>30.4</v>
      </c>
    </row>
    <row r="5040" spans="51:53" x14ac:dyDescent="0.3">
      <c r="AY5040" t="str">
        <v>28/04/2005</v>
      </c>
      <c r="AZ5040">
        <v>43.5</v>
      </c>
      <c r="BA5040">
        <v>30.4</v>
      </c>
    </row>
    <row r="5041" spans="51:53" x14ac:dyDescent="0.3">
      <c r="AY5041" t="str">
        <v>27/04/2005</v>
      </c>
      <c r="AZ5041">
        <v>43.5</v>
      </c>
      <c r="BA5041">
        <v>30.4</v>
      </c>
    </row>
    <row r="5042" spans="51:53" x14ac:dyDescent="0.3">
      <c r="AY5042" t="str">
        <v>26/04/2005</v>
      </c>
      <c r="AZ5042">
        <v>43.5</v>
      </c>
      <c r="BA5042">
        <v>30.4</v>
      </c>
    </row>
    <row r="5043" spans="51:53" x14ac:dyDescent="0.3">
      <c r="AY5043" t="str">
        <v>25/04/2005</v>
      </c>
      <c r="AZ5043">
        <v>43.5</v>
      </c>
      <c r="BA5043">
        <v>30.4</v>
      </c>
    </row>
    <row r="5044" spans="51:53" x14ac:dyDescent="0.3">
      <c r="AY5044" t="str">
        <v>22/04/2005</v>
      </c>
      <c r="AZ5044">
        <v>44</v>
      </c>
      <c r="BA5044">
        <v>29.7</v>
      </c>
    </row>
    <row r="5045" spans="51:53" x14ac:dyDescent="0.3">
      <c r="AY5045" t="str">
        <v>21/04/2005</v>
      </c>
      <c r="AZ5045">
        <v>44</v>
      </c>
      <c r="BA5045">
        <v>29.7</v>
      </c>
    </row>
    <row r="5046" spans="51:53" x14ac:dyDescent="0.3">
      <c r="AY5046" t="str">
        <v>20/04/2005</v>
      </c>
      <c r="AZ5046">
        <v>44</v>
      </c>
      <c r="BA5046">
        <v>29.7</v>
      </c>
    </row>
    <row r="5047" spans="51:53" x14ac:dyDescent="0.3">
      <c r="AY5047" t="str">
        <v>19/04/2005</v>
      </c>
      <c r="AZ5047">
        <v>44</v>
      </c>
      <c r="BA5047">
        <v>29.7</v>
      </c>
    </row>
    <row r="5048" spans="51:53" x14ac:dyDescent="0.3">
      <c r="AY5048" t="str">
        <v>18/04/2005</v>
      </c>
      <c r="AZ5048">
        <v>44</v>
      </c>
      <c r="BA5048">
        <v>29.7</v>
      </c>
    </row>
    <row r="5049" spans="51:53" x14ac:dyDescent="0.3">
      <c r="AY5049" t="str">
        <v>15/04/2005</v>
      </c>
      <c r="AZ5049">
        <v>48.4</v>
      </c>
      <c r="BA5049">
        <v>26.9</v>
      </c>
    </row>
    <row r="5050" spans="51:53" x14ac:dyDescent="0.3">
      <c r="AY5050" t="str">
        <v>14/04/2005</v>
      </c>
      <c r="AZ5050">
        <v>48.4</v>
      </c>
      <c r="BA5050">
        <v>26.9</v>
      </c>
    </row>
    <row r="5051" spans="51:53" x14ac:dyDescent="0.3">
      <c r="AY5051" t="str">
        <v>13/04/2005</v>
      </c>
      <c r="AZ5051">
        <v>48.4</v>
      </c>
      <c r="BA5051">
        <v>26.9</v>
      </c>
    </row>
    <row r="5052" spans="51:53" x14ac:dyDescent="0.3">
      <c r="AY5052" t="str">
        <v>12/04/2005</v>
      </c>
      <c r="AZ5052">
        <v>48.4</v>
      </c>
      <c r="BA5052">
        <v>26.9</v>
      </c>
    </row>
    <row r="5053" spans="51:53" x14ac:dyDescent="0.3">
      <c r="AY5053" t="str">
        <v>11/04/2005</v>
      </c>
      <c r="AZ5053">
        <v>48.4</v>
      </c>
      <c r="BA5053">
        <v>26.9</v>
      </c>
    </row>
    <row r="5054" spans="51:53" x14ac:dyDescent="0.3">
      <c r="AY5054" t="str">
        <v>08/04/2005</v>
      </c>
      <c r="AZ5054">
        <v>46.2</v>
      </c>
      <c r="BA5054">
        <v>29</v>
      </c>
    </row>
    <row r="5055" spans="51:53" x14ac:dyDescent="0.3">
      <c r="AY5055" t="str">
        <v>07/04/2005</v>
      </c>
      <c r="AZ5055">
        <v>46.2</v>
      </c>
      <c r="BA5055">
        <v>29</v>
      </c>
    </row>
    <row r="5056" spans="51:53" x14ac:dyDescent="0.3">
      <c r="AY5056" t="str">
        <v>06/04/2005</v>
      </c>
      <c r="AZ5056">
        <v>46.2</v>
      </c>
      <c r="BA5056">
        <v>29</v>
      </c>
    </row>
    <row r="5057" spans="51:53" x14ac:dyDescent="0.3">
      <c r="AY5057" t="str">
        <v>05/04/2005</v>
      </c>
      <c r="AZ5057">
        <v>46.2</v>
      </c>
      <c r="BA5057">
        <v>29</v>
      </c>
    </row>
    <row r="5058" spans="51:53" x14ac:dyDescent="0.3">
      <c r="AY5058" t="str">
        <v>04/04/2005</v>
      </c>
      <c r="AZ5058">
        <v>46.2</v>
      </c>
      <c r="BA5058">
        <v>29</v>
      </c>
    </row>
    <row r="5059" spans="51:53" x14ac:dyDescent="0.3">
      <c r="AY5059" t="str">
        <v>01/04/2005</v>
      </c>
      <c r="AZ5059">
        <v>47.9</v>
      </c>
      <c r="BA5059">
        <v>29.2</v>
      </c>
    </row>
    <row r="5060" spans="51:53" x14ac:dyDescent="0.3">
      <c r="AY5060" t="str">
        <v>31/03/2005</v>
      </c>
      <c r="AZ5060">
        <v>47.9</v>
      </c>
      <c r="BA5060">
        <v>29.2</v>
      </c>
    </row>
    <row r="5061" spans="51:53" x14ac:dyDescent="0.3">
      <c r="AY5061" t="str">
        <v>30/03/2005</v>
      </c>
      <c r="AZ5061">
        <v>47.9</v>
      </c>
      <c r="BA5061">
        <v>29.2</v>
      </c>
    </row>
    <row r="5062" spans="51:53" x14ac:dyDescent="0.3">
      <c r="AY5062" t="str">
        <v>29/03/2005</v>
      </c>
      <c r="AZ5062">
        <v>47.9</v>
      </c>
      <c r="BA5062">
        <v>29.2</v>
      </c>
    </row>
    <row r="5063" spans="51:53" x14ac:dyDescent="0.3">
      <c r="AY5063" t="str">
        <v>28/03/2005</v>
      </c>
      <c r="AZ5063">
        <v>47.9</v>
      </c>
      <c r="BA5063">
        <v>29.2</v>
      </c>
    </row>
    <row r="5064" spans="51:53" x14ac:dyDescent="0.3">
      <c r="AY5064" t="str">
        <v>25/03/2005</v>
      </c>
      <c r="AZ5064">
        <v>51.6</v>
      </c>
      <c r="BA5064">
        <v>28</v>
      </c>
    </row>
    <row r="5065" spans="51:53" x14ac:dyDescent="0.3">
      <c r="AY5065" t="str">
        <v>24/03/2005</v>
      </c>
      <c r="AZ5065">
        <v>51.6</v>
      </c>
      <c r="BA5065">
        <v>28</v>
      </c>
    </row>
    <row r="5066" spans="51:53" x14ac:dyDescent="0.3">
      <c r="AY5066" t="str">
        <v>23/03/2005</v>
      </c>
      <c r="AZ5066">
        <v>51.6</v>
      </c>
      <c r="BA5066">
        <v>28</v>
      </c>
    </row>
    <row r="5067" spans="51:53" x14ac:dyDescent="0.3">
      <c r="AY5067" t="str">
        <v>22/03/2005</v>
      </c>
      <c r="AZ5067">
        <v>51.6</v>
      </c>
      <c r="BA5067">
        <v>28</v>
      </c>
    </row>
    <row r="5068" spans="51:53" x14ac:dyDescent="0.3">
      <c r="AY5068" t="str">
        <v>21/03/2005</v>
      </c>
      <c r="AZ5068">
        <v>51.6</v>
      </c>
      <c r="BA5068">
        <v>28</v>
      </c>
    </row>
    <row r="5069" spans="51:53" x14ac:dyDescent="0.3">
      <c r="AY5069" t="str">
        <v>18/03/2005</v>
      </c>
      <c r="AZ5069">
        <v>53.6</v>
      </c>
      <c r="BA5069">
        <v>27.8</v>
      </c>
    </row>
    <row r="5070" spans="51:53" x14ac:dyDescent="0.3">
      <c r="AY5070" t="str">
        <v>17/03/2005</v>
      </c>
      <c r="AZ5070">
        <v>53.6</v>
      </c>
      <c r="BA5070">
        <v>27.8</v>
      </c>
    </row>
    <row r="5071" spans="51:53" x14ac:dyDescent="0.3">
      <c r="AY5071" t="str">
        <v>16/03/2005</v>
      </c>
      <c r="AZ5071">
        <v>53.6</v>
      </c>
      <c r="BA5071">
        <v>27.8</v>
      </c>
    </row>
    <row r="5072" spans="51:53" x14ac:dyDescent="0.3">
      <c r="AY5072" t="str">
        <v>15/03/2005</v>
      </c>
      <c r="AZ5072">
        <v>53.6</v>
      </c>
      <c r="BA5072">
        <v>27.8</v>
      </c>
    </row>
    <row r="5073" spans="51:53" x14ac:dyDescent="0.3">
      <c r="AY5073" t="str">
        <v>14/03/2005</v>
      </c>
      <c r="AZ5073">
        <v>53.6</v>
      </c>
      <c r="BA5073">
        <v>27.8</v>
      </c>
    </row>
    <row r="5074" spans="51:53" x14ac:dyDescent="0.3">
      <c r="AY5074" t="str">
        <v>11/03/2005</v>
      </c>
      <c r="AZ5074">
        <v>54.5</v>
      </c>
      <c r="BA5074">
        <v>24.3</v>
      </c>
    </row>
    <row r="5075" spans="51:53" x14ac:dyDescent="0.3">
      <c r="AY5075" t="str">
        <v>10/03/2005</v>
      </c>
      <c r="AZ5075">
        <v>54.5</v>
      </c>
      <c r="BA5075">
        <v>24.3</v>
      </c>
    </row>
    <row r="5076" spans="51:53" x14ac:dyDescent="0.3">
      <c r="AY5076" t="str">
        <v>09/03/2005</v>
      </c>
      <c r="AZ5076">
        <v>54.5</v>
      </c>
      <c r="BA5076">
        <v>24.3</v>
      </c>
    </row>
    <row r="5077" spans="51:53" x14ac:dyDescent="0.3">
      <c r="AY5077" t="str">
        <v>08/03/2005</v>
      </c>
      <c r="AZ5077">
        <v>54.5</v>
      </c>
      <c r="BA5077">
        <v>24.3</v>
      </c>
    </row>
    <row r="5078" spans="51:53" x14ac:dyDescent="0.3">
      <c r="AY5078" t="str">
        <v>07/03/2005</v>
      </c>
      <c r="AZ5078">
        <v>54.5</v>
      </c>
      <c r="BA5078">
        <v>24.3</v>
      </c>
    </row>
    <row r="5079" spans="51:53" x14ac:dyDescent="0.3">
      <c r="AY5079" t="str">
        <v>04/03/2005</v>
      </c>
      <c r="AZ5079">
        <v>55.7</v>
      </c>
      <c r="BA5079">
        <v>21.6</v>
      </c>
    </row>
    <row r="5080" spans="51:53" x14ac:dyDescent="0.3">
      <c r="AY5080" t="str">
        <v>03/03/2005</v>
      </c>
      <c r="AZ5080">
        <v>55.7</v>
      </c>
      <c r="BA5080">
        <v>21.6</v>
      </c>
    </row>
    <row r="5081" spans="51:53" x14ac:dyDescent="0.3">
      <c r="AY5081" t="str">
        <v>02/03/2005</v>
      </c>
      <c r="AZ5081">
        <v>55.7</v>
      </c>
      <c r="BA5081">
        <v>21.6</v>
      </c>
    </row>
    <row r="5082" spans="51:53" x14ac:dyDescent="0.3">
      <c r="AY5082" t="str">
        <v>01/03/2005</v>
      </c>
      <c r="AZ5082">
        <v>55.7</v>
      </c>
      <c r="BA5082">
        <v>21.6</v>
      </c>
    </row>
    <row r="5083" spans="51:53" x14ac:dyDescent="0.3">
      <c r="AY5083" t="str">
        <v>28/02/2005</v>
      </c>
      <c r="AZ5083">
        <v>55.7</v>
      </c>
      <c r="BA5083">
        <v>21.6</v>
      </c>
    </row>
    <row r="5084" spans="51:53" x14ac:dyDescent="0.3">
      <c r="AY5084" t="str">
        <v>25/02/2005</v>
      </c>
      <c r="AZ5084">
        <v>54.7</v>
      </c>
      <c r="BA5084">
        <v>22.1</v>
      </c>
    </row>
    <row r="5085" spans="51:53" x14ac:dyDescent="0.3">
      <c r="AY5085" t="str">
        <v>24/02/2005</v>
      </c>
      <c r="AZ5085">
        <v>54.7</v>
      </c>
      <c r="BA5085">
        <v>22.1</v>
      </c>
    </row>
    <row r="5086" spans="51:53" x14ac:dyDescent="0.3">
      <c r="AY5086" t="str">
        <v>23/02/2005</v>
      </c>
      <c r="AZ5086">
        <v>54.7</v>
      </c>
      <c r="BA5086">
        <v>22.1</v>
      </c>
    </row>
    <row r="5087" spans="51:53" x14ac:dyDescent="0.3">
      <c r="AY5087" t="str">
        <v>22/02/2005</v>
      </c>
      <c r="AZ5087">
        <v>54.7</v>
      </c>
      <c r="BA5087">
        <v>22.1</v>
      </c>
    </row>
    <row r="5088" spans="51:53" x14ac:dyDescent="0.3">
      <c r="AY5088" t="str">
        <v>21/02/2005</v>
      </c>
      <c r="AZ5088">
        <v>54.7</v>
      </c>
      <c r="BA5088">
        <v>22.1</v>
      </c>
    </row>
    <row r="5089" spans="51:53" x14ac:dyDescent="0.3">
      <c r="AY5089" t="str">
        <v>18/02/2005</v>
      </c>
      <c r="AZ5089">
        <v>54.1</v>
      </c>
      <c r="BA5089">
        <v>21.4</v>
      </c>
    </row>
    <row r="5090" spans="51:53" x14ac:dyDescent="0.3">
      <c r="AY5090" t="str">
        <v>17/02/2005</v>
      </c>
      <c r="AZ5090">
        <v>54.1</v>
      </c>
      <c r="BA5090">
        <v>21.4</v>
      </c>
    </row>
    <row r="5091" spans="51:53" x14ac:dyDescent="0.3">
      <c r="AY5091" t="str">
        <v>16/02/2005</v>
      </c>
      <c r="AZ5091">
        <v>54.1</v>
      </c>
      <c r="BA5091">
        <v>21.4</v>
      </c>
    </row>
    <row r="5092" spans="51:53" x14ac:dyDescent="0.3">
      <c r="AY5092" t="str">
        <v>15/02/2005</v>
      </c>
      <c r="AZ5092">
        <v>54.1</v>
      </c>
      <c r="BA5092">
        <v>21.4</v>
      </c>
    </row>
    <row r="5093" spans="51:53" x14ac:dyDescent="0.3">
      <c r="AY5093" t="str">
        <v>14/02/2005</v>
      </c>
      <c r="AZ5093">
        <v>54.1</v>
      </c>
      <c r="BA5093">
        <v>21.4</v>
      </c>
    </row>
    <row r="5094" spans="51:53" x14ac:dyDescent="0.3">
      <c r="AY5094" t="str">
        <v>11/02/2005</v>
      </c>
      <c r="AZ5094">
        <v>56.6</v>
      </c>
      <c r="BA5094">
        <v>21.2</v>
      </c>
    </row>
    <row r="5095" spans="51:53" x14ac:dyDescent="0.3">
      <c r="AY5095" t="str">
        <v>10/02/2005</v>
      </c>
      <c r="AZ5095">
        <v>56.6</v>
      </c>
      <c r="BA5095">
        <v>21.2</v>
      </c>
    </row>
    <row r="5096" spans="51:53" x14ac:dyDescent="0.3">
      <c r="AY5096" t="str">
        <v>09/02/2005</v>
      </c>
      <c r="AZ5096">
        <v>56.6</v>
      </c>
      <c r="BA5096">
        <v>21.2</v>
      </c>
    </row>
    <row r="5097" spans="51:53" x14ac:dyDescent="0.3">
      <c r="AY5097" t="str">
        <v>08/02/2005</v>
      </c>
      <c r="AZ5097">
        <v>56.6</v>
      </c>
      <c r="BA5097">
        <v>21.2</v>
      </c>
    </row>
    <row r="5098" spans="51:53" x14ac:dyDescent="0.3">
      <c r="AY5098" t="str">
        <v>07/02/2005</v>
      </c>
      <c r="AZ5098">
        <v>56.6</v>
      </c>
      <c r="BA5098">
        <v>21.2</v>
      </c>
    </row>
    <row r="5099" spans="51:53" x14ac:dyDescent="0.3">
      <c r="AY5099" t="str">
        <v>04/02/2005</v>
      </c>
      <c r="AZ5099">
        <v>54.6</v>
      </c>
      <c r="BA5099">
        <v>23.2</v>
      </c>
    </row>
    <row r="5100" spans="51:53" x14ac:dyDescent="0.3">
      <c r="AY5100" t="str">
        <v>03/02/2005</v>
      </c>
      <c r="AZ5100">
        <v>54.6</v>
      </c>
      <c r="BA5100">
        <v>23.2</v>
      </c>
    </row>
    <row r="5101" spans="51:53" x14ac:dyDescent="0.3">
      <c r="AY5101" t="str">
        <v>02/02/2005</v>
      </c>
      <c r="AZ5101">
        <v>54.6</v>
      </c>
      <c r="BA5101">
        <v>23.2</v>
      </c>
    </row>
    <row r="5102" spans="51:53" x14ac:dyDescent="0.3">
      <c r="AY5102" t="str">
        <v>01/02/2005</v>
      </c>
      <c r="AZ5102">
        <v>54.6</v>
      </c>
      <c r="BA5102">
        <v>23.2</v>
      </c>
    </row>
    <row r="5103" spans="51:53" x14ac:dyDescent="0.3">
      <c r="AY5103" t="str">
        <v>31/01/2005</v>
      </c>
      <c r="AZ5103">
        <v>54.6</v>
      </c>
      <c r="BA5103">
        <v>23.2</v>
      </c>
    </row>
    <row r="5104" spans="51:53" x14ac:dyDescent="0.3">
      <c r="AY5104" t="str">
        <v>28/01/2005</v>
      </c>
      <c r="AZ5104">
        <v>54.5</v>
      </c>
      <c r="BA5104">
        <v>25.3</v>
      </c>
    </row>
    <row r="5105" spans="51:53" x14ac:dyDescent="0.3">
      <c r="AY5105" t="str">
        <v>27/01/2005</v>
      </c>
      <c r="AZ5105">
        <v>54.5</v>
      </c>
      <c r="BA5105">
        <v>25.3</v>
      </c>
    </row>
    <row r="5106" spans="51:53" x14ac:dyDescent="0.3">
      <c r="AY5106" t="str">
        <v>26/01/2005</v>
      </c>
      <c r="AZ5106">
        <v>54.5</v>
      </c>
      <c r="BA5106">
        <v>25.3</v>
      </c>
    </row>
    <row r="5107" spans="51:53" x14ac:dyDescent="0.3">
      <c r="AY5107" t="str">
        <v>25/01/2005</v>
      </c>
      <c r="AZ5107">
        <v>54.5</v>
      </c>
      <c r="BA5107">
        <v>25.3</v>
      </c>
    </row>
    <row r="5108" spans="51:53" x14ac:dyDescent="0.3">
      <c r="AY5108" t="str">
        <v>24/01/2005</v>
      </c>
      <c r="AZ5108">
        <v>54.5</v>
      </c>
      <c r="BA5108">
        <v>25.3</v>
      </c>
    </row>
    <row r="5109" spans="51:53" x14ac:dyDescent="0.3">
      <c r="AY5109" t="str">
        <v>21/01/2005</v>
      </c>
      <c r="AZ5109">
        <v>56</v>
      </c>
      <c r="BA5109">
        <v>24</v>
      </c>
    </row>
    <row r="5110" spans="51:53" x14ac:dyDescent="0.3">
      <c r="AY5110" t="str">
        <v>20/01/2005</v>
      </c>
      <c r="AZ5110">
        <v>56</v>
      </c>
      <c r="BA5110">
        <v>24</v>
      </c>
    </row>
    <row r="5111" spans="51:53" x14ac:dyDescent="0.3">
      <c r="AY5111" t="str">
        <v>19/01/2005</v>
      </c>
      <c r="AZ5111">
        <v>56</v>
      </c>
      <c r="BA5111">
        <v>24</v>
      </c>
    </row>
    <row r="5112" spans="51:53" x14ac:dyDescent="0.3">
      <c r="AY5112" t="str">
        <v>18/01/2005</v>
      </c>
      <c r="AZ5112">
        <v>56</v>
      </c>
      <c r="BA5112">
        <v>24</v>
      </c>
    </row>
    <row r="5113" spans="51:53" x14ac:dyDescent="0.3">
      <c r="AY5113" t="str">
        <v>17/01/2005</v>
      </c>
      <c r="AZ5113">
        <v>56</v>
      </c>
      <c r="BA5113">
        <v>24</v>
      </c>
    </row>
    <row r="5114" spans="51:53" x14ac:dyDescent="0.3">
      <c r="AY5114" t="str">
        <v>14/01/2005</v>
      </c>
      <c r="AZ5114">
        <v>55.9</v>
      </c>
      <c r="BA5114">
        <v>24.7</v>
      </c>
    </row>
    <row r="5115" spans="51:53" x14ac:dyDescent="0.3">
      <c r="AY5115" t="str">
        <v>13/01/2005</v>
      </c>
      <c r="AZ5115">
        <v>55.9</v>
      </c>
      <c r="BA5115">
        <v>24.7</v>
      </c>
    </row>
    <row r="5116" spans="51:53" x14ac:dyDescent="0.3">
      <c r="AY5116" t="str">
        <v>12/01/2005</v>
      </c>
      <c r="AZ5116">
        <v>55.9</v>
      </c>
      <c r="BA5116">
        <v>24.7</v>
      </c>
    </row>
    <row r="5117" spans="51:53" x14ac:dyDescent="0.3">
      <c r="AY5117" t="str">
        <v>11/01/2005</v>
      </c>
      <c r="AZ5117">
        <v>55.9</v>
      </c>
      <c r="BA5117">
        <v>24.7</v>
      </c>
    </row>
    <row r="5118" spans="51:53" x14ac:dyDescent="0.3">
      <c r="AY5118" t="str">
        <v>10/01/2005</v>
      </c>
      <c r="AZ5118">
        <v>55.9</v>
      </c>
      <c r="BA5118">
        <v>24.7</v>
      </c>
    </row>
    <row r="5119" spans="51:53" x14ac:dyDescent="0.3">
      <c r="AY5119" t="str">
        <v>07/01/2005</v>
      </c>
      <c r="AZ5119">
        <v>59.4</v>
      </c>
      <c r="BA5119">
        <v>22.9</v>
      </c>
    </row>
    <row r="5120" spans="51:53" x14ac:dyDescent="0.3">
      <c r="AY5120" t="str">
        <v>06/01/2005</v>
      </c>
      <c r="AZ5120">
        <v>59.4</v>
      </c>
      <c r="BA5120">
        <v>22.9</v>
      </c>
    </row>
    <row r="5121" spans="51:53" x14ac:dyDescent="0.3">
      <c r="AY5121" t="str">
        <v>05/01/2005</v>
      </c>
      <c r="AZ5121">
        <v>59.4</v>
      </c>
      <c r="BA5121">
        <v>22.9</v>
      </c>
    </row>
    <row r="5122" spans="51:53" x14ac:dyDescent="0.3">
      <c r="AY5122" t="str">
        <v>04/01/2005</v>
      </c>
      <c r="AZ5122">
        <v>59.4</v>
      </c>
      <c r="BA5122">
        <v>22.9</v>
      </c>
    </row>
    <row r="5123" spans="51:53" x14ac:dyDescent="0.3">
      <c r="AY5123" t="str">
        <v>03/01/2005</v>
      </c>
      <c r="AZ5123">
        <v>59.4</v>
      </c>
      <c r="BA5123">
        <v>22.9</v>
      </c>
    </row>
    <row r="5124" spans="51:53" x14ac:dyDescent="0.3">
      <c r="AY5124" t="str">
        <v>31/12/2004</v>
      </c>
      <c r="AZ5124">
        <v>62.9</v>
      </c>
      <c r="BA5124">
        <v>20.6</v>
      </c>
    </row>
    <row r="5125" spans="51:53" x14ac:dyDescent="0.3">
      <c r="AY5125" t="str">
        <v>30/12/2004</v>
      </c>
      <c r="AZ5125">
        <v>62.9</v>
      </c>
      <c r="BA5125">
        <v>20.6</v>
      </c>
    </row>
    <row r="5126" spans="51:53" x14ac:dyDescent="0.3">
      <c r="AY5126" t="str">
        <v>29/12/2004</v>
      </c>
      <c r="AZ5126">
        <v>62.9</v>
      </c>
      <c r="BA5126">
        <v>20.6</v>
      </c>
    </row>
    <row r="5127" spans="51:53" x14ac:dyDescent="0.3">
      <c r="AY5127" t="str">
        <v>28/12/2004</v>
      </c>
      <c r="AZ5127">
        <v>62.9</v>
      </c>
      <c r="BA5127">
        <v>20.6</v>
      </c>
    </row>
    <row r="5128" spans="51:53" x14ac:dyDescent="0.3">
      <c r="AY5128" t="str">
        <v>27/12/2004</v>
      </c>
      <c r="AZ5128">
        <v>62.9</v>
      </c>
      <c r="BA5128">
        <v>20.6</v>
      </c>
    </row>
    <row r="5129" spans="51:53" x14ac:dyDescent="0.3">
      <c r="AY5129" t="str">
        <v>24/12/2004</v>
      </c>
      <c r="AZ5129">
        <v>62.9</v>
      </c>
      <c r="BA5129">
        <v>19.600000000000001</v>
      </c>
    </row>
    <row r="5130" spans="51:53" x14ac:dyDescent="0.3">
      <c r="AY5130" t="str">
        <v>23/12/2004</v>
      </c>
      <c r="AZ5130">
        <v>62.9</v>
      </c>
      <c r="BA5130">
        <v>19.600000000000001</v>
      </c>
    </row>
    <row r="5131" spans="51:53" x14ac:dyDescent="0.3">
      <c r="AY5131" t="str">
        <v>22/12/2004</v>
      </c>
      <c r="AZ5131">
        <v>62.9</v>
      </c>
      <c r="BA5131">
        <v>19.600000000000001</v>
      </c>
    </row>
    <row r="5132" spans="51:53" x14ac:dyDescent="0.3">
      <c r="AY5132" t="str">
        <v>21/12/2004</v>
      </c>
      <c r="AZ5132">
        <v>62.9</v>
      </c>
      <c r="BA5132">
        <v>19.600000000000001</v>
      </c>
    </row>
    <row r="5133" spans="51:53" x14ac:dyDescent="0.3">
      <c r="AY5133" t="str">
        <v>20/12/2004</v>
      </c>
      <c r="AZ5133">
        <v>62.9</v>
      </c>
      <c r="BA5133">
        <v>19.600000000000001</v>
      </c>
    </row>
    <row r="5134" spans="51:53" x14ac:dyDescent="0.3">
      <c r="AY5134" t="str">
        <v>17/12/2004</v>
      </c>
      <c r="AZ5134">
        <v>61.2</v>
      </c>
      <c r="BA5134">
        <v>20.399999999999999</v>
      </c>
    </row>
    <row r="5135" spans="51:53" x14ac:dyDescent="0.3">
      <c r="AY5135" t="str">
        <v>16/12/2004</v>
      </c>
      <c r="AZ5135">
        <v>61.2</v>
      </c>
      <c r="BA5135">
        <v>20.399999999999999</v>
      </c>
    </row>
    <row r="5136" spans="51:53" x14ac:dyDescent="0.3">
      <c r="AY5136" t="str">
        <v>15/12/2004</v>
      </c>
      <c r="AZ5136">
        <v>61.2</v>
      </c>
      <c r="BA5136">
        <v>20.399999999999999</v>
      </c>
    </row>
    <row r="5137" spans="51:53" x14ac:dyDescent="0.3">
      <c r="AY5137" t="str">
        <v>14/12/2004</v>
      </c>
      <c r="AZ5137">
        <v>61.2</v>
      </c>
      <c r="BA5137">
        <v>20.399999999999999</v>
      </c>
    </row>
    <row r="5138" spans="51:53" x14ac:dyDescent="0.3">
      <c r="AY5138" t="str">
        <v>13/12/2004</v>
      </c>
      <c r="AZ5138">
        <v>61.2</v>
      </c>
      <c r="BA5138">
        <v>20.399999999999999</v>
      </c>
    </row>
    <row r="5139" spans="51:53" x14ac:dyDescent="0.3">
      <c r="AY5139" t="str">
        <v>10/12/2004</v>
      </c>
      <c r="AZ5139">
        <v>62.1</v>
      </c>
      <c r="BA5139">
        <v>21.1</v>
      </c>
    </row>
    <row r="5140" spans="51:53" x14ac:dyDescent="0.3">
      <c r="AY5140" t="str">
        <v>09/12/2004</v>
      </c>
      <c r="AZ5140">
        <v>62.1</v>
      </c>
      <c r="BA5140">
        <v>21.1</v>
      </c>
    </row>
    <row r="5141" spans="51:53" x14ac:dyDescent="0.3">
      <c r="AY5141" t="str">
        <v>08/12/2004</v>
      </c>
      <c r="AZ5141">
        <v>62.1</v>
      </c>
      <c r="BA5141">
        <v>21.1</v>
      </c>
    </row>
    <row r="5142" spans="51:53" x14ac:dyDescent="0.3">
      <c r="AY5142" t="str">
        <v>07/12/2004</v>
      </c>
      <c r="AZ5142">
        <v>62.1</v>
      </c>
      <c r="BA5142">
        <v>21.1</v>
      </c>
    </row>
    <row r="5143" spans="51:53" x14ac:dyDescent="0.3">
      <c r="AY5143" t="str">
        <v>06/12/2004</v>
      </c>
      <c r="AZ5143">
        <v>62.1</v>
      </c>
      <c r="BA5143">
        <v>21.1</v>
      </c>
    </row>
    <row r="5144" spans="51:53" x14ac:dyDescent="0.3">
      <c r="AY5144" t="str">
        <v>03/12/2004</v>
      </c>
      <c r="AZ5144">
        <v>60.8</v>
      </c>
      <c r="BA5144">
        <v>21.7</v>
      </c>
    </row>
    <row r="5145" spans="51:53" x14ac:dyDescent="0.3">
      <c r="AY5145" t="str">
        <v>02/12/2004</v>
      </c>
      <c r="AZ5145">
        <v>60.8</v>
      </c>
      <c r="BA5145">
        <v>21.7</v>
      </c>
    </row>
    <row r="5146" spans="51:53" x14ac:dyDescent="0.3">
      <c r="AY5146" t="str">
        <v>01/12/2004</v>
      </c>
      <c r="AZ5146">
        <v>60.8</v>
      </c>
      <c r="BA5146">
        <v>21.7</v>
      </c>
    </row>
    <row r="5147" spans="51:53" x14ac:dyDescent="0.3">
      <c r="AY5147" t="str">
        <v>30/11/2004</v>
      </c>
      <c r="AZ5147">
        <v>60.8</v>
      </c>
      <c r="BA5147">
        <v>21.7</v>
      </c>
    </row>
    <row r="5148" spans="51:53" x14ac:dyDescent="0.3">
      <c r="AY5148" t="str">
        <v>29/11/2004</v>
      </c>
      <c r="AZ5148">
        <v>60.8</v>
      </c>
      <c r="BA5148">
        <v>21.7</v>
      </c>
    </row>
    <row r="5149" spans="51:53" x14ac:dyDescent="0.3">
      <c r="AY5149" t="str">
        <v>26/11/2004</v>
      </c>
      <c r="AZ5149">
        <v>57.3</v>
      </c>
      <c r="BA5149">
        <v>22.9</v>
      </c>
    </row>
    <row r="5150" spans="51:53" x14ac:dyDescent="0.3">
      <c r="AY5150" t="str">
        <v>25/11/2004</v>
      </c>
      <c r="AZ5150">
        <v>57.3</v>
      </c>
      <c r="BA5150">
        <v>22.9</v>
      </c>
    </row>
    <row r="5151" spans="51:53" x14ac:dyDescent="0.3">
      <c r="AY5151" t="str">
        <v>24/11/2004</v>
      </c>
      <c r="AZ5151">
        <v>57.3</v>
      </c>
      <c r="BA5151">
        <v>22.9</v>
      </c>
    </row>
    <row r="5152" spans="51:53" x14ac:dyDescent="0.3">
      <c r="AY5152" t="str">
        <v>23/11/2004</v>
      </c>
      <c r="AZ5152">
        <v>57.3</v>
      </c>
      <c r="BA5152">
        <v>22.9</v>
      </c>
    </row>
    <row r="5153" spans="51:53" x14ac:dyDescent="0.3">
      <c r="AY5153" t="str">
        <v>22/11/2004</v>
      </c>
      <c r="AZ5153">
        <v>57.3</v>
      </c>
      <c r="BA5153">
        <v>22.9</v>
      </c>
    </row>
    <row r="5154" spans="51:53" x14ac:dyDescent="0.3">
      <c r="AY5154" t="str">
        <v>19/11/2004</v>
      </c>
      <c r="AZ5154">
        <v>57.1</v>
      </c>
      <c r="BA5154">
        <v>23.5</v>
      </c>
    </row>
    <row r="5155" spans="51:53" x14ac:dyDescent="0.3">
      <c r="AY5155" t="str">
        <v>18/11/2004</v>
      </c>
      <c r="AZ5155">
        <v>57.1</v>
      </c>
      <c r="BA5155">
        <v>23.5</v>
      </c>
    </row>
    <row r="5156" spans="51:53" x14ac:dyDescent="0.3">
      <c r="AY5156" t="str">
        <v>17/11/2004</v>
      </c>
      <c r="AZ5156">
        <v>57.1</v>
      </c>
      <c r="BA5156">
        <v>23.5</v>
      </c>
    </row>
    <row r="5157" spans="51:53" x14ac:dyDescent="0.3">
      <c r="AY5157" t="str">
        <v>16/11/2004</v>
      </c>
      <c r="AZ5157">
        <v>57.1</v>
      </c>
      <c r="BA5157">
        <v>23.5</v>
      </c>
    </row>
    <row r="5158" spans="51:53" x14ac:dyDescent="0.3">
      <c r="AY5158" t="str">
        <v>15/11/2004</v>
      </c>
      <c r="AZ5158">
        <v>57.1</v>
      </c>
      <c r="BA5158">
        <v>23.5</v>
      </c>
    </row>
    <row r="5159" spans="51:53" x14ac:dyDescent="0.3">
      <c r="AY5159" t="str">
        <v>12/11/2004</v>
      </c>
      <c r="AZ5159">
        <v>58.2</v>
      </c>
      <c r="BA5159">
        <v>22.4</v>
      </c>
    </row>
    <row r="5160" spans="51:53" x14ac:dyDescent="0.3">
      <c r="AY5160" t="str">
        <v>11/11/2004</v>
      </c>
      <c r="AZ5160">
        <v>58.2</v>
      </c>
      <c r="BA5160">
        <v>22.4</v>
      </c>
    </row>
    <row r="5161" spans="51:53" x14ac:dyDescent="0.3">
      <c r="AY5161" t="str">
        <v>10/11/2004</v>
      </c>
      <c r="AZ5161">
        <v>58.2</v>
      </c>
      <c r="BA5161">
        <v>22.4</v>
      </c>
    </row>
    <row r="5162" spans="51:53" x14ac:dyDescent="0.3">
      <c r="AY5162" t="str">
        <v>09/11/2004</v>
      </c>
      <c r="AZ5162">
        <v>58.2</v>
      </c>
      <c r="BA5162">
        <v>22.4</v>
      </c>
    </row>
    <row r="5163" spans="51:53" x14ac:dyDescent="0.3">
      <c r="AY5163" t="str">
        <v>08/11/2004</v>
      </c>
      <c r="AZ5163">
        <v>58.2</v>
      </c>
      <c r="BA5163">
        <v>22.4</v>
      </c>
    </row>
    <row r="5164" spans="51:53" x14ac:dyDescent="0.3">
      <c r="AY5164" t="str">
        <v>05/11/2004</v>
      </c>
      <c r="AZ5164">
        <v>58.1</v>
      </c>
      <c r="BA5164">
        <v>22.6</v>
      </c>
    </row>
    <row r="5165" spans="51:53" x14ac:dyDescent="0.3">
      <c r="AY5165" t="str">
        <v>04/11/2004</v>
      </c>
      <c r="AZ5165">
        <v>58.1</v>
      </c>
      <c r="BA5165">
        <v>22.6</v>
      </c>
    </row>
    <row r="5166" spans="51:53" x14ac:dyDescent="0.3">
      <c r="AY5166" t="str">
        <v>03/11/2004</v>
      </c>
      <c r="AZ5166">
        <v>58.1</v>
      </c>
      <c r="BA5166">
        <v>22.6</v>
      </c>
    </row>
    <row r="5167" spans="51:53" x14ac:dyDescent="0.3">
      <c r="AY5167" t="str">
        <v>02/11/2004</v>
      </c>
      <c r="AZ5167">
        <v>58.1</v>
      </c>
      <c r="BA5167">
        <v>22.6</v>
      </c>
    </row>
    <row r="5168" spans="51:53" x14ac:dyDescent="0.3">
      <c r="AY5168" t="str">
        <v>01/11/2004</v>
      </c>
      <c r="AZ5168">
        <v>58.1</v>
      </c>
      <c r="BA5168">
        <v>22.6</v>
      </c>
    </row>
    <row r="5169" spans="51:53" x14ac:dyDescent="0.3">
      <c r="AY5169" t="str">
        <v>29/10/2004</v>
      </c>
      <c r="AZ5169">
        <v>57</v>
      </c>
      <c r="BA5169">
        <v>23.7</v>
      </c>
    </row>
    <row r="5170" spans="51:53" x14ac:dyDescent="0.3">
      <c r="AY5170" t="str">
        <v>28/10/2004</v>
      </c>
      <c r="AZ5170">
        <v>57</v>
      </c>
      <c r="BA5170">
        <v>23.7</v>
      </c>
    </row>
    <row r="5171" spans="51:53" x14ac:dyDescent="0.3">
      <c r="AY5171" t="str">
        <v>27/10/2004</v>
      </c>
      <c r="AZ5171">
        <v>57</v>
      </c>
      <c r="BA5171">
        <v>23.7</v>
      </c>
    </row>
    <row r="5172" spans="51:53" x14ac:dyDescent="0.3">
      <c r="AY5172" t="str">
        <v>26/10/2004</v>
      </c>
      <c r="AZ5172">
        <v>57</v>
      </c>
      <c r="BA5172">
        <v>23.7</v>
      </c>
    </row>
    <row r="5173" spans="51:53" x14ac:dyDescent="0.3">
      <c r="AY5173" t="str">
        <v>25/10/2004</v>
      </c>
      <c r="AZ5173">
        <v>57</v>
      </c>
      <c r="BA5173">
        <v>23.7</v>
      </c>
    </row>
    <row r="5174" spans="51:53" x14ac:dyDescent="0.3">
      <c r="AY5174" t="str">
        <v>22/10/2004</v>
      </c>
      <c r="AZ5174">
        <v>56.4</v>
      </c>
      <c r="BA5174">
        <v>25.5</v>
      </c>
    </row>
    <row r="5175" spans="51:53" x14ac:dyDescent="0.3">
      <c r="AY5175" t="str">
        <v>21/10/2004</v>
      </c>
      <c r="AZ5175">
        <v>56.4</v>
      </c>
      <c r="BA5175">
        <v>25.5</v>
      </c>
    </row>
    <row r="5176" spans="51:53" x14ac:dyDescent="0.3">
      <c r="AY5176" t="str">
        <v>20/10/2004</v>
      </c>
      <c r="AZ5176">
        <v>56.4</v>
      </c>
      <c r="BA5176">
        <v>25.5</v>
      </c>
    </row>
    <row r="5177" spans="51:53" x14ac:dyDescent="0.3">
      <c r="AY5177" t="str">
        <v>19/10/2004</v>
      </c>
      <c r="AZ5177">
        <v>56.4</v>
      </c>
      <c r="BA5177">
        <v>25.5</v>
      </c>
    </row>
    <row r="5178" spans="51:53" x14ac:dyDescent="0.3">
      <c r="AY5178" t="str">
        <v>18/10/2004</v>
      </c>
      <c r="AZ5178">
        <v>56.4</v>
      </c>
      <c r="BA5178">
        <v>25.5</v>
      </c>
    </row>
    <row r="5179" spans="51:53" x14ac:dyDescent="0.3">
      <c r="AY5179" t="str">
        <v>15/10/2004</v>
      </c>
      <c r="AZ5179">
        <v>58.9</v>
      </c>
      <c r="BA5179">
        <v>22.1</v>
      </c>
    </row>
    <row r="5180" spans="51:53" x14ac:dyDescent="0.3">
      <c r="AY5180" t="str">
        <v>14/10/2004</v>
      </c>
      <c r="AZ5180">
        <v>58.9</v>
      </c>
      <c r="BA5180">
        <v>22.1</v>
      </c>
    </row>
    <row r="5181" spans="51:53" x14ac:dyDescent="0.3">
      <c r="AY5181" t="str">
        <v>13/10/2004</v>
      </c>
      <c r="AZ5181">
        <v>58.9</v>
      </c>
      <c r="BA5181">
        <v>22.1</v>
      </c>
    </row>
    <row r="5182" spans="51:53" x14ac:dyDescent="0.3">
      <c r="AY5182" t="str">
        <v>12/10/2004</v>
      </c>
      <c r="AZ5182">
        <v>58.9</v>
      </c>
      <c r="BA5182">
        <v>22.1</v>
      </c>
    </row>
    <row r="5183" spans="51:53" x14ac:dyDescent="0.3">
      <c r="AY5183" t="str">
        <v>11/10/2004</v>
      </c>
      <c r="AZ5183">
        <v>58.9</v>
      </c>
      <c r="BA5183">
        <v>22.1</v>
      </c>
    </row>
    <row r="5184" spans="51:53" x14ac:dyDescent="0.3">
      <c r="AY5184" t="str">
        <v>08/10/2004</v>
      </c>
      <c r="AZ5184">
        <v>54.1</v>
      </c>
      <c r="BA5184">
        <v>23.5</v>
      </c>
    </row>
    <row r="5185" spans="51:53" x14ac:dyDescent="0.3">
      <c r="AY5185" t="str">
        <v>07/10/2004</v>
      </c>
      <c r="AZ5185">
        <v>54.1</v>
      </c>
      <c r="BA5185">
        <v>23.5</v>
      </c>
    </row>
    <row r="5186" spans="51:53" x14ac:dyDescent="0.3">
      <c r="AY5186" t="str">
        <v>06/10/2004</v>
      </c>
      <c r="AZ5186">
        <v>54.1</v>
      </c>
      <c r="BA5186">
        <v>23.5</v>
      </c>
    </row>
    <row r="5187" spans="51:53" x14ac:dyDescent="0.3">
      <c r="AY5187" t="str">
        <v>05/10/2004</v>
      </c>
      <c r="AZ5187">
        <v>54.1</v>
      </c>
      <c r="BA5187">
        <v>23.5</v>
      </c>
    </row>
    <row r="5188" spans="51:53" x14ac:dyDescent="0.3">
      <c r="AY5188" t="str">
        <v>04/10/2004</v>
      </c>
      <c r="AZ5188">
        <v>54.1</v>
      </c>
      <c r="BA5188">
        <v>23.5</v>
      </c>
    </row>
    <row r="5189" spans="51:53" x14ac:dyDescent="0.3">
      <c r="AY5189" t="str">
        <v>01/10/2004</v>
      </c>
      <c r="AZ5189">
        <v>52.6</v>
      </c>
      <c r="BA5189">
        <v>24.2</v>
      </c>
    </row>
    <row r="5190" spans="51:53" x14ac:dyDescent="0.3">
      <c r="AY5190" t="str">
        <v>30/09/2004</v>
      </c>
      <c r="AZ5190">
        <v>52.6</v>
      </c>
      <c r="BA5190">
        <v>24.2</v>
      </c>
    </row>
    <row r="5191" spans="51:53" x14ac:dyDescent="0.3">
      <c r="AY5191" t="str">
        <v>29/09/2004</v>
      </c>
      <c r="AZ5191">
        <v>52.6</v>
      </c>
      <c r="BA5191">
        <v>24.2</v>
      </c>
    </row>
    <row r="5192" spans="51:53" x14ac:dyDescent="0.3">
      <c r="AY5192" t="str">
        <v>28/09/2004</v>
      </c>
      <c r="AZ5192">
        <v>52.6</v>
      </c>
      <c r="BA5192">
        <v>24.2</v>
      </c>
    </row>
    <row r="5193" spans="51:53" x14ac:dyDescent="0.3">
      <c r="AY5193" t="str">
        <v>27/09/2004</v>
      </c>
      <c r="AZ5193">
        <v>52.6</v>
      </c>
      <c r="BA5193">
        <v>24.2</v>
      </c>
    </row>
    <row r="5194" spans="51:53" x14ac:dyDescent="0.3">
      <c r="AY5194" t="str">
        <v>24/09/2004</v>
      </c>
      <c r="AZ5194">
        <v>51</v>
      </c>
      <c r="BA5194">
        <v>22.9</v>
      </c>
    </row>
    <row r="5195" spans="51:53" x14ac:dyDescent="0.3">
      <c r="AY5195" t="str">
        <v>23/09/2004</v>
      </c>
      <c r="AZ5195">
        <v>51</v>
      </c>
      <c r="BA5195">
        <v>22.9</v>
      </c>
    </row>
    <row r="5196" spans="51:53" x14ac:dyDescent="0.3">
      <c r="AY5196" t="str">
        <v>22/09/2004</v>
      </c>
      <c r="AZ5196">
        <v>51</v>
      </c>
      <c r="BA5196">
        <v>22.9</v>
      </c>
    </row>
    <row r="5197" spans="51:53" x14ac:dyDescent="0.3">
      <c r="AY5197" t="str">
        <v>21/09/2004</v>
      </c>
      <c r="AZ5197">
        <v>51</v>
      </c>
      <c r="BA5197">
        <v>22.9</v>
      </c>
    </row>
    <row r="5198" spans="51:53" x14ac:dyDescent="0.3">
      <c r="AY5198" t="str">
        <v>20/09/2004</v>
      </c>
      <c r="AZ5198">
        <v>51</v>
      </c>
      <c r="BA5198">
        <v>22.9</v>
      </c>
    </row>
    <row r="5199" spans="51:53" x14ac:dyDescent="0.3">
      <c r="AY5199" t="str">
        <v>17/09/2004</v>
      </c>
      <c r="AZ5199">
        <v>50</v>
      </c>
      <c r="BA5199">
        <v>22.9</v>
      </c>
    </row>
    <row r="5200" spans="51:53" x14ac:dyDescent="0.3">
      <c r="AY5200" t="str">
        <v>16/09/2004</v>
      </c>
      <c r="AZ5200">
        <v>50</v>
      </c>
      <c r="BA5200">
        <v>22.9</v>
      </c>
    </row>
    <row r="5201" spans="51:53" x14ac:dyDescent="0.3">
      <c r="AY5201" t="str">
        <v>15/09/2004</v>
      </c>
      <c r="AZ5201">
        <v>50</v>
      </c>
      <c r="BA5201">
        <v>22.9</v>
      </c>
    </row>
    <row r="5202" spans="51:53" x14ac:dyDescent="0.3">
      <c r="AY5202" t="str">
        <v>14/09/2004</v>
      </c>
      <c r="AZ5202">
        <v>50</v>
      </c>
      <c r="BA5202">
        <v>22.9</v>
      </c>
    </row>
    <row r="5203" spans="51:53" x14ac:dyDescent="0.3">
      <c r="AY5203" t="str">
        <v>13/09/2004</v>
      </c>
      <c r="AZ5203">
        <v>50</v>
      </c>
      <c r="BA5203">
        <v>22.9</v>
      </c>
    </row>
    <row r="5204" spans="51:53" x14ac:dyDescent="0.3">
      <c r="AY5204" t="str">
        <v>10/09/2004</v>
      </c>
      <c r="AZ5204">
        <v>50</v>
      </c>
      <c r="BA5204">
        <v>24.5</v>
      </c>
    </row>
    <row r="5205" spans="51:53" x14ac:dyDescent="0.3">
      <c r="AY5205" t="str">
        <v>09/09/2004</v>
      </c>
      <c r="AZ5205">
        <v>50</v>
      </c>
      <c r="BA5205">
        <v>24.5</v>
      </c>
    </row>
    <row r="5206" spans="51:53" x14ac:dyDescent="0.3">
      <c r="AY5206" t="str">
        <v>08/09/2004</v>
      </c>
      <c r="AZ5206">
        <v>50</v>
      </c>
      <c r="BA5206">
        <v>24.5</v>
      </c>
    </row>
    <row r="5207" spans="51:53" x14ac:dyDescent="0.3">
      <c r="AY5207" t="str">
        <v>07/09/2004</v>
      </c>
      <c r="AZ5207">
        <v>50</v>
      </c>
      <c r="BA5207">
        <v>24.5</v>
      </c>
    </row>
    <row r="5208" spans="51:53" x14ac:dyDescent="0.3">
      <c r="AY5208" t="str">
        <v>06/09/2004</v>
      </c>
      <c r="AZ5208">
        <v>50</v>
      </c>
      <c r="BA5208">
        <v>24.5</v>
      </c>
    </row>
    <row r="5209" spans="51:53" x14ac:dyDescent="0.3">
      <c r="AY5209" t="str">
        <v>03/09/2004</v>
      </c>
      <c r="AZ5209">
        <v>45.9</v>
      </c>
      <c r="BA5209">
        <v>26.5</v>
      </c>
    </row>
    <row r="5210" spans="51:53" x14ac:dyDescent="0.3">
      <c r="AY5210" t="str">
        <v>02/09/2004</v>
      </c>
      <c r="AZ5210">
        <v>45.9</v>
      </c>
      <c r="BA5210">
        <v>26.5</v>
      </c>
    </row>
    <row r="5211" spans="51:53" x14ac:dyDescent="0.3">
      <c r="AY5211" t="str">
        <v>01/09/2004</v>
      </c>
      <c r="AZ5211">
        <v>45.9</v>
      </c>
      <c r="BA5211">
        <v>26.5</v>
      </c>
    </row>
    <row r="5212" spans="51:53" x14ac:dyDescent="0.3">
      <c r="AY5212" t="str">
        <v>31/08/2004</v>
      </c>
      <c r="AZ5212">
        <v>45.9</v>
      </c>
      <c r="BA5212">
        <v>26.5</v>
      </c>
    </row>
    <row r="5213" spans="51:53" x14ac:dyDescent="0.3">
      <c r="AY5213" t="str">
        <v>30/08/2004</v>
      </c>
      <c r="AZ5213">
        <v>45.9</v>
      </c>
      <c r="BA5213">
        <v>26.5</v>
      </c>
    </row>
    <row r="5214" spans="51:53" x14ac:dyDescent="0.3">
      <c r="AY5214" t="str">
        <v>27/08/2004</v>
      </c>
      <c r="AZ5214">
        <v>43.6</v>
      </c>
      <c r="BA5214">
        <v>27.7</v>
      </c>
    </row>
    <row r="5215" spans="51:53" x14ac:dyDescent="0.3">
      <c r="AY5215" t="str">
        <v>26/08/2004</v>
      </c>
      <c r="AZ5215">
        <v>43.6</v>
      </c>
      <c r="BA5215">
        <v>27.7</v>
      </c>
    </row>
    <row r="5216" spans="51:53" x14ac:dyDescent="0.3">
      <c r="AY5216" t="str">
        <v>25/08/2004</v>
      </c>
      <c r="AZ5216">
        <v>43.6</v>
      </c>
      <c r="BA5216">
        <v>27.7</v>
      </c>
    </row>
    <row r="5217" spans="51:53" x14ac:dyDescent="0.3">
      <c r="AY5217" t="str">
        <v>24/08/2004</v>
      </c>
      <c r="AZ5217">
        <v>43.6</v>
      </c>
      <c r="BA5217">
        <v>27.7</v>
      </c>
    </row>
    <row r="5218" spans="51:53" x14ac:dyDescent="0.3">
      <c r="AY5218" t="str">
        <v>23/08/2004</v>
      </c>
      <c r="AZ5218">
        <v>43.6</v>
      </c>
      <c r="BA5218">
        <v>27.7</v>
      </c>
    </row>
    <row r="5219" spans="51:53" x14ac:dyDescent="0.3">
      <c r="AY5219" t="str">
        <v>20/08/2004</v>
      </c>
      <c r="AZ5219">
        <v>39.6</v>
      </c>
      <c r="BA5219">
        <v>30.2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FdsFormulaCache xmlns="urn:fdsformulacache" version="2" timestamp="1724228238"><![CDATA[{"SP50^FMA_PE(NTMA,44845,,,\"PORTAGG\",\"MEANR\")":15.4389502133986,"QQQ^FG_PRICE(44845,,,USD)/MAX(FG_PRICE(44845,44562,,USD))":0.65412766381199,"SPY-US^FMA_PCT_BELOW_MAVG(200,NOW,,,,\"PORTAGG\")":29.1417165668663,"QQQ^FMA_PE(NTMA,43458,,,\"PORTAGG\",\"MEANR\")":16.0673731877615,"SP50^FMA_PE(LTMA,43458,,,\"PORTAGG\",\"MEANR\")":14.9325482824627,"SP50^FG_PRICE(43458,,,USD)/MAX(FG_PRICE(43458,43101,,USD))":0.802217862321931,"QQQ^FMA_PE(NTMA,44845,,,\"PORTAGG\",\"MEANR\")":19.2327791922207,"SP50^FMA_PE(LTMA,44845,,,\"PORTAGG\",\"MEANR\")":17.5575466663009,"SP50^FG_PRICE(44845,,,USD)/MAX(FG_PRICE(44845,44562,,USD))":0.748211218039595,"SP50^FMA_PE(NTMA,NOW,,,\"PORTAGG\",\"MEANR\")":21.3368922193108,"SP50^FG_PRICE_RSI(43458,,,,14)":4.9449983,"QQQ^FMA_PE(NTMA,43913,,,\"PORTAGG\",\"MEANR\")":18.1582575964706,"SP50^FG_PRICE_RSI(44845,,,,14)":36.686485,"VIX^FG_PRICE(NOW,,,USD)":15.88,"SP50^AVG(1/FMA_PE(NTMA,0,-10AY,M,\"PORTAGG\",\"MEANR\"))":0.0556366182252434,"QQQ^FMA_PE(LTMA,44845,,,\"PORTAGG\",\"MEANR\")":22.3183325225666,"SPY-US^FMA_PCT_BELOW_MAVG(200,44845,,,,\"PORTAGG\")":83.7301587301587,"SP50^FMA_PE(LTMA,NOW,,,\"PORTAGG\",\"MEANR\")":23.3305460997342,"QQQ^FG_PRICE(43913,,,USD)/MAX(FG_PRICE(43913,43831,,USD))":0.719301206852899,"QQQ^FMA_PE(LTMA,43913,,,\"PORTAGG\",\"MEANR\")":22.9598958696263,"VIX^FG_PRICE(43458,,,USD)":36.07,"SP50^FMA_PE(NTMA,43458,,,\"PORTAGG\",\"MEANR\")":13.7615306594873,"VIX^AVG(FG_PRICE(NOW,-10AY,,USD))":18.1570739180391,"SP50^FMA_PE(NTMA,43913,,,\"PORTAGG\",\"MEANR\")":13.518566751419,"SP50^AVG(FG_PRICE_RSI(NOW,-10AY,,,14))":55.6948549168902,"QQQ^FMA_PE(LTMA,43458,,,\"PORTAGG\",\"MEANR\")":17.5878499227695,"QQQ^FMA_PE(NTMA,NOW,,,\"PORTAGG\",\"MEANR\")":26.7601505060213,"SPY-US^FMA_PCT_BELOW_MAVG(200,43458,,,,\"PORTAGG\")":90.5138339920949,"QQQ^FMA_PE(LTMA,NOW,,,\"PORTAGG\",\"MEANR\")":30.512873857949,"SPY-US^FMA_PCT_BELOW_MAVG(200,43913,,,,\"PORTAGG\")":97.0355731225296,"SP50^FG_PRICE_RSI(NOW,,,,14)":59.712574,"SP50^FG_PRICE_RSI(43913,,,,14)":31.41093,"SP50^FG_PRICE(NOW,,,USD)/MAX(FG_PRICE(NOW,-1AY,,USD))":0.987634105025409,"VIX^FG_PRICE(43913,,,USD)":61.59,"VIX^FG_PRICE(44845,,,USD)":33.63,"SP50^FMA_PE(LTMA,43913,,,\"PORTAGG\",\"MEANR\")":17.6955274159558,"SP50^FG_PRICE(43913,,,USD)/MAX(FG_PRICE(43913,43831,,USD))":0.660750409757394,"QQQ^AVG(1/FMA_PE(LTMA,0,-10AY,M,\"PORTAGG\",\"MEANR\"))":0.0422681341671367,"QQQ^FG_PRICE(43458,,,USD)/MAX(FG_PRICE(43458,43101,,USD))":0.768448109671201,"QQQ^AVG(1/FMA_PE(NTMA,0,-10AY,M,\"PORTAGG\",\"MEANR\"))":0.0464918619807969,"SP50^AVG(1/FMA_PE(LTMA,0,-10AY,M,\"PORTAGG\",\"MEANR\"))":0.0510969307549468,"SPY-US^AVG(FMA_PCT_BELOW_MAVG(200,NOW,-10AY,,,\"PORTAGG\"))":40.0899098023424,"^FDS_ECON_DATA('USSU2929307',0,-20AY,D,STEP,AVERAGENP,1)":[null,null,null,null,null,null,null,21.5,21.5,21.5,21.5,21.5,18.7,18.7,18.7,18.7,18.7,15.6,15.6,15.6,15.6,15.6,14.9,14.9,14.9,14.9,14.9,16.7,16.7,16.7,16.7,16.7,17.9,17.9,17.9,17.9,17.9,16.9,16.9,16.9,16.9,16.9,18.5,18.5,18.5,18.5,18.5,17.9,17.9,17.9,17.9,17.9,17.6,17.6,17.6,17.6,17.6,18.2,18.2,18.2,18.2,18.2,17.9,17.9,17.9,17.9,17.9,17.2,17.2,17.2,17.2,17.2,17.7,17.7,17.7,17.7,17.7,18.7,18.7,18.7,18.7,18.7,19.7,19.7,19.7,19.7,19.7,21.5,21.5,21.5,21.5,21.5,14.5,14.5,14.5,14.5,14.5,14.5,14.5,14.5,14.5,14.5,14.1,14.1,14.1,14.1,14.1,15.2,15.2,15.2,15.2,15.2,14.7,14.7,14.7,14.7,14.7,14.5,14.5,14.5,14.5,14.5,16.0,16.0,16.0,16.0,16.0,16.7,16.7,16.7,16.7,16.7,16.2,16.2,16.2,16.2,16.2,17.7,17.7,17.7,17.7,17.7,17.1,17.1,17.1,17.1,17.1,16.9,16.9,16.9,16.9,16.9,17.1,17.1,17.1,17.1,17.1,19.1,19.1,19.1,19.1,19.1,17.7,17.7,17.7,17.7,17.7,17.2,17.2,17.2,17.2,17.2,null,null,null,null,null,18.1,18.1,18.1,18.1,18.1,19.4,19.4,19.4,19.4,19.4,21.7,21.7,21.7,21.7,21.7,21.4,21.4,21.4,21.4,21.4,22.4,22.4,22.4,22.4,22.4,23.2,23.2,23.2,23.2,23.2,23.9,23.9,23.9,23.9,23.9,25.7,25.7,25.7,25.7,25.7,24.3,24.3,24.3,24.3,24.3,22.2,22.2,22.2,22.2,22.2,22.8,22.8,22.8,22.8,22.8,23.9,23.9,23.9,23.9,23.9,23.9,23.9,23.9,23.9,23.9,22.8,22.8,22.8,22.8,22.8,22.5,22.5,22.5,22.5,22.5,21.9,21.9,21.9,21.9,21.9,20.8,20.8,20.8,20.8,20.8,18.6,18.6,18.6,18.6,18.6,20.0,20.0,20.0,20.0,20.0,19.4,19.4,19.4,19.4,19.4,18.6,18.6,18.6,18.6,18.6,19.4,19.4,19.4,19.4,19.4,18.0,18.0,18.0,18.0,18.0,18.1,18.1,18.1,18.1,18.1,18.3,18.3,18.3,18.3,18.3,18.6,18.6,18.6,18.6,18.6,20.0,20.0,20.0,20.0,20.0,20.6,20.6,20.6,20.6,20.6,21.6,21.6,21.6,21.6,21.6,23.3,23.3,23.3,23.3,23.3,23.9,23.9,23.9,23.9,23.9,24.7,24.7,24.7,24.7,24.7,24.3,24.3,24.3,24.3,24.3,23.6,23.6,23.6,23.6,23.6,25.0,25.0,25.0,25.0,25.0,24.0,24.0,24.0,24.0,24.0,24.3,24.3,24.3,24.3,24.3,25.0,25.0,25.0,25.0,25.0,26.8,26.8,26.8,26.8,26.8,28.8,28.8,28.8,28.8,28.8,27.8,27.8,27.8,27.8,27.8,24.7,24.7,24.7,24.7,24.7,28.8,28.8,28.8,28.8,28.8,26.4,26.4,26.4,26.4,26.4,26.8,26.8,26.8,26.8,26.8,25.7,25.7,25.7,25.7,25.7,27.2,27.2,27.2,27.2,27.2,28.2,28.2,28.2,28.2,28.2,29.6,29.6,29.6,29.6,29.6,32.9,32.9,32.9,32.9,32.9,33.8,33.8,33.8,33.8,33.8,null,null,null,null,null,33.3,33.3,33.3,33.3,33.3,31.4,31.4,31.4,31.4,31.4,32.4,32.4,32.4,32.4,32.4,31.5,31.5,31.5,31.5,31.5,30.5,30.5,30.5,30.5,30.5,32.8,32.8,32.8,32.8,32.8,36.6,36.6,36.6,36.6,36.6,37.3,37.3,37.3,37.3,37.3,38.5,38.5,38.5,38.5,38.5,40.3,40.3,40.3,40.3,40.3,44.1,44.1,44.1,44.1,44.1,41.8,41.8,41.8,41.8,41.8,34.3,34.3,34.3,34.3,34.3,31.4,31.4,31.4,31.4,31.4,28.2,28.2,28.2,28.2,28.2,29.7,29.7,29.7,29.7,29.7,30.1,30.1,30.1,30.1,30.1,29.6,29.6,29.6,29.6,29.6,27.5,27.5,27.5,27.5,27.5,27.8,27.8,27.8,27.8,27.8,30.1,30.1,30.1,30.1,30.1,33.3,33.3,33.3,33.3,33.3,35.2,35.2,35.2,35.2,35.2,36.6,36.6,36.6,36.6,36.6,40.3,40.3,40.3,40.3,40.3,40.0,40.0,40.0,40.0,40.0,44.1,44.1,44.1,44.1,44.1,42.7,42.7,42.7,42.7,42.7,40.0,40.0,40.0,40.0,40.0,38.0,38.0,38.0,38.0,38.0,40.8,40.8,40.8,40.8,40.8,43.0,43.0,43.0,43.0,43.0,40.8,40.8,40.8,40.8,40.8,39.3,39.3,39.3,39.3,39.3,32.9,32.9,32.9,32.9,32.9,33.3,33.3,33.3,33.3,33.3,32.1,32.1,32.1,32.1,32.1,31.0,31.0,31.0,31.0,31.0,34.1,34.1,34.1,34.1,34.1,35.3,35.3,35.3,35.3,35.3,36.5,36.5,36.5,36.5,36.5,35.6,35.6,35.6,35.6,35.6,34.5,34.5,34.5,34.5,34.5,31.0,31.0,31.0,31.0,31.0,27.9,27.9,27.9,27.9,27.9,25.9,25.9,25.9,25.9,25.9,25.0,25.0,25.0,25.0,25.0,26.7,26.7,26.7,26.7,26.7,25.0,25.0,25.0,25.0,25.0,23.0,23.0,23.0,23.0,23.0,23.5,23.5,23.5,23.5,23.5,null,null,null,null,null,24.1,24.1,24.1,24.1,24.1,24.4,24.4,24.4,24.4,24.4,25.3,25.3,25.3,25.3,25.3,24.7,24.7,24.7,24.7,24.7,21.7,21.7,21.7,21.7,21.7,21.4,21.4,21.4,21.4,21.4,22.3,22.3,22.3,22.3,22.3,24.1,24.1,24.1,24.1,24.1,23.8,23.8,23.8,23.8,23.8,23.9,23.9,23.9,23.9,23.9,22.7,22.7,22.7,22.7,22.7,22.5,22.5,22.5,22.5,22.5,22.1,22.1,22.1,22.1,22.1,22.3,22.3,22.3,22.3,22.3,22.1,22.1,22.1,22.1,22.1,21.1,21.1,21.1,21.1,21.1,21.3,21.3,21.3,21.3,21.3,18.5,18.5,18.5,18.5,18.5,18.5,18.5,18.5,18.5,18.5,15.9,15.9,15.9,15.9,15.9,16.3,16.3,16.3,16.3,16.3,16.5,16.5,16.5,16.5,16.5,16.7,16.7,16.7,16.7,16.7,15.3,15.3,15.3,15.3,15.3,15.5,15.5,15.5,15.5,15.5,16.2,16.2,16.2,16.2,16.2,15.8,15.8,15.8,15.8,15.8,16.3,16.3,16.3,16.3,16.3,16.2,16.2,16.2,16.2,16.2,16.5,16.5,16.5,16.5,16.5,16.8,16.8,16.8,16.8,16.8,17.2,17.2,17.2,17.2,17.2,17.2,17.2,17.2,17.2,17.2,16.8,16.8,16.8,16.8,16.8,16.5,16.5,16.5,16.5,16.5,16.7,16.7,16.7,16.7,16.7,16.8,16.8,16.8,16.8,16.8,16.7,16.7,16.7,16.7,16.7,17.5,17.5,17.5,17.5,17.5,18.8,18.8,18.8,18.8,18.8,19.6,19.6,19.6,19.6,19.6,20.6,20.6,20.6,20.6,20.6,18.6,18.6,18.6,18.6,18.6,18.5,18.5,18.5,18.5,18.5,18.1,18.1,18.1,18.1,18.1,18.3,18.3,18.3,18.3,18.3,16.7,16.7,16.7,16.7,16.7,16.5,16.5,16.5,16.5,16.5,16.8,16.8,16.8,16.8,16.8,16.7,16.7,16.7,16.7,16.7,17.5,17.5,17.5,17.5,17.5,null,null,null,null,null,16.8,16.8,16.8,16.8,16.8,17.2,17.2,17.2,17.2,17.2,16.8,16.8,16.8,16.8,16.8,16.7,16.7,16.7,16.7,16.7,17.2,17.2,17.2,17.2,17.2,18.2,18.2,18.2,18.2,18.2,19.4,19.4,19.4,19.4,19.4,20.6,20.6,20.6,20.6,20.6,20.2,20.2,20.2,20.2,20.2,20.4,20.4,20.4,20.4,20.4,21.2,21.2,21.2,21.2,21.2,23.2,23.2,23.2,23.2,23.2,21.8,21.8,21.8,21.8,21.8,19.4,19.4,19.4,19.4,19.4,18.3,18.3,18.3,18.3,18.3,16.2,16.2,16.2,16.2,16.2,16.4,16.4,16.4,16.4,16.4,16.2,16.2,16.2,16.2,16.2,16.5,16.5,16.5,16.5,16.5,16.2,16.2,16.2,16.2,16.2,17.3,17.3,17.3,17.3,17.3,17.5,17.5,17.5,17.5,17.5,17.3,17.3,17.3,17.3,17.3,18.1,18.1,18.1,18.1,18.1,18.3,18.3,18.3,18.3,18.3,19.8,19.8,19.8,19.8,19.8,18.4,18.4,18.4,18.4,18.4,18.6,18.6,18.6,18.6,18.6,20.6,20.6,20.6,20.6,20.6,23.7,23.7,23.7,23.7,23.7,23.8,23.8,23.8,23.8,23.8,24.1,24.1,24.1,24.1,24.1,26.0,26.0,26.0,26.0,26.0,26.9,26.9,26.9,26.9,26.9,29.1,29.1,29.1,29.1,29.1,30.8,30.8,30.8,30.8,30.8,32.4,32.4,32.4,32.4,32.4,36.2,36.2,36.2,36.2,36.2,36.3,36.3,36.3,36.3,36.3,41.7,41.7,41.7,41.7,41.7,32.7,32.7,32.7,32.7,32.7,22.9,22.9,22.9,22.9,22.9,20.4,20.4,20.4,20.4,20.4,19.2,19.2,19.2,19.2,19.2,18.9,18.9,18.9,18.9,18.9,19.2,19.2,19.2,19.2,19.2,19.1,19.1,19.1,19.1,19.1,18.9,18.9,18.9,18.9,18.9,17.9,17.9,17.9,17.9,17.9,17.8,17.8,17.8,17.8,17.8,17.8,17.8,17.8,17.8,17.8,17.8,17.8,17.8,17.8,17.8,null,null,null,null,null,17.3,17.3,17.3,17.3,17.3,17.2,17.2,17.2,17.2,17.2,17.3,17.3,17.3,17.3,17.3,17.1,17.1,17.1,17.1,17.1,17.1,17.1,17.1,17.1,17.1,17.9,17.9,17.9,17.9,17.9,18.1,18.1,18.1,18.1,18.1,17.8,17.8,17.8,17.8,17.8,17.9,17.9,17.9,17.9,17.9,17.0,17.0,17.0,17.0,17.0,17.2,17.2,17.2,17.2,17.2,17.1,17.1,17.1,17.1,17.1,16.8,16.8,16.8,16.8,16.8,17.0,17.0,17.0,17.0,17.0,17.9,17.9,17.9,17.9,17.9,18.7,18.7,18.7,18.7,18.7,18.7,18.7,18.7,18.7,18.7,17.9,17.9,17.9,17.9,17.9,18.1,18.1,18.1,18.1,18.1,17.9,17.9,17.9,17.9,17.9,17.1,17.1,17.1,17.1,17.1,16.8,16.8,16.8,16.8,16.8,16.8,16.8,16.8,16.8,16.8,18.3,18.3,18.3,18.3,18.3,18.1,18.1,18.1,18.1,18.1,18.1,18.1,18.1,18.1,18.1,18.4,18.4,18.4,18.4,18.4,18.3,18.3,18.3,18.3,18.3,18.5,18.5,18.5,18.5,18.5,17.3,17.3,17.3,17.3,17.3,17.2,17.2,17.2,17.2,17.2,17.5,17.5,17.5,17.5,17.5,17.8,17.8,17.8,17.8,17.8,17.8,17.8,17.8,17.8,17.8,18.4,18.4,18.4,18.4,18.4,19.2,19.2,19.2,19.2,19.2,19.2,19.2,19.2,19.2,19.2,19.4,19.4,19.4,19.4,19.4,20.6,20.6,20.6,20.6,20.6,20.6,20.6,20.6,20.6,20.6,21.4,21.4,21.4,21.4,21.4,20.6,20.6,20.6,20.6,20.6,20.4,20.4,20.4,20.4,20.4,20.7,20.7,20.7,20.7,20.7,21.5,21.5,21.5,21.5,21.5,20.6,20.6,20.6,20.6,20.6,20.6,20.6,20.6,20.6,20.6,21.3,21.3,21.3,21.3,21.3,25.2,25.2,25.2,25.2,25.2,29.4,29.4,29.4,29.4,29.4,34.6,34.6,34.6,34.6,34.6,null,null,null,null,null,21.4,21.4,21.4,21.4,21.4,20.4,20.4,20.4,20.4,20.4,21.5,21.5,21.5,21.5,21.5,20.6,20.6,20.6,20.6,20.6,19.8,19.8,19.8,19.8,19.8,19.0,19.0,19.0,19.0,19.0,19.8,19.8,19.8,19.8,19.8,19.8,19.8,19.8,19.8,19.8,19.0,19.0,19.0,19.0,19.0,18.3,18.3,18.3,18.3,18.3,18.5,18.5,18.5,18.5,18.5,18.6,18.6,18.6,18.6,18.6,18.3,18.3,18.3,18.3,18.3,18.1,18.1,18.1,18.1,18.1,18.3,18.3,18.3,18.3,18.3,18.1,18.1,18.1,18.1,18.1,18.3,18.3,18.3,18.3,18.3,18.3,18.3,18.3,18.3,18.3,18.4,18.4,18.4,18.4,18.4,18.6,18.6,18.6,18.6,18.6,18.8,18.8,18.8,18.8,18.8,18.6,18.6,18.6,18.6,18.6,18.5,18.5,18.5,18.5,18.5,18.5,18.5,18.5,18.5,18.5,18.6,18.6,18.6,18.6,18.6,18.4,18.4,18.4,18.4,18.4,17.6,17.6,17.6,17.6,17.6,17.8,17.8,17.8,17.8,17.8,17.7,17.7,17.7,17.7,17.7,19.2,19.2,19.2,19.2,19.2,19.2,19.2,19.2,19.2,19.2,19.4,19.4,19.4,19.4,19.4,20.6,20.6,20.6,20.6,20.6,20.8,20.8,20.8,20.8,20.8,19.6,19.6,19.6,19.6,19.6,19.8,19.8,19.8,19.8,19.8,18.6,18.6,18.6,18.6,18.6,18.1,18.1,18.1,18.1,18.1,17.5,17.5,17.5,17.5,17.5,16.8,16.8,16.8,16.8,16.8,15.7,15.7,15.7,15.7,15.7,15.5,15.5,15.5,15.5,15.5,14.4,14.4,14.4,14.4,14.4,14.6,14.6,14.6,14.6,14.6,14.4,14.4,14.4,14.4,14.4,15.5,15.5,15.5,15.5,15.5,12.6,12.6,12.6,12.6,12.6,12.8,12.8,12.8,12.8,12.8,12.7,12.7,12.7,12.7,12.7,13.5,13.5,13.5,13.5,13.5,15.2,15.2,15.2,15.2,15.2,null,null,null,null,null,15.1,15.1,15.1,15.1,15.1,15.2,15.2,15.2,15.2,15.2,15.1,15.1,15.1,15.1,15.1,15.1,15.1,15.1,15.1,15.1,15.4,15.4,15.4,15.4,15.4,15.4,15.4,15.4,15.4,15.4,14.4,14.4,14.4,14.4,14.4,14.4,14.4,14.4,14.4,14.4,15.1,15.1,15.1,15.1,15.1,15.2,15.2,15.2,15.2,15.2,15.1,15.1,15.1,15.1,15.1,17.0,17.0,17.0,17.0,17.0,17.1,17.1,17.1,17.1,17.1,19.0,19.0,19.0,19.0,19.0,20.2,20.2,20.2,20.2,20.2,19.1,19.1,19.1,19.1,19.1,19.1,19.1,19.1,19.1,19.1,18.3,18.3,18.3,18.3,18.3,18.1,18.1,18.1,18.1,18.1,17.0,17.0,17.0,17.0,17.0,16.2,16.2,16.2,16.2,16.2,16.5,16.5,16.5,16.5,16.5,16.7,16.7,16.7,16.7,16.7,18.6,18.6,18.6,18.6,18.6,18.8,18.8,18.8,18.8,18.8,18.6,18.6,18.6,18.6,18.6,19.4,19.4,19.4,19.4,19.4,18.6,18.6,18.6,18.6,18.6,18.3,18.3,18.3,18.3,18.3,19.2,19.2,19.2,19.2,19.2,18.3,18.3,18.3,18.3,18.3,17.1,17.1,17.1,17.1,17.1,17.3,17.3,17.3,17.3,17.3,17.9,17.9,17.9,17.9,17.9,17.9,17.9,17.9,17.9,17.9,18.3,18.3,18.3,18.3,18.3,17.5,17.5,17.5,17.5,17.5,18.3,18.3,18.3,18.3,18.3,18.1,18.1,18.1,18.1,18.1,17.3,17.3,17.3,17.3,17.3,17.5,17.5,17.5,17.5,17.5,17.3,17.3,17.3,17.3,17.3,16.5,16.5,16.5,16.5,16.5,17.5,17.5,17.5,17.5,17.5,17.6,17.6,17.6,17.6,17.6,16.7,16.7,16.7,16.7,16.7,17.6,17.6,17.6,17.6,17.6,17.5,17.5,17.5,17.5,17.5,17.3,17.3,17.3,17.3,17.3,18.3,18.3,18.3,18.3,18.3,18.4,18.4,18.4,18.4,18.4,null,null,null,null,null,19.6,19.6,19.6,19.6,19.6,19.2,19.2,19.2,19.2,19.2,19.6,19.6,19.6,19.6,19.6,22.3,22.3,22.3,22.3,22.3,21.6,21.6,21.6,21.6,21.6,23.5,23.5,23.5,23.5,23.5,25.7,25.7,25.7,25.7,25.7,24.3,24.3,24.3,24.3,24.3,23.1,23.1,23.1,23.1,23.1,23.8,23.8,23.8,23.8,23.8,23.1,23.1,23.1,23.1,23.1,22.8,22.8,22.8,22.8,22.8,23.1,23.1,23.1,23.1,23.1,24.3,24.3,24.3,24.3,24.3,22.6,22.6,22.6,22.6,22.6,22.8,22.8,22.8,22.8,22.8,20.6,20.6,20.6,20.6,20.6,20.2,20.2,20.2,20.2,20.2,20.0,20.0,20.0,20.0,20.0,20.9,20.9,20.9,20.9,20.9,21.2,21.2,21.2,21.2,21.2,21.6,21.6,21.6,21.6,21.6,23.3,23.3,23.3,23.3,23.3,24.7,24.7,24.7,24.7,24.7,24.5,24.5,24.5,24.5,24.5,23.8,23.8,23.8,23.8,23.8,23.2,23.2,23.2,23.2,23.2,23.5,23.5,23.5,23.5,23.5,23.8,23.8,23.8,23.8,23.8,23.7,23.7,23.7,23.7,23.7,24.0,24.0,24.0,24.0,24.0,21.7,21.7,21.7,21.7,21.7,21.6,21.6,21.6,21.6,21.6,21.7,21.7,21.7,21.7,21.7,20.6,20.6,20.6,20.6,20.6,21.7,21.7,21.7,21.7,21.7,27.8,27.8,27.8,27.8,27.8,27.8,27.8,27.8,27.8,27.8,28.9,28.9,28.9,28.9,28.9,27.8,27.8,27.8,27.8,27.8,30.3,30.3,30.3,30.3,30.3,35.4,35.4,35.4,35.4,35.4,34.3,34.3,34.3,34.3,34.3,35.7,35.7,35.7,35.7,35.7,39.8,39.8,39.8,39.8,39.8,39.2,39.2,39.2,39.2,39.2,38.1,38.1,38.1,38.1,38.1,35.4,35.4,35.4,35.4,35.4,36.1,36.1,36.1,36.1,36.1,35.7,35.7,35.7,35.7,35.7,31.6,31.6,31.6,31.6,31.6,null,null,null,null,null,29.6,29.6,29.6,29.6,29.6,29.6,29.6,29.6,29.6,29.6,27.6,27.6,27.6,27.6,27.6,26.8,26.8,26.8,26.8,26.8,26.8,26.8,26.8,26.8,26.8,26.8,26.8,26.8,26.8,26.8,28.9,28.9,28.9,28.9,28.9,28.1,28.1,28.1,28.1,28.1,29.2,29.2,29.2,29.2,29.2,31.3,31.3,31.3,31.3,31.3,31.2,31.2,31.2,31.2,31.2,34.4,34.4,34.4,34.4,34.4,35.1,35.1,35.1,35.1,35.1,30.2,30.2,30.2,30.2,30.2,26.8,26.8,26.8,26.8,26.8,27.9,27.9,27.9,27.9,27.9,26.8,26.8,26.8,26.8,26.8,22.5,22.5,22.5,22.5,22.5,18.4,18.4,18.4,18.4,18.4,18.6,18.6,18.6,18.6,18.6,17.5,17.5,17.5,17.5,17.5,17.5,17.5,17.5,17.5,17.5,15.6,15.6,15.6,15.6,15.6,15.6,15.6,15.6,15.6,15.6,15.6,15.6,15.6,15.6,15.6,15.4,15.4,15.4,15.4,15.4,15.4,15.4,15.4,15.4,15.4,16.5,16.5,16.5,16.5,16.5,16.5,16.5,16.5,16.5,16.5,15.8,15.8,15.8,15.8,15.8,14.9,14.9,14.9,14.9,14.9,15.8,15.8,15.8,15.8,15.8,15.8,15.8,15.8,15.8,15.8,13.9,13.9,13.9,13.9,13.9,13.9,13.9,13.9,13.9,13.9,15.2,15.2,15.2,15.2,15.2,13.9,13.9,13.9,13.9,13.9,14.2,14.2,14.2,14.2,14.2,14.2,14.2,14.2,14.2,14.2,14.1,14.1,14.1,14.1,14.1,14.3,14.3,14.3,14.3,14.3,14.1,14.1,14.1,14.1,14.1,14.1,14.1,14.1,14.1,14.1,14.1,14.1,14.1,14.1,14.1,14.1,14.1,14.1,14.1,14.1,15.2,15.2,15.2,15.2,15.2,16.3,16.3,16.3,16.3,16.3,16.3,16.3,16.3,16.3,16.3,17.4,17.4,17.4,17.4,17.4,16.3,16.3,16.3,16.3,16.3,15.2,15.2,15.2,15.2,15.2,14.9,14.9,14.9,14.9,14.9,15.8,15.8,15.8,15.8,15.8,14.9,14.9,14.9,14.9,14.9,14.8,14.8,14.8,14.8,14.8,13.9,13.9,13.9,13.9,13.9,13.8,13.8,13.8,13.8,13.8,14.9,14.9,14.9,14.9,14.9,14.8,14.8,14.8,14.8,14.8,15.1,15.1,15.1,15.1,15.1,16.3,16.3,16.3,16.3,16.3,18.2,18.2,18.2,18.2,18.2,17.3,17.3,17.3,17.3,17.3,14.1,14.1,14.1,14.1,14.1,15.1,15.1,15.1,15.1,15.1,15.3,15.3,15.3,15.3,15.3,15.2,15.2,15.2,15.2,15.2,14.1,14.1,14.1,14.1,14.1,13.3,13.3,13.3,13.3,13.3,15.1,15.1,15.1,15.1,15.1,16.2,16.2,16.2,16.2,16.2,16.2,16.2,16.2,16.2,16.2,17.1,17.1,17.1,17.1,17.1,16.2,16.2,16.2,16.2,16.2,17.2,17.2,17.2,17.2,17.2,15.1,15.1,15.1,15.1,15.1,15.2,15.2,15.2,15.2,15.2,16.1,16.1,16.1,16.1,16.1,16.3,16.3,16.3,16.3,16.3,16.3,16.3,16.3,16.3,16.3,17.2,17.2,17.2,17.2,17.2,17.4,17.4,17.4,17.4,17.4,17.3,17.3,17.3,17.3,17.3,18.3,18.3,18.3,18.3,18.3,19.4,19.4,19.4,19.4,19.4,19.7,19.7,19.7,19.7,19.7,20.6,20.6,20.6,20.6,20.6,21.7,21.7,21.7,21.7,21.7,20.6,20.6,20.6,20.6,20.6,18.6,18.6,18.6,18.6,18.6,18.6,18.6,18.6,18.6,18.6,17.5,17.5,17.5,17.5,17.5,17.4,17.4,17.4,17.4,17.4,17.4,17.4,17.4,17.4,17.4,15.1,15.1,15.1,15.1,15.1,17.2,17.2,17.2,17.2,17.2,17.2,17.2,17.2,17.2,17.2,17.4,17.4,17.4,17.4,17.4,17.4,17.4,17.4,17.4,17.4,15.3,15.3,15.3,15.3,15.3,15.1,15.1,15.1,15.1,15.1,15.3,15.3,15.3,15.3,15.3,15.2,15.2,15.2,15.2,15.2,15.2,15.2,15.2,15.2,15.2,14.1,14.1,14.1,14.1,14.1,14.3,14.3,14.3,14.3,14.3,14.3,14.3,14.3,14.3,14.3,14.3,14.3,14.3,14.3,14.3,14.4,14.4,14.4,14.4,14.4,15.5,15.5,15.5,15.5,15.5,15.5,15.5,15.5,15.5,15.5,15.6,15.6,15.6,15.6,15.6,16.5,16.5,16.5,16.5,16.5,18.5,18.5,18.5,18.5,18.5,21.6,21.6,21.6,21.6,21.6,20.6,20.6,20.6,20.6,20.6,18.6,18.6,18.6,18.6,18.6,20.6,20.6,20.6,20.6,20.6,21.6,21.6,21.6,21.6,21.6,22.7,22.7,22.7,22.7,22.7,23.7,23.7,23.7,23.7,23.7,23.8,23.8,23.8,23.8,23.8,21.6,21.6,21.6,21.6,21.6,20.6,20.6,20.6,20.6,20.6,18.5,18.5,18.5,18.5,18.5,19.6,19.6,19.6,19.6,19.6,19.6,19.6,19.6,19.6,19.6,19.8,19.8,19.8,19.8,19.8,22.9,22.9,22.9,22.9,22.9,20.8,20.8,20.8,20.8,20.8,25.0,25.0,25.0,25.0,25.0,21.9,21.9,21.9,21.9,21.9,22.9,22.9,22.9,22.9,22.9,20.8,20.8,20.8,20.8,20.8,19.8,19.8,19.8,19.8,19.8,18.8,18.8,18.8,18.8,18.8,19.8,19.8,19.8,19.8,19.8,19.8,19.8,19.8,19.8,19.8,18.8,18.8,18.8,18.8,18.8,19.6,19.6,19.6,19.6,19.6,20.6,20.6,20.6,20.6,20.6,20.6,20.6,20.6,20.6,20.6,19.4,19.4,19.4,19.4,19.4,19.6,19.6,19.6,19.6,19.6,18.6,18.6,18.6,18.6,18.6,18.8,18.8,18.8,18.8,18.8,21.1,21.1,21.1,21.1,21.1,21.1,21.1,21.1,21.1,21.1,22.1,22.1,22.1,22.1,22.1,21.1,21.1,21.1,21.1,21.1,21.1,21.1,21.1,21.1,21.1,22.3,22.3,22.3,22.3,22.3,22.3,22.3,22.3,22.3,22.3,22.3,22.3,22.3,22.3,22.3,23.4,23.4,23.4,23.4,23.4,24.5,24.5,24.5,24.5,24.5,24.5,24.5,24.5,24.5,24.5,24.5,24.5,24.5,24.5,24.5,23.4,23.4,23.4,23.4,23.4,25.5,25.5,25.5,25.5,25.5,27.7,27.7,27.7,27.7,27.7,27.7,27.7,27.7,27.7,27.7,28.7,28.7,28.7,28.7,28.7,27.7,27.7,27.7,27.7,27.7,27.7,27.7,27.7,27.7,27.7,27.7,27.7,27.7,27.7,27.7,26.6,26.6,26.6,26.6,26.6,25.5,25.5,25.5,25.5,25.5,25.5,25.5,25.5,25.5,25.5,24.5,24.5,24.5,24.5,24.5,24.5,24.5,24.5,24.5,24.5,25.5,25.5,25.5,25.5,25.5,24.5,24.5,24.5,24.5,24.5,24.5,24.5,24.5,24.5,24.5,24.7,24.7,24.7,24.7,24.7,26.6,26.6,26.6,26.6,26.6,25.5,25.5,25.5,25.5,25.5,27.7,27.7,27.7,27.7,27.7,26.6,26.6,26.6,26.6,26.6,24.5,24.5,24.5,24.5,24.5,24.5,24.5,24.5,24.5,24.5,24.5,24.5,24.5,24.5,24.5,24.7,24.7,24.7,24.7,24.7,25.6,25.6,25.6,25.6,25.6,26.6,26.6,26.6,26.6,26.6,26.6,26.6,26.6,26.6,26.6,24.5,24.5,24.5,24.5,24.5,26.6,26.6,26.6,26.6,26.6,22.3,22.3,22.3,22.3,22.3,20.4,20.4,20.4,20.4,20.4,20.4,20.4,20.4,20.4,20.4,23.7,23.7,23.7,23.7,23.7,23.7,23.7,23.7,23.7,23.7,21.5,21.5,21.5,21.5,21.5,21.5,21.5,21.5,21.5,21.5,22.6,22.6,22.6,22.6,22.6,23.6,23.6,23.6,23.6,23.6,26.6,26.6,26.6,26.6,26.6,26.6,26.6,26.6,26.6,26.6,25.5,25.5,25.5,25.5,25.5,26.6,26.6,26.6,26.6,26.6,25.8,25.8,25.8,25.8,25.8,28.7,28.7,28.7,28.7,28.7,29.8,29.8,29.8,29.8,29.8,28.7,28.7,28.7,28.7,28.7,29.8,29.8,29.8,29.8,29.8,29.8,29.8,29.8,29.8,29.8,30.5,30.5,30.5,30.5,30.5,29.5,29.5,29.5,29.5,29.5,30.5,30.5,30.5,30.5,30.5,30.5,30.5,30.5,30.5,30.5,29.5,29.5,29.5,29.5,29.5,30.5,30.5,30.5,30.5,30.5,32.6,32.6,32.6,32.6,32.6,32.6,32.6,32.6,32.6,32.6,34.7,34.7,34.7,34.7,34.7,36.8,36.8,36.8,36.8,36.8,37.9,37.9,37.9,37.9,37.9,41.0,41.0,41.0,41.0,41.0,46.3,46.3,46.3,46.3,46.3,45.2,45.2,45.2,45.2,45.2,40.9,40.9,40.9,40.9,40.9,39.8,39.8,39.8,39.8,39.8,40.9,40.9,40.9,40.9,40.9,37.6,37.6,37.6,37.6,37.6,36.6,36.6,36.6,36.6,36.6,33.3,33.3,33.3,33.3,33.3,23.7,23.7,23.7,23.7,23.7,23.7,23.7,23.7,23.7,23.7,24.7,24.7,24.7,24.7,24.7,21.5,21.5,21.5,21.5,21.5,21.5,21.5,21.5,21.5,21.5,22.6,22.6,22.6,22.6,22.6,24.7,24.7,24.7,24.7,24.7,26.9,26.9,26.9,26.9,26.9,28.0,28.0,28.0,28.0,28.0,26.0,26.0,26.0,26.0,26.0,22.6,22.6,22.6,22.6,22.6,20.4,20.4,20.4,20.4,20.4,19.4,19.4,19.4,19.4,19.4,19.6,19.6,19.6,19.6,19.6,18.5,18.5,18.5,18.5,18.5,16.5,16.5,16.5,16.5,16.5,18.5,18.5,18.5,18.5,18.5,19.2,19.2,19.2,19.2,19.2,16.3,16.3,16.3,16.3,16.3,15.7,15.7,15.7,15.7,15.7,23.1,23.1,23.1,23.1,23.1,22.4,22.4,22.4,22.4,22.4,22.3,22.3,22.3,22.3,22.3,21.1,21.1,21.1,21.1,21.1,19.5,19.5,19.5,19.5,19.5,18.9,18.9,18.9,18.9,18.9,19.6,19.6,19.6,19.6,19.6,23.3,23.3,23.3,23.3,23.3,22.0,22.0,22.0,22.0,22.0,19.1,19.1,19.1,19.1,19.1,20.9,20.9,20.9,20.9,20.9,19.1,19.1,19.1,19.1,19.1,20.5,20.5,20.5,20.5,20.5,20.0,20.0,20.0,20.0,20.0,20.6,20.6,20.6,20.6,20.6,20.5,20.5,20.5,20.5,20.5,21.3,21.3,21.3,21.3,21.3,21.8,21.8,21.8,21.8,21.8,21.6,21.6,21.6,21.6,21.6,20.2,20.2,20.2,20.2,20.2,23.1,23.1,23.1,23.1,23.1,24.4,24.4,24.4,24.4,24.4,24.4,24.4,24.4,24.4,24.4,22.0,22.0,22.0,22.0,22.0,24.7,24.7,24.7,24.7,24.7,28.3,28.3,28.3,28.3,28.3,27.8,27.8,27.8,27.8,27.8,29.3,29.3,29.3,29.3,29.3,31.1,31.1,31.1,31.1,31.1,32.2,32.2,32.2,32.2,32.2,37.7,37.7,37.7,37.7,37.7,31.2,31.2,31.2,31.2,31.2,31.1,31.1,31.1,31.1,31.1,27.5,27.5,27.5,27.5,27.5,33.3,33.3,33.3,33.3,33.3,34.9,34.9,34.9,34.9,34.9,35.6,35.6,35.6,35.6,35.6,34.8,34.8,34.8,34.8,34.8,34.8,34.8,34.8,34.8,34.8,33.3,33.3,33.3,33.3,33.3,31.1,31.1,31.1,31.1,31.1,32.6,32.6,32.6,32.6,32.6,31.9,31.9,31.9,31.9,31.9,28.4,28.4,28.4,28.4,28.4,29.2,29.2,29.2,29.2,29.2,24.7,24.7,24.7,24.7,24.7,24.7,24.7,24.7,24.7,24.7,18.7,18.7,18.7,18.7,18.7,18.0,18.0,18.0,18.0,18.0,17.4,17.4,17.4,17.4,17.4,18.9,18.9,18.9,18.9,18.9,18.9,18.9,18.9,18.9,18.9,19.1,19.1,19.1,19.1,19.1,20.5,20.5,20.5,20.5,20.5,21.3,21.3,21.3,21.3,21.3,23.6,23.6,23.6,23.6,23.6,22.7,22.7,22.7,22.7,22.7,23.3,23.3,23.3,23.3,23.3,27.8,27.8,27.8,27.8,27.8,26.1,26.1,26.1,26.1,26.1,22.2,22.2,22.2,22.2,22.2,23.3,23.3,23.3,23.3,23.3,18.9,18.9,18.9,18.9,18.9,15.9,15.9,15.9,15.9,15.9,16.9,16.9,16.9,16.9,16.9,15.6,15.6,15.6,15.6,15.6,16.7,16.7,16.7,16.7,16.7,16.7,16.7,16.7,16.7,16.7,16.5,16.5,16.5,16.5,16.5,16.7,16.7,16.7,16.7,16.7,17.6,17.6,17.6,17.6,17.6,21.3,21.3,21.3,21.3,21.3,26.7,26.7,26.7,26.7,26.7,24.7,24.7,24.7,24.7,24.7,22.5,22.5,22.5,22.5,22.5,23.1,23.1,23.1,23.1,23.1,26.4,26.4,26.4,26.4,26.4,24.4,24.4,24.4,24.4,24.4,23.6,23.6,23.6,23.6,23.6,24.4,24.4,24.4,24.4,24.4,24.4,24.4,24.4,24.4,24.4,23.6,23.6,23.6,23.6,23.6,24.1,24.1,24.1,24.1,24.1,19.8,19.8,19.8,19.8,19.8,23.1,23.1,23.1,23.1,23.1,21.3,21.3,21.3,21.3,21.3,25.8,25.8,25.8,25.8,25.8,31.1,31.1,31.1,31.1,31.1,35.6,35.6,35.6,35.6,35.6,35.6,35.6,35.6,35.6,35.6,30.3,30.3,30.3,30.3,30.3,29.9,29.9,29.9,29.9,29.9,28.7,28.7,28.7,28.7,28.7,26.4,26.4,26.4,26.4,26.4,23.3,23.3,23.3,23.3,23.3,25.3,25.3,25.3,25.3,25.3,28.4,28.4,28.4,28.4,28.4,29.1,29.1,29.1,29.1,29.1,33.7,33.7,33.7,33.7,33.7,31.5,31.5,31.5,31.5,31.5,37.2,37.2,37.2,37.2,37.2,34.5,34.5,34.5,34.5,34.5,34.1,34.1,34.1,34.1,34.1,37.1,37.1,37.1,37.1,37.1,38.0,38.0,38.0,38.0,38.0,43.3,43.3,43.3,43.3,43.3,44.3,44.3,44.3,44.3,44.3,47.2,47.2,47.2,47.2,47.2,44.0,44.0,44.0,44.0,44.0,45.1,45.1,45.1,45.1,45.1,41.1,41.1,41.1,41.1,41.1,38.7,38.7,38.7,38.7,38.7,36.3,36.3,36.3,36.3,36.3,38.0,38.0,38.0,38.0,38.0,37.6,37.6,37.6,37.6,37.6,34.4,34.4,34.4,34.4,34.4,34.1,34.1,34.1,34.1,34.1,38.5,38.5,38.5,38.5,38.5,38.3,38.3,38.3,38.3,38.3,47.3,47.3,47.3,47.3,47.3,46.2,46.2,46.2,46.2,46.2,49.5,49.5,49.5,49.5,49.5,44.1,44.1,44.1,44.1,44.1,43.6,43.6,43.6,43.6,43.6,46.1,46.1,46.1,46.1,46.1,48.3,48.3,48.3,48.3,48.3,52.7,52.7,52.7,52.7,52.7,54.4,54.4,54.4,54.4,54.4,52.9,52.9,52.9,52.9,52.9,53.0,53.0,53.0,53.0,53.0,47.2,47.2,47.2,47.2,47.2,40.9,40.9,40.9,40.9,40.9,43.7,43.7,43.7,43.7,43.7,41.6,41.6,41.6,41.6,41.6,40.0,40.0,40.0,40.0,40.0,39.3,39.3,39.3,39.3,39.3,38.4,38.4,38.4,38.4,38.4,45.5,45.5,45.5,45.5,45.5,43.6,43.6,43.6,43.6,43.6,50.0,50.0,50.0,50.0,50.0,49.4,49.4,49.4,49.4,49.4,48.9,48.9,48.9,48.9,48.9,47.3,47.3,47.3,47.3,47.3,44.7,44.7,44.7,44.7,44.7,39.3,39.3,39.3,39.3,39.3,37.4,37.4,37.4,37.4,37.4,32.6,32.6,32.6,32.6,32.6,31.1,31.1,31.1,31.1,31.1,32.2,32.2,32.2,32.2,32.2,30.8,30.8,30.8,30.8,30.8,29.9,29.9,29.9,29.9,29.9,32.3,32.3,32.3,32.3,32.3,31.8,31.8,31.8,31.8,31.8,35.6,35.6,35.6,35.6,35.6,38.9,38.9,38.9,38.9,38.9,38.5,38.5,38.5,38.5,38.5,37.5,37.5,37.5,37.5,37.5,41.1,41.1,41.1,41.1,41.1,44.7,44.7,44.7,44.7,44.7,43.3,43.3,43.3,43.3,43.3,36.6,36.6,36.6,36.6,36.6,36.4,36.4,36.4,36.4,36.4,33.7,33.7,33.7,33.7,33.7,35.6,35.6,35.6,35.6,35.6,32.6,32.6,32.6,32.6,32.6,32.2,32.2,32.2,32.2,32.2,31.5,31.5,31.5,31.5,31.5,26.7,26.7,26.7,26.7,26.7,25.8,25.8,25.8,25.8,25.8,24.5,24.5,24.5,24.5,24.5,23.1,23.1,23.1,23.1,23.1,22.4,22.4,22.4,22.4,22.4,25.6,25.6,25.6,25.6,25.6,27.6,27.6,27.6,27.6,27.6,29.0,29.0,29.0,29.0,29.0,26.6,26.6,26.6,26.6,26.6,26.7,26.7,26.7,26.7,26.7,22.2,22.2,22.2,22.2,22.2,23.1,23.1,23.1,23.1,23.1,22.9,22.9,22.9,22.9,22.9,19.6,19.6,19.6,19.6,19.6,21.5,21.5,21.5,21.5,21.5,25.0,25.0,25.0,25.0,25.0,25.6,25.6,25.6,25.6,25.6,27.0,27.0,27.0,27.0,27.0,31.0,31.0,31.0,31.0,31.0,37.4,37.4,37.4,37.4,37.4,37.4,37.4,37.4,37.4,37.4,37.4,37.4,37.4,37.4,37.4,32.6,32.6,32.6,32.6,32.6,31.5,31.5,31.5,31.5,31.5,26.4,26.4,26.4,26.4,26.4,18.0,18.0,18.0,18.0,18.0,19.3,19.3,19.3,19.3,19.3,21.3,21.3,21.3,21.3,21.3,18.0,18.0,18.0,18.0,18.0,20.4,20.4,20.4,20.4,20.4,18.9,18.9,18.9,18.9,18.9,21.1,21.1,21.1,21.1,21.1,22.8,22.8,22.8,22.8,22.8,21.5,21.5,21.5,21.5,21.5,20.7,20.7,20.7,20.7,20.7,19.6,19.6,19.6,19.6,19.6,20.0,20.0,20.0,20.0,20.0,24.7,24.7,24.7,24.7,24.7,26.1,26.1,26.1,26.1,26.1,25.3,25.3,25.3,25.3,25.3,27.5,27.5,27.5,27.5,27.5,25.8,25.8,25.8,25.8,25.8,27.5,27.5,27.5,27.5,27.5,28.4,28.4,28.4,28.4,28.4,28.9,28.9,28.9,28.9,28.9,26.9,26.9,26.9,26.9,26.9,24.2,24.2,24.2,24.2,24.2,22.2,22.2,22.2,22.2,22.2,21.1,21.1,21.1,21.1,21.1,22.2,22.2,22.2,22.2,22.2,21.1,21.1,21.1,21.1,21.1,20.9,20.9,20.9,20.9,20.9,22.1,22.1,22.1,22.1,22.1,20.7,20.7,20.7,20.7,20.7,21.3,21.3,21.3,21.3,21.3,19.6,19.6,19.6,19.6,19.6,20.6,20.6,20.6,20.6,20.6,21.3,21.3,21.3,21.3,21.3,23.9,23.9,23.9,23.9,23.9,22.3,22.3,22.3,22.3,22.3,22.3,22.3,22.3,22.3,22.3,22.3,22.3,22.3,22.3,22.3,26.0,26.0,26.0,26.0,26.0,28.4,28.4,28.4,28.4,28.4,30.1,30.1,30.1,30.1,30.1,30.0,30.0,30.0,30.0,30.0,30.4,30.4,30.4,30.4,30.4,33.3,33.3,33.3,33.3,33.3,33.7,33.7,33.7,33.7,33.7,33.7,33.7,33.7,33.7,33.7,35.4,35.4,35.4,35.4,35.4,33.7,33.7,33.7,33.7,33.7,33.7,33.7,33.7,33.7,33.7,34.7,34.7,34.7,34.7,34.7,36.6,36.6,36.6,36.6,36.6,37.1,37.1,37.1,37.1,37.1,36.2,36.2,36.2,36.2,36.2,34.5,34.5,34.5,34.5,34.5,33.7,33.7,33.7,33.7,33.7,33.3,33.3,33.3,33.3,33.3,34.4,34.4,34.4,34.4,34.4,36.3,36.3,36.3,36.3,36.3,35.6,35.6,35.6,35.6,35.6,34.4,34.4,34.4,34.4,34.4,31.5,31.5,31.5,31.5,31.5,29.8,29.8,29.8,29.8,29.8,27.6,27.6,27.6,27.6,27.6,25.3,25.3,25.3,25.3,25.3,26.8,26.8,26.8,26.8,26.8,28.6,28.6,28.6,28.6,28.6,25.8,25.8,25.8,25.8,25.8,26.0,26.0,26.0,26.0,26.0,24.5,24.5,24.5,24.5,24.5,27.8,27.8,27.8,27.8,27.8,28.3,28.3,28.3,28.3,28.3,30.5,30.5,30.5,30.5,30.5,33.0,33.0,33.0,33.0,33.0,31.3,31.3,31.3,31.3,31.3,30.8,30.8,30.8,30.8,30.8,29.5,29.5,29.5,29.5,29.5,27.7,27.7,27.7,27.7,27.7,25.3,25.3,25.3,25.3,25.3,25.8,25.8,25.8,25.8,25.8,25.3,25.3,25.3,25.3,25.3,22.9,22.9,22.9,22.9,22.9,22.1,22.1,22.1,22.1,22.1,23.7,23.7,23.7,23.7,23.7,20.8,20.8,20.8,20.8,20.8,21.0,21.0,21.0,21.0,21.0,21.6,21.6,21.6,21.6,21.6,21.9,21.9,21.9,21.9,21.9,21.1,21.1,21.1,21.1,21.1,23.2,23.2,23.2,23.2,23.2,22.9,22.9,22.9,22.9,22.9,24.7,24.7,24.7,24.7,24.7,26.8,26.8,26.8,26.8,26.8,29.2,29.2,29.2,29.2,29.2,29.5,29.5,29.5,29.5,29.5,29.2,29.2,29.2,29.2,29.2,27.8,27.8,27.8,27.8,27.8,26.6,26.6,26.6,26.6,26.6,25.5,25.5,25.5,25.5,25.5,26.6,26.6,26.6,26.6,26.6,28.1,28.1,28.1,28.1,28.1,27.3,27.3,27.3,27.3,27.3,25.0,25.0,25.0,25.0,25.0,22.5,22.5,22.5,22.5,22.5,19.3,19.3,19.3,19.3,19.3,22.5,22.5,22.5,22.5,22.5,22.6,22.6,22.6,22.6,22.6,23.1,23.1,23.1,23.1,23.1,22.2,22.2,22.2,22.2,22.2,21.4,21.4,21.4,21.4,21.4,19.1,19.1,19.1,19.1,19.1,20.2,20.2,20.2,20.2,20.2,20.4,20.4,20.4,20.4,20.4,20.9,20.9,20.9,20.9,20.9,25.0,25.0,25.0,25.0,25.0,26.1,26.1,26.1,26.1,26.1,28.6,28.6,28.6,28.6,28.6,28.0,28.0,28.0,28.0,28.0,30.4,30.4,30.4,30.4,30.4,29.7,29.7,29.7,29.7,29.7,26.9,26.9,26.9,26.9,26.9,29.0,29.0,29.0,29.0,29.0,29.2,29.2,29.2,29.2,29.2,28.0,28.0,28.0,28.0,28.0,27.8,27.8,27.8,27.8,27.8,24.3,24.3,24.3,24.3,24.3,21.6,21.6,21.6,21.6,21.6,22.1,22.1,22.1,22.1,22.1,21.4,21.4,21.4,21.4,21.4,21.2,21.2,21.2,21.2,21.2,23.2,23.2,23.2,23.2,23.2,25.3,25.3,25.3,25.3,25.3,24.0,24.0,24.0,24.0,24.0,24.7,24.7,24.7,24.7,24.7,22.9,22.9,22.9,22.9,22.9,20.6,20.6,20.6,20.6,20.6,19.6,19.6,19.6,19.6,19.6,20.4,20.4,20.4,20.4,20.4,21.1,21.1,21.1,21.1,21.1,21.7,21.7,21.7,21.7,21.7,22.9,22.9,22.9,22.9,22.9,23.5,23.5,23.5,23.5,23.5,22.4,22.4,22.4,22.4,22.4,22.6,22.6,22.6,22.6,22.6,23.7,23.7,23.7,23.7,23.7,25.5,25.5,25.5,25.5,25.5,22.1,22.1,22.1,22.1,22.1,23.5,23.5,23.5,23.5,23.5,24.2,24.2,24.2,24.2,24.2,22.9,22.9,22.9,22.9,22.9,22.9,22.9,22.9,22.9,22.9,24.5,24.5,24.5,24.5,24.5,26.5,26.5,26.5,26.5,26.5,27.7,27.7,27.7,27.7,27.7,30.2],"QQQ^FG_PRICE(NOW,,,USD)/MAX(FG_PRICE(NOW,-1AY,,USD))":0.954867186257356,"^ECON_EXPR_DATA('RETURNS(FDS_ECON[US.LMCLAIMS,DIST=STEP,CONV=AVERAGE], -1AY)',0,0/0/-10,M)":[4.84507042253521,4.67896174863387,4.55618714473109,3.63901018922852,6.69272684198057,8.97377595876914,10.8330742928194,14.7440794499618,23.5987696514012,27.7865821447438,28.9383070301291,27.4669020300088,27.6794705797727,29.1527292777063,26.1909141070443,20.1553099202463,9.17555771096024,0.732936326156675,-6.03183876150139,-8.52550663871419,-24.1182572614108,-39.9073055108778,-48.7122884473878,-49.0557553956835,-53.6816152462184,-58.7302791262136,-62.1167781493869,-62.2011846837317,-61.0967863656374,-63.0563547131494,-65.3814262023217,-68.1084594669886,-67.5871054511831,-69.9850090199965,-77.0133412267163,-79.7124717215208,-81.5880844590035,-81.3558842661991,-82.3480793450882,-77.7970878346642,7.04140020195221,148.904802021904,174.944395017794,204.294998587172,252.969973890339,386.339202965709,647.896900695762,746.07310447024,899.472716125077,983.905579399142,1148.09038437922,922.022202220222,108.614200651612,-1.16569525395503,1.06209609440855,0.340232492203008,-0.0948541617263432,1.61670067493329,2.33009708737864,0.834267214543649,-1.39056831922612,-2.88198166011671,-7.22870976929649,-11.2383488681758,-8.49182687365067,-8.75015828795745,-10.1035615054307,-10.5276509386098,-14.0921823274764,-16.2922086453817,-18.3748943364328,-16.495970886405,-14.3559870550162,-12.3303403633326,-7.42254449571522,-3.55721073584179,-3.31013916500994,-4.15098919771817,-4.87746275828929,-3.77855887521968,-3.97359090353344,-8.1130025353133,-10.020916524054,-10.3263403263403,-9.52637496486462,-11.1811753796221,-12.6051388408803,-9.4113541181945,-7.16345599261737,-6.39627357418768,-5.73473455336112,-7.04934770277935,-7.41453475209418,-6.19903968110165,-6.21489077128845,-4.8041717519139,-5.01067995728017,-5.1456844420011,-4.01035215006194,-5.80758273065966,-6.84504620674834,-5.9715842324538,-6.05157885777513,-7.40546218487395,-8.05578684429642,-8.99497073130514,-8.36482483913798,-10.0427179814756,-11.3005723307677,-12.1680347658136,-15.2583039664092,-16.1521499448732,-16.230083715906,-17.378640776699,-18.1767532557978,-16.7395487143607,-15.7547699214366,-17.16578453133,-15.4709488042821,-14.6401308615049],"^SPEC_ID_SOURCE('CC_US:FDS_ECON_RINDPRD_M')":null,"^CONVERT_DATE(FDS_ECON_ENDDATE('ISMPRI@M', M),'YYYYMMDD')":"20240731","^FDS_ECON_DESCRIPTION('ISMPMI@M')":"ISM Manufacturing PMI - United States","^FDS_ECON_DATA('ISMPRD@M',0,0/0/-10,M,STEP,AVERAGE,1)":[45.9,48.5,50.2,51.3,54.6,48.4,50.4,49.9,48.8,50.0,51.9,49.9,48.4,47.1,50.5,48.7,48.0,47.6,48.3,48.4,50.9,51.6,50.9,50.7,53.5,54.7,54.6,54.0,55.3,58.3,57.5,58.3,60.1,58.5,58.9,60.3,59.6,60.7,60.7,63.1,66.8,62.4,61.9,64.2,60.7,62.8,61.5,62.3,61.1,56.5,34.2,27.4,48.3,50.1,54.8,45.5,48.1,46.2,48.3,47.7,50.5,52.5,52.3,53.8,56.0,55.8,57.9,55.6,59.5,60.8,62.0,62.0,59.3,60.6,61.9,60.3,60.6,63.1,64.3,65.9,63.1,62.0,60.2,60.3,60.3,60.3,59.0,59.4,58.1,62.8,60.8,58.7,55.0,53.9,53.3,50.1,54.6,54.2,53.9,53.8,54.8,51.9,49.0,49.8,50.2,51.9,51.5,52.6,53.9,53.2,54.6,55.7,55.0,55.0,55.9,58.7,60.2,60.7,62.0,60.1],"^ECON_EXPR_UNITS('RETURNS(FDS_ECON[US.LMCLAIMS,DIST=STEP,CONV=AVERAGE], -1AY)')":"Growth Rate","^CONVERT_DATE(SPEC_ID_ENDDATE('CC_US:FDS_ECON_RINDPRD_M', M),'YYYYMMDD')":"20240731","^FDS_ECON_DESCRIPTION('ISMPRI@M')":"ISM Manufacturing PMI, Prices - United States","^FDS_ECON_DATA('ISMPRI@M',0,0/0/-10,M,STEP,AVERAGE,1)":[52.9,52.1,57.0,60.9,55.8,52.5,52.9,45.2,49.9,45.1,43.8,48.4,42.6,41.8,44.2,53.2,49.2,51.3,44.5,39.4,43.0,46.6,51.7,52.5,60.0,78.5,82.2,84.6,87.1,75.6,76.1,68.2,82.4,85.7,81.2,79.4,85.7,92.1,88.0,89.6,85.6,86.0,82.1,77.6,65.4,65.5,62.8,59.5,53.2,51.3,40.8,35.3,37.4,45.9,53.3,51.7,46.7,45.5,49.7,46.0,45.1,47.9,53.2,50.0,54.3,49.4,49.6,54.9,60.7,71.6,66.9,72.1,73.2,76.8,79.5,79.3,78.1,74.2,72.7,68.3,64.8,68.1,71.5,61.7,61.7,53.0,59.5,68.3,68.8,66.9,67.9,64.2,53.5,54.8,53.1,53.6,54.9,59.8,61.4,57.9,52.1,38.3,33.9,33.9,35.7,39.8,37.6,38.8,45.1,49.7,49.0,41.6,40.1,35.2,35.1,37.8,44.4,52.7,58.7,56.9],"^FDS_ECON_UNITS('ISMPMI@M')":"Diffusion Index","^CONVERT_DATE(FDS_ECON_STARTDATE('ISMBUS@NM', M),'YYYYMMDD')":"19970731","^ECON_EXPR_DESCRIPTION('RETURNS(FDS_COM[USCM1020424,DIST=STEP,CONV=AVERAGENP], -1AY)')":"(% 1YR) CRB Sub Index, Raw Industrials, 1967=100, Index - United States","^SPEC_ID_DATA('CC_US:FDS_ECON_RINDPRD_M',0,0/0/-10,M,NONE,AVERAGENP,2)":[-0.17803055,1.1413262,0.28403324,-0.7058429,-0.3055995,-0.071595125,-1.230783,0.78987217,-0.21240318,-0.837263,-0.21683991,-0.072889194,0.021057637,-0.42938113,0.014567929,0.31262633,0.13742632,0.93720114,1.5146036,0.62434036,1.8143864,3.079094,4.5831375,3.1278114,2.9817083,3.1853027,3.8101883,4.648247,4.5627537,6.636777,2.4299312,3.045602,4.4511304,3.966409,3.2370994,4.2862773,5.3293715,8.6979475,15.318891,16.119871,0.601295,-6.063235,-2.4903984,-3.6669836,-5.087157,-4.9830785,-6.4109836,-6.666576,-6.864322,-10.598533,-16.019512,-17.202282,-5.08586,-1.1216133,-1.9568536,-2.0212388,-1.7913214,-2.25335,-1.5789049,-1.2272904,-1.3065509,-0.6617544,0.03574882,-1.0452315,0.6280194,1.0745891,1.847166,2.5205173,2.729204,2.9115956,4.3665953,4.4425354,3.2667742,2.8788981,2.25012,3.312122,3.1752906,3.348687,2.7013898,2.470199,2.953908,2.2948897,1.1078991,0.90092736,1.255802,1.6261275,1.906368,1.5882816,0.9022702,-0.49290764,-0.6268158,0.09449494,-1.0984889,-1.4303644,-1.9653593,-2.154058,-2.2199185,-1.7194114,-2.4934626,-2.714731,-3.5597901,-3.1461787,-3.2621121,-4.505135,-4.0166874,-2.7241356,-2.2427258,-1.6716976,-1.6597046,-2.0653672,-1.4394674,-0.5910006,0.042656288,1.379196,2.802683,3.2290235,3.4341671,3.060347,2.9200869,3.1586185],"^FDS_ECON_UNITS('ISMPRI@M')":"Diffusion Index","^CONVERT_DATE(FDS_ECON_STARTDATE('ISMPMI@M', M),'YYYYMMDD')":"19480130","^PSETCAL('FIVEDAY');ECON_DATE(0, 0/0/-10, M, 'YYYYMMDD')":["20240731","20240628","20240531","20240430","20240329","20240229","20240131","20231229","20231130","20231031","20230929","20230831","20230731","20230630","20230531","20230428","20230331","20230228","20230131","20221230","20221130","20221031","20220930","20220831","20220729","20220630","20220531","20220429","20220331","20220228","20220131","20211231","20211130","20211029","20210930","20210831","20210730","20210630","20210531","20210430","20210331","20210226","20210129","20201231","20201130","20201030","20200930","20200831","20200731","20200630","20200529","20200430","20200331","20200228","20200131","20191231","20191129","20191031","20190930","20190830","20190731","20190628","20190531","20190430","20190329","20190228","20190131","20181231","20181130","20181031","20180928","20180831","20180731","20180629","20180531","20180430","20180330","20180228","20180131","20171229","20171130","20171031","20170929","20170831","20170731","20170630","20170531","20170428","20170331","20170228","20170131","20161230","20161130","20161031","20160930","20160831","20160729","20160630","20160531","20160429","20160331","20160229","20160129","20151231","20151130","20151030","20150930","20150831","20150731","20150630","20150529","20150430","20150331","20150227","20150130","20141231","20141128","20141031","20140930","20140829"],"^FDS_ECON_DATA('ISMPMI@M',0,0/0/-10,M,STEP,AVERAGE,1)":[46.8,48.5,48.7,49.2,50.3,47.8,49.1,47.1,46.6,46.9,48.6,47.6,46.5,46.4,46.6,47.0,46.5,47.7,47.4,48.1,48.9,50.0,50.8,52.8,52.8,53.4,56.1,55.6,57.3,58.3,57.4,58.3,60.7,60.5,60.5,59.6,60.0,61.4,61.7,60.9,64.0,60.7,59.2,60.2,57.3,58.7,55.5,55.4,53.8,52.6,43.5,41.8,49.0,50.1,51.4,47.9,48.1,48.1,48.1,48.5,51.0,51.5,52.6,53.6,54.9,54.4,55.7,54.9,58.6,58.1,59.3,60.5,58.1,59.9,59.0,58.6,58.8,60.9,59.4,59.7,57.6,58.6,60.0,58.4,56.5,56.2,56.4,55.8,56.5,57.7,55.7,54.4,53.2,51.8,51.1,49.8,52.7,52.2,51.4,51.3,51.0,49.2,47.6,48.7,49.1,49.1,50.1,50.2,52.0,52.5,52.9,51.9,52.1,53.0,53.9,55.7,56.3,56.2,55.7,56.3],"^FDS_ECON_SOURCE('ISMPMI@M')":"ISM - Institute for Supply Management","^CONVERT_DATE(ECON_EXPR_ENDDATE('RETURNS(FDS_COM[USCM1020424,DIST=STEP,CONV=AVERAGENP], -1AY)', M),'YYYYMMDD')":"20240830","^FDS_ECON_SOURCE('ISMPRI@M')":"ISM - Institute for Supply Management","^CONVERT_DATE(FDS_ECON_STARTDATE('ISMPRD@M', M),'YYYYMMDD')":"19480130","^FDS_ECON_SOURCE('USSU2929306')":"Investors Intelligence","^FDS_ECON_UNITS('ISMPRD@M')":"Diffusion Index","^CONVERT_DATE(SPEC_ID_STARTDATE('CC_US:FDS_ECON_RINDPRD_M', M),'YYYYMMDD')":"19200130","^CONVERT_DATE(FDS_ECON_ENDDATE('USSU2929307', W),'YYYYMMDD')":"20240809","^ECON_EXPR_UNITS('RETURNS(FDS_COM[USCM1020424,DIST=STEP,CONV=AVERAGENP], -1AY)')":"Growth Rate","^FDS_ECON_DESCRIPTION('ISMBUS@NM')":"ISM Services PMI, Business Activity - United States","^FDS_ECON_DESCRIPTION('USSU2929307')":"Investors Intelligence, Sentiment Data, Bearish, Percent - United States","^CONVERT_DATE(FDS_ECON_ENDDATE('USSU2929306', W),'YYYYMMDD')":"20240809","^CONVERT_DATE(ECON_EXPR_STARTDATE('RETURNS(FDS_ECON[US.LMCLAIMS,DIST=STEP,CONV=AVERAGE], -1AY)', M),'YYYYMMDD')":"19680131","^FDS_ECON_SOURCE('ISMBUS@NM')":"ISM - Institute for Supply Management","^CONVERT_DATE(ECON_EXPR_STARTDATE('RETURNS(FDS_COM[USCM1020424,DIST=STEP,CONV=AVERAGENP], -1AY)', M),'YYYYMMDD')":"19480130","^FDS_ECON_DATA('USSU2929306',0,-20AY,W,STEP,AVERAGENP,1)":[null,44.6,46.9,59.4,64.2,63.6,62.7,63.1,61.5,61.2,60.3,57.6,58.2,59.4,56.5,50.0,47.0,46.2,56.5,58.1,62.5,60.6,60.3,60.9,59.4,57.6,57.3,58.8,54.3,57.7,52.9,48.5,54.4,57.1,null,56.9,55.6,55.1,55.7,52.2,50.7,49.3,42.9,50.0,51.4,48.6,42.3,43.7,48.6,50.7,49.3,43.1,44.3,47.1,52.2,57.1,55.6,54.2,51.4,54.9,50.0,54.3,53.4,51.3,47.9,46.5,45.2,44.6,45.8,48.6,50.7,48.7,48.6,40.8,39.7,40.3,45.2,38.4,44.4,45.1,48.6,47.1,45.1,46.5,41.4,36.6,null,37.5,42.9,43.3,38.4,41.7,38.6,35.2,35.8,36.9,31.3,25.0,25.4,25.4,30.0,32.4,29.7,38.4,45.1,45.0,44.4,41.1,38.9,35.2,32.4,30.5,32.9,26.5,29.4,35.7,35.2,28.2,27.8,27.6,30.9,34.2,32.1,35.8,39.1,37.7,35.3,30.6,32.2,29.9,32.2,33.7,34.1,35.7,34.9,39.8,43.7,50.6,null,42.2,43.9,39.8,49.4,56.6,57.2,56.5,54.0,48.9,43.2,42.1,40.4,46.5,47.1,50.0,52.6,52.1,50.0,51.1,56.4,54.1,52.6,53.1,61.2,60.8,59.6,56.5,54.1,54.5,53.6,51.5,54.5,58.6,60.4,59.2,63.7,63.4,60.8,54.4,57.4,55.9,51.0,53.9,56.3,59.1,58.6,57.8,61.2,60.4,63.7,60.2,null,62.4,63.6,64.4,64.7,64.6,59.6,59.2,53.6,60.6,59.2,56.6,54.6,52.5,51.5,54.8,59.0,61.5,60.0,59.2,58.1,56.7,57.3,56.7,58.1,57.7,54.5,57.3,54.9,56.9,53.5,50.5,49.0,47.1,48.1,46.6,43.3,40.9,33.3,31.4,30.1,34.6,36.2,41.7,49.1,54.7,52.9,47.6,52.8,59.4,57.0,55.1,58.9,null,57.7,53.3,54.8,58.1,57.2,57.6,57.1,54.2,52.8,49.1,47.6,55.3,55.1,53.8,50.0,44.9,43.9,49.1,49.5,48.1,57.2,54.2,58.0,56.7,55.2,53.3,50.5,48.1,42.7,49.0,49.5,51.4,55.5,56.4,53.4,54.8,53.9,53.4,52.0,53.9,52.4,52.9,52.4,51.9,49.5,48.6,45.8,45.4,42.1,34.8,29.9,null,39.3,45.4,46.7,38.3,39.6,42.9,42.5,44.3,50.5,51.9,56.3,61.8,60.6,59.0,57.7,60.0,59.6,57.7,57.3,54.9,54.5,54.9,55.3,52.4,47.1,47.6,52.0,55.5,52.9,50.0,49.1,46.6,43.1,43.6,48.0,43.6,42.2,47.6,49.5,55.5,54.9,48.6,48.1,48.5,51.9,54.4,66.0,64.7,66.7,64.4,61.9,null,64.1,61.9,64.2,62.3,61.5,63.5,64.4,63.5,62.3,60.0,60.4,57.5,54.3,50.5,47.1,49.5,49.5,48.1,50.5,57.5,60.0,60.2,57.8,50.0,52.5,54.9,51.5,50.0,55.8,50.0,51.9,58.1,58.7,58.5,54.7,51.9,56.3,55.8,49.5,56.7,53.4,57.7,63.1,61.2,61.8,62.7,61.8,58.2,60.6,58.6,60.2,null,59.8,59.6,58.8,56.3,55.9,51.0,42.9,41.7,47.1,42.9,46.1,46.7,45.2,44.6,49.0,52.5,55.9,56.7,56.2,54.3,52.9,53.9,54.4,52.5,47.1,41.6,47.5,45.9,47.3,45.4,35.4,40.2,39.2,40.2,44.3,47.4,41.2,45.4,43.3,47.4,44.4,39.4,36.4,34.7,26.5,24.7,34.0,29.2,26.8,28.6,34.7,null,36.7,37.8,44.9,41.2,45.4,43.3,45.3,46.9,43.7,37.5,36.5,30.2,24.7,26.0,26.8,25.7,27.8,31.6,37.7,40.2,42.2,43.3,49.0,43.7,44.8,49.5,51.6,45.5,47.4,51.5,48.5,50.6,47.5,52.5,57.4,52.5,50.5,50.4,54.5,56.6,52.0,53.6,58.7,59.5,56.6,52.5,49.0,53.1,49.0,48.0,50.5,56.4,52.5,49.5,51.5,53.4,56.5,56.4,55.5,54.6,47.0,35.3,37.8,45.5,47.5,48.0,52.5,57.6,56.1,52.5,49.5,46.4,50.5,55.6,56.5,56.6,60.6,57.6,60.2,61.4,62.6,62.2,58.3,57.2,55.1,55.8,54.7,51.6,50.5,54.6,50.5,54.7,52.0,55.1,54.6,53.5,46.5,41.8,45.9,53.1,57.6,56.1,60.6,61.6,59.6,58.2,58.2,57.1,55.7,53.6,52.6,55.2,52.6,49.5,42.3,45.4,46.4,44.3,42.3,37.1,37.1,38.1,43.3,47.4,51.6,48.4,51.5,52.1,46.9,43.8,41.7,46.8,43.8,45.8,52.1,55.2,54.2,52.1,47.9,44.3,47.4,50.5,52.0,49.5,47.4,50.0,44.2,46.3,48.4,52.6,54.7,54.3,53.2,53.2,51.1,47.8,48.9,46.8,45.7,43.6,39.3,37.2,38.3,43.6,41.5,41.5,42.6,45.7,46.8,51.0,54.2,51.1,51.0,48.9,47.3,43.6,43.6,39.4,40.4,43.6,44.7,42.5,38.7,37.2,37.2,34.0,39.3,38.3,39.4,38.7,43.0,41.9,44.1,48.4,52.7,50.5,48.4,43.6,47.9,51.1,51.1,54.8,52.1,48.9,50.0,60.0,51.1,49.5,50.5,48.4,45.3,47.4,44.2,47.4,47.4,44.2,43.2,40.0,35.8,34.4,34.4,37.6,37.6,35.5,38.7,40.9,40.9,46.2,47.3,46.3,49.5,46.2,44.1,40.9,39.8,37.6,37.0,40.9,45.2,43.0,45.6,51.1,54.9,54.3,54.2,55.4,57.3,51.6,50.6,52.2,52.2,50.6,53.3,52.2,53.4,52.7,55.1,56.0,57.3,54.5,55.6,58.8,56.8,56.2,55.4,55.7,56.2,48.4,46.7,45.6,45.1,47.2,45.6,43.3,41.4,36.7,33.3,29.4,33.3,36.7,41.7,38.9,38.2,35.6,32.6,37.0,41.1,41.1,37.0,38.5,39.8,39.3,43.8,47.2,56.0,54.0,53.3,51.1,48.9,48.3,48.9,46.1,44.9,42.1,41.1,35.6,34.1,38.9,40.0,52.2,53.4,48.3,51.1,52.2,52.2,48.4,50.0,50.6,46.1,44.4,48.3,48.3,49.5,47.2,48.9,50.6,46.7,47.8,48.3,50.6,51.6,48.3,49.4,47.2,42.2,36.7,35.6,42.7,41.4,43.6,44.8,47.7,42.5,40.9,40.7,41.0,40.4,36.0,39.1,43.2,36.0,31.0,28.9,28.4,26.4,29.7,28.6,31.1,32.3,35.2,34.8,38.7,43.0,41.8,38.5,35.1,26.9,25.3,23.1,29.0,30.9,31.9,30.3,23.1,22.2,22.4,25.3,33.7,37.5,37.9,38.2,37.8,39.3,40.7,31.8,34.0,30.0,29.2,27.8,27.4,31.9,33.7,36.3,43.0,44.8,37.9,47.3,46.0,44.4,40.9,39.1,37.8,37.4,36.4,36.7,30.9,31.1,41.9,42.0,41.6,36.7,41.6,40.2,41.6,45.6,48.4,52.2,54.9,56.5,53.3,49.4,47.3,47.9,51.1,54.5,53.8,56.5,62.0,60.2,56.5,55.6,53.9,48.3,42.9,41.7,40.6,43.8,43.8,47.2,53.9,52.3,49.5,49.4,53.8,53.3,56.7,52.2,53.8,54.3,54.3,53.3,51.7,51.1,52.7,49.5,50.6,48.4,46.6,45.5,46.2,50.5,50.0,51.1,52.2,53.3,52.7,50.5,55.4,55.3,56.5,58.8,59.6,59.8,57.5,58.5,56.4,52.1,53.7,52.7,52.2,52.2,49.5,47.4,47.4,45.8,43.2,42.1,40.0,40.9,40.2,41.5,42.2,42.1,42.2,38.7,37.4,35.6,38.7,40.2,42.6,43.8,46.3,44.3,43.9,45.4,48.0,53.2,49.5,46.7,46.3,42.3,42.7,42.6,45.3,48.9,51.6,52.6,53.7,57.3,56.8,55.7,60.4,55.0,58.8,56.2,55.8,53.6,53.1,50.6,46.4,44.8,45.3,45.8,49.5,53.2,54.3,53.2,52.1,51.1,56.8,57.3,59.1,57.3,55.9,52.7,54.5,53.9,55.1,53.9,52.7,50.6,47.8,46.7,46.2,46.2,43.5,44.0,48.4,46.2,47.9,51.6,53.6,54.5,55.7,54.7,54.1,56.6,54.6,54.5,56.0,55.9,59.4,62.9,62.9,61.2,62.1,60.8,57.3,57.1,58.2,58.1,57.0,56.4,58.9,54.1,52.6,51.0,50.0,50.0,45.9,43.6,39.6],"SP50^FMA_PE(NTMA,NOW,-10AY,W,\"PORTAGG\",\"MEANR\")":[21.1596689337668,20.4150662058136,20.4561997655452,20.9378731132968,21.1511610653377,21.6278021539989,21.4855781764647,21.1144357408058,21.1634572519335,21.0802354629885,20.8047122838433,20.5934946145305,20.7553127937093,20.8483349171523,20.587743800808,20.2709001668325,20.2460852832112,19.8308527420065,20.5271430981615,20.8202010083023,21.0879891743413,21.0442854175263,20.6275809611456,20.6935130615392,20.8106425705619,20.676572121043,20.4135030392314,20.5544908220325,20.3102226115127,20.1722880760053,19.9173651238981,19.691118758666,19.333142692729,19.6547915209354,19.6223944876555,19.510804442689,19.0283088814976,19.0109667534153,18.9158523816262,18.8092650589409,18.4355895990356,18.209531784963,17.2079220497662,17.6891163676082,18.1175419624462,18.0954720787506,18.01914196775,18.1737612824327,18.7750470258243,18.8523978980466,19.130474457018,18.6864267168017,18.6675448277372,19.1361996861337,19.2508143102129,19.8101196480353,19.7417691622747,19.5994859609781,19.1473428218138,19.3944153830311,18.9347599808008,19.2288294439249,18.7687596025266,18.7212905934157,18.4158568373504,18.457862693536,18.1936242444254,18.2637965180835,18.4102041222055,18.3968197209206,18.4190826401068,18.2945164088871,18.312350797338,17.6708921673101,17.4336468179609,17.1988501764617,18.0579916704836,17.7629143904978,18.24588436958,18.2898582042266,18.5057343455688,18.1766306421811,17.5963222918283,17.6459036262377,17.113608367076,16.8511604541226,16.8809978997045,16.9051586277283,17.2655949118127,17.8613597094919,17.6683903704891,17.4325723259031,17.5766877300828,16.5918212690279,17.0934894857253,16.2387120720927,15.4421236924012,15.6488466583998,15.3970207185663,15.817213079359,16.609502228796,17.4515787002516,16.8523481260602,17.4484314362139,18.185442020243,18.4394921693671,17.842205538609,17.7669165835883,16.8989336095902,16.428093875296,16.5459673335316,16.2518114657264,16.6044400004253,15.6053290178002,16.5831057976014,17.5258399164514,17.7657630728337,16.7138942701996,17.2886396377293,17.7597310124433,17.8451761962642,18.3703291311662,19.0106923517774,19.5178949432652,19.8570671790919,19.8929256809131,19.6001897794339,18.494831237995,19.1700773785178,19.4733003790642,19.3612970444022,19.7139667704407,20.1528262390386,19.8532532675724,19.8262145991755,21.0504943400057,21.1602327346971,21.6581802936971,21.574540592404,21.1145648600491,21.5799006453749,20.9244965118078,21.2476516574299,21.7867126435158,21.7877036232116,21.9098433366182,21.5990945188949,21.3415230070687,21.0726722620555,20.7924827222114,20.6977539250412,21.1959381147797,21.128653519149,21.2924419744978,21.6846207093358,21.5986206303598,21.318084720389,21.5360287992346,21.4658030711258,21.3965707003963,21.8696777089661,21.6195810056142,22.0056103225144,21.9705278642203,21.688517886606,21.1908546463649,21.6691539055168,21.6351870232758,21.5770941697701,21.4196805787094,21.6312644678452,22.0427157467546,22.028255811287,22.630382773366,22.8321424983403,22.8584421884388,22.389250982542,22.2647997284708,22.0194314215758,22.3018122769588,21.8388050764092,21.7876355976354,22.5031692223925,22.7723034301526,22.5813470827611,21.7855548106067,22.905389805728,22.6709709590653,23.1768601727226,22.9521793568535,22.7644236648378,22.8878437423072,22.7378797193837,23.0785831541813,22.8111589481334,22.3691093660909,22.6295596734807,22.299373753985,20.9239966305517,22.4451539292668,22.740683500031,22.8489235266142,22.1460999196999,21.9003418035097,22.169554774197,22.4076461137461,23.1357188063663,23.8030507816283,23.154876067962,23.0961457859052,23.0241333954526,22.6364911523854,22.7125309268198,23.0313573305932,22.958626085339,22.5594189143509,21.7788527268004,22.5074996777833,22.1675606399683,23.3689806518952,22.390826514254,21.7947421055635,21.117996264303,21.5591197285726,20.4967350735598,20.1602751596444,19.9384288344869,18.4365275447804,15.8229119388428,15.6077363641478,13.7894456850971,15.8705061096965,17.2104659154821,17.0285210630358,19.2283202030051,19.4622538195239,19.1433660552162,18.4973707709106,18.8629850259633,19.0551163979014,18.6974878694343,18.54336537032,18.5940202618105,18.5183698479166,18.2242716003867,18.1282840585368,18.1532526831025,17.9990520246836,18.1138134715112,17.9831907748943,17.8538088534898,17.6128869200289,17.3948984673229,17.2950409179155,17.1684220110906,17.1961709898206,17.4067022875048,17.5007027609616,17.3916888609432,17.1192250459249,16.6877309092574,16.9635926807953,17.1665200963901,17.2063652921729,17.7734567426356,17.4905911599325,17.6844020113166,17.520264950499,17.2159051455365,17.2892635118775,16.9388106167058,16.8621515823492,16.1334552121262,16.5862340289484,16.8129475184911,16.9713236447671,17.2656553413293,17.2533140243944,17.0855706236866,17.1384768292051,17.0775325547365,16.7310800513897,16.5561376155914,16.7105548420507,16.2645251691543,16.6465247819432,16.5824292559235,16.4784497765568,16.0890387332464,16.0689329748878,15.739095723061,15.7717762965005,15.3516788504007,14.9040378855738,14.546239913057,14.1534325592477,15.1627470622542,15.3172936746875,16.0472219057766,15.3226177713933,15.9317787382928,16.204567865245,15.8664796028142,15.4688048506418,16.1245141901372,16.1416034006042,16.849156931565,17.0744057192044,17.2118012834981,17.109144798173,16.9313158873372,17.1578963411159,17.0320448530919,16.9147341714879,16.8387147475386,16.9112674844156,16.8369184862039,16.7981860497897,16.8548383838509,16.6303906025359,16.4167910289917,16.6720026005914,16.8714355541358,16.9201556002374,16.6985801507918,16.6505498415039,16.6302666686773,16.7890793650893,16.450407385866,16.5320668700809,16.7026059103574,16.6672716229478,16.3947526415168,16.6629173038705,16.3651927109542,17.4624537325575,17.7073851755327,17.1277558450208,17.5191593329022,17.4770921082158,16.8234778221999,17.8774800191606,18.8795957779663,18.7469159614756,18.7831646837089,18.7669339853846,18.5141955619541,18.6524677995408,18.731678003531,18.6093490314202,18.5955589932968,18.3947342482891,18.2647299056961,18.3209469532567,18.4100886590498,18.3953410869202,18.399813023613,18.2547991098739,18.2354931084262,18.0383327383243,17.9731760277311,17.9832347729792,17.7301581331133,17.8541100090744,17.6659443478369,17.5706257192402,17.7015422409896,17.9738208961522,17.9630142905425,18.0578920170401,17.9581477281008,17.69657662692,17.7171819966343,17.8780385314588,17.873936295502,17.9051047120274,18.0100484939991,17.8637341281055,17.6096933862549,17.711659111736,17.7970681888661,17.70611372453,17.5203014156093,17.4229118894958,17.6519784998413,17.7385561748935,17.6339581200074,17.9368600964155,17.9226878558301,18.021679639566,17.935864365921,17.8326352482203,17.5832732416786,17.4144698385508,17.4023239511171,17.1226080870609,17.1731678703802,17.2244829661451,16.9851142207877,17.2177080923983,17.2209308935184,17.2603121820138,16.7796086673301,17.012964447507,16.8083172675814,16.7037724917649,16.131229964493,16.4437534785901,16.5454805669405,16.5518770264585,16.7271975886865,16.8802513507834,16.8782759387806,16.7153537403035,16.6601053341784,17.1317912320809,17.0685786133584,17.2116220547172,17.2763015590833,17.3035648966223,17.2582755992612,17.2825449075297,17.2169945203926,16.9978866623206,16.7743754188927,16.2454151081026,16.5435141749236,16.7668810649651,16.8233136290073,16.8676483769431,16.5336043105965,16.4998986119664,16.6027259191156,16.6741082091493,16.8821448896127,16.8273651982356,16.5694579425782,16.7684028282556,16.4552716247451,16.5686109668896,16.3528950896619,16.1941013729098,15.7675348495092,15.5089335792987,15.0787681713265,15.1814944946572,15.6530222853115,15.2646709671459,14.9765245721074,15.195466016931,16.1381335750818,16.273763471973,15.8561883210288,15.8811008775547,16.4985354576297,16.4961895267794,16.5095602978179,15.9916965184968,16.60652048149,16.3779131513678,16.4084592484572,16.0569689088569,15.8847531764858,15.3643710727992,15.2160096393519,15.4138257849348,15.4415010637933,15.0939525346701,15.6209641901727,15.5035899971599,16.4733740787784,16.3752905274005,16.5677024984232,16.3961630557337,16.7833438222165,16.3345250326757,16.341575258234,16.5087590272833,16.6018502342821,16.4898456748889,16.4998586900213,16.6315513430228,16.8038282611092,16.8180588055152,16.7994748891417,16.7566762182431,16.932656926141,16.639775011348,16.7922841662853,16.5158220406431,16.4841269765708,16.8755241883021,16.4397007424533,16.5703140072374,16.8546079516997,16.9049679495424,16.8033872456798,16.4778133154755,16.015491419099,16.375215161256,15.9233761374603,16.0134425249971,15.9505394020144,16.2084668570498,16.0808488463214,15.4893920364375,15.9617021580052,15.8893571657757,15.8341143176972,15.6817203738547,15.6116287034314,15.5213975435408,15.1037127885016,14.4607267703123,14.5584537909304,15.0163765130093,15.1133077950631,15.3573819583362,15.1908771382296,15.3767308004161,15.3654340820229,15.2887126188665],"^ECON_EXPR_SOURCE('RETURNS(FDS_COM[USCM1020424,DIST=STEP,CONV=AVERAGENP], -1AY)')":"CRB - Commodity Research Bureau","^SPEC_ID_DESCRIPTION('CC_US:FDS_ECON_RINDPRD_M')":"United States - Industrial Production Growth - %Chg YOY Mth End","^FDS_ECON_UNITS('USSU2929306')":"Percent","^FDS_ECON_UNITS('ISMBUS@NM')":"Diffusion Index","^CONVERT_DATE(FDS_ECON_STARTDATE('USSU2929307', W),'YYYYMMDD')":"19690620","SP50^FMA_EPS(NTMA,0,-5AY,W,USD,\"PORTAGG\",\"MEANR\")":[263.723395848799,263.021554095199,262.548881932912,261.954581997353,261.471954797238,260.834627979951,260.293627056882,259.789611999719,259.382929238759,258.804496454976,258.136285409038,257.362241756139,256.646085174343,255.404218310854,254.689361088043,253.925189591279,252.831408625286,251.408002960582,250.476443888774,250.746643489597,249.894901752034,249.419091386867,248.717569072764,248.198037411536,247.399312896626,246.613642333893,245.642318084188,244.925150391764,244.457971706187,242.71033170845,243.177419644535,243.058697417951,243.011732363177,242.696635458741,242.379112015269,242.000172602743,242.156837906175,241.914861948258,241.305890948856,240.29967097491,239.850271456498,239.754162565468,239.727782909977,239.316335579816,239.392829255339,238.65818370587,238.571618250912,238.344005296091,237.698923691925,237.12012655349,236.744908090265,236.470450557385,234.754794784185,233.971385289783,233.33111407263,232.098538139513,230.599828760484,230.627891222128,230.504479023253,230.21328911433,230.389718675149,230.055858772531,229.765572375816,229.452564660377,229.060796261736,227.784605474993,227.333251095808,227.114843298597,227.111620123171,225.317801614143,225.258926532878,224.981814957127,224.977926578519,225.243117521074,225.148538080022,224.971286411904,224.442906556032,223.867718142283,223.883602017646,223.92166732709,223.754327885797,224.121757787681,225.886625395428,226.707263414502,227.636568492384,227.849413390863,227.774497188987,227.909414746003,227.915724579028,228.019524742072,227.943014850687,227.551840714334,227.265864226486,227.368906416199,228.365082919167,231.319022846139,232.292601174102,232.871956625459,233.188608267088,233.831272966285,233.552293287044,233.427145019733,233.233030914672,232.934299630358,232.914031301448,232.518541492064,232.731011966798,232.875191077501,234.857849222274,235.609199073081,236.160573020152,235.878694659332,236.108477741345,236.016349518039,235.769701358899,234.968438440658,234.612496112367,233.955573788442,233.275527254098,232.687427698308,232.017438387946,232.967719318378,231.482011073517,230.375087689515,229.323867583117,228.752225346424,228.062973716705,227.645618727208,226.12043858391,225.444797678628,224.869035559263,224.355869009281,223.513096624621,223.38541158421,221.940075954215,221.583447386539,221.067211588349,220.063869992593,219.079731872374,218.89690784704,218.441193337309,216.999749725988,216.367783240985,215.780508441283,215.092145150442,214.587001195292,213.412325378456,213.195374514331,212.460911850495,211.514732555342,210.830638858475,210.54755029821,210.160349049759,209.749876355002,209.509688600244,209.140526157901,208.717105099827,207.836502747842,207.051615963775,205.814573967876,202.184537418415,200.646904842618,199.128288291873,198.668036722751,197.94475495081,197.177989341244,196.58247694487,196.07660745463,195.397793784519,194.574905221293,193.502758899316,192.555200368784,190.340462452211,185.298834842433,183.90327843958,181.287414378746,180.187267973645,179.136595619048,178.295762753044,177.371203915887,176.438245194466,175.38842999446,174.032657830598,173.159771221677,172.440108285693,170.755504946707,167.920539497595,166.364470357274,165.105011340499,163.64770467148,162.802998205154,162.313587601789,161.474488264769,160.747427265166,160.062669064605,159.699021037317,159.180607342472,158.224240819351,157.223808108576,155.572505312931,154.481387216569,153.640061789821,152.752656809648,152.238213165747,151.424555083081,150.861195339305,149.94088081556,149.246155209062,148.646600775063,148.014257301026,147.561777824582,146.555041531228,143.860164774126,142.35395221632,141.112763859447,141.128991028495,140.568489228919,139.963640805562,139.501273838781,138.951937901253,138.189398042377,137.77713575915,137.638086230771,137.846406611836,139.883860058187,142.252688024212,145.464365011984,152.206163838365,157.951639185716,163.384589947524,167.591868999197,171.199889087072,173.041302841587,173.776907205601,173.838112064784,173.898119647259,174.017888476292,174.528324418772,174.820684385327,174.819090998171,174.689870476059,174.46265996405,174.269737667773,173.999014902869,173.962209398631,173.652628730511,173.17163452931,172.978611488403,172.467765608983,172.224165153935,172.023961081984,171.883390642156,171.98475298069,172.086619556366,172.319026185647,172.625550632576,172.299409104112,172.271418067356,171.70821565364,171.396591743431,171.075625514799],"XAUUSD-FX1^FG_PRICE(0,-7AY)":[2513.97,2504.29,2508.09,2456.79,2447.87,2465.14,2473.0,2430.8,2427.68,2382.92,2390.73,2410.76,2442.11,2446.3,2447.73,2410.73,2384.34,2386.0,2364.32,2397.4,2409.63,2396.54,2398.84,2445.36,2458.9,2469.02,2422.44,2411.49,2415.01,2370.94,2364.23,2359.69,2391.5,2356.22,2329.7,2331.86,2326.14,2327.93,2298.19,2319.76,2334.66,2321.51,2360.0,2329.41,2319.03,2332.9,2304.11,2323.67,2316.9,2310.82,2293.38,2376.12,2354.23,2326.92,2350.9,2327.82,2343.63,2338.59,2361.51,2334.4,2328.97,2378.58,2421.73,2426.24,2415.02,2376.4,2386.16,2358.14,2336.23,2360.53,2346.51,2308.45,2314.12,2323.96,2302.5,2303.5,2319.18,2286.25,2335.83,2337.97,2332.2,2315.97,2322.15,2327.1,2390.6,2379.22,2358.23,2382.85,2383.06,2344.42,2371.87,2333.58,2352.56,2339.4,2328.7,2290.33,2299.56,2280.6,2252.3,2233.43,2194.76,2178.91,2172.04,2165.4,2181.3,2186.3,2157.52,2160.31,2155.92,2162.2,2174.33,2158.25,2182.84,2177.85,2160.2,2148.3,2128.13,2114.36,2083.65,2044.15,2034.47,2030.43,2031.28,2036.0,2024.59,2025.89,2024.12,2013.43,2003.92,1992.28,1993.25,2020.1,2024.47,2034.36,2035.22,2036.11,2025.2,2038.8,2055.29,2040.16,2036.95,2032.73,2018.71,2020.86,2014.0,2029.26,2021.7,2029.68,2023.13,2006.24,2028.28,2049.03,2029.75,2024.4,2030.29,2028.04,2045.85,2043.54,2041.56,2059.13,2065.2,2065.6,2077.49,2058.3,2053.3,2045.94,2031.52,2040.31,2027.28,2018.4,2036.37,2027.68,1979.54,1981.91,2003.6,2028.52,2025.47,2019.36,2029.5,2071.25,2036.72,2044.2,2040.69,2014.03,2002.33,1990.28,1998.34,1977.9,1980.39,1981.49,1959.49,1963.49,1946.19,1937.05,1958.57,1950.2,1969.3,1977.8,1992.52,1986.01,1982.41,1983.67,1996.13,2006.5,1984.7,1979.85,1970.99,1972.86,1981.33,1974.4,1947.5,1923.18,1920.0,1932.97,1868.99,1874.4,1860.37,1861.3,1831.66,1820.31,1821.55,1823.01,1828.12,1848.76,1864.81,1875.06,1900.7,1915.99,1925.52,1920.06,1930.32,1931.4,1934.08,1923.6,1910.9,1906.83,1913.64,1922.31,1919.16,1919.63,1916.7,1926.01,1939.85,1940.03,1942.32,1937.51,1920.17,1914.23,1916.81,1915.51,1897.45,1894.88,1889.4,1889.49,1891.71,1901.97,1907.23,1913.67,1912.27,1914.26,1925.3,1936.6,1942.87,1934.06,1934.5,1944.36,1965.1,1959.67,1945.51,1972.2,1964.91,1954.7,1961.87,1969.5,1976.54,1978.83,1955.07,1955.27,1960.51,1957.44,1932.37,1925.37,1925.57,1911.01,1915.63,1921.78,1919.38,1908.53,1907.51,1913.73,1923.21,1921.7,1913.84,1932.6,1936.29,1957.85,1958.03,1942.05,1943.67,1957.65,1960.99,1968.1,1939.99,1963.41,1961.79,1948.02,1977.65,1962.67,1959.52,1946.71,1940.69,1957.15,1975.22,1971.78,1977.8,1957.83,1982.09,1988.94,2016.97,2011.2,2015.52,2029.83,2034.43,2021.65,2016.57,2049.9,2039.37,2016.69,1982.42,1989.7,1988.01,1989.56,1997.52,1989.24,1982.44,2004.69,1994.75,2005.3,1995.12,2004.4,2040.06,2015.02,2003.71,1990.03,2007.89,2020.73,2020.34,1984.48,1969.84,1980.61,1964.39,1974.06,1956.67,1978.3,1993.82,1969.07,1940.51,1978.85,1989.01,1920.22,1918.38,1902.79,1913.53,1868.14,1830.9,1813.95,1813.51,1846.89,1855.22,1835.58,1836.88,1825.55,1817.28,1811.04,1822.44,1825.26,1834.9,1841.46,1836.57,1836.1,1854.34,1854.07,1864.82,1861.71,1875.77,1873.79,1867.84,1865.75,1913.06,1950.36,1928.07,1923.33,1928.08,1929.45,1946.42,1937.41,1931.36,1926.96,1932.39,1904.27,1908.87,1920.44,1897.03,1875.84,1876.93,1871.8,1866.07,1833.02,1854.69,1839.79,1824.56,1813.76,1804.36,1813.5,1798.16,1791.61,1814.3,1818.0,1787.54,1792.41,1776.69,1807.12,1810.55,1781.21,1796.85,1789.29,1786.04,1771.01,1768.44,1797.95,1803.09,1768.43,1749.73,1741.62,1754.58,1749.62,1739.84,1738.03,1749.97,1760.5,1773.12,1778.97,1770.94,1770.7,1755.62,1706.92,1712.41,1675.39,1681.27,1629.41,1635.16,1647.39,1633.56,1642.76,1663.32,1664.83,1653.06,1649.72,1657.66,1628.08,1629.22,1652.35,1650.41,1644.45,1666.37,1673.27,1666.1,1668.32,1694.84,1710.64,1716.41,1726.12,1699.85,1660.67,1660.8,1659.83,1629.35,1622.16,1644.09,1671.34,1674.09,1664.79,1675.85,1672.66,1664.51,1697.61,1702.27,1724.52,1717.05,1709.02,1718.62,1702.11,1712.44,1697.3,1711.21,1724.1,1737.58,1737.86,1758.55,1751.39,1747.52,1735.73,1747.4,1758.84,1761.62,1775.32,1779.56,1802.35,1789.71,1792.43,1794.3,1789.5,1775.1,1791.21,1765.285,1760.7,1772.24,1766.25,1755.85,1734.44,1717.46,1719.8,1727.4,1718.93,1696.7,1711.4,1709.22,1707.7,1709.96,1735.38,1725.92,1734.035,1742.8,1740.18,1739.2,1764.8,1811.1,1807.05,1817.8,1819.73,1822.77,1827.1,1822.3,1837.69,1833.09,1839.5,1857.5,1833.99,1808.44,1819.03,1871.4,1847.94,1853.365,1852.43,1841.4,1851.2,1868.61,1846.5,1838.02,1853.65,1850.58,1853.6,1866.5,1853.45,1846.6,1842.08,1816.7,1814.92,1824.01,1811.9,1821.8,1852.41,1838.36,1854.1,1884.0,1877.2,1881.5,1868.2,1862.3,1896.795,1894.65,1885.6,1904.6,1898.0,1930.7,1952.0,1957.8,1949.84,1973.9,1973.9,1978.47,1966.76,1954.4,1946.8,1931.0,1926.2,1923.61,1933.7,1925.3,1936.9,1932.905,1919.535,1922.7,1958.205,1957.57,1944.5,1921.7,1936.03,1921.9,1942.92,1927.22,1918.06,1950.4,1988.4,1996.7,1991.7,2049.8,1998.11,1974.5,1935.94,1928.795,1945.21,1909.02,1889.2,1903.91,1908.61,1898.5,1898.2,1898.2,1869.7,1853.7,1871.49,1858.465,1826.93,1833.2,1825.95,1820.53,1808.025,1804.85,1806.9,1801.01,1797.08,1791.9,1797.42,1819.77,1848.15,1843.8,1833.6,1839.4,1840.25,1813.81,1817.7,1822.8,1826.3,1821.65,1801.735,1796.425,1791.375,1810.27,1814.5,1801.4,1821.9,1802.27,1804.47,1806.285,1812.1,1808.45,1803.61,1788.8,1790.72,1797.95,1799.275,1776.875,1770.5,1786.6,1782.905,1775.0,1783.09,1784.15,1778.3,1783.3,1767.7,1782.04,1774.88,1784.66,1792.28,1788.7,1789.16,1804.72,1845.68,1858.85,1867.63,1850.53,1862.79,1864.855,1862.08,1848.89,1831.91,1824.0,1817.7,1791.62,1769.4,1788.04,1793.27,1783.505,1798.78,1796.93,1792.845,1807.8,1792.7,1782.8,1782.22,1769.15,1764.91,1767.61,1795.82,1793.125,1759.9,1753.9,1757.235,1755.985,1762.735,1760.0,1769.4,1760.925,1756.9,1727.2,1734.3,1750.8,1750.5,1742.92,1768.1,1774.315,1764.26,1754.5,1753.4,1793.9,1804.1,1793.7,1787.65,1794.5,1789.0,1793.8,1827.1,1809.785,1814.2,1813.7,1810.0,1817.1,1791.2,1790.38,1802.8514,1805.36,1781.075,1779.6,1787.0,1785.8,1787.3416,1779.76,1752.875,1750.9,1729.0,1729.4,1763.0,1804.5,1812.0,1810.635,1812.7,1814.01,1828.1,1806.5,1798.6,1797.6,1802.175,1806.9,1804.0,1810.2,1813.4,1811.8,1829.4,1827.5,1808.2,1806.6,1808.6,1802.835,1803.8,1797.6,1787.35,1776.4,1770.3,1761.0,1778.36,1781.3,1775.105,1778.9,1778.6,1783.2,1764.3,1773.4,1812.3,1858.2,1866.25,1877.6,1897.8,1888.8,1892.9065,1898.98,1891.485,1870.3,1907.7,1900.4,1903.445,1896.7,1896.51,1899.1,1880.2,1881.3,1877.5,1869.5,1869.9,1865.7,1843.1,1826.6014,1816.0,1837.3,1835.9,1831.02,1815.6,1786.0,1779.0,1792.3,1769.13,1770.8,1780.9,1776.905,1780.5,1777.46,1784.2,1793.4,1778.0,1770.3,1776.345,1763.83,1737.0,1745.27,1733.4,1743.75,1755.425,1737.6,1744.2,1729.875,1729.875,1707.2,1685.25,1712.3,1732.695,1727.4,1734.965,1726.955,1738.8,1743.9495,1734.2,1745.25,1730.9,1731.7,1727.36,1722.7,1726.7264,1716.055,1684.55,1700.8,1698.39,1710.3,1738.2,1724.7,1733.9,1769.9,1805.0,1805.45,1809.4,1784.05,1775.7,1776.325,1794.625,1823.85,1825.475,1843.325,1838.85,1830.575,1811.95,1794.0,1834.05,1837.825,1860.03,1847.76,1842.525,1843.675,1851.075,1856.125,1855.9,1869.925,1871.95,1839.75,1828.45,1846.1,1844.975,1854.85,1843.25,1848.88,1913.325,1919.05,1949.625,1942.55,1898.9,1894.7,1878.45,1874.025,1877.1,1872.75,1860.25,1877.075,1882.43,1885.65,1864.975,1853.5,1827.35,1838.53,1836.4,1840.15,1870.325,1861.9,1839.54,1841.1,1830.75,1815.0,1777.1,1788.5,1807.6,1807.55,1838.225,1870.14,1866.9,1872.5,1879.3,1888.63,1890.41,1877.3,1865.45,1877.6,1861.68,1951.25,1949.35,1902.925,1910.15,1894.78,1878.95,1867.825,1877.1,1907.425,1901.925,1901.85,1904.4,1924.7,1906.65,1904.35,1899.075,1908.0,1901.4,1891.2,1922.75,1930.43,1893.95,1887.5,1877.55,1913.275,1899.7,1905.4,1885.75,1897.575,1881.45,1861.05,1868.475,1863.65,1900.225,1912.6,1951.33,1944.275,1959.85,1953.88,1956.725,1940.4,1946.5,1947.05,1931.275,1933.83,1930.4,1942.85,1970.575,1967.9,1964.95,1929.225,1954.025,1928.525,1927.95,1940.23,1946.45,1929.825,2001.9,1984.475,1945.35,1954.03,1914.39,1926.7,2027.925,2035.99,2063.8,2038.275,2018.625,1976.9,1975.9,1956.025,1970.675,1959.2,1942.55,1901.65,1887.425,1872.1,1842.0,1817.325,1809.9,1797.425,1813.2,1809.525,1802.675,1798.9,1803.175,1808.975,1794.7,1783.725,1775.425,1770.325,1779.55,1771.4,1771.475,1762.8,1762.3,1767.55,1755.7,1743.95,1721.9,1726.9,1726.8,1725.7,1730.8,1727.4,1737.6,1714.55,1698.55,1684.43,1714.8,1698.65,1727.9,1740.0,1730.35,1718.45,1709.0,1710.9,1735.45,1727.1,1748.1,1745.1,1732.8,1743.0,1730.5,1715.65,1702.35,1697.35,1702.65,1717.95,1685.9,1707.05,1701.7,1700.4,1686.9,1712.85,1708.65,1715.55,1729.45,1731.55,1714.8,1687.0,1695.4,1684.7,1717.7,1716.7,1727.85,1714.25,1683.25,1646.15,1648.6,1662.25,1618.45,1614.45,1591.55,1577.55,1623.05,1623.5,1630.85,1617.35,1627.8,1554.05,1498.6,1471.0,1486.3,1528.5,1514.6,1529.7,1577.1,1635.0,1649.4,1679.8,1673.75,1672.35,1636.85,1640.75,1589.55,1585.85,1644.8,1640.95,1634.95,1659.25,1643.45,1619.8,1611.4,1601.45,1583.8,1576.05,1565.9,1568.0,1572.15,1574.85,1566.45,1556.25,1552.65,1576.85,1589.65,1574.0,1577.05,1567.2,1581.85,1571.85,1562.95,1558.75,1558.5,1557.3,1552.55,1556.4,1546.5,1548.1,1562.34,1551.8,1556.6,1574.3,1565.9,1552.35,1529.15,1517.3,1514.95,1511.4,1511.0,1499.55,1485.55,1478.05,1479.15,1475.45,1476.3,1475.9,1475.9,1469.6,1474.94,1464.44,1461.51,1460.25,1476.01,1474.56,1477.54,1462.69,1466.48,1454.41,1461.38,1455.3,1462.05,1464.63,1471.44,1472.64,1471.33,1466.55,1471.17,1463.56,1456.44,1455.81,1458.75,1468.8,1490.49,1483.75,1509.72,1513.95,1513.0,1495.9,1487.82,1492.63,1504.73,1503.66,1492.1,1487.75,1484.5,1490.1,1491.9,1490.08,1481.26,1493.06,1489.85,1494.15,1505.41,1505.43,1493.55,1504.6,1505.06,1499.56,1479.19,1472.59,1496.95,1504.75,1504.13,1531.95,1522.31,1517.15,1498.95,1494.13,1501.65,1498.6,1483.25,1498.94,1497.09,1485.85,1499.05,1502.15,1519.27,1552.6,1547.43,1520.25,1527.7,1539.1,1542.78,1527.33,1526.85,1498.25,1502.58,1507.23,1495.85,1514.15,1523.21,1516.34,1501.39,1511.41,1495.25,1500.65,1501.3,1474.38,1464.09,1440.71,1446.05,1413.8,1430.85,1426.94,1418.7,1414.7,1425.57,1417.5,1425.03,1425.3,1446.09,1426.51,1406.21,1413.94,1415.75,1403.85,1418.89,1397.68,1395.6,1399.95,1418.88,1418.44,1384.31,1409.5,1409.75,1408.75,1423.27,1419.65,1399.05,1388.5,1360.27,1346.52,1339.54,1341.58,1342.36,1333.55,1329.55,1328.09,1340.7,1335.55,1330.25,1325.43,1324.99,1305.65,1288.85,1279.6,1279.5,1284.9,1283.75,1273.62,1274.98,1277.75,1277.55,1286.65,1296.67,1297.03,1299.91,1286.0,1284.13,1280.88,1285.85,1280.33,1276.65,1270.54,1276.61,1283.6,1279.8,1286.25,1277.21,1275.5,1272.4,1273.25,1275.4,1274.03,1276.9,1287.89,1290.4,1292.6,1308.05,1304.14,1297.42,1290.15,1292.38,1289.91,1293.15,1287.67,1292.15,1290.5,1309.78,1315.51,1321.9,1313.38,1309.39,1312.49,1306.55,1303.68,1301.38,1296.28,1309.18,1301.6,1293.61,1299.275,1285.78,1286.39,1287.83,1286.84,1292.765,1313.57,1319.85,1329.05,1327.44,1327.625,1323.4,1338.52,1341.55,1323.375,1312.49,1306.18,1310.8,1308.17,1314.93,1310.2,1306.5,1315.27,1312.15,1318.625,1322.08,1319.71,1311.5,1303.5,1303.43,1281.17,1282.8,1285.18,1281.21,1291.99,1293.61,1289.85,1291.3,1287.55,1286.4,1293.13,1285.55,1289.14,1284.95,1294.66,1284.55,1282.62,1280.75,1274.84,1267.05,1269.13,1255.66,1259.8,1243.1,1249.49,1245.88,1238.42,1242.05,1245.55,1242.52,1244.47,1248.68,1237.85,1238.63,1230.82,1222.105,1223.97,1221.18,1215.04,1222.27,1223.19,1226.02,1221.69,1224.16,1221.225,1213.38,1210.9,1202.14,1200.66,1209.725,1223.49,1224.82,1226.65,1231.68,1232.89,1233.24,1214.72,1223.15,1229.75,1233.59,1232.23,1234.775,1230.49,1222.17,1226.32,1225.75,1222.67,1224.43,1226.94,1217.93,1224.33,1194.78,1189.62,1188.01,1202.86,1199.66,1197.37,1203.1,1188.47,1192.09,1182.8,1194.46,1201.28,1198.86,1199.55,1207.58,1203.99,1198.35,1200.93,1193.71,1201.44,1206.19,1198.29,1195.88,1195.86,1200.15,1196.75,1191.31,1201.09,1199.88,1206.66,1201.1,1211.35,1205.97,1185.31,1195.51,1196.17,1191.875,1184.77,1174.16,1174.88,1194.03,1193.64,1211.3,1212.35,1213.61,1211.02,1206.94,1213.43,1207.86,1216.06,1223.83,1221.8,1223.38,1222.68,1231.61,1224.55,1224.54,1231.77,1222.8,1227.18,1227.52,1240.82,1241.52,1247.15,1242.16,1255.65,1257.72,1254.99,1257.76,1252.93,1241.97,1253.0,1248.25,1252.02,1258.99,1266.0,1269.28,1267.2,1268.03,1274.72,1278.31,1279.84,1302.22,1299.71,1295.97,1300.15,1298.75,1297.125,1297.0,1296.14,1292.06,1293.15,1297.75,1301.48,1298.86,1301.61,1304.88,1293.75,1291.32,1294.68,1292.5,1291.0,1291.03,1290.67,1312.82,1318.22,1321.4,1312.78,1315.71,1314.3,1315.05,1312.09,1304.85,1303.98,1315.36,1322.8,1317.27,1323.33,1330.68,1325.0,1335.13,1345.6,1349.32,1347.29,1345.92,1345.46,1335.47,1353.29,1340.875,1336.25,1333.0,1326.55,1333.35,1332.8,1336.4,1325.0,1325.0,1344.71,1353.5,1347.22,1330.65,1332.18,1308.5,1314.5,1313.85,1313.125,1325.0,1331.5,1323.05,1323.5,1322.07,1323.85,1334.69,1320.43,1322.5,1317.03,1320.0,1318.59,1329.725,1328.95,1331.96,1323.5,1328.125,1352.4,1353.39,1350.42,1329.16,1322.6,1316.25,1319.04,1319.19,1324.65,1339.45,1333.17,1348.92,1345.0,1338.71,1337.625,1351.875,1347.5,1358.5,1339.8,1334.01,1331.6,1324.7,1326.34,1338.49,1335.5,1322.42,1316.86,1311.1,1320.5,1319.59,1327.875,1313.21,1317.6,1302.8,1295.01,1287.16,1284.0,1275.25,1266.68,1265.45,1261.7,1261.73,1254.3,1253.0,1255.72,1244.4,1242.18,1248.35,1246.75,1264.5,1265.97,1276.18,1280.505,1274.83,1278.93,1294.07,1294.36,1288.23,1292.17,1280.53,1276.95,1294.37,1278.55,1278.4,1280.1,1278.35,1276.14,1285.0,1281.46,1275.32,1282.05,1269.85,1276.0,1274.4,1271.58,1276.25,1273.35,1267.11,1277.41,1276.73,1282.07,1280.73,1289.79,1281.17,1285.2,1294.74,1304.88,1293.75,1291.8,1287.85,1284.11,1276.03,1268.05,1274.7,1271.36,1271.13,1279.45,1287.3,1281.13,1293.9,1310.55,1297.38,1291.4,1301.03,1311.28,1307.57,1319.63,1329.83,1323.25,1331.94,1327.32,1346.71,1349.2,1334.15,1339.33,1324.97,1322.07,1308.76,1309.5,1310.49,1291.16,1286.33,1290.62,1284.73,1291.23,1284.5],"^CONVERT_DATE(FDS_ECON_STARTDATE('ISMPRI@M', M),'YYYYMMDD')":"19480130","ACWX-US^FMA_EPS(NTMA,0,-5AY,W,USD,\"PORTAGG\",\"MEANR\")":[4.14481848578028,4.11222308481642,4.054434486903,4.04446554113712,4.00237032436136,4.02313329963616,3.99641909579356,3.96116270619081,3.94606320255269,3.94126799206508,3.99163459248383,4.01987811264785,4.00194470280624,3.99606995406975,3.95139175825634,3.96102431126557,3.90876823743707,3.88498054737802,3.84097368000898,3.91001837149111,3.89921911973093,3.87253085381352,3.90362452815055,3.89742086908811,3.87192949405335,3.87535707335847,3.85362856999255,3.87055186020704,3.8644006882356,3.88314403874489,3.90200917022527,3.91719006043779,3.9223155796291,3.95809376761966,3.9585151172965,3.95836673429542,3.94941080878964,3.96659845817691,3.94716677503121,3.92943180842242,3.8930522877639,3.90270128645324,3.80837659171195,3.8136829197546,3.81182101862038,3.84568357648324,3.80803943789732,3.81710246134517,3.81351922703724,3.80988912997353,3.84745059257172,3.85230282085711,3.8359884760796,3.84570928375451,3.85853290010093,3.89692835562436,3.88798024556017,3.90276700435841,3.85826027599964,3.83297780302516,3.8215847004958,3.84850245341422,3.82807532294887,3.89107175437031,3.87990659838505,3.87948286218184,3.88314983372978,3.91742014418547,3.8819857659609,3.86254387762572,3.87252686862684,3.87214345664516,3.85327026153862,3.84715269563377,3.79556791769073,3.75231725525005,3.79661978679601,3.75291621617484,3.79268469213304,3.80734224826737,3.81675494048919,3.8663043047828,3.87534411995014,3.88506212435338,3.84978314319809,3.81800391379304,3.81616470727201,3.7939108987002,3.81283530129458,3.86037092333773,3.81460557578778,3.79842631100666,3.83845020600101,3.75105997070726,3.73911804547222,3.74087952723976,3.65421442343776,3.69465231539157,3.71926740426468,3.72093551279973,3.79621305055506,3.83830780234823,3.77902861699333,3.81872893226884,3.8542382300346,3.95059336525246,3.89314817675607,3.91527523924694,3.83000315658327,3.84227868772856,3.86601266559969,3.92934998220508,3.93850871835132,3.88765404588828,3.87496455190728,4.01704651364595,4.04846497760711,3.97766201617554,3.93542357709843,3.92375920507751,3.88170506977388,3.92377518250785,3.97033972142992,3.98653289470708,4.01221052645732,3.98323471101999,3.98142705131341,3.88135628234711,3.90366355660529,4.07755893798604,4.02482920173511,3.96092165558302,4.00429913543209,3.95618085793564,3.93021904855626,3.96959708465534,3.91770460287404,3.89809224970854,3.91380728156099,3.86972060409644,3.95236298682944,3.91890136727921,3.92139585131165,3.93723010986469,3.96595003395619,3.96946564188669,3.95207787061833,3.94836556310648,3.92300103955821,3.90296989332905,3.92574921325914,3.90006582429229,3.90307194773763,3.90191493418962,3.92776904734965,3.58185364696271,3.8766110781873,3.87251351354557,3.85328014352998,3.83612280047212,3.78012932655142,3.74501931637151,3.77332629359498,3.72864818905052,3.71701733662337,3.65953920339176,3.72436017906744,3.75714165249005,3.72109277350152,3.71385901661756,3.7094644991697,3.68452118826517,3.6052581934991,3.56784751522347,3.52729262684458,3.49397627660925,3.46400034290897,3.44712260446197,3.42838287308617,3.40266046225076,3.39210851130713,3.36713868252792,3.36091029345133,3.33896340146356,3.29410827765837,3.26773414392121,3.26806978462332,3.23593012379314,3.24600337534745,3.20661589720153,3.19121109209953,3.18273178245953,3.17484222303301,3.14844632052605,3.11872118534602,3.08685328109614,3.05658890255585,3.03091609542794,2.9708832225469,2.96817942707389,2.93565462680065,2.92946478953557,2.8953098091069,2.85869245678323,2.85477526949431,2.82829655401422,2.8353916455306,2.84112465547764,2.80551348725623,2.78996386041896,2.77135822043307,2.75027033552366,2.72732935763029,2.69897616329957,2.6913238438217,2.6598458952982,2.63527861519886,2.62148652783812,2.68919570373663,2.68992873146864,2.6942545312899,2.69167686546508,2.68919124807249,2.73157156252043,2.70403320597296,2.82038307761556,2.86194019489681,2.95302586765652,2.96777876717006,3.08768665964481,3.06972073836337,3.3941292519841,3.42588592813348,3.42545732108425,3.38721228795076,3.42121117545586,3.41687519582925,3.43840784483256,3.44891944539764,3.47622763697473,3.46289720444135,3.45760195631141,3.45829468870582,3.44784054851336,3.51364346228945,3.50051966274805,3.48537990210443,3.49827323001089,3.50941558536702,3.50949223885488,3.5345818564222,3.51572973328702,3.5185427315591,3.50907416333626,3.51103681910524,3.47249688367038,3.48759145427027,3.50773174225257,3.49424285255851,3.48539577570193,3.4703710856961],"^FDS_ECON_DESCRIPTION('ISMPRD@M')":"ISM Manufacturing PMI, Production - United States","^FDS_ECON_DATA('USSU2929307',0,-20AY,W,STEP,AVERAGENP,1)":[null,21.5,18.7,15.6,14.9,16.7,17.9,16.9,18.5,17.9,17.6,18.2,17.9,17.2,17.7,18.7,19.7,21.5,14.5,14.5,14.1,15.2,14.7,14.5,16.0,16.7,16.2,17.7,17.1,16.9,17.1,19.1,17.7,17.2,null,18.1,19.4,21.7,21.4,22.4,23.2,23.9,25.7,24.3,22.2,22.8,23.9,23.9,22.8,22.5,21.9,20.8,18.6,20.0,19.4,18.6,19.4,18.0,18.1,18.3,18.6,20.0,20.6,21.6,23.3,23.9,24.7,24.3,23.6,25.0,24.0,24.3,25.0,26.8,28.8,27.8,24.7,28.8,26.4,26.8,25.7,27.2,28.2,29.6,32.9,33.8,null,33.3,31.4,32.4,31.5,30.5,32.8,36.6,37.3,38.5,40.3,44.1,41.8,34.3,31.4,28.2,29.7,30.1,29.6,27.5,27.8,30.1,33.3,35.2,36.6,40.3,40.0,44.1,42.7,40.0,38.0,40.8,43.0,40.8,39.3,32.9,33.3,32.1,31.0,34.1,35.3,36.5,35.6,34.5,31.0,27.9,25.9,25.0,26.7,25.0,23.0,23.5,null,24.1,24.4,25.3,24.7,21.7,21.4,22.3,24.1,23.8,23.9,22.7,22.5,22.1,22.3,22.1,21.1,21.3,18.5,18.5,15.9,16.3,16.5,16.7,15.3,15.5,16.2,15.8,16.3,16.2,16.5,16.8,17.2,17.2,16.8,16.5,16.7,16.8,16.7,17.5,18.8,19.6,20.6,18.6,18.5,18.1,18.3,16.7,16.5,16.8,16.7,17.5,null,16.8,17.2,16.8,16.7,17.2,18.2,19.4,20.6,20.2,20.4,21.2,23.2,21.8,19.4,18.3,16.2,16.4,16.2,16.5,16.2,17.3,17.5,17.3,18.1,18.3,19.8,18.4,18.6,20.6,23.7,23.8,24.1,26.0,26.9,29.1,30.8,32.4,36.2,36.3,41.7,32.7,22.9,20.4,19.2,18.9,19.2,19.1,18.9,17.9,17.8,17.8,17.8,null,17.3,17.2,17.3,17.1,17.1,17.9,18.1,17.8,17.9,17.0,17.2,17.1,16.8,17.0,17.9,18.7,18.7,17.9,18.1,17.9,17.1,16.8,16.8,18.3,18.1,18.1,18.4,18.3,18.5,17.3,17.2,17.5,17.8,17.8,18.4,19.2,19.2,19.4,20.6,20.6,21.4,20.6,20.4,20.7,21.5,20.6,20.6,21.3,25.2,29.4,34.6,null,21.4,20.4,21.5,20.6,19.8,19.0,19.8,19.8,19.0,18.3,18.5,18.6,18.3,18.1,18.3,18.1,18.3,18.3,18.4,18.6,18.8,18.6,18.5,18.5,18.6,18.4,17.6,17.8,17.7,19.2,19.2,19.4,20.6,20.8,19.6,19.8,18.6,18.1,17.5,16.8,15.7,15.5,14.4,14.6,14.4,15.5,12.6,12.8,12.7,13.5,15.2,null,15.1,15.2,15.1,15.1,15.4,15.4,14.4,14.4,15.1,15.2,15.1,17.0,17.1,19.0,20.2,19.1,19.1,18.3,18.1,17.0,16.2,16.5,16.7,18.6,18.8,18.6,19.4,18.6,18.3,19.2,18.3,17.1,17.3,17.9,17.9,18.3,17.5,18.3,18.1,17.3,17.5,17.3,16.5,17.5,17.6,16.7,17.6,17.5,17.3,18.3,18.4,null,19.6,19.2,19.6,22.3,21.6,23.5,25.7,24.3,23.1,23.8,23.1,22.8,23.1,24.3,22.6,22.8,20.6,20.2,20.0,20.9,21.2,21.6,23.3,24.7,24.5,23.8,23.2,23.5,23.8,23.7,24.0,21.7,21.6,21.7,20.6,21.7,27.8,27.8,28.9,27.8,30.3,35.4,34.3,35.7,39.8,39.2,38.1,35.4,36.1,35.7,31.6,null,29.6,29.6,27.6,26.8,26.8,26.8,28.9,28.1,29.2,31.3,31.2,34.4,35.1,30.2,26.8,27.9,26.8,22.5,18.4,18.6,17.5,17.5,15.6,15.6,15.6,15.4,15.4,16.5,16.5,15.8,14.9,15.8,15.8,13.9,13.9,15.2,13.9,14.2,14.2,14.1,14.3,14.1,14.1,14.1,14.1,15.2,16.3,16.3,17.4,16.3,15.2,14.9,15.8,14.9,14.8,13.9,13.8,14.9,14.8,15.1,16.3,18.2,17.3,14.1,15.1,15.3,15.2,14.1,13.3,15.1,16.2,16.2,17.1,16.2,17.2,15.1,15.2,16.1,16.3,16.3,17.2,17.4,17.3,18.3,19.4,19.7,20.6,21.7,20.6,18.6,18.6,17.5,17.4,17.4,15.1,17.2,17.2,17.4,17.4,15.3,15.1,15.3,15.2,15.2,14.1,14.3,14.3,14.3,14.4,15.5,15.5,15.6,16.5,18.5,21.6,20.6,18.6,20.6,21.6,22.7,23.7,23.8,21.6,20.6,18.5,19.6,19.6,19.8,22.9,20.8,25.0,21.9,22.9,20.8,19.8,18.8,19.8,19.8,18.8,19.6,20.6,20.6,19.4,19.6,18.6,18.8,21.1,21.1,22.1,21.1,21.1,22.3,22.3,22.3,23.4,24.5,24.5,24.5,23.4,25.5,27.7,27.7,28.7,27.7,27.7,27.7,26.6,25.5,25.5,24.5,24.5,25.5,24.5,24.5,24.7,26.6,25.5,27.7,26.6,24.5,24.5,24.5,24.7,25.6,26.6,26.6,24.5,26.6,22.3,20.4,20.4,23.7,23.7,21.5,21.5,22.6,23.6,26.6,26.6,25.5,26.6,25.8,28.7,29.8,28.7,29.8,29.8,30.5,29.5,30.5,30.5,29.5,30.5,32.6,32.6,34.7,36.8,37.9,41.0,46.3,45.2,40.9,39.8,40.9,37.6,36.6,33.3,23.7,23.7,24.7,21.5,21.5,22.6,24.7,26.9,28.0,26.0,22.6,20.4,19.4,19.6,18.5,16.5,18.5,19.2,16.3,15.7,23.1,22.4,22.3,21.1,19.5,18.9,19.6,23.3,22.0,19.1,20.9,19.1,20.5,20.0,20.6,20.5,21.3,21.8,21.6,20.2,23.1,24.4,24.4,22.0,24.7,28.3,27.8,29.3,31.1,32.2,37.7,31.2,31.1,27.5,33.3,34.9,35.6,34.8,34.8,33.3,31.1,32.6,31.9,28.4,29.2,24.7,24.7,18.7,18.0,17.4,18.9,18.9,19.1,20.5,21.3,23.6,22.7,23.3,27.8,26.1,22.2,23.3,18.9,15.9,16.9,15.6,16.7,16.7,16.5,16.7,17.6,21.3,26.7,24.7,22.5,23.1,26.4,24.4,23.6,24.4,24.4,23.6,24.1,19.8,23.1,21.3,25.8,31.1,35.6,35.6,30.3,29.9,28.7,26.4,23.3,25.3,28.4,29.1,33.7,31.5,37.2,34.5,34.1,37.1,38.0,43.3,44.3,47.2,44.0,45.1,41.1,38.7,36.3,38.0,37.6,34.4,34.1,38.5,38.3,47.3,46.2,49.5,44.1,43.6,46.1,48.3,52.7,54.4,52.9,53.0,47.2,40.9,43.7,41.6,40.0,39.3,38.4,45.5,43.6,50.0,49.4,48.9,47.3,44.7,39.3,37.4,32.6,31.1,32.2,30.8,29.9,32.3,31.8,35.6,38.9,38.5,37.5,41.1,44.7,43.3,36.6,36.4,33.7,35.6,32.6,32.2,31.5,26.7,25.8,24.5,23.1,22.4,25.6,27.6,29.0,26.6,26.7,22.2,23.1,22.9,19.6,21.5,25.0,25.6,27.0,31.0,37.4,37.4,37.4,32.6,31.5,26.4,18.0,19.3,21.3,18.0,20.4,18.9,21.1,22.8,21.5,20.7,19.6,20.0,24.7,26.1,25.3,27.5,25.8,27.5,28.4,28.9,26.9,24.2,22.2,21.1,22.2,21.1,20.9,22.1,20.7,21.3,19.6,20.6,21.3,23.9,22.3,22.3,22.3,26.0,28.4,30.1,30.0,30.4,33.3,33.7,33.7,35.4,33.7,33.7,34.7,36.6,37.1,36.2,34.5,33.7,33.3,34.4,36.3,35.6,34.4,31.5,29.8,27.6,25.3,26.8,28.6,25.8,26.0,24.5,27.8,28.3,30.5,33.0,31.3,30.8,29.5,27.7,25.3,25.8,25.3,22.9,22.1,23.7,20.8,21.0,21.6,21.9,21.1,23.2,22.9,24.7,26.8,29.2,29.5,29.2,27.8,26.6,25.5,26.6,28.1,27.3,25.0,22.5,19.3,22.5,22.6,23.1,22.2,21.4,19.1,20.2,20.4,20.9,25.0,26.1,28.6,28.0,30.4,29.7,26.9,29.0,29.2,28.0,27.8,24.3,21.6,22.1,21.4,21.2,23.2,25.3,24.0,24.7,22.9,20.6,19.6,20.4,21.1,21.7,22.9,23.5,22.4,22.6,23.7,25.5,22.1,23.5,24.2,22.9,22.9,24.5,26.5,27.7,30.2],"^FDS_ECON_DATA('ISMBUS@NM',0,0/0/-10,M,STEP,AVERAGE,1)":[54.5,49.6,61.2,50.9,57.4,57.2,55.8,55.8,54.9,54.5,58.1,57.1,57.0,58.2,52.9,53.3,55.4,56.7,59.2,52.7,61.2,56.3,57.5,59.2,58.7,56.7,56.9,60.2,57.6,56.7,60.5,65.8,69.5,68.8,62.8,60.0,65.8,61.8,67.2,64.1,68.6,58.2,60.0,59.8,57.4,60.3,62.5,62.1,63.9,65.3,41.2,26.1,49.0,60.5,61.6,58.6,52.2,56.0,56.7,60.0,54.6,58.0,59.7,58.9,58.4,65.1,58.3,61.7,64.1,63.7,63.6,62.1,59.7,62.3,59.1,60.1,59.6,62.1,60.9,59.1,60.1,62.7,59.2,58.0,58.7,59.1,61.1,61.1,60.7,62.2,61.7,59.9,60.0,57.6,58.0,54.3,61.5,58.0,56.6,57.4,60.5,55.9,54.8,59.3,58.4,59.6,59.9,63.1,65.3,60.8,60.8,60.3,61.2,60.2,59.9,61.1,62.1,59.1,61.6,61.9],"^ECON_EXPR_SOURCE('RETURNS(FDS_ECON[US.LMCLAIMS,DIST=STEP,CONV=AVERAGE], -1AY)')":"DOL - US Department of Labor","ACWX-US^FMA_PE(NTMA,NOW,-10AY,W,\"PORTAGG\",\"MEANR\")":[13.1076527441647,12.8341312995983,12.9023578721772,13.2960321344875,13.4807269847253,13.8132586289546,13.631048592342,13.4507538487895,13.4401865930423,13.415337986718,13.6269912417466,13.5058944186047,13.6657172607937,13.8258772406356,13.7083981368374,13.5151535905165,13.472283991411,13.1998206644551,13.5613032163212,13.6099958890217,13.7209722334702,13.7521840466212,13.5510979727838,13.6198490248554,13.518549729834,13.4445613882274,13.3105595082718,13.110450000683,13.0276008830314,12.9778743265082,12.7304937577126,12.8780411666974,12.8027763411586,12.8956875391573,12.747243416576,12.7294031986064,12.5348025097418,12.5504356968253,12.5197425778035,12.4711563809706,12.170701380301,12.2110317695943,11.8265673111373,11.9429099210029,12.2887557835286,12.1686194551629,12.3661775334605,12.5139856123577,12.7997112394138,12.6282391171392,12.7429415600177,12.4793926837192,12.4391441464724,12.8128628063361,12.865504499319,13.1531653681008,12.9817626801437,12.9481069766769,12.5934870439588,12.8724896409762,12.6735543009308,13.0400957411417,12.7877506981467,12.706537609795,12.6181618823797,12.8096693571137,12.7096645442063,12.7725468973246,12.8247065131001,12.883859194774,12.8779660474052,12.6702788171272,12.678608575966,12.2758864996504,12.1482731429526,12.4866286071561,12.8017540853314,12.5990657840037,12.850289092585,12.8172548095425,12.9213789606873,12.9120580023729,12.7490112158492,12.6253394419105,12.3109404630789,11.9172262861511,11.946582317900999,11.9534426930945,12.2114854981835,12.2321166053928,12.0984780593044,11.9657815651993,11.9088039008619,11.4079370020886,11.1690171198745,10.9877777085749,10.8708247436456,11.0038760782687,10.7593832314956,10.9431380418763,11.3691905565942,11.6250760523151,11.5137911038534,11.7974216120649,11.9199797452395,11.9915873900638,11.842526489259,11.8871600200766,11.7847698116066,11.423933644036,11.6241663905368,11.4523706960334,11.6270628672787,11.4190327040121,12.0192466891864,12.3110477359051,12.2677457102862,12.0683610895516,12.0251722683975,12.1540403580344,12.5731666803733,12.6815182957354,12.903072842319,13.0102566741686,13.1640062748834,13.1516135154523,13.1683166450608,12.6257890171495,12.7812706606352,13.064588844881,13.4036216637002,13.6794375029988,13.5529280581447,13.4262168601311,13.8396311619843,14.1421110490178,14.1931083802423,14.2633874311613,14.1737943727021,14.0361290387951,14.1962082627417,13.9633293215359,13.9776926569214,14.4936987963561,14.608950833825,14.5540442188618,14.4467604955087,14.5633335045074,14.5657371158481,14.2820686190049,14.1917890681405,14.5316548507649,14.5826231354577,14.7771748090483,14.8692192183626,15.9841123914668,14.4133649817864,14.8632296743933,14.8296603862719,14.7630006497109,15.0378878923332,15.1353441108625,15.2172006268678,15.4665381911652,15.6731497338354,15.594125759418,15.7608395863748,15.7734188017509,15.7110533983858,15.4872480530523,15.4171571092784,15.7717939534734,15.7334401666926,16.0650636485926,16.2751980689735,16.1865859529138,16.1899389176897,16.1522735436691,16.306466822802,16.4214263201965,16.1868124896195,16.1464481849191,16.8890619317932,17.0119596039148,16.8286199596602,16.3010687833399,16.9687217413222,16.8808058130662,17.0626022733749,16.5408024223571,16.4088113136465,16.5851126482993,16.5479799766824,16.7622552237567,16.7296688971428,16.579287376552,16.5024853295602,16.1258674996449,15.3230513314109,16.1266312296197,16.2430130146529,16.4733927041119,16.1772143441524,16.1207955462281,16.6697901352176,16.7286388263102,16.7087569065222,16.9891819565382,16.8485302238758,17.0113872084537,16.8926627725509,16.6572725774618,16.9475021091881,17.1253022763974,16.9974697513871,16.8744118164828,16.5658826185487,16.7742322132772,16.3715991180093,16.9526114056204,15.777180655821,15.1392211754203,14.7495864205929,14.8920679989953,14.5838285879105,13.9474825677401,13.8638522569692,13.3056184874435,12.1622574716428,12.0262726041267,10.9129514279406,11.1878801514812,12.8701119063296,12.94526192577,14.2414208817124,14.3105979130101,14.2119311656279,13.8062462670824,14.2436632945303,14.3888135336849,14.2398109742997,14.1957721605549,14.2335487633576,14.1712111732332,14.0184670985601,13.8010815747209,13.7621470204772,13.7011357817657,13.7448408953322,13.7892701960411,13.5908336349502,13.4836520584316,13.311836549738,13.2286146493446,12.9914509233103,13.2291948547502,13.3392969967811,13.3498098109898,13.138725985367,12.8910976836161,12.6649550162354,12.5848979577127,12.7126463552121,12.9070976087539,13.2827990127375,13.235647072902,13.205853587395,13.3131849200274,13.1539119170407,13.1557976399837,12.8911570162571,12.8305149083818,12.5832182884413,12.6511705281974,12.8027706641816,12.8098032056243,13.2616284106,13.2508508349316,13.2586571319737,13.2019473124386,13.2266291284672,12.9437444334331,12.9388489691681,12.9803821911245,12.6887632990826,12.8973999364814,12.798499648739,12.6217150396577,12.3682507094187,12.4089826804097,12.2682911223406,12.1700851792313,11.8571017210135,11.4456919228489,11.3498618635466,11.3298134544379,11.7134995236123,11.7058809657037,11.9231093120479,11.7412238334714,11.8656928318104,11.9778380786669,11.9913238692215,11.5721390331997,11.948418896018,11.9650544807556,12.4768911752933,12.7879162762822,12.8351674050313,12.5520196067554,12.4158911229122,12.7943626952751,12.8049828150621,12.6893851339067,12.8983138421306,13.0291508229828,13.239463677227,13.0894255499747,13.068659803093,12.9449985788409,12.9598114297658,13.1003172003318,13.272349743699,13.2823683256112,13.2333709570837,13.3898249154833,13.5651134631876,13.6061015493507,13.4440834893986,13.4846065077945,13.4321220031812,13.348990772688,13.3103698471029,13.2021203572812,13.1204297066704,13.5719586046267,13.5662117111392,13.2667342562148,13.7503568075148,13.7837626359489,13.4101227173541,14.2556811171278,14.6704008314643,14.648337455483,14.6127872376511,14.6207407233188,14.3506965062763,14.3370196007171,14.1829856593245,14.2313285086349,14.1964570152656,14.3982488840634,14.2980498516539,14.4387752172082,14.5405240018148,14.4571356516749,14.4221312463519,14.4053841432698,14.3333860501153,14.2490421599554,14.2496209301761,14.1413916316325,13.9915168311435,14.099665068443,14.0807644893253,14.008254950743,14.0142879301839,14.3466307040765,14.2598842008321,14.2973592703799,14.3323475085218,14.0556373902617,14.0907414155991,14.2273262685285,14.2230843656916,14.318832301272,14.4339336821736,14.3503721524104,14.3078078389093,14.3946068170526,14.2874602941241,14.1615961145599,13.9107917213787,13.9777519243905,14.0884755056022,14.1166867675133,14.1711442441316,14.2808846791685,14.1539669758028,14.1797051015185,14.1056085721659,14.2055712567156,14.1552192721115,14.0515058278157,14.2047951089895,14.0940373087865,14.2360326055036,14.207429922835,14.0480643315665,14.0229464620286,14.1108668403522,14.1550923251044,13.7720066055115,13.8786156104019,13.7263572120236,13.6921168735024,13.567872817075,14.0290596945017,14.1237473550961,13.9990727517756,14.1012959948005,14.077136801036,14.2585347126774,13.9246666434995,14.2627424060334,14.357410096023001,14.1938200691792,14.2500900712014,14.4016130245825,14.1127192382884,14.2083417910666,14.2501885881297,14.2181178173865,13.6541008023738,13.8250139755556,13.3404069216351,13.4754866574545,13.8891659739176,14.0882370584576,14.0840753371687,13.7737396686987,13.7014892564912,13.6137862503981,14.0259111339987,14.3462811955645,14.1514000600709,13.6460320665365,13.7129711260349,13.813815467006,13.9932868734423,13.9169587311095,13.8443525463221,13.2777053512028,13.0835316388463,12.4765929268736,13.1256682398581,13.4288777054993,12.9899711316184,12.7930584875538,13.0372830762513,13.871062635418,13.7374171817215,13.5366712662466,13.3079932937441,13.6903193924622,14.1593428902843,14.2131007856299,13.8697642365085,14.1586960428583,14.028441132801,14.1133401562772,13.8236942269779,13.8135660676181,13.1418996527641,13.0932118367016,13.3633162401339,13.3023879715964,13.0505011297715,13.5372757310806,13.4722682081999,14.2555477283988,14.5237034189235,14.5789667866931,14.4637410269249,14.7275504492415,14.3344892556221,14.4954159216307,14.7591543769009,14.5422276010725,14.7156741118891,14.7753552079261,15.0772071791448,15.2666881919361,15.1646381067113,15.187410485451,15.2113086891802,15.4725549192923,15.2661744410107,15.3985863952688,14.9738859255195,14.856200159829,15.0672987365181,14.6923011180133,14.7956013245085,14.8849533805124,14.6759242895784,14.5214038278934,14.3164163818511,14.039237315911,14.0575075091691,13.4613470590003,13.2641052597517,13.376670971614,13.4739076302669,13.3621039165027,13.1102105877805,13.6124464856678,13.543434095455,13.4939922262285,13.2975443467883,13.1938896923421,13.1812547529948,12.7482069490529,12.4177761630501,12.5657807069133,12.9374354102629,13.2406418854328,13.4892832952567,13.426586023934,13.575704182136,13.454588417326,13.4053380650491],"^PSETCAL('FIVEDAY');ECON_DATE(0, -20AY, D, 'DD/MM/YYYY')":["20/08/2024","19/08/2024","16/08/2024","15/08/2024","14/08/2024","13/08/2024","12/08/2024","09/08/2024","08/08/2024","07/08/2024","06/08/2024","05/08/2024","02/08/2024","01/08/2024","31/07/2024","30/07/2024","29/07/2024","26/07/2024","25/07/2024","24/07/2024","23/07/2024","22/07/2024","19/07/2024","18/07/2024","17/07/2024","16/07/2024","15/07/2024","12/07/2024","11/07/2024","10/07/2024","09/07/2024","08/07/2024","05/07/2024","04/07/2024","03/07/2024","02/07/2024","01/07/2024","28/06/2024","27/06/2024","26/06/2024","25/06/2024","24/06/2024","21/06/2024","20/06/2024","19/06/2024","18/06/2024","17/06/2024","14/06/2024","13/06/2024","12/06/2024","11/06/2024","10/06/2024","07/06/2024","06/06/2024","05/06/2024","04/06/2024","03/06/2024","31/05/2024","30/05/2024","29/05/2024","28/05/2024","27/05/2024","24/05/2024","23/05/2024","22/05/2024","21/05/2024","20/05/2024","17/05/2024","16/05/2024","15/05/2024","14/05/2024","13/05/2024","10/05/2024","09/05/2024","08/05/2024","07/05/2024","06/05/2024","03/05/2024","02/05/2024","01/05/2024","30/04/2024","29/04/2024","26/04/2024","25/04/2024","24/04/2024","23/04/2024","22/04/2024","19/04/2024","18/04/2024","17/04/2024","16/04/2024","15/04/2024","12/04/2024","11/04/2024","10/04/2024","09/04/2024","08/04/2024","05/04/2024","04/04/2024","03/04/2024","02/04/2024","01/04/2024","29/03/2024","28/03/2024","27/03/2024","26/03/2024","25/03/2024","22/03/2024","21/03/2024","20/03/2024","19/03/2024","18/03/2024","15/03/2024","14/03/2024","13/03/2024","12/03/2024","11/03/2024","08/03/2024","07/03/2024","06/03/2024","05/03/2024","04/03/2024","01/03/2024","29/02/2024","28/02/2024","27/02/2024","26/02/2024","23/02/2024","22/02/2024","21/02/2024","20/02/2024","19/02/2024","16/02/2024","15/02/2024","14/02/2024","13/02/2024","12/02/2024","09/02/2024","08/02/2024","07/02/2024","06/02/2024","05/02/2024","02/02/2024","01/02/2024","31/01/2024","30/01/2024","29/01/2024","26/01/2024","25/01/2024","24/01/2024","23/01/2024","22/01/2024","19/01/2024","18/01/2024","17/01/2024","16/01/2024","15/01/2024","12/01/2024","11/01/2024","10/01/2024","09/01/2024","08/01/2024","05/01/2024","04/01/2024","03/01/2024","02/01/2024","01/01/2024","29/12/2023","28/12/2023","27/12/2023","26/12/2023","25/12/2023","22/12/2023","21/12/2023","20/12/2023","19/12/2023","18/12/2023","15/12/2023","14/12/2023","13/12/2023","12/12/2023","11/12/2023","08/12/2023","07/12/2023","06/12/2023","05/12/2023","04/12/2023","01/12/2023","30/11/2023","29/11/2023","28/11/2023","27/11/2023","24/11/2023","23/11/2023","22/11/2023","21/11/2023","20/11/2023","17/11/2023","16/11/2023","15/11/2023","14/11/2023","13/11/2023","10/11/2023","09/11/2023","08/11/2023","07/11/2023","06/11/2023","03/11/2023","02/11/2023","01/11/2023","31/10/2023","30/10/2023","27/10/2023","26/10/2023","25/10/2023","24/10/2023","23/10/2023","20/10/2023","19/10/2023","18/10/2023","17/10/2023","16/10/2023","13/10/2023","12/10/2023","11/10/2023","10/10/2023","09/10/2023","06/10/2023","05/10/2023","04/10/2023","03/10/2023","02/10/2023","29/09/2023","28/09/2023","27/09/2023","26/09/2023","25/09/2023","22/09/2023","21/09/2023","20/09/2023","19/09/2023","18/09/2023","15/09/2023","14/09/2023","13/09/2023","12/09/2023","11/09/2023","08/09/2023","07/09/2023","06/09/2023","05/09/2023","04/09/2023","01/09/2023","31/08/2023","30/08/2023","29/08/2023","28/08/2023","25/08/2023","24/08/2023","23/08/2023","22/08/2023","21/08/2023","18/08/2023","17/08/2023","16/08/2023","15/08/2023","14/08/2023","11/08/2023","10/08/2023","09/08/2023","08/08/2023","07/08/2023","04/08/2023","03/08/2023","02/08/2023","01/08/2023","31/07/2023","28/07/2023","27/07/2023","26/07/2023","25/07/2023","24/07/2023","21/07/2023","20/07/2023","19/07/2023","18/07/2023","17/07/2023","14/07/2023","13/07/2023","12/07/2023","11/07/2023","10/07/2023","07/07/2023","06/07/2023","05/07/2023","04/07/2023","03/07/2023","30/06/2023","29/06/2023","28/06/2023","27/06/2023","26/06/2023","23/06/2023","22/06/2023","21/06/2023","20/06/2023","19/06/2023","16/06/2023","15/06/2023","14/06/2023","13/06/2023","12/06/2023","09/06/2023","08/06/2023","07/06/2023","06/06/2023","05/06/2023","02/06/2023","01/06/2023","31/05/2023","30/05/2023","29/05/2023","26/05/2023","25/05/2023","24/05/2023","23/05/2023","22/05/2023","19/05/2023","18/05/2023","17/05/2023","16/05/2023","15/05/2023","12/05/2023","11/05/2023","10/05/2023","09/05/2023","08/05/2023","05/05/2023","04/05/2023","03/05/2023","02/05/2023","01/05/2023","28/04/2023","27/04/2023","26/04/2023","25/04/2023","24/04/2023","21/04/2023","20/04/2023","19/04/2023","18/04/2023","17/04/2023","14/04/2023","13/04/2023","12/04/2023","11/04/2023","10/04/2023","07/04/2023","06/04/2023","05/04/2023","04/04/2023","03/04/2023","31/03/2023","30/03/2023","29/03/2023","28/03/2023","27/03/2023","24/03/2023","23/03/2023","22/03/2023","21/03/2023","20/03/2023","17/03/2023","16/03/2023","15/03/2023","14/03/2023","13/03/2023","10/03/2023","09/03/2023","08/03/2023","07/03/2023","06/03/2023","03/03/2023","02/03/2023","01/03/2023","28/02/2023","27/02/2023","24/02/2023","23/02/2023","22/02/2023","21/02/2023","20/02/2023","17/02/2023","16/02/2023","15/02/2023","14/02/2023","13/02/2023","10/02/2023","09/02/2023","08/02/2023","07/02/2023","06/02/2023","03/02/2023","02/02/2023","01/02/2023","31/01/2023","30/01/2023","27/01/2023","26/01/2023","25/01/2023","24/01/2023","23/01/2023","20/01/2023","19/01/2023","18/01/2023","17/01/2023","16/01/2023","13/01/2023","12/01/2023","11/01/2023","10/01/2023","09/01/2023","06/01/2023","05/01/2023","04/01/2023","03/01/2023","02/01/2023","30/12/2022","29/12/2022","28/12/2022","27/12/2022","26/12/2022","23/12/2022","22/12/2022","21/12/2022","20/12/2022","19/12/2022","16/12/2022","15/12/2022","14/12/2022","13/12/2022","12/12/2022","09/12/2022","08/12/2022","07/12/2022","06/12/2022","05/12/2022","02/12/2022","01/12/2022","30/11/2022","29/11/2022","28/11/2022","25/11/2022","24/11/2022","23/11/2022","22/11/2022","21/11/2022","18/11/2022","17/11/2022","16/11/2022","15/11/2022","14/11/2022","11/11/2022","10/11/2022","09/11/2022","08/11/2022","07/11/2022","04/11/2022","03/11/2022","02/11/2022","01/11/2022","31/10/2022","28/10/2022","27/10/2022","26/10/2022","25/10/2022","24/10/2022","21/10/2022","20/10/2022","19/10/2022","18/10/2022","17/10/2022","14/10/2022","13/10/2022","12/10/2022","11/10/2022","10/10/2022","07/10/2022","06/10/2022","05/10/2022","04/10/2022","03/10/2022","30/09/2022","29/09/2022","28/09/2022","27/09/2022","26/09/2022","23/09/2022","22/09/2022","21/09/2022","20/09/2022","19/09/2022","16/09/2022","15/09/2022","14/09/2022","13/09/2022","12/09/2022","09/09/2022","08/09/2022","07/09/2022","06/09/2022","05/09/2022","02/09/2022","01/09/2022","31/08/2022","30/08/2022","29/08/2022","26/08/2022","25/08/2022","24/08/2022","23/08/2022","22/08/2022","19/08/2022","18/08/2022","17/08/2022","16/08/2022","15/08/2022","12/08/2022","11/08/2022","10/08/2022","09/08/2022","08/08/2022","05/08/2022","04/08/2022","03/08/2022","02/08/2022","01/08/2022","29/07/2022","28/07/2022","27/07/2022","26/07/2022","25/07/2022","22/07/2022","21/07/2022","20/07/2022","19/07/2022","18/07/2022","15/07/2022","14/07/2022","13/07/2022","12/07/2022","11/07/2022","08/07/2022","07/07/2022","06/07/2022","05/07/2022","04/07/2022","01/07/2022","30/06/2022","29/06/2022","28/06/2022","27/06/2022","24/06/2022","23/06/2022","22/06/2022","21/06/2022","20/06/2022","17/06/2022","16/06/2022","15/06/2022","14/06/2022","13/06/2022","10/06/2022","09/06/2022","08/06/2022","07/06/2022","06/06/2022","03/06/2022","02/06/2022","01/06/2022","31/05/2022","30/05/2022","27/05/2022","26/05/2022","25/05/2022","24/05/2022","23/05/2022","20/05/2022","19/05/2022","18/05/2022","17/05/2022","16/05/2022","13/05/2022","12/05/2022","11/05/2022","10/05/2022","09/05/2022","06/05/2022","05/05/2022","04/05/2022","03/05/2022","02/05/2022","29/04/2022","28/04/2022","27/04/2022","26/04/2022","25/04/2022","22/04/2022","21/04/2022","20/04/2022","19/04/2022","18/04/2022","15/04/2022","14/04/2022","13/04/2022","12/04/2022","11/04/2022","08/04/2022","07/04/2022","06/04/2022","05/04/2022","04/04/2022","01/04/2022","31/03/2022","30/03/2022","29/03/2022","28/03/2022","25/03/2022","24/03/2022","23/03/2022","22/03/2022","21/03/2022","18/03/2022","17/03/2022","16/03/2022","15/03/2022","14/03/2022","11/03/2022","10/03/2022","09/03/2022","08/03/2022","07/03/2022","04/03/2022","03/03/2022","02/03/2022","01/03/2022","28/02/2022","25/02/2022","24/02/2022","23/02/2022","22/02/2022","21/02/2022","18/02/2022","17/02/2022","16/02/2022","15/02/2022","14/02/2022","11/02/2022","10/02/2022","09/02/2022","08/02/2022","07/02/2022","04/02/2022","03/02/2022","02/02/2022","01/02/2022","31/01/2022","28/01/2022","27/01/2022","26/01/2022","25/01/2022","24/01/2022","21/01/2022","20/01/2022","19/01/2022","18/01/2022","17/01/2022","14/01/2022","13/01/2022","12/01/2022","11/01/2022","10/01/2022","07/01/2022","06/01/2022","05/01/2022","04/01/2022","03/01/2022","31/12/2021","30/12/2021","29/12/2021","28/12/2021","27/12/2021","24/12/2021","23/12/2021","22/12/2021","21/12/2021","20/12/2021","17/12/2021","16/12/2021","15/12/2021","14/12/2021","13/12/2021","10/12/2021","09/12/2021","08/12/2021","07/12/2021","06/12/2021","03/12/2021","02/12/2021","01/12/2021","30/11/2021","29/11/2021","26/11/2021","25/11/2021","24/11/2021","23/11/2021","22/11/2021","19/11/2021","18/11/2021","17/11/2021","16/11/2021","15/11/2021","12/11/2021","11/11/2021","10/11/2021","09/11/2021","08/11/2021","05/11/2021","04/11/2021","03/11/2021","02/11/2021","01/11/2021","29/10/2021","28/10/2021","27/10/2021","26/10/2021","25/10/2021","22/10/2021","21/10/2021","20/10/2021","19/10/2021","18/10/2021","15/10/2021","14/10/2021","13/10/2021","12/10/2021","11/10/2021","08/10/2021","07/10/2021","06/10/2021","05/10/2021","04/10/2021","01/10/2021","30/09/2021","29/09/2021","28/09/2021","27/09/2021","24/09/2021","23/09/2021","22/09/2021","21/09/2021","20/09/2021","17/09/2021","16/09/2021","15/09/2021","14/09/2021","13/09/2021","10/09/2021","09/09/2021","08/09/2021","07/09/2021","06/09/2021","03/09/2021","02/09/2021","01/09/2021","31/08/2021","30/08/2021","27/08/2021","26/08/2021","25/08/2021","24/08/2021","23/08/2021","20/08/2021","19/08/2021","18/08/2021","17/08/2021","16/08/2021","13/08/2021","12/08/2021","11/08/2021","10/08/2021","09/08/2021","06/08/2021","05/08/2021","04/08/2021","03/08/2021","02/08/2021","30/07/2021","29/07/2021","28/07/2021","27/07/2021","26/07/2021","23/07/2021","22/07/2021","21/07/2021","20/07/2021","19/07/2021","16/07/2021","15/07/2021","14/07/2021","13/07/2021","12/07/2021","09/07/2021","08/07/2021","07/07/2021","06/07/2021","05/07/2021","02/07/2021","01/07/2021","30/06/2021","29/06/2021","28/06/2021","25/06/2021","24/06/2021","23/06/2021","22/06/2021","21/06/2021","18/06/2021","17/06/2021","16/06/2021","15/06/2021","14/06/2021","11/06/2021","10/06/2021","09/06/2021","08/06/2021","07/06/2021","04/06/2021","03/06/2021","02/06/2021","01/06/2021","31/05/2021","28/05/2021","27/05/2021","26/05/2021","25/05/2021","24/05/2021","21/05/2021","20/05/2021","19/05/2021","18/05/2021","17/05/2021","14/05/2021","13/05/2021","12/05/2021","11/05/2021","10/05/2021","07/05/2021","06/05/2021","05/05/2021","04/05/2021","03/05/2021","30/04/2021","29/04/2021","28/04/2021","27/04/2021","26/04/2021","23/04/2021","22/04/2021","21/04/2021","20/04/2021","19/04/2021","16/04/2021","15/04/2021","14/04/2021","13/04/2021","12/04/2021","09/04/2021","08/04/2021","07/04/2021","06/04/2021","05/04/2021","02/04/2021","01/04/2021","31/03/2021","30/03/2021","29/03/2021","26/03/2021","25/03/2021","24/03/2021","23/03/2021","22/03/2021","19/03/2021","18/03/2021","17/03/2021","16/03/2021","15/03/2021","12/03/2021","11/03/2021","10/03/2021","09/03/2021","08/03/2021","05/03/2021","04/03/2021","03/03/2021","02/03/2021","01/03/2021","26/02/2021","25/02/2021","24/02/2021","23/02/2021","22/02/2021","19/02/2021","18/02/2021","17/02/2021","16/02/2021","15/02/2021","12/02/2021","11/02/2021","10/02/2021","09/02/2021","08/02/2021","05/02/2021","04/02/2021","03/02/2021","02/02/2021","01/02/2021","29/01/2021","28/01/2021","27/01/2021","26/01/2021","25/01/2021","22/01/2021","21/01/2021","20/01/2021","19/01/2021","18/01/2021","15/01/2021","14/01/2021","13/01/2021","12/01/2021","11/01/2021","08/01/2021","07/01/2021","06/01/2021","05/01/2021","04/01/2021","01/01/2021","31/12/2020","30/12/2020","29/12/2020","28/12/2020","25/12/2020","24/12/2020","23/12/2020","22/12/2020","21/12/2020","18/12/2020","17/12/2020","16/12/2020","15/12/2020","14/12/2020","11/12/2020","10/12/2020","09/12/2020","08/12/2020","07/12/2020","04/12/2020","03/12/2020","02/12/2020","01/12/2020","30/11/2020","27/11/2020","26/11/2020","25/11/2020","24/11/2020","23/11/2020","20/11/2020","19/11/2020","18/11/2020","17/11/2020","16/11/2020","13/11/2020","12/11/2020","11/11/2020","10/11/2020","09/11/2020","06/11/2020","05/11/2020","04/11/2020","03/11/2020","02/11/2020","30/10/2020","29/10/2020","28/10/2020","27/10/2020","26/10/2020","23/10/2020","22/10/2020","21/10/2020","20/10/2020","19/10/2020","16/10/2020","15/10/2020","14/10/2020","13/10/2020","12/10/2020","09/10/2020","08/10/2020","07/10/2020","06/10/2020","05/10/2020","02/10/2020","01/10/2020","30/09/2020","29/09/2020","28/09/2020","25/09/2020","24/09/2020","23/09/2020","22/09/2020","21/09/2020","18/09/2020","17/09/2020","16/09/2020","15/09/2020","14/09/2020","11/09/2020","10/09/2020","09/09/2020","08/09/2020","07/09/2020","04/09/2020","03/09/2020","02/09/2020","01/09/2020","31/08/2020","28/08/2020","27/08/2020","26/08/2020","25/08/2020","24/08/2020","21/08/2020","20/08/2020","19/08/2020","18/08/2020","17/08/2020","14/08/2020","13/08/2020","12/08/2020","11/08/2020","10/08/2020","07/08/2020","06/08/2020","05/08/2020","04/08/2020","03/08/2020","31/07/2020","30/07/2020","29/07/2020","28/07/2020","27/07/2020","24/07/2020","23/07/2020","22/07/2020","21/07/2020","20/07/2020","17/07/2020","16/07/2020","15/07/2020","14/07/2020","13/07/2020","10/07/2020","09/07/2020","08/07/2020","07/07/2020","06/07/2020","03/07/2020","02/07/2020","01/07/2020","30/06/2020","29/06/2020","26/06/2020","25/06/2020","24/06/2020","23/06/2020","22/06/2020","19/06/2020","18/06/2020","17/06/2020","16/06/2020","15/06/2020","12/06/2020","11/06/2020","10/06/2020","09/06/2020","08/06/2020","05/06/2020","04/06/2020","03/06/2020","02/06/2020","01/06/2020","29/05/2020","28/05/2020","27/05/2020","26/05/2020","25/05/2020","22/05/2020","21/05/2020","20/05/2020","19/05/2020","18/05/2020","15/05/2020","14/05/2020","13/05/2020","12/05/2020","11/05/2020","08/05/2020","07/05/2020","06/05/2020","05/05/2020","04/05/2020","01/05/2020","30/04/2020","29/04/2020","28/04/2020","27/04/2020","24/04/2020","23/04/2020","22/04/2020","21/04/2020","20/04/2020","17/04/2020","16/04/2020","15/04/2020","14/04/2020","13/04/2020","10/04/2020","09/04/2020","08/04/2020","07/04/2020","06/04/2020","03/04/2020","02/04/2020","01/04/2020","31/03/2020","30/03/2020","27/03/2020","26/03/2020","25/03/2020","24/03/2020","23/03/2020","20/03/2020","19/03/2020","18/03/2020","17/03/2020","16/03/2020","13/03/2020","12/03/2020","11/03/2020","10/03/2020","09/03/2020","06/03/2020","05/03/2020","04/03/2020","03/03/2020","02/03/2020","28/02/2020","27/02/2020","26/02/2020","25/02/2020","24/02/2020","21/02/2020","20/02/2020","19/02/2020","18/02/2020","17/02/2020","14/02/2020","13/02/2020","12/02/2020","11/02/2020","10/02/2020","07/02/2020","06/02/2020","05/02/2020","04/02/2020","03/02/2020","31/01/2020","30/01/2020","29/01/2020","28/01/2020","27/01/2020","24/01/2020","23/01/2020","22/01/2020","21/01/2020","20/01/2020","17/01/2020","16/01/2020","15/01/2020","14/01/2020","13/01/2020","10/01/2020","09/01/2020","08/01/2020","07/01/2020","06/01/2020","03/01/2020","02/01/2020","01/01/2020","31/12/2019","30/12/2019","27/12/2019","26/12/2019","25/12/2019","24/12/2019","23/12/2019","20/12/2019","19/12/2019","18/12/2019","17/12/2019","16/12/2019","13/12/2019","12/12/2019","11/12/2019","10/12/2019","09/12/2019","06/12/2019","05/12/2019","04/12/2019","03/12/2019","02/12/2019","29/11/2019","28/11/2019","27/11/2019","26/11/2019","25/11/2019","22/11/2019","21/11/2019","20/11/2019","19/11/2019","18/11/2019","15/11/2019","14/11/2019","13/11/2019","12/11/2019","11/11/2019","08/11/2019","07/11/2019","06/11/2019","05/11/2019","04/11/2019","01/11/2019","31/10/2019","30/10/2019","29/10/2019","28/10/2019","25/10/2019","24/10/2019","23/10/2019","22/10/2019","21/10/2019","18/10/2019","17/10/2019","16/10/2019","15/10/2019","14/10/2019","11/10/2019","10/10/2019","09/10/2019","08/10/2019","07/10/2019","04/10/2019","03/10/2019","02/10/2019","01/10/2019","30/09/2019","27/09/2019","26/09/2019","25/09/2019","24/09/2019","23/09/2019","20/09/2019","19/09/2019","18/09/2019","17/09/2019","16/09/2019","13/09/2019","12/09/2019","11/09/2019","10/09/2019","09/09/2019","06/09/2019","05/09/2019","04/09/2019","03/09/2019","02/09/2019","30/08/2019","29/08/2019","28/08/2019","27/08/2019","26/08/2019","23/08/2019","22/08/2019","21/08/2019","20/08/2019","19/08/2019","16/08/2019","15/08/2019","14/08/2019","13/08/2019","12/08/2019","09/08/2019","08/08/2019","07/08/2019","06/08/2019","05/08/2019","02/08/2019","01/08/2019","31/07/2019","30/07/2019","29/07/2019","26/07/2019","25/07/2019","24/07/2019","23/07/2019","22/07/2019","19/07/2019","18/07/2019","17/07/2019","16/07/2019","15/07/2019","12/07/2019","11/07/2019","10/07/2019","09/07/2019","08/07/2019","05/07/2019","04/07/2019","03/07/2019","02/07/2019","01/07/2019","28/06/2019","27/06/2019","26/06/2019","25/06/2019","24/06/2019","21/06/2019","20/06/2019","19/06/2019","18/06/2019","17/06/2019","14/06/2019","13/06/2019","12/06/2019","11/06/2019","10/06/2019","07/06/2019","06/06/2019","05/06/2019","04/06/2019","03/06/2019","31/05/2019","30/05/2019","29/05/2019","28/05/2019","27/05/2019","24/05/2019","23/05/2019","22/05/2019","21/05/2019","20/05/2019","17/05/2019","16/05/2019","15/05/2019","14/05/2019","13/05/2019","10/05/2019","09/05/2019","08/05/2019","07/05/2019","06/05/2019","03/05/2019","02/05/2019","01/05/2019","30/04/2019","29/04/2019","26/04/2019","25/04/2019","24/04/2019","23/04/2019","22/04/2019","19/04/2019","18/04/2019","17/04/2019","16/04/2019","15/04/2019","12/04/2019","11/04/2019","10/04/2019","09/04/2019","08/04/2019","05/04/2019","04/04/2019","03/04/2019","02/04/2019","01/04/2019","29/03/2019","28/03/2019","27/03/2019","26/03/2019","25/03/2019","22/03/2019","21/03/2019","20/03/2019","19/03/2019","18/03/2019","15/03/2019","14/03/2019","13/03/2019","12/03/2019","11/03/2019","08/03/2019","07/03/2019","06/03/2019","05/03/2019","04/03/2019","01/03/2019","28/02/2019","27/02/2019","26/02/2019","25/02/2019","22/02/2019","21/02/2019","20/02/2019","19/02/2019","18/02/2019","15/02/2019","14/02/2019","13/02/2019","12/02/2019","11/02/2019","08/02/2019","07/02/2019","06/02/2019","05/02/2019","04/02/2019","01/02/2019","31/01/2019","30/01/2019","29/01/2019","28/01/2019","25/01/2019","24/01/2019","23/01/2019","22/01/2019","21/01/2019","18/01/2019","17/01/2019","16/01/2019","15/01/2019","14/01/2019","11/01/2019","10/01/2019","09/01/2019","08/01/2019","07/01/2019","04/01/2019","03/01/2019","02/01/2019","01/01/2019","31/12/2018","28/12/2018","27/12/2018","26/12/2018","25/12/2018","24/12/2018","21/12/2018","20/12/2018","19/12/2018","18/12/2018","17/12/2018","14/12/2018","13/12/2018","12/12/2018","11/12/2018","10/12/2018","07/12/2018","06/12/2018","05/12/2018","04/12/2018","03/12/2018","30/11/2018","29/11/2018","28/11/2018","27/11/2018","26/11/2018","23/11/2018","22/11/2018","21/11/2018","20/11/2018","19/11/2018","16/11/2018","15/11/2018","14/11/2018","13/11/2018","12/11/2018","09/11/2018","08/11/2018","07/11/2018","06/11/2018","05/11/2018","02/11/2018","01/11/2018","31/10/2018","30/10/2018","29/10/2018","26/10/2018","25/10/2018","24/10/2018","23/10/2018","22/10/2018","19/10/2018","18/10/2018","17/10/2018","16/10/2018","15/10/2018","12/10/2018","11/10/2018","10/10/2018","09/10/2018","08/10/2018","05/10/2018","04/10/2018","03/10/2018","02/10/2018","01/10/2018","28/09/2018","27/09/2018","26/09/2018","25/09/2018","24/09/2018","21/09/2018","20/09/2018","19/09/2018","18/09/2018","17/09/2018","14/09/2018","13/09/2018","12/09/2018","11/09/2018","10/09/2018","07/09/2018","06/09/2018","05/09/2018","04/09/2018","03/09/2018","31/08/2018","30/08/2018","29/08/2018","28/08/2018","27/08/2018","24/08/2018","23/08/2018","22/08/2018","21/08/2018","20/08/2018","17/08/2018","16/08/2018","15/08/2018","14/08/2018","13/08/2018","10/08/2018","09/08/2018","08/08/2018","07/08/2018","06/08/2018","03/08/2018","02/08/2018","01/08/2018","31/07/2018","30/07/2018","27/07/2018","26/07/2018","25/07/2018","24/07/2018","23/07/2018","20/07/2018","19/07/2018","18/07/2018","17/07/2018","16/07/2018","13/07/2018","12/07/2018","11/07/2018","10/07/2018","09/07/2018","06/07/2018","05/07/2018","04/07/2018","03/07/2018","02/07/2018","29/06/2018","28/06/2018","27/06/2018","26/06/2018","25/06/2018","22/06/2018","21/06/2018","20/06/2018","19/06/2018","18/06/2018","15/06/2018","14/06/2018","13/06/2018","12/06/2018","11/06/2018","08/06/2018","07/06/2018","06/06/2018","05/06/2018","04/06/2018","01/06/2018","31/05/2018","30/05/2018","29/05/2018","28/05/2018","25/05/2018","24/05/2018","23/05/2018","22/05/2018","21/05/2018","18/05/2018","17/05/2018","16/05/2018","15/05/2018","14/05/2018","11/05/2018","10/05/2018","09/05/2018","08/05/2018","07/05/2018","04/05/2018","03/05/2018","02/05/2018","01/05/2018","30/04/2018","27/04/2018","26/04/2018","25/04/2018","24/04/2018","23/04/2018","20/04/2018","19/04/2018","18/04/2018","17/04/2018","16/04/2018","13/04/2018","12/04/2018","11/04/2018","10/04/2018","09/04/2018","06/04/2018","05/04/2018","04/04/2018","03/04/2018","02/04/2018","30/03/2018","29/03/2018","28/03/2018","27/03/2018","26/03/2018","23/03/2018","22/03/2018","21/03/2018","20/03/2018","19/03/2018","16/03/2018","15/03/2018","14/03/2018","13/03/2018","12/03/2018","09/03/2018","08/03/2018","07/03/2018","06/03/2018","05/03/2018","02/03/2018","01/03/2018","28/02/2018","27/02/2018","26/02/2018","23/02/2018","22/02/2018","21/02/2018","20/02/2018","19/02/2018","16/02/2018","15/02/2018","14/02/2018","13/02/2018","12/02/2018","09/02/2018","08/02/2018","07/02/2018","06/02/2018","05/02/2018","02/02/2018","01/02/2018","31/01/2018","30/01/2018","29/01/2018","26/01/2018","25/01/2018","24/01/2018","23/01/2018","22/01/2018","19/01/2018","18/01/2018","17/01/2018","16/01/2018","15/01/2018","12/01/2018","11/01/2018","10/01/2018","09/01/2018","08/01/2018","05/01/2018","04/01/2018","03/01/2018","02/01/2018","01/01/2018","29/12/2017","28/12/2017","27/12/2017","26/12/2017","25/12/2017","22/12/2017","21/12/2017","20/12/2017","19/12/2017","18/12/2017","15/12/2017","14/12/2017","13/12/2017","12/12/2017","11/12/2017","08/12/2017","07/12/2017","06/12/2017","05/12/2017","04/12/2017","01/12/2017","30/11/2017","29/11/2017","28/11/2017","27/11/2017","24/11/2017","23/11/2017","22/11/2017","21/11/2017","20/11/2017","17/11/2017","16/11/2017","15/11/2017","14/11/2017","13/11/2017","10/11/2017","09/11/2017","08/11/2017","07/11/2017","06/11/2017","03/11/2017","02/11/2017","01/11/2017","31/10/2017","30/10/2017","27/10/2017","26/10/2017","25/10/2017","24/10/2017","23/10/2017","20/10/2017","19/10/2017","18/10/2017","17/10/2017","16/10/2017","13/10/2017","12/10/2017","11/10/2017","10/10/2017","09/10/2017","06/10/2017","05/10/2017","04/10/2017","03/10/2017","02/10/2017","29/09/2017","28/09/2017","27/09/2017","26/09/2017","25/09/2017","22/09/2017","21/09/2017","20/09/2017","19/09/2017","18/09/2017","15/09/2017","14/09/2017","13/09/2017","12/09/2017","11/09/2017","08/09/2017","07/09/2017","06/09/2017","05/09/2017","04/09/2017","01/09/2017","31/08/2017","30/08/2017","29/08/2017","28/08/2017","25/08/2017","24/08/2017","23/08/2017","22/08/2017","21/08/2017","18/08/2017","17/08/2017","16/08/2017","15/08/2017","14/08/2017","11/08/2017","10/08/2017","09/08/2017","08/08/2017","07/08/2017","04/08/2017","03/08/2017","02/08/2017","01/08/2017","31/07/2017","28/07/2017","27/07/2017","26/07/2017","25/07/2017","24/07/2017","21/07/2017","20/07/2017","19/07/2017","18/07/2017","17/07/2017","14/07/2017","13/07/2017","12/07/2017","11/07/2017","10/07/2017","07/07/2017","06/07/2017","05/07/2017","04/07/2017","03/07/2017","30/06/2017","29/06/2017","28/06/2017","27/06/2017","26/06/2017","23/06/2017","22/06/2017","21/06/2017","20/06/2017","19/06/2017","16/06/2017","15/06/2017","14/06/2017","13/06/2017","12/06/2017","09/06/2017","08/06/2017","07/06/2017","06/06/2017","05/06/2017","02/06/2017","01/06/2017","31/05/2017","30/05/2017","29/05/2017","26/05/2017","25/05/2017","24/05/2017","23/05/2017","22/05/2017","19/05/2017","18/05/2017","17/05/2017","16/05/2017","15/05/2017","12/05/2017","11/05/2017","10/05/2017","09/05/2017","08/05/2017","05/05/2017","04/05/2017","03/05/2017","02/05/2017","01/05/2017","28/04/2017","27/04/2017","26/04/2017","25/04/2017","24/04/2017","21/04/2017","20/04/2017","19/04/2017","18/04/2017","17/04/2017","14/04/2017","13/04/2017","12/04/2017","11/04/2017","10/04/2017","07/04/2017","06/04/2017","05/04/2017","04/04/2017","03/04/2017","31/03/2017","30/03/2017","29/03/2017","28/03/2017","27/03/2017","24/03/2017","23/03/2017","22/03/2017","21/03/2017","20/03/2017","17/03/2017","16/03/2017","15/03/2017","14/03/2017","13/03/2017","10/03/2017","09/03/2017","08/03/2017","07/03/2017","06/03/2017","03/03/2017","02/03/2017","01/03/2017","28/02/2017","27/02/2017","24/02/2017","23/02/2017","22/02/2017","21/02/2017","20/02/2017","17/02/2017","16/02/2017","15/02/2017","14/02/2017","13/02/2017","10/02/2017","09/02/2017","08/02/2017","07/02/2017","06/02/2017","03/02/2017","02/02/2017","01/02/2017","31/01/2017","30/01/2017","27/01/2017","26/01/2017","25/01/2017","24/01/2017","23/01/2017","20/01/2017","19/01/2017","18/01/2017","17/01/2017","16/01/2017","13/01/2017","12/01/2017","11/01/2017","10/01/2017","09/01/2017","06/01/2017","05/01/2017","04/01/2017","03/01/2017","02/01/2017","30/12/2016","29/12/2016","28/12/2016","27/12/2016","26/12/2016","23/12/2016","22/12/2016","21/12/2016","20/12/2016","19/12/2016","16/12/2016","15/12/2016","14/12/2016","13/12/2016","12/12/2016","09/12/2016","08/12/2016","07/12/2016","06/12/2016","05/12/2016","02/12/2016","01/12/2016","30/11/2016","29/11/2016","28/11/2016","25/11/2016","24/11/2016","23/11/2016","22/11/2016","21/11/2016","18/11/2016","17/11/2016","16/11/2016","15/11/2016","14/11/2016","11/11/2016","10/11/2016","09/11/2016","08/11/2016","07/11/2016","04/11/2016","03/11/2016","02/11/2016","01/11/2016","31/10/2016","28/10/2016","27/10/2016","26/10/2016","25/10/2016","24/10/2016","21/10/2016","20/10/2016","19/10/2016","18/10/2016","17/10/2016","14/10/2016","13/10/2016","12/10/2016","11/10/2016","10/10/2016","07/10/2016","06/10/2016","05/10/2016","04/10/2016","03/10/2016","30/09/2016","29/09/2016","28/09/2016","27/09/2016","26/09/2016","23/09/2016","22/09/2016","21/09/2016","20/09/2016","19/09/2016","16/09/2016","15/09/2016","14/09/2016","13/09/2016","12/09/2016","09/09/2016","08/09/2016","07/09/2016","06/09/2016","05/09/2016","02/09/2016","01/09/2016","31/08/2016","30/08/2016","29/08/2016","26/08/2016","25/08/2016","24/08/2016","23/08/2016","22/08/2016","19/08/2016","18/08/2016","17/08/2016","16/08/2016","15/08/2016","12/08/2016","11/08/2016","10/08/2016","09/08/2016","08/08/2016","05/08/2016","04/08/2016","03/08/2016","02/08/2016","01/08/2016","29/07/2016","28/07/2016","27/07/2016","26/07/2016","25/07/2016","22/07/2016","21/07/2016","20/07/2016","19/07/2016","18/07/2016","15/07/2016","14/07/2016","13/07/2016","12/07/2016","11/07/2016","08/07/2016","07/07/2016","06/07/2016","05/07/2016","04/07/2016","01/07/2016","30/06/2016","29/06/2016","28/06/2016","27/06/2016","24/06/2016","23/06/2016","22/06/2016","21/06/2016","20/06/2016","17/06/2016","16/06/2016","15/06/2016","14/06/2016","13/06/2016","10/06/2016","09/06/2016","08/06/2016","07/06/2016","06/06/2016","03/06/2016","02/06/2016","01/06/2016","31/05/2016","30/05/2016","27/05/2016","26/05/2016","25/05/2016","24/05/2016","23/05/2016","20/05/2016","19/05/2016","18/05/2016","17/05/2016","16/05/2016","13/05/2016","12/05/2016","11/05/2016","10/05/2016","09/05/2016","06/05/2016","05/05/2016","04/05/2016","03/05/2016","02/05/2016","29/04/2016","28/04/2016","27/04/2016","26/04/2016","25/04/2016","22/04/2016","21/04/2016","20/04/2016","19/04/2016","18/04/2016","15/04/2016","14/04/2016","13/04/2016","12/04/2016","11/04/2016","08/04/2016","07/04/2016","06/04/2016","05/04/2016","04/04/2016","01/04/2016","31/03/2016","30/03/2016","29/03/2016","28/03/2016","25/03/2016","24/03/2016","23/03/2016","22/03/2016","21/03/2016","18/03/2016","17/03/2016","16/03/2016","15/03/2016","14/03/2016","11/03/2016","10/03/2016","09/03/2016","08/03/2016","07/03/2016","04/03/2016","03/03/2016","02/03/2016","01/03/2016","29/02/2016","26/02/2016","25/02/2016","24/02/2016","23/02/2016","22/02/2016","19/02/2016","18/02/2016","17/02/2016","16/02/2016","15/02/2016","12/02/2016","11/02/2016","10/02/2016","09/02/2016","08/02/2016","05/02/2016","04/02/2016","03/02/2016","02/02/2016","01/02/2016","29/01/2016","28/01/2016","27/01/2016","26/01/2016","25/01/2016","22/01/2016","21/01/2016","20/01/2016","19/01/2016","18/01/2016","15/01/2016","14/01/2016","13/01/2016","12/01/2016","11/01/2016","08/01/2016","07/01/2016","06/01/2016","05/01/2016","04/01/2016","01/01/2016","31/12/2015","30/12/2015","29/12/2015","28/12/2015","25/12/2015","24/12/2015","23/12/2015","22/12/2015","21/12/2015","18/12/2015","17/12/2015","16/12/2015","15/12/2015","14/12/2015","11/12/2015","10/12/2015","09/12/2015","08/12/2015","07/12/2015","04/12/2015","03/12/2015","02/12/2015","01/12/2015","30/11/2015","27/11/2015","26/11/2015","25/11/2015","24/11/2015","23/11/2015","20/11/2015","19/11/2015","18/11/2015","17/11/2015","16/11/2015","13/11/2015","12/11/2015","11/11/2015","10/11/2015","09/11/2015","06/11/2015","05/11/2015","04/11/2015","03/11/2015","02/11/2015","30/10/2015","29/10/2015","28/10/2015","27/10/2015","26/10/2015","23/10/2015","22/10/2015","21/10/2015","20/10/2015","19/10/2015","16/10/2015","15/10/2015","14/10/2015","13/10/2015","12/10/2015","09/10/2015","08/10/2015","07/10/2015","06/10/2015","05/10/2015","02/10/2015","01/10/2015","30/09/2015","29/09/2015","28/09/2015","25/09/2015","24/09/2015","23/09/2015","22/09/2015","21/09/2015","18/09/2015","17/09/2015","16/09/2015","15/09/2015","14/09/2015","11/09/2015","10/09/2015","09/09/2015","08/09/2015","07/09/2015","04/09/2015","03/09/2015","02/09/2015","01/09/2015","31/08/2015","28/08/2015","27/08/2015","26/08/2015","25/08/2015","24/08/2015","21/08/2015","20/08/2015","19/08/2015","18/08/2015","17/08/2015","14/08/2015","13/08/2015","12/08/2015","11/08/2015","10/08/2015","07/08/2015","06/08/2015","05/08/2015","04/08/2015","03/08/2015","31/07/2015","30/07/2015","29/07/2015","28/07/2015","27/07/2015","24/07/2015","23/07/2015","22/07/2015","21/07/2015","20/07/2015","17/07/2015","16/07/2015","15/07/2015","14/07/2015","13/07/2015","10/07/2015","09/07/2015","08/07/2015","07/07/2015","06/07/2015","03/07/2015","02/07/2015","01/07/2015","30/06/2015","29/06/2015","26/06/2015","25/06/2015","24/06/2015","23/06/2015","22/06/2015","19/06/2015","18/06/2015","17/06/2015","16/06/2015","15/06/2015","12/06/2015","11/06/2015","10/06/2015","09/06/2015","08/06/2015","05/06/2015","04/06/2015","03/06/2015","02/06/2015","01/06/2015","29/05/2015","28/05/2015","27/05/2015","26/05/2015","25/05/2015","22/05/2015","21/05/2015","20/05/2015","19/05/2015","18/05/2015","15/05/2015","14/05/2015","13/05/2015","12/05/2015","11/05/2015","08/05/2015","07/05/2015","06/05/2015","05/05/2015","04/05/2015","01/05/2015","30/04/2015","29/04/2015","28/04/2015","27/04/2015","24/04/2015","23/04/2015","22/04/2015","21/04/2015","20/04/2015","17/04/2015","16/04/2015","15/04/2015","14/04/2015","13/04/2015","10/04/2015","09/04/2015","08/04/2015","07/04/2015","06/04/2015","03/04/2015","02/04/2015","01/04/2015","31/03/2015","30/03/2015","27/03/2015","26/03/2015","25/03/2015","24/03/2015","23/03/2015","20/03/2015","19/03/2015","18/03/2015","17/03/2015","16/03/2015","13/03/2015","12/03/2015","11/03/2015","10/03/2015","09/03/2015","06/03/2015","05/03/2015","04/03/2015","03/03/2015","02/03/2015","27/02/2015","26/02/2015","25/02/2015","24/02/2015","23/02/2015","20/02/2015","19/02/2015","18/02/2015","17/02/2015","16/02/2015","13/02/2015","12/02/2015","11/02/2015","10/02/2015","09/02/2015","06/02/2015","05/02/2015","04/02/2015","03/02/2015","02/02/2015","30/01/2015","29/01/2015","28/01/2015","27/01/2015","26/01/2015","23/01/2015","22/01/2015","21/01/2015","20/01/2015","19/01/2015","16/01/2015","15/01/2015","14/01/2015","13/01/2015","12/01/2015","09/01/2015","08/01/2015","07/01/2015","06/01/2015","05/01/2015","02/01/2015","01/01/2015","31/12/2014","30/12/2014","29/12/2014","26/12/2014","25/12/2014","24/12/2014","23/12/2014","22/12/2014","19/12/2014","18/12/2014","17/12/2014","16/12/2014","15/12/2014","12/12/2014","11/12/2014","10/12/2014","09/12/2014","08/12/2014","05/12/2014","04/12/2014","03/12/2014","02/12/2014","01/12/2014","28/11/2014","27/11/2014","26/11/2014","25/11/2014","24/11/2014","21/11/2014","20/11/2014","19/11/2014","18/11/2014","17/11/2014","14/11/2014","13/11/2014","12/11/2014","11/11/2014","10/11/2014","07/11/2014","06/11/2014","05/11/2014","04/11/2014","03/11/2014","31/10/2014","30/10/2014","29/10/2014","28/10/2014","27/10/2014","24/10/2014","23/10/2014","22/10/2014","21/10/2014","20/10/2014","17/10/2014","16/10/2014","15/10/2014","14/10/2014","13/10/2014","10/10/2014","09/10/2014","08/10/2014","07/10/2014","06/10/2014","03/10/2014","02/10/2014","01/10/2014","30/09/2014","29/09/2014","26/09/2014","25/09/2014","24/09/2014","23/09/2014","22/09/2014","19/09/2014","18/09/2014","17/09/2014","16/09/2014","15/09/2014","12/09/2014","11/09/2014","10/09/2014","09/09/2014","08/09/2014","05/09/2014","04/09/2014","03/09/2014","02/09/2014","01/09/2014","29/08/2014","28/08/2014","27/08/2014","26/08/2014","25/08/2014","22/08/2014","21/08/2014","20/08/2014","19/08/2014","18/08/2014","15/08/2014","14/08/2014","13/08/2014","12/08/2014","11/08/2014","08/08/2014","07/08/2014","06/08/2014","05/08/2014","04/08/2014","01/08/2014","31/07/2014","30/07/2014","29/07/2014","28/07/2014","25/07/2014","24/07/2014","23/07/2014","22/07/2014","21/07/2014","18/07/2014","17/07/2014","16/07/2014","15/07/2014","14/07/2014","11/07/2014","10/07/2014","09/07/2014","08/07/2014","07/07/2014","04/07/2014","03/07/2014","02/07/2014","01/07/2014","30/06/2014","27/06/2014","26/06/2014","25/06/2014","24/06/2014","23/06/2014","20/06/2014","19/06/2014","18/06/2014","17/06/2014","16/06/2014","13/06/2014","12/06/2014","11/06/2014","10/06/2014","09/06/2014","06/06/2014","05/06/2014","04/06/2014","03/06/2014","02/06/2014","30/05/2014","29/05/2014","28/05/2014","27/05/2014","26/05/2014","23/05/2014","22/05/2014","21/05/2014","20/05/2014","19/05/2014","16/05/2014","15/05/2014","14/05/2014","13/05/2014","12/05/2014","09/05/2014","08/05/2014","07/05/2014","06/05/2014","05/05/2014","02/05/2014","01/05/2014","30/04/2014","29/04/2014","28/04/2014","25/04/2014","24/04/2014","23/04/2014","22/04/2014","21/04/2014","18/04/2014","17/04/2014","16/04/2014","15/04/2014","14/04/2014","11/04/2014","10/04/2014","09/04/2014","08/04/2014","07/04/2014","04/04/2014","03/04/2014","02/04/2014","01/04/2014","31/03/2014","28/03/2014","27/03/2014","26/03/2014","25/03/2014","24/03/2014","21/03/2014","20/03/2014","19/03/2014","18/03/2014","17/03/2014","14/03/2014","13/03/2014","12/03/2014","11/03/2014","10/03/2014","07/03/2014","06/03/2014","05/03/2014","04/03/2014","03/03/2014","28/02/2014","27/02/2014","26/02/2014","25/02/2014","24/02/2014","21/02/2014","20/02/2014","19/02/2014","18/02/2014","17/02/2014","14/02/2014","13/02/2014","12/02/2014","11/02/2014","10/02/2014","07/02/2014","06/02/2014","05/02/2014","04/02/2014","03/02/2014","31/01/2014","30/01/2014","29/01/2014","28/01/2014","27/01/2014","24/01/2014","23/01/2014","22/01/2014","21/01/2014","20/01/2014","17/01/2014","16/01/2014","15/01/2014","14/01/2014","13/01/2014","10/01/2014","09/01/2014","08/01/2014","07/01/2014","06/01/2014","03/01/2014","02/01/2014","01/01/2014","31/12/2013","30/12/2013","27/12/2013","26/12/2013","25/12/2013","24/12/2013","23/12/2013","20/12/2013","19/12/2013","18/12/2013","17/12/2013","16/12/2013","13/12/2013","12/12/2013","11/12/2013","10/12/2013","09/12/2013","06/12/2013","05/12/2013","04/12/2013","03/12/2013","02/12/2013","29/11/2013","28/11/2013","27/11/2013","26/11/2013","25/11/2013","22/11/2013","21/11/2013","20/11/2013","19/11/2013","18/11/2013","15/11/2013","14/11/2013","13/11/2013","12/11/2013","11/11/2013","08/11/2013","07/11/2013","06/11/2013","05/11/2013","04/11/2013","01/11/2013","31/10/2013","30/10/2013","29/10/2013","28/10/2013","25/10/2013","24/10/2013","23/10/2013","22/10/2013","21/10/2013","18/10/2013","17/10/2013","16/10/2013","15/10/2013","14/10/2013","11/10/2013","10/10/2013","09/10/2013","08/10/2013","07/10/2013","04/10/2013","03/10/2013","02/10/2013","01/10/2013","30/09/2013","27/09/2013","26/09/2013","25/09/2013","24/09/2013","23/09/2013","20/09/2013","19/09/2013","18/09/2013","17/09/2013","16/09/2013","13/09/2013","12/09/2013","11/09/2013","10/09/2013","09/09/2013","06/09/2013","05/09/2013","04/09/2013","03/09/2013","02/09/2013","30/08/2013","29/08/2013","28/08/2013","27/08/2013","26/08/2013","23/08/2013","22/08/2013","21/08/2013","20/08/2013","19/08/2013","16/08/2013","15/08/2013","14/08/2013","13/08/2013","12/08/2013","09/08/2013","08/08/2013","07/08/2013","06/08/2013","05/08/2013","02/08/2013","01/08/2013","31/07/2013","30/07/2013","29/07/2013","26/07/2013","25/07/2013","24/07/2013","23/07/2013","22/07/2013","19/07/2013","18/07/2013","17/07/2013","16/07/2013","15/07/2013","12/07/2013","11/07/2013","10/07/2013","09/07/2013","08/07/2013","05/07/2013","04/07/2013","03/07/2013","02/07/2013","01/07/2013","28/06/2013","27/06/2013","26/06/2013","25/06/2013","24/06/2013","21/06/2013","20/06/2013","19/06/2013","18/06/2013","17/06/2013","14/06/2013","13/06/2013","12/06/2013","11/06/2013","10/06/2013","07/06/2013","06/06/2013","05/06/2013","04/06/2013","03/06/2013","31/05/2013","30/05/2013","29/05/2013","28/05/2013","27/05/2013","24/05/2013","23/05/2013","22/05/2013","21/05/2013","20/05/2013","17/05/2013","16/05/2013","15/05/2013","14/05/2013","13/05/2013","10/05/2013","09/05/2013","08/05/2013","07/05/2013","06/05/2013","03/05/2013","02/05/2013","01/05/2013","30/04/2013","29/04/2013","26/04/2013","25/04/2013","24/04/2013","23/04/2013","22/04/2013","19/04/2013","18/04/2013","17/04/2013","16/04/2013","15/04/2013","12/04/2013","11/04/2013","10/04/2013","09/04/2013","08/04/2013","05/04/2013","04/04/2013","03/04/2013","02/04/2013","01/04/2013","29/03/2013","28/03/2013","27/03/2013","26/03/2013","25/03/2013","22/03/2013","21/03/2013","20/03/2013","19/03/2013","18/03/2013","15/03/2013","14/03/2013","13/03/2013","12/03/2013","11/03/2013","08/03/2013","07/03/2013","06/03/2013","05/03/2013","04/03/2013","01/03/2013","28/02/2013","27/02/2013","26/02/2013","25/02/2013","22/02/2013","21/02/2013","20/02/2013","19/02/2013","18/02/2013","15/02/2013","14/02/2013","13/02/2013","12/02/2013","11/02/2013","08/02/2013","07/02/2013","06/02/2013","05/02/2013","04/02/2013","01/02/2013","31/01/2013","30/01/2013","29/01/2013","28/01/2013","25/01/2013","24/01/2013","23/01/2013","22/01/2013","21/01/2013","18/01/2013","17/01/2013","16/01/2013","15/01/2013","14/01/2013","11/01/2013","10/01/2013","09/01/2013","08/01/2013","07/01/2013","04/01/2013","03/01/2013","02/01/2013","01/01/2013","31/12/2012","28/12/2012","27/12/2012","26/12/2012","25/12/2012","24/12/2012","21/12/2012","20/12/2012","19/12/2012","18/12/2012","17/12/2012","14/12/2012","13/12/2012","12/12/2012","11/12/2012","10/12/2012","07/12/2012","06/12/2012","05/12/2012","04/12/2012","03/12/2012","30/11/2012","29/11/2012","28/11/2012","27/11/2012","26/11/2012","23/11/2012","22/11/2012","21/11/2012","20/11/2012","19/11/2012","16/11/2012","15/11/2012","14/11/2012","13/11/2012","12/11/2012","09/11/2012","08/11/2012","07/11/2012","06/11/2012","05/11/2012","02/11/2012","01/11/2012","31/10/2012","30/10/2012","29/10/2012","26/10/2012","25/10/2012","24/10/2012","23/10/2012","22/10/2012","19/10/2012","18/10/2012","17/10/2012","16/10/2012","15/10/2012","12/10/2012","11/10/2012","10/10/2012","09/10/2012","08/10/2012","05/10/2012","04/10/2012","03/10/2012","02/10/2012","01/10/2012","28/09/2012","27/09/2012","26/09/2012","25/09/2012","24/09/2012","21/09/2012","20/09/2012","19/09/2012","18/09/2012","17/09/2012","14/09/2012","13/09/2012","12/09/2012","11/09/2012","10/09/2012","07/09/2012","06/09/2012","05/09/2012","04/09/2012","03/09/2012","31/08/2012","30/08/2012","29/08/2012","28/08/2012","27/08/2012","24/08/2012","23/08/2012","22/08/2012","21/08/2012","20/08/2012","17/08/2012","16/08/2012","15/08/2012","14/08/2012","13/08/2012","10/08/2012","09/08/2012","08/08/2012","07/08/2012","06/08/2012","03/08/2012","02/08/2012","01/08/2012","31/07/2012","30/07/2012","27/07/2012","26/07/2012","25/07/2012","24/07/2012","23/07/2012","20/07/2012","19/07/2012","18/07/2012","17/07/2012","16/07/2012","13/07/2012","12/07/2012","11/07/2012","10/07/2012","09/07/2012","06/07/2012","05/07/2012","04/07/2012","03/07/2012","02/07/2012","29/06/2012","28/06/2012","27/06/2012","26/06/2012","25/06/2012","22/06/2012","21/06/2012","20/06/2012","19/06/2012","18/06/2012","15/06/2012","14/06/2012","13/06/2012","12/06/2012","11/06/2012","08/06/2012","07/06/2012","06/06/2012","05/06/2012","04/06/2012","01/06/2012","31/05/2012","30/05/2012","29/05/2012","28/05/2012","25/05/2012","24/05/2012","23/05/2012","22/05/2012","21/05/2012","18/05/2012","17/05/2012","16/05/2012","15/05/2012","14/05/2012","11/05/2012","10/05/2012","09/05/2012","08/05/2012","07/05/2012","04/05/2012","03/05/2012","02/05/2012","01/05/2012","30/04/2012","27/04/2012","26/04/2012","25/04/2012","24/04/2012","23/04/2012","20/04/2012","19/04/2012","18/04/2012","17/04/2012","16/04/2012","13/04/2012","12/04/2012","11/04/2012","10/04/2012","09/04/2012","06/04/2012","05/04/2012","04/04/2012","03/04/2012","02/04/2012","30/03/2012","29/03/2012","28/03/2012","27/03/2012","26/03/2012","23/03/2012","22/03/2012","21/03/2012","20/03/2012","19/03/2012","16/03/2012","15/03/2012","14/03/2012","13/03/2012","12/03/2012","09/03/2012","08/03/2012","07/03/2012","06/03/2012","05/03/2012","02/03/2012","01/03/2012","29/02/2012","28/02/2012","27/02/2012","24/02/2012","23/02/2012","22/02/2012","21/02/2012","20/02/2012","17/02/2012","16/02/2012","15/02/2012","14/02/2012","13/02/2012","10/02/2012","09/02/2012","08/02/2012","07/02/2012","06/02/2012","03/02/2012","02/02/2012","01/02/2012","31/01/2012","30/01/2012","27/01/2012","26/01/2012","25/01/2012","24/01/2012","23/01/2012","20/01/2012","19/01/2012","18/01/2012","17/01/2012","16/01/2012","13/01/2012","12/01/2012","11/01/2012","10/01/2012","09/01/2012","06/01/2012","05/01/2012","04/01/2012","03/01/2012","02/01/2012","30/12/2011","29/12/2011","28/12/2011","27/12/2011","26/12/2011","23/12/2011","22/12/2011","21/12/2011","20/12/2011","19/12/2011","16/12/2011","15/12/2011","14/12/2011","13/12/2011","12/12/2011","09/12/2011","08/12/2011","07/12/2011","06/12/2011","05/12/2011","02/12/2011","01/12/2011","30/11/2011","29/11/2011","28/11/2011","25/11/2011","24/11/2011","23/11/2011","22/11/2011","21/11/2011","18/11/2011","17/11/2011","16/11/2011","15/11/2011","14/11/2011","11/11/2011","10/11/2011","09/11/2011","08/11/2011","07/11/2011","04/11/2011","03/11/2011","02/11/2011","01/11/2011","31/10/2011","28/10/2011","27/10/2011","26/10/2011","25/10/2011","24/10/2011","21/10/2011","20/10/2011","19/10/2011","18/10/2011","17/10/2011","14/10/2011","13/10/2011","12/10/2011","11/10/2011","10/10/2011","07/10/2011","06/10/2011","05/10/2011","04/10/2011","03/10/2011","30/09/2011","29/09/2011","28/09/2011","27/09/2011","26/09/2011","23/09/2011","22/09/2011","21/09/2011","20/09/2011","19/09/2011","16/09/2011","15/09/2011","14/09/2011","13/09/2011","12/09/2011","09/09/2011","08/09/2011","07/09/2011","06/09/2011","05/09/2011","02/09/2011","01/09/2011","31/08/2011","30/08/2011","29/08/2011","26/08/2011","25/08/2011","24/08/2011","23/08/2011","22/08/2011","19/08/2011","18/08/2011","17/08/2011","16/08/2011","15/08/2011","12/08/2011","11/08/2011","10/08/2011","09/08/2011","08/08/2011","05/08/2011","04/08/2011","03/08/2011","02/08/2011","01/08/2011","29/07/2011","28/07/2011","27/07/2011","26/07/2011","25/07/2011","22/07/2011","21/07/2011","20/07/2011","19/07/2011","18/07/2011","15/07/2011","14/07/2011","13/07/2011","12/07/2011","11/07/2011","08/07/2011","07/07/2011","06/07/2011","05/07/2011","04/07/2011","01/07/2011","30/06/2011","29/06/2011","28/06/2011","27/06/2011","24/06/2011","23/06/2011","22/06/2011","21/06/2011","20/06/2011","17/06/2011","16/06/2011","15/06/2011","14/06/2011","13/06/2011","10/06/2011","09/06/2011","08/06/2011","07/06/2011","06/06/2011","03/06/2011","02/06/2011","01/06/2011","31/05/2011","30/05/2011","27/05/2011","26/05/2011","25/05/2011","24/05/2011","23/05/2011","20/05/2011","19/05/2011","18/05/2011","17/05/2011","16/05/2011","13/05/2011","12/05/2011","11/05/2011","10/05/2011","09/05/2011","06/05/2011","05/05/2011","04/05/2011","03/05/2011","02/05/2011","29/04/2011","28/04/2011","27/04/2011","26/04/2011","25/04/2011","22/04/2011","21/04/2011","20/04/2011","19/04/2011","18/04/2011","15/04/2011","14/04/2011","13/04/2011","12/04/2011","11/04/2011","08/04/2011","07/04/2011","06/04/2011","05/04/2011","04/04/2011","01/04/2011","31/03/2011","30/03/2011","29/03/2011","28/03/2011","25/03/2011","24/03/2011","23/03/2011","22/03/2011","21/03/2011","18/03/2011","17/03/2011","16/03/2011","15/03/2011","14/03/2011","11/03/2011","10/03/2011","09/03/2011","08/03/2011","07/03/2011","04/03/2011","03/03/2011","02/03/2011","01/03/2011","28/02/2011","25/02/2011","24/02/2011","23/02/2011","22/02/2011","21/02/2011","18/02/2011","17/02/2011","16/02/2011","15/02/2011","14/02/2011","11/02/2011","10/02/2011","09/02/2011","08/02/2011","07/02/2011","04/02/2011","03/02/2011","02/02/2011","01/02/2011","31/01/2011","28/01/2011","27/01/2011","26/01/2011","25/01/2011","24/01/2011","21/01/2011","20/01/2011","19/01/2011","18/01/2011","17/01/2011","14/01/2011","13/01/2011","12/01/2011","11/01/2011","10/01/2011","07/01/2011","06/01/2011","05/01/2011","04/01/2011","03/01/2011","31/12/2010","30/12/2010","29/12/2010","28/12/2010","27/12/2010","24/12/2010","23/12/2010","22/12/2010","21/12/2010","20/12/2010","17/12/2010","16/12/2010","15/12/2010","14/12/2010","13/12/2010","10/12/2010","09/12/2010","08/12/2010","07/12/2010","06/12/2010","03/12/2010","02/12/2010","01/12/2010","30/11/2010","29/11/2010","26/11/2010","25/11/2010","24/11/2010","23/11/2010","22/11/2010","19/11/2010","18/11/2010","17/11/2010","16/11/2010","15/11/2010","12/11/2010","11/11/2010","10/11/2010","09/11/2010","08/11/2010","05/11/2010","04/11/2010","03/11/2010","02/11/2010","01/11/2010","29/10/2010","28/10/2010","27/10/2010","26/10/2010","25/10/2010","22/10/2010","21/10/2010","20/10/2010","19/10/2010","18/10/2010","15/10/2010","14/10/2010","13/10/2010","12/10/2010","11/10/2010","08/10/2010","07/10/2010","06/10/2010","05/10/2010","04/10/2010","01/10/2010","30/09/2010","29/09/2010","28/09/2010","27/09/2010","24/09/2010","23/09/2010","22/09/2010","21/09/2010","20/09/2010","17/09/2010","16/09/2010","15/09/2010","14/09/2010","13/09/2010","10/09/2010","09/09/2010","08/09/2010","07/09/2010","06/09/2010","03/09/2010","02/09/2010","01/09/2010","31/08/2010","30/08/2010","27/08/2010","26/08/2010","25/08/2010","24/08/2010","23/08/2010","20/08/2010","19/08/2010","18/08/2010","17/08/2010","16/08/2010","13/08/2010","12/08/2010","11/08/2010","10/08/2010","09/08/2010","06/08/2010","05/08/2010","04/08/2010","03/08/2010","02/08/2010","30/07/2010","29/07/2010","28/07/2010","27/07/2010","26/07/2010","23/07/2010","22/07/2010","21/07/2010","20/07/2010","19/07/2010","16/07/2010","15/07/2010","14/07/2010","13/07/2010","12/07/2010","09/07/2010","08/07/2010","07/07/2010","06/07/2010","05/07/2010","02/07/2010","01/07/2010","30/06/2010","29/06/2010","28/06/2010","25/06/2010","24/06/2010","23/06/2010","22/06/2010","21/06/2010","18/06/2010","17/06/2010","16/06/2010","15/06/2010","14/06/2010","11/06/2010","10/06/2010","09/06/2010","08/06/2010","07/06/2010","04/06/2010","03/06/2010","02/06/2010","01/06/2010","31/05/2010","28/05/2010","27/05/2010","26/05/2010","25/05/2010","24/05/2010","21/05/2010","20/05/2010","19/05/2010","18/05/2010","17/05/2010","14/05/2010","13/05/2010","12/05/2010","11/05/2010","10/05/2010","07/05/2010","06/05/2010","05/05/2010","04/05/2010","03/05/2010","30/04/2010","29/04/2010","28/04/2010","27/04/2010","26/04/2010","23/04/2010","22/04/2010","21/04/2010","20/04/2010","19/04/2010","16/04/2010","15/04/2010","14/04/2010","13/04/2010","12/04/2010","09/04/2010","08/04/2010","07/04/2010","06/04/2010","05/04/2010","02/04/2010","01/04/2010","31/03/2010","30/03/2010","29/03/2010","26/03/2010","25/03/2010","24/03/2010","23/03/2010","22/03/2010","19/03/2010","18/03/2010","17/03/2010","16/03/2010","15/03/2010","12/03/2010","11/03/2010","10/03/2010","09/03/2010","08/03/2010","05/03/2010","04/03/2010","03/03/2010","02/03/2010","01/03/2010","26/02/2010","25/02/2010","24/02/2010","23/02/2010","22/02/2010","19/02/2010","18/02/2010","17/02/2010","16/02/2010","15/02/2010","12/02/2010","11/02/2010","10/02/2010","09/02/2010","08/02/2010","05/02/2010","04/02/2010","03/02/2010","02/02/2010","01/02/2010","29/01/2010","28/01/2010","27/01/2010","26/01/2010","25/01/2010","22/01/2010","21/01/2010","20/01/2010","19/01/2010","18/01/2010","15/01/2010","14/01/2010","13/01/2010","12/01/2010","11/01/2010","08/01/2010","07/01/2010","06/01/2010","05/01/2010","04/01/2010","01/01/2010","31/12/2009","30/12/2009","29/12/2009","28/12/2009","25/12/2009","24/12/2009","23/12/2009","22/12/2009","21/12/2009","18/12/2009","17/12/2009","16/12/2009","15/12/2009","14/12/2009","11/12/2009","10/12/2009","09/12/2009","08/12/2009","07/12/2009","04/12/2009","03/12/2009","02/12/2009","01/12/2009","30/11/2009","27/11/2009","26/11/2009","25/11/2009","24/11/2009","23/11/2009","20/11/2009","19/11/2009","18/11/2009","17/11/2009","16/11/2009","13/11/2009","12/11/2009","11/11/2009","10/11/2009","09/11/2009","06/11/2009","05/11/2009","04/11/2009","03/11/2009","02/11/2009","30/10/2009","29/10/2009","28/10/2009","27/10/2009","26/10/2009","23/10/2009","22/10/2009","21/10/2009","20/10/2009","19/10/2009","16/10/2009","15/10/2009","14/10/2009","13/10/2009","12/10/2009","09/10/2009","08/10/2009","07/10/2009","06/10/2009","05/10/2009","02/10/2009","01/10/2009","30/09/2009","29/09/2009","28/09/2009","25/09/2009","24/09/2009","23/09/2009","22/09/2009","21/09/2009","18/09/2009","17/09/2009","16/09/2009","15/09/2009","14/09/2009","11/09/2009","10/09/2009","09/09/2009","08/09/2009","07/09/2009","04/09/2009","03/09/2009","02/09/2009","01/09/2009","31/08/2009","28/08/2009","27/08/2009","26/08/2009","25/08/2009","24/08/2009","21/08/2009","20/08/2009","19/08/2009","18/08/2009","17/08/2009","14/08/2009","13/08/2009","12/08/2009","11/08/2009","10/08/2009","07/08/2009","06/08/2009","05/08/2009","04/08/2009","03/08/2009","31/07/2009","30/07/2009","29/07/2009","28/07/2009","27/07/2009","24/07/2009","23/07/2009","22/07/2009","21/07/2009","20/07/2009","17/07/2009","16/07/2009","15/07/2009","14/07/2009","13/07/2009","10/07/2009","09/07/2009","08/07/2009","07/07/2009","06/07/2009","03/07/2009","02/07/2009","01/07/2009","30/06/2009","29/06/2009","26/06/2009","25/06/2009","24/06/2009","23/06/2009","22/06/2009","19/06/2009","18/06/2009","17/06/2009","16/06/2009","15/06/2009","12/06/2009","11/06/2009","10/06/2009","09/06/2009","08/06/2009","05/06/2009","04/06/2009","03/06/2009","02/06/2009","01/06/2009","29/05/2009","28/05/2009","27/05/2009","26/05/2009","25/05/2009","22/05/2009","21/05/2009","20/05/2009","19/05/2009","18/05/2009","15/05/2009","14/05/2009","13/05/2009","12/05/2009","11/05/2009","08/05/2009","07/05/2009","06/05/2009","05/05/2009","04/05/2009","01/05/2009","30/04/2009","29/04/2009","28/04/2009","27/04/2009","24/04/2009","23/04/2009","22/04/2009","21/04/2009","20/04/2009","17/04/2009","16/04/2009","15/04/2009","14/04/2009","13/04/2009","10/04/2009","09/04/2009","08/04/2009","07/04/2009","06/04/2009","03/04/2009","02/04/2009","01/04/2009","31/03/2009","30/03/2009","27/03/2009","26/03/2009","25/03/2009","24/03/2009","23/03/2009","20/03/2009","19/03/2009","18/03/2009","17/03/2009","16/03/2009","13/03/2009","12/03/2009","11/03/2009","10/03/2009","09/03/2009","06/03/2009","05/03/2009","04/03/2009","03/03/2009","02/03/2009","27/02/2009","26/02/2009","25/02/2009","24/02/2009","23/02/2009","20/02/2009","19/02/2009","18/02/2009","17/02/2009","16/02/2009","13/02/2009","12/02/2009","11/02/2009","10/02/2009","09/02/2009","06/02/2009","05/02/2009","04/02/2009","03/02/2009","02/02/2009","30/01/2009","29/01/2009","28/01/2009","27/01/2009","26/01/2009","23/01/2009","22/01/2009","21/01/2009","20/01/2009","19/01/2009","16/01/2009","15/01/2009","14/01/2009","13/01/2009","12/01/2009","09/01/2009","08/01/2009","07/01/2009","06/01/2009","05/01/2009","02/01/2009","01/01/2009","31/12/2008","30/12/2008","29/12/2008","26/12/2008","25/12/2008","24/12/2008","23/12/2008","22/12/2008","19/12/2008","18/12/2008","17/12/2008","16/12/2008","15/12/2008","12/12/2008","11/12/2008","10/12/2008","09/12/2008","08/12/2008","05/12/2008","04/12/2008","03/12/2008","02/12/2008","01/12/2008","28/11/2008","27/11/2008","26/11/2008","25/11/2008","24/11/2008","21/11/2008","20/11/2008","19/11/2008","18/11/2008","17/11/2008","14/11/2008","13/11/2008","12/11/2008","11/11/2008","10/11/2008","07/11/2008","06/11/2008","05/11/2008","04/11/2008","03/11/2008","31/10/2008","30/10/2008","29/10/2008","28/10/2008","27/10/2008","24/10/2008","23/10/2008","22/10/2008","21/10/2008","20/10/2008","17/10/2008","16/10/2008","15/10/2008","14/10/2008","13/10/2008","10/10/2008","09/10/2008","08/10/2008","07/10/2008","06/10/2008","03/10/2008","02/10/2008","01/10/2008","30/09/2008","29/09/2008","26/09/2008","25/09/2008","24/09/2008","23/09/2008","22/09/2008","19/09/2008","18/09/2008","17/09/2008","16/09/2008","15/09/2008","12/09/2008","11/09/2008","10/09/2008","09/09/2008","08/09/2008","05/09/2008","04/09/2008","03/09/2008","02/09/2008","01/09/2008","29/08/2008","28/08/2008","27/08/2008","26/08/2008","25/08/2008","22/08/2008","21/08/2008","20/08/2008","19/08/2008","18/08/2008","15/08/2008","14/08/2008","13/08/2008","12/08/2008","11/08/2008","08/08/2008","07/08/2008","06/08/2008","05/08/2008","04/08/2008","01/08/2008","31/07/2008","30/07/2008","29/07/2008","28/07/2008","25/07/2008","24/07/2008","23/07/2008","22/07/2008","21/07/2008","18/07/2008","17/07/2008","16/07/2008","15/07/2008","14/07/2008","11/07/2008","10/07/2008","09/07/2008","08/07/2008","07/07/2008","04/07/2008","03/07/2008","02/07/2008","01/07/2008","30/06/2008","27/06/2008","26/06/2008","25/06/2008","24/06/2008","23/06/2008","20/06/2008","19/06/2008","18/06/2008","17/06/2008","16/06/2008","13/06/2008","12/06/2008","11/06/2008","10/06/2008","09/06/2008","06/06/2008","05/06/2008","04/06/2008","03/06/2008","02/06/2008","30/05/2008","29/05/2008","28/05/2008","27/05/2008","26/05/2008","23/05/2008","22/05/2008","21/05/2008","20/05/2008","19/05/2008","16/05/2008","15/05/2008","14/05/2008","13/05/2008","12/05/2008","09/05/2008","08/05/2008","07/05/2008","06/05/2008","05/05/2008","02/05/2008","01/05/2008","30/04/2008","29/04/2008","28/04/2008","25/04/2008","24/04/2008","23/04/2008","22/04/2008","21/04/2008","18/04/2008","17/04/2008","16/04/2008","15/04/2008","14/04/2008","11/04/2008","10/04/2008","09/04/2008","08/04/2008","07/04/2008","04/04/2008","03/04/2008","02/04/2008","01/04/2008","31/03/2008","28/03/2008","27/03/2008","26/03/2008","25/03/2008","24/03/2008","21/03/2008","20/03/2008","19/03/2008","18/03/2008","17/03/2008","14/03/2008","13/03/2008","12/03/2008","11/03/2008","10/03/2008","07/03/2008","06/03/2008","05/03/2008","04/03/2008","03/03/2008","29/02/2008","28/02/2008","27/02/2008","26/02/2008","25/02/2008","22/02/2008","21/02/2008","20/02/2008","19/02/2008","18/02/2008","15/02/2008","14/02/2008","13/02/2008","12/02/2008","11/02/2008","08/02/2008","07/02/2008","06/02/2008","05/02/2008","04/02/2008","01/02/2008","31/01/2008","30/01/2008","29/01/2008","28/01/2008","25/01/2008","24/01/2008","23/01/2008","22/01/2008","21/01/2008","18/01/2008","17/01/2008","16/01/2008","15/01/2008","14/01/2008","11/01/2008","10/01/2008","09/01/2008","08/01/2008","07/01/2008","04/01/2008","03/01/2008","02/01/2008","01/01/2008","31/12/2007","28/12/2007","27/12/2007","26/12/2007","25/12/2007","24/12/2007","21/12/2007","20/12/2007","19/12/2007","18/12/2007","17/12/2007","14/12/2007","13/12/2007","12/12/2007","11/12/2007","10/12/2007","07/12/2007","06/12/2007","05/12/2007","04/12/2007","03/12/2007","30/11/2007","29/11/2007","28/11/2007","27/11/2007","26/11/2007","23/11/2007","22/11/2007","21/11/2007","20/11/2007","19/11/2007","16/11/2007","15/11/2007","14/11/2007","13/11/2007","12/11/2007","09/11/2007","08/11/2007","07/11/2007","06/11/2007","05/11/2007","02/11/2007","01/11/2007","31/10/2007","30/10/2007","29/10/2007","26/10/2007","25/10/2007","24/10/2007","23/10/2007","22/10/2007","19/10/2007","18/10/2007","17/10/2007","16/10/2007","15/10/2007","12/10/2007","11/10/2007","10/10/2007","09/10/2007","08/10/2007","05/10/2007","04/10/2007","03/10/2007","02/10/2007","01/10/2007","28/09/2007","27/09/2007","26/09/2007","25/09/2007","24/09/2007","21/09/2007","20/09/2007","19/09/2007","18/09/2007","17/09/2007","14/09/2007","13/09/2007","12/09/2007","11/09/2007","10/09/2007","07/09/2007","06/09/2007","05/09/2007","04/09/2007","03/09/2007","31/08/2007","30/08/2007","29/08/2007","28/08/2007","27/08/2007","24/08/2007","23/08/2007","22/08/2007","21/08/2007","20/08/2007","17/08/2007","16/08/2007","15/08/2007","14/08/2007","13/08/2007","10/08/2007","09/08/2007","08/08/2007","07/08/2007","06/08/2007","03/08/2007","02/08/2007","01/08/2007","31/07/2007","30/07/2007","27/07/2007","26/07/2007","25/07/2007","24/07/2007","23/07/2007","20/07/2007","19/07/2007","18/07/2007","17/07/2007","16/07/2007","13/07/2007","12/07/2007","11/07/2007","10/07/2007","09/07/2007","06/07/2007","05/07/2007","04/07/2007","03/07/2007","02/07/2007","29/06/2007","28/06/2007","27/06/2007","26/06/2007","25/06/2007","22/06/2007","21/06/2007","20/06/2007","19/06/2007","18/06/2007","15/06/2007","14/06/2007","13/06/2007","12/06/2007","11/06/2007","08/06/2007","07/06/2007","06/06/2007","05/06/2007","04/06/2007","01/06/2007","31/05/2007","30/05/2007","29/05/2007","28/05/2007","25/05/2007","24/05/2007","23/05/2007","22/05/2007","21/05/2007","18/05/2007","17/05/2007","16/05/2007","15/05/2007","14/05/2007","11/05/2007","10/05/2007","09/05/2007","08/05/2007","07/05/2007","04/05/2007","03/05/2007","02/05/2007","01/05/2007","30/04/2007","27/04/2007","26/04/2007","25/04/2007","24/04/2007","23/04/2007","20/04/2007","19/04/2007","18/04/2007","17/04/2007","16/04/2007","13/04/2007","12/04/2007","11/04/2007","10/04/2007","09/04/2007","06/04/2007","05/04/2007","04/04/2007","03/04/2007","02/04/2007","30/03/2007","29/03/2007","28/03/2007","27/03/2007","26/03/2007","23/03/2007","22/03/2007","21/03/2007","20/03/2007","19/03/2007","16/03/2007","15/03/2007","14/03/2007","13/03/2007","12/03/2007","09/03/2007","08/03/2007","07/03/2007","06/03/2007","05/03/2007","02/03/2007","01/03/2007","28/02/2007","27/02/2007","26/02/2007","23/02/2007","22/02/2007","21/02/2007","20/02/2007","19/02/2007","16/02/2007","15/02/2007","14/02/2007","13/02/2007","12/02/2007","09/02/2007","08/02/2007","07/02/2007","06/02/2007","05/02/2007","02/02/2007","01/02/2007","31/01/2007","30/01/2007","29/01/2007","26/01/2007","25/01/2007","24/01/2007","23/01/2007","22/01/2007","19/01/2007","18/01/2007","17/01/2007","16/01/2007","15/01/2007","12/01/2007","11/01/2007","10/01/2007","09/01/2007","08/01/2007","05/01/2007","04/01/2007","03/01/2007","02/01/2007","01/01/2007","29/12/2006","28/12/2006","27/12/2006","26/12/2006","25/12/2006","22/12/2006","21/12/2006","20/12/2006","19/12/2006","18/12/2006","15/12/2006","14/12/2006","13/12/2006","12/12/2006","11/12/2006","08/12/2006","07/12/2006","06/12/2006","05/12/2006","04/12/2006","01/12/2006","30/11/2006","29/11/2006","28/11/2006","27/11/2006","24/11/2006","23/11/2006","22/11/2006","21/11/2006","20/11/2006","17/11/2006","16/11/2006","15/11/2006","14/11/2006","13/11/2006","10/11/2006","09/11/2006","08/11/2006","07/11/2006","06/11/2006","03/11/2006","02/11/2006","01/11/2006","31/10/2006","30/10/2006","27/10/2006","26/10/2006","25/10/2006","24/10/2006","23/10/2006","20/10/2006","19/10/2006","18/10/2006","17/10/2006","16/10/2006","13/10/2006","12/10/2006","11/10/2006","10/10/2006","09/10/2006","06/10/2006","05/10/2006","04/10/2006","03/10/2006","02/10/2006","29/09/2006","28/09/2006","27/09/2006","26/09/2006","25/09/2006","22/09/2006","21/09/2006","20/09/2006","19/09/2006","18/09/2006","15/09/2006","14/09/2006","13/09/2006","12/09/2006","11/09/2006","08/09/2006","07/09/2006","06/09/2006","05/09/2006","04/09/2006","01/09/2006","31/08/2006","30/08/2006","29/08/2006","28/08/2006","25/08/2006","24/08/2006","23/08/2006","22/08/2006","21/08/2006","18/08/2006","17/08/2006","16/08/2006","15/08/2006","14/08/2006","11/08/2006","10/08/2006","09/08/2006","08/08/2006","07/08/2006","04/08/2006","03/08/2006","02/08/2006","01/08/2006","31/07/2006","28/07/2006","27/07/2006","26/07/2006","25/07/2006","24/07/2006","21/07/2006","20/07/2006","19/07/2006","18/07/2006","17/07/2006","14/07/2006","13/07/2006","12/07/2006","11/07/2006","10/07/2006","07/07/2006","06/07/2006","05/07/2006","04/07/2006","03/07/2006","30/06/2006","29/06/2006","28/06/2006","27/06/2006","26/06/2006","23/06/2006","22/06/2006","21/06/2006","20/06/2006","19/06/2006","16/06/2006","15/06/2006","14/06/2006","13/06/2006","12/06/2006","09/06/2006","08/06/2006","07/06/2006","06/06/2006","05/06/2006","02/06/2006","01/06/2006","31/05/2006","30/05/2006","29/05/2006","26/05/2006","25/05/2006","24/05/2006","23/05/2006","22/05/2006","19/05/2006","18/05/2006","17/05/2006","16/05/2006","15/05/2006","12/05/2006","11/05/2006","10/05/2006","09/05/2006","08/05/2006","05/05/2006","04/05/2006","03/05/2006","02/05/2006","01/05/2006","28/04/2006","27/04/2006","26/04/2006","25/04/2006","24/04/2006","21/04/2006","20/04/2006","19/04/2006","18/04/2006","17/04/2006","14/04/2006","13/04/2006","12/04/2006","11/04/2006","10/04/2006","07/04/2006","06/04/2006","05/04/2006","04/04/2006","03/04/2006","31/03/2006","30/03/2006","29/03/2006","28/03/2006","27/03/2006","24/03/2006","23/03/2006","22/03/2006","21/03/2006","20/03/2006","17/03/2006","16/03/2006","15/03/2006","14/03/2006","13/03/2006","10/03/2006","09/03/2006","08/03/2006","07/03/2006","06/03/2006","03/03/2006","02/03/2006","01/03/2006","28/02/2006","27/02/2006","24/02/2006","23/02/2006","22/02/2006","21/02/2006","20/02/2006","17/02/2006","16/02/2006","15/02/2006","14/02/2006","13/02/2006","10/02/2006","09/02/2006","08/02/2006","07/02/2006","06/02/2006","03/02/2006","02/02/2006","01/02/2006","31/01/2006","30/01/2006","27/01/2006","26/01/2006","25/01/2006","24/01/2006","23/01/2006","20/01/2006","19/01/2006","18/01/2006","17/01/2006","16/01/2006","13/01/2006","12/01/2006","11/01/2006","10/01/2006","09/01/2006","06/01/2006","05/01/2006","04/01/2006","03/01/2006","02/01/2006","30/12/2005","29/12/2005","28/12/2005","27/12/2005","26/12/2005","23/12/2005","22/12/2005","21/12/2005","20/12/2005","19/12/2005","16/12/2005","15/12/2005","14/12/2005","13/12/2005","12/12/2005","09/12/2005","08/12/2005","07/12/2005","06/12/2005","05/12/2005","02/12/2005","01/12/2005","30/11/2005","29/11/2005","28/11/2005","25/11/2005","24/11/2005","23/11/2005","22/11/2005","21/11/2005","18/11/2005","17/11/2005","16/11/2005","15/11/2005","14/11/2005","11/11/2005","10/11/2005","09/11/2005","08/11/2005","07/11/2005","04/11/2005","03/11/2005","02/11/2005","01/11/2005","31/10/2005","28/10/2005","27/10/2005","26/10/2005","25/10/2005","24/10/2005","21/10/2005","20/10/2005","19/10/2005","18/10/2005","17/10/2005","14/10/2005","13/10/2005","12/10/2005","11/10/2005","10/10/2005","07/10/2005","06/10/2005","05/10/2005","04/10/2005","03/10/2005","30/09/2005","29/09/2005","28/09/2005","27/09/2005","26/09/2005","23/09/2005","22/09/2005","21/09/2005","20/09/2005","19/09/2005","16/09/2005","15/09/2005","14/09/2005","13/09/2005","12/09/2005","09/09/2005","08/09/2005","07/09/2005","06/09/2005","05/09/2005","02/09/2005","01/09/2005","31/08/2005","30/08/2005","29/08/2005","26/08/2005","25/08/2005","24/08/2005","23/08/2005","22/08/2005","19/08/2005","18/08/2005","17/08/2005","16/08/2005","15/08/2005","12/08/2005","11/08/2005","10/08/2005","09/08/2005","08/08/2005","05/08/2005","04/08/2005","03/08/2005","02/08/2005","01/08/2005","29/07/2005","28/07/2005","27/07/2005","26/07/2005","25/07/2005","22/07/2005","21/07/2005","20/07/2005","19/07/2005","18/07/2005","15/07/2005","14/07/2005","13/07/2005","12/07/2005","11/07/2005","08/07/2005","07/07/2005","06/07/2005","05/07/2005","04/07/2005","01/07/2005","30/06/2005","29/06/2005","28/06/2005","27/06/2005","24/06/2005","23/06/2005","22/06/2005","21/06/2005","20/06/2005","17/06/2005","16/06/2005","15/06/2005","14/06/2005","13/06/2005","10/06/2005","09/06/2005","08/06/2005","07/06/2005","06/06/2005","03/06/2005","02/06/2005","01/06/2005","31/05/2005","30/05/2005","27/05/2005","26/05/2005","25/05/2005","24/05/2005","23/05/2005","20/05/2005","19/05/2005","18/05/2005","17/05/2005","16/05/2005","13/05/2005","12/05/2005","11/05/2005","10/05/2005","09/05/2005","06/05/2005","05/05/2005","04/05/2005","03/05/2005","02/05/2005","29/04/2005","28/04/2005","27/04/2005","26/04/2005","25/04/2005","22/04/2005","21/04/2005","20/04/2005","19/04/2005","18/04/2005","15/04/2005","14/04/2005","13/04/2005","12/04/2005","11/04/2005","08/04/2005","07/04/2005","06/04/2005","05/04/2005","04/04/2005","01/04/2005","31/03/2005","30/03/2005","29/03/2005","28/03/2005","25/03/2005","24/03/2005","23/03/2005","22/03/2005","21/03/2005","18/03/2005","17/03/2005","16/03/2005","15/03/2005","14/03/2005","11/03/2005","10/03/2005","09/03/2005","08/03/2005","07/03/2005","04/03/2005","03/03/2005","02/03/2005","01/03/2005","28/02/2005","25/02/2005","24/02/2005","23/02/2005","22/02/2005","21/02/2005","18/02/2005","17/02/2005","16/02/2005","15/02/2005","14/02/2005","11/02/2005","10/02/2005","09/02/2005","08/02/2005","07/02/2005","04/02/2005","03/02/2005","02/02/2005","01/02/2005","31/01/2005","28/01/2005","27/01/2005","26/01/2005","25/01/2005","24/01/2005","21/01/2005","20/01/2005","19/01/2005","18/01/2005","17/01/2005","14/01/2005","13/01/2005","12/01/2005","11/01/2005","10/01/2005","07/01/2005","06/01/2005","05/01/2005","04/01/2005","03/01/2005","31/12/2004","30/12/2004","29/12/2004","28/12/2004","27/12/2004","24/12/2004","23/12/2004","22/12/2004","21/12/2004","20/12/2004","17/12/2004","16/12/2004","15/12/2004","14/12/2004","13/12/2004","10/12/2004","09/12/2004","08/12/2004","07/12/2004","06/12/2004","03/12/2004","02/12/2004","01/12/2004","30/11/2004","29/11/2004","26/11/2004","25/11/2004","24/11/2004","23/11/2004","22/11/2004","19/11/2004","18/11/2004","17/11/2004","16/11/2004","15/11/2004","12/11/2004","11/11/2004","10/11/2004","09/11/2004","08/11/2004","05/11/2004","04/11/2004","03/11/2004","02/11/2004","01/11/2004","29/10/2004","28/10/2004","27/10/2004","26/10/2004","25/10/2004","22/10/2004","21/10/2004","20/10/2004","19/10/2004","18/10/2004","15/10/2004","14/10/2004","13/10/2004","12/10/2004","11/10/2004","08/10/2004","07/10/2004","06/10/2004","05/10/2004","04/10/2004","01/10/2004","30/09/2004","29/09/2004","28/09/2004","27/09/2004","24/09/2004","23/09/2004","22/09/2004","21/09/2004","20/09/2004","17/09/2004","16/09/2004","15/09/2004","14/09/2004","13/09/2004","10/09/2004","09/09/2004","08/09/2004","07/09/2004","06/09/2004","03/09/2004","02/09/2004","01/09/2004","31/08/2004","30/08/2004","27/08/2004","26/08/2004","25/08/2004","24/08/2004","23/08/2004","20/08/2004"],"SP50^FMA_COS_UP(\"EPS\",\"1M\",+1,NOW,-10AY,M,\"PORTAGG\",\"MEANR\")/(FMA_COS_DOWN(\"EPS\",\"1M\",+1,NOW,-10AY,M,\"PORTAGG\",\"MEANR\")+FMA_COS_UP(\"EPS\",\"1M\",+1,NOW,-10AY,M,\"PORTAGG\",\"MEANR\"))":[0.505910165484634,0.470059880239521,0.583979328165375,0.519138755980861,0.481012658227848,0.725373134328358,0.614427860696517,0.510204081632653,0.585677749360614,0.493023255813954,0.476331360946746,0.579081632653061,0.527777777777778,0.482954545454545,0.580246913580247,0.5,0.460869565217391,0.681818181818182,0.508905852417303,0.470383275261324,0.498644986449864,0.37962962962963,0.391304347826087,0.589285714285714,0.380090497737557,0.420749279538905,0.5625,0.532407407407407,0.433962264150943,0.754545454545455,0.632596685082873,0.611721611721612,0.710875331564987,0.631067961165049,0.570977917981073,0.786458333333333,0.814726840855107,0.752238805970149,0.803571428571429,0.768321513002364,0.635854341736695,0.793269230769231,0.728,0.731292517006803,0.805013927576602,0.80091533180778,0.682098765432099,0.722955145118733,0.70627802690583,0.536388140161725,0.272093023255814,0.0895833333333333,0.0953436807095344,0.676020408163265,0.618075801749271,0.531496062992126,0.567934782608696,0.495121951219512,0.41304347826087,0.546174142480211,0.479545454545455,0.40117994100295,0.577720207253886,0.546067415730337,0.445454545454545,0.672535211267606,0.46927374301676,0.412,0.612121212121212,0.570707070707071,0.529616724738676,0.668604651162791,0.604938271604938,0.537735849056604,0.66578947368421,0.597435897435897,0.570570570570571,0.758169934640523,0.694050991501416,0.626086956521739,0.659863945578231,0.628865979381443,0.482269503546099,0.567251461988304,0.649350649350649,0.516014234875445,0.608465608465608,0.60545905707196,0.508196721311475,0.697278911564626,0.546031746031746,0.535398230088496,0.5375,0.537037037037037,0.510869565217391,0.524242424242424,0.485,0.398026315789474,0.541547277936963,0.597435897435897,0.471380471380471,0.66304347826087,0.487577639751553,0.418103448275862,0.549488054607508,0.506459948320413,0.40625,0.522727272727273,0.555844155844156,0.452296819787986,0.576819407008086,0.474226804123711,0.377049180327869,0.64306784660767,0.52463768115942,0.481651376146789,0.620991253644315,0.515957446808511,0.483870967741935,0.591194968553459],"SP50^FMA_EPS(NTMA,NOW,-10AY,M,,\"PORTAGG\",\"MEANR\")":[262.409630882682,259.789611999719,257.362241756139,253.131301936096,249.995050869064,247.191675516654,243.518683367111,242.696635458741,241.840761978867,239.960873014326,238.571618250912,236.617071560528,232.324896258124,230.21328911433,229.281759208998,227.111620123171,224.977926578519,224.027582115474,224.16963032379,227.849413390863,228.058818343993,228.280024736484,233.188608267088,233.173883406968,232.875191077501,236.252920793999,234.715463658631,232.017438387946,229.187297952466,225.39726494749,223.163797370938,220.063869992593,216.526855586368,213.412325378456,210.623520239017,209.266286249803,205.814573967876,198.394967991491,195.633588608369,190.340462452211,179.937801180888,175.38842999446,170.755504946707,163.64770467148,160.296847461818,157.223808108576,152.479412311451,149.147581596502,146.555041531228,140.955543676346,138.189398042377,140.640183412697,161.847034635926,173.776907205601,174.528324418772,174.441553681501,173.17163452931,171.945208175314,172.511922318544,171.396591743431,171.086360123821,171.38607727836,171.070969581985,171.018967715836,169.777327401418,168.648462156892,168.645119129342,170.717617046348,172.098015436111,171.987475260451,170.973787200774,169.457071425682,168.195799123574,165.9677291612,164.078487147521,161.908744220228,158.853700509995,157.205123807653,153.264678485754,144.418460053683,142.118529489395,140.706110791452,139.971149809938,138.924548254279,138.108162795331,137.198028755629,135.722242280572,135.009977067205,133.504423913061,132.261581829509,132.079625159083,131.815654709881,130.585989070418,129.5633454186,128.823168688913,127.668110096841,126.435808573856,125.889042121645,125.085724249168,124.298817453871,124.086619643283,123.666398313109,124.088589638812,126.652617736209,126.829485833154,127.084720781165,127.262085475733,127.598399300524,127.316333051301,127.757604867089,127.092970244947,125.966052183481,125.35445747486,125.092944091601,124.696854487837,128.983468792579,130.212365659076,130.189318773622,131.422213263374,130.724632472725],"^FDS_ECON_SOURCE('ISMPRD@M')":"ISM - Institute for Supply Management","^PSETCAL('FIVEDAY');ECON_DATE(0, -20AY, W, 'YYYYMMDD')":["20240816","20240809","20240802","20240726","20240719","20240712","20240705","20240628","20240621","20240614","20240607","20240531","20240524","20240517","20240510","20240503","20240426","20240419","20240412","20240405","20240329","20240322","20240315","20240308","20240301","20240223","20240216","20240209","20240202","20240126","20240119","20240112","20240105","20231229","20231222","20231215","20231208","20231201","20231124","20231117","20231110","20231103","20231027","20231020","20231013","20231006","20230929","20230922","20230915","20230908","20230901","20230825","20230818","20230811","20230804","20230728","20230721","20230714","20230707","20230630","20230623","20230616","20230609","20230602","20230526","20230519","20230512","20230505","20230428","20230421","20230414","20230407","20230331","20230324","20230317","20230310","20230303","20230224","20230217","20230210","20230203","20230127","20230120","20230113","20230106","20221230","20221223","20221216","20221209","20221202","20221125","20221118","20221111","20221104","20221028","20221021","20221014","20221007","20220930","20220923","20220916","20220909","20220902","20220826","20220819","20220812","20220805","20220729","20220722","20220715","20220708","20220701","20220624","20220617","20220610","20220603","20220527","20220520","20220513","20220506","20220429","20220422","20220415","20220408","20220401","20220325","20220318","20220311","20220304","20220225","20220218","20220211","20220204","20220128","20220121","20220114","20220107","20211231","20211224","20211217","20211210","20211203","20211126","20211119","20211112","20211105","20211029","20211022","20211015","20211008","20211001","20210924","20210917","20210910","20210903","20210827","20210820","20210813","20210806","20210730","20210723","20210716","20210709","20210702","20210625","20210618","20210611","20210604","20210528","20210521","20210514","20210507","20210430","20210423","20210416","20210409","20210402","20210326","20210319","20210312","20210305","20210226","20210219","20210212","20210205","20210129","20210122","20210115","20210108","20210101","20201225","20201218","20201211","20201204","20201127","20201120","20201113","20201106","20201030","20201023","20201016","20201009","20201002","20200925","20200918","20200911","20200904","20200828","20200821","20200814","20200807","20200731","20200724","20200717","20200710","20200703","20200626","20200619","20200612","20200605","20200529","20200522","20200515","20200508","20200501","20200424","20200417","20200410","20200403","20200327","20200320","20200313","20200306","20200228","20200221","20200214","20200207","20200131","20200124","20200117","20200110","20200103","20191227","20191220","20191213","20191206","20191129","20191122","20191115","20191108","20191101","20191025","20191018","20191011","20191004","20190927","20190920","20190913","20190906","20190830","20190823","20190816","20190809","20190802","20190726","20190719","20190712","20190705","20190628","20190621","20190614","20190607","20190531","20190524","20190517","20190510","20190503","20190426","20190419","20190412","20190405","20190329","20190322","20190315","20190308","20190301","20190222","20190215","20190208","20190201","20190125","20190118","20190111","20190104","20181228","20181221","20181214","20181207","20181130","20181123","20181116","20181109","20181102","20181026","20181019","20181012","20181005","20180928","20180921","20180914","20180907","20180831","20180824","20180817","20180810","20180803","20180727","20180720","20180713","20180706","20180629","20180622","20180615","20180608","20180601","20180525","20180518","20180511","20180504","20180427","20180420","20180413","20180406","20180330","20180323","20180316","20180309","20180302","20180223","20180216","20180209","20180202","20180126","20180119","20180112","20180105","20171229","20171222","20171215","20171208","20171201","20171124","20171117","20171110","20171103","20171027","20171020","20171013","20171006","20170929","20170922","20170915","20170908","20170901","20170825","20170818","20170811","20170804","20170728","20170721","20170714","20170707","20170630","20170623","20170616","20170609","20170602","20170526","20170519","20170512","20170505","20170428","20170421","20170414","20170407","20170331","20170324","20170317","20170310","20170303","20170224","20170217","20170210","20170203","20170127","20170120","20170113","20170106","20161230","20161223","20161216","20161209","20161202","20161125","20161118","20161111","20161104","20161028","20161021","20161014","20161007","20160930","20160923","20160916","20160909","20160902","20160826","20160819","20160812","20160805","20160729","20160722","20160715","20160708","20160701","20160624","20160617","20160610","20160603","20160527","20160520","20160513","20160506","20160429","20160422","20160415","20160408","20160401","20160325","20160318","20160311","20160304","20160226","20160219","20160212","20160205","20160129","20160122","20160115","20160108","20160101","20151225","20151218","20151211","20151204","20151127","20151120","20151113","20151106","20151030","20151023","20151016","20151009","20151002","20150925","20150918","20150911","20150904","20150828","20150821","20150814","20150807","20150731","20150724","20150717","20150710","20150703","20150626","20150619","20150612","20150605","20150529","20150522","20150515","20150508","20150501","20150424","20150417","20150410","20150403","20150327","20150320","20150313","20150306","20150227","20150220","20150213","20150206","20150130","20150123","20150116","20150109","20150102","20141226","20141219","20141212","20141205","20141128","20141121","20141114","20141107","20141031","20141024","20141017","20141010","20141003","20140926","20140919","20140912","20140905","20140829","20140822","20140815","20140808","20140801","20140725","20140718","20140711","20140704","20140627","20140620","20140613","20140606","20140530","20140523","20140516","20140509","20140502","20140425","20140418","20140411","20140404","20140328","20140321","20140314","20140307","20140228","20140221","20140214","20140207","20140131","20140124","20140117","20140110","20140103","20131227","20131220","20131213","20131206","20131129","20131122","20131115","20131108","20131101","20131025","20131018","20131011","20131004","20130927","20130920","20130913","20130906","20130830","20130823","20130816","20130809","20130802","20130726","20130719","20130712","20130705","20130628","20130621","20130614","20130607","20130531","20130524","20130517","20130510","20130503","20130426","20130419","20130412","20130405","20130329","20130322","20130315","20130308","20130301","20130222","20130215","20130208","20130201","20130125","20130118","20130111","20130104","20121228","20121221","20121214","20121207","20121130","20121123","20121116","20121109","20121102","20121026","20121019","20121012","20121005","20120928","20120921","20120914","20120907","20120831","20120824","20120817","20120810","20120803","20120727","20120720","20120713","20120706","20120629","20120622","20120615","20120608","20120601","20120525","20120518","20120511","20120504","20120427","20120420","20120413","20120406","20120330","20120323","20120316","20120309","20120302","20120224","20120217","20120210","20120203","20120127","20120120","20120113","20120106","20111230","20111223","20111216","20111209","20111202","20111125","20111118","20111111","20111104","20111028","20111021","20111014","20111007","20110930","20110923","20110916","20110909","20110902","20110826","20110819","20110812","20110805","20110729","20110722","20110715","20110708","20110701","20110624","20110617","20110610","20110603","20110527","20110520","20110513","20110506","20110429","20110422","20110415","20110408","20110401","20110325","20110318","20110311","20110304","20110225","20110218","20110211","20110204","20110128","20110121","20110114","20110107","20101231","20101224","20101217","20101210","20101203","20101126","20101119","20101112","20101105","20101029","20101022","20101015","20101008","20101001","20100924","20100917","20100910","20100903","20100827","20100820","20100813","20100806","20100730","20100723","20100716","20100709","20100702","20100625","20100618","20100611","20100604","20100528","20100521","20100514","20100507","20100430","20100423","20100416","20100409","20100402","20100326","20100319","20100312","20100305","20100226","20100219","20100212","20100205","20100129","20100122","20100115","20100108","20100101","20091225","20091218","20091211","20091204","20091127","20091120","20091113","20091106","20091030","20091023","20091016","20091009","20091002","20090925","20090918","20090911","20090904","20090828","20090821","20090814","20090807","20090731","20090724","20090717","20090710","20090703","20090626","20090619","20090612","20090605","20090529","20090522","20090515","20090508","20090501","20090424","20090417","20090410","20090403","20090327","20090320","20090313","20090306","20090227","20090220","20090213","20090206","20090130","20090123","20090116","20090109","20090102","20081226","20081219","20081212","20081205","20081128","20081121","20081114","20081107","20081031","20081024","20081017","20081010","20081003","20080926","20080919","20080912","20080905","20080829","20080822","20080815","20080808","20080801","20080725","20080718","20080711","20080704","20080627","20080620","20080613","20080606","20080530","20080523","20080516","20080509","20080502","20080425","20080418","20080411","20080404","20080328","20080321","20080314","20080307","20080229","20080222","20080215","20080208","20080201","20080125","20080118","20080111","20080104","20071228","20071221","20071214","20071207","20071130","20071123","20071116","20071109","20071102","20071026","20071019","20071012","20071005","20070928","20070921","20070914","20070907","20070831","20070824","20070817","20070810","20070803","20070727","20070720","20070713","20070706","20070629","20070622","20070615","20070608","20070601","20070525","20070518","20070511","20070504","20070427","20070420","20070413","20070406","20070330","20070323","20070316","20070309","20070302","20070223","20070216","20070209","20070202","20070126","20070119","20070112","20070105","20061229","20061222","20061215","20061208","20061201","20061124","20061117","20061110","20061103","20061027","20061020","20061013","20061006","20060929","20060922","20060915","20060908","20060901","20060825","20060818","20060811","20060804","20060728","20060721","20060714","20060707","20060630","20060623","20060616","20060609","20060602","20060526","20060519","20060512","20060505","20060428","20060421","20060414","20060407","20060331","20060324","20060317","20060310","20060303","20060224","20060217","20060210","20060203","20060127","20060120","20060113","20060106","20051230","20051223","20051216","20051209","20051202","20051125","20051118","20051111","20051104","20051028","20051021","20051014","20051007","20050930","20050923","20050916","20050909","20050902","20050826","20050819","20050812","20050805","20050729","20050722","20050715","20050708","20050701","20050624","20050617","20050610","20050603","20050527","20050520","20050513","20050506","20050429","20050422","20050415","20050408","20050401","20050325","20050318","20050311","20050304","20050225","20050218","20050211","20050204","20050128","20050121","20050114","20050107","20041231","20041224","20041217","20041210","20041203","20041126","20041119","20041112","20041105","20041029","20041022","20041015","20041008","20041001","20040924","20040917","20040910","20040903","20040827","20040820"],"ACWX-US^FMA_PE(LTMA,NOW,-10AY,W,\"PORTAGG\",\"MEANR\")":[14.3185867000235,14.1401156143612,14.1947325690804,14.4332041347732,14.5348652578213,14.7190475683417,14.6043017984666,14.5038893279136,14.4943015199696,14.4826989237161,14.579735184087,14.5272633708174,14.5955485324543,14.6603472545806,14.6184434310266,14.5541224722437,14.5485921446061,14.472709747819,14.5935157221978,14.6160769266076,14.6553363433736,14.6700875683039,14.6370209157866,14.6643160591716,14.660782664291,14.6979381662243,14.4741107529661,14.2616755258219,14.1681676058041,14.1613662403563,13.9153480139775,14.1184182866865,14.0292297093941,14.1195789781748,13.9078102436207,13.8427313247267,13.6147655924214,13.5962316173121,13.5079351874689,13.4392225538087,13.1458068855771,13.1452279872758,12.7907475910708,12.8778156968595,13.1459006800864,13.0190174733998,13.1520595022293,13.2452246217396,13.4294434702204,13.2643015405074,13.3197266542074,13.0965242779565,13.0479052851817,13.274785827822,13.28881557812,13.4328646133704,13.3090708655308,13.2588769858372,13.0377299011896,13.1613523759017,13.0315621484657,13.1852638921081,13.0454710225097,12.9899363335094,12.9342388171903,12.9938707335087,12.940611175248,12.950725640365,12.9554459212471,12.9603111312526,12.9428138437864,12.8692317251153,12.8624352229698,12.7609206248661,12.7342713079217,12.8030713385577,12.8566936603916,12.7822798722152,12.9991278119377,12.9448207132097,13.0284105365288,13.0979276920642,12.9161005724136,12.7662819017144,12.447742385571,12.0613658209063,12.1273944439291,12.1901453171234,12.464866428796,12.5185327273261,12.4586953421971,12.3801222354618,12.3702492727239,11.9997076219481,11.857166846255,11.7998681743963,11.7648051158304,11.9387591002731,11.8236994503278,12.0321142254055,12.3972004573827,12.6231293192641,12.5888078943103,12.8165591525879,12.9383121923497,13.0226016529616,12.9706194367493,13.0612939315714,13.0535127734402,12.8859608572265,13.048327469529,13.0018510207424,13.1353642443535,13.0783284753395,13.3919254789758,13.5466049284723,13.5583032452516,13.5082088875603,13.5263517043782,13.6002093916148,13.7777592850436,13.8392072483651,13.928299948809,13.97037725012,14.0267322789861,14.0381574388496,14.0583450825221,13.9676726919161,14.0203002741344,13.9257895627404,14.2621976675704,14.4996923177182,14.4259453908934,14.2706740917097,14.6474856234074,15.022557928,15.0235356783012,15.0602157890949,15.0925723639367,15.050339464921,15.3102034859007,15.1989902240525,15.3011091240459,15.9059303575908,16.1373074270251,16.2154888969949,16.2447972218243,16.497435549089,16.5903094934905,16.4710686303305,16.5107201022336,16.8812089150442,17.0380486235444,17.292757458341,17.4746767178471,18.4603415010677,17.3969750259873,17.8048818311598,17.9070223176836,18.0292576228807,18.3229640271927,18.4923604421055,18.6462160993415,18.889036351873,19.0955724116382,19.1497797821036,19.316962762338,19.4156105218435,19.4812380479543,19.4824447241577,19.5571886089689,19.7934654358727,19.878088788652,20.0929119085377,20.2493680311966,20.3101165475372,20.4109699543773,20.4778341392719,20.6013669172572,20.7113608131376,20.7559880689012,20.8418918332536,21.8935923934699,22.0977288192377,22.0377197691642,21.3771997966776,22.3168339308734,22.302488152969,22.4720220571542,21.7744112293436,21.30956597502,21.3061519502385,20.917257964635,20.8607182666955,20.6819217899285,20.2779415135637,19.9357517831838,19.2642927555169,18.2865015940629,18.997322549742,18.9279947987961,18.9613493963719,18.5100923365881,18.2738552214847,18.5623190500476,18.4162131088022,18.2000185811315,18.1987392004181,17.8785295204806,17.8242208692252,17.58836395663,17.2343325971972,17.2430886603335,17.1998910371525,16.9583200984381,16.7054457870563,16.3852401062033,16.3653547159876,16.0246510936798,16.1759632068404,15.5212327086282,15.14854587758,14.9030462250898,14.8852032462051,14.704664649229,14.4273859697775,14.3574222680537,14.1582798739358,13.8386631013061,13.8195298146352,13.5933140060133,13.7000528214878,14.0574102249296,14.0872538507799,15.5374210345144,15.5832851854988,15.4388062626798,15.0286711234051,15.4969539450737,15.6817670587569,15.5246178973355,15.4537274731416,15.4531823597728,15.3215370377999,15.0935816428802,14.8168343064868,14.7375587784349,14.6189197049962,14.633998817288,14.6571696051816,14.4396199126884,14.33413314545,14.1508596214201,14.0424331268259,13.8277648293454,13.9995688680756,14.057028586715,14.0465639911037,13.8714836766306,13.6762326714449,13.5108365096878,13.456571905212,13.5382538808562,13.6510830301386,13.8640719298957,13.811672538674,13.7742011034254,13.8182326514826,13.7179876960412,13.7098300353072,13.5730213924297,13.541613380128,13.4337961651238,13.4641047553411,13.5265504767726,13.5265655449759,13.6831114803683,13.6725470207683,13.6666837731927,13.6474104039179,13.6499621674173,13.5782361453836,13.5816288153815,13.5947185442667,13.5449885577866,13.5921103274163,13.5872972316723,13.3788086641774,13.1074970560054,13.1712180719507,13.0174063222481,12.8871641934049,12.6018614752949,12.2283621091566,12.1632795582187,12.1916988177966,12.6498462211886,12.7283726740491,12.9987697983086,12.8700707811414,13.0405795800345,13.1899480196833,13.2513345635486,12.9344956653515,13.3150634018318,13.3587728213372,13.8054304778659,14.0575320351237,14.1079992523014,13.9188792399536,13.8468240078691,14.1377382283841,14.1648183199311,14.1068962014991,14.2662652054152,14.3713556069562,14.52344396461,14.4483137660586,14.4503446140459,14.397449371227,14.4271104342809,14.5209408981471,14.6225170943409,14.645614172999,14.6487237996952,14.7318480931835,14.8229065588822,14.8567690942949,14.8192106216425,14.8542386586163,14.8577012843288,14.8584726001744,14.8743932880347,14.8801083463248,14.8882420345478,15.0158385612958,15.0392801275692,15.01491806197,15.2645934126545,15.3553375581509,14.9521328118014,15.8628031508312,16.3349995703152,16.2170384875094,16.1237175244,16.1215814224552,15.8021481133322,15.7676995707782,15.5928264505261,15.6410707945367,15.5993431089575,15.7733988370415,15.6213294229106,15.7282265259207,15.8009864354052,15.7349206384062,15.7036385886802,15.6860264991819,15.6059805403731,15.5475060651424,15.5657405380888,15.4796440464586,15.3960507928099,15.500886643956,15.512810491226,15.4863266257252,15.5159050100258,15.7541991732094,15.7233817391013,15.7762899754453,15.8156846796907,15.686800500906,15.7321004551667,15.8252973792908,15.8482897861195,15.9186740004911,15.9954190370873,15.9851368881991,15.9962324562648,16.0561094710247,16.0468132802003,16.0357458642719,15.9915656993102,16.0556861056418,16.1191295358587,16.1644463092064,16.2149871707991,16.2762494303693,16.28938199149,16.3343708603753,16.4202002583485,16.3327075257153,16.2402414695768,16.0850250644069,16.2940262700602,16.1438018436151,16.2846878391005,16.258472154945,16.031425873014,15.9366271430037,15.8515448755905,15.7988341966204,15.3050698210573,15.3717886880154,15.1463819949284,15.0690087102382,14.9049832979622,15.3073947761267,15.3381721312388,15.1667558860297,15.1925463932884,15.1112862144687,15.1980684634598,14.9024364926524,15.1148037410123,15.1376680825465,14.9675767402772,14.9681485359148,15.0249837305879,14.7992027401443,14.8211058527429,14.8212136380743,14.7648450360366,14.41972716434,14.4894667257897,14.216859167851,14.2693564794249,14.4531906486237,14.5204413902323,14.4870459040376,14.3379045418551,14.2949677411472,14.2479566376958,14.3798451281993,14.4670188648014,14.3872966268657,14.231331065532,14.2460224753728,14.2649455112581,14.2997862785251,14.2773515238868,14.2604674906657,14.1692771119191,13.9609063822062,13.28918585207,13.9602629144574,14.2930656958917,13.8687100036714,13.7018793908184,14.0595072219849,14.9596442715394,14.8320463755932,14.6761592815246,14.4460197319957,14.9764577104912,15.2966915342498,15.337789206468,15.0148265034479,15.2714109364201,15.1696382482616,15.2561861808715,15.0182081649257,15.0172187528814,14.5116411477831,14.4986827907895,14.7311738960291,14.7140657315856,14.5789917647078,14.9539883114946,14.929146335206,15.4616077539604,15.6316473448275,15.6718855076924,15.5854541484209,15.7406955531128,15.52482022622,15.6129536534519,15.7491716683775,15.6339214949797,15.7169523718309,15.7338680953525,15.8551670060092,15.9203841903452,15.8662282988668,15.8624392991536,15.8613316056145,15.9380846091637,15.8634997737528,15.8949988646859,15.7754394758298,15.7482046694463,15.8009936168727,15.7270198157363,15.7573679780083,15.7823775771023,15.540999046145,15.3750601217281,15.1323956508636,14.8346750279713,14.9284159412547,14.3698574249455,14.3039707798535,14.5151411761954,14.6368469977794,14.5014456275221,14.230920825542,14.8286415350148,14.7730036865268,14.7668141004453,14.5189792952054,14.4143440347887,14.4254862613167,14.0621353070327,13.8117242417589,13.9410094167811,14.2280618922498,14.462849412393,14.6446760300543,14.5905360710056,14.6879179245877,14.5934643491784,14.5484520828052],"^ECON_EXPR_DESCRIPTION('RETURNS(FDS_ECON[US.LMCLAIMS,DIST=STEP,CONV=AVERAGE], -1AY)')":"(% 1YR) Unemployment Insurance Continued Claims, SA - United States","ACWX-US^FMA_EPS(NTMA,-1M,,,,\"PORTAGG\",\"MEANR\")/AVG(FMA_EPS(NTMA,-1M,-200D,,,\"PORTAGG\",\"MEANR\"))":1.0102803151056,"VIX^FG_PRICE(-1W,,,USD)":20.37,"ACWX-US^FG_PRICE(-1W)/FG_PRICE_MAVG(-1W,,,,200)":1.0186415467558,"ACWX-US^FMA_EPS(NTMA,0,,,,\"PORTAGG\",\"MEANR\")/AVG(FMA_EPS(NTMA,0,-200D,,,\"PORTAGG\",\"MEANR\"))":1.05109943201795,"ACWX-US^FMA_PCT_ABOVE_MAVG(50,0,,,,\"PORTAGG\")/AVG(FMA_PCT_ABOVE_MAVG(50,0,-200D,,,\"PORTAGG\"))":0.799928715946865,"TLT-US^FG_PRICE(-1M)/FG_PRICE_MAVG(-1M,,,,200)":0.998229876743952,"SPXEKW^FG_PRICE(-1M)/FG_PRICE_MAVG(-1M,,,,200)":1.05412639949516,"SP50^FMA_PCT_ABOVE_MAVG(50,-1W,,,,\"PORTAGG\")/AVG(FMA_PCT_ABOVE_MAVG(50,-1W,-200D,,,\"PORTAGG\"))":0.917458810379309,"SHY-US^FG_PRICE(-1W)/FG_PRICE_MAVG(-1W,,,,200)":1.01055025245378,"SHY-US^FG_PRICE(0)/FG_PRICE_MAVG(0,,,,200)":1.01183246483564,"SPXEKW^FG_PRICE(0)/FG_PRICE_MAVG(0,,,,200)":1.065066372992,"^FDS_ECON_DESCRIPTION('USSU2929306')":"Investors Intelligence, Sentiment Data, Bullish, Percent - United States","ACWX^FMA_COS_UP(\"EPS\",\"1M\",+1,0,-7AY,,\"PORTAGG\",\"MEANR\")/(FMA_COS_UP(\"EPS\",\"1M\",+1,0,-7AY,,\"PORTAGG\",\"MEANR\")+FMA_COS_DOWN(\"EPS\",\"1M\",+1,0,-7AY,,\"PORTAGG\",\"MEANR\"))":[0.503523382447149,0.503523382447149,0.503523382447149,0.503523382447149,0.502882767456759,0.505798969072165,0.500978473581213,0.494832041343669,0.498696219035202,0.495023224950232,0.490591397849462,0.490835030549898,0.487837837837838,0.482970027247956,0.483321987746766,0.486878453038674,0.483938547486034,0.483781918564527,0.481301939058172,0.485734168406402,0.474705474705475,0.47445766270119,0.479833101529903,0.485355648535565,0.484550561797753,0.487377279102384,0.487857142857143,0.487124463519313,0.488439306358382,0.496732026143791,0.483381502890173,0.490167516387473,0.496708119970739,0.487858719646799,0.494143484626647,0.492216456634544,0.505072463768116,0.509064539521392,0.513454545454545,0.514348785871965,0.517498138495905,0.506163886874547,0.501438848920863,0.500733137829912,0.497432134996332,0.510699001426534,0.518439716312057,0.51958041958042,0.520084566596195,0.522419928825623,0.531292517006803,0.528005464480874,0.532334921715453,0.536618754277892,0.535220994475138,0.524557956777996,0.526281208935611,0.532851511169514,0.528497409326425,0.521433141394754,0.520231213872832,0.512086513994911,0.513994910941476,0.513790891597178,0.512722646310433,0.505732484076433,0.506125080593166,0.502262443438914,0.50295469468155,0.494109947643979,0.488786279683377,0.482689747003995,0.489094514210178,0.487674883411059,0.484231274638633,0.486147757255937,0.483509234828496,0.465131578947368,0.460508701472557,0.443421052631579,0.441001977587343,0.447593935398813,0.447138047138047,0.447297297297297,0.447473404255319,0.452980132450331,0.451783355350066,0.455637091394263,0.454362416107383,0.445910290237467,0.444005270092227,0.439056356487549,0.435441370223979,0.437665782493369,0.439233817701453,0.443633952254642,0.446346280447663,0.444816053511706,0.450201884253028,0.451393609789259,0.467488021902806,0.464359861591696,0.454234972677596,0.455801104972376,0.461538461538462,0.457556935817805,0.458993797381116,0.454794520547945,0.45343303874915,0.454607508532423,0.445652173913043,0.441095890410959,0.444595513256288,0.445126107702795,0.446018893387314,0.435862995298858,0.438975050573162,0.42581503659348,0.407850964737192,0.49614576033637,0.485599464166108,0.484289617486339,0.482142857142857,0.471241830065359,0.471710526315789,0.463835434638354,0.461073825503356,0.445178335535007,0.446428571428571,0.450167224080268,0.445644834571236,0.445047489823609,0.427818061964403,0.420424403183024,0.421157684630739,0.421654337592468,0.424283765347885,0.423051299133911,0.419720186542305,0.42377434519812,0.416497633536173,0.42239010989011,0.424760601915185,0.43035343035343,0.435082872928177,0.436805555555556,0.436058700209644,0.422916666666667,0.425651867512333,0.423966362999299,0.425925925925926,0.432857142857143,0.445501097293343,0.444364161849711,0.452257586972613,0.452272727272727,0.435687732342007,0.429429429429429,0.433734939759036,0.440184049079755,0.437404580152672,0.431970260223048,0.437223042836041,0.441708906589428,0.440334961618981,0.441114982578397,0.453529000698812,0.455994455994456,0.456506610995129,0.450752393980848,0.450340136054422,0.459149223497637,0.462987886944818,0.46070460704607,0.47109634551495,0.480666666666667,0.488992661774516,0.487077534791252,0.48406374501992,0.481723237597911,0.481912144702842,0.471069182389937,0.472485768500949,0.474522292993631,0.469287469287469,0.457846153846154,0.458488228004957,0.454658385093168,0.449969306322897,0.460493827160494,0.460111317254174,0.457605985037406,0.455176767676768,0.460716530483972,0.457215836526181,0.456241956241956,0.443864229765013,0.440052700922266,0.440361057382334,0.434697855750487,0.438688524590164,0.433838051349572,0.435949027498323,0.442779291553134,0.442374051069703,0.44249649368864,0.43941504178273,0.440225035161744,0.443899018232819,0.441549295774648,0.440738112136267,0.442857142857143,0.442181818181818,0.434443656980865,0.434936350777935,0.436389481165601,0.433451957295374,0.437950937950938,0.446032880629021,0.463675213675214,0.473385379701916,0.474769012082445,0.473835125448029,0.476584022038567,0.473575840768703,0.472640218878249,0.474048442906574,0.474635163307853,0.460219478737997,0.458646616541353,0.462938005390836,0.467620995228357,0.473396998635744,0.476943346508564,0.485943775100402,0.47771124417831,0.478552278820375,0.479405806887238,0.492894056847545,0.499357326478149,0.498094027954257,0.492604501607717,0.489055659787367,0.488415779586725,0.495641344956413,0.497791798107256,0.500636132315522,0.502444987775061,0.508912108174554,0.508024691358025,0.513059701492537,0.51219512195122,0.504944375772559,0.503397158739963,0.501237623762376,0.500622665006227,0.506607929515419,0.5,0.494073611977542,0.485786481364498,0.484264611432241,0.481004507405023,0.464672183322724,0.464102564102564,0.452319587628866,0.455613577023499,0.447957839262187,0.441447368421053,0.438120450033091,0.43,0.425333333333333,0.427991886409736,0.425049966688874,0.425302826379542,0.420054200542005,0.414285714285714,0.410825815405968,0.420179682100898,0.421270718232044,0.425399028452464,0.425913163335631,0.429469273743017,0.433922261484099,0.433093525179856,0.443484521238301,0.442682047584715,0.445078459343795,0.446022727272727,0.44578313253012,0.453697056712132,0.457431457431457,0.470049330514447,0.47208480565371,0.474719101123595,0.473239436619718,0.468619246861925,0.464857341684064,0.464409122322046,0.464335664335664,0.464361326746648,0.469830508474576,0.472467709041468,0.474149659863946,0.478825136612022,0.480385409497591,0.491077329808328,0.487433862433862,0.494148244473342,0.491514360313316,0.49618320610687,0.508290816326531,0.513015873015873,0.513888888888889,0.513633481293595,0.505653266331658,0.507210031347962,0.505653266331658,0.49937106918239,0.492043284532145,0.481691919191919,0.474187380497132,0.479611650485437,0.480670103092784,0.481529488010369,0.480544747081712,0.479685452162516,0.472057856673241,0.468915343915344,0.46900269541779,0.45112285336856,0.443704197201865,0.428,0.418463611859838,0.414451261077028,0.421542553191489,0.415106951871658,0.412239408204438,0.403794037940379,0.407534246575342,0.403044341495698,0.407209612817089,0.405566600397614,0.408204438466712,0.404941660947152,0.41672196416722,0.413086582947786,0.420039814200398,0.41566265060241,0.430921052631579,0.437077131258457,0.436853002070393,0.442200557103064,0.447239692522711,0.452937013446568,0.456582633053221,0.45536959553696,0.454035087719298,0.466101694915254,0.468011126564673,0.466994382022472,0.46890286512928,0.467541436464088,0.467586206896552,0.464625850340136,0.465771812080537,0.455577822311289,0.458672086720867,0.456639566395664,0.452842809364549,0.450928381962865,0.447701532311792,0.465686274509804,0.451568894952251,0.440288713910761,0.44137022397892,0.437583001328021,0.43536503683858,0.435526315789474,0.43093192333113,0.428947368421053,0.429047301798801,0.428091397849462,0.42,0.422103861517976,0.421052631578947,0.415374241402562,0.417567567567568,0.409479921000658,0.407824933687003,0.396931287525017,0.401622718052738,0.394900068917988,0.389118457300275,0.393854748603352,0.405633802816901,0.409836065573771,0.410201149425287,0.41067615658363,0.416905444126074,0.413419913419913,0.413970588235294,0.416727272727273,0.419642857142857,0.437361008154188,0.440754716981132,0.445136186770428,0.431268882175227,0.44119907763259,0.445131375579598,0.444797458300238,0.44031007751938,0.448091603053435,0.45059880239521,0.455555555555556,0.451449275362319,0.461812990720914,0.459248759744862,0.468859342197341,0.467696629213483,0.473867595818815,0.480609418282548,0.478350515463918,0.479647218453189,0.477133105802048,0.478779840848806,0.48738379814077,0.47843397478434,0.485380116959064,0.485303723056826,0.49119373776908,0.498049414824447,0.5,0.496402877697842,0.497041420118343,0.493606138107417,0.481835564053537,0.480360592401803,0.481935483870968,0.476342710997442,0.475796178343949,0.46551724137931,0.46975546975547,0.464889466840052,0.462686567164179,0.457925636007828,0.459582790091265,0.457180500658762,0.456536164565362,0.4543063773833,0.458141067897165,0.464572192513369,0.462575859743763,0.460857726344452,0.465809072444144,0.460643394934976,0.455357142857143,0.455106237148732,0.455801104972376,0.465457083042568,0.467741935483871,0.473201692524683,0.473535638673253,0.47997138769671,0.490593342981187,0.493421052631579,0.493421052631579,0.495633187772926,0.508797653958944,0.500741839762611,0.49511645379414,0.493192133131619,0.496983408748115,0.494664634146341,0.484467455621302,0.507669831994156,0.506521739130435,0.51099706744868,0.508955223880597,0.51013024602026,0.511159107271418,0.502853067047076,0.502516175413372,0.4981765134938,0.503114186851211,0.506206896551724,0.508298755186722,0.505939902166317,0.504929577464789,0.506397306397306,0.502018842530283,0.498005319148936,0.498327759197324,0.503583061889251,0.51063829787234,0.52258064516129,0.520182291666667,0.519762845849802,0.52359693877551,0.525239616613419,0.519620253164557,0.519770408163265,0.513808606294155,0.502831969792322,0.505349276274386,0.499059561128527,0.495914519170333,0.495575221238938,0.483931947069943,0.485714285714286,0.4857324032974,0.485567671584349,0.48062015503876,0.483747609942639,0.481004507405023,0.471382636655949,0.46324007807417,0.464215364412344,0.460483344219464,0.450326797385621,0.442244224422442,0.441001977587343,0.439121756487026,0.436591809775429,0.442622950819672,0.444444444444444,0.445551128818061,0.44489247311828,0.441610738255034,0.447386286490156,0.44860449285228,0.452073419442556,0.45467032967033,0.454358270418668,0.455882352941176,0.451090781140042,0.454481792717087,0.473833097595474,0.469285714285714,0.479971890372453,0.481218993621545,0.476735862562634,0.471606648199446,0.473903966597077,0.473103448275862,0.470180305131761,0.469178082191781,0.476027397260274,0.489505754908598,0.488054607508532,0.492455418381344,0.497661990647963,0.507032819825854,0.508736559139785,0.508394895903291,0.510810810810811,0.508541392904074,0.517038007863696,0.518422753716871,0.512476007677543,0.51875,0.515,0.508453350031309,0.508165829145729,0.506632975363234,0.503759398496241,0.50156152404747,0.503443957420163,0.500940438871473,0.50253807106599,0.494325346784363,0.480179028132992,0.479922279792746,0.472384665367121,0.477094240837696,0.465938303341902,0.461637653127015,0.459599224305107,0.459249676584735,0.456733897202342,0.454952076677316,0.45233525271913,0.446075303126994,0.434894162924952,0.434415584415584,0.427209154481882,0.425111536010198,0.430749682337992,0.431599229287091,0.430609597924773,0.428934010152284,0.428661616161616,0.429389312977099,0.427103403982017,0.429283489096573,0.423919849718222,0.4275,0.42632241813602,0.423199490121096,0.420162805259862,0.433606041535557,0.435279187817259,0.440590879897238,0.443062827225131,0.448684210526316,0.451846965699208,0.456036745406824,0.458279009126467,0.458305975049245,0.451402478799739,0.460622104566512,0.459405940594059,0.45484508899143,0.46006600660066,0.467540983606557,0.478744277305428,0.485045513654096,0.482467532467532,0.483116883116883,0.491569390402075,0.499034127495171,0.502574002574003,0.505188067444877,0.540428472702142,0.531997414350356,0.529754204398448,0.532038834951456,0.529103989535644,0.528728211749516,0.528155339805825,0.532988357050453,0.529641693811075,0.529411764705882,0.53393085787452,0.535851472471191,0.531956100710136,0.528067885117493,0.526420079260238,0.524901703800786,0.52013201320132,0.527296937416778,0.521739130434783,0.526743398781313,0.526954177897574,0.528891910265126,0.537568306010929,0.532781228433402,0.534674063800277,0.530710835058661,0.53088133240805,0.529824561403509,0.528612303290415,0.520284697508897,0.526086956521739,0.523255813953488,0.519731943410276,0.514820592823713,0.511575802837939,0.509505703422053,0.512396694214876,0.513219284603421,0.511517077045274,0.513313609467456,0.510479041916168,0.508928571428571,0.511947863866763,0.510576221735959,0.520365168539326,0.52,0.517501715854496,0.519944979367263,0.524623803009576,0.525752508361204,0.531957390146471,0.534038334434898,0.537184594953519,0.543250327653997,0.54320987654321,0.543024771838331,0.546997389033943,0.549443352979699,0.56142584341184,0.572519083969466,0.571976967370441,0.568627450980392,0.572069186418962,0.564625850340136,0.56207111665627,0.56293049467752,0.562735257214555,0.560540872771973,0.553846153846154,0.551745254133497,0.550742574257426,0.550905683947533,0.546533416614616,0.545741324921136,0.544247787610619,0.533844189016603,0.530625402965828,0.528920308483291,0.526791478373144,0.516318537859008,0.51413543721236,0.512905360688286,0.515436241610738,0.520297699594046,0.51844262295082,0.509459459459459,0.508196721311475,0.517123287671233,0.511740331491713,0.51534170153417,0.520818630910374,0.51960085531005,0.51841155234657,0.523465703971119,0.523297491039427,0.524555160142349,0.527075812274368,0.533812949640288,0.534445250181291,0.540912382331644,0.54910394265233,0.55137481910275,0.554765291607397,0.551674982181041,0.552540013917884,0.554309740714786,0.559914407988588,0.559782608695652,0.568918918918919,0.571143617021277,0.571428571428571,0.564952638700947,0.56348167539267,0.563528637261356,0.574385510996119,0.573738680465718,0.570871261378413,0.585059635907094,0.586272040302267,0.587791063561989,0.5625,0.604218362282878,0.606153846153846,0.603785103785104,0.601471489883507,0.603115264797508,0.65,0.605878824235153,0.605625374027528,0.605278944211158,0.606755126658625,0.608253588516746,0.606950269622529,0.684210526315789,0.607358262967431,0.612590799031477,0.61472915398661,0.612883435582822,0.60772104607721,0.606896551724138,0.609709962168979,0.607610729881472,0.605871330418488,0.609404388714734,0.608253968253968,0.603348358016742,0.612923864363404,0.608974358974359,0.600896860986547,0.599099099099099,0.599609375,0.596289187460013,0.595238095238095,0.59589480436177,0.599615631005766,0.594961240310077,0.598965071151358,0.596365996106424,0.588466579292267,0.593586387434555,0.592445328031809,0.595333333333333,0.592692828146143,0.597437626432906,0.593451568894952,0.591032608695652,0.589237057220708,0.581805838424983,0.582822085889571,0.581443298969072,0.578624914908101,0.571915473755965,0.569178082191781,0.56935817805383,0.56743535988819,0.5700871898055,0.560942760942761,0.560432140445645,0.557510148849797,0.561307901907357,0.574621959237344,0.571241830065359,0.578878748370274,0.578258022265881,0.581072137657181,0.579821200510856,0.579626047711154,0.579349904397706,0.580500320718409,0.583959899749373,0.583696328562539,0.587795765877958,0.594292803970223,0.598503740648379,0.605763335377069,0.60146252285192,0.602923264311815,0.60956416464891,0.608140947752126,0.614689945815774,0.620774431468961,0.609876543209876,0.620087336244541,0.614609571788413,0.617260787992495,0.622404027690371,0.619798234552333,0.60969387755102,0.611681643132221,0.612074502247913,0.607323232323232,0.591194968553459,0.589628681177977,0.585334198572356,0.589955499046408,0.593889242520687,0.591254752851711,0.591259640102828,0.586675291073739,0.577946768060836,0.579260237780713,0.576036866359447,0.573509933774834,0.57589880159787,0.571335504885993,0.573856209150327,0.572459016393443,0.571618037135278,0.570281124497992,0.564002599090318,0.561892417368762,0.563648293963255,0.563984168865435,0.570751523358158,0.564658090724441,0.576043068640646,0.566934404283802,0.562038900067069,0.558,0.563672922252011,0.570564516129032,0.577673167451244,0.576407506702413,0.586738111185533,0.57908669755129,0.582119205298013,0.587725150100067,0.588666666666667,0.585865257595773,0.585461689587426,0.591383812010444,0.588311688311688,0.591264667535854,0.58634274458306,0.575916230366492,0.572372769332452,0.567676767676768,0.562033898305085,0.567017082785808,0.568047337278107,0.568421052631579,0.57313829787234,0.591567852437418,0.58695652173913,0.579776756401838,0.578042328042328,0.580730897009967,0.566013071895425,0.562745098039216,0.559399477806789,0.558920342330481,0.562458249832999,0.565710473649099,0.571428571428571,0.569262577532736,0.560787069571328,0.563610518834399,0.559154929577465,0.553508150248051,0.545260156806842,0.532703488372093,0.535531135531136,0.538059701492537,0.536802973977695,0.540499621498865,0.542594013814275,0.552748885586924,0.548844146159582,0.555473372781065,0.557067271352986,0.558461538461538,0.553129548762737,0.558737151248164,0.556842867487328,0.555474981870921,0.563791874554526,0.561095505617977,0.563888888888889,0.564975677553857,0.57345971563981,0.582995951417004,0.581536388140162,0.577408637873754,0.585743106926698,0.596078431372549,0.597924773022049,0.598440545808967,0.596616785946649,0.593994778067885,0.588688946015424,0.587929915639195,0.585686145764938,0.593045717965229,0.587362991618311,0.593241551939925,0.594968553459119,0.58871989860583,0.594490711082639,0.601641414141414,0.603295310519645,0.595208070617907,0.589467005076142,0.587261146496815,0.58343949044586,0.58766859344894,0.587443946188341,0.585113268608414,0.581196581196581,0.56595191682911,0.562909567496723,0.565104166666667,0.560105680317041,0.558432934926959,0.542531815137307,0.539768864717879,0.531143052703628,0.524176594253679,0.524450744153083,0.518727915194346,0.508058864751226,0.507746478873239,0.502476999292286,0.498923187365398,0.496423462088698,0.5,0.491684743311641,0.496382054992764,0.498897869213813,0.49598832968636,0.482933914306463,0.489423778264041,0.488388969521045,0.490138787436085,0.49525893508388,0.493800145878921,0.484476534296029,0.483274021352313,0.483007953723789,0.481969486823856,0.489554317548747,0.496890117484451,0.491596638655462,0.494334277620397,0.491525423728814,0.495616992582603,0.486850977747808,0.481177275838467,0.4824016563147,0.477887788778878,0.482872200263505,0.480392156862745,0.476912928759894,0.486900958466454,0.486366518706405,0.482715273412948,0.482649842271293,0.480585614258434,0.485573971761817,0.483990147783251,0.485203452527744,0.484210526315789,0.487820112429731,0.484548825710754,0.48740012292563,0.487925696594427,0.485,0.484581497797357,0.488721804511278,0.482866043613707,0.472065285624608,0.479721166032953,0.471264367816092,0.464868255959849,0.458227848101266,0.454026632847178,0.445157152020526,0.44286636539703,0.432673899170389,0.428479381443299,0.422653721682848,0.420846905537459,0.421363040629096,0.408057179987005,0.409090909090909,0.392258064516129,0.395860284605433,0.393998695368558,0.384268214055448,0.377444589308996,0.372715404699739,0.359242325277596,0.354139290407359,0.34865397242285,0.351888667992048,0.348,0.335333333333333,0.336247478143914,0.327679782903664,0.329945799457995,0.322668481960517,0.320027529249828,0.310550763105508,0.309319233311302,0.307133421400264,0.304085733422639,0.309090909090909,0.292164674634794,0.292715231788079,0.282236842105263,0.282493368700265,0.284182305630027,0.285161290322581,0.283582089552239,0.282496782496783,0.274025974025974,0.274278215223097,0.26457399103139,0.257921419518378,0.248271527341295,0.247169811320755,0.245425867507886,0.2398753894081,0.24346201743462,0.233271945979128,0.219914477703115,0.214024390243902,0.20785498489426,0.203039513677812,0.199878861296184,0.198780487804878,0.182750301568154,0.175724637681159,0.168484848484848,0.164626682986536,0.163591635916359,0.16156670746634,0.15661182205972,0.148508825319537,0.140061162079511,0.140758873929009,0.141481035520771,0.140540540540541,0.141852286049238,0.139562389118865,0.140995260663507,0.138550724637681,0.133256083429896,0.1239092495637,0.124121779859485,0.123820754716981,0.126389701579871,0.128310771041789,0.124340175953079,0.127058823529412,0.130973451327434,0.130764740221833,0.125730994152047,0.130511463844797,0.133765468473777,0.137587822014052,0.142102172636524,0.141935483870968,0.148672566371681,0.152934202726734,0.165871121718377,0.17289156626506,0.174833635813672,0.175030599755202,0.187116564417178,0.196650124069479,0.201492537313433,0.212158808933002,0.227642276422764,0.2275,0.239198497182217,0.254164096236891,0.260436137071651,0.279347143753923,0.286972938955318,0.297416509136736,0.299686520376176,0.305381727158949,0.307594936708861,0.313442211055276,0.413281753707286,0.411498708010336,0.412688031393067,0.411214953271028,0.417789757412399,0.410086264100863,0.40878828229028,0.401464713715047,0.400806993947545,0.411764705882353,0.416833667334669,0.413538873994638,0.403924221921516,0.405149051490515,0.410714285714286,0.418496340652029,0.420629604822505,0.42001361470388,0.420260095824778,0.421160409556314,0.423553719008264,0.424221453287197,0.423076923076923,0.424647887323944,0.420679886685552,0.429693076374019,0.43898916967509,0.443065693430657,0.425720620842572,0.426119402985075,0.438478747203579,0.440639269406393,0.433255269320843,0.411720510894065,0.410566037735849,0.407267221801665,0.401419558359621,0.401419558359621,0.396485867074102,0.396512509476876,0.403177004538578,0.407884761182714,0.406485671191554,0.413333333333333,0.417952314165498,0.417837078651685,0.408809359944941,0.413982179575051,0.419157608695652,0.422086720867209,0.427501701837985,0.435897435897436,0.43716577540107,0.445927903871829,0.439444076770351,0.441705529646902,0.449642625081222,0.448900388098318,0.453541260558804,0.461438755670771,0.460234680573664,0.462789243277048,0.458874458874459,0.453947368421053,0.454061251664447,0.44769330734243,0.449086161879896,0.449379490529066,0.447800393959291,0.438151041666667,0.438151041666667,0.433003300330033,0.426174496644295,0.423180592991914,0.418625678119349,0.41541186891054,0.421100090171325,0.421242124212421,0.418264840182648,0.419741697416974,0.408884859474161,0.405132905591201,0.399812734082397,0.393396226415094,0.387832699619772,0.394285714285714,0.383141762452107,0.388349514563107,0.394202898550725,0.392441860465116,0.391682785299807,0.389597644749755,0.398826979472141,0.392441860465116,0.392023346303502,0.391219512195122,0.396902226524685,0.405222437137331,0.411934552454283,0.416666666666667,0.414657666345227,0.414396887159533,0.40748031496063,0.412573673870334,0.40990099009901,0.42314990512334,0.418691588785047,0.419475655430712,0.417300380228137,0.419138755980861,0.405529953917051,0.405529953917051,0.401826484018265,0.403863845446182,0.399443929564411,0.409049773755656,0.415760869565217,0.412398921832884,0.405770964833183,0.40528233151184,0.401960784313726,0.406854130052724,0.40976460331299003,0.406496927129061,0.404436860068259,0.41025641025641,0.407758620689655,0.411453744493392,0.412234042553192,0.403614457831325,0.414445399828031,0.419382504288165,0.422184006878762,0.420464316423044,0.40168776371308,0.399326032013479,0.405699916177703,0.406751054852321,0.402387041773231,0.408284023668639,0.403404255319149,0.417383820998279,0.415584415584416,0.422473867595819,0.411764705882353,0.420454545454545,0.414827890556046,0.409413854351687,0.407906558849955,0.403011514614703,0.409252669039146,0.404274265360641,0.406914893617021,0.410026857654432,0.414374445430346,0.406055209260908,0.408514492753623,0.404159132007233,0.403811252268603,0.391855203619909,0.386690647482014,0.37716894977169,0.372585096596136,0.371086556169429,0.372350230414747,0.373232799245994,0.375586854460094,0.378301886792453,0.377981651376147,0.378578024007387,0.379247015610652,0.371877890841813,0.372310570626754,0.36986301369863,0.369624885635865,0.370776255707763,0.375344986200552,0.366852886405959,0.380779691749773,0.3905540417802,0.397111913357401,0.400363967242948,0.403828623518687,0.402678571428571,0.409532215357458,0.410983170947741,0.409455842997324,0.417040358744395,0.411663807890223,0.414570685169124,0.422049956933678,0.415700267618198,0.423008849557522,0.435828877005348,0.437444543034605,0.428571428571429,0.432286995515695,0.445235975066785,0.449688334817453,0.447016918967053,0.446140035906643,0.450856627592426,0.44014401440144,0.439819004524887,0.441839495040577,0.438580527752502,0.429880843263061,0.433394160583942,0.426078971533517,0.428966789667897,0.431693989071038,0.421245421245421,0.424242424242424,0.420222634508349,0.416512059369202,0.416824196597353,0.417867435158501,0.416745061147695,0.414150943396226,0.406457739791073,0.397705544933078,0.391223155929038,0.390404515522107,0.397759103641457,0.396011396011396,0.400191938579655,0.393090569561158,0.390449438202247,0.392156862745098,0.391304347826087,0.39541547277937,0.393647738209817,0.392292490118577,0.394059405940594,0.39177277179236,0.388560157790927,0.390029325513196,0.377268385864374,0.370829361296473,0.382436260623229,0.380997177798683,0.381086142322097,0.370232558139535,0.374301675977654,0.365581395348837,0.37095282146161,0.368616527390901,0.373953488372093,0.363636363636364,0.364214350590372,0.357272727272727,0.356498194945848,0.453016815034619,0.430555555555556,0.43767572633552,0.439093484419263,0.431963470319635,0.419651056014692,0.414589104339797,0.407749077490775,0.396330275229358,0.386888273314866,0.379084967320261,0.374412041392286,0.368471035137702,0.378048780487805,0.386342376052385,0.37204910292729,0.367969494756911,0.363896848137536,0.341626794258373,0.341107871720117,0.342465753424658,0.336978131212724,0.336703741152679,0.351570415400203,0.351490236382323,0.351794871794872,0.363636363636364,0.385669125395153,0.38682252922423,0.387473460721868,0.390322580645161,0.393675027262814,0.387062566277837,0.399570354457572,0.39572192513369,0.393839383938394,0.402247191011236,0.399784482758621,0.408140814081408,0.398692810457516,0.4,0.382955771305286,0.376068376068376,0.375264270613108,0.379772961816305,0.385385385385385,0.386158475426279,0.376884422110553,0.382323733862959,0.391044776119403,0.383641674780915,0.389863547758285,0.382583170254403,0.385447394296952,0.385221674876847,0.391013384321224,0.397694524495677,0.389895138226883,0.38623326959847,0.39456419868791,0.396139705882353,0.388331814038286,0.395412844036697,0.393911439114391,0.388181818181818,0.392660550458716,0.388634280476627,0.390984360625575,0.391304347826087,0.396551724137931,0.4,0.390379278445883,0.397779833487512,0.393883225208526,0.396989651928504,0.387947269303202,0.395593869731801,0.4,0.40360873694207,0.404214559386973,0.397299903567985,0.399411187438665,0.400596421471173,0.411648568608095,0.411473788328388,0.398797595190381,0.4,0.397330595482546,0.40080971659919,0.400839454354669,0.410337552742616,0.417721518987342,0.428571428571429,0.430073606729758,0.425887265135699,0.429621848739496,0.430656934306569,0.435978835978836,0.438284518828452,0.442226890756303,0.434332988624612,0.439583333333333,0.437565582371459,0.44321608040201,0.437311935807422,0.440394088669951,0.44047619047619,0.444666001994018,0.462559241706161,0.45722433460076,0.47008547008547,0.470142180094787,0.475915221579961,0.480373831775701,0.475829383886256,0.479166666666667,0.479007633587786,0.475915221579961,0.477251624883937,0.467038068709378,0.473098330241187,0.474178403755869,0.478021978021978,0.480943738656987,0.489611562782295,0.486313868613139,0.491743119266055,0.481548154815482,0.483666061705989,0.48018018018018,0.482695810564663,0.484903934126258,0.488646684831971,0.487826871055004,0.485507246376812,0.487295825771325,0.490842490842491,0.482288828337875,0.481961147086031,0.47962962962963,0.476547842401501,0.481132075471698,0.477611940298507,0.463985032740879,0.456642066420664,0.455056179775281,0.461685823754789,0.459433962264151,0.455854126679463,0.457364341085271,0.459825750242014,0.456500488758553,0.473481195756991,0.47972972972973,0.468992248062016,0.470359572400389,0.465686274509804,0.464980544747082,0.466085271317829,0.473275024295432,0.470645792563601,0.466864490603363,0.4755859375,0.478043912175649,0.47534516765286,0.476523476523477,0.488995215311005,0.501466275659824,0.502918287937743,0.494047619047619,0.49498997995992,0.501460564751704,0.494230769230769,0.489423076923077,0.49124513618677,0.496592015579357,0.502857142857143,0.503311258278146,0.514691943127962,0.512968299711816,0.51063829787234,0.522875816993464,0.519589552238806,0.514705882352941,0.516158818097876,0.518484288354898,0.512151215121512,0.514636449480642,0.506184586108468,0.510516252390057,0.500469483568075,0.496738117427773,0.491129785247432,0.490177736202058,0.491541353383459,0.482209737827715,0.482629107981221,0.474576271186441,0.474323062558357,0.469368520263902,0.459154929577465,0.459639126305793,0.442843419788665,0.4364694471387,0.433040078201369,0.428019323671498,0.430799220272904,0.423795476892822,0.426719840478564,0.424272818455366,0.425615763546798,0.428290766208251,0.427155599603568,0.433867735470942,0.439795918367347,0.442094662638469,0.441532258064516,0.433433433433433,0.429735234215886,0.430769230769231,0.447447447447447,0.452905811623247,0.467871485943775,0.463488843813387,0.467758444216991,0.453346855983773,0.455366098294885,0.453731343283582,0.457542457542458,0.460381143430291,0.464929859719439,0.480162767039674,0.493278179937952,0.487309644670051,0.493374108053007,0.499494438827098,0.500503524672709,0.506454816285998,0.49800796812749,0.52,0.522432701894317,0.52465483234714,0.524752475247525,0.528189910979229,0.531281032770606,0.539370078740158,0.532746823069404,0.532682926829268,0.524461839530333,0.519961051606621,0.52089407191448,0.536072144288577,0.542688910696762,0.544554455445545,0.541310541310541,0.543643263757116,0.529186602870813,0.526112185686654,0.521317829457364,0.5205078125,0.508407517309594,0.50796812749004006,0.505527638190955,0.503496503496504,0.508032128514056,0.511581067472306,0.513184584178499,0.50922131147541,0.511044176706827,0.521651560926485,0.520408163265306,0.522680412371134,0.526205450733753,0.520504731861199,0.522703273495248,0.524520255863539,0.518837459634015,0.509977827050998,0.518805309734513,0.524553571428571,0.524293785310734,0.521939953810624,0.538031319910515,0.548712206047033,0.551876379690949,0.547320410490308,0.55,0.553916004540295,0.543083900226757,0.545762711864407,0.541570438799076,0.541855203619909,0.53217011995638,0.547461368653422,0.55926724137931,0.573576799140709,0.558730158730159,0.548286604361371,0.543121149897331,0.54517453798768,0.548780487804878,0.558494404883011,0.557477110885046,0.551411290322581,0.548484848484848,0.554890219560878,0.556435643564356,0.556324110671937,0.557956777996071,0.560353287536801,0.570038910505837,0.567487684729064,0.569215876089061,0.568472906403941,0.565217391304348,0.566183574879227,0.556088207094918,0.552023121387283,0.556521739130435,0.555555555555556,0.558880308880309,0.552758954501452,0.546341463414634,0.547151277013752,0.543026706231454,0.53968253968254,0.531,0.530901722391084,0.525667351129363,0.519308943089431,0.512664640324215,0.501022494887526,0.50156087408949,0.496280552603613,0.502114164904863,0.4931650893796,0.494204425711275,0.498409331919406,0.511853448275862,0.515311510031679,0.502145922746781,0.497297297297297,0.502702702702703,0.504994450610433,0.514786418400876,0.515986769570011,0.508888888888889,0.512222222222222,0.51290684624018,0.521064301552106,0.516447368421053,0.52354874041621,0.513721185510428,0.508869179600887,0.526709401709402,0.51957671957672,0.517857142857143,0.518046709129512,0.517094017094017,0.521112255406797,0.527291452111226,0.529652351738241,0.525283797729618,0.526694045174538,0.530287984111221,0.529990167158309,0.528543307086614,0.527147087857848,0.533132530120482,0.539778449144008,0.54045954045954,0.549155908639523,0.550550550550551,0.552529182879377,0.553606237816764,0.549610894941634,0.549115913555992,0.546085232903865,0.544761904761905,0.539772727272727,0.535545023696682,0.531548757170172,0.534416826003824,0.522359657469077],"SP50^FMA_PE(LTMA,NOW,-10AY,W,\"PORTAGG\",\"MEANR\")":[23.1939736349741,22.6693148197943,22.6504063004381,22.9498363286397,23.0466312980584,23.2961403993458,23.1856210992075,22.9696798633126,22.9848092243483,22.9304833794937,22.7995897099087,22.7069709118696,22.7835526128502,22.8289913443429,22.7426882926279,22.64560868687,22.6646542040161,22.5683976052229,22.8104544384774,22.9101464672874,23.0042540163802,23.0125572160199,22.9486492146027,22.9954461823988,23.0504221739096,23.0131853783833,22.6979812976284,22.8460655474893,22.6278135648536,22.4997823306,22.3302709902587,22.0328769675938,21.6020482588896,21.9362549119464,21.7954428686086,21.5479600024925,20.9801454536877,20.8669155390603,20.6629776647206,20.456960937428,20.0307605362184,19.7842690426763,18.8270597652214,19.2437956296577,19.5184419033059,19.453731842032,19.3466639508001,19.4242083790037,19.8353302450751,19.8196554657069,19.9511509144406,19.5636348459245,19.4707261715347,19.7282057173007,19.7455041443258,20.058359968759,19.9521004851339,19.7692059273337,19.45880312061,19.5277647171281,19.2378009222691,19.3321987614924,19.0686988800095,19.0078604362598,18.8445180457032,18.8307012422362,18.7036215031019,18.7089644272348,18.7398172370315,18.7171980221054,18.7052719221338,18.650518062644,18.6426244417682,18.4768818300524,18.4269409776711,18.3881057608497,18.5500811303795,18.5006680438305,18.9785410614662,19.0160987164716,19.2535990003129,18.9195481424494,18.4332593395188,18.5286353358197,18.0542543019423,17.7907892194014,17.8846794609379,17.9869244746867,18.4044721474044,19.0569151838943,18.9099877482677,18.7273695447386,18.8886334966524,18.0886711917919,18.6337898444148,18.0790506332171,17.5086548377675,17.7670839336991,17.6437115184775,18.0562069199143,18.722475444287,19.3864232307871,18.9944999996487,19.454613753334,19.9856170063458,20.1713288176753,19.8161779714388,19.798878295396,19.3369253020067,19.1373769090116,19.2808249037107,19.1933268482036,19.4478848565068,19.033362452329,19.5709806603038,20.0527415138241,20.2049671771173,19.8272902905016,20.1108539752587,20.334071152195,20.4051608017576,20.6125413563826,20.845703927315,21.0097534522319,21.1133243159823,21.1340927730546,21.0838557395074,20.8869958839668,21.0495973033805,21.1676453291483,21.039993179324,21.4081869287228,21.9045037903104,21.7518638717959,21.6195381450144,23.0014676342317,23.1528206760157,23.6707014425711,23.5747790904499,23.1371915827009,23.6760390185061,22.9926663130422,23.3745930299465,23.9451898449382,23.979597341008,24.1656278340218,23.9153258740539,23.8345622406396,23.7265606402215,23.6232872069086,23.6098000038137,24.091340411353,24.1062411191069,24.2909799512708,24.6383927025419,24.6446617189167,24.5282189010945,24.7516428775658,24.7857020184999,24.8425499375823,25.250786265684,25.2103476288852,25.539296611345,25.5928323080358,25.524079897996,25.3583765571435,25.677104520012,25.7464238332749,25.8065808113925,25.8343382484779,26.0102893559486,26.2502699899592,26.3323358141432,26.6290200444692,26.7679538454858,26.863027517688,26.8237640976221,26.8647112344138,26.8956776682666,27.0454110976204,27.0514733427793,27.143285961095,27.9956493908802,28.357254351061,28.1215569931272,27.1772776654405,28.341762174579,28.0544333728771,28.7049396344168,28.356706403671,27.7691533822304,27.6651450726479,27.1358742891459,27.2034553248564,26.6095415670639,25.8633551753169,25.8796716639174,25.3135820685407,23.761450694432,25.2848599254834,25.3510210833594,25.3222204116727,24.4565557737607,24.0076101422025,24.0165284650903,23.9940025258162,24.3486319664186,24.6255245370106,23.9097437693734,23.6457977448026,23.3714946966003,22.9099945586404,22.8612097255153,22.8762864717769,22.6399039812729,22.1769001563131,21.5958415836739,21.7966840541941,21.4482871924792,21.8565414010235,21.2247022060031,20.8074363249169,20.3763138690783,20.4202203897709,19.8942057076964,19.6610705354504,19.4852815272537,18.9329751672652,18.1912125927908,18.1631064531387,17.7897992142543,18.2935878229527,18.5813502949015,18.5682545544269,21.0056960206686,21.2763631851958,20.953130135416,20.3512764772711,20.8194969633518,21.0823420288118,20.6948609108592,20.5036917065083,20.5031363546754,20.3287144971605,19.9465045129997,19.7796641076362,19.7236944049302,19.5007968344333,19.5190305538421,19.3295413739985,19.1273452355936,18.8627629165734,18.6516322036459,18.5297400727721,18.385621675606,18.351514622828,18.4683050592758,18.4931508193536,18.3567195753989,18.1178318850341,17.7830870664313,17.9392340611843,18.037705647733,18.026691500232,18.3408621736608,18.1310792499742,18.2022530453758,18.0683486558053,17.8718850235094,17.8819920712109,17.686696310329,17.6361219946823,17.2999952552921,17.4873133417875,17.5704751226069,17.6174322793923,17.7059957523782,17.6878936939375,17.6170223360373,17.6238291023092,17.598928745519,17.5057154794193,17.4675980617104,17.5056396653332,17.4259492933296,17.5038587095988,17.5374851779152,17.4357965532356,17.0270311388949,17.0440764813132,16.7883946597049,16.8413154401041,16.4021650318294,15.9896835826467,15.7166302737639,15.3826190050167,16.5703846060736,16.825178502292,17.6227181982344,16.9639663504622,17.6127548655426,17.9219471195998,17.6833688367148,17.4328112091579,18.1105890214478,18.1644380710107,18.7851031903099,18.9744123276384,19.0976763797582,19.0397960775474,18.9352509054432,19.1221277036835,19.062390982655,19.0145987879816,19.0015217790404,19.0875494907544,19.0781365006177,19.0923645025387,19.1680662051832,19.0880784062909,19.0249653742267,19.2063797506917,19.3514735360899,19.4213797030505,19.3710241820555,19.4062378488473,19.4527069291538,19.5672383518301,19.5037305492648,19.5952829993763,19.7169968834185,19.7685936517722,19.757218543646,19.9027191430304,19.8899631724582,20.1915123766531,20.2888208218766,20.237715344293,20.5483841807924,20.5165710521018,19.7282848613789,20.9093826299433,21.9484519075196,21.5789031237657,21.4534773481784,21.1827683929816,20.6799355251366,20.741557554383,20.7034921883525,20.5151566163286,20.4412641036033,20.1881556104796,20.0202992143603,20.0332975167388,20.0853557903811,20.0608109279117,20.0991258642099,19.9167394086073,19.8564092471894,19.6615269933804,19.5606633312983,19.5545402467078,19.3466369960525,19.4390124490727,19.2956563314058,19.235537575431,19.3288964226107,19.500403083369,19.4958522473217,19.562141296652,19.518350811415,19.3722574201799,19.3930555290315,19.481926518475,19.4874173911422,19.5082130655792,19.5616792338603,19.5089491071824,19.4219391979333,19.4808279561963,19.530140891622,19.5195021844639,19.4866158161059,19.4895623885977,19.5781432887372,19.6279418451779,19.6312967602549,19.7270507584914,19.7507050492185,19.7954806647906,19.8346432000855,19.7306137027126,19.4343410154745,19.2807136776961,19.3295228005901,19.155609452856,19.2226801833864,19.2875936309946,18.9944681778842,19.1559436559405,19.0634520420366,19.0029976833758,18.4149072659208,18.5638404938021,18.2815211509665,18.1149285392669,17.5272314452327,17.7899174585258,17.8733951991822,17.8456133534802,17.9446202266475,18.0106457139805,17.9430942999716,17.7476454357064,17.6441045819989,17.9344964491869,17.8216413049802,17.8559176706977,17.8309884200093,17.787028864202,17.6936061118871,17.6414535672988,17.5360416132,17.3622360792491,17.1986222096766,16.890239739752,17.004241983246,17.0697121623809,17.0545707896045,17.0331652321536,16.8586303087296,16.8184471670855,16.8250265510033,16.8207258549204,16.8619116115308,16.8140088092191,16.7144242296323,16.7444824352299,16.6440323580405,16.6555109697969,16.5964364300538,16.5579351324553,16.5876422042688,16.3367145979373,15.888283854804,16.002905714809,16.5777636571531,16.2606554783617,16.0259074048285,16.3820502788845,17.4241419351726,17.5627348238148,17.1192509830018,17.1451147515761,17.7789759296878,17.7592325193465,17.7484742884058,17.2550535468891,17.8113031531944,17.5917737249249,17.6558824927207,17.3730150352374,17.2744108319492,16.8436260682381,16.7394337452073,16.8970455786408,16.9242039363307,16.6907886630232,17.0815561063593,17.0082373801754,17.6520539697778,17.57418477541,17.6906942659764,17.5885980420482,17.816596176386,17.5462227469081,17.5431404550115,17.6315726898901,17.6672124072823,17.609752839313,17.6074077421077,17.6616914617148,17.7264360490152,17.7247801855879,17.7138014493561,17.6969533257143,17.7566319992947,17.6640653010565,17.7101067447028,17.6404111099579,17.6385203540289,17.7342866384725,17.6491882942958,17.6859986572305,17.7438997175674,17.7886060965502,17.6873197365117,17.3488264432361,16.8783184654064,17.4053783459507,17.0900968798966,17.308632199867,17.3934251145179,17.6384891492059,17.4594334527073,16.7990805694948,17.3022583956001,17.2183602963021,17.1506269924967,16.9918727644332,16.9152572686159,16.8103021442959,16.4594982540747,15.925635780953,16.0451405518085,16.4204493594779,16.4902855289797,16.6661147509237,16.5156832806533,16.6016321542304,16.574958968068,16.5054693790508],"SHY-US^FG_PRICE(0,-7AY)":[82.64,82.52,82.54,82.45,82.65,82.66,82.53,82.48,82.46,82.5,82.55,82.65,82.67,82.21,82.34,82.17,82.14,82.13,82.02,82.01,81.97,81.93,81.92,81.96,82.0,81.99,81.96,81.96,81.84,81.65,81.62,81.64,81.65,81.5,81.38,81.31,81.65,81.64,81.58,81.66,81.65,81.64,81.61,81.64,81.53,81.61,81.6,81.47,81.36,81.27,81.26,81.47,81.46,81.38,81.3,81.47,81.36,81.27,81.3,81.37,81.34,81.38,81.44,81.4,81.42,81.47,81.53,81.38,81.3,81.28,81.35,81.28,81.3,81.29,81.3,81.17,81.05,81.15,81.25,81.21,81.19,81.25,81.28,81.21,81.17,81.15,81.19,81.13,81.18,81.21,81.16,81.06,81.39,81.31,81.39,81.52,81.44,81.38,81.34,81.78,81.83,81.74,81.72,81.76,81.7,81.7,81.57,81.5,81.49,81.54,81.61,81.65,81.73,81.8,81.76,81.66,81.64,81.58,81.66,81.74,81.69,81.61,81.61,81.67,81.63,81.64,81.71,81.66,81.76,81.68,81.56,81.82,81.81,81.84,81.86,81.89,81.76,81.92,82.18,82.3,82.15,82.2,82.12,82.17,82.02,82.06,82.07,82.03,82.09,82.05,82.21,82.34,82.17,81.98,81.98,81.96,81.89,81.91,81.96,81.94,82.04,82.0,82.01,81.91,81.95,81.92,81.84,81.73,81.7,81.71,81.8,81.92,81.51,81.5,81.48,81.66,81.6,81.62,81.52,81.64,81.65,81.7,81.54,81.39,81.29,81.35,81.34,81.29,81.28,81.34,81.2,81.35,81.03,81.0,80.98,81.1,81.12,81.06,81.21,80.99,80.98,81.03,81.06,81.09,81.04,80.88,80.97,80.99,80.94,80.81,80.7,80.7,80.88,80.93,80.88,80.98,81.0,81.05,80.81,80.88,80.8,80.62,80.68,80.97,80.96,80.82,80.88,80.87,80.9,80.82,80.78,80.83,80.89,80.9,80.94,80.96,80.89,80.93,80.91,80.95,80.8,80.89,80.99,81.24,81.16,81.16,80.98,80.93,80.98,81.03,80.88,80.92,81.01,80.98,80.89,80.93,80.9,80.97,81.05,81.09,81.14,81.1,81.07,80.91,80.88,80.84,81.12,81.1,80.99,81.11,81.03,81.04,81.14,81.13,81.23,81.2,81.2,81.17,81.38,81.15,80.91,80.92,80.8,80.71,80.76,80.78,81.08,81.05,81.25,81.16,81.28,81.22,81.15,81.24,81.24,81.21,81.32,81.15,81.2,81.35,81.28,81.43,81.3,81.36,81.4,81.38,81.61,81.68,81.6,81.44,81.46,81.64,81.74,81.75,81.78,81.84,81.99,82.08,82.18,82.17,82.31,82.26,82.06,82.08,82.21,82.41,82.28,82.08,81.81,82.18,82.09,82.25,82.35,82.03,81.94,81.99,81.79,81.86,81.88,82.0,82.19,82.14,82.05,82.06,82.35,82.38,82.27,82.08,82.16,82.06,82.05,82.08,82.17,82.52,82.48,82.24,81.86,82.17,82.27,81.86,82.19,81.71,82.02,81.21,80.77,80.51,80.55,80.72,80.76,80.71,80.68,80.99,81.01,80.94,81.11,81.06,81.02,81.18,81.11,81.1,81.09,81.26,81.24,81.28,81.34,81.31,81.27,81.5,81.8,81.79,81.8,81.65,81.73,81.73,81.78,81.73,81.7,81.78,81.85,81.87,81.69,81.64,81.78,81.6,81.53,81.6,81.52,81.21,81.32,81.24,81.17,81.27,81.21,81.21,81.32,81.36,81.41,81.33,81.33,81.43,81.35,81.52,81.51,81.27,81.32,81.36,81.44,81.27,81.18,81.41,81.43,81.42,81.18,81.21,81.19,81.18,81.11,81.05,81.07,81.16,81.26,81.25,81.17,81.24,81.26,80.82,80.69,80.61,80.68,80.59,80.74,80.78,81.0,81.12,81.24,81.07,81.0,80.92,80.94,80.73,80.82,80.97,80.93,80.84,80.88,81.12,81.04,81.0,81.03,81.13,81.23,81.31,81.28,81.21,81.28,81.39,81.04,81.04,81.22,81.32,81.47,81.54,81.58,81.67,81.63,81.72,81.79,82.07,82.08,82.15,82.25,82.13,82.31,82.13,82.29,82.3,82.34,82.4,82.42,82.37,82.46,82.42,82.53,82.59,82.47,82.54,82.61,82.54,82.52,82.55,82.47,82.55,82.47,82.81,82.7,82.67,82.96,83.05,83.06,82.88,82.75,82.79,82.86,82.65,82.42,82.43,82.52,82.57,82.51,82.54,82.63,82.59,82.56,82.66,82.72,82.95,82.96,82.79,82.63,82.53,82.55,82.64,82.66,82.59,82.35,82.38,82.4,82.29,81.97,82.13,82.55,82.9,82.96,83.02,83.01,83.12,83.15,83.13,83.35,83.48,83.46,83.44,83.38,83.19,83.23,83.17,83.05,83.01,83.19,83.14,83.17,83.05,83.04,83.09,82.88,82.89,83.03,82.81,82.85,82.9,83.06,83.12,83.16,83.01,82.88,82.9,83.04,82.99,83.18,83.18,83.33,83.29,83.08,83.06,83.16,83.1,83.04,83.19,83.14,83.35,83.35,83.29,83.25,83.33,83.555,83.58,83.51,83.57,83.85,83.87,83.9,83.98,83.95,84.17,84.2,84.27,84.32,84.43,84.54,84.45,84.45,84.73,84.56,84.41,84.41,84.34,84.39,84.47,84.46,84.41,84.3,84.27,84.45,84.19,84.62,84.63,84.72,84.7,84.87,84.94,84.92,84.95,84.95,84.92,84.99,85.14,85.18,85.13,85.06,85.08,85.04,85.17,85.28,85.24,85.27,85.24,85.29,85.31,85.38,85.49,85.44,85.54,85.55,85.5,85.51,85.51,85.54,85.55,85.56,85.61,85.59,85.63,85.58,85.55,85.6,85.55,85.51,85.54,85.51,85.62,85.69,85.64,85.75,85.79,85.86,85.82,85.65,85.67,85.67,85.77,85.79,85.8,85.77,85.77,85.78,85.71,85.77,85.94,85.89,85.99,85.95,85.87,85.89,85.8,85.85,85.84,85.83,85.85,85.87,85.83,85.85,85.95,85.92,85.89,85.95,86.0,86.0,86.03,85.99,86.06,86.09,86.12,86.13,86.14,86.18,86.15,86.13,86.1,86.09,86.1,86.13,86.18,86.23,86.21,86.19,86.21,86.24,86.24,86.23,86.21,86.24,86.22,86.2,86.23,86.23,86.23,86.25,86.26,86.24,86.18,86.18,86.185,86.2,86.2,86.2,86.2,86.2,86.22,86.2,86.185,86.19,86.15,86.18,86.21,86.24,86.28,86.31,86.31,86.285,86.27,86.27,86.26,86.24,86.26,86.25,86.24,86.27,86.23,86.19,86.2,86.19,86.13,86.2,86.22,86.25,86.21,86.2,86.17,86.13,86.16,86.14,86.15,86.12,86.13,86.12,86.18,86.13,86.11,86.175,86.18,86.26,86.27,86.3,86.32,86.29,86.31,86.29,86.3,86.27,86.3,86.29,86.32,86.32,86.32,86.3,86.3,86.28,86.3,86.26,86.29,86.28,86.28,86.28,86.26,86.27,86.28,86.31,86.28,86.28,86.26,86.26,86.28,86.27,86.25,86.23,86.24,86.26,86.28,86.29,86.27,86.25,86.26,86.27,86.25,86.25,86.22,86.24,86.27,86.24,86.23,86.21,86.23,86.25,86.28,86.28,86.3,86.3,86.29,86.27,86.26,86.27,86.27,86.28,86.26,86.26,86.25,86.26,86.26,86.23,86.23,86.26,86.26,86.26,86.31,86.29,86.32,86.21,86.335,86.36,86.35,86.37,86.36,86.36,86.34,86.37,86.36,86.36,86.35,86.37,86.38,86.36,86.36,86.35,86.38,86.4,86.37,86.38,86.38,86.39,86.38,86.38,86.37,86.38,86.35,86.34,86.33,86.34,86.34,86.35,86.36,86.34,86.39,86.39,86.38,86.385,86.38,86.38,86.37,86.39,86.37,86.37,86.37,86.38,86.41,86.41,86.41,86.42,86.37,86.35,86.36,86.38,86.36,86.37,86.35,86.33,86.41,86.39,86.39,86.38,86.37,86.37,86.36,86.34,86.34,86.35,86.33,86.33,86.32,86.34,86.35,86.38,86.37,86.39,86.37,86.39,86.43,86.44,86.42,86.42,86.42,86.41,86.4,86.43,86.43,86.44,86.44,86.45,86.43,86.43,86.44,86.42,86.42,86.42,86.43,86.43,86.46,86.45,86.51,86.5,86.51,86.5,86.49,86.5,86.5,86.48,86.49,86.48,86.5,86.485,86.48,86.49,86.47,86.48,86.47,86.46,86.49,86.5,86.49,86.56,86.53,86.5,86.51,86.51,86.5,86.51,86.52,86.52,86.52,86.51,86.5,86.49,86.5,86.52,86.54,86.56,86.57,86.57,86.59,86.58,86.63,86.62,86.59,86.57,86.55,86.58,86.57,86.57,86.58,86.56,86.58,86.56,86.56,86.55,86.54,86.54,86.57,86.55,86.55,86.53,86.56,86.52,86.61,86.62,86.6,86.57,86.57,86.56,86.54,86.56,86.54,86.55,86.52,86.53,86.55,86.52,86.56,86.51,86.48,86.5,86.53,86.51,86.58,86.58,86.66,86.66,86.62,86.64,86.64,86.64,86.66,86.66,86.61,86.68,86.63,86.65,86.65,86.63,86.66,86.68,86.62,86.59,86.6,86.6,86.8,86.65,86.66,86.63,86.63,86.63,86.64,86.67,86.65,86.65,86.68,86.66,86.625,86.63,86.62,86.59,86.54,86.56,86.62,86.64,86.62,86.67,86.69,86.65,86.67,86.57,86.47,86.59,86.49,86.26,86.11,86.22,86.42,86.28,86.17,86.19,86.29,86.67,86.2,86.1,85.92,85.905,85.57,85.73,85.42,85.32,85.26,85.17,85.03,84.96,84.94,84.93,84.895,84.86,84.84,84.88,84.92,84.88,84.83,84.81,84.87,84.96,85.12,85.01,85.0,84.92,84.96,84.87,84.84,84.805,84.79,84.77,84.74,84.74,84.7,84.69,84.7,84.68,84.67,84.71,84.71,84.74,84.67,84.63,84.64,84.61,84.55,84.52,84.51,84.53,84.53,84.65,84.64,84.62,84.67,84.57,84.65,84.58,84.62,84.62,84.65,84.69,84.73,84.61,84.77,84.74,84.79,84.75,84.735,84.75,84.79,84.75,84.76,84.72,84.75,84.67,84.63,84.62,84.6,84.59,84.69,84.64,84.7,84.76,84.95,84.8,84.75,84.73,84.76,84.81,84.81,84.82,84.79,84.83,84.8,84.8,84.76,84.78,84.77,84.85,84.95,85.0,84.95,85.04,85.05,84.87,84.78,84.82,84.78,84.73,84.69,84.8,84.71,84.66,84.57,84.56,84.61,84.57,84.5,84.64,84.66,84.66,84.8,84.89,84.88,85.07,85.0,85.08,85.05,85.09,85.07,85.04,85.08,84.94,84.98,85.06,85.0,85.09,85.1,84.915,84.81,84.91,84.82,84.87,84.9,84.89,84.85,84.68,84.66,84.57,84.58,84.57,84.57,84.56,84.61,84.59,84.61,84.6,84.69,84.59,84.51,84.54,84.52,84.51,84.55,84.4,84.43,84.47,84.64,84.62,84.57,84.78,84.78,84.71,84.81,84.79,84.74,84.78,84.74,84.56,84.55,84.59,84.62,84.53,84.46,84.49,84.57,84.48,84.53,84.49,84.55,84.56,84.38,84.31,84.3,84.23,84.26,84.11,84.07,84.11,84.15,84.13,84.18,84.12,84.12,84.02,84.0,83.95,83.96,83.92,83.87,83.84,83.88,84.11,84.05,84.08,83.99,83.99,83.94,83.9,83.89,83.87,83.84,83.85,83.84,83.89,83.94,83.87,83.86,83.88,83.89,83.87,83.91,83.87,84.12,84.17,84.18,84.11,84.12,84.03,83.89,83.89,83.77,83.78,83.8,83.77,83.75,83.74,83.71,83.73,83.7,83.63,83.57,83.56,83.54,83.75,83.77,83.79,83.75,83.76,83.7,83.725,83.74,83.68,83.72,83.61,83.67,83.68,83.71,83.68,83.62,83.58,83.58,83.58,83.83,83.76,83.65,83.61,83.6,83.66,83.59,83.61,83.54,83.61,83.62,83.64,83.61,83.61,83.56,83.55,83.51,83.56,83.62,83.8,83.63,83.62,83.59,83.47,83.38,83.46,83.39,83.33,83.34,83.32,83.39,83.305,83.26,83.18,83.19,83.27,83.27,83.18,83.1,83.04,83.25,83.22,83.2,83.17,83.16,83.15,83.17,83.17,83.19,83.12,83.06,83.02,82.96,82.95,82.89,82.85,82.86,82.89,82.91,82.88,82.98,83.08,83.12,83.16,83.13,83.08,83.11,82.98,82.93,82.95,83.0,82.945,82.95,82.98,82.95,82.95,82.92,82.9,82.87,82.89,82.9,82.92,82.96,82.93,83.09,83.05,83.05,83.04,83.03,83.03,83.05,83.02,83.04,83.05,83.07,83.1,83.09,83.09,83.14,83.13,83.22,83.19,83.19,83.34,83.32,83.26,83.27,83.3,83.33,83.32,83.33,83.31,83.33,83.28,83.25,83.27,83.23,83.23,83.25,83.17,83.12,83.11,83.14,83.12,83.11,83.06,83.19,83.19,83.19,83.18,83.18,83.21,83.2,83.25,83.25,83.21,83.215,83.23,83.25,83.23,83.24,83.21,83.22,83.27,83.25,83.26,83.23,83.37,83.39,83.39,83.34,83.34,83.31,83.3,83.25,83.29,83.26,83.24,83.2,83.17,83.21,83.25,83.28,83.3,83.22,83.25,83.2,83.27,83.46,83.5,83.6,83.36,83.29,83.24,83.17,83.17,83.17,83.13,83.11,83.11,83.16,83.16,83.16,83.16,83.195,83.19,83.19,83.22,83.16,83.13,83.27,83.3,83.275,83.26,83.27,83.25,83.26,83.29,83.29,83.36,83.36,83.37,83.39,83.44,83.44,83.48,83.49,83.42,83.4,83.45,83.49,83.56,83.53,83.52,83.46,83.5,83.48,83.44,83.38,83.41,83.41,83.45,83.44,83.45,83.43,83.39,83.43,83.41,83.41,83.425,83.43,83.47,83.44,83.42,83.48,83.47,83.45,83.44,83.43,83.44,83.42,83.45,83.57,83.57,83.61,83.54,83.53,83.59,83.65,83.5,83.49,83.61,83.61,83.6,83.63,83.68,83.7,83.72,83.67,83.71,83.68,83.7,83.73,83.74,83.75,83.78,83.75,83.78,83.78,83.78,83.82,83.82,83.85,83.83,83.82,83.78,83.79,83.82,83.92,83.91,83.95,83.95,83.99,84.02,83.93,83.93,83.97,83.97,83.96,83.92,83.93,83.98,84.04,84.085,84.11,84.1,84.1,84.1,84.03,84.05,84.08,84.13,84.12,84.15,84.13,84.14,84.17,84.18,84.19,84.23,84.18,84.23,84.21,84.3,84.35,84.31,84.25,84.25,84.27,84.29,84.29,84.34,84.29,84.32,84.31,84.39,84.34,84.35,84.36,84.34,84.34,84.37,84.55,84.39,84.44,84.45,84.47,84.46,84.47,84.49,84.44,84.42,84.44,84.51,84.5,84.55,84.56,84.55,84.57,84.61,84.69,84.71,84.66,84.67,84.59,84.68,84.68,84.66,84.62,84.65,84.62,84.7,84.62,84.63,84.61],"SP50^FG_PRICE(0,-7AY)":[5597.12,5608.25,5554.25,5543.22,5455.21,5434.43,5344.39,5344.16,5319.31,5199.5,5240.03,5186.33,5346.56,5446.68,5522.3,5436.44,5463.54,5459.1,5399.22,5427.13,5555.74,5564.41,5505.0,5544.59,5588.27,5667.2,5631.22,5615.35,5584.54,5633.91,5576.98,5572.85,5567.19,5537.02,5509.01,5475.09,5460.48,5482.87,5477.9,5469.3,5447.87,5464.62,5473.17,5487.03,5473.23,5431.6,5433.74,5421.03,5375.32,5360.79,5346.99,5352.96,5354.03,5291.34,5283.4,5277.51,5235.48,5266.95,5306.04,5304.72,5267.84,5307.01,5321.41,5308.13,5303.27,5297.1,5308.15,5246.68,5221.42,5222.68,5214.08,5187.67,5187.7,5180.74,5127.79,5064.2,5018.39,5035.69,5116.17,5099.96,5048.42,5071.63,5070.55,5010.6,4967.23,5011.12,5022.21,5051.41,5061.82,5123.41,5199.06,5160.64,5209.91,5202.39,5204.34,5147.21,5211.49,5205.81,5243.77,5254.35,5248.49,5203.58,5218.19,5234.18,5241.53,5224.62,5178.51,5149.42,5117.09,5150.48,5165.31,5175.27,5117.94,5123.69,5157.36,5104.76,5078.65,5130.95,5137.08,5096.27,5069.76,5078.18,5069.53,5088.8,5087.03,4981.8,4975.51,5005.57,5029.73,5000.62,4953.17,5021.84,5026.61,4997.91,4995.06,4954.23,4942.81,4958.61,4906.19,4845.65,4924.97,4927.93,4890.97,4894.16,4868.55,4864.6,4850.43,4839.81,4780.94,4739.21,4765.98,4783.83,4780.24,4783.45,4756.5,4763.54,4697.24,4688.68,4704.81,4742.83,4769.83,4783.35,4781.58,4774.75,4754.63,4746.75,4698.35,4768.37,4740.56,4719.19,4719.55,4707.09,4643.7,4622.44,4604.37,4585.59,4549.34,4567.18,4569.78,4594.63,4567.8,4550.58,4554.89,4550.43,4559.34,4556.62,4538.19,4547.38,4514.02,4508.24,4502.88,4495.7,4411.55,4415.24,4347.35,4382.78,4378.38,4365.98,4358.34,4317.78,4237.86,4193.8,4166.82,4117.37,4137.23,4186.77,4247.68,4217.04,4224.16,4278.0,4314.6,4373.2,4373.63,4327.78,4349.61,4376.95,4358.24,4335.66,4308.5,4258.19,4263.75,4229.45,4288.39,4288.05,4299.7,4274.51,4273.53,4337.44,4320.06,4330.0,4402.2,4443.95,4453.53,4450.32,4505.1,4467.44,4461.9,4487.46,4457.49,4451.14,4465.48,4496.83,4515.77,4507.66,4514.87,4497.63,4433.31,4405.71,4376.31,4436.01,4387.55,4399.77,4369.71,4370.36,4404.33,4437.86,4489.72,4464.05,4468.83,4467.71,4499.38,4518.44,4478.03,4501.89,4513.39,4576.73,4588.96,4582.23,4537.41,4566.75,4567.46,4554.64,4536.34,4534.87,4565.72,4554.98,4522.79,4505.42,4510.04,4472.16,4439.26,4409.53,4398.95,4411.59,4446.82,4455.59,4450.38,4396.44,4376.86,4378.41,4328.82,4348.33,4381.89,4365.69,4388.71,4409.59,4425.84,4372.59,4369.01,4338.93,4298.86,4293.93,4267.52,4283.85,4273.79,4282.37,4221.02,4179.83,4205.52,4205.45,4151.28,4115.24,4145.58,4192.63,4191.98,4198.05,4158.77,4109.9,4136.28,4124.08,4130.62,4137.64,4119.17,4138.12,4136.25,4061.22,4090.75,4119.58,4167.87,4169.48,4135.35,4055.99,4071.63,4137.04,4133.52,4129.79,4154.52,4154.87,4151.32,4137.64,4146.22,4091.95,4108.94,4109.11,4105.02,4090.38,4100.6,4124.51,4109.31,4050.83,4027.81,3971.27,3977.53,3970.99,3948.72,3936.97,4002.87,3951.57,3916.64,3960.28,3891.93,3919.29,3855.76,3861.59,3918.32,3992.01,3986.37,4048.42,4045.64,3981.35,3951.39,3970.15,3982.24,3970.04,4012.32,3991.05,3997.34,4079.09,4090.41,4147.6,4136.13,4137.29,4090.46,4081.5,4117.86,4164.0,4111.08,4136.48,4179.76,4119.21,4076.6,4017.77,4070.56,4060.43,4016.22,4016.95,4019.81,3972.61,3898.85,3928.86,3990.97,3999.09,3983.17,3969.61,3919.25,3892.09,3895.08,3808.1,3852.97,3824.14,3839.5,3849.28,3783.22,3829.25,3844.82,3822.39,3878.44,3821.62,3817.66,3852.36,3895.75,3995.32,4019.65,3990.56,3934.38,3963.51,3933.92,3941.26,3998.84,4071.7,4076.57,4080.11,3957.63,3963.94,4026.12,4027.26,4003.58,3949.94,3965.34,3946.56,3958.79,3991.73,3957.25,3992.93,3956.37,3748.57,3828.11,3806.8,3770.55,3719.89,3759.69,3856.1,3871.98,3901.06,3807.3,3830.6,3859.11,3797.34,3752.75,3665.78,3695.16,3719.98,3677.95,3583.07,3669.91,3577.03,3588.84,3612.39,3639.66,3744.52,3783.28,3790.93,3678.43,3585.62,3640.47,3719.04,3647.29,3655.04,3693.23,3757.99,3789.93,3855.93,3899.89,3873.33,3901.35,3946.01,3932.69,4110.41,4067.36,4006.18,3979.87,3908.19,3924.26,3966.85,3955.0,3986.16,4030.61,4057.66,4199.12,4140.77,4128.73,4137.99,4228.48,4283.74,4274.04,4305.2,4297.14,4280.15,4207.27,4210.24,4122.47,4140.06,4145.19,4151.94,4155.17,4091.19,4118.63,4130.29,4072.43,4023.61,3921.05,3966.84,3961.63,3998.95,3959.9,3936.69,3830.85,3863.16,3790.38,3801.78,3818.8,3854.43,3899.38,3902.62,3845.08,3831.39,3825.33,3785.38,3818.83,3821.55,3900.11,3911.74,3795.73,3759.89,3764.79,3674.84,3666.77,3789.99,3735.48,3749.63,3900.86,4017.82,4115.77,4160.68,4121.43,4108.54,4176.82,4101.23,4132.15,4158.24,4057.84,3978.73,3941.48,3973.75,3901.36,3900.79,3923.68,4088.85,4008.01,4023.89,3930.08,3935.18,4001.05,3991.24,4123.34,4146.87,4300.17,4175.48,4155.38,4131.93,4287.5,4183.96,4175.2,4296.12,4271.78,4393.66,4459.45,4462.21,4391.69,4392.59,4446.59,4397.45,4412.53,4488.28,4500.21,4481.15,4525.12,4582.64,4545.86,4530.41,4602.45,4631.6,4575.52,4543.06,4520.16,4456.24,4511.61,4461.18,4463.12,4411.67,4357.86,4262.45,4173.11,4204.31,4259.52,4277.88,4170.7,4201.09,4328.87,4363.49,4386.54,4306.26,4373.94,4384.65,4288.7,4225.5,4304.76,4348.87,4380.26,4475.01,4471.07,4401.67,4418.64,4504.08,4587.18,4521.54,4483.87,4500.53,4477.44,4589.38,4546.54,4515.55,4431.85,4326.51,4349.93,4356.45,4410.13,4397.94,4482.73,4532.76,4577.11,4662.85,4659.03,4726.35,4713.07,4670.29,4677.03,4696.05,4700.58,4793.54,4796.56,4766.18,4778.73,4793.06,4786.35,4791.19,4725.79,4696.56,4649.23,4568.02,4620.64,4668.67,4709.85,4634.09,4668.97,4712.02,4667.45,4701.21,4686.75,4591.67,4538.43,4577.1,4513.04,4567.0,4655.27,4594.62,4701.46,4690.7,4682.94,4697.96,4704.54,4688.67,4700.9,4682.8,4682.85,4649.27,4646.71,4685.25,4701.7,4697.53,4680.06,4660.57,4630.65,4613.67,4605.38,4596.42,4551.68,4574.79,4566.48,4544.9,4549.78,4536.19,4519.63,4486.46,4471.37,4438.26,4363.8,4350.65,4361.19,4391.34,4399.76,4363.55,4345.72,4300.46,4357.04,4307.54,4359.461,4352.63,4443.11,4455.48,4448.98,4395.64,4354.19,4357.73,4432.99,4473.75,4480.7,4443.05,4468.73,4458.58,4493.28,4514.07,4520.03,4535.43,4536.95,4524.09,4522.68,4528.79,4509.37,4470.0,4496.19,4486.23,4479.53,4441.67,4405.8,4400.27,4448.08,4479.71,4468.0,4460.83,4447.7,4436.75,4432.35,4436.52,4429.1,4402.66,4423.15,4387.16,4395.26,4419.15,4400.64,4401.46,4422.3,4411.79,4367.48,4358.69,4323.06,4258.49,4327.16,4360.03,4374.3,4369.21,4384.63,4369.55,4320.82,4358.13,4343.54,4352.34,4319.94,4297.5,4291.8,4290.61,4280.7,4266.49,4241.84,4246.44,4224.79,4166.45,4221.86,4223.7,4246.59,4255.15,4247.44,4239.18,4219.55,4227.26,4226.52,4229.89,4192.85,4208.12,4202.04,4204.11,4200.88,4195.99,4188.13,4197.05,4155.86,4159.12,4115.68,4127.83,4163.29,4173.85,4112.5,4063.04,4152.1,4188.43,4232.6,4201.62,4167.59,4164.66,4192.66,4181.17,4211.47,4183.18,4186.72,4187.62,4180.17,4134.98,4173.42,4134.94,4163.26,4185.47,4170.42,4124.66,4141.59,4127.99,4128.8,4097.17,4079.95,4073.94,4077.91,4019.87,3972.89,3958.55,3971.09,3974.54,3909.52,3889.14,3910.52,3940.59,3913.1,3915.46,3974.12,3962.71,3968.94,3943.34,3939.34,3898.81,3875.44,3821.35,3841.94,3768.47,3819.72,3870.29,3901.82,3811.15,3829.34,3925.43,3881.37,3876.5,3906.71,3913.97,3931.33,3932.59,3934.83,3916.38,3909.88,3911.23,3915.59,3886.83,3871.74,3830.17,3826.31,3773.86,3714.24,3787.38,3750.77,3849.62,3855.36,3841.47,3853.07,3851.85,3798.91,3768.25,3795.54,3809.84,3801.19,3799.61,3824.68,3803.79,3748.14,3726.86,3700.65,3756.07,3732.04,3727.04,3735.36,3703.06,3690.01,3687.26,3694.92,3709.41,3722.48,3701.17,3694.62,3647.49,3663.46,3668.1,3672.82,3702.25,3691.96,3699.12,3666.72,3669.01,3662.45,3621.63,3638.35,3629.65,3635.41,3577.59,3557.54,3581.87,3567.79,3609.53,3626.91,3585.15,3537.01,3572.66,3545.53,3550.5,3509.44,3510.45,3443.44,3369.1567,3310.24,3269.96,3310.11,3271.03,3390.68,3400.97,3465.39,3453.49,3435.56,3443.12,3426.92,3483.81,3483.34,3488.67,3511.93,3534.22,3477.13,3446.83,3419.45,3360.95,3408.63,3348.44,3380.8,3363.0,3335.47,3351.6,3298.46,3246.59,3236.92,3315.57,3281.06,3319.47,3357.01,3385.49,3401.2,3383.54,3340.97,3339.19,3398.96,3331.84,3426.96,3455.06,3580.84,3526.65,3500.31,3508.01,3484.55,3478.73,3443.62,3431.28,3397.16,3385.51,3374.85,3389.78,3381.99,3372.85,3373.43,3380.35,3333.69,3360.47,3351.28,3349.16,3327.77,3306.51,3294.61,3271.12,3246.22,3258.44,3218.44,3239.41,3215.63,3235.66,3276.02,3257.3,3251.84,3224.73,3215.57,3226.56,3197.52,3155.22,3185.04,3152.05,3169.94,3145.32,3179.72,3130.01,3115.86,3100.29,3053.24,3009.05,3083.76,3050.33,3131.29,3117.86,3097.74,3115.34,3113.49,3124.74,3066.59,3041.31,3002.1,3190.14,3207.18,3232.39,3193.93,3112.35,3122.87,3080.82,3055.73,3044.31,3029.73,3036.13,2991.77,2955.45,2948.51,2971.61,2922.94,2953.91,2863.7,2852.5,2820.0,2870.12,2930.32,2929.8,2881.19,2848.42,2868.44,2842.74,2830.71,2912.43,2939.51,2863.39,2878.48,2836.74,2797.8,2799.31,2736.56,2823.16,2874.56,2799.55,2783.36,2846.06,2761.63,2789.82,2749.98,2659.41,2663.68,2488.65,2526.9,2470.5,2584.59,2626.65,2541.47,2630.07,2475.56,2447.33,2237.4,2304.92,2409.39,2398.1,2529.19,2386.13,2711.02,2480.64,2741.38,2882.23,2746.56,2972.37,3023.94,3130.12,3003.37,3090.23,2954.22,2978.76,3116.39,3128.21,3225.89,3337.75,3373.23,3386.15,3370.29,3380.16,3373.94,3379.45,3357.75,3352.09,3327.71,3345.78,3334.69,3297.59,3248.92,3225.52,3283.66,3273.4,3276.24,3243.63,3295.47,3325.54,3321.75,3320.79,3329.62,3316.81,3289.29,3283.15,3288.13,3265.35,3274.7,3253.05,3237.18,3246.28,3234.85,3257.85,3230.78,3221.29,3240.02,3239.91,3223.38,3224.01,3221.22,3205.37,3191.14,3192.52,3191.45,3168.8,3168.57,3141.63,3132.52,3135.96,3145.91,3117.43,3112.76,3093.2,3113.87,3140.98,3153.63,3140.52,3133.64,3110.29,3103.54,3108.46,3120.18,3122.03,3120.46,3096.63,3094.04,3091.84,3087.01,3093.08,3085.18,3076.78,3074.62,3078.27,3066.91,3037.56,3046.77,3036.89,3039.42,3022.55,3010.29,3004.52,2995.99,3006.72,2986.2,2997.95,2989.69,2995.68,2966.15,2970.27,2938.13,2919.4,2893.06,2938.79,2952.01,2910.63,2887.61,2940.25,2976.74,2961.79,2977.62,2984.87,2966.6,2991.78,2992.07,3006.79,3006.73,3005.7,2997.96,3007.39,3009.57,3000.93,2979.39,2978.43,2978.71,2976.0,2937.78,2906.27,2926.46,2924.58,2887.94,2869.16,2878.38,2847.11,2922.95,2924.43,2900.51,2923.65,2888.68,2847.6,2840.6,2926.32,2883.75,2918.65,2938.09,2883.98,2881.77,2844.74,2932.05,2953.56,2980.38,3013.18,3020.97,3025.86,3003.67,3019.56,3005.47,2985.03,2976.61,2995.11,2984.42,3004.04,3014.3,3013.77,2999.91,2993.07,2979.63,2975.95,2990.41,2995.82,2973.01,2964.33,2941.76,2924.92,2913.78,2917.38,2945.35,2950.46,2954.18,2926.46,2917.75,2889.67,2886.98,2891.64,2879.84,2885.72,2886.73,2873.34,2843.49,2826.15,2803.27,2744.45,2752.06,2788.86,2783.02,2802.39,2826.06,2822.24,2856.27,2864.36,2840.23,2859.53,2876.32,2850.96,2834.41,2811.87,2881.4,2870.72,2879.42,2884.05,2932.47,2945.64,2917.52,2923.73,2945.83,2943.03,2939.88,2926.17,2927.25,2933.68,2907.97,2905.03,2900.45,2907.06,2905.58,2907.41,2888.32,2888.21,2878.2,2895.77,2892.74,2879.39,2873.4,2867.24,2867.19,2834.4,2815.44,2805.37,2818.46,2798.36,2800.71,2854.88,2824.23,2832.57,2832.94,2822.48,2808.48,2810.92,2791.52,2783.3,2743.07,2748.93,2771.45,2789.65,2792.81,2803.69,2784.49,2792.38,2793.9,2796.11,2792.67,2774.88,2784.7,2779.76,2775.6,2745.73,2753.03,2744.73,2709.8,2707.88,2706.05,2731.61,2737.7,2724.87,2706.53,2704.1,2681.05,2640.0,2643.85,2664.76,2642.33,2638.7,2632.9,2670.71,2635.96,2616.1,2610.3,2582.61,2596.26,2596.64,2584.96,2574.41,2549.69,2531.94,2447.89,2510.03,2506.85,2485.74,2488.83,2467.7,2351.1,2416.62,2467.42,2506.96,2546.16,2545.94,2599.95,2650.54,2651.07,2636.78,2637.72,2633.08,2695.95,2700.06,2790.37,2760.17,2737.76,2743.79,2682.17,2673.45,2632.56,2649.93,2641.89,2690.73,2736.27,2730.2,2701.58,2722.18,2726.22,2781.01,2806.83,2813.89,2755.45,2738.31,2723.06,2740.37,2711.74,2682.63,2641.25,2658.69,2705.57,2656.1,2740.69,2755.88,2767.78,2768.78,2809.21,2809.92,2750.79,2767.13,2728.37,2785.68,2880.34,2884.43,2885.57,2901.61,2925.51,2923.43,2924.59,2913.98,2914.0,2905.97,2915.56,2919.37,2929.67,2930.75,2907.95,2904.31,2888.8,2904.98,2904.18,2888.92,2887.89,2877.13,2871.68,2878.05,2888.6,2896.72,2901.52,2901.13,2914.04,2897.52,2896.74,2874.69,2856.98,2861.82,2862.96,2857.05,2850.13,2840.69,2818.37,2839.96,2821.93,2833.28,2853.58,2857.7,2858.45,2850.4,2840.35,2827.22,2813.36,2816.29,2802.6,2818.82,2837.44,2846.07,2820.4,2806.98,2801.83,2804.49,2815.62,2809.55,2798.43,2801.31,2798.29,2774.02,2793.84,2784.17,2759.82,2736.61,2713.22,2726.71,2718.37,2716.31,2699.63,2723.06,2717.07,2754.88,2749.76,2767.32,2762.59,2773.75,2779.66,2782.49,2775.63,2786.85,2782.0,2779.03,2770.37,2772.35,2748.8,2746.87,2734.62,2705.27,2724.01,2689.86,2721.33,2727.76,2733.29,2724.44,2733.01,2712.97,2720.13,2722.46,2711.45,2730.13,2727.72,2723.07,2697.79,2671.92,2672.63,2663.42,2629.73,2635.67,2654.8,2648.05,2669.91,2666.94,2639.4,2634.56,2670.29,2670.14,2693.13,2708.64,2706.39,2677.84,2656.3,2663.99,2642.19,2656.87,2613.16,2604.47,2662.84,2644.69,2614.45,2581.88,2640.87,2605.0,2612.62,2658.55,2588.26,2643.69,2711.93,2716.94,2712.92,2752.01,2747.33,2749.48,2765.31,2783.02,2786.57,2738.97,2726.8,2728.12,2720.94,2691.25,2677.67,2713.83,2744.28,2779.6,2747.3,2703.96,2701.33,2716.26,2732.22,2731.2,2698.63,2662.94,2656.0,2619.55,2581.0,2681.66,2695.14,2648.94,2762.13,2821.98,2823.81,2822.43,2853.53,2872.87,2839.25,2837.54,2839.13,2832.97,2810.3,2798.03,2802.56,2776.42,2786.24,2767.56,2748.23,2751.29,2747.71,2743.15,2723.99,2713.06,2695.81,2673.61,2687.54,2682.62,2680.5,2683.34,2684.57,2679.25,2681.47,2690.16,2675.81,2652.01,2662.85,2664.11,2659.99,2651.5,2636.98,2629.27,2629.57,2639.44,2642.22,2647.58,2626.07,2627.04,2601.42,2602.42,2597.08,2599.03,2582.14,2578.85,2585.64,2564.62,2578.87,2584.84,2582.3,2584.62,2594.38,2590.64,2591.13,2587.84,2579.85,2579.36,2575.26,2572.83,2581.07,2560.4,2557.15,2569.13,2564.98,2575.21,2562.1,2561.26,2559.36,2557.64,2553.17,2550.93,2555.24,2550.64,2544.73,2549.33,2552.07,2537.74,2534.58,2529.12,2519.36,2510.06,2507.04,2496.84,2496.66,2502.22,2500.6,2508.24,2506.65,2503.87,2500.23,2495.62,2498.37,2496.48,2488.11,2461.43,2465.1,2465.54,2457.85,2476.55,2471.65,2457.59,2446.3,2444.24,2443.05,2438.97,2444.04,2452.51,2428.37,2425.55],"SP50^JULIAN(FMA_COS_UP(\"EPS\",\"1M\",+1,0,-7AY,,\"PORTAGG\",\"MEANR\")/FMA_COS_UP(\"EPS\",\"1M\",+1,0,-7AY,,\"PORTAGG\",\"MEANR\")+FMA_COS_UP(\"EPS\",\"1M\",+1,0,-7AY,,\"PORTAGG\",\"MEANR\").DATES)":[45524,45524,45521,45520,45519,45518,45517,45514,45513,45512,45511,45510,45507,45506,45504,45504,45503,45500,45499,45498,45497,45496,45493,45492,45491,45490,45489,45486,45485,45484,45483,45482,45479,45477,45476,45475,45472,45471,45470,45469,45468,45465,45464,45462,45461,45458,45457,45456,45455,45454,45451,45450,45449,45448,45447,45443,45443,45442,45441,45437,45436,45435,45434,45433,45430,45429,45428,45427,45426,45423,45422,45421,45420,45419,45416,45415,45414,45412,45412,45409,45408,45407,45406,45405,45402,45401,45400,45399,45398,45395,45394,45393,45392,45391,45388,45387,45386,45385,45384,45380,45379,45378,45377,45374,45373,45372,45371,45370,45367,45366,45365,45364,45363,45360,45359,45358,45357,45356,45353,45351,45351,45350,45349,45346,45345,45344,45343,45339,45338,45337,45336,45335,45332,45331,45330,45329,45328,45325,45324,45322,45322,45321,45318,45317,45316,45315,45314,45311,45310,45309,45308,45304,45303,45302,45301,45300,45297,45296,45295,45294,45290,45289,45288,45287,45283,45282,45281,45280,45279,45276,45275,45274,45273,45272,45269,45268,45267,45266,45265,45262,45260,45260,45259,45258,45255,45253,45252,45251,45248,45247,45246,45245,45244,45241,45240,45239,45238,45237,45234,45233,45232,45230,45230,45227,45226,45225,45224,45223,45220,45219,45218,45217,45216,45213,45212,45211,45210,45209,45206,45205,45204,45203,45202,45199,45198,45197,45196,45195,45192,45191,45190,45189,45188,45185,45184,45183,45182,45181,45178,45177,45176,45175,45171,45169,45169,45168,45167,45164,45163,45162,45161,45160,45157,45156,45155,45154,45153,45150,45149,45148,45147,45146,45143,45142,45141,45140,45138,45136,45135,45134,45133,45132,45129,45128,45127,45126,45125,45122,45121,45120,45119,45118,45115,45114,45113,45111,45107,45107,45106,45105,45104,45101,45100,45099,45098,45094,45093,45092,45091,45090,45087,45086,45085,45084,45083,45080,45079,45077,45077,45073,45072,45071,45070,45069,45066,45065,45064,45063,45062,45059,45058,45057,45056,45055,45052,45051,45050,45049,45048,45045,45044,45043,45042,45041,45038,45037,45036,45035,45034,45031,45030,45029,45028,45027,45023,45022,45021,45020,45016,45016,45015,45014,45013,45010,45009,45008,45007,45006,45003,45002,45001,45000,44999,44996,44995,44994,44993,44992,44989,44988,44987,44985,44985,44982,44981,44980,44979,44975,44974,44973,44972,44971,44968,44967,44966,44965,44964,44961,44960,44959,44957,44957,44954,44953,44952,44951,44950,44947,44946,44945,44944,44940,44939,44938,44937,44936,44933,44932,44931,44930,44926,44925,44924,44923,44919,44918,44917,44916,44915,44912,44911,44910,44909,44908,44905,44904,44903,44902,44901,44898,44897,44895,44895,44894,44891,44889,44888,44887,44884,44883,44882,44881,44880,44877,44876,44875,44874,44873,44870,44869,44868,44867,44865,44863,44862,44861,44860,44859,44856,44855,44854,44853,44852,44849,44848,44847,44846,44845,44842,44841,44840,44839,44838,44834,44834,44833,44832,44831,44828,44827,44826,44825,44824,44821,44820,44819,44818,44817,44814,44813,44812,44811,44807,44806,44804,44804,44803,44800,44799,44798,44797,44796,44793,44792,44791,44790,44789,44786,44785,44784,44783,44782,44779,44778,44777,44776,44775,44772,44771,44770,44769,44768,44765,44764,44763,44762,44761,44758,44757,44756,44755,44754,44751,44750,44749,44748,44744,44742,44742,44741,44740,44737,44736,44735,44734,44730,44729,44728,44727,44726,44723,44722,44721,44720,44719,44716,44715,44714,44712,44709,44708,44707,44706,44705,44702,44701,44700,44699,44698,44695,44694,44693,44692,44691,44688,44687,44686,44685,44684,44681,44680,44679,44678,44677,44674,44673,44672,44671,44670,44666,44665,44664,44663,44660,44659,44658,44657,44656,44653,44651,44651,44650,44649,44646,44645,44644,44643,44642,44639,44638,44637,44636,44635,44632,44631,44630,44629,44628,44625,44624,44623,44622,44620,44618,44617,44616,44615,44611,44610,44609,44608,44607,44604,44603,44602,44601,44600,44597,44596,44595,44594,44592,44590,44589,44588,44587,44586,44583,44582,44581,44580,44576,44575,44574,44573,44572,44569,44568,44567,44566,44565,44561,44561,44560,44559,44558,44554,44553,44552,44551,44548,44547,44546,44545,44544,44541,44540,44539,44538,44537,44534,44533,44532,44530,44530,44527,44525,44524,44523,44520,44519,44518,44517,44516,44513,44512,44511,44510,44509,44506,44505,44504,44503,44502,44499,44498,44497,44496,44495,44492,44491,44490,44489,44488,44485,44484,44483,44482,44481,44478,44477,44476,44475,44474,44471,44469,44469,44468,44467,44464,44463,44462,44461,44460,44457,44456,44455,44454,44453,44450,44449,44448,44447,44443,44442,44441,44439,44439,44436,44435,44434,44433,44432,44429,44428,44427,44426,44425,44422,44421,44420,44419,44418,44415,44414,44413,44412,44411,44408,44407,44406,44405,44404,44401,44400,44399,44398,44397,44394,44393,44392,44391,44390,44387,44386,44385,44384,44380,44379,44377,44377,44376,44373,44372,44371,44370,44369,44366,44365,44364,44363,44362,44359,44358,44357,44356,44355,44352,44351,44350,44349,44345,44344,44343,44342,44341,44338,44337,44336,44335,44334,44331,44330,44329,44328,44327,44324,44323,44322,44321,44320,44316,44316,44315,44314,44313,44310,44309,44308,44307,44306,44303,44302,44301,44300,44299,44296,44295,44294,44293,44292,44288,44286,44286,44285,44282,44281,44280,44279,44278,44275,44274,44273,44272,44271,44268,44267,44266,44265,44264,44261,44260,44259,44258,44257,44254,44253,44252,44251,44250,44247,44246,44245,44244,44240,44239,44238,44237,44236,44233,44232,44231,44230,44229,44226,44225,44224,44223,44222,44219,44218,44217,44216,44212,44211,44210,44209,44208,44205,44204,44203,44202,44201,44196,44196,44195,44194,44190,44189,44188,44187,44184,44183,44182,44181,44180,44177,44176,44175,44174,44173,44170,44169,44168,44167,44165,44163,44161,44160,44159,44156,44155,44154,44153,44152,44149,44148,44147,44146,44145,44142,44141,44140,44139,44138,44135,44134,44133,44132,44131,44128,44127,44126,44125,44124,44121,44120,44119,44118,44117,44114,44113,44112,44111,44110,44107,44106,44104,44104,44103,44100,44099,44098,44097,44096,44093,44092,44091,44090,44089,44086,44085,44084,44083,44079,44078,44077,44076,44074,44072,44071,44070,44069,44068,44065,44064,44063,44062,44061,44058,44057,44056,44055,44054,44051,44050,44049,44048,44047,44043,44043,44042,44041,44040,44037,44036,44035,44034,44033,44030,44029,44028,44027,44026,44023,44022,44021,44020,44019,44015,44014,44012,44012,44009,44008,44007,44006,44005,44002,44001,44000,43999,43998,43995,43994,43993,43992,43991,43988,43987,43986,43985,43984,43981,43980,43979,43978,43974,43973,43972,43971,43970,43967,43966,43965,43964,43963,43960,43959,43958,43957,43956,43953,43951,43951,43950,43949,43946,43945,43944,43943,43942,43939,43938,43937,43936,43935,43931,43930,43929,43928,43925,43924,43923,43921,43921,43918,43917,43916,43915,43914,43911,43910,43909,43908,43907,43904,43903,43902,43901,43900,43897,43896,43895,43894,43893,43890,43889,43888,43887,43886,43883,43882,43881,43880,43876,43875,43874,43873,43872,43869,43868,43867,43866,43865,43861,43861,43860,43859,43858,43855,43854,43853,43852,43848,43847,43846,43845,43844,43841,43840,43839,43838,43837,43834,43833,43830,43830,43827,43826,43824,43823,43820,43819,43818,43817,43816,43813,43812,43811,43810,43809,43806,43805,43804,43803,43802,43799,43797,43796,43795,43792,43791,43790,43789,43788,43785,43784,43783,43782,43781,43778,43777,43776,43775,43774,43771,43769,43769,43768,43767,43764,43763,43762,43761,43760,43757,43756,43755,43754,43753,43750,43749,43748,43747,43746,43743,43742,43741,43740,43738,43736,43735,43734,43733,43732,43729,43728,43727,43726,43725,43722,43721,43720,43719,43718,43715,43714,43713,43712,43708,43707,43706,43705,43704,43701,43700,43699,43698,43697,43694,43693,43692,43691,43690,43687,43686,43685,43684,43683,43680,43679,43677,43677,43676,43673,43672,43671,43670,43669,43666,43665,43664,43663,43662,43659,43658,43657,43656,43655,43652,43650,43649,43648,43645,43644,43643,43642,43641,43638,43637,43636,43635,43634,43631,43630,43629,43628,43627,43624,43623,43622,43621,43620,43616,43616,43615,43614,43610,43609,43608,43607,43606,43603,43602,43601,43600,43599,43596,43595,43594,43593,43592,43589,43588,43587,43585,43585,43582,43581,43580,43579,43578,43574,43573,43572,43571,43568,43567,43566,43565,43564,43561,43560,43559,43558,43557,43554,43553,43552,43551,43550,43547,43546,43545,43544,43543,43540,43539,43538,43537,43536,43533,43532,43531,43530,43529,43526,43524,43524,43523,43522,43519,43518,43517,43516,43512,43511,43510,43509,43508,43505,43504,43503,43502,43501,43498,43496,43496,43495,43494,43491,43490,43489,43488,43484,43483,43482,43481,43480,43477,43476,43475,43474,43473,43470,43469,43468,43465,43463,43462,43461,43459,43456,43455,43454,43453,43452,43449,43448,43447,43446,43445,43442,43441,43439,43438,43434,43434,43433,43432,43431,43428,43426,43425,43424,43421,43420,43419,43418,43417,43414,43413,43412,43411,43410,43407,43406,43404,43404,43403,43400,43399,43398,43397,43396,43393,43392,43391,43390,43389,43386,43385,43384,43383,43382,43379,43378,43377,43376,43375,43372,43371,43370,43369,43368,43365,43364,43363,43362,43361,43358,43357,43356,43355,43354,43351,43350,43349,43348,43343,43343,43342,43341,43340,43337,43336,43335,43334,43333,43330,43329,43328,43327,43326,43323,43322,43321,43320,43319,43316,43315,43314,43312,43312,43309,43308,43307,43306,43305,43302,43301,43300,43299,43298,43295,43294,43293,43292,43291,43288,43287,43285,43284,43281,43280,43279,43278,43277,43274,43273,43272,43271,43270,43267,43266,43265,43264,43263,43260,43259,43258,43257,43256,43253,43251,43251,43250,43246,43245,43244,43243,43242,43239,43238,43237,43236,43235,43232,43231,43230,43229,43228,43225,43224,43223,43222,43220,43218,43217,43216,43215,43214,43211,43210,43209,43208,43207,43204,43203,43202,43201,43200,43197,43196,43195,43194,43193,43189,43188,43187,43186,43183,43182,43181,43180,43179,43176,43175,43174,43173,43172,43169,43168,43167,43166,43165,43162,43161,43159,43159,43158,43155,43154,43153,43152,43148,43147,43146,43145,43144,43141,43140,43139,43138,43137,43134,43133,43131,43131,43130,43127,43126,43125,43124,43123,43120,43119,43118,43117,43113,43112,43111,43110,43109,43106,43105,43104,43103,43099,43098,43097,43096,43092,43091,43090,43089,43088,43085,43084,43083,43082,43081,43078,43077,43076,43075,43074,43071,43069,43069,43068,43067,43064,43062,43061,43060,43057,43056,43055,43054,43053,43050,43049,43048,43047,43046,43043,43042,43041,43039,43039,43036,43035,43034,43033,43032,43029,43028,43027,43026,43025,43022,43021,43020,43019,43018,43015,43014,43013,43012,43011,43008,43007,43006,43005,43004,43001,43000,42999,42998,42997,42994,42993,42992,42991,42990,42987,42986,42985,42984,42980,42978,42978,42977,42976,42973,42972,42971,42970,42969,42966],"ACWX-US^FMA_EPS(NTMA,-1M,,,,\"PORTAGG\",\"MEANR\")/AVG(FMA_EPS(NTMA,-1M,-50D,,,\"PORTAGG\",\"MEANR\"))":1.00055832002097,"ACWI-US^FMA_PCT_ABOVE_MAVG(200,-1W,,,,\"PORTAGG\")":53.5852297123229,"ACWX-US^FG_PRICE(-1W)/FG_PRICE_MAVG(-1W,,,,50)":0.982262170495181,"ACWX-US^FMA_EPS(NTMA,0,,,,\"PORTAGG\",\"MEANR\")/AVG(FMA_EPS(NTMA,0,-50D,,,\"PORTAGG\",\"MEANR\"))":1.03089874101038,"ACWX-US^FMA_PCT_ABOVE_MAVG(50,0,,,,\"PORTAGG\")/AVG(FMA_PCT_ABOVE_MAVG(50,0,-50D,,,\"PORTAGG\"))":0.966268895457235,"TLT-US^FG_PRICE(-1M)/FG_PRICE_MAVG(-1M,,,,50)":1.00648325232923,"SPXEKW^FG_PRICE(-1M)/FG_PRICE_MAVG(-1M,,,,50)":1.00032384341867,"SP50^FMA_PCT_ABOVE_MAVG(50,-1W,,,,\"PORTAGG\")/AVG(FMA_PCT_ABOVE_MAVG(50,-1W,-50D,,,\"PORTAGG\"))":1.04548052584306,"SHY-US^FG_PRICE(-1W)/FG_PRICE_MAVG(-1W,,,,50)":1.00825872446959,"SHY-US^FG_PRICE(0)/FG_PRICE_MAVG(0,,,,50)":1.0081712622392,"SPXEKW^FG_PRICE(0)/FG_PRICE_MAVG(0,,,,50)":1.02678740648027,"^FDS_ECON_DATA('USSU2929306',0,-20AY,D,STEP,AVERAGENP,1)":[null,null,null,null,null,null,null,44.6,44.6,44.6,44.6,44.6,46.9,46.9,46.9,46.9,46.9,59.4,59.4,59.4,59.4,59.4,64.2,64.2,64.2,64.2,64.2,63.6,63.6,63.6,63.6,63.6,62.7,62.7,62.7,62.7,62.7,63.1,63.1,63.1,63.1,63.1,61.5,61.5,61.5,61.5,61.5,61.2,61.2,61.2,61.2,61.2,60.3,60.3,60.3,60.3,60.3,57.6,57.6,57.6,57.6,57.6,58.2,58.2,58.2,58.2,58.2,59.4,59.4,59.4,59.4,59.4,56.5,56.5,56.5,56.5,56.5,50.0,50.0,50.0,50.0,50.0,47.0,47.0,47.0,47.0,47.0,46.2,46.2,46.2,46.2,46.2,56.5,56.5,56.5,56.5,56.5,58.1,58.1,58.1,58.1,58.1,62.5,62.5,62.5,62.5,62.5,60.6,60.6,60.6,60.6,60.6,60.3,60.3,60.3,60.3,60.3,60.9,60.9,60.9,60.9,60.9,59.4,59.4,59.4,59.4,59.4,57.6,57.6,57.6,57.6,57.6,57.3,57.3,57.3,57.3,57.3,58.8,58.8,58.8,58.8,58.8,54.3,54.3,54.3,54.3,54.3,57.7,57.7,57.7,57.7,57.7,52.9,52.9,52.9,52.9,52.9,48.5,48.5,48.5,48.5,48.5,54.4,54.4,54.4,54.4,54.4,57.1,57.1,57.1,57.1,57.1,null,null,null,null,null,56.9,56.9,56.9,56.9,56.9,55.6,55.6,55.6,55.6,55.6,55.1,55.1,55.1,55.1,55.1,55.7,55.7,55.7,55.7,55.7,52.2,52.2,52.2,52.2,52.2,50.7,50.7,50.7,50.7,50.7,49.3,49.3,49.3,49.3,49.3,42.9,42.9,42.9,42.9,42.9,50.0,50.0,50.0,50.0,50.0,51.4,51.4,51.4,51.4,51.4,48.6,48.6,48.6,48.6,48.6,42.3,42.3,42.3,42.3,42.3,43.7,43.7,43.7,43.7,43.7,48.6,48.6,48.6,48.6,48.6,50.7,50.7,50.7,50.7,50.7,49.3,49.3,49.3,49.3,49.3,43.1,43.1,43.1,43.1,43.1,44.3,44.3,44.3,44.3,44.3,47.1,47.1,47.1,47.1,47.1,52.2,52.2,52.2,52.2,52.2,57.1,57.1,57.1,57.1,57.1,55.6,55.6,55.6,55.6,55.6,54.2,54.2,54.2,54.2,54.2,51.4,51.4,51.4,51.4,51.4,54.9,54.9,54.9,54.9,54.9,50.0,50.0,50.0,50.0,50.0,54.3,54.3,54.3,54.3,54.3,53.4,53.4,53.4,53.4,53.4,51.3,51.3,51.3,51.3,51.3,47.9,47.9,47.9,47.9,47.9,46.5,46.5,46.5,46.5,46.5,45.2,45.2,45.2,45.2,45.2,44.6,44.6,44.6,44.6,44.6,45.8,45.8,45.8,45.8,45.8,48.6,48.6,48.6,48.6,48.6,50.7,50.7,50.7,50.7,50.7,48.7,48.7,48.7,48.7,48.7,48.6,48.6,48.6,48.6,48.6,40.8,40.8,40.8,40.8,40.8,39.7,39.7,39.7,39.7,39.7,40.3,40.3,40.3,40.3,40.3,45.2,45.2,45.2,45.2,45.2,38.4,38.4,38.4,38.4,38.4,44.4,44.4,44.4,44.4,44.4,45.1,45.1,45.1,45.1,45.1,48.6,48.6,48.6,48.6,48.6,47.1,47.1,47.1,47.1,47.1,45.1,45.1,45.1,45.1,45.1,46.5,46.5,46.5,46.5,46.5,41.4,41.4,41.4,41.4,41.4,36.6,36.6,36.6,36.6,36.6,null,null,null,null,null,37.5,37.5,37.5,37.5,37.5,42.9,42.9,42.9,42.9,42.9,43.3,43.3,43.3,43.3,43.3,38.4,38.4,38.4,38.4,38.4,41.7,41.7,41.7,41.7,41.7,38.6,38.6,38.6,38.6,38.6,35.2,35.2,35.2,35.2,35.2,35.8,35.8,35.8,35.8,35.8,36.9,36.9,36.9,36.9,36.9,31.3,31.3,31.3,31.3,31.3,25.0,25.0,25.0,25.0,25.0,25.4,25.4,25.4,25.4,25.4,25.4,25.4,25.4,25.4,25.4,30.0,30.0,30.0,30.0,30.0,32.4,32.4,32.4,32.4,32.4,29.7,29.7,29.7,29.7,29.7,38.4,38.4,38.4,38.4,38.4,45.1,45.1,45.1,45.1,45.1,45.0,45.0,45.0,45.0,45.0,44.4,44.4,44.4,44.4,44.4,41.1,41.1,41.1,41.1,41.1,38.9,38.9,38.9,38.9,38.9,35.2,35.2,35.2,35.2,35.2,32.4,32.4,32.4,32.4,32.4,30.5,30.5,30.5,30.5,30.5,32.9,32.9,32.9,32.9,32.9,26.5,26.5,26.5,26.5,26.5,29.4,29.4,29.4,29.4,29.4,35.7,35.7,35.7,35.7,35.7,35.2,35.2,35.2,35.2,35.2,28.2,28.2,28.2,28.2,28.2,27.8,27.8,27.8,27.8,27.8,27.6,27.6,27.6,27.6,27.6,30.9,30.9,30.9,30.9,30.9,34.2,34.2,34.2,34.2,34.2,32.1,32.1,32.1,32.1,32.1,35.8,35.8,35.8,35.8,35.8,39.1,39.1,39.1,39.1,39.1,37.7,37.7,37.7,37.7,37.7,35.3,35.3,35.3,35.3,35.3,30.6,30.6,30.6,30.6,30.6,32.2,32.2,32.2,32.2,32.2,29.9,29.9,29.9,29.9,29.9,32.2,32.2,32.2,32.2,32.2,33.7,33.7,33.7,33.7,33.7,34.1,34.1,34.1,34.1,34.1,35.7,35.7,35.7,35.7,35.7,34.9,34.9,34.9,34.9,34.9,39.8,39.8,39.8,39.8,39.8,43.7,43.7,43.7,43.7,43.7,50.6,50.6,50.6,50.6,50.6,null,null,null,null,null,42.2,42.2,42.2,42.2,42.2,43.9,43.9,43.9,43.9,43.9,39.8,39.8,39.8,39.8,39.8,49.4,49.4,49.4,49.4,49.4,56.6,56.6,56.6,56.6,56.6,57.2,57.2,57.2,57.2,57.2,56.5,56.5,56.5,56.5,56.5,54.0,54.0,54.0,54.0,54.0,48.9,48.9,48.9,48.9,48.9,43.2,43.2,43.2,43.2,43.2,42.1,42.1,42.1,42.1,42.1,40.4,40.4,40.4,40.4,40.4,46.5,46.5,46.5,46.5,46.5,47.1,47.1,47.1,47.1,47.1,50.0,50.0,50.0,50.0,50.0,52.6,52.6,52.6,52.6,52.6,52.1,52.1,52.1,52.1,52.1,50.0,50.0,50.0,50.0,50.0,51.1,51.1,51.1,51.1,51.1,56.4,56.4,56.4,56.4,56.4,54.1,54.1,54.1,54.1,54.1,52.6,52.6,52.6,52.6,52.6,53.1,53.1,53.1,53.1,53.1,61.2,61.2,61.2,61.2,61.2,60.8,60.8,60.8,60.8,60.8,59.6,59.6,59.6,59.6,59.6,56.5,56.5,56.5,56.5,56.5,54.1,54.1,54.1,54.1,54.1,54.5,54.5,54.5,54.5,54.5,53.6,53.6,53.6,53.6,53.6,51.5,51.5,51.5,51.5,51.5,54.5,54.5,54.5,54.5,54.5,58.6,58.6,58.6,58.6,58.6,60.4,60.4,60.4,60.4,60.4,59.2,59.2,59.2,59.2,59.2,63.7,63.7,63.7,63.7,63.7,63.4,63.4,63.4,63.4,63.4,60.8,60.8,60.8,60.8,60.8,54.4,54.4,54.4,54.4,54.4,57.4,57.4,57.4,57.4,57.4,55.9,55.9,55.9,55.9,55.9,51.0,51.0,51.0,51.0,51.0,53.9,53.9,53.9,53.9,53.9,56.3,56.3,56.3,56.3,56.3,59.1,59.1,59.1,59.1,59.1,58.6,58.6,58.6,58.6,58.6,57.8,57.8,57.8,57.8,57.8,61.2,61.2,61.2,61.2,61.2,60.4,60.4,60.4,60.4,60.4,63.7,63.7,63.7,63.7,63.7,60.2,60.2,60.2,60.2,60.2,null,null,null,null,null,62.4,62.4,62.4,62.4,62.4,63.6,63.6,63.6,63.6,63.6,64.4,64.4,64.4,64.4,64.4,64.7,64.7,64.7,64.7,64.7,64.6,64.6,64.6,64.6,64.6,59.6,59.6,59.6,59.6,59.6,59.2,59.2,59.2,59.2,59.2,53.6,53.6,53.6,53.6,53.6,60.6,60.6,60.6,60.6,60.6,59.2,59.2,59.2,59.2,59.2,56.6,56.6,56.6,56.6,56.6,54.6,54.6,54.6,54.6,54.6,52.5,52.5,52.5,52.5,52.5,51.5,51.5,51.5,51.5,51.5,54.8,54.8,54.8,54.8,54.8,59.0,59.0,59.0,59.0,59.0,61.5,61.5,61.5,61.5,61.5,60.0,60.0,60.0,60.0,60.0,59.2,59.2,59.2,59.2,59.2,58.1,58.1,58.1,58.1,58.1,56.7,56.7,56.7,56.7,56.7,57.3,57.3,57.3,57.3,57.3,56.7,56.7,56.7,56.7,56.7,58.1,58.1,58.1,58.1,58.1,57.7,57.7,57.7,57.7,57.7,54.5,54.5,54.5,54.5,54.5,57.3,57.3,57.3,57.3,57.3,54.9,54.9,54.9,54.9,54.9,56.9,56.9,56.9,56.9,56.9,53.5,53.5,53.5,53.5,53.5,50.5,50.5,50.5,50.5,50.5,49.0,49.0,49.0,49.0,49.0,47.1,47.1,47.1,47.1,47.1,48.1,48.1,48.1,48.1,48.1,46.6,46.6,46.6,46.6,46.6,43.3,43.3,43.3,43.3,43.3,40.9,40.9,40.9,40.9,40.9,33.3,33.3,33.3,33.3,33.3,31.4,31.4,31.4,31.4,31.4,30.1,30.1,30.1,30.1,30.1,34.6,34.6,34.6,34.6,34.6,36.2,36.2,36.2,36.2,36.2,41.7,41.7,41.7,41.7,41.7,49.1,49.1,49.1,49.1,49.1,54.7,54.7,54.7,54.7,54.7,52.9,52.9,52.9,52.9,52.9,47.6,47.6,47.6,47.6,47.6,52.8,52.8,52.8,52.8,52.8,59.4,59.4,59.4,59.4,59.4,57.0,57.0,57.0,57.0,57.0,55.1,55.1,55.1,55.1,55.1,58.9,58.9,58.9,58.9,58.9,null,null,null,null,null,57.7,57.7,57.7,57.7,57.7,53.3,53.3,53.3,53.3,53.3,54.8,54.8,54.8,54.8,54.8,58.1,58.1,58.1,58.1,58.1,57.2,57.2,57.2,57.2,57.2,57.6,57.6,57.6,57.6,57.6,57.1,57.1,57.1,57.1,57.1,54.2,54.2,54.2,54.2,54.2,52.8,52.8,52.8,52.8,52.8,49.1,49.1,49.1,49.1,49.1,47.6,47.6,47.6,47.6,47.6,55.3,55.3,55.3,55.3,55.3,55.1,55.1,55.1,55.1,55.1,53.8,53.8,53.8,53.8,53.8,50.0,50.0,50.0,50.0,50.0,44.9,44.9,44.9,44.9,44.9,43.9,43.9,43.9,43.9,43.9,49.1,49.1,49.1,49.1,49.1,49.5,49.5,49.5,49.5,49.5,48.1,48.1,48.1,48.1,48.1,57.2,57.2,57.2,57.2,57.2,54.2,54.2,54.2,54.2,54.2,58.0,58.0,58.0,58.0,58.0,56.7,56.7,56.7,56.7,56.7,55.2,55.2,55.2,55.2,55.2,53.3,53.3,53.3,53.3,53.3,50.5,50.5,50.5,50.5,50.5,48.1,48.1,48.1,48.1,48.1,42.7,42.7,42.7,42.7,42.7,49.0,49.0,49.0,49.0,49.0,49.5,49.5,49.5,49.5,49.5,51.4,51.4,51.4,51.4,51.4,55.5,55.5,55.5,55.5,55.5,56.4,56.4,56.4,56.4,56.4,53.4,53.4,53.4,53.4,53.4,54.8,54.8,54.8,54.8,54.8,53.9,53.9,53.9,53.9,53.9,53.4,53.4,53.4,53.4,53.4,52.0,52.0,52.0,52.0,52.0,53.9,53.9,53.9,53.9,53.9,52.4,52.4,52.4,52.4,52.4,52.9,52.9,52.9,52.9,52.9,52.4,52.4,52.4,52.4,52.4,51.9,51.9,51.9,51.9,51.9,49.5,49.5,49.5,49.5,49.5,48.6,48.6,48.6,48.6,48.6,45.8,45.8,45.8,45.8,45.8,45.4,45.4,45.4,45.4,45.4,42.1,42.1,42.1,42.1,42.1,34.8,34.8,34.8,34.8,34.8,29.9,29.9,29.9,29.9,29.9,null,null,null,null,null,39.3,39.3,39.3,39.3,39.3,45.4,45.4,45.4,45.4,45.4,46.7,46.7,46.7,46.7,46.7,38.3,38.3,38.3,38.3,38.3,39.6,39.6,39.6,39.6,39.6,42.9,42.9,42.9,42.9,42.9,42.5,42.5,42.5,42.5,42.5,44.3,44.3,44.3,44.3,44.3,50.5,50.5,50.5,50.5,50.5,51.9,51.9,51.9,51.9,51.9,56.3,56.3,56.3,56.3,56.3,61.8,61.8,61.8,61.8,61.8,60.6,60.6,60.6,60.6,60.6,59.0,59.0,59.0,59.0,59.0,57.7,57.7,57.7,57.7,57.7,60.0,60.0,60.0,60.0,60.0,59.6,59.6,59.6,59.6,59.6,57.7,57.7,57.7,57.7,57.7,57.3,57.3,57.3,57.3,57.3,54.9,54.9,54.9,54.9,54.9,54.5,54.5,54.5,54.5,54.5,54.9,54.9,54.9,54.9,54.9,55.3,55.3,55.3,55.3,55.3,52.4,52.4,52.4,52.4,52.4,47.1,47.1,47.1,47.1,47.1,47.6,47.6,47.6,47.6,47.6,52.0,52.0,52.0,52.0,52.0,55.5,55.5,55.5,55.5,55.5,52.9,52.9,52.9,52.9,52.9,50.0,50.0,50.0,50.0,50.0,49.1,49.1,49.1,49.1,49.1,46.6,46.6,46.6,46.6,46.6,43.1,43.1,43.1,43.1,43.1,43.6,43.6,43.6,43.6,43.6,48.0,48.0,48.0,48.0,48.0,43.6,43.6,43.6,43.6,43.6,42.2,42.2,42.2,42.2,42.2,47.6,47.6,47.6,47.6,47.6,49.5,49.5,49.5,49.5,49.5,55.5,55.5,55.5,55.5,55.5,54.9,54.9,54.9,54.9,54.9,48.6,48.6,48.6,48.6,48.6,48.1,48.1,48.1,48.1,48.1,48.5,48.5,48.5,48.5,48.5,51.9,51.9,51.9,51.9,51.9,54.4,54.4,54.4,54.4,54.4,66.0,66.0,66.0,66.0,66.0,64.7,64.7,64.7,64.7,64.7,66.7,66.7,66.7,66.7,66.7,64.4,64.4,64.4,64.4,64.4,61.9,61.9,61.9,61.9,61.9,null,null,null,null,null,64.1,64.1,64.1,64.1,64.1,61.9,61.9,61.9,61.9,61.9,64.2,64.2,64.2,64.2,64.2,62.3,62.3,62.3,62.3,62.3,61.5,61.5,61.5,61.5,61.5,63.5,63.5,63.5,63.5,63.5,64.4,64.4,64.4,64.4,64.4,63.5,63.5,63.5,63.5,63.5,62.3,62.3,62.3,62.3,62.3,60.0,60.0,60.0,60.0,60.0,60.4,60.4,60.4,60.4,60.4,57.5,57.5,57.5,57.5,57.5,54.3,54.3,54.3,54.3,54.3,50.5,50.5,50.5,50.5,50.5,47.1,47.1,47.1,47.1,47.1,49.5,49.5,49.5,49.5,49.5,49.5,49.5,49.5,49.5,49.5,48.1,48.1,48.1,48.1,48.1,50.5,50.5,50.5,50.5,50.5,57.5,57.5,57.5,57.5,57.5,60.0,60.0,60.0,60.0,60.0,60.2,60.2,60.2,60.2,60.2,57.8,57.8,57.8,57.8,57.8,50.0,50.0,50.0,50.0,50.0,52.5,52.5,52.5,52.5,52.5,54.9,54.9,54.9,54.9,54.9,51.5,51.5,51.5,51.5,51.5,50.0,50.0,50.0,50.0,50.0,55.8,55.8,55.8,55.8,55.8,50.0,50.0,50.0,50.0,50.0,51.9,51.9,51.9,51.9,51.9,58.1,58.1,58.1,58.1,58.1,58.7,58.7,58.7,58.7,58.7,58.5,58.5,58.5,58.5,58.5,54.7,54.7,54.7,54.7,54.7,51.9,51.9,51.9,51.9,51.9,56.3,56.3,56.3,56.3,56.3,55.8,55.8,55.8,55.8,55.8,49.5,49.5,49.5,49.5,49.5,56.7,56.7,56.7,56.7,56.7,53.4,53.4,53.4,53.4,53.4,57.7,57.7,57.7,57.7,57.7,63.1,63.1,63.1,63.1,63.1,61.2,61.2,61.2,61.2,61.2,61.8,61.8,61.8,61.8,61.8,62.7,62.7,62.7,62.7,62.7,61.8,61.8,61.8,61.8,61.8,58.2,58.2,58.2,58.2,58.2,60.6,60.6,60.6,60.6,60.6,58.6,58.6,58.6,58.6,58.6,60.2,60.2,60.2,60.2,60.2,null,null,null,null,null,59.8,59.8,59.8,59.8,59.8,59.6,59.6,59.6,59.6,59.6,58.8,58.8,58.8,58.8,58.8,56.3,56.3,56.3,56.3,56.3,55.9,55.9,55.9,55.9,55.9,51.0,51.0,51.0,51.0,51.0,42.9,42.9,42.9,42.9,42.9,41.7,41.7,41.7,41.7,41.7,47.1,47.1,47.1,47.1,47.1,42.9,42.9,42.9,42.9,42.9,46.1,46.1,46.1,46.1,46.1,46.7,46.7,46.7,46.7,46.7,45.2,45.2,45.2,45.2,45.2,44.6,44.6,44.6,44.6,44.6,49.0,49.0,49.0,49.0,49.0,52.5,52.5,52.5,52.5,52.5,55.9,55.9,55.9,55.9,55.9,56.7,56.7,56.7,56.7,56.7,56.2,56.2,56.2,56.2,56.2,54.3,54.3,54.3,54.3,54.3,52.9,52.9,52.9,52.9,52.9,53.9,53.9,53.9,53.9,53.9,54.4,54.4,54.4,54.4,54.4,52.5,52.5,52.5,52.5,52.5,47.1,47.1,47.1,47.1,47.1,41.6,41.6,41.6,41.6,41.6,47.5,47.5,47.5,47.5,47.5,45.9,45.9,45.9,45.9,45.9,47.3,47.3,47.3,47.3,47.3,45.4,45.4,45.4,45.4,45.4,35.4,35.4,35.4,35.4,35.4,40.2,40.2,40.2,40.2,40.2,39.2,39.2,39.2,39.2,39.2,40.2,40.2,40.2,40.2,40.2,44.3,44.3,44.3,44.3,44.3,47.4,47.4,47.4,47.4,47.4,41.2,41.2,41.2,41.2,41.2,45.4,45.4,45.4,45.4,45.4,43.3,43.3,43.3,43.3,43.3,47.4,47.4,47.4,47.4,47.4,44.4,44.4,44.4,44.4,44.4,39.4,39.4,39.4,39.4,39.4,36.4,36.4,36.4,36.4,36.4,34.7,34.7,34.7,34.7,34.7,26.5,26.5,26.5,26.5,26.5,24.7,24.7,24.7,24.7,24.7,34.0,34.0,34.0,34.0,34.0,29.2,29.2,29.2,29.2,29.2,26.8,26.8,26.8,26.8,26.8,28.6,28.6,28.6,28.6,28.6,34.7,34.7,34.7,34.7,34.7,null,null,null,null,null,36.7,36.7,36.7,36.7,36.7,37.8,37.8,37.8,37.8,37.8,44.9,44.9,44.9,44.9,44.9,41.2,41.2,41.2,41.2,41.2,45.4,45.4,45.4,45.4,45.4,43.3,43.3,43.3,43.3,43.3,45.3,45.3,45.3,45.3,45.3,46.9,46.9,46.9,46.9,46.9,43.7,43.7,43.7,43.7,43.7,37.5,37.5,37.5,37.5,37.5,36.5,36.5,36.5,36.5,36.5,30.2,30.2,30.2,30.2,30.2,24.7,24.7,24.7,24.7,24.7,26.0,26.0,26.0,26.0,26.0,26.8,26.8,26.8,26.8,26.8,25.7,25.7,25.7,25.7,25.7,27.8,27.8,27.8,27.8,27.8,31.6,31.6,31.6,31.6,31.6,37.7,37.7,37.7,37.7,37.7,40.2,40.2,40.2,40.2,40.2,42.2,42.2,42.2,42.2,42.2,43.3,43.3,43.3,43.3,43.3,49.0,49.0,49.0,49.0,49.0,43.7,43.7,43.7,43.7,43.7,44.8,44.8,44.8,44.8,44.8,49.5,49.5,49.5,49.5,49.5,51.6,51.6,51.6,51.6,51.6,45.5,45.5,45.5,45.5,45.5,47.4,47.4,47.4,47.4,47.4,51.5,51.5,51.5,51.5,51.5,48.5,48.5,48.5,48.5,48.5,50.6,50.6,50.6,50.6,50.6,47.5,47.5,47.5,47.5,47.5,52.5,52.5,52.5,52.5,52.5,57.4,57.4,57.4,57.4,57.4,52.5,52.5,52.5,52.5,52.5,50.5,50.5,50.5,50.5,50.5,50.4,50.4,50.4,50.4,50.4,54.5,54.5,54.5,54.5,54.5,56.6,56.6,56.6,56.6,56.6,52.0,52.0,52.0,52.0,52.0,53.6,53.6,53.6,53.6,53.6,58.7,58.7,58.7,58.7,58.7,59.5,59.5,59.5,59.5,59.5,56.6,56.6,56.6,56.6,56.6,52.5,52.5,52.5,52.5,52.5,49.0,49.0,49.0,49.0,49.0,53.1,53.1,53.1,53.1,53.1,49.0,49.0,49.0,49.0,49.0,48.0,48.0,48.0,48.0,48.0,50.5,50.5,50.5,50.5,50.5,56.4,56.4,56.4,56.4,56.4,52.5,52.5,52.5,52.5,52.5,49.5,49.5,49.5,49.5,49.5,51.5,51.5,51.5,51.5,51.5,53.4,53.4,53.4,53.4,53.4,56.5,56.5,56.5,56.5,56.5,56.4,56.4,56.4,56.4,56.4,55.5,55.5,55.5,55.5,55.5,54.6,54.6,54.6,54.6,54.6,47.0,47.0,47.0,47.0,47.0,35.3,35.3,35.3,35.3,35.3,37.8,37.8,37.8,37.8,37.8,45.5,45.5,45.5,45.5,45.5,47.5,47.5,47.5,47.5,47.5,48.0,48.0,48.0,48.0,48.0,52.5,52.5,52.5,52.5,52.5,57.6,57.6,57.6,57.6,57.6,56.1,56.1,56.1,56.1,56.1,52.5,52.5,52.5,52.5,52.5,49.5,49.5,49.5,49.5,49.5,46.4,46.4,46.4,46.4,46.4,50.5,50.5,50.5,50.5,50.5,55.6,55.6,55.6,55.6,55.6,56.5,56.5,56.5,56.5,56.5,56.6,56.6,56.6,56.6,56.6,60.6,60.6,60.6,60.6,60.6,57.6,57.6,57.6,57.6,57.6,60.2,60.2,60.2,60.2,60.2,61.4,61.4,61.4,61.4,61.4,62.6,62.6,62.6,62.6,62.6,62.2,62.2,62.2,62.2,62.2,58.3,58.3,58.3,58.3,58.3,57.2,57.2,57.2,57.2,57.2,55.1,55.1,55.1,55.1,55.1,55.8,55.8,55.8,55.8,55.8,54.7,54.7,54.7,54.7,54.7,51.6,51.6,51.6,51.6,51.6,50.5,50.5,50.5,50.5,50.5,54.6,54.6,54.6,54.6,54.6,50.5,50.5,50.5,50.5,50.5,54.7,54.7,54.7,54.7,54.7,52.0,52.0,52.0,52.0,52.0,55.1,55.1,55.1,55.1,55.1,54.6,54.6,54.6,54.6,54.6,53.5,53.5,53.5,53.5,53.5,46.5,46.5,46.5,46.5,46.5,41.8,41.8,41.8,41.8,41.8,45.9,45.9,45.9,45.9,45.9,53.1,53.1,53.1,53.1,53.1,57.6,57.6,57.6,57.6,57.6,56.1,56.1,56.1,56.1,56.1,60.6,60.6,60.6,60.6,60.6,61.6,61.6,61.6,61.6,61.6,59.6,59.6,59.6,59.6,59.6,58.2,58.2,58.2,58.2,58.2,58.2,58.2,58.2,58.2,58.2,57.1,57.1,57.1,57.1,57.1,55.7,55.7,55.7,55.7,55.7,53.6,53.6,53.6,53.6,53.6,52.6,52.6,52.6,52.6,52.6,55.2,55.2,55.2,55.2,55.2,52.6,52.6,52.6,52.6,52.6,49.5,49.5,49.5,49.5,49.5,42.3,42.3,42.3,42.3,42.3,45.4,45.4,45.4,45.4,45.4,46.4,46.4,46.4,46.4,46.4,44.3,44.3,44.3,44.3,44.3,42.3,42.3,42.3,42.3,42.3,37.1,37.1,37.1,37.1,37.1,37.1,37.1,37.1,37.1,37.1,38.1,38.1,38.1,38.1,38.1,43.3,43.3,43.3,43.3,43.3,47.4,47.4,47.4,47.4,47.4,51.6,51.6,51.6,51.6,51.6,48.4,48.4,48.4,48.4,48.4,51.5,51.5,51.5,51.5,51.5,52.1,52.1,52.1,52.1,52.1,46.9,46.9,46.9,46.9,46.9,43.8,43.8,43.8,43.8,43.8,41.7,41.7,41.7,41.7,41.7,46.8,46.8,46.8,46.8,46.8,43.8,43.8,43.8,43.8,43.8,45.8,45.8,45.8,45.8,45.8,52.1,52.1,52.1,52.1,52.1,55.2,55.2,55.2,55.2,55.2,54.2,54.2,54.2,54.2,54.2,52.1,52.1,52.1,52.1,52.1,47.9,47.9,47.9,47.9,47.9,44.3,44.3,44.3,44.3,44.3,47.4,47.4,47.4,47.4,47.4,50.5,50.5,50.5,50.5,50.5,52.0,52.0,52.0,52.0,52.0,49.5,49.5,49.5,49.5,49.5,47.4,47.4,47.4,47.4,47.4,50.0,50.0,50.0,50.0,50.0,44.2,44.2,44.2,44.2,44.2,46.3,46.3,46.3,46.3,46.3,48.4,48.4,48.4,48.4,48.4,52.6,52.6,52.6,52.6,52.6,54.7,54.7,54.7,54.7,54.7,54.3,54.3,54.3,54.3,54.3,53.2,53.2,53.2,53.2,53.2,53.2,53.2,53.2,53.2,53.2,51.1,51.1,51.1,51.1,51.1,47.8,47.8,47.8,47.8,47.8,48.9,48.9,48.9,48.9,48.9,46.8,46.8,46.8,46.8,46.8,45.7,45.7,45.7,45.7,45.7,43.6,43.6,43.6,43.6,43.6,39.3,39.3,39.3,39.3,39.3,37.2,37.2,37.2,37.2,37.2,38.3,38.3,38.3,38.3,38.3,43.6,43.6,43.6,43.6,43.6,41.5,41.5,41.5,41.5,41.5,41.5,41.5,41.5,41.5,41.5,42.6,42.6,42.6,42.6,42.6,45.7,45.7,45.7,45.7,45.7,46.8,46.8,46.8,46.8,46.8,51.0,51.0,51.0,51.0,51.0,54.2,54.2,54.2,54.2,54.2,51.1,51.1,51.1,51.1,51.1,51.0,51.0,51.0,51.0,51.0,48.9,48.9,48.9,48.9,48.9,47.3,47.3,47.3,47.3,47.3,43.6,43.6,43.6,43.6,43.6,43.6,43.6,43.6,43.6,43.6,39.4,39.4,39.4,39.4,39.4,40.4,40.4,40.4,40.4,40.4,43.6,43.6,43.6,43.6,43.6,44.7,44.7,44.7,44.7,44.7,42.5,42.5,42.5,42.5,42.5,38.7,38.7,38.7,38.7,38.7,37.2,37.2,37.2,37.2,37.2,37.2,37.2,37.2,37.2,37.2,34.0,34.0,34.0,34.0,34.0,39.3,39.3,39.3,39.3,39.3,38.3,38.3,38.3,38.3,38.3,39.4,39.4,39.4,39.4,39.4,38.7,38.7,38.7,38.7,38.7,43.0,43.0,43.0,43.0,43.0,41.9,41.9,41.9,41.9,41.9,44.1,44.1,44.1,44.1,44.1,48.4,48.4,48.4,48.4,48.4,52.7,52.7,52.7,52.7,52.7,50.5,50.5,50.5,50.5,50.5,48.4,48.4,48.4,48.4,48.4,43.6,43.6,43.6,43.6,43.6,47.9,47.9,47.9,47.9,47.9,51.1,51.1,51.1,51.1,51.1,51.1,51.1,51.1,51.1,51.1,54.8,54.8,54.8,54.8,54.8,52.1,52.1,52.1,52.1,52.1,48.9,48.9,48.9,48.9,48.9,50.0,50.0,50.0,50.0,50.0,60.0,60.0,60.0,60.0,60.0,51.1,51.1,51.1,51.1,51.1,49.5,49.5,49.5,49.5,49.5,50.5,50.5,50.5,50.5,50.5,48.4,48.4,48.4,48.4,48.4,45.3,45.3,45.3,45.3,45.3,47.4,47.4,47.4,47.4,47.4,44.2,44.2,44.2,44.2,44.2,47.4,47.4,47.4,47.4,47.4,47.4,47.4,47.4,47.4,47.4,44.2,44.2,44.2,44.2,44.2,43.2,43.2,43.2,43.2,43.2,40.0,40.0,40.0,40.0,40.0,35.8,35.8,35.8,35.8,35.8,34.4,34.4,34.4,34.4,34.4,34.4,34.4,34.4,34.4,34.4,37.6,37.6,37.6,37.6,37.6,37.6,37.6,37.6,37.6,37.6,35.5,35.5,35.5,35.5,35.5,38.7,38.7,38.7,38.7,38.7,40.9,40.9,40.9,40.9,40.9,40.9,40.9,40.9,40.9,40.9,46.2,46.2,46.2,46.2,46.2,47.3,47.3,47.3,47.3,47.3,46.3,46.3,46.3,46.3,46.3,49.5,49.5,49.5,49.5,49.5,46.2,46.2,46.2,46.2,46.2,44.1,44.1,44.1,44.1,44.1,40.9,40.9,40.9,40.9,40.9,39.8,39.8,39.8,39.8,39.8,37.6,37.6,37.6,37.6,37.6,37.0,37.0,37.0,37.0,37.0,40.9,40.9,40.9,40.9,40.9,45.2,45.2,45.2,45.2,45.2,43.0,43.0,43.0,43.0,43.0,45.6,45.6,45.6,45.6,45.6,51.1,51.1,51.1,51.1,51.1,54.9,54.9,54.9,54.9,54.9,54.3,54.3,54.3,54.3,54.3,54.2,54.2,54.2,54.2,54.2,55.4,55.4,55.4,55.4,55.4,57.3,57.3,57.3,57.3,57.3,51.6,51.6,51.6,51.6,51.6,50.6,50.6,50.6,50.6,50.6,52.2,52.2,52.2,52.2,52.2,52.2,52.2,52.2,52.2,52.2,50.6,50.6,50.6,50.6,50.6,53.3,53.3,53.3,53.3,53.3,52.2,52.2,52.2,52.2,52.2,53.4,53.4,53.4,53.4,53.4,52.7,52.7,52.7,52.7,52.7,55.1,55.1,55.1,55.1,55.1,56.0,56.0,56.0,56.0,56.0,57.3,57.3,57.3,57.3,57.3,54.5,54.5,54.5,54.5,54.5,55.6,55.6,55.6,55.6,55.6,58.8,58.8,58.8,58.8,58.8,56.8,56.8,56.8,56.8,56.8,56.2,56.2,56.2,56.2,56.2,55.4,55.4,55.4,55.4,55.4,55.7,55.7,55.7,55.7,55.7,56.2,56.2,56.2,56.2,56.2,48.4,48.4,48.4,48.4,48.4,46.7,46.7,46.7,46.7,46.7,45.6,45.6,45.6,45.6,45.6,45.1,45.1,45.1,45.1,45.1,47.2,47.2,47.2,47.2,47.2,45.6,45.6,45.6,45.6,45.6,43.3,43.3,43.3,43.3,43.3,41.4,41.4,41.4,41.4,41.4,36.7,36.7,36.7,36.7,36.7,33.3,33.3,33.3,33.3,33.3,29.4,29.4,29.4,29.4,29.4,33.3,33.3,33.3,33.3,33.3,36.7,36.7,36.7,36.7,36.7,41.7,41.7,41.7,41.7,41.7,38.9,38.9,38.9,38.9,38.9,38.2,38.2,38.2,38.2,38.2,35.6,35.6,35.6,35.6,35.6,32.6,32.6,32.6,32.6,32.6,37.0,37.0,37.0,37.0,37.0,41.1,41.1,41.1,41.1,41.1,41.1,41.1,41.1,41.1,41.1,37.0,37.0,37.0,37.0,37.0,38.5,38.5,38.5,38.5,38.5,39.8,39.8,39.8,39.8,39.8,39.3,39.3,39.3,39.3,39.3,43.8,43.8,43.8,43.8,43.8,47.2,47.2,47.2,47.2,47.2,56.0,56.0,56.0,56.0,56.0,54.0,54.0,54.0,54.0,54.0,53.3,53.3,53.3,53.3,53.3,51.1,51.1,51.1,51.1,51.1,48.9,48.9,48.9,48.9,48.9,48.3,48.3,48.3,48.3,48.3,48.9,48.9,48.9,48.9,48.9,46.1,46.1,46.1,46.1,46.1,44.9,44.9,44.9,44.9,44.9,42.1,42.1,42.1,42.1,42.1,41.1,41.1,41.1,41.1,41.1,35.6,35.6,35.6,35.6,35.6,34.1,34.1,34.1,34.1,34.1,38.9,38.9,38.9,38.9,38.9,40.0,40.0,40.0,40.0,40.0,52.2,52.2,52.2,52.2,52.2,53.4,53.4,53.4,53.4,53.4,48.3,48.3,48.3,48.3,48.3,51.1,51.1,51.1,51.1,51.1,52.2,52.2,52.2,52.2,52.2,52.2,52.2,52.2,52.2,52.2,48.4,48.4,48.4,48.4,48.4,50.0,50.0,50.0,50.0,50.0,50.6,50.6,50.6,50.6,50.6,46.1,46.1,46.1,46.1,46.1,44.4,44.4,44.4,44.4,44.4,48.3,48.3,48.3,48.3,48.3,48.3,48.3,48.3,48.3,48.3,49.5,49.5,49.5,49.5,49.5,47.2,47.2,47.2,47.2,47.2,48.9,48.9,48.9,48.9,48.9,50.6,50.6,50.6,50.6,50.6,46.7,46.7,46.7,46.7,46.7,47.8,47.8,47.8,47.8,47.8,48.3,48.3,48.3,48.3,48.3,50.6,50.6,50.6,50.6,50.6,51.6,51.6,51.6,51.6,51.6,48.3,48.3,48.3,48.3,48.3,49.4,49.4,49.4,49.4,49.4,47.2,47.2,47.2,47.2,47.2,42.2,42.2,42.2,42.2,42.2,36.7,36.7,36.7,36.7,36.7,35.6,35.6,35.6,35.6,35.6,42.7,42.7,42.7,42.7,42.7,41.4,41.4,41.4,41.4,41.4,43.6,43.6,43.6,43.6,43.6,44.8,44.8,44.8,44.8,44.8,47.7,47.7,47.7,47.7,47.7,42.5,42.5,42.5,42.5,42.5,40.9,40.9,40.9,40.9,40.9,40.7,40.7,40.7,40.7,40.7,41.0,41.0,41.0,41.0,41.0,40.4,40.4,40.4,40.4,40.4,36.0,36.0,36.0,36.0,36.0,39.1,39.1,39.1,39.1,39.1,43.2,43.2,43.2,43.2,43.2,36.0,36.0,36.0,36.0,36.0,31.0,31.0,31.0,31.0,31.0,28.9,28.9,28.9,28.9,28.9,28.4,28.4,28.4,28.4,28.4,26.4,26.4,26.4,26.4,26.4,29.7,29.7,29.7,29.7,29.7,28.6,28.6,28.6,28.6,28.6,31.1,31.1,31.1,31.1,31.1,32.3,32.3,32.3,32.3,32.3,35.2,35.2,35.2,35.2,35.2,34.8,34.8,34.8,34.8,34.8,38.7,38.7,38.7,38.7,38.7,43.0,43.0,43.0,43.0,43.0,41.8,41.8,41.8,41.8,41.8,38.5,38.5,38.5,38.5,38.5,35.1,35.1,35.1,35.1,35.1,26.9,26.9,26.9,26.9,26.9,25.3,25.3,25.3,25.3,25.3,23.1,23.1,23.1,23.1,23.1,29.0,29.0,29.0,29.0,29.0,30.9,30.9,30.9,30.9,30.9,31.9,31.9,31.9,31.9,31.9,30.3,30.3,30.3,30.3,30.3,23.1,23.1,23.1,23.1,23.1,22.2,22.2,22.2,22.2,22.2,22.4,22.4,22.4,22.4,22.4,25.3,25.3,25.3,25.3,25.3,33.7,33.7,33.7,33.7,33.7,37.5,37.5,37.5,37.5,37.5,37.9,37.9,37.9,37.9,37.9,38.2,38.2,38.2,38.2,38.2,37.8,37.8,37.8,37.8,37.8,39.3,39.3,39.3,39.3,39.3,40.7,40.7,40.7,40.7,40.7,31.8,31.8,31.8,31.8,31.8,34.0,34.0,34.0,34.0,34.0,30.0,30.0,30.0,30.0,30.0,29.2,29.2,29.2,29.2,29.2,27.8,27.8,27.8,27.8,27.8,27.4,27.4,27.4,27.4,27.4,31.9,31.9,31.9,31.9,31.9,33.7,33.7,33.7,33.7,33.7,36.3,36.3,36.3,36.3,36.3,43.0,43.0,43.0,43.0,43.0,44.8,44.8,44.8,44.8,44.8,37.9,37.9,37.9,37.9,37.9,47.3,47.3,47.3,47.3,47.3,46.0,46.0,46.0,46.0,46.0,44.4,44.4,44.4,44.4,44.4,40.9,40.9,40.9,40.9,40.9,39.1,39.1,39.1,39.1,39.1,37.8,37.8,37.8,37.8,37.8,37.4,37.4,37.4,37.4,37.4,36.4,36.4,36.4,36.4,36.4,36.7,36.7,36.7,36.7,36.7,30.9,30.9,30.9,30.9,30.9,31.1,31.1,31.1,31.1,31.1,41.9,41.9,41.9,41.9,41.9,42.0,42.0,42.0,42.0,42.0,41.6,41.6,41.6,41.6,41.6,36.7,36.7,36.7,36.7,36.7,41.6,41.6,41.6,41.6,41.6,40.2,40.2,40.2,40.2,40.2,41.6,41.6,41.6,41.6,41.6,45.6,45.6,45.6,45.6,45.6,48.4,48.4,48.4,48.4,48.4,52.2,52.2,52.2,52.2,52.2,54.9,54.9,54.9,54.9,54.9,56.5,56.5,56.5,56.5,56.5,53.3,53.3,53.3,53.3,53.3,49.4,49.4,49.4,49.4,49.4,47.3,47.3,47.3,47.3,47.3,47.9,47.9,47.9,47.9,47.9,51.1,51.1,51.1,51.1,51.1,54.5,54.5,54.5,54.5,54.5,53.8,53.8,53.8,53.8,53.8,56.5,56.5,56.5,56.5,56.5,62.0,62.0,62.0,62.0,62.0,60.2,60.2,60.2,60.2,60.2,56.5,56.5,56.5,56.5,56.5,55.6,55.6,55.6,55.6,55.6,53.9,53.9,53.9,53.9,53.9,48.3,48.3,48.3,48.3,48.3,42.9,42.9,42.9,42.9,42.9,41.7,41.7,41.7,41.7,41.7,40.6,40.6,40.6,40.6,40.6,43.8,43.8,43.8,43.8,43.8,43.8,43.8,43.8,43.8,43.8,47.2,47.2,47.2,47.2,47.2,53.9,53.9,53.9,53.9,53.9,52.3,52.3,52.3,52.3,52.3,49.5,49.5,49.5,49.5,49.5,49.4,49.4,49.4,49.4,49.4,53.8,53.8,53.8,53.8,53.8,53.3,53.3,53.3,53.3,53.3,56.7,56.7,56.7,56.7,56.7,52.2,52.2,52.2,52.2,52.2,53.8,53.8,53.8,53.8,53.8,54.3,54.3,54.3,54.3,54.3,54.3,54.3,54.3,54.3,54.3,53.3,53.3,53.3,53.3,53.3,51.7,51.7,51.7,51.7,51.7,51.1,51.1,51.1,51.1,51.1,52.7,52.7,52.7,52.7,52.7,49.5,49.5,49.5,49.5,49.5,50.6,50.6,50.6,50.6,50.6,48.4,48.4,48.4,48.4,48.4,46.6,46.6,46.6,46.6,46.6,45.5,45.5,45.5,45.5,45.5,46.2,46.2,46.2,46.2,46.2,50.5,50.5,50.5,50.5,50.5,50.0,50.0,50.0,50.0,50.0,51.1,51.1,51.1,51.1,51.1,52.2,52.2,52.2,52.2,52.2,53.3,53.3,53.3,53.3,53.3,52.7,52.7,52.7,52.7,52.7,50.5,50.5,50.5,50.5,50.5,55.4,55.4,55.4,55.4,55.4,55.3,55.3,55.3,55.3,55.3,56.5,56.5,56.5,56.5,56.5,58.8,58.8,58.8,58.8,58.8,59.6,59.6,59.6,59.6,59.6,59.8,59.8,59.8,59.8,59.8,57.5,57.5,57.5,57.5,57.5,58.5,58.5,58.5,58.5,58.5,56.4,56.4,56.4,56.4,56.4,52.1,52.1,52.1,52.1,52.1,53.7,53.7,53.7,53.7,53.7,52.7,52.7,52.7,52.7,52.7,52.2,52.2,52.2,52.2,52.2,52.2,52.2,52.2,52.2,52.2,49.5,49.5,49.5,49.5,49.5,47.4,47.4,47.4,47.4,47.4,47.4,47.4,47.4,47.4,47.4,45.8,45.8,45.8,45.8,45.8,43.2,43.2,43.2,43.2,43.2,42.1,42.1,42.1,42.1,42.1,40.0,40.0,40.0,40.0,40.0,40.9,40.9,40.9,40.9,40.9,40.2,40.2,40.2,40.2,40.2,41.5,41.5,41.5,41.5,41.5,42.2,42.2,42.2,42.2,42.2,42.1,42.1,42.1,42.1,42.1,42.2,42.2,42.2,42.2,42.2,38.7,38.7,38.7,38.7,38.7,37.4,37.4,37.4,37.4,37.4,35.6,35.6,35.6,35.6,35.6,38.7,38.7,38.7,38.7,38.7,40.2,40.2,40.2,40.2,40.2,42.6,42.6,42.6,42.6,42.6,43.8,43.8,43.8,43.8,43.8,46.3,46.3,46.3,46.3,46.3,44.3,44.3,44.3,44.3,44.3,43.9,43.9,43.9,43.9,43.9,45.4,45.4,45.4,45.4,45.4,48.0,48.0,48.0,48.0,48.0,53.2,53.2,53.2,53.2,53.2,49.5,49.5,49.5,49.5,49.5,46.7,46.7,46.7,46.7,46.7,46.3,46.3,46.3,46.3,46.3,42.3,42.3,42.3,42.3,42.3,42.7,42.7,42.7,42.7,42.7,42.6,42.6,42.6,42.6,42.6,45.3,45.3,45.3,45.3,45.3,48.9,48.9,48.9,48.9,48.9,51.6,51.6,51.6,51.6,51.6,52.6,52.6,52.6,52.6,52.6,53.7,53.7,53.7,53.7,53.7,57.3,57.3,57.3,57.3,57.3,56.8,56.8,56.8,56.8,56.8,55.7,55.7,55.7,55.7,55.7,60.4,60.4,60.4,60.4,60.4,55.0,55.0,55.0,55.0,55.0,58.8,58.8,58.8,58.8,58.8,56.2,56.2,56.2,56.2,56.2,55.8,55.8,55.8,55.8,55.8,53.6,53.6,53.6,53.6,53.6,53.1,53.1,53.1,53.1,53.1,50.6,50.6,50.6,50.6,50.6,46.4,46.4,46.4,46.4,46.4,44.8,44.8,44.8,44.8,44.8,45.3,45.3,45.3,45.3,45.3,45.8,45.8,45.8,45.8,45.8,49.5,49.5,49.5,49.5,49.5,53.2,53.2,53.2,53.2,53.2,54.3,54.3,54.3,54.3,54.3,53.2,53.2,53.2,53.2,53.2,52.1,52.1,52.1,52.1,52.1,51.1,51.1,51.1,51.1,51.1,56.8,56.8,56.8,56.8,56.8,57.3,57.3,57.3,57.3,57.3,59.1,59.1,59.1,59.1,59.1,57.3,57.3,57.3,57.3,57.3,55.9,55.9,55.9,55.9,55.9,52.7,52.7,52.7,52.7,52.7,54.5,54.5,54.5,54.5,54.5,53.9,53.9,53.9,53.9,53.9,55.1,55.1,55.1,55.1,55.1,53.9,53.9,53.9,53.9,53.9,52.7,52.7,52.7,52.7,52.7,50.6,50.6,50.6,50.6,50.6,47.8,47.8,47.8,47.8,47.8,46.7,46.7,46.7,46.7,46.7,46.2,46.2,46.2,46.2,46.2,46.2,46.2,46.2,46.2,46.2,43.5,43.5,43.5,43.5,43.5,44.0,44.0,44.0,44.0,44.0,48.4,48.4,48.4,48.4,48.4,46.2,46.2,46.2,46.2,46.2,47.9,47.9,47.9,47.9,47.9,51.6,51.6,51.6,51.6,51.6,53.6,53.6,53.6,53.6,53.6,54.5,54.5,54.5,54.5,54.5,55.7,55.7,55.7,55.7,55.7,54.7,54.7,54.7,54.7,54.7,54.1,54.1,54.1,54.1,54.1,56.6,56.6,56.6,56.6,56.6,54.6,54.6,54.6,54.6,54.6,54.5,54.5,54.5,54.5,54.5,56.0,56.0,56.0,56.0,56.0,55.9,55.9,55.9,55.9,55.9,59.4,59.4,59.4,59.4,59.4,62.9,62.9,62.9,62.9,62.9,62.9,62.9,62.9,62.9,62.9,61.2,61.2,61.2,61.2,61.2,62.1,62.1,62.1,62.1,62.1,60.8,60.8,60.8,60.8,60.8,57.3,57.3,57.3,57.3,57.3,57.1,57.1,57.1,57.1,57.1,58.2,58.2,58.2,58.2,58.2,58.1,58.1,58.1,58.1,58.1,57.0,57.0,57.0,57.0,57.0,56.4,56.4,56.4,56.4,56.4,58.9,58.9,58.9,58.9,58.9,54.1,54.1,54.1,54.1,54.1,52.6,52.6,52.6,52.6,52.6,51.0,51.0,51.0,51.0,51.0,50.0,50.0,50.0,50.0,50.0,50.0,50.0,50.0,50.0,50.0,45.9,45.9,45.9,45.9,45.9,43.6,43.6,43.6,43.6,43.6,39.6],"SP50^FMA_COS_UP(\"EPS\",\"1M\",+1,0,-7AY,,\"PORTAGG\",\"MEANR\")/(FMA_COS_UP(\"EPS\",\"1M\",+1,0,-7AY,,\"PORTAGG\",\"MEANR\")+FMA_COS_DOWN(\"EPS\",\"1M\",+1,0,-7AY,,\"PORTAGG\",\"MEANR\"))":[0.585746102449889,0.585746102449889,0.58351409978308,0.589130434782609,0.581140350877193,0.581497797356828,0.586283185840708,0.573913043478261,0.566739606126915,0.563318777292576,0.554083885209713,0.542600896860987,0.544642857142857,0.522935779816514,0.505910165484634,0.5,0.48792270531401,0.473300970873786,0.452322738386308,0.448019801980198,0.45771144278607,0.448717948717949,0.454780361757106,0.457446808510638,0.449864498644986,0.46505376344086,0.448648648648649,0.434426229508197,0.447293447293447,0.441926345609065,0.449275362318841,0.461764705882353,0.43343653250774,0.444099378881988,0.4375,0.440251572327044,0.470059880239521,0.471471471471471,0.46749226006192,0.488958990536278,0.490384615384615,0.493939393939394,0.515151515151515,0.517350157728707,0.533980582524272,0.546875,0.543130990415335,0.539432176656151,0.522435897435897,0.521035598705502,0.542772861356932,0.558739255014327,0.573065902578797,0.573913043478261,0.569364161849711,0.583979328165375,0.579220779220779,0.590452261306533,0.587341772151899,0.613583138173302,0.611494252873563,0.609480812641084,0.610859728506787,0.613636363636364,0.621076233183857,0.625850340136054,0.609865470852018,0.602222222222222,0.606666666666667,0.595604395604396,0.590308370044053,0.580931263858093,0.574944071588367,0.566893424036281,0.565610859728507,0.549883990719258,0.518604651162791,0.519138755980861,0.513253012048193,0.508313539192399,0.484107579462103,0.476426799007444,0.463104325699746,0.465648854961832,0.469543147208122,0.475452196382429,0.474934036939314,0.489130434782609,0.483425414364641,0.493224932249323,0.50408719346049,0.497237569060773,0.508571428571429,0.513196480938416,0.511299435028249,0.512893982808023,0.511695906432749,0.513595166163142,0.511041009463722,0.484756097560976,0.491017964071856,0.497005988023952,0.489855072463768,0.494318181818182,0.482093663911846,0.477900552486188,0.479338842975207,0.477401129943503,0.469101123595506,0.48780487804878,0.496,0.511936339522546,0.506493506493506,0.501278772378517,0.491271820448878,0.477722772277228,0.482926829268293,0.489051094890511,0.485645933014354,0.725373134328358,0.734042553191489,0.731707317073171,0.736986301369863,0.728155339805825,0.73396674584323,0.725728155339806,0.732673267326733,0.712296983758701,0.702078521939954,0.69392523364486,0.684834123222749,0.688249400479616,0.68384074941452,0.676959619952494,0.657894736842105,0.640586797066015,0.622222222222222,0.630272952853598,0.638613861386139,0.614427860696517,0.6,0.587012987012987,0.58311345646438,0.595744680851064,0.579088471849866,0.573369565217391,0.565459610027855,0.575842696629214,0.571030640668524,0.561253561253561,0.554597701149425,0.546511627906977,0.538011695906433,0.53314121037464,0.530973451327434,0.51702786377709,0.538699690402477,0.517571884984026,0.488673139158576,0.490066225165563,0.510204081632653,0.513698630136986,0.513422818791946,0.513157894736842,0.524271844660194,0.528846153846154,0.517133956386293,0.512578616352201,0.520634920634921,0.524242424242424,0.527272727272727,0.529051987767584,0.533333333333333,0.545454545454545,0.569767441860465,0.57183908045977,0.58600583090379,0.586206896551724,0.587896253602305,0.597911227154047,0.585677749360614,0.595588235294118,0.598503740648379,0.602015113350126,0.618721461187215,0.623873873873874,0.623024830699774,0.625,0.629385964912281,0.628571428571429,0.62882096069869,0.62800875273523,0.62800875273523,0.617710583153348,0.610869565217391,0.605664488017429,0.597802197802198,0.583518930957684,0.563876651982379,0.530066815144766,0.502272727272727,0.493023255813954,0.470449172576832,0.476851851851852,0.457547169811321,0.432367149758454,0.41421568627451,0.401002506265664,0.404522613065327,0.411167512690355,0.402564102564103,0.39686684073107,0.393617021276596,0.393530997304582,0.404891304347826,0.405994550408719,0.415730337078652,0.425287356321839,0.449152542372881,0.448571428571429,0.454022988505747,0.442196531791907,0.464071856287425,0.476331360946746,0.48780487804878,0.48948948948949,0.493939393939394,0.490853658536585,0.518181818181818,0.508982035928144,0.513353115727003,0.516417910447761,0.516516516516517,0.519402985074627,0.54434250764526,0.544615384615385,0.544303797468354,0.542207792207792,0.540298507462687,0.540540540540541,0.551428571428571,0.557471264367816,0.564432989690722,0.579081632653061,0.588972431077694,0.592875318066158,0.589285714285714,0.609977324263039,0.600886917960089,0.607142857142857,0.610738255033557,0.609480812641084,0.612691466083151,0.609170305676856,0.607456140350877,0.608315098468271,0.605263157894737,0.603896103896104,0.596949891067538,0.596949891067538,0.593406593406593,0.584070796460177,0.576158940397351,0.574610244988864,0.559819413092551,0.542141230068337,0.527777777777778,0.53810623556582,0.515294117647059,0.503614457831325,0.490243902439024,0.480295566502463,0.472019464720195,0.470443349753695,0.478908188585608,0.473417721518987,0.462337662337662,0.468586387434555,0.450549450549451,0.446866485013624,0.453551912568306,0.462603878116344,0.483050847457627,0.491428571428571,0.502923976608187,0.487031700288184,0.482954545454545,0.478753541076487,0.488636363636364,0.498559077809798,0.494047619047619,0.495601173020528,0.511764705882353,0.507374631268437,0.502994011976048,0.5,0.510086455331412,0.54,0.538011695906433,0.552147239263804,0.543909348441926,0.551428571428571,0.549019607843137,0.551136363636364,0.553977272727273,0.568922305764411,0.574257425742574,0.580246913580247,0.58,0.601830663615561,0.603174603174603,0.604966139954853,0.597315436241611,0.598654708520179,0.586206896551724,0.584221748400853,0.587096774193548,0.587982832618026,0.584051724137931,0.567685589519651,0.561946902654867,0.559734513274336,0.545253863134658,0.54,0.547085201793722,0.532879818594104,0.513888888888889,0.505800464037123,0.492924528301887,0.5,0.484705882352941,0.439320388349515,0.420792079207921,0.419191919191919,0.43,0.426020408163265,0.420779220779221,0.402631578947368,0.39142091152815,0.393700787401575,0.402666666666667,0.390835579514825,0.406593406593407,0.417366946778712,0.425770308123249,0.427777777777778,0.440579710144928,0.454545454545455,0.460869565217391,0.457227138643068,0.452380952380952,0.449848024316109,0.449101796407186,0.454545454545455,0.480712166172107,0.450746268656716,0.449275362318841,0.46242774566474,0.468208092485549,0.467605633802817,0.463888888888889,0.465753424657534,0.456284153005464,0.461538461538462,0.438172043010753,0.438502673796791,0.427440633245383,0.424552429667519,0.42997542997543,0.413875598086124,0.430260047281324,0.681818181818182,0.689458689458689,0.686131386861314,0.684085510688836,0.675480769230769,0.67156862745098,0.650943396226415,0.634433962264151,0.611111111111111,0.60774818401937,0.599022004889976,0.598591549295775,0.592417061611374,0.577294685990338,0.558024691358025,0.546134663341646,0.535626535626536,0.528117359413203,0.5125,0.508905852417303,0.478835978835979,0.48936170212766,0.493297587131367,0.472375690607735,0.472067039106145,0.466666666666667,0.469101123595506,0.451149425287356,0.450581395348837,0.430722891566265,0.428125,0.43312101910828,0.434920634920635,0.428104575163399,0.443333333333333,0.466666666666667,0.46843853820598,0.485049833887043,0.483221476510067,0.470383275261324,0.470383275261324,0.482758620689655,0.479452054794521,0.491582491582492,0.491582491582492,0.496688741721854,0.487012987012987,0.491749174917492,0.5,0.506410256410256,0.516025641025641,0.5125,0.515923566878981,0.518987341772152,0.518292682926829,0.513846153846154,0.526645768025078,0.525,0.512893982808023,0.515406162464986,0.498644986449864,0.504,0.510695187165775,0.521028037383178,0.521939953810624,0.519721577726218,0.517482517482518,0.519911504424779,0.504504504504504,0.495515695067265,0.490950226244344,0.489749430523918,0.480898876404494,0.475446428571429,0.456375838926175,0.457399103139013,0.453932584269663,0.44273127753304,0.42152466367713,0.40990990990991,0.394977168949772,0.37962962962963,0.364896073903002,0.36104513064133,0.339759036144578,0.308641975308642,0.283582089552239,0.292079207920792,0.28030303030303,0.271317829457364,0.265984654731458,0.264397905759162,0.257731958762887,0.246684350132626,0.255376344086022,0.277628032345013,0.289617486338798,0.310734463276836,0.352238805970149,0.36280487804878,0.369230769230769,0.38125,0.391304347826087,0.442367601246106,0.437299035369775,0.441860465116279,0.446735395189003,0.474916387959866,0.481727574750831,0.493377483443709,0.489864864864865,0.486301369863014,0.521035598705502,0.53525641025641,0.546623794212219,0.53921568627451,0.534883720930233,0.560606060606061,0.574018126888218,0.586309523809524,0.576576576576577,0.590909090909091,0.575129533678757,0.589285714285714,0.58974358974359,0.5859375,0.576112412177986,0.570114942528736,0.56221198156682,0.560919540229885,0.555035128805621,0.548098434004474,0.532150776053215,0.519736842105263,0.512087912087912,0.509933774834437,0.485838779956427,0.48695652173913,0.468950749464668,0.468817204301075,0.463203463203463,0.45021645021645,0.445414847161572,0.436241610738255,0.416666666666667,0.399092970521542,0.380090497737557,0.369020501138952,0.352803738317757,0.322274881516588,0.302158273381295,0.306413301662708,0.301435406698565,0.289855072463768,0.309927360774818,0.298994974874372,0.293233082706767,0.312020460358056,0.297709923664122,0.305263157894737,0.300531914893617,0.30939226519337,0.328611898016997,0.34593023255814,0.36036036036036,0.391812865497076,0.420749279538905,0.42816091954023,0.451327433628319,0.462462462462462,0.488165680473373,0.492401215805471,0.489425981873112,0.498452012383901,0.518292682926829,0.510574018126888,0.510574018126888,0.509316770186335,0.506211180124224,0.505714285714286,0.515580736543909,0.539106145251397,0.535612535612536,0.534682080924855,0.55440414507772,0.571788413098237,0.564356435643564,0.5625,0.61520190023753,0.635730858468677,0.6289592760181,0.63431151241535,0.635535307517084,0.64,0.630044843049327,0.636363636363636,0.63956043956044,0.642384105960265,0.634955752212389,0.629464285714286,0.630872483221476,0.624444444444444,0.618834080717489,0.604444444444444,0.595454545454545,0.593533487297921,0.560747663551402,0.556603773584906,0.532407407407407,0.52,0.473429951690821,0.444717444717445,0.4325,0.413965087281795,0.442786069651741,0.428571428571429,0.424936386768448,0.421188630490956,0.394805194805195,0.390052356020942,0.393048128342246,0.392857142857143,0.397368421052632,0.413513513513514,0.422343324250681,0.418282548476454,0.421203438395415,0.418032786885246,0.433962264150943,0.445983379501385,0.435897435897436,0.424068767908309,0.430594900849858,0.434659090909091,0.464788732394366,0.472067039106145,0.48169014084507,0.484149855907781,0.502873563218391,0.486111111111111,0.502762430939227,0.508196721311475,0.517808219178082,0.539893617021277,0.54353562005277,0.541333333333333,0.542105263157895,0.541884816753927,0.566326530612245,0.579207920792079,0.579710144927536,0.754545454545455,0.753117206982544,0.75615763546798,0.753180661577608,0.748051948051948,0.748792270531401,0.742788461538462,0.728179551122195,0.725190839694656,0.717616580310881,0.718592964824121,0.703324808184143,0.688144329896907,0.677083333333333,0.668435013262599,0.673521850899743,0.673469387755102,0.637795275590551,0.635869565217391,0.632596685082873,0.637640449438202,0.635057471264368,0.624633431085044,0.6,0.579268292682927,0.584097859327217,0.58307210031348,0.574193548387097,0.583333333333333,0.564935064935065,0.559870550161812,0.574675324675325,0.59,0.587628865979381,0.575438596491228,0.550173010380623,0.561594202898551,0.546511627906977,0.545454545454545,0.611721611721612,0.606060606060606,0.612167300380228,0.605839416058394,0.608058608058608,0.613475177304965,0.615120274914089,0.608108108108108,0.597972972972973,0.612179487179487,0.619808306709265,0.638977635782748,0.652597402597403,0.662295081967213,0.653721682847896,0.661290322580645,0.650641025641026,0.667721518987342,0.671974522292994,0.699421965317919,0.716292134831461,0.701369863013699,0.710875331564987,0.717741935483871,0.732101616628176,0.736363636363636,0.734553775743707,0.730414746543779,0.741721854304636,0.734649122807018,0.733624454148472,0.729257641921397,0.728070175438597,0.718614718614719,0.711496746203905,0.706521739130435,0.705882352941177,0.702407002188184,0.690631808278867,0.686936936936937,0.665127020785219,0.648584905660377,0.637469586374696,0.631067961165049,0.607843137254902,0.582278481012658,0.564304461942257,0.558823529411765,0.556135770234987,0.563968668407311,0.556451612903226,0.537433155080214,0.51219512195122,0.506631299734748,0.506887052341598,0.514044943820225,0.515580736543909,0.523529411764706,0.545977011494253,0.557184750733138,0.547826086956522,0.544378698224852,0.540372670807453,0.548286604361371,0.570977917981073,0.608974358974359,0.60797342192691,0.610921501706485,0.590163934426229,0.590163934426229,0.586319218241042,0.589225589225589,0.593220338983051,0.632075471698113,0.627009646302251,0.653846153846154,0.655844155844156,0.65016501650165,0.688271604938272,0.694704049844237,0.700305810397553,0.703703703703704,0.770491803278688,0.772727272727273,0.790697674418605,0.786458333333333,0.789473684210526,0.814988290398126,0.820276497695853,0.825688073394495,0.825287356321839,0.822170900692841,0.835164835164835,0.836244541484716,0.837004405286344,0.83370288248337,0.832962138084632,0.827133479212254,0.814814814814815,0.821192052980132,0.824053452115813,0.821826280623608,0.827354260089686,0.812917594654788,0.807339449541284,0.80607476635514,0.800475059382423,0.814726840855107,0.816867469879518,0.796992481203007,0.776381909547739,0.776923076923077,0.771794871794872,0.765625,0.757180156657963,0.762532981530343,0.759358288770054,0.745308310991957,0.757412398921833,0.745257452574526,0.736263736263736,0.742296918767507,0.73109243697479,0.730659025787966,0.724340175953079,0.741279069767442,0.748538011695906,0.753709198813056,0.752238805970149,0.74702380952381,0.74390243902439,0.750716332378224,0.75,0.756598240469208,0.765957446808511,0.767801857585139,0.773255813953488,0.773255813953488,0.784702549575071,0.78448275862069,0.789473684210526,0.780898876404494,0.775,0.78236914600551,0.782122905027933,0.789915966386555,0.802030456852792,0.795511221945137,0.805486284289277,0.807594936708861,0.80622009569378,0.81986143187067,0.815489749430524,0.81981981981982,0.816742081447964,0.821978021978022,0.821350762527233,0.825431034482759,0.83010752688172,0.829741379310345,0.817987152034261,0.811965811965812,0.817596566523605,0.810344827586207,0.811816192560175,0.800438596491228,0.792035398230089,0.790909090909091,0.783410138248848,0.767058823529412,0.768321513002364,0.750593824228028,0.740831295843521,0.732323232323232,0.717557251908397,0.7025,0.702020202020202,0.70360824742268,0.686528497409326,0.681347150259067,0.676923076923077,0.680628272251309,0.682926829268293,0.676795580110497,0.659154929577465,0.680555555555556,0.677966101694915,0.671348314606742,0.670520231213873,0.676384839650146,0.635854341736695,0.635854341736695,0.640804597701149,0.640718562874252,0.638036809815951,0.612612612612613,0.577380952380952,0.568513119533528,0.58,0.596491228070175,0.582352941176471,0.581395348837209,0.587392550143267,0.569405099150142,0.575498575498576,0.576502732240437,0.576407506702413,0.571428571428571,0.574803149606299,0.593830334190231,0.603535353535353,0.5925,0.599508599508599,0.608591885441527,0.793269230769231,0.792941176470588,0.789346246973366,0.794044665012407,0.784615384615385,0.778301886792453,0.773584905660377,0.783132530120482,0.779951100244499,0.780141843971631,0.772511848341232,0.762836185819071,0.7475,0.747474747474748,0.741935483870968,0.725190839694656,0.72987012987013,0.723404255319149,0.716981132075472,0.728,0.715447154471545,0.707520891364902,0.684813753581662,0.68695652173913,0.689855072463768,0.694117647058824,0.6996996996997,0.705521472392638,0.70516717325228,0.70125786163522,0.6875,0.666666666666667,0.674576271186441,0.700325732899023,0.693069306930693,0.720136518771331,0.72027972027972,0.72962962962963,0.731292517006803,0.725694444444444,0.73489932885906,0.73489932885906,0.720779220779221,0.730769230769231,0.746835443037975,0.744408945686901,0.736842105263158,0.717391304347826,0.717391304347826,0.713846153846154,0.710191082802548,0.750769230769231,0.755351681957186,0.742424242424242,0.747747747747748,0.75,0.792397660818713,0.802816901408451,0.800561797752809,0.808864265927978,0.805013927576602,0.824644549763033,0.81986143187067,0.819444444444444,0.815420560747664,0.827050997782705,0.830065359477124,0.81917211328976,0.820175438596491,0.821192052980132,0.828633405639913,0.827510917030568,0.8207343412527,0.817391304347826,0.821350762527233,0.821120689655172,0.822368421052632,0.802247191011236,0.795045045045045,0.795454545454545,0.80091533180778,0.786046511627907,0.76978417266187,0.754257907542579,0.749379652605459,0.755501222493888,0.749385749385749,0.738035264483627,0.736180904522613,0.72987012987013,0.734536082474227,0.72987012987013,0.735064935064935,0.735449735449735,0.737837837837838,0.736986301369863,0.709039548022599,0.706896551724138,0.692307692307692,0.701492537313433,0.700296735905044,0.685015290519878,0.682098765432099,0.689024390243902,0.687697160883281,0.673780487804878,0.686746987951807,0.699404761904762,0.701807228915663,0.6996996996997,0.688622754491018,0.699404761904762,0.705705705705706,0.687878787878788,0.670807453416149,0.6875,0.671597633136095,0.68141592920354,0.677514792899408,0.71195652173913,0.721052631578947,0.719480519480519,0.721784776902887,0.722955145118733,0.72877358490566,0.735498839907193,0.736720554272517,0.737819025522042,0.740654205607477,0.76017130620985,0.764957264957265,0.761802575107296,0.76889848812095,0.765217391304348,0.760683760683761,0.759656652360515,0.745726495726496,0.751072961373391,0.747300215982721,0.755411255411255,0.735807860262009,0.720620842572062,0.711111111111111,0.703370786516854,0.70627802690583,0.690205011389522,0.668981481481482,0.651764705882353,0.64200477326969,0.637002341920375,0.616113744075829,0.617577197149644,0.596199524940618,0.597122302158273,0.583941605839416,0.582089552238806,0.570707070707071,0.548717948717949,0.532981530343008,0.547945205479452,0.527027027027027,0.523415977961432,0.534435261707989,0.52247191011236,0.526027397260274,0.539509536784741,0.536388140161725,0.528455284552846,0.489637305699482,0.475195822454308,0.461333333333333,0.469333333333333,0.46916890080429,0.44987146529563,0.437823834196891,0.433420365535248,0.419525065963061,0.411140583554377,0.387755102040816,0.375634517766497,0.368020304568528,0.360103626943005,0.356020942408377,0.311881188118812,0.300733496332518,0.292270531400966,0.284671532846715,0.280788177339901,0.272093023255814,0.272930648769575,0.263157894736842,0.262472885032538,0.235668789808917,0.206315789473684,0.20125786163522,0.19375,0.194560669456067,0.172557172557173,0.163223140495868,0.14968814968815,0.136929460580913,0.135135135135135,0.134020618556701,0.113168724279835,0.101659751037344,0.0916666666666667,0.0920502092050209,0.0958333333333333,0.0895833333333333,0.0810810810810811,0.0770833333333333,0.0810810810810811,0.0786749482401656,0.0748440748440748,0.0708333333333333,0.0627615062761506,0.0609243697478992,0.0651260504201681,0.0610526315789474,0.0607966457023061,0.0595744680851064,0.0595744680851064,0.0683760683760684,0.0749464668094218,0.08207343412527,0.0824295010845987,0.0867678958785249,0.0833333333333333,0.0905077262693157,0.0953436807095344,0.0982142857142857,0.101123595505618,0.0904977375565611,0.110112359550562,0.122448979591837,0.128205128205128,0.140845070422535,0.148584905660377,0.166666666666667,0.173076923076923,0.186440677966102,0.21078431372549,0.24009900990099,0.260545905707196,0.28428927680798,0.301507537688442,0.305343511450382,0.320512820512821,0.33587786259542,0.350253807106599,0.363636363636364,0.676020408163265,0.675879396984925,0.655696202531646,0.650385604113111,0.647668393782383,0.65625,0.660975609756098,0.663316582914573,0.658097686375321,0.663316582914573,0.655612244897959,0.660526315789474,0.649732620320856,0.645776566757493,0.629333333333333,0.621621621621622,0.608219178082192,0.603932584269663,0.598265895953757,0.618075801749271,0.606060606060606,0.560509554140127,0.529801324503311,0.529209621993127,0.524475524475524,0.522648083623693,0.51056338028169,0.507142857142857,0.5,0.50709219858156,0.503597122302158,0.501845018450184,0.515037593984962,0.505576208178439,0.5,0.518939393939394,0.516,0.514522821576763,0.547169811320755,0.525691699604743,0.531496062992126,0.533864541832669,0.523809523809524,0.525490196078431,0.519230769230769,0.522900763358779,0.533333333333333,0.528776978417266,0.543165467625899,0.569395017793594,0.553113553113553,0.541818181818182,0.570909090909091,0.557971014492754,0.563380281690141,0.567857142857143,0.562913907284768,0.542483660130719,0.545454545454545,0.529605263157895,0.534653465346535,0.567934782608696,0.570291777188329,0.566489361702128,0.566844919786096,0.57311320754717,0.57345971563981,0.578454332552693,0.578823529411765,0.580568720379147,0.578231292517007,0.573059360730594,0.569794050343249,0.564220183486238,0.565819861431871,0.554022988505747,0.548837209302326,0.522352941176471,0.523696682464455,0.509661835748792,0.506024096385542,0.495121951219512,0.474489795918367,0.475452196382429,0.470744680851064,0.452380952380952,0.445623342175066,0.412398921832884,0.36986301369863,0.365921787709497,0.367231638418079,0.370786516853933,0.346478873239437,0.365439093484419,0.367052023121387,0.337349397590361,0.329113924050633,0.346153846153846,0.383838383838384,0.392491467576792,0.425249169435216,0.384879725085911,0.388111888111888,0.402135231316726,0.41304347826087,0.442105263157895,0.450704225352113,0.470175438596491,0.466192170818505,0.467625899280576,0.479452054794521,0.476190476190476,0.479591836734694,0.45993031358885,0.460714285714286,0.483221476510067,0.486666666666667,0.498293515358362,0.501730103806228,0.5,0.495268138801262,0.504615384615385,0.495412844036697,0.49375,0.546174142480211,0.554123711340206,0.546835443037975,0.547557840616967,0.552083333333333,0.569086651053864,0.568129330254042,0.560364464692483,0.556064073226545,0.560640732265446,0.557483731019523,0.559912854030501,0.550976138828633,0.555555555555556,0.551948051948052,0.543103448275862,0.535637149028078,0.523605150214592,0.506493506493506,0.508771929824561,0.504366812227074,0.501113585746102,0.479545454545455,0.445727482678984,0.447058823529412,0.441805225653207,0.436320754716981,0.432304038004751,0.42822966507177,0.426150121065375,0.418886198547215,0.413793103448276,0.416666666666667,0.414141414141414,0.424870466321244,0.412987012987013,0.408488063660477,0.392857142857143,0.397790055248619,0.389684813753582,0.398280802292264,0.399408284023669,0.413489736070381,0.407624633431085,0.40117994100295,0.39039039039039,0.409090909090909,0.409090909090909,0.41304347826087,0.424778761061947,0.43108504398827,0.419939577039275,0.431192660550459,0.429467084639498,0.471471471471471,0.481481481481481,0.490740740740741,0.489028213166144,0.496815286624204,0.513677811550152,0.514880952380952,0.529411764705882,0.532544378698225,0.532934131736527,0.577720207253886,0.575197889182058,0.581151832460733,0.579220779220779,0.606714628297362,0.591647331786543,0.587557603686636,0.592760180995475,0.594533029612756,0.604910714285714,0.604444444444444,0.616228070175439,0.621212121212121,0.62472885032538,0.621794871794872,0.608602150537634,0.61437908496732,0.613882863340564,0.611842105263158,0.602620087336245,0.588495575221239,0.561521252796421,0.546067415730337,0.533180778032037,0.528604118993135,0.525345622119816,0.52112676056338,0.507211538461538,0.5,0.493827160493827,0.488607594936709,0.485714285714286,0.471698113207547,0.446236559139785,0.444743935309973,0.434540389972145,0.441011235955056,0.429799426934097,0.43646408839779,0.450704225352113,0.452449567723343,0.464497041420118,0.466463414634146,0.445454545454545,0.43312101910828,0.442675159235669,0.4375,0.43613707165109,0.44794952681388,0.452830188679245,0.43167701863354,0.437308868501529,0.428571428571429,0.436950146627566,0.418879056047198,0.425595238095238,0.422857142857143,0.418994413407821,0.415512465373961,0.410810810810811,0.41688654353562,0.411311053984576,0.406091370558376,0.396984924623116,0.672535211267606,0.66189111747851,0.654761904761905,0.649700598802395,0.637795275590551,0.633245382585752,0.631436314363144,0.624309392265193,0.602631578947368,0.602631578947368,0.579514824797844,0.556473829201102,0.548476454293629,0.550135501355014,0.535714285714286,0.514044943820225,0.51304347826087,0.505882352941176,0.49584487534626,0.46927374301676,0.451977401129944,0.430232558139535,0.414201183431953,0.418879056047198,0.421212121212121,0.411764705882353,0.407051282051282,0.396103896103896,0.374581939799331,0.367003367003367,0.369127516778524,0.370748299319728,0.376237623762376,0.378839590443686,0.371134020618557,0.384615384615385,0.39051094890511,0.39426523297491,0.413284132841328,0.412213740458015,0.412,0.434615384615385,0.44106463878327,0.439393939393939,0.435114503816794,0.437037037037037,0.444029850746269,0.458646616541353,0.47037037037037,0.479553903345725,0.469534050179211,0.468085106382979,0.487544483985765,0.501706484641638,0.501706484641638,0.537704918032787,0.558823529411765,0.564356435643564,0.569023569023569,0.612121212121212,0.591304347826087,0.617142857142857,0.629737609329446,0.627906976744186,0.64735516372796,0.641148325358852,0.640963855421687,0.639902676399027,0.645308924485126,0.650684931506849,0.646788990825688,0.650574712643678,0.648837209302326,0.648018648018648,0.634259259259259,0.626168224299065,0.616666666666667,0.608695652173913,0.6,0.587378640776699,0.570707070707071,0.55699481865285,0.543080939947781,0.530927835051546,0.521052631578947,0.509283819628647,0.491847826086957,0.483240223463687,0.497206703910615,0.495726495726496,0.494219653179191,0.48695652173913,0.483582089552239,0.48048048048048,0.475757575757576,0.459876543209877,0.463022508038585,0.467105263157895,0.476666666666667,0.503378378378378,0.521739130434783,0.512280701754386,0.508960573476703,0.529616724738676,0.539007092198582,0.554307116104869,0.554716981132075,0.573122529644269,0.585820895522388,0.569852941176471,0.605839416058394,0.610486891385768,0.616858237547893,0.625454545454545,0.639285714285714,0.644366197183099,0.647482014388489,0.654411764705882,0.643097643097643,0.652317880794702,0.637540453074434,0.638436482084691,0.668604651162791,0.676966292134832,0.668508287292818,0.664819944598338,0.66016713091922,0.67481662591687,0.677725118483412,0.670616113744076,0.670644391408115,0.668257756563246,0.678651685393258,0.684684684684685,0.682432432432432,0.679545454545455,0.677345537757437,0.659955257270693,0.669662921348315,0.663656884875847,0.653061224489796,0.658314350797267,0.663594470046083,0.650118203309693,0.634382566585956,0.604938271604938,0.593984962406015,0.5925,0.58656330749354,0.56282722513089,0.539083557951482,0.521857923497268,0.543010752688172,0.537396121883656,0.53257790368272,0.52,0.512968299711816,0.519061583577713,0.495548961424332,0.502994011976048,0.50920245398773,0.492354740061162,0.525157232704403,0.541935483870968,0.529220779220779,0.536423841059603,0.537735849056604,0.547169811320755,0.529968454258675,0.521311475409836,0.526845637583893,0.547540983606557,0.555932203389831,0.544520547945205,0.551601423487544,0.553191489361702,0.569965870307167,0.561461794019934,0.572368421052632,0.578947368421053,0.579124579124579,0.598784194528875,0.601190476190476,0.605263157894737,0.605341246290801,0.614243323442137,0.659459459459459,0.66578947368421,0.659517426273458,0.662303664921466,0.67710843373494,0.670588235294118,0.674473067915691,0.686915887850467,0.68997668997669,0.715596330275229,0.712018140589569,0.710045662100457,0.694570135746606,0.694760820045558,0.69248291571754,0.682648401826484,0.671296296296296,0.674473067915691,0.671428571428571,0.668235294117647,0.646489104116223,0.614427860696517,0.600502512562814,0.597435897435897,0.603580562659846,0.598958333333333,0.586206896551724,0.555555555555556,0.545706371191136,0.550408719346049,0.543956043956044,0.543909348441926,0.53314121037464,0.532163742690059,0.532212885154062,0.518207282913165,0.517142857142857,0.529585798816568,0.531914893617021,0.547550432276657,0.542274052478134,0.555555555555556,0.554896142433234,0.553516819571865,0.56797583081571,0.56969696969697,0.596330275229358,0.601226993865031,0.592705167173252,0.601796407185629,0.622418879056047,0.619760479041916,0.629411764705882,0.628654970760234,0.648725212464589,0.654494382022472,0.66016713091922,0.672176308539945,0.658263305322129,0.682926829268293,0.684895833333333,0.701298701298701,0.707253886010363,0.728426395939086,0.73697270471464,0.758169934640523,0.778097982708934,0.776470588235294,0.774025974025974,0.767857142857143,0.760416666666667,0.75130890052356,0.75187969924812,0.746231155778894,0.748717948717949,0.746113989637306,0.741514360313316,0.732647814910026,0.727979274611399,0.715789473684211,0.711590296495957,0.715469613259669,0.712737127371274,0.708446866485014,0.694050991501416,0.675516224188791,0.674698795180723,0.667673716012085,0.661490683229814,0.673076923076923,0.684563758389262,0.679310344827586,0.678082191780822,0.669014084507042,0.681318681318681,0.680933852140078,0.66030534351145,0.646153846153846,0.635658914728682,0.62109375,0.628571428571429,0.628099173553719,0.609243697478992,0.622317596566524,0.609090909090909,0.626086956521739,0.628205128205128,0.639484978540773,0.617021276595745,0.63135593220339,0.635983263598326,0.621399176954732,0.628571428571429,0.619246861924686,0.619047619047619,0.639676113360324,0.633744855967078,0.641666666666667,0.656652360515021,0.659836065573771,0.672268907563025,0.672064777327935,0.64367816091954,0.651162790697674,0.662020905923345,0.659863945578231,0.670846394984326,0.674050632911392,0.674050632911392,0.68974358974359,0.687041564792176,0.683823529411765,0.67910447761194,0.665071770334928,0.667447306791569,0.666666666666667,0.668235294117647,0.669811320754717,0.653669724770642,0.645977011494253,0.645161290322581,0.640661938534279,0.630695443645084,0.627684964200477,0.636585365853659,0.628787878787879,0.628865979381443,0.624671916010499,0.617801047120419,0.609756097560976,0.573369565217391,0.557692307692308,0.550279329608939,0.539106145251397,0.528089887640449,0.543103448275862,0.556195965417867,0.542168674698795,0.554545454545455,0.54320987654321,0.531847133757962,0.527156549520767,0.514563106796116,0.513333333333333,0.51219512195122,0.512455516014235,0.498220640569395,0.496268656716418,0.482269503546099,0.496376811594203,0.485401459854015,0.494339622641509,0.50965250965251,0.5,0.501901140684411,0.529197080291971,0.533582089552239,0.522727272727273,0.535211267605634,0.539007092198582,0.533807829181495,0.537634408602151,0.551470588235294,0.56993006993007,0.574912891986063,0.581314878892734,0.580985915492958,0.570149253731343,0.567251461988304,0.569364161849711,0.576470588235294,0.572271386430678,0.625,0.632098765432099,0.628640776699029,0.633004926108374,0.633663366336634,0.637231503579952],"VIX^FG_PRICE(-1M,,,USD)":12.44,"ACWX-US^FG_PRICE(-1M)/FG_PRICE_MAVG(-1M,,,,200)":1.04743213524945,"ACWX-US^FMA_EPS(NTMA,-1W,,,,\"PORTAGG\",\"MEANR\")/AVG(FMA_EPS(NTMA,-1W,-200D,,,\"PORTAGG\",\"MEANR\"))":1.04466707648413,"ACWX-US^FG_PRICE(0)/FG_PRICE_MAVG(0,,,,200)":1.05643254851363,"ACWX-US^FMA_PCT_ABOVE_MAVG(200,0,,,,\"PORTAGG\")/AVG(FMA_PCT_ABOVE_MAVG(200,0,-200D,,,\"PORTAGG\"))":0.955260237767926,"SP50^FMA_EPS(NTMA,-1M,,,,\"PORTAGG\",\"MEANR\")/AVG(FMA_EPS(NTMA,-1M,-200D,,,\"PORTAGG\",\"MEANR\"))":1.04669612961665,"SP50^FG_PRICE(-1M)/FG_PRICE_MAVG(-1M,,,,200)":1.12215000495059,"SP50^FMA_PCT_ABOVE_MAVG(200,-1W,,,,\"PORTAGG\")/AVG(FMA_PCT_ABOVE_MAVG(200,-1W,-200D,,,\"PORTAGG\"))":0.92837827973254,"TLT-US^FG_PRICE(-1W)/FG_PRICE_MAVG(-1W,,,,200)":1.03783583304493,"TLT-US^FG_PRICE(0)/FG_PRICE_MAVG(0,,,,200)":1.05855185343128,"SP50^FG_PRICE(0)/FG_PRICE_MAVG(0,,,,200)":1.10216139711764,"ACWX^FG_PRICE(0,-7AY)":[54.9,55.16,54.56,54.18,53.52,53.44,52.68,52.63,52.42,51.45,51.19,50.99,52.16,52.98,54.28,53.41,53.37,53.62,52.98,53.27,53.95,54.3,53.8,54.17,54.7,55.19,54.92,55.41,54.91,54.7,54.07,54.14,54.32,54.02,53.37,53.21,53.13,53.08,52.98,53.29,53.24,52.89,53.2,53.2,52.91,52.73,53.06,53.63,53.03,54.33,54.25,54.86,54.64,54.12,54.43,54.15,53.94,53.65,54.51,54.55,54.2,54.52,54.92,55.09,55.11,54.9,55.04,54.48,54.17,54.03,53.95,53.63,53.68,53.72,53.4,52.92,52.03,52.09,52.82,52.53,52.12,52.17,52.26,51.74,51.16,51.19,51.2,51.2,51.72,51.97,52.91,52.75,53.47,53.35,53.1,52.94,53.28,53.06,53.53,53.39,53.42,53.13,53.11,53.15,53.39,53.38,52.8,52.82,52.8,52.91,53.24,53.29,52.82,52.99,53.14,52.57,51.93,52.13,52.26,51.68,51.57,51.98,51.88,52.03,51.96,51.43,51.38,51.23,51.14,50.61,49.98,50.89,50.69,50.48,50.65,50.62,50.06,50.3,50.65,50.16,50.45,50.59,50.36,50.18,50.08,49.67,49.64,49.65,49.39,48.96,49.56,50.43,50.27,50.22,50.04,50.54,50.21,50.15,50.09,50.42,51.04,50.98,50.98,50.74,50.45,50.46,49.62,51.0,50.5,50.37,50.83,50.37,49.67,49.62,49.48,49.41,49.19,49.13,49.32,49.75,49.31,49.31,49.33,49.2,49.38,49.09,49.04,49.27,48.96,48.5,48.67,48.62,47.42,47.33,47.04,47.19,47.3,47.6,47.6,46.94,45.99,45.54,45.54,44.98,45.09,45.39,45.81,45.46,45.48,45.94,46.29,47.08,47.09,46.77,47.08,47.53,47.31,46.65,46.72,46.17,45.8,45.82,46.42,47.01,47.1,46.8,46.86,47.51,47.68,47.51,48.38,48.5,48.59,48.72,48.83,48.27,48.37,48.53,48.02,48.06,48.33,48.53,48.93,48.72,49.07,49.12,48.48,47.98,47.74,48.25,47.69,47.79,47.62,47.74,47.92,48.32,48.95,49.17,49.61,49.44,49.4,49.79,49.53,49.45,49.49,50.52,51.15,51.14,50.53,50.81,50.67,50.49,50.35,50.33,50.58,50.54,50.42,50.41,50.74,49.97,49.01,48.56,48.47,48.03,48.92,49.42,49.22,48.73,48.83,48.88,48.45,48.32,49.06,49.33,49.3,50.07,50.2,49.68,49.49,49.0,48.84,48.82,48.38,49.53,49.1,49.33,48.61,47.82,48.33,48.85,48.26,48.36,49.0,49.71,49.59,49.42,49.53,49.32,49.79,49.25,49.48,49.67,49.72,49.97,49.93,49.17,49.13,49.09,49.59,49.68,49.61,48.99,48.96,49.72,49.66,49.67,49.69,49.95,49.78,49.77,49.99,49.31,49.2,49.01,48.97,48.77,49.11,49.12,48.77,48.61,48.06,47.62,47.4,47.15,47.26,47.11,47.17,46.58,46.04,46.49,45.79,47.06,46.6,46.79,47.22,47.8,47.61,48.43,48.54,47.95,47.81,47.32,47.71,47.23,48.08,47.84,48.12,48.69,48.77,48.98,49.23,49.2,48.76,48.99,48.88,49.13,48.75,49.29,49.88,50.01,49.56,49.35,49.9,50.03,49.82,49.62,49.65,49.39,48.89,48.82,49.05,49.04,48.72,48.16,47.84,47.62,47.39,46.3,46.7,45.8,45.5,46.01,45.32,45.88,45.59,45.46,45.88,45.4,45.27,45.35,45.62,46.75,46.76,46.68,46.56,46.64,46.3,46.38,46.57,47.22,47.23,46.96,45.99,45.66,46.15,46.04,45.6,45.11,45.45,45.51,45.49,45.78,45.31,45.71,44.81,42.64,43.33,42.89,42.79,41.15,41.31,41.87,41.42,41.76,41.52,41.86,41.38,40.61,41.1,40.39,40.33,40.94,40.73,39.72,40.38,39.69,39.82,40.32,40.65,41.39,42.04,42.38,40.84,40.01,40.11,40.79,39.97,40.11,40.71,41.96,42.13,42.73,43.35,43.15,43.49,43.89,43.7,45.24,44.61,43.64,43.62,43.25,43.5,43.79,44.27,44.46,44.87,45.04,46.09,45.46,45.42,45.29,45.93,46.59,46.75,47.1,47.08,47.36,46.96,46.91,45.99,46.2,46.09,46.36,46.11,45.79,46.36,46.52,46.1,45.87,44.89,45.43,45.11,45.4,44.88,45.13,44.1,43.87,43.31,43.89,43.95,44.03,44.91,44.88,44.11,44.2,44.97,45.0,45.2,45.42,45.69,45.76,44.54,44.6,45.1,44.36,44.47,45.63,44.88,44.93,46.54,47.51,49.42,49.82,49.61,49.42,50.17,49.21,49.65,49.63,49.02,48.4,48.35,48.65,47.97,47.68,47.14,48.28,47.33,47.29,46.02,46.19,46.47,46.21,47.66,48.19,49.82,49.03,48.64,48.77,49.2,48.46,48.14,49.41,49.72,50.49,51.19,51.02,50.96,51.19,51.53,50.89,51.28,51.83,51.79,51.8,52.46,53.2,52.78,52.27,53.08,53.27,52.28,52.35,52.39,52.05,52.6,51.99,52.39,51.82,51.51,49.28,48.85,48.97,49.62,50.32,48.58,48.26,49.86,51.08,51.93,51.38,52.37,53.24,52.0,52.75,53.25,53.92,54.26,55.04,54.79,53.82,54.16,54.95,55.54,54.65,54.31,54.25,54.09,54.89,54.61,54.18,53.1,52.87,53.2,53.6,53.78,54.38,55.15,55.34,55.28,56.13,56.17,56.7,56.06,55.22,55.6,55.35,55.41,56.02,55.92,55.6,55.69,55.66,55.81,55.8,55.47,55.15,54.67,53.94,54.31,54.89,54.83,54.35,54.6,56.1,56.0,56.42,56.305,55.22,54.71,55.1,54.41,54.68,55.05,54.8,56.39,56.62,56.65,57.05,57.44,57.58,57.73,57.81,57.92,57.63,57.21,57.75,57.92,57.75,57.68,57.74,57.35,57.6,57.07,57.58,57.14,57.45,57.49,57.47,57.25,57.58,57.4,56.94,57.11,56.64,56.16,55.54,55.58,55.71,55.68,55.0,55.32,54.97,55.68,55.41,55.43,55.66,56.77,56.64,57.2,56.6,56.14,55.69,56.88,57.47,57.8,57.63,57.96,57.62,57.75,57.85,58.44,58.36,58.11,57.95,57.38,57.2,57.18,56.6,56.98,56.98,56.46,55.83,55.68,56.38,56.52,57.16,57.51,57.35,57.55,57.26,57.12,57.09,57.38,57.2,57.25,56.87,56.56,57.02,56.61,55.96,56.47,56.76,56.74,56.67,55.97,55.61,56.59,57.11,57.42,57.28,57.5,57.32,56.34,57.25,57.06,57.56,57.53,57.51,57.89,57.91,58.14,57.91,57.41,57.55,57.56,56.95,57.93,58.13,58.63,58.68,58.58,58.54,58.85,59.04,59.14,59.14,58.6,59.03,58.9,58.34,58.13,58.07,57.95,57.78,57.4,57.56,56.88,57.31,56.97,57.07,56.08,55.79,56.91,57.45,57.98,57.35,56.86,56.25,57.0,56.59,57.36,57.43,57.12,57.24,57.16,56.54,56.74,56.19,57.02,57.24,56.92,56.46,56.37,56.08,56.39,56.43,56.0,56.22,56.52,55.92,55.18,55.25,55.29,55.52,54.61,54.34,54.92,55.75,55.75,55.47,56.15,56.0,55.8,55.73,55.94,55.16,55.03,54.17,54.77,54.27,55.08,55.31,55.47,54.24,55.13,56.17,56.13,56.02,56.64,56.36,56.82,57.0,56.69,56.45,56.03,56.06,55.67,55.34,54.94,54.92,54.73,54.11,53.19,54.43,54.07,55.39,55.48,55.39,55.77,55.69,55.11,54.58,55.37,54.92,54.96,54.64,55.36,54.62,54.33,54.1,53.32,53.04,53.3,53.04,52.6,52.29,52.36,51.83,52.01,52.65,52.92,52.53,52.34,51.78,52.34,52.59,52.31,52.41,52.26,52.52,52.06,51.79,51.74,50.73,51.85,51.47,51.55,50.85,50.8,50.64,50.35,50.57,50.65,50.02,49.3,49.95,49.55,49.43,48.43,48.27,47.25,46.47,45.61,45.05,45.33,45.1,46.38,46.53,47.3,47.06,47.04,47.19,46.88,47.07,46.91,47.35,47.46,47.87,47.59,47.28,46.9,46.46,46.83,46.14,46.37,45.99,45.93,46.04,45.36,45.25,45.3,45.875,45.92,46.81,47.2,47.23,47.26,46.93,46.51,46.1,46.7,45.88,46.55,46.52,47.56,47.18,46.85,47.43,47.03,47.44,47.19,47.05,46.45,46.58,46.72,47.03,47.03,46.62,46.85,47.03,46.14,46.08,45.95,46.37,46.29,46.02,45.62,44.98,45.74,46.31,45.74,46.07,45.4,45.56,45.95,45.95,45.7,45.39,45.18,45.56,45.1,44.64,44.93,44.68,45.03,44.43,45.14,44.1,43.48,43.24,43.28,42.94,43.54,43.12,44.06,43.76,43.26,43.41,43.55,43.37,42.88,43.34,42.57,44.91,44.93,45.47,44.92,44.09,44.34,43.41,42.82,41.89,41.86,41.65,41.22,40.19,40.51,40.92,40.23,40.68,39.17,39.27,39.44,39.74,40.21,40.22,39.55,39.06,39.28,39.15,39.04,40.05,40.89,39.83,39.6,39.01,38.67,38.82,38.01,38.93,39.41,38.45,38.4,39.54,38.82,39.09,38.45,38.11,37.84,35.95,36.7,35.85,37.65,37.62,37.02,38.45,36.98,35.55,32.8,33.42,33.67,33.17,35.57,33.75,37.9,35.55,40.0,42.1,40.5,44.02,44.67,45.76,44.7,44.99,44.28,44.55,45.88,45.73,46.4,48.18,48.43,48.83,48.58,48.91,48.93,49.36,49.0,48.66,48.52,49.02,48.89,48.47,47.57,47.44,48.23,48.42,48.39,47.97,49.1,49.39,49.57,49.39,50.0,49.83,49.57,49.68,49.73,49.3,49.36,49.23,49.1,49.2,49.08,49.72,49.12,48.92,49.22,49.13,48.92,48.97,48.85,48.84,48.82,48.79,48.82,49.24,48.99,48.53,48.19,48.11,48.29,47.95,47.94,47.51,47.71,47.94,48.35,48.21,48.24,47.9,47.83,47.88,48.15,48.19,48.2,47.84,47.92,48.14,48.19,48.35,48.49,48.29,48.33,48.29,47.99,47.47,47.7,47.48,47.6,47.35,47.3,47.16,47.05,47.14,46.78,46.87,46.75,46.69,46.22,46.36,45.66,45.28,44.92,45.37,45.55,45.19,44.83,45.66,46.05,45.87,46.16,46.04,46.16,46.39,46.45,46.53,46.47,46.54,46.45,46.75,46.59,46.32,45.99,45.95,45.83,45.7,45.33,44.7,44.85,44.62,44.22,44.2,44.2,43.87,44.44,44.7,44.3,44.45,44.16,43.62,43.46,44.71,44.2,44.71,44.99,44.48,44.32,43.95,45.21,45.55,45.95,46.32,46.75,46.77,46.66,47.07,47.09,46.81,46.84,46.94,46.7,46.78,46.93,46.88,46.84,46.83,46.58,46.74,47.05,47.36,47.15,47.095,46.76,46.71,46.49,46.33,46.73,46.62,46.85,46.32,45.99,45.25,45.98,46.28,46.3,46.7,46.41,46.16,45.65,45.55,45.61,45.17,44.9,45.14,44.95,45.12,45.38,45.02,45.54,45.68,45.34,45.51,45.92,45.78,45.58,45.1,46.28,45.95,46.33,46.29,47.11,47.73,47.2,47.3,47.57,47.52,47.4,47.18,47.22,47.665,47.56,47.67,47.73,47.63,47.44,47.52,47.15,47.37,47.24,47.4,47.38,47.25,47.21,46.88,46.88,46.27,46.0,45.96,46.12,45.9,45.83,46.87,46.84,46.82,46.78,46.47,45.96,46.05,45.795,45.73,45.19,45.27,45.96,46.13,45.98,46.07,45.83,46.1,46.28,46.15,45.95,45.67,45.83,45.61,45.41,44.94,44.89,44.95,44.47,44.59,44.76,45.28,45.6,45.2,45.03,45.12,45.03,44.46,44.34,44.65,44.09,43.93,43.71,44.39,43.96,43.81,43.62,43.32,43.54,43.78,43.58,43.04,42.76,42.7,41.42,41.81,41.96,41.89,41.7,41.65,40.69,41.03,41.71,41.74,42.22,42.52,42.95,43.53,43.53,42.93,42.78,43.141,43.64,44.1,45.18,44.52,44.7,44.89,44.18,44.22,43.63,43.98,43.3,44.15,44.58,44.56,44.22,44.07,43.86,44.56,44.96,45.61,44.98,44.83,44.79,44.69,43.89,43.5,42.94,43.21,43.54,42.96,44.18,44.6,44.63,44.33,45.19,45.54,44.7,44.83,44.43,44.99,46.1,46.25,46.39,46.67,47.32,47.44,47.84,47.69,48.07,48.09,48.08,47.85,48.15,48.1,47.52,47.24,46.79,46.84,46.82,46.43,46.22,46.15,46.05,46.38,46.45,46.9,47.48,47.7,48.3,48.06,48.16,47.57,47.13,47.56,47.3,47.02,46.76,46.47,46.07,46.96,46.84,47.17,48.11,48.25,48.21,47.91,48.11,48.0,48.38,48.6,48.52,48.53,48.44,48.74,48.26,47.88,48.0,47.62,47.89,47.88,47.73,47.83,47.69,47.27,48.11,48.06,47.58,47.22,46.9,46.8,47.25,46.85,46.54,47.15,47.11,47.82,47.35,47.77,47.63,48.84,49.23,49.515,49.67,49.72,49.95,49.73,49.7,50.04,49.6,49.69,49.4,49.04,49.24,48.67,49.64,49.88,50.05,50.47,50.49,50.15,50.405,50.52,50.27,50.78,50.68,50.62,50.11,49.96,49.93,49.93,49.73,49.685,49.8,49.97,50.25,50.11,49.8,49.9,50.11,50.23,50.56,50.79,50.4,50.21,50.15,50.26,50.12,50.27,49.62,49.29,49.83,49.49,49.36,49.0,49.69,49.19,49.07,49.55,48.55,49.2,50.27,50.13,49.98,50.45,50.54,50.555,50.41,50.82,50.74,50.24,50.13,50.21,49.82,49.62,49.45,50.02,50.58,51.49,51.06,50.51,50.35,50.5,51.0,50.92,50.43,49.49,49.47,48.78,48.43,49.76,50.69,49.46,51.49,52.69,52.68,52.63,53.15,53.74,53.23,53.37,53.19,52.99,52.71,52.43,52.47,52.09,52.2,51.73,51.42,51.56,51.565,51.57,51.2,50.82,50.5,49.95,49.89,49.77,49.67,49.68,49.52,49.29,49.31,50.01,49.45,49.47,49.7,49.46,49.48,49.32,49.05,48.915,49.16,49.21,49.39,49.49,49.58,49.94,49.68,50.09,49.87,49.7,49.27,49.18,49.22,48.685,48.94,49.04,49.18,49.33,49.61,49.44,49.64,49.45,49.54,49.42,49.28,49.08,49.04,48.81,48.9,49.05,48.97,49.13,49.18,49.33,49.21,49.345,49.35,49.08,49.09,48.95,48.5,48.54,48.62,48.57,48.62,48.31,48.35,48.01,47.95,47.97,48.08,48.46,48.42,48.5,48.55,48.36,48.29,48.21,48.09,48.35,48.23,47.8,47.87,47.505,47.17,47.56,47.39,47.08,47.13,47.27,47.33,47.06,47.04,47.03,46.71,46.67],"^FDS_ECON_SOURCE('USSU2929307')":"Investors Intelligence","ACWI-US^FMA_PCT_ABOVE_MAVG(200,-1M,,,,\"PORTAGG\")":61.3235926085088,"ACWX-US^FG_PRICE(-1M)/FG_PRICE_MAVG(-1M,,,,50)":0.992835439347902,"ACWX-US^FMA_EPS(NTMA,-1W,,,,\"PORTAGG\",\"MEANR\")/AVG(FMA_EPS(NTMA,-1W,-50D,,,\"PORTAGG\",\"MEANR\"))":1.02744875509796,"ACWX-US^FG_PRICE(0)/FG_PRICE_MAVG(0,,,,50)":1.02537475673031,"ACWX-US^FMA_PCT_ABOVE_MAVG(200,0,,,,\"PORTAGG\")/AVG(FMA_PCT_ABOVE_MAVG(200,0,-50D,,,\"PORTAGG\"))":0.951172863818878,"SP50^FMA_EPS(NTMA,-1M,,,,\"PORTAGG\",\"MEANR\")/AVG(FMA_EPS(NTMA,-1M,-50D,,,\"PORTAGG\",\"MEANR\"))":1.00269717848142,"SP50^FG_PRICE(-1M)/FG_PRICE_MAVG(-1M,,,,50)":1.03616780647757,"SP50^FMA_PCT_ABOVE_MAVG(200,-1W,,,,\"PORTAGG\")/AVG(FMA_PCT_ABOVE_MAVG(200,-1W,-50D,,,\"PORTAGG\"))":0.943548520291088,"TLT-US^FG_PRICE(-1W)/FG_PRICE_MAVG(-1W,,,,50)":1.03101175391958,"TLT-US^FG_PRICE(0)/FG_PRICE_MAVG(0,,,,50)":1.04778814439449,"SP50^FG_PRICE(0)/FG_PRICE_MAVG(0,,,,50)":1.02243761291419,"ACWI-US^FMA_PCT_ABOVE_MAVG(50,-1M,,,,\"PORTAGG\")/AVG(FMA_PCT_ABOVE_MAVG(50,-1M,-200D,,,\"PORTAGG\"))":0.735120528651715,"ACWI-US^FMA_PCT_ABOVE_MAVG(50,-1W,,,,\"PORTAGG\")/AVG(FMA_PCT_ABOVE_MAVG(50,-1W,-200D,,,\"PORTAGG\"))":0.711278936270514,"SP50^FMA_PCT_ABOVE_MAVG(50,-1M,,,,\"PORTAGG\")/AVG(FMA_PCT_ABOVE_MAVG(50,-1M,-200D,,,\"PORTAGG\"))":0.719911500657625,"SPXEKW^FG_PRICE(-1W)/FG_PRICE_MAVG(-1W,,,,200)":1.04389081167034,"^SPEC_ID_UNITS('CC_US:FDS_ECON_RINDPRD_M')":null,"^CONVERT_DATE(FDS_ECON_STARTDATE('USSU2929306', W),'YYYYMMDD')":"19690620","SHY-US^FG_PRICE(-1M)/FG_PRICE_MAVG(-1M,,,,100)":1.00203843949541,"ACWI-US^FMA_PCT_ABOVE_MAVG(50,-1M,,,,\"PORTAGG\")/AVG(FMA_PCT_ABOVE_MAVG(50,-1M,-100D,,,\"PORTAGG\"))":0.826364428778072,"ACWI-US^FMA_PCT_ABOVE_MAVG(50,-1W,,,,\"PORTAGG\")/AVG(FMA_PCT_ABOVE_MAVG(50,-1W,-100D,,,\"PORTAGG\"))":0.793309301618266,"TLT-US^FG_PRICE(-1W)/FG_PRICE_MAVG(-1W,,,,100)":1.04536238541575,"SHY-US^FG_PRICE(0)/FG_PRICE_MAVG(0,,,,100)":1.01222781985186,"SP50^FMA_PCT_ABOVE_MAVG(200,-1M,,,,\"PORTAGG\")":66.8,"SP50^FMA_PCT_ABOVE_MAVG(50,-1M,,,,\"PORTAGG\")/AVG(FMA_PCT_ABOVE_MAVG(50,-1M,-100D,,,\"PORTAGG\"))":0.896597671889724,"SP50^FMA_PCT_ABOVE_MAVG(200,-1W,,,,\"PORTAGG\")":64.2714570858283,"SPXEKW^FG_PRICE(-1W)/FG_PRICE_MAVG(-1W,,,,100)":1.00683794067333,"SP50^FMA_PCT_ABOVE_MAVG(200,0,,,,\"PORTAGG\")":72.6546906187625,"SP50^FMA_PCT_ABOVE_MAVG(50,0,,,,\"PORTAGG\")/AVG(FMA_PCT_ABOVE_MAVG(50,0,-100D,,,\"PORTAGG\"))":1.33175675973765,"^CONVERT_DATE(FDS_ECON_ENDDATE('ISMBUS@NM', M),'YYYYMMDD')":"20240731","^ECON_EXPR_DATA('RETURNS(FDS_COM[USCM1020424,DIST=STEP,CONV=AVERAGENP], -1AY)',0,0/0/-10,M)":[-0.930094840880735,0.556901114676944,1.15398761345487,-1.05042104726436,-2.36475913041382,-4.62869792436104,-6.5161249521889,-5.27237505004669,-4.2152220951622,-2.48124116263714,-4.08995048822745,-8.45687837843641,-7.04026237935681,-14.3456205413212,-16.5407503924542,-17.9345447323357,-16.6119768444135,-12.1428959649688,-10.3222374256317,-10.8942557461103,-13.0395633918361,-12.4190367653239,-6.21072091568685,-1.9602996041134,-2.40552207199869,6.06867909212898,12.8193690420289,19.8300046726354,19.2192120318399,18.8183982496217,22.466498627402,27.5347671483247,36.3056784130328,37.3898187275655,35.3179391136786,39.3752632868657,43.8492000093728,44.7057724498342,40.1742901171889,37.7452340625925,29.470040868283,19.476394691627,14.3430390639642,12.5087510377391,8.51398009150108,6.30159724840527,3.44754243472731,-0.185827727794163,-5.08527692887812,-8.75550568555354,-11.2373565761227,-15.7091294477998,-11.2954034949531,-5.29328234983609,-3.78390946677889,-7.96157354642081,-9.55730515030611,-9.36167649380613,-8.52207000030489,-10.3620414435848,-11.8285079109976,-12.1461118277137,-9.16591584294957,-6.36754389153434,-6.68797398899712,-7.9946215519231,-8.35668293322579,-4.28879899226342,-2.89838619200078,-3.79632429117088,-5.90420875586462,-2.91783023162592,1.09138695477555,3.86915206151781,2.85895698145153,3.66977135130147,2.87117528095038,3.61660494122393,3.94953383944889,2.52949862452128,3.11487988667443,9.13137014960723,12.4844217919736,12.0354123768236,10.27360427064,11.1980062395529,11.5330618953273,12.2529023008018,17.1035127715752,19.9937319891378,22.7775137379224,23.1062243863863,20.0994074423258,8.56364127243978,3.82426462070764,2.91754754899229,1.23291598390955,-3.21286313354903,-4.04446225007846,-3.74359856554936,-7.21339593380546,-11.0424017091646,-15.6093105943377,-19.3281316343349,-20.1236938558814,-16.1832493340863,-15.5174369152254,-16.2016169260429,-15.0670360849183,-12.6085756053709,-13.1159733712808,-13.6094544469634,-12.1970682665692,-10.1716561055658,-8.12719972463461,-6.00073488479311,-2.95810181950646,-1.69609165160164,-0.105643875345851,0.8592687163127],"^FDS_ECON_UNITS('USSU2929307')":"Percent","SHY-US^FG_PRICE(-1M)/FG_PRICE_MAVG(-1M,,,,200)":1.00243457165412,"SP50^FMA_PCT_ABOVE_MAVG(50,0,,,,\"PORTAGG\")/AVG(FMA_PCT_ABOVE_MAVG(50,0,-200D,,,\"PORTAGG\"))":1.14671710146313,"ACWX-US^FMA_EPS(NTMA,-1M,,,,\"PORTAGG\",\"MEANR\")/AVG(FMA_EPS(NTMA,-1M,-100D,,,\"PORTAGG\",\"MEANR\"))":1.00486861331044,"ACWX-US^FG_PRICE(-1W)/FG_PRICE_MAVG(-1W,,,,100)":0.985608209968445,"ACWX-US^FMA_PCT_ABOVE_MAVG(50,0,,,,\"PORTAGG\")/AVG(FMA_PCT_ABOVE_MAVG(50,0,-100D,,,\"PORTAGG\"))":0.876157401035683,"SPXEKW^FG_PRICE(-1M)/FG_PRICE_MAVG(-1M,,,,100)":1.00284711717441,"SHY-US^FG_PRICE(-1W)/FG_PRICE_MAVG(-1W,,,,100)":1.0110073300483,"SPXEKW^FG_PRICE(0)/FG_PRICE_MAVG(0,,,,100)":1.03380313077136,"ACWX-US^FMA_PCT_ABOVE_MAVG(200,0,,,,\"PORTAGG\")/AVG(FMA_PCT_ABOVE_MAVG(200,0,-100D,,,\"PORTAGG\"))":0.906520293507068,"TLT-US^FG_PRICE(-1M)/FG_PRICE_MAVG(-1M,,,,100)":0.996133984253746,"SP50^FMA_EPS(NTMA,-1M,,,,\"PORTAGG\",\"MEANR\")/AVG(FMA_EPS(NTMA,-1M,-100D,,,\"PORTAGG\",\"MEANR\"))":1.01942756546767,"ACWX-US^FG_PRICE(-1M)/FG_PRICE_MAVG(-1M,,,,100)":1.00453392121792,"SP50^FG_PRICE(-1M)/FG_PRICE_MAVG(-1M,,,,100)":1.05134482330392,"SP50^FG_PRICE(0)/FG_PRICE_MAVG(0,,,,100)":1.04962920022708,"ACWI-US^FMA_PCT_ABOVE_MAVG(50,-1M,,,,\"PORTAGG\")/AVG(FMA_PCT_ABOVE_MAVG(50,-1M,-50D,,,\"PORTAGG\"))":0.940991347456484,"ACWX-US^FMA_PCT_ABOVE_MAVG(200,0,,,,\"PORTAGG\")":55.9550561797753,"SP50^FMA_EPS(NTMA,-1W,,,,\"PORTAGG\",\"MEANR\")/AVG(FMA_EPS(NTMA,-1W,-50D,,,\"PORTAGG\",\"MEANR\"))":1.00862439875002,"ACWX-US^FMA_EPS(NTMA,0,,,,\"PORTAGG\",\"MEANR\")/AVG(FMA_EPS(NTMA,0,-100D,,,\"PORTAGG\",\"MEANR\"))":1.0416351179196,"SP50^FMA_PCT_ABOVE_MAVG(50,-1W,,,,\"PORTAGG\")/AVG(FMA_PCT_ABOVE_MAVG(50,-1W,-100D,,,\"PORTAGG\"))":1.07966477723212,"^CONVERT_DATE(ECON_EXPR_ENDDATE('RETURNS(FDS_ECON[US.LMCLAIMS,DIST=STEP,CONV=AVERAGE], -1AY)', M),'YYYYMMDD')":"20240731","ACWX-US^FMA_EPS(NTMA,-1W,,,,\"PORTAGG\",\"MEANR\")/AVG(FMA_EPS(NTMA,-1W,-100D,,,\"PORTAGG\",\"MEANR\"))":1.0364693778145,"SP50^FMA_PCT_ABOVE_MAVG(200,-1W,,,,\"PORTAGG\")/AVG(FMA_PCT_ABOVE_MAVG(200,-1W,-100D,,,\"PORTAGG\"))":0.903183330341421,"^CONVERT_DATE(FDS_ECON_ENDDATE('ISMPMI@M', M),'YYYYMMDD')":"20240731","ACWI-US^FMA_PCT_ABOVE_MAVG(50,-1W,,,,\"PORTAGG\")/AVG(FMA_PCT_ABOVE_MAVG(50,-1W,-50D,,,\"PORTAGG\"))":0.843983376024328,"SP50^FMA_PCT_ABOVE_MAVG(50,-1M,,,,\"PORTAGG\")/AVG(FMA_PCT_ABOVE_MAVG(50,-1M,-50D,,,\"PORTAGG\"))":0.947238928376162,"SPXEKW^FG_PRICE(-1W)/FG_PRICE_MAVG(-1W,,,,50)":1.00306766238184,"^CONVERT_DATE(FDS_ECON_ENDDATE('ISMPRD@M', M),'YYYYMMDD')":"20240731","SP50^FG_PRICE(-1W)/FG_PRICE_MAVG(-1W,,,,200)":1.06202104662379,"ACWI-US^FMA_PCT_ABOVE_MAVG(200,-1M,,,,\"PORTAGG\")/AVG(FMA_PCT_ABOVE_MAVG(200,-1M,-200D,,,\"PORTAGG\"))":0.989515844687207,"SP50^FMA_EPS(NTMA,-1W,,,,\"PORTAGG\",\"MEANR\")/AVG(FMA_EPS(NTMA,-1W,-200D,,,\"PORTAGG\",\"MEANR\"))":1.05120683922647,"SP50^FMA_EPS(NTMA,0,,,,\"PORTAGG\",\"MEANR\")/AVG(FMA_EPS(NTMA,0,-200D,,,\"PORTAGG\",\"MEANR\"))":1.0533962226925,"ACWI-US^FMA_PCT_ABOVE_MAVG(200,-1M,,,,\"PORTAGG\")/AVG(FMA_PCT_ABOVE_MAVG(200,-1M,-100D,,,\"PORTAGG\"))":0.924968584323392,"SP50^FMA_EPS(NTMA,-1W,,,,\"PORTAGG\",\"MEANR\")/AVG(FMA_EPS(NTMA,-1W,-100D,,,\"PORTAGG\",\"MEANR\"))":1.02367820191382,"SP50^FMA_EPS(NTMA,0,,,,\"PORTAGG\",\"MEANR\")/AVG(FMA_EPS(NTMA,0,-100D,,,\"PORTAGG\",\"MEANR\"))":1.02586795138573,"ACWI-US^FMA_PCT_ABOVE_MAVG(200,-1M,,,,\"PORTAGG\")/AVG(FMA_PCT_ABOVE_MAVG(200,-1M,-50D,,,\"PORTAGG\"))":0.973268383461279,"SHY-US^FG_PRICE(-1M)/FG_PRICE_MAVG(-1M,,,,50)":1.00329557714378,"SP50^FMA_EPS(NTMA,0,,,,\"PORTAGG\",\"MEANR\")/AVG(FMA_EPS(NTMA,0,-50D,,,\"PORTAGG\",\"MEANR\"))":1.01107308757821,"TLT^FG_PRICE(0,-7AY)":[98.67,97.89,97.44,97.1,97.89,97.28,96.61,96.26,95.32,95.91,96.59,98.8,98.28,95.31,94.81,93.85,93.49,92.99,92.27,91.52,92.52,92.65,92.92,93.47,94.19,94.17,92.86,93.94,93.54,92.64,92.35,92.76,92.56,91.8,90.61,89.91,91.78,93.52,93.15,94.5,94.34,93.96,93.96,94.59,93.73,94.67,93.88,92.52,91.83,90.89,91.5,93.21,93.35,92.67,91.6,90.45,89.84,88.98,90.07,91.38,91.11,91.7,91.59,91.12,91.39,92.01,92.1,90.86,90.35,90.12,90.63,90.19,90.74,90.19,89.84,88.94,88.56,88.22,88.98,88.24,87.78,88.4,89.03,89.0,89.15,88.83,89.28,88.3,88.89,90.29,89.81,90.22,92.23,91.38,91.39,92.68,92.02,92.04,92.55,94.62,94.7,93.77,93.51,93.98,93.09,92.89,92.92,92.66,92.94,92.97,94.42,94.88,95.68,95.73,95.9,95.99,95.43,94.09,94.47,94.18,93.52,92.93,93.59,93.87,92.63,92.18,92.84,92.76,93.3,92.82,92.35,93.96,93.85,94.04,94.59,95.05,94.13,96.07,98.24,96.66,95.72,94.86,93.78,93.96,93.35,93.9,94.65,94.09,93.79,94.67,94.82,96.52,96.71,96.17,96.62,97.24,96.29,97.22,98.72,98.31,98.88,99.78,100.51,98.76,98.475,98.93,99.56,98.89,98.36,99.15,99.04,96.84,94.62,94.34,94.54,95.32,95.87,94.61,92.615,92.99,91.56,92.63,91.48,91.3,89.8,90.87,90.55,90.59,90.04,89.62,88.52,89.78,87.79,87.99,87.5,89.56,88.06,86.78,87.63,87.04,85.1,83.58,83.99,84.37,84.73,83.45,85.35,84.24,83.24,82.77,84.5,85.25,86.2,87.61,86.07,88.47,86.66,86.78,84.79,85.83,86.26,85.06,86.93,88.69,88.68,88.41,88.87,89.18,91.43,90.7,93.09,92.8,93.49,92.96,93.53,94.21,94.23,93.69,94.37,94.01,93.75,93.52,94.85,96.64,96.21,96.31,95.32,95.22,94.91,95.54,93.23,92.52,93.77,93.44,93.84,94.58,95.16,95.37,95.59,97.19,96.69,95.58,96.53,94.85,97.09,98.14,100.05,99.81,99.3,101.27,101.17,101.36,101.73,101.7,102.95,101.8,101.34,101.29,101.89,100.83,99.72,99.21,99.08,99.68,101.11,102.08,102.94,101.74,103.61,103.17,103.44,103.33,102.31,103.56,103.31,102.6,103.0,102.02,101.21,102.22,101.92,102.06,100.88,102.4,101.8,101.99,103.12,102.99,102.1,101.09,100.28,100.53,101.03,100.74,101.1,101.82,102.58,102.88,103.19,104.27,105.15,104.05,103.05,103.42,104.89,105.24,106.29,105.7,103.13,106.46,104.77,105.82,106.96,105.41,104.4,104.99,104.1,104.2,103.83,105.08,106.05,106.89,107.0,106.78,108.53,108.25,107.13,106.6,106.37,104.8,104.32,104.53,104.34,106.85,106.4,106.4,105.0,105.91,106.85,105.27,106.1,104.09,105.83,105.59,102.07,101.82,101.72,101.1,101.89,99.48,100.37,101.71,101.25,100.97,102.3,101.31,100.39,102.38,101.59,103.05,104.02,104.26,103.39,104.56,105.56,105.06,105.91,106.7,108.32,108.18,107.17,106.32,106.71,106.98,107.48,107.22,105.7,106.2,107.95,108.63,106.06,106.75,107.76,105.68,103.99,105.74,105.18,103.28,102.85,101.46,99.56,100.68,99.55,100.14,102.16,103.68,103.7,103.44,105.31,107.11,108.32,108.16,107.7,106.67,106.33,109.17,109.47,106.95,105.59,107.09,105.76,102.73,101.98,103.19,102.9,103.25,101.48,100.06,99.64,100.33,101.4,99.23,97.65,97.89,98.25,94.61,94.3,93.28,94.22,95.83,96.35,96.77,96.11,96.8,97.47,96.46,95.09,92.4,93.17,94.88,96.53,98.32,98.09,98.57,99.39,100.35,99.86,99.42,100.99,101.98,102.55,103.54,103.83,102.45,103.79,104.33,100.95,103.68,105.7,105.27,108.03,106.25,107.32,107.07,107.97,108.04,107.67,107.42,108.31,108.07,109.19,107.49,110.22,109.6,111.88,112.96,112.68,113.62,112.77,111.22,112.04,112.66,113.04,114.89,114.72,115.93,115.45,115.55,114.39,117.12,117.89,118.35,116.47,119.31,119.35,117.5,120.04,117.43,117.75,116.82,117.48,117.39,118.55,116.59,114.61,114.31,114.93,116.14,115.49,116.44,115.12,114.44,112.5,113.76,114.77,116.73,115.82,114.87,113.87,112.12,111.6,112.56,114.14,113.21,110.18,112.08,111.72,110.84,108.81,110.2,113.77,114.48,114.1,115.12,113.89,116.03,116.28,116.22,116.56,119.08,118.79,119.33,118.86,116.56,118.51,117.18,116.9,114.46,115.86,115.98,117.72,117.94,115.71,114.67,113.67,115.37,118.62,117.97,117.18,119.45,121.02,120.84,122.41,121.19,119.99,120.75,121.65,119.25,120.15,120.75,123.22,122.97,123.14,125.12,126.49,127.45,128.49,131.46,132.38,132.08,131.76,130.74,129.76,128.66,130.47,131.5,128.68,130.35,133.44,131.83,132.82,131.53,131.76,134.91,134.46,136.42,137.77,139.17,140.24,137.86,136.47,141.3,139.87,136.87,136.77,136.68,138.59,138.23,136.79,135.78,134.98,136.53,138.25,136.23,138.43,138.17,139.1,139.01,141.09,142.2,141.72,142.39,143.13,143.08,140.5,142.22,142.45,143.63,141.94,141.07,140.1,142.1,144.28,143.01,143.56,142.61,142.26,143.29,142.92,143.7,144.3,148.19,147.9,146.67,148.29,148.88,148.52,149.82,149.13,149.7,150.83,149.14,149.25,150.7,151.06,148.86,149.22,148.39,151.0,152.23,154.35,152.53,152.34,151.59,149.32,150.53,146.82,144.5,146.62,148.36,146.81,146.26,145.11,145.48,147.33,147.98,148.2,150.96,149.02,149.3,147.1,145.57,147.09,146.44,147.69,147.24,147.74,145.1,143.91,144.13,142.56,142.73,143.7,145.71,145.03,145.88,145.34,143.94,141.52,141.88,142.88,144.39,143.58,144.98,145.35,144.32,144.34,144.09,146.37,146.91,148.36,151.79,150.89,151.02,149.17,149.89,150.58,151.11,149.3,148.4,149.72,147.93,146.93,148.18,149.54,148.89,148.83,149.85,149.46,148.45,148.04,149.28,150.45,150.55,150.45,149.35,148.85,148.91,148.55,146.24,146.48,146.57,147.25,147.78,150.29,151.06,150.75,150.67,149.52,148.82,149.65,149.64,148.06,148.5,149.5,148.1,150.0,151.46,148.21,148.49,146.87,145.22,146.34,146.53,148.62,148.04,146.74,145.04,144.17,144.35,143.71,143.47,142.01,143.5,143.27,143.64,143.29,145.73,143.04,140.93,141.05,141.22,142.31,142.54,141.69,140.45,139.47,139.9,138.01,138.53,138.21,138.44,138.655,139.22,139.46,138.18,137.67,137.23,136.11,136.44,136.79,137.08,135.81,135.6,137.04,137.82,139.23,139.92,139.69,139.46,138.52,138.64,138.32,138.73,138.64,139.86,140.06,140.39,139.78,139.5,138.86,139.26,140.35,138.04,138.48,137.45,137.51,138.01,136.88,137.84,136.91,137.51,135.45,136.21,135.5,136.66,137.14,138.23,137.49,136.26,134.75,133.92,135.29,136.31,136.86,136.06,139.01,140.02,139.74,137.83,138.91,138.64,139.54,141.07,141.06,143.12,138.54,140.84,141.77,142.18,143.27,145.2,145.79,144.87,147.11,148.96,149.78,148.79,148.68,148.03,149.28,149.68,151.02,152.0,152.0,152.92,153.77,153.38,153.67,151.88,151.39,152.46,152.31,151.82,151.22,152.65,150.95,151.07,151.32,151.81,153.16,156.37,157.54,157.73,157.5,157.16,157.36,157.29,156.67,157.76,156.95,156.33,156.8,157.38,157.8,158.33,158.77,158.21,156.82,157.34,156.6,155.2,157.51,156.25,157.5,160.02,160.22,158.68,159.17,160.77,161.51,160.09,159.27,158.81,157.78,158.16,158.37,155.72,155.16,156.06,159.41,161.36,161.08,157.66,158.58,157.57,159.14,160.7,160.55,159.48,158.01,157.05,158.7,159.25,160.78,161.39,161.84,162.12,161.75,160.6,160.09,160.12,159.26,160.43,159.57,162.75,163.36,163.26,164.84,164.65,165.12,165.12,164.49,164.27,164.4,163.57,164.08,163.58,164.07,164.47,164.48,164.13,163.3,163.74,162.74,165.89,165.42,163.86,162.19,161.12,161.24,164.03,164.66,165.93,166.2,165.21,163.73,164.76,163.59,163.18,163.82,165.59,167.105,169.12,169.88,171.02,170.07,171.57,169.95,171.0,171.11,169.99,170.28,169.11,169.74,169.75,167.79,167.29,167.19,166.78,167.13,166.34,167.12,166.88,166.33,167.17,164.55,165.21,162.92,163.59,163.42,163.93,164.73,165.25,163.5,163.03,161.3,162.41,162.39,162.26,160.56,159.9,162.39,162.3,163.88,160.84,158.49,156.71,156.11,157.23,159.54,161.69,162.28,163.59,162.43,163.03,163.33,165.55,164.56,164.15,163.66,163.05,166.71,167.14,165.52,164.37,162.7,163.98,166.14,163.41,166.09,167.16,167.95,166.74,168.71,169.59,167.66,170.84,170.44,169.54,171.29,169.16,167.81,170.09,168.18,163.84,163.88,165.39,165.09,166.3,168.06,168.5,168.1,167.04,164.97,166.32,167.7,163.34,162.54,162.91,166.0,159.43,148.28,144.35,152.98,163.91,153.94,157.5,156.53,162.51,171.29,166.77,158.52,154.67,156.33,153.94,155.31,151.88,150.25,151.05,150.25,148.04,146.67,145.53,145.54,144.55,143.92,143.37,144.1,144.83,144.43,142.65,142.01,143.58,145.54,145.9,144.58,144.56,143.16,144.29,142.08,140.94,139.96,139.47,138.02,139.21,139.65,138.73,138.02,138.44,137.22,136.74,137.645,138.33,139.12,137.015,135.48,136.82,137.32,137.17,136.84,136.45,136.65,136.47,136.47,137.6,137.79,139.04,137.45,139.75,138.66,138.65,138.35,139.12,139.8,141.21,138.31,140.42,140.72,141.13,140.31,139.9,139.72,140.6,139.16,138.01,137.76,137.91,136.5,135.62,135.0,134.91,135.48,137.98,137.15,138.71,140.56,141.24,139.36,137.35,137.26,138.52,139.2,139.48,139.34,138.53,139.58,139.58,139.92,139.75,141.46,140.44,142.2,144.35,145.17,144.78,145.99,144.92,143.61,143.26,143.08,142.73,142.38,141.47,143.57,141.86,141.89,140.04,139.62,139.03,138.28,136.54,139.52,140.44,140.69,143.2,145.79,144.76,147.43,147.21,147.28,147.24,147.8,147.61,145.37,145.96,143.6,144.56,145.53,144.04,146.13,147.31,145.69,142.48,142.97,140.05,140.33,140.03,139.98,138.87,136.51,135.26,132.89,131.83,131.51,131.47,131.16,131.79,131.22,131.94,131.69,132.0,131.99,130.58,130.97,130.22,130.07,131.83,132.56,132.61,132.43,134.21,133.26,132.24,132.81,132.9,131.97,132.82,132.41,131.43,132.89,132.54,132.35,131.69,131.46,131.13,130.68,130.58,130.5,131.74,130.61,130.19,130.93,132.44,131.83,130.2,129.09,128.79,127.78,127.67,126.25,125.53,125.73,125.99,125.71,126.13,125.36,125.73,124.75,124.92,124.41,124.95,124.0,123.66,123.31,123.9,123.65,123.02,123.81,123.39,123.57,122.57,122.31,122.9,122.26,122.21,122.98,122.67,123.55,124.28,123.98,123.59,124.03,123.87,123.52,124.6,124.37,126.44,126.56,126.12,124.97,125.06,124.86,122.95,122.68,121.41,121.68,121.75,120.95,121.83,122.06,121.21,121.57,121.06,120.28,119.84,119.59,118.66,120.02,120.43,121.81,121.21,121.57,120.85,121.94,122.29,121.98,121.79,121.1,121.555,121.87,122.35,121.83,121.03,120.97,120.42,120.96,121.97,120.93,121.02,120.41,120.53,121.11,120.32,120.37,119.56,120.19,120.16,120.04,120.48,120.93,120.46,121.24,121.43,121.75,122.11,123.54,122.15,121.51,121.05,120.04,120.02,121.32,120.72,120.74,121.18,119.6,119.17,118.48,118.07,118.35,118.88,118.9,118.41,118.19,117.82,115.88,115.33,114.9,114.45,115.01,114.88,115.14,115.02,115.06,115.02,114.7,114.04,114.09,114.02,114.09,113.35,112.51,112.52,112.37,112.44,112.0,113.41,113.58,114.16,114.73,114.99,114.3,114.78,113.92,113.56,113.71,113.96,114.0,114.68,114.42,114.47,114.87,113.49,113.8,112.66,113.04,114.02,114.83,116.86,116.15,117.27,117.58,117.5,116.68,116.8,117.1,117.15,116.61,117.31,118.55,118.55,119.12,118.94,118.66,119.57,119.13,120.15,119.71,120.03,120.995,121.28,121.02,120.86,121.59,122.29,122.05,121.86,121.38,121.79,120.98,120.83,120.84,120.14,120.41,120.66,119.79,118.79,118.67,119.29,119.22,118.63,118.46,119.7,119.05,119.46,119.26,119.49,119.68,119.27,120.76,122.26,121.49,121.98,122.21,122.72,122.41,122.42,121.95,121.96,122.75,122.35,122.0,121.35,121.72,122.14,122.11,120.97,120.8,120.53,120.54,119.91,120.97,120.27,120.38,120.27,119.28,119.34,119.31,119.53,119.89,118.74,119.71,119.43,120.3,121.22,121.42,122.24,119.62,118.88,117.94,117.09,117.27,117.21,116.21,116.8,117.25,118.6,119.23,118.93,117.98,118.69,118.8,118.99,118.81,118.28,118.41,119.1,118.89,117.98,117.16,117.95,118.49,118.46,119.32,120.3,121.27,120.94,120.9,120.62,121.51,121.08,121.3,121.1,119.79,120.69,120.94,121.88,121.9,121.31,120.99,119.71,120.17,120.26,119.08,118.95,119.43,119.81,120.24,120.24,119.19,118.59,117.91,118.69,118.01,118.14,118.03,118.35,119.32,118.75,118.0,118.17,118.13,117.09,116.74,118.19,118.71,118.07,117.67,118.99,118.46,117.94,118.69,118.82,119.96,120.71,119.58,120.7,122.73,122.01,122.73,123.59,124.05,123.04,123.71,123.18,123.06,123.71,124.87,125.04,124.52,124.31,123.8,123.95,125.63,125.71,126.07,126.09,125.49,126.86,126.66,126.77,125.14,124.77,124.6,124.14,125.53,127.18,128.35,127.87,127.33,126.38,126.43,126.69,126.68,127.68,127.24,126.61,126.55,125.12,125.54,126.79,126.62,126.8,127.15,126.74,126.34,126.39,125.46,126.56,125.2,124.36,124.1,126.0,126.36,126.64,126.11,125.64,125.3,124.75,124.46,124.42,123.24,122.43,122.84,123.43,124.2,123.98,125.31,125.09,125.92,125.76,125.85,124.95,124.42,124.18,123.98,123.59,123.94,124.41,124.4,124.28,124.76,124.48,124.85,126.76,126.99,126.2,125.84,125.91,125.82,126.13,126.86,126.81,126.29,126.79,127.46,129.0,129.28,127.97,128.76,126.75,127.99,127.61,127.65,127.24,127.32,126.83,127.3,126.44,126.93,126.62],"ACWX-US^FG_PRICE(0)/FG_PRICE_MAVG(0,,,,100)":1.02695331571239,"TLT-US^FG_PRICE(0)/FG_PRICE_MAVG(0,,,,100)":1.06828376267146,"SP50^FMA_PCT_ABOVE_MAVG(50,0,,,,\"PORTAGG\")/AVG(FMA_PCT_ABOVE_MAVG(50,0,-50D,,,\"PORTAGG\"))":1.27877660673693,"ACWI-US^FMA_PCT_ABOVE_MAVG(200,-1W,,,,\"PORTAGG\")/AVG(FMA_PCT_ABOVE_MAVG(200,-1W,-200D,,,\"PORTAGG\"))":0.86510366638369,"SP50^FMA_PCT_ABOVE_MAVG(200,-1M,,,,\"PORTAGG\")/AVG(FMA_PCT_ABOVE_MAVG(200,-1M,-200D,,,\"PORTAGG\"))":0.963912547194661,"SP50^FMA_PCT_ABOVE_MAVG(200,0,,,,\"PORTAGG\")/AVG(FMA_PCT_ABOVE_MAVG(200,0,-200D,,,\"PORTAGG\"))":1.04974047327306,"SP50^FMA_PCT_ABOVE_MAVG(200,0,,,,\"PORTAGG\")/AVG(FMA_PCT_ABOVE_MAVG(200,0,-100D,,,\"PORTAGG\"))":1.02342326452312,"SP50^FMA_PCT_ABOVE_MAVG(200,-1M,,,,\"PORTAGG\")/AVG(FMA_PCT_ABOVE_MAVG(200,-1M,-100D,,,\"PORTAGG\"))":0.9251683286457,"SP50^FG_PRICE(-1W)/FG_PRICE_MAVG(-1W,,,,50)":0.981230363242478,"SP50^FMA_PCT_ABOVE_MAVG(200,0,,,,\"PORTAGG\")/AVG(FMA_PCT_ABOVE_MAVG(200,0,-50D,,,\"PORTAGG\"))":1.06532574727746,"ACWI-US^FMA_PCT_ABOVE_MAVG(200,-1W,,,,\"PORTAGG\")/AVG(FMA_PCT_ABOVE_MAVG(200,-1W,-100D,,,\"PORTAGG\"))":0.825700196675371,"ACWI-US^FMA_PCT_ABOVE_MAVG(200,-1W,,,,\"PORTAGG\")/AVG(FMA_PCT_ABOVE_MAVG(200,-1W,-50D,,,\"PORTAGG\"))":0.861738869027432,"SP50^FMA_PCT_ABOVE_MAVG(200,-1M,,,,\"PORTAGG\")/AVG(FMA_PCT_ABOVE_MAVG(200,-1M,-50D,,,\"PORTAGG\"))":1.00079904115062,"SP50^FG_PRICE(-1W)/FG_PRICE_MAVG(-1W,,,,100)":1.00594140826489,"SP50^STD(FMA_PE(NTMA,0,-10AY,,\"PORTAGG\",\"MEANR\"))":2.21362655852556,"TRYUS10Y-FDS^AVG(FG_YIELD(0,-10AY,M,,\"YTM\"))":2.39087,"TRYUS10Y-FDS^FG_YIELD(43913,,D,,\"YTM\")":0.7555,"SP50^STD(FMA_PE(LTMA,0,-10AY,,\"PORTAGG\",\"MEANR\"))":2.83842525404264,"TRYUS10Y-FDS^FG_YIELD(0,,M,,\"YTM\")":4.0541,"TRYUS10Y-FDS^FG_YIELD(44845,,D,,\"YTM\")":3.9357,"QQQ^STD(FMA_PE(NTMA,0,-10AY,,\"PORTAGG\",\"MEANR\"))":3.91854794497605,"TRYUS10Y-FDS^FG_YIELD(43458,,D,,\"YTM\")":2.7404,"QQQ^STD(FMA_PE(LTMA,0,-10AY,,\"PORTAGG\",\"MEANR\"))":4.40385054589711,"SP50^STD(FG_PRICE_RSI(NOW,-10AY,,,14))":11.7198180992676,"VIX^STD(FG_PRICE(NOW,-10AY,,USD))":7.2737542321807,"TRYUS10Y-FDS^STD(FG_YIELD(0,-10AY,M,,\"YTM\"))":1.01371152383024,"^ECON_EXPR_DATA('RETURNS(SPEC_ID[DXY.Z:FG_PRICE_IDX,DIST=NONE,CONV=NONE], -1AQ)',NOW,NOW,D)":-2.90375763582478,"^ECON_EXPR_DATA('RETURNS(SPEC_ID[DXY.Z:FG_PRICE_IDX,DIST=NONE,CONV=NONE], -1AY)',NOW,NOW,D)":-1.61930419165146,"^ECON_EXPR_DATA('RETURNS(SPEC_ID[DXY.Z:FG_PRICE_IDX,DIST=NONE,CONV=NONE], -6AM)',NOW,NOW,D)":-2.31073099639488,"^PSETCAL('FIVEDAY');ECON_DATE(NOW, NOW, D, 'YYYYMMDD')":"20240821","^ECON_EXPR_SOURCE('RETURNS(SPEC_ID[DXY.Z:FG_PRICE_IDX,DIST=NONE,CONV=NONE], -1AQ)')":"FactSet Prices","^ECON_EXPR_SOURCE('RETURNS(SPEC_ID[DXY.Z:FG_PRICE_IDX,DIST=NONE,CONV=NONE], -1AY)')":"FactSet Prices","^ECON_EXPR_SOURCE('RETURNS(SPEC_ID[DXY.Z:FG_PRICE_IDX,DIST=NONE,CONV=NONE], -6AM)')":"FactSet Prices","^ECON_EXPR_UNITS('RETURNS(SPEC_ID[DXY.Z:FG_PRICE_IDX,DIST=NONE,CONV=NONE], -1AQ)')":"Growth Rate","^ECON_EXPR_UNITS('RETURNS(SPEC_ID[DXY.Z:FG_PRICE_IDX,DIST=NONE,CONV=NONE], -1AY)')":"Growth Rate","^ECON_EXPR_UNITS('RETURNS(SPEC_ID[DXY.Z:FG_PRICE_IDX,DIST=NONE,CONV=NONE], -6AM)')":"Growth Rate","^CONVERT_DATE(ECON_EXPR_ENDDATE('RETURNS(SPEC_ID[DXY.Z:FG_PRICE_IDX,DIST=NONE,CONV=NONE], -1AQ)', D),'YYYYMMDD')":"20240821","^CONVERT_DATE(ECON_EXPR_ENDDATE('RETURNS(SPEC_ID[DXY.Z:FG_PRICE_IDX,DIST=NONE,CONV=NONE], -1AY)', D),'YYYYMMDD')":"20240821","^CONVERT_DATE(ECON_EXPR_ENDDATE('RETURNS(SPEC_ID[DXY.Z:FG_PRICE_IDX,DIST=NONE,CONV=NONE], -6AM)', D),'YYYYMMDD')":"20240821","^CONVERT_DATE(ECON_EXPR_STARTDATE('RETURNS(SPEC_ID[DXY.Z:FG_PRICE_IDX,DIST=NONE,CONV=NONE], -1AQ)', D),'YYYYMMDD')":"19850405","^CONVERT_DATE(ECON_EXPR_STARTDATE('RETURNS(SPEC_ID[DXY.Z:FG_PRICE_IDX,DIST=NONE,CONV=NONE], -1AY)', D),'YYYYMMDD')":"19860106","^CONVERT_DATE(ECON_EXPR_STARTDATE('RETURNS(SPEC_ID[DXY.Z:FG_PRICE_IDX,DIST=NONE,CONV=NONE], -6AM)', D),'YYYYMMDD')":"19850709","^ECON_EXPR_DESCRIPTION('RETURNS(SPEC_ID[DXY.Z:FG_PRICE_IDX,DIST=NONE,CONV=NONE], -1AQ)')":"(% 1Q) United States Dollar Index - Index Price Level","^ECON_EXPR_DESCRIPTION('RETURNS(SPEC_ID[DXY.Z:FG_PRICE_IDX,DIST=NONE,CONV=NONE], -1AY)')":"(% 1YR) United States Dollar Index - Index Price Level","^ECON_EXPR_DESCRIPTION('RETURNS(SPEC_ID[DXY.Z:FG_PRICE_IDX,DIST=NONE,CONV=NONE], -6AM)')":"(% 6M) United States Dollar Index - Index Price Level","^ECON_EXPR_DATA('RETURNS(SPEC_ID[DXY.Z:FG_PRICE_IDX,DIST=NONE,CONV=NONE], -1AY)',-1W,-1W,D)":0.595958019585652,"^ECON_EXPR_DATA('RETURNS(SPEC_ID[DXY.Z:FG_PRICE_IDX,DIST=NONE,CONV=NONE], -6AM)',-1W,-1W,D)":-0.886052836426188,"^ECON_EXPR_DATA('RETURNS(SPEC_ID[DXY.Z:FG_PRICE_IDX,DIST=NONE,CONV=NONE], -1AQ)',-1W,-1W,D)":-2.05696052269209,"^ECON_EXPR_DATA('RETURNS(SPEC_ID[DXY.Z:FG_PRICE_IDX,DIST=NONE,CONV=NONE], -1AY)',-1M,-1M,D)":2.44237580073929,"^ECON_EXPR_DATA('RETURNS(SPEC_ID[DXY.Z:FG_PRICE_IDX,DIST=NONE,CONV=NONE], -6AM)',-1M,-1M,D)":4.83235299942566,"^ECON_EXPR_DATA('RETURNS(SPEC_ID[DXY.Z:FG_PRICE_IDX,DIST=NONE,CONV=NONE], -1AQ)',-1M,-1M,D)":1.26260210816291}]]></FdsFormulaCache>
</file>

<file path=customXml/itemProps1.xml><?xml version="1.0" encoding="utf-8"?>
<ds:datastoreItem xmlns:ds="http://schemas.openxmlformats.org/officeDocument/2006/customXml" ds:itemID="{79DAF2CF-EAEA-4D65-80EE-417704049004}">
  <ds:schemaRefs>
    <ds:schemaRef ds:uri="urn:fdsformulacach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CashSignals</vt:lpstr>
      <vt:lpstr>WorldxUSSignals</vt:lpstr>
      <vt:lpstr>FactsetData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Bhartia</dc:creator>
  <cp:lastModifiedBy>Rizael Castro</cp:lastModifiedBy>
  <dcterms:created xsi:type="dcterms:W3CDTF">2024-08-04T04:02:31Z</dcterms:created>
  <dcterms:modified xsi:type="dcterms:W3CDTF">2024-08-30T08:03:07Z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=fdsSearchOrder">
    <vt:i4>0</vt:i4>
  </property>
</Properties>
</file>